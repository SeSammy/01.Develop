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omments2.xml" ContentType="application/vnd.openxmlformats-officedocument.spreadsheetml.comments+xml"/>
  <Override PartName="/xl/charts/chart6.xml" ContentType="application/vnd.openxmlformats-officedocument.drawingml.chart+xml"/>
  <Override PartName="/xl/drawings/drawing10.xml" ContentType="application/vnd.openxmlformats-officedocument.drawing+xml"/>
  <Override PartName="/xl/comments3.xml" ContentType="application/vnd.openxmlformats-officedocument.spreadsheetml.comments+xml"/>
  <Override PartName="/xl/charts/chart7.xml" ContentType="application/vnd.openxmlformats-officedocument.drawingml.chart+xml"/>
  <Override PartName="/xl/drawings/drawing11.xml" ContentType="application/vnd.openxmlformats-officedocument.drawing+xml"/>
  <Override PartName="/xl/comments4.xml" ContentType="application/vnd.openxmlformats-officedocument.spreadsheetml.comments+xml"/>
  <Override PartName="/xl/charts/chart8.xml" ContentType="application/vnd.openxmlformats-officedocument.drawingml.chart+xml"/>
  <Override PartName="/xl/drawings/drawing12.xml" ContentType="application/vnd.openxmlformats-officedocument.drawing+xml"/>
  <Override PartName="/xl/comments5.xml" ContentType="application/vnd.openxmlformats-officedocument.spreadsheetml.comments+xml"/>
  <Override PartName="/xl/drawings/drawing13.xml" ContentType="application/vnd.openxmlformats-officedocument.drawing+xml"/>
  <Override PartName="/xl/comments6.xml" ContentType="application/vnd.openxmlformats-officedocument.spreadsheetml.comments+xml"/>
  <Override PartName="/xl/drawings/drawing14.xml" ContentType="application/vnd.openxmlformats-officedocument.drawing+xml"/>
  <Override PartName="/xl/comments7.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comments8.xml" ContentType="application/vnd.openxmlformats-officedocument.spreadsheetml.comments+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17.xml" ContentType="application/vnd.openxmlformats-officedocument.drawing+xml"/>
  <Override PartName="/xl/comments9.xml" ContentType="application/vnd.openxmlformats-officedocument.spreadsheetml.comments+xml"/>
  <Override PartName="/xl/charts/chart17.xml" ContentType="application/vnd.openxmlformats-officedocument.drawingml.chart+xml"/>
  <Override PartName="/xl/drawings/drawing18.xml" ContentType="application/vnd.openxmlformats-officedocument.drawing+xml"/>
  <Override PartName="/xl/comments10.xml" ContentType="application/vnd.openxmlformats-officedocument.spreadsheetml.comments+xml"/>
  <Override PartName="/xl/charts/chart18.xml" ContentType="application/vnd.openxmlformats-officedocument.drawingml.chart+xml"/>
  <Override PartName="/xl/drawings/drawing19.xml" ContentType="application/vnd.openxmlformats-officedocument.drawing+xml"/>
  <Override PartName="/xl/comments11.xml" ContentType="application/vnd.openxmlformats-officedocument.spreadsheetml.comments+xml"/>
  <Override PartName="/xl/charts/chart19.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omments12.xml" ContentType="application/vnd.openxmlformats-officedocument.spreadsheetml.comments+xml"/>
  <Override PartName="/xl/charts/chart20.xml" ContentType="application/vnd.openxmlformats-officedocument.drawingml.chart+xml"/>
  <Override PartName="/xl/drawings/drawing22.xml" ContentType="application/vnd.openxmlformats-officedocument.drawing+xml"/>
  <Override PartName="/xl/comments13.xml" ContentType="application/vnd.openxmlformats-officedocument.spreadsheetml.comments+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codeName="ThisWorkbook" defaultThemeVersion="124226"/>
  <mc:AlternateContent xmlns:mc="http://schemas.openxmlformats.org/markup-compatibility/2006">
    <mc:Choice Requires="x15">
      <x15ac:absPath xmlns:x15ac="http://schemas.microsoft.com/office/spreadsheetml/2010/11/ac" url="\\stg-fs01\project\SMFG更改2020\300_基本設計\02_IVR更改\10_基本設計書\基盤\01_基盤基本設計\02_本番環境編（SMCC）\レビュー指摘表\"/>
    </mc:Choice>
  </mc:AlternateContent>
  <xr:revisionPtr revIDLastSave="0" documentId="8_{84FB264F-D553-4BB4-853E-E60BABC0A711}" xr6:coauthVersionLast="41" xr6:coauthVersionMax="41" xr10:uidLastSave="{00000000-0000-0000-0000-000000000000}"/>
  <bookViews>
    <workbookView xWindow="-120" yWindow="-120" windowWidth="29040" windowHeight="15840" firstSheet="1" activeTab="4" xr2:uid="{00000000-000D-0000-FFFF-FFFF00000000}"/>
  </bookViews>
  <sheets>
    <sheet name="目次" sheetId="26" r:id="rId1"/>
    <sheet name="品質基準管理票（定量的観点）" sheetId="27" r:id="rId2"/>
    <sheet name="品質基準管理票（定性的観点）" sheetId="28" r:id="rId3"/>
    <sheet name="レビューチェックリスト" sheetId="29" r:id="rId4"/>
    <sheet name="レビュー指摘表" sheetId="30" r:id="rId5"/>
    <sheet name="レビュー状況管理表（統一）" sheetId="31" r:id="rId6"/>
    <sheet name="レビュー状況管理表（チームレビュー）" sheetId="32" r:id="rId7"/>
    <sheet name="レビュー状況管理表（プロジェクトレビュー）" sheetId="33" r:id="rId8"/>
    <sheet name="レビュー状況管理表（顧客レビュー）" sheetId="34" r:id="rId9"/>
    <sheet name="設計書指摘分析図（サマリ）" sheetId="11" r:id="rId10"/>
    <sheet name="設計書指摘分析図（指摘現象-指摘原因）" sheetId="12" r:id="rId11"/>
    <sheet name="設計書指摘分析図（指摘現象-混入工程）" sheetId="13" r:id="rId12"/>
    <sheet name="設計書指摘分析図（混入工程-指摘原因）" sheetId="14" r:id="rId13"/>
    <sheet name="不具合管理票" sheetId="46" r:id="rId14"/>
    <sheet name="不具合管理" sheetId="51" r:id="rId15"/>
    <sheet name="テスト状況管理表" sheetId="50" r:id="rId16"/>
    <sheet name="テスト詳細管理表" sheetId="35" r:id="rId17"/>
    <sheet name="テストエラー分析図（サマリ）" sheetId="49" r:id="rId18"/>
    <sheet name="テストエラー分析図（エラー現象‐エラー原因）" sheetId="20" r:id="rId19"/>
    <sheet name="テストエラー分析図（エラー現象‐摘出すべき工程）" sheetId="43" r:id="rId20"/>
    <sheet name="テストエラー分析図（摘出すべき工程‐エラー原因）" sheetId="44" r:id="rId21"/>
    <sheet name="テストエラー分析図（混入工程-混入要因）" sheetId="48" r:id="rId22"/>
    <sheet name="品質管理（分析サマリ）" sheetId="23"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d" localSheetId="19">[1]分類区分内詳細項目!$A$7:$A$9</definedName>
    <definedName name="d" localSheetId="20">[1]分類区分内詳細項目!$A$7:$A$9</definedName>
    <definedName name="d" localSheetId="15">[2]分類区分内詳細項目!$A$7:$A$9</definedName>
    <definedName name="d" localSheetId="9">[3]分類区分内詳細項目!$A$7:$A$9</definedName>
    <definedName name="d">[3]分類区分内詳細項目!$A$7:$A$9</definedName>
    <definedName name="_xlnm.Print_Titles" localSheetId="18">'テストエラー分析図（エラー現象‐エラー原因）'!$1:$9</definedName>
    <definedName name="_xlnm.Print_Titles" localSheetId="19">'テストエラー分析図（エラー現象‐摘出すべき工程）'!$1:$9</definedName>
    <definedName name="_xlnm.Print_Titles" localSheetId="20">'テストエラー分析図（摘出すべき工程‐エラー原因）'!$1:$9</definedName>
    <definedName name="_xlnm.Print_Titles" localSheetId="16">テスト詳細管理表!$25:$26</definedName>
    <definedName name="_xlnm.Print_Titles" localSheetId="3">レビューチェックリスト!$17:$18</definedName>
    <definedName name="_xlnm.Print_Titles" localSheetId="4">レビュー指摘表!$19:$20</definedName>
    <definedName name="_xlnm.Print_Titles" localSheetId="6">'レビュー状況管理表（チームレビュー）'!$18:$20</definedName>
    <definedName name="_xlnm.Print_Titles" localSheetId="7">'レビュー状況管理表（プロジェクトレビュー）'!$18:$20</definedName>
    <definedName name="_xlnm.Print_Titles" localSheetId="8">'レビュー状況管理表（顧客レビュー）'!$18:$20</definedName>
    <definedName name="_xlnm.Print_Titles" localSheetId="5">'レビュー状況管理表（統一）'!$21:$23</definedName>
    <definedName name="_xlnm.Print_Titles" localSheetId="9">'設計書指摘分析図（サマリ）'!$1:$9</definedName>
    <definedName name="_xlnm.Print_Titles" localSheetId="12">'設計書指摘分析図（混入工程-指摘原因）'!$1:$9</definedName>
    <definedName name="_xlnm.Print_Titles" localSheetId="11">'設計書指摘分析図（指摘現象-混入工程）'!$1:$9</definedName>
    <definedName name="_xlnm.Print_Titles" localSheetId="10">'設計書指摘分析図（指摘現象-指摘原因）'!$1:$9</definedName>
    <definedName name="_xlnm.Print_Titles" localSheetId="22">'品質管理（分析サマリ）'!$1:$9</definedName>
    <definedName name="_xlnm.Print_Titles" localSheetId="2">'品質基準管理票（定性的観点）'!$11:$12</definedName>
    <definedName name="_xlnm.Print_Titles" localSheetId="1">'品質基準管理票（定量的観点）'!$11:$12</definedName>
    <definedName name="_xlnm.Print_Titles" localSheetId="14">不具合管理!$4:$6</definedName>
    <definedName name="エラー原因" localSheetId="19">[4]分類区分内詳細項目!$G$7:$G$14</definedName>
    <definedName name="エラー原因" localSheetId="17">[5]分類区分内詳細項目!$G$7:$G$14</definedName>
    <definedName name="エラー原因" localSheetId="20">[4]分類区分内詳細項目!$G$7:$G$14</definedName>
    <definedName name="エラー原因" localSheetId="15">[6]分類区分内詳細項目!$G$7:$G$14</definedName>
    <definedName name="エラー原因" localSheetId="9">[7]分類区分内詳細項目!$G$7:$G$14</definedName>
    <definedName name="エラー原因" localSheetId="10">[8]分類区分内詳細項目!$G$7:$G$14</definedName>
    <definedName name="エラー原因" localSheetId="14">[9]分類区分内詳細項目!$G$7:$G$14</definedName>
    <definedName name="エラー原因" localSheetId="0">[10]分類区分内詳細項目!$G$7:$G$14</definedName>
    <definedName name="エラー原因">[11]分類区分内詳細項目!$G$7:$G$14</definedName>
    <definedName name="エラー現象" localSheetId="19">[4]分類区分内詳細項目!$C$7:$C$14</definedName>
    <definedName name="エラー現象" localSheetId="17">[5]分類区分内詳細項目!$C$7:$C$14</definedName>
    <definedName name="エラー現象" localSheetId="20">[4]分類区分内詳細項目!$C$7:$C$14</definedName>
    <definedName name="エラー現象" localSheetId="15">[6]分類区分内詳細項目!$C$7:$C$14</definedName>
    <definedName name="エラー現象" localSheetId="9">[7]分類区分内詳細項目!$C$7:$C$14</definedName>
    <definedName name="エラー現象" localSheetId="10">[8]分類区分内詳細項目!$C$7:$C$14</definedName>
    <definedName name="エラー現象" localSheetId="14">[9]分類区分内詳細項目!$C$7:$C$14</definedName>
    <definedName name="エラー現象" localSheetId="0">[10]分類区分内詳細項目!$C$7:$C$14</definedName>
    <definedName name="エラー現象">[11]分類区分内詳細項目!$C$7:$C$14</definedName>
    <definedName name="エラ原因">[12]分類区分内詳細項目!$G$7:$G$14</definedName>
    <definedName name="えら現象">[12]分類区分内詳細項目!$C$7:$C$14</definedName>
    <definedName name="工程" localSheetId="19">[4]分類区分内詳細項目!$L$7:$L$8</definedName>
    <definedName name="工程" localSheetId="17">[5]分類区分内詳細項目!$L$7:$L$8</definedName>
    <definedName name="工程" localSheetId="20">[4]分類区分内詳細項目!$L$7:$L$8</definedName>
    <definedName name="工程" localSheetId="15">[6]分類区分内詳細項目!$L$7:$L$8</definedName>
    <definedName name="工程" localSheetId="9">[7]分類区分内詳細項目!$L$7:$L$8</definedName>
    <definedName name="工程" localSheetId="10">[8]分類区分内詳細項目!$L$7:$L$8</definedName>
    <definedName name="工程" localSheetId="14">[9]分類区分内詳細項目!$L$7:$L$8</definedName>
    <definedName name="工程" localSheetId="0">[10]分類区分内詳細項目!$L$7:$L$8</definedName>
    <definedName name="工程">[11]分類区分内詳細項目!$L$7:$L$8</definedName>
    <definedName name="重要度" localSheetId="19">[4]分類区分内詳細項目!$E$7:$E$9</definedName>
    <definedName name="重要度" localSheetId="17">[5]分類区分内詳細項目!$E$7:$E$9</definedName>
    <definedName name="重要度" localSheetId="20">[4]分類区分内詳細項目!$E$7:$E$9</definedName>
    <definedName name="重要度" localSheetId="15">[6]分類区分内詳細項目!$E$7:$E$9</definedName>
    <definedName name="重要度" localSheetId="9">[7]分類区分内詳細項目!$E$7:$E$9</definedName>
    <definedName name="重要度" localSheetId="10">[8]分類区分内詳細項目!$E$7:$E$9</definedName>
    <definedName name="重要度" localSheetId="14">[9]分類区分内詳細項目!$E$7:$E$9</definedName>
    <definedName name="重要度" localSheetId="0">[10]分類区分内詳細項目!$E$7:$E$9</definedName>
    <definedName name="重要度">[11]分類区分内詳細項目!$E$7:$E$9</definedName>
    <definedName name="成果物" localSheetId="19">[4]分類区分内詳細項目!$J$7:$J$14</definedName>
    <definedName name="成果物" localSheetId="17">[5]分類区分内詳細項目!$J$7:$J$14</definedName>
    <definedName name="成果物" localSheetId="20">[4]分類区分内詳細項目!$J$7:$J$14</definedName>
    <definedName name="成果物" localSheetId="15">[6]分類区分内詳細項目!$J$7:$J$14</definedName>
    <definedName name="成果物" localSheetId="9">[7]分類区分内詳細項目!$J$7:$J$14</definedName>
    <definedName name="成果物" localSheetId="10">[8]分類区分内詳細項目!$J$7:$J$14</definedName>
    <definedName name="成果物" localSheetId="14">[9]分類区分内詳細項目!$J$7:$J$14</definedName>
    <definedName name="成果物" localSheetId="0">[10]分類区分内詳細項目!$J$7:$J$14</definedName>
    <definedName name="成果物">[11]分類区分内詳細項目!$J$7:$J$14</definedName>
    <definedName name="発生種別" localSheetId="19">[4]分類区分内詳細項目!$A$7:$A$9</definedName>
    <definedName name="発生種別" localSheetId="17">[5]分類区分内詳細項目!$A$7:$A$9</definedName>
    <definedName name="発生種別" localSheetId="20">[4]分類区分内詳細項目!$A$7:$A$9</definedName>
    <definedName name="発生種別" localSheetId="15">[6]分類区分内詳細項目!$A$7:$A$9</definedName>
    <definedName name="発生種別" localSheetId="9">[7]分類区分内詳細項目!$A$7:$A$9</definedName>
    <definedName name="発生種別" localSheetId="10">[8]分類区分内詳細項目!$A$7:$A$9</definedName>
    <definedName name="発生種別" localSheetId="14">[9]分類区分内詳細項目!$A$7:$A$9</definedName>
    <definedName name="発生種別" localSheetId="0">[10]分類区分内詳細項目!$A$7:$A$9</definedName>
    <definedName name="発生種別">[11]分類区分内詳細項目!$A$7:$A$9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6" i="30" l="1"/>
  <c r="A27" i="30" s="1"/>
  <c r="A28" i="30" s="1"/>
  <c r="A29" i="30" s="1"/>
  <c r="A30" i="30" s="1"/>
  <c r="A31" i="30" s="1"/>
  <c r="A32" i="30" s="1"/>
  <c r="A34" i="30" l="1"/>
  <c r="A35" i="30" s="1"/>
  <c r="A36" i="30" s="1"/>
  <c r="AJ53" i="50" l="1"/>
  <c r="AI53" i="50"/>
  <c r="AH53" i="50"/>
  <c r="AG53" i="50"/>
  <c r="AF53" i="50"/>
  <c r="AE53" i="50"/>
  <c r="AD53" i="50"/>
  <c r="AC53" i="50"/>
  <c r="AB53" i="50"/>
  <c r="AA53" i="50"/>
  <c r="Z53" i="50"/>
  <c r="Y53" i="50"/>
  <c r="X53" i="50"/>
  <c r="W53" i="50"/>
  <c r="V53" i="50"/>
  <c r="U53" i="50"/>
  <c r="T53" i="50"/>
  <c r="S53" i="50"/>
  <c r="F53" i="50"/>
  <c r="G53" i="50" s="1"/>
  <c r="H53" i="50" s="1"/>
  <c r="I53" i="50" s="1"/>
  <c r="J53" i="50" s="1"/>
  <c r="K53" i="50" s="1"/>
  <c r="L53" i="50" s="1"/>
  <c r="M53" i="50" s="1"/>
  <c r="N53" i="50" s="1"/>
  <c r="O53" i="50" s="1"/>
  <c r="P53" i="50" s="1"/>
  <c r="Q53" i="50" s="1"/>
  <c r="R53" i="50" s="1"/>
  <c r="AJ51" i="50"/>
  <c r="AI51" i="50"/>
  <c r="AH51" i="50"/>
  <c r="AG51" i="50"/>
  <c r="AF51" i="50"/>
  <c r="AE51" i="50"/>
  <c r="AD51" i="50"/>
  <c r="AC51" i="50"/>
  <c r="AB51" i="50"/>
  <c r="AA51" i="50"/>
  <c r="Z51" i="50"/>
  <c r="Y51" i="50"/>
  <c r="X51" i="50"/>
  <c r="W51" i="50"/>
  <c r="V51" i="50"/>
  <c r="U51" i="50"/>
  <c r="T51" i="50"/>
  <c r="S51" i="50"/>
  <c r="F51" i="50"/>
  <c r="AJ49" i="50"/>
  <c r="AI49" i="50"/>
  <c r="AH49" i="50"/>
  <c r="AG49" i="50"/>
  <c r="AF49" i="50"/>
  <c r="AE49" i="50"/>
  <c r="AD49" i="50"/>
  <c r="AC49" i="50"/>
  <c r="AB49" i="50"/>
  <c r="AA49" i="50"/>
  <c r="Z49" i="50"/>
  <c r="Y49" i="50"/>
  <c r="X49" i="50"/>
  <c r="W49" i="50"/>
  <c r="V49" i="50"/>
  <c r="U49" i="50"/>
  <c r="T49" i="50"/>
  <c r="S49" i="50"/>
  <c r="F49" i="50"/>
  <c r="G49" i="50" s="1"/>
  <c r="H49" i="50" s="1"/>
  <c r="I49" i="50" s="1"/>
  <c r="J49" i="50" s="1"/>
  <c r="K49" i="50" s="1"/>
  <c r="L49" i="50" s="1"/>
  <c r="M49" i="50" s="1"/>
  <c r="N49" i="50" s="1"/>
  <c r="O49" i="50" s="1"/>
  <c r="P49" i="50" s="1"/>
  <c r="Q49" i="50" s="1"/>
  <c r="R49" i="50" s="1"/>
  <c r="F47" i="50"/>
  <c r="G47" i="50" s="1"/>
  <c r="H47" i="50" s="1"/>
  <c r="I47" i="50" s="1"/>
  <c r="J47" i="50" s="1"/>
  <c r="K47" i="50" s="1"/>
  <c r="L47" i="50" s="1"/>
  <c r="M47" i="50" s="1"/>
  <c r="N47" i="50" s="1"/>
  <c r="O47" i="50" s="1"/>
  <c r="P47" i="50" s="1"/>
  <c r="Q47" i="50" s="1"/>
  <c r="R47" i="50" s="1"/>
  <c r="S47" i="50" s="1"/>
  <c r="T47" i="50" s="1"/>
  <c r="U47" i="50" s="1"/>
  <c r="V47" i="50" s="1"/>
  <c r="W47" i="50" s="1"/>
  <c r="X47" i="50" s="1"/>
  <c r="Y47" i="50" s="1"/>
  <c r="Z47" i="50" s="1"/>
  <c r="AA47" i="50" s="1"/>
  <c r="AB47" i="50" s="1"/>
  <c r="AC47" i="50" s="1"/>
  <c r="AD47" i="50" s="1"/>
  <c r="AE47" i="50" s="1"/>
  <c r="AF47" i="50" s="1"/>
  <c r="AG47" i="50" s="1"/>
  <c r="AH47" i="50" s="1"/>
  <c r="AI47" i="50" s="1"/>
  <c r="AJ47" i="50" s="1"/>
  <c r="AE14" i="23"/>
  <c r="Y17" i="23"/>
  <c r="AE17" i="23"/>
  <c r="O20" i="48"/>
  <c r="F29" i="48"/>
  <c r="G29" i="48"/>
  <c r="H29" i="48"/>
  <c r="I29" i="48"/>
  <c r="J29" i="48"/>
  <c r="K29" i="48"/>
  <c r="O21" i="48"/>
  <c r="O22" i="48"/>
  <c r="O23" i="48"/>
  <c r="O24" i="48"/>
  <c r="O25" i="48"/>
  <c r="O26" i="48"/>
  <c r="O27" i="48"/>
  <c r="O28" i="48"/>
  <c r="L29" i="48"/>
  <c r="L30" i="48" s="1"/>
  <c r="M29" i="48"/>
  <c r="M30" i="48" s="1"/>
  <c r="N29" i="48"/>
  <c r="N30" i="48" s="1"/>
  <c r="I21" i="44"/>
  <c r="I22" i="44"/>
  <c r="I23" i="44"/>
  <c r="I24" i="44"/>
  <c r="I25" i="44"/>
  <c r="I26" i="44"/>
  <c r="I27" i="44"/>
  <c r="I28" i="44"/>
  <c r="I29" i="44"/>
  <c r="I30" i="44"/>
  <c r="I31" i="44"/>
  <c r="I32" i="44"/>
  <c r="I33" i="44"/>
  <c r="I34" i="44"/>
  <c r="I35" i="44"/>
  <c r="I36" i="44"/>
  <c r="F37" i="44"/>
  <c r="G37" i="44"/>
  <c r="H37" i="44"/>
  <c r="L20" i="43"/>
  <c r="L21" i="43"/>
  <c r="L22" i="43"/>
  <c r="F23" i="43"/>
  <c r="G23" i="43"/>
  <c r="H23" i="43"/>
  <c r="I23" i="43"/>
  <c r="J23" i="43"/>
  <c r="K23" i="43"/>
  <c r="Z27" i="35"/>
  <c r="AQ27" i="35"/>
  <c r="Z29" i="35"/>
  <c r="AQ29" i="35"/>
  <c r="Z31" i="35"/>
  <c r="AQ31" i="35"/>
  <c r="Z33" i="35"/>
  <c r="AQ33" i="35"/>
  <c r="Z35" i="35"/>
  <c r="AQ35" i="35"/>
  <c r="Z37" i="35"/>
  <c r="AQ37" i="35"/>
  <c r="Z39" i="35"/>
  <c r="AQ39" i="35"/>
  <c r="Z41" i="35"/>
  <c r="AQ41" i="35"/>
  <c r="Z43" i="35"/>
  <c r="AQ43" i="35"/>
  <c r="Z21" i="34"/>
  <c r="AO21" i="34"/>
  <c r="Z23" i="34"/>
  <c r="AO23" i="34"/>
  <c r="Z25" i="34"/>
  <c r="AO25" i="34"/>
  <c r="Z27" i="34"/>
  <c r="AO27" i="34"/>
  <c r="Z29" i="34"/>
  <c r="AO29" i="34"/>
  <c r="Z31" i="34"/>
  <c r="AO31" i="34"/>
  <c r="Z33" i="34"/>
  <c r="AO33" i="34"/>
  <c r="Z35" i="34"/>
  <c r="AO35" i="34"/>
  <c r="Z37" i="34"/>
  <c r="AO37" i="34"/>
  <c r="Z39" i="34"/>
  <c r="AO39" i="34"/>
  <c r="Z21" i="33"/>
  <c r="AO21" i="33"/>
  <c r="Z23" i="33"/>
  <c r="AO23" i="33"/>
  <c r="Z25" i="33"/>
  <c r="AO25" i="33"/>
  <c r="Z27" i="33"/>
  <c r="AO27" i="33"/>
  <c r="Z29" i="33"/>
  <c r="AO29" i="33"/>
  <c r="Z31" i="33"/>
  <c r="AO31" i="33"/>
  <c r="Z33" i="33"/>
  <c r="AO33" i="33"/>
  <c r="Z35" i="33"/>
  <c r="AO35" i="33"/>
  <c r="Z37" i="33"/>
  <c r="AO37" i="33"/>
  <c r="Z39" i="33"/>
  <c r="AO39" i="33"/>
  <c r="Z21" i="32"/>
  <c r="AO21" i="32"/>
  <c r="Z23" i="32"/>
  <c r="AO23" i="32"/>
  <c r="Z25" i="32"/>
  <c r="AO25" i="32"/>
  <c r="Z27" i="32"/>
  <c r="AO27" i="32"/>
  <c r="Z29" i="32"/>
  <c r="AO29" i="32"/>
  <c r="Z31" i="32"/>
  <c r="AO31" i="32"/>
  <c r="Z33" i="32"/>
  <c r="AO33" i="32"/>
  <c r="Z35" i="32"/>
  <c r="AO35" i="32"/>
  <c r="Z37" i="32"/>
  <c r="AO37" i="32"/>
  <c r="Z39" i="32"/>
  <c r="AO39" i="32"/>
  <c r="S24" i="31"/>
  <c r="AD24" i="31"/>
  <c r="AO24" i="31"/>
  <c r="AZ24" i="31"/>
  <c r="BK24" i="31"/>
  <c r="BV24" i="31"/>
  <c r="S26" i="31"/>
  <c r="AD26" i="31"/>
  <c r="AO26" i="31"/>
  <c r="AZ26" i="31"/>
  <c r="BK26" i="31"/>
  <c r="BV26" i="31"/>
  <c r="S28" i="31"/>
  <c r="AD28" i="31"/>
  <c r="AO28" i="31"/>
  <c r="AZ28" i="31"/>
  <c r="BK28" i="31"/>
  <c r="BV28" i="31"/>
  <c r="S30" i="31"/>
  <c r="AD30" i="31"/>
  <c r="AO30" i="31"/>
  <c r="AZ30" i="31"/>
  <c r="BK30" i="31"/>
  <c r="BV30" i="31"/>
  <c r="S32" i="31"/>
  <c r="AD32" i="31"/>
  <c r="AO32" i="31"/>
  <c r="AZ32" i="31"/>
  <c r="BK32" i="31"/>
  <c r="BV32" i="31"/>
  <c r="S34" i="31"/>
  <c r="AD34" i="31"/>
  <c r="AO34" i="31"/>
  <c r="AZ34" i="31"/>
  <c r="BK34" i="31"/>
  <c r="BV34" i="31"/>
  <c r="S36" i="31"/>
  <c r="AD36" i="31"/>
  <c r="AO36" i="31"/>
  <c r="AZ36" i="31"/>
  <c r="BK36" i="31"/>
  <c r="BV36" i="31"/>
  <c r="S38" i="31"/>
  <c r="AD38" i="31"/>
  <c r="AO38" i="31"/>
  <c r="AZ38" i="31"/>
  <c r="BK38" i="31"/>
  <c r="BV38" i="31"/>
  <c r="S40" i="31"/>
  <c r="AD40" i="31"/>
  <c r="AO40" i="31"/>
  <c r="AZ40" i="31"/>
  <c r="BK40" i="31"/>
  <c r="BV40" i="31"/>
  <c r="S42" i="31"/>
  <c r="AD42" i="31"/>
  <c r="AO42" i="31"/>
  <c r="AZ42" i="31"/>
  <c r="BK42" i="31"/>
  <c r="BV42" i="31"/>
  <c r="CE16" i="30"/>
  <c r="N20" i="12"/>
  <c r="N21" i="12"/>
  <c r="N22" i="12"/>
  <c r="N23" i="12"/>
  <c r="N24" i="12"/>
  <c r="N25" i="12"/>
  <c r="N26" i="12"/>
  <c r="N27" i="12"/>
  <c r="N28" i="12"/>
  <c r="E29" i="12"/>
  <c r="F29" i="12"/>
  <c r="G29" i="12"/>
  <c r="H29" i="12"/>
  <c r="I29" i="12"/>
  <c r="J29" i="12"/>
  <c r="K29" i="12"/>
  <c r="L29" i="12"/>
  <c r="M29" i="12"/>
  <c r="N20" i="13"/>
  <c r="N21" i="13"/>
  <c r="N22" i="13"/>
  <c r="N23" i="13"/>
  <c r="N24" i="13"/>
  <c r="N25" i="13"/>
  <c r="N26" i="13"/>
  <c r="N27" i="13"/>
  <c r="E28" i="13"/>
  <c r="F28" i="13"/>
  <c r="G28" i="13"/>
  <c r="H28" i="13"/>
  <c r="I28" i="13"/>
  <c r="J28" i="13"/>
  <c r="K28" i="13"/>
  <c r="L28" i="13"/>
  <c r="M28" i="13"/>
  <c r="M20" i="14"/>
  <c r="M21" i="14"/>
  <c r="M22" i="14"/>
  <c r="M23" i="14"/>
  <c r="M24" i="14"/>
  <c r="M25" i="14"/>
  <c r="M26" i="14"/>
  <c r="M27" i="14"/>
  <c r="M28" i="14"/>
  <c r="E29" i="14"/>
  <c r="F29" i="14"/>
  <c r="G29" i="14"/>
  <c r="H29" i="14"/>
  <c r="I29" i="14"/>
  <c r="J29" i="14"/>
  <c r="K29" i="14"/>
  <c r="L29" i="14"/>
  <c r="L21" i="20"/>
  <c r="L22" i="20"/>
  <c r="L23" i="20"/>
  <c r="L24" i="20"/>
  <c r="L25" i="20"/>
  <c r="L26" i="20"/>
  <c r="L27" i="20"/>
  <c r="L28" i="20"/>
  <c r="L29" i="20"/>
  <c r="L30" i="20"/>
  <c r="L31" i="20"/>
  <c r="L32" i="20"/>
  <c r="L33" i="20"/>
  <c r="L34" i="20"/>
  <c r="L35" i="20"/>
  <c r="L36" i="20"/>
  <c r="F37" i="20"/>
  <c r="G37" i="20"/>
  <c r="H37" i="20"/>
  <c r="I37" i="20"/>
  <c r="J37" i="20"/>
  <c r="K37" i="20"/>
  <c r="H14" i="23"/>
  <c r="N14" i="23"/>
  <c r="Y14" i="23"/>
  <c r="H15" i="23"/>
  <c r="N15" i="23"/>
  <c r="Y15" i="23"/>
  <c r="AE15" i="23"/>
  <c r="H16" i="23"/>
  <c r="N16" i="23"/>
  <c r="Y16" i="23"/>
  <c r="AE16" i="23"/>
  <c r="H17" i="23"/>
  <c r="N17" i="23"/>
  <c r="H18" i="23"/>
  <c r="N18" i="23"/>
  <c r="H19" i="23"/>
  <c r="N19" i="23"/>
  <c r="H20" i="23"/>
  <c r="N20" i="23"/>
  <c r="K24" i="23"/>
  <c r="AA24" i="23"/>
  <c r="K25" i="23"/>
  <c r="AA25" i="23"/>
  <c r="K26" i="23"/>
  <c r="AA26" i="23"/>
  <c r="K27" i="23"/>
  <c r="AA27" i="23"/>
  <c r="K28" i="23"/>
  <c r="AA28" i="23"/>
  <c r="K29" i="23"/>
  <c r="AA29" i="23"/>
  <c r="K30" i="23"/>
  <c r="U30" i="23"/>
  <c r="W30" i="23"/>
  <c r="Y30" i="23"/>
  <c r="K31" i="23"/>
  <c r="K32" i="23"/>
  <c r="D33" i="23"/>
  <c r="E33" i="23"/>
  <c r="F33" i="23"/>
  <c r="G33" i="23"/>
  <c r="H33" i="23"/>
  <c r="I33" i="23"/>
  <c r="J33" i="23"/>
  <c r="K37" i="23"/>
  <c r="AA37" i="23"/>
  <c r="K38" i="23"/>
  <c r="AA38" i="23"/>
  <c r="K39" i="23"/>
  <c r="AA39" i="23"/>
  <c r="K40" i="23"/>
  <c r="AA40" i="23"/>
  <c r="K41" i="23"/>
  <c r="AA41" i="23"/>
  <c r="K42" i="23"/>
  <c r="AA42" i="23"/>
  <c r="K43" i="23"/>
  <c r="U43" i="23"/>
  <c r="W43" i="23"/>
  <c r="Y43" i="23"/>
  <c r="K44" i="23"/>
  <c r="K45" i="23"/>
  <c r="D46" i="23"/>
  <c r="E46" i="23"/>
  <c r="F46" i="23"/>
  <c r="G46" i="23"/>
  <c r="H46" i="23"/>
  <c r="I46" i="23"/>
  <c r="J46" i="23"/>
  <c r="F54" i="50" l="1"/>
  <c r="Z54" i="50"/>
  <c r="AD54" i="50"/>
  <c r="AH54" i="50"/>
  <c r="S54" i="50"/>
  <c r="W54" i="50"/>
  <c r="AA54" i="50"/>
  <c r="AI54" i="50"/>
  <c r="X54" i="50"/>
  <c r="AB54" i="50"/>
  <c r="AF54" i="50"/>
  <c r="AJ54" i="50"/>
  <c r="Y54" i="50"/>
  <c r="AC54" i="50"/>
  <c r="V54" i="50"/>
  <c r="AA30" i="23"/>
  <c r="I37" i="44"/>
  <c r="J35" i="44" s="1"/>
  <c r="G51" i="50"/>
  <c r="N29" i="12"/>
  <c r="N30" i="12" s="1"/>
  <c r="L23" i="43"/>
  <c r="L24" i="43" s="1"/>
  <c r="T54" i="50"/>
  <c r="AG54" i="50"/>
  <c r="J33" i="44"/>
  <c r="J23" i="44"/>
  <c r="F38" i="44"/>
  <c r="M29" i="14"/>
  <c r="N23" i="14" s="1"/>
  <c r="K46" i="23"/>
  <c r="AA43" i="23"/>
  <c r="L37" i="20"/>
  <c r="M34" i="20" s="1"/>
  <c r="J31" i="44"/>
  <c r="O29" i="48"/>
  <c r="P22" i="48" s="1"/>
  <c r="N28" i="13"/>
  <c r="O22" i="13" s="1"/>
  <c r="M22" i="20"/>
  <c r="K33" i="23"/>
  <c r="I30" i="48"/>
  <c r="U54" i="50"/>
  <c r="AE54" i="50"/>
  <c r="J24" i="43" l="1"/>
  <c r="M21" i="43"/>
  <c r="G29" i="13"/>
  <c r="M35" i="20"/>
  <c r="H38" i="20"/>
  <c r="G38" i="20"/>
  <c r="N22" i="14"/>
  <c r="M22" i="43"/>
  <c r="M27" i="20"/>
  <c r="J38" i="20"/>
  <c r="K30" i="14"/>
  <c r="G24" i="43"/>
  <c r="H38" i="44"/>
  <c r="J21" i="44"/>
  <c r="O22" i="12"/>
  <c r="J24" i="44"/>
  <c r="I38" i="44"/>
  <c r="L30" i="12"/>
  <c r="J29" i="44"/>
  <c r="I30" i="12"/>
  <c r="J32" i="44"/>
  <c r="O27" i="12"/>
  <c r="J34" i="44"/>
  <c r="J25" i="44"/>
  <c r="O20" i="12"/>
  <c r="J22" i="44"/>
  <c r="J36" i="44"/>
  <c r="J37" i="44"/>
  <c r="O23" i="12"/>
  <c r="J27" i="44"/>
  <c r="J30" i="44"/>
  <c r="J26" i="44"/>
  <c r="M23" i="20"/>
  <c r="M30" i="12"/>
  <c r="J28" i="44"/>
  <c r="G38" i="44"/>
  <c r="F29" i="13"/>
  <c r="K30" i="12"/>
  <c r="F30" i="12"/>
  <c r="O20" i="13"/>
  <c r="H24" i="43"/>
  <c r="F24" i="43"/>
  <c r="H30" i="12"/>
  <c r="O21" i="12"/>
  <c r="O28" i="12"/>
  <c r="G30" i="12"/>
  <c r="H51" i="50"/>
  <c r="G54" i="50"/>
  <c r="O23" i="13"/>
  <c r="O24" i="12"/>
  <c r="J30" i="12"/>
  <c r="O25" i="12"/>
  <c r="O29" i="12"/>
  <c r="I24" i="43"/>
  <c r="M20" i="43"/>
  <c r="G30" i="14"/>
  <c r="M23" i="43"/>
  <c r="K24" i="43"/>
  <c r="O26" i="12"/>
  <c r="E30" i="12"/>
  <c r="O28" i="13"/>
  <c r="E29" i="13"/>
  <c r="I29" i="13"/>
  <c r="H29" i="13"/>
  <c r="O25" i="13"/>
  <c r="L29" i="13"/>
  <c r="O26" i="13"/>
  <c r="N29" i="13"/>
  <c r="K29" i="13"/>
  <c r="M29" i="13"/>
  <c r="P23" i="48"/>
  <c r="K30" i="48"/>
  <c r="P24" i="48"/>
  <c r="J30" i="48"/>
  <c r="H30" i="48"/>
  <c r="O30" i="48"/>
  <c r="P20" i="48"/>
  <c r="P27" i="48"/>
  <c r="P21" i="48"/>
  <c r="P26" i="48"/>
  <c r="P28" i="48"/>
  <c r="G30" i="48"/>
  <c r="P29" i="48"/>
  <c r="O27" i="13"/>
  <c r="O24" i="13"/>
  <c r="F30" i="48"/>
  <c r="M24" i="20"/>
  <c r="M37" i="20"/>
  <c r="M32" i="20"/>
  <c r="M21" i="20"/>
  <c r="M29" i="20"/>
  <c r="M28" i="20"/>
  <c r="I38" i="20"/>
  <c r="K38" i="20"/>
  <c r="M26" i="20"/>
  <c r="M33" i="20"/>
  <c r="F38" i="20"/>
  <c r="M25" i="20"/>
  <c r="L38" i="20"/>
  <c r="M36" i="20"/>
  <c r="M30" i="20"/>
  <c r="N20" i="14"/>
  <c r="N28" i="14"/>
  <c r="H30" i="14"/>
  <c r="N29" i="14"/>
  <c r="I30" i="14"/>
  <c r="E30" i="14"/>
  <c r="L30" i="14"/>
  <c r="N24" i="14"/>
  <c r="N21" i="14"/>
  <c r="F30" i="14"/>
  <c r="N27" i="14"/>
  <c r="N26" i="14"/>
  <c r="N25" i="14"/>
  <c r="M30" i="14"/>
  <c r="J30" i="14"/>
  <c r="M31" i="20"/>
  <c r="O21" i="13"/>
  <c r="P25" i="48"/>
  <c r="J29" i="13"/>
  <c r="H54" i="50" l="1"/>
  <c r="I51" i="50"/>
  <c r="J51" i="50" l="1"/>
  <c r="I54" i="50"/>
  <c r="J54" i="50" l="1"/>
  <c r="K51" i="50"/>
  <c r="L51" i="50" l="1"/>
  <c r="K54" i="50"/>
  <c r="M51" i="50" l="1"/>
  <c r="L54" i="50"/>
  <c r="N51" i="50" l="1"/>
  <c r="M54" i="50"/>
  <c r="N54" i="50" l="1"/>
  <c r="O51" i="50"/>
  <c r="O54" i="50" l="1"/>
  <c r="P51" i="50"/>
  <c r="P54" i="50" l="1"/>
  <c r="Q51" i="50"/>
  <c r="R51" i="50" l="1"/>
  <c r="R54" i="50" s="1"/>
  <c r="Q54" i="5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品質開発部</author>
    <author>t501368</author>
  </authors>
  <commentList>
    <comment ref="A1" authorId="0" shapeId="0" xr:uid="{00000000-0006-0000-0900-000001000000}">
      <text>
        <r>
          <rPr>
            <b/>
            <sz val="9"/>
            <color indexed="81"/>
            <rFont val="ＭＳ Ｐゴシック"/>
            <family val="3"/>
            <charset val="128"/>
          </rPr>
          <t>#QualityStandardForm</t>
        </r>
      </text>
    </comment>
    <comment ref="A8" authorId="0" shapeId="0" xr:uid="{00000000-0006-0000-0900-000002000000}">
      <text>
        <r>
          <rPr>
            <b/>
            <sz val="9"/>
            <color indexed="81"/>
            <rFont val="ＭＳ Ｐゴシック"/>
            <family val="3"/>
            <charset val="128"/>
          </rPr>
          <t>down_TaskName</t>
        </r>
      </text>
    </comment>
    <comment ref="O8" authorId="0" shapeId="0" xr:uid="{00000000-0006-0000-0900-000003000000}">
      <text>
        <r>
          <rPr>
            <b/>
            <sz val="9"/>
            <color indexed="81"/>
            <rFont val="ＭＳ Ｐゴシック"/>
            <family val="3"/>
            <charset val="128"/>
          </rPr>
          <t>down_ReferenceNumber</t>
        </r>
      </text>
    </comment>
    <comment ref="V8" authorId="1" shapeId="0" xr:uid="{00000000-0006-0000-0900-000004000000}">
      <text>
        <r>
          <rPr>
            <b/>
            <sz val="9"/>
            <color indexed="81"/>
            <rFont val="ＭＳ Ｐゴシック"/>
            <family val="3"/>
            <charset val="128"/>
          </rPr>
          <t>right_today</t>
        </r>
      </text>
    </comment>
    <comment ref="V9" authorId="1" shapeId="0" xr:uid="{00000000-0006-0000-0900-000005000000}">
      <text>
        <r>
          <rPr>
            <b/>
            <sz val="9"/>
            <color indexed="81"/>
            <rFont val="ＭＳ Ｐゴシック"/>
            <family val="3"/>
            <charset val="128"/>
          </rPr>
          <t>right_userID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品質開発部</author>
    <author>t501368</author>
  </authors>
  <commentList>
    <comment ref="A1" authorId="0" shapeId="0" xr:uid="{00000000-0006-0000-0A00-000001000000}">
      <text>
        <r>
          <rPr>
            <b/>
            <sz val="9"/>
            <color indexed="81"/>
            <rFont val="ＭＳ Ｐゴシック"/>
            <family val="3"/>
            <charset val="128"/>
          </rPr>
          <t>#QualityStandardForm</t>
        </r>
      </text>
    </comment>
    <comment ref="A8" authorId="0" shapeId="0" xr:uid="{00000000-0006-0000-0A00-000002000000}">
      <text>
        <r>
          <rPr>
            <b/>
            <sz val="9"/>
            <color indexed="81"/>
            <rFont val="ＭＳ Ｐゴシック"/>
            <family val="3"/>
            <charset val="128"/>
          </rPr>
          <t>down_TaskName</t>
        </r>
      </text>
    </comment>
    <comment ref="O8" authorId="0" shapeId="0" xr:uid="{00000000-0006-0000-0A00-000003000000}">
      <text>
        <r>
          <rPr>
            <b/>
            <sz val="9"/>
            <color indexed="81"/>
            <rFont val="ＭＳ Ｐゴシック"/>
            <family val="3"/>
            <charset val="128"/>
          </rPr>
          <t>down_ReferenceNumber</t>
        </r>
      </text>
    </comment>
    <comment ref="V8" authorId="1" shapeId="0" xr:uid="{00000000-0006-0000-0A00-000004000000}">
      <text>
        <r>
          <rPr>
            <b/>
            <sz val="9"/>
            <color indexed="81"/>
            <rFont val="ＭＳ Ｐゴシック"/>
            <family val="3"/>
            <charset val="128"/>
          </rPr>
          <t>right_today</t>
        </r>
      </text>
    </comment>
    <comment ref="V9" authorId="1" shapeId="0" xr:uid="{00000000-0006-0000-0A00-000005000000}">
      <text>
        <r>
          <rPr>
            <b/>
            <sz val="9"/>
            <color indexed="81"/>
            <rFont val="ＭＳ Ｐゴシック"/>
            <family val="3"/>
            <charset val="128"/>
          </rPr>
          <t>right_userID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品質開発部</author>
    <author>t501368</author>
  </authors>
  <commentList>
    <comment ref="A1" authorId="0" shapeId="0" xr:uid="{00000000-0006-0000-0B00-000001000000}">
      <text>
        <r>
          <rPr>
            <b/>
            <sz val="9"/>
            <color indexed="81"/>
            <rFont val="ＭＳ Ｐゴシック"/>
            <family val="3"/>
            <charset val="128"/>
          </rPr>
          <t>#QualityStandardForm</t>
        </r>
      </text>
    </comment>
    <comment ref="A8" authorId="0" shapeId="0" xr:uid="{00000000-0006-0000-0B00-000002000000}">
      <text>
        <r>
          <rPr>
            <b/>
            <sz val="9"/>
            <color indexed="81"/>
            <rFont val="ＭＳ Ｐゴシック"/>
            <family val="3"/>
            <charset val="128"/>
          </rPr>
          <t>down_TaskName</t>
        </r>
      </text>
    </comment>
    <comment ref="O8" authorId="0" shapeId="0" xr:uid="{00000000-0006-0000-0B00-000003000000}">
      <text>
        <r>
          <rPr>
            <b/>
            <sz val="9"/>
            <color indexed="81"/>
            <rFont val="ＭＳ Ｐゴシック"/>
            <family val="3"/>
            <charset val="128"/>
          </rPr>
          <t>down_ReferenceNumber</t>
        </r>
      </text>
    </comment>
    <comment ref="V8" authorId="1" shapeId="0" xr:uid="{00000000-0006-0000-0B00-000004000000}">
      <text>
        <r>
          <rPr>
            <b/>
            <sz val="9"/>
            <color indexed="81"/>
            <rFont val="ＭＳ Ｐゴシック"/>
            <family val="3"/>
            <charset val="128"/>
          </rPr>
          <t>right_today</t>
        </r>
      </text>
    </comment>
    <comment ref="V9" authorId="1" shapeId="0" xr:uid="{00000000-0006-0000-0B00-000005000000}">
      <text>
        <r>
          <rPr>
            <b/>
            <sz val="9"/>
            <color indexed="81"/>
            <rFont val="ＭＳ Ｐゴシック"/>
            <family val="3"/>
            <charset val="128"/>
          </rPr>
          <t>right_userID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品質開発部</author>
    <author>t501368</author>
  </authors>
  <commentList>
    <comment ref="A1" authorId="0" shapeId="0" xr:uid="{00000000-0006-0000-0C00-000001000000}">
      <text>
        <r>
          <rPr>
            <b/>
            <sz val="9"/>
            <color indexed="81"/>
            <rFont val="ＭＳ Ｐゴシック"/>
            <family val="3"/>
            <charset val="128"/>
          </rPr>
          <t>#QualityStandardForm</t>
        </r>
      </text>
    </comment>
    <comment ref="A8" authorId="0" shapeId="0" xr:uid="{00000000-0006-0000-0C00-000002000000}">
      <text>
        <r>
          <rPr>
            <b/>
            <sz val="9"/>
            <color indexed="81"/>
            <rFont val="ＭＳ Ｐゴシック"/>
            <family val="3"/>
            <charset val="128"/>
          </rPr>
          <t>down_TaskName</t>
        </r>
      </text>
    </comment>
    <comment ref="O8" authorId="0" shapeId="0" xr:uid="{00000000-0006-0000-0C00-000003000000}">
      <text>
        <r>
          <rPr>
            <b/>
            <sz val="9"/>
            <color indexed="81"/>
            <rFont val="ＭＳ Ｐゴシック"/>
            <family val="3"/>
            <charset val="128"/>
          </rPr>
          <t>down_ReferenceNumber</t>
        </r>
      </text>
    </comment>
    <comment ref="V8" authorId="1" shapeId="0" xr:uid="{00000000-0006-0000-0C00-000004000000}">
      <text>
        <r>
          <rPr>
            <b/>
            <sz val="9"/>
            <color indexed="81"/>
            <rFont val="ＭＳ Ｐゴシック"/>
            <family val="3"/>
            <charset val="128"/>
          </rPr>
          <t>right_today</t>
        </r>
      </text>
    </comment>
    <comment ref="V9" authorId="1" shapeId="0" xr:uid="{00000000-0006-0000-0C00-000005000000}">
      <text>
        <r>
          <rPr>
            <b/>
            <sz val="9"/>
            <color indexed="81"/>
            <rFont val="ＭＳ Ｐゴシック"/>
            <family val="3"/>
            <charset val="128"/>
          </rPr>
          <t>right_userID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品質開発部</author>
    <author xml:space="preserve"> </author>
    <author>t412590</author>
  </authors>
  <commentList>
    <comment ref="A10" authorId="0" shapeId="0" xr:uid="{00000000-0006-0000-0D00-000001000000}">
      <text>
        <r>
          <rPr>
            <b/>
            <sz val="9"/>
            <color indexed="81"/>
            <rFont val="ＭＳ Ｐゴシック"/>
            <family val="3"/>
            <charset val="128"/>
          </rPr>
          <t>#ScopeForm.Defect</t>
        </r>
      </text>
    </comment>
    <comment ref="F11" authorId="1" shapeId="0" xr:uid="{00000000-0006-0000-0D00-000002000000}">
      <text>
        <r>
          <rPr>
            <b/>
            <sz val="9"/>
            <color indexed="81"/>
            <rFont val="ＭＳ Ｐゴシック"/>
            <family val="3"/>
            <charset val="128"/>
          </rPr>
          <t>ReferenceNumber</t>
        </r>
      </text>
    </comment>
    <comment ref="F12" authorId="2" shapeId="0" xr:uid="{00000000-0006-0000-0D00-000003000000}">
      <text>
        <r>
          <rPr>
            <b/>
            <sz val="9"/>
            <color indexed="81"/>
            <rFont val="ＭＳ Ｐゴシック"/>
            <family val="3"/>
            <charset val="128"/>
          </rPr>
          <t>ProjectName</t>
        </r>
      </text>
    </comment>
    <comment ref="F15" authorId="2" shapeId="0" xr:uid="{00000000-0006-0000-0D00-000004000000}">
      <text>
        <r>
          <rPr>
            <b/>
            <sz val="9"/>
            <color indexed="81"/>
            <rFont val="ＭＳ Ｐゴシック"/>
            <family val="3"/>
            <charset val="128"/>
          </rPr>
          <t>CustomFieldText/発見者/会社名</t>
        </r>
      </text>
    </comment>
    <comment ref="J15" authorId="2" shapeId="0" xr:uid="{00000000-0006-0000-0D00-000005000000}">
      <text>
        <r>
          <rPr>
            <b/>
            <sz val="9"/>
            <color indexed="81"/>
            <rFont val="ＭＳ Ｐゴシック"/>
            <family val="3"/>
            <charset val="128"/>
          </rPr>
          <t>CustomFieldText/発見者/所属／チーム名</t>
        </r>
      </text>
    </comment>
    <comment ref="O15" authorId="2" shapeId="0" xr:uid="{00000000-0006-0000-0D00-000006000000}">
      <text>
        <r>
          <rPr>
            <b/>
            <sz val="9"/>
            <color indexed="81"/>
            <rFont val="ＭＳ Ｐゴシック"/>
            <family val="3"/>
            <charset val="128"/>
          </rPr>
          <t>CustomFieldText/発見者/発見者名</t>
        </r>
      </text>
    </comment>
    <comment ref="S15" authorId="2" shapeId="0" xr:uid="{00000000-0006-0000-0D00-000007000000}">
      <text>
        <r>
          <rPr>
            <b/>
            <sz val="9"/>
            <color indexed="81"/>
            <rFont val="ＭＳ Ｐゴシック"/>
            <family val="3"/>
            <charset val="128"/>
          </rPr>
          <t>OccuredDateTime</t>
        </r>
      </text>
    </comment>
    <comment ref="W15" authorId="2" shapeId="0" xr:uid="{00000000-0006-0000-0D00-000008000000}">
      <text>
        <r>
          <rPr>
            <b/>
            <sz val="9"/>
            <color indexed="81"/>
            <rFont val="ＭＳ Ｐゴシック"/>
            <family val="3"/>
            <charset val="128"/>
          </rPr>
          <t>CustomFieldDatafield/発見者/テスト名</t>
        </r>
      </text>
    </comment>
    <comment ref="F16" authorId="2" shapeId="0" xr:uid="{00000000-0006-0000-0D00-000009000000}">
      <text>
        <r>
          <rPr>
            <b/>
            <sz val="9"/>
            <color indexed="81"/>
            <rFont val="ＭＳ Ｐゴシック"/>
            <family val="3"/>
            <charset val="128"/>
          </rPr>
          <t>CustomFieldText/不具合管理情報/サブシステム名</t>
        </r>
      </text>
    </comment>
    <comment ref="F17" authorId="2" shapeId="0" xr:uid="{00000000-0006-0000-0D00-00000A000000}">
      <text>
        <r>
          <rPr>
            <b/>
            <sz val="9"/>
            <color indexed="81"/>
            <rFont val="ＭＳ Ｐゴシック"/>
            <family val="3"/>
            <charset val="128"/>
          </rPr>
          <t>CustomFieldText/不具合管理情報/発生対象業務名</t>
        </r>
      </text>
    </comment>
    <comment ref="F18" authorId="2" shapeId="0" xr:uid="{00000000-0006-0000-0D00-00000B000000}">
      <text>
        <r>
          <rPr>
            <b/>
            <sz val="9"/>
            <color indexed="81"/>
            <rFont val="ＭＳ Ｐゴシック"/>
            <family val="3"/>
            <charset val="128"/>
          </rPr>
          <t>CustomFieldDatafield/不具合管理情報/不具合現象</t>
        </r>
      </text>
    </comment>
    <comment ref="R18" authorId="2" shapeId="0" xr:uid="{00000000-0006-0000-0D00-00000C000000}">
      <text>
        <r>
          <rPr>
            <b/>
            <sz val="9"/>
            <color indexed="81"/>
            <rFont val="ＭＳ Ｐゴシック"/>
            <family val="3"/>
            <charset val="128"/>
          </rPr>
          <t>CustomFieldText/不具合管理情報/その他の内容</t>
        </r>
      </text>
    </comment>
    <comment ref="F19" authorId="2" shapeId="0" xr:uid="{00000000-0006-0000-0D00-00000D000000}">
      <text>
        <r>
          <rPr>
            <b/>
            <sz val="9"/>
            <color indexed="81"/>
            <rFont val="ＭＳ Ｐゴシック"/>
            <family val="3"/>
            <charset val="128"/>
          </rPr>
          <t>ScopeName</t>
        </r>
      </text>
    </comment>
    <comment ref="F20" authorId="2" shapeId="0" xr:uid="{00000000-0006-0000-0D00-00000E000000}">
      <text>
        <r>
          <rPr>
            <b/>
            <sz val="9"/>
            <color indexed="81"/>
            <rFont val="ＭＳ Ｐゴシック"/>
            <family val="3"/>
            <charset val="128"/>
          </rPr>
          <t>RTF/RTF1</t>
        </r>
      </text>
    </comment>
    <comment ref="O21" authorId="2" shapeId="0" xr:uid="{00000000-0006-0000-0D00-00000F000000}">
      <text>
        <r>
          <rPr>
            <b/>
            <sz val="9"/>
            <color indexed="81"/>
            <rFont val="ＭＳ Ｐゴシック"/>
            <family val="3"/>
            <charset val="128"/>
          </rPr>
          <t>Rank</t>
        </r>
      </text>
    </comment>
    <comment ref="AA21" authorId="2" shapeId="0" xr:uid="{00000000-0006-0000-0D00-000010000000}">
      <text>
        <r>
          <rPr>
            <b/>
            <sz val="9"/>
            <color indexed="81"/>
            <rFont val="ＭＳ Ｐゴシック"/>
            <family val="3"/>
            <charset val="128"/>
          </rPr>
          <t>Priority</t>
        </r>
      </text>
    </comment>
    <comment ref="F22" authorId="2" shapeId="0" xr:uid="{00000000-0006-0000-0D00-000011000000}">
      <text>
        <r>
          <rPr>
            <b/>
            <sz val="9"/>
            <color indexed="81"/>
            <rFont val="ＭＳ Ｐゴシック"/>
            <family val="3"/>
            <charset val="128"/>
          </rPr>
          <t>RTF/RTF4</t>
        </r>
      </text>
    </comment>
    <comment ref="AA25" authorId="2" shapeId="0" xr:uid="{00000000-0006-0000-0D00-000012000000}">
      <text>
        <r>
          <rPr>
            <b/>
            <sz val="9"/>
            <color indexed="81"/>
            <rFont val="ＭＳ Ｐゴシック"/>
            <family val="3"/>
            <charset val="128"/>
          </rPr>
          <t>ExternalReferenceNumber</t>
        </r>
      </text>
    </comment>
    <comment ref="AE25" authorId="2" shapeId="0" xr:uid="{00000000-0006-0000-0D00-000013000000}">
      <text>
        <r>
          <rPr>
            <b/>
            <sz val="9"/>
            <color indexed="81"/>
            <rFont val="ＭＳ Ｐゴシック"/>
            <family val="3"/>
            <charset val="128"/>
          </rPr>
          <t>State</t>
        </r>
      </text>
    </comment>
    <comment ref="F27" authorId="2" shapeId="0" xr:uid="{00000000-0006-0000-0D00-000014000000}">
      <text>
        <r>
          <rPr>
            <b/>
            <sz val="9"/>
            <color indexed="81"/>
            <rFont val="ＭＳ Ｐゴシック"/>
            <family val="3"/>
            <charset val="128"/>
          </rPr>
          <t>CustomFieldDatafield/バグ判定/バグ判定</t>
        </r>
      </text>
    </comment>
    <comment ref="F28" authorId="2" shapeId="0" xr:uid="{00000000-0006-0000-0D00-000015000000}">
      <text>
        <r>
          <rPr>
            <b/>
            <sz val="9"/>
            <color indexed="81"/>
            <rFont val="ＭＳ Ｐゴシック"/>
            <family val="3"/>
            <charset val="128"/>
          </rPr>
          <t>CustomFieldDatafield/不具合種別/不具合種別</t>
        </r>
      </text>
    </comment>
    <comment ref="R28" authorId="2" shapeId="0" xr:uid="{00000000-0006-0000-0D00-000016000000}">
      <text>
        <r>
          <rPr>
            <b/>
            <sz val="9"/>
            <color indexed="81"/>
            <rFont val="ＭＳ Ｐゴシック"/>
            <family val="3"/>
            <charset val="128"/>
          </rPr>
          <t>CustomFieldText/不具合種別/その他の内容</t>
        </r>
      </text>
    </comment>
    <comment ref="F31" authorId="2" shapeId="0" xr:uid="{00000000-0006-0000-0D00-000017000000}">
      <text>
        <r>
          <rPr>
            <b/>
            <sz val="9"/>
            <color indexed="81"/>
            <rFont val="ＭＳ Ｐゴシック"/>
            <family val="3"/>
            <charset val="128"/>
          </rPr>
          <t>CustomFieldDatafield/アプリケーションバグ分析/バグ発生機能の分類</t>
        </r>
      </text>
    </comment>
    <comment ref="F32" authorId="2" shapeId="0" xr:uid="{00000000-0006-0000-0D00-000018000000}">
      <text>
        <r>
          <rPr>
            <b/>
            <sz val="9"/>
            <color indexed="81"/>
            <rFont val="ＭＳ Ｐゴシック"/>
            <family val="3"/>
            <charset val="128"/>
          </rPr>
          <t>CustomFieldDatafield/アプリケーションバグ分析/バグ発生原因</t>
        </r>
      </text>
    </comment>
    <comment ref="R32" authorId="2" shapeId="0" xr:uid="{00000000-0006-0000-0D00-000019000000}">
      <text>
        <r>
          <rPr>
            <b/>
            <sz val="9"/>
            <color indexed="81"/>
            <rFont val="ＭＳ Ｐゴシック"/>
            <family val="3"/>
            <charset val="128"/>
          </rPr>
          <t>CustomFieldText/アプリケーションバグ分析/その他の内容</t>
        </r>
      </text>
    </comment>
    <comment ref="F33" authorId="2" shapeId="0" xr:uid="{00000000-0006-0000-0D00-00001A000000}">
      <text>
        <r>
          <rPr>
            <b/>
            <sz val="9"/>
            <color indexed="81"/>
            <rFont val="ＭＳ Ｐゴシック"/>
            <family val="3"/>
            <charset val="128"/>
          </rPr>
          <t>CustomFieldDatafield/すり抜け確認/混入工程</t>
        </r>
      </text>
    </comment>
    <comment ref="R33" authorId="2" shapeId="0" xr:uid="{00000000-0006-0000-0D00-00001B000000}">
      <text>
        <r>
          <rPr>
            <b/>
            <sz val="9"/>
            <color indexed="81"/>
            <rFont val="ＭＳ Ｐゴシック"/>
            <family val="3"/>
            <charset val="128"/>
          </rPr>
          <t>CustomFieldDatafield/すり抜け確認/混入要因</t>
        </r>
      </text>
    </comment>
    <comment ref="Z33" authorId="2" shapeId="0" xr:uid="{00000000-0006-0000-0D00-00001C000000}">
      <text>
        <r>
          <rPr>
            <b/>
            <sz val="9"/>
            <color indexed="81"/>
            <rFont val="ＭＳ Ｐゴシック"/>
            <family val="3"/>
            <charset val="128"/>
          </rPr>
          <t>CustomFieldText/すり抜け確認/その他</t>
        </r>
      </text>
    </comment>
    <comment ref="F34" authorId="2" shapeId="0" xr:uid="{00000000-0006-0000-0D00-00001D000000}">
      <text>
        <r>
          <rPr>
            <b/>
            <sz val="9"/>
            <color indexed="81"/>
            <rFont val="ＭＳ Ｐゴシック"/>
            <family val="3"/>
            <charset val="128"/>
          </rPr>
          <t>CustomFieldDatafield/すり抜け確認/本来摘出すべき試験工程</t>
        </r>
      </text>
    </comment>
    <comment ref="R34" authorId="2" shapeId="0" xr:uid="{00000000-0006-0000-0D00-00001E000000}">
      <text>
        <r>
          <rPr>
            <b/>
            <sz val="9"/>
            <color indexed="81"/>
            <rFont val="ＭＳ Ｐゴシック"/>
            <family val="3"/>
            <charset val="128"/>
          </rPr>
          <t>CustomFieldDatafield/すり抜け確認/摘出できなかった要因</t>
        </r>
      </text>
    </comment>
    <comment ref="Z34" authorId="2" shapeId="0" xr:uid="{00000000-0006-0000-0D00-00001F000000}">
      <text>
        <r>
          <rPr>
            <b/>
            <sz val="9"/>
            <color indexed="81"/>
            <rFont val="ＭＳ Ｐゴシック"/>
            <family val="3"/>
            <charset val="128"/>
          </rPr>
          <t>CustomFieldText/すり抜け確認/その他の内容</t>
        </r>
      </text>
    </comment>
    <comment ref="F35" authorId="2" shapeId="0" xr:uid="{00000000-0006-0000-0D00-000020000000}">
      <text>
        <r>
          <rPr>
            <b/>
            <sz val="9"/>
            <color indexed="81"/>
            <rFont val="ＭＳ Ｐゴシック"/>
            <family val="3"/>
            <charset val="128"/>
          </rPr>
          <t>CustomFieldDatafield/仕様変更/仕様変更関連有無</t>
        </r>
      </text>
    </comment>
    <comment ref="R35" authorId="2" shapeId="0" xr:uid="{00000000-0006-0000-0D00-000021000000}">
      <text>
        <r>
          <rPr>
            <b/>
            <sz val="9"/>
            <color indexed="81"/>
            <rFont val="ＭＳ Ｐゴシック"/>
            <family val="3"/>
            <charset val="128"/>
          </rPr>
          <t>CustomFieldText/仕様変更/関連仕様変更管理番号</t>
        </r>
      </text>
    </comment>
    <comment ref="F37" authorId="2" shapeId="0" xr:uid="{00000000-0006-0000-0D00-000022000000}">
      <text>
        <r>
          <rPr>
            <b/>
            <sz val="9"/>
            <color indexed="81"/>
            <rFont val="ＭＳ Ｐゴシック"/>
            <family val="3"/>
            <charset val="128"/>
          </rPr>
          <t>TargetDate</t>
        </r>
      </text>
    </comment>
    <comment ref="R37" authorId="2" shapeId="0" xr:uid="{00000000-0006-0000-0D00-000023000000}">
      <text>
        <r>
          <rPr>
            <b/>
            <sz val="9"/>
            <color indexed="81"/>
            <rFont val="ＭＳ Ｐゴシック"/>
            <family val="3"/>
            <charset val="128"/>
          </rPr>
          <t>CustomFieldDate/確認日/確認依頼日</t>
        </r>
      </text>
    </comment>
    <comment ref="D38" authorId="2" shapeId="0" xr:uid="{00000000-0006-0000-0D00-000024000000}">
      <text>
        <r>
          <rPr>
            <b/>
            <sz val="9"/>
            <color indexed="81"/>
            <rFont val="ＭＳ Ｐゴシック"/>
            <family val="3"/>
            <charset val="128"/>
          </rPr>
          <t>RTF/RTF2</t>
        </r>
      </text>
    </comment>
    <comment ref="D39" authorId="2" shapeId="0" xr:uid="{00000000-0006-0000-0D00-000025000000}">
      <text>
        <r>
          <rPr>
            <b/>
            <sz val="9"/>
            <color indexed="81"/>
            <rFont val="ＭＳ Ｐゴシック"/>
            <family val="3"/>
            <charset val="128"/>
          </rPr>
          <t>RTF/RTF3</t>
        </r>
      </text>
    </comment>
    <comment ref="AC51" authorId="2" shapeId="0" xr:uid="{00000000-0006-0000-0D00-000026000000}">
      <text>
        <r>
          <rPr>
            <b/>
            <sz val="9"/>
            <color indexed="81"/>
            <rFont val="ＭＳ Ｐゴシック"/>
            <family val="3"/>
            <charset val="128"/>
          </rPr>
          <t>CustomFieldText/確認日/対応確認者</t>
        </r>
      </text>
    </comment>
    <comment ref="AC53" authorId="2" shapeId="0" xr:uid="{00000000-0006-0000-0D00-000027000000}">
      <text>
        <r>
          <rPr>
            <b/>
            <sz val="9"/>
            <color indexed="81"/>
            <rFont val="ＭＳ Ｐゴシック"/>
            <family val="3"/>
            <charset val="128"/>
          </rPr>
          <t>CustomFieldDate/確認日/確認日</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xml:space="preserve"> </author>
    <author>t501368</author>
  </authors>
  <commentList>
    <comment ref="A6" authorId="0" shapeId="0" xr:uid="{00000000-0006-0000-0E00-000001000000}">
      <text>
        <r>
          <rPr>
            <b/>
            <sz val="9"/>
            <color indexed="81"/>
            <rFont val="ＭＳ Ｐゴシック"/>
            <family val="3"/>
            <charset val="128"/>
          </rPr>
          <t>State</t>
        </r>
      </text>
    </comment>
    <comment ref="B6" authorId="0" shapeId="0" xr:uid="{00000000-0006-0000-0E00-000002000000}">
      <text>
        <r>
          <rPr>
            <b/>
            <sz val="9"/>
            <color indexed="81"/>
            <rFont val="ＭＳ Ｐゴシック"/>
            <family val="3"/>
            <charset val="128"/>
          </rPr>
          <t>ExternalReferenceNumber</t>
        </r>
      </text>
    </comment>
    <comment ref="C6" authorId="0" shapeId="0" xr:uid="{00000000-0006-0000-0E00-000003000000}">
      <text>
        <r>
          <rPr>
            <b/>
            <sz val="9"/>
            <color indexed="81"/>
            <rFont val="ＭＳ Ｐゴシック"/>
            <family val="3"/>
            <charset val="128"/>
          </rPr>
          <t>ScopeName</t>
        </r>
      </text>
    </comment>
    <comment ref="D6" authorId="0" shapeId="0" xr:uid="{00000000-0006-0000-0E00-000004000000}">
      <text>
        <r>
          <rPr>
            <b/>
            <sz val="9"/>
            <color indexed="81"/>
            <rFont val="ＭＳ Ｐゴシック"/>
            <family val="3"/>
            <charset val="128"/>
          </rPr>
          <t>ProposedByName</t>
        </r>
      </text>
    </comment>
    <comment ref="E6" authorId="0" shapeId="0" xr:uid="{00000000-0006-0000-0E00-000005000000}">
      <text>
        <r>
          <rPr>
            <b/>
            <sz val="9"/>
            <color indexed="81"/>
            <rFont val="ＭＳ Ｐゴシック"/>
            <family val="3"/>
            <charset val="128"/>
          </rPr>
          <t>ProposedByDate</t>
        </r>
      </text>
    </comment>
    <comment ref="F6" authorId="0" shapeId="0" xr:uid="{00000000-0006-0000-0E00-000006000000}">
      <text>
        <r>
          <rPr>
            <b/>
            <sz val="9"/>
            <color indexed="81"/>
            <rFont val="ＭＳ Ｐゴシック"/>
            <family val="3"/>
            <charset val="128"/>
          </rPr>
          <t>CustomFieldDate/不具合管理情報/完了日</t>
        </r>
      </text>
    </comment>
    <comment ref="G6" authorId="0" shapeId="0" xr:uid="{00000000-0006-0000-0E00-000007000000}">
      <text>
        <r>
          <rPr>
            <b/>
            <sz val="9"/>
            <color indexed="81"/>
            <rFont val="ＭＳ Ｐゴシック"/>
            <family val="3"/>
            <charset val="128"/>
          </rPr>
          <t>OccuredDateTime</t>
        </r>
      </text>
    </comment>
    <comment ref="H6" authorId="0" shapeId="0" xr:uid="{00000000-0006-0000-0E00-000008000000}">
      <text>
        <r>
          <rPr>
            <b/>
            <sz val="9"/>
            <color indexed="81"/>
            <rFont val="ＭＳ Ｐゴシック"/>
            <family val="3"/>
            <charset val="128"/>
          </rPr>
          <t>CustomFieldText/発見者/発見者名</t>
        </r>
      </text>
    </comment>
    <comment ref="I6" authorId="0" shapeId="0" xr:uid="{00000000-0006-0000-0E00-000009000000}">
      <text>
        <r>
          <rPr>
            <b/>
            <sz val="9"/>
            <color indexed="81"/>
            <rFont val="ＭＳ Ｐゴシック"/>
            <family val="3"/>
            <charset val="128"/>
          </rPr>
          <t>CustomFieldText/発見者/会社名</t>
        </r>
      </text>
    </comment>
    <comment ref="J6" authorId="0" shapeId="0" xr:uid="{00000000-0006-0000-0E00-00000A000000}">
      <text>
        <r>
          <rPr>
            <b/>
            <sz val="9"/>
            <color indexed="81"/>
            <rFont val="ＭＳ Ｐゴシック"/>
            <family val="3"/>
            <charset val="128"/>
          </rPr>
          <t>CustomFieldText/発見者/所属／チーム名</t>
        </r>
      </text>
    </comment>
    <comment ref="K6" authorId="0" shapeId="0" xr:uid="{00000000-0006-0000-0E00-00000B000000}">
      <text>
        <r>
          <rPr>
            <b/>
            <sz val="9"/>
            <color indexed="81"/>
            <rFont val="ＭＳ Ｐゴシック"/>
            <family val="3"/>
            <charset val="128"/>
          </rPr>
          <t>CustomFieldDatafield/発見者/テスト名</t>
        </r>
      </text>
    </comment>
    <comment ref="L6" authorId="0" shapeId="0" xr:uid="{00000000-0006-0000-0E00-00000C000000}">
      <text>
        <r>
          <rPr>
            <b/>
            <sz val="9"/>
            <color indexed="81"/>
            <rFont val="ＭＳ Ｐゴシック"/>
            <family val="3"/>
            <charset val="128"/>
          </rPr>
          <t>CustomFieldText/不具合管理情報/サブシステム名</t>
        </r>
      </text>
    </comment>
    <comment ref="M6" authorId="0" shapeId="0" xr:uid="{00000000-0006-0000-0E00-00000D000000}">
      <text>
        <r>
          <rPr>
            <b/>
            <sz val="9"/>
            <color indexed="81"/>
            <rFont val="ＭＳ Ｐゴシック"/>
            <family val="3"/>
            <charset val="128"/>
          </rPr>
          <t>CustomFieldText/不具合管理情報/発生対象業務名</t>
        </r>
      </text>
    </comment>
    <comment ref="N6" authorId="0" shapeId="0" xr:uid="{00000000-0006-0000-0E00-00000E000000}">
      <text>
        <r>
          <rPr>
            <b/>
            <sz val="9"/>
            <color indexed="81"/>
            <rFont val="ＭＳ Ｐゴシック"/>
            <family val="3"/>
            <charset val="128"/>
          </rPr>
          <t>CustomFieldDatafield/不具合管理情報/不具合現象</t>
        </r>
      </text>
    </comment>
    <comment ref="O6" authorId="0" shapeId="0" xr:uid="{00000000-0006-0000-0E00-00000F000000}">
      <text>
        <r>
          <rPr>
            <b/>
            <sz val="9"/>
            <color indexed="81"/>
            <rFont val="ＭＳ Ｐゴシック"/>
            <family val="3"/>
            <charset val="128"/>
          </rPr>
          <t>CustomFieldText/不具合管理情報/その他の内容</t>
        </r>
      </text>
    </comment>
    <comment ref="P6" authorId="0" shapeId="0" xr:uid="{00000000-0006-0000-0E00-000010000000}">
      <text>
        <r>
          <rPr>
            <b/>
            <sz val="9"/>
            <color indexed="81"/>
            <rFont val="ＭＳ Ｐゴシック"/>
            <family val="3"/>
            <charset val="128"/>
          </rPr>
          <t>Rank</t>
        </r>
      </text>
    </comment>
    <comment ref="Q6" authorId="0" shapeId="0" xr:uid="{00000000-0006-0000-0E00-000011000000}">
      <text>
        <r>
          <rPr>
            <b/>
            <sz val="9"/>
            <color indexed="81"/>
            <rFont val="ＭＳ Ｐゴシック"/>
            <family val="3"/>
            <charset val="128"/>
          </rPr>
          <t>Priority</t>
        </r>
      </text>
    </comment>
    <comment ref="R6" authorId="0" shapeId="0" xr:uid="{00000000-0006-0000-0E00-000012000000}">
      <text>
        <r>
          <rPr>
            <b/>
            <sz val="9"/>
            <color indexed="81"/>
            <rFont val="ＭＳ Ｐゴシック"/>
            <family val="3"/>
            <charset val="128"/>
          </rPr>
          <t>RTF/RTF1</t>
        </r>
      </text>
    </comment>
    <comment ref="S6" authorId="0" shapeId="0" xr:uid="{00000000-0006-0000-0E00-000013000000}">
      <text>
        <r>
          <rPr>
            <b/>
            <sz val="9"/>
            <color indexed="81"/>
            <rFont val="ＭＳ Ｐゴシック"/>
            <family val="3"/>
            <charset val="128"/>
          </rPr>
          <t>CustomFieldDatafield/不具合種別/不具合種別</t>
        </r>
      </text>
    </comment>
    <comment ref="T6" authorId="0" shapeId="0" xr:uid="{00000000-0006-0000-0E00-000014000000}">
      <text>
        <r>
          <rPr>
            <b/>
            <sz val="9"/>
            <color indexed="81"/>
            <rFont val="ＭＳ Ｐゴシック"/>
            <family val="3"/>
            <charset val="128"/>
          </rPr>
          <t>CustomFieldDatafield/バグ判定/バグ判定</t>
        </r>
      </text>
    </comment>
    <comment ref="U6" authorId="0" shapeId="0" xr:uid="{00000000-0006-0000-0E00-000015000000}">
      <text>
        <r>
          <rPr>
            <b/>
            <sz val="9"/>
            <color indexed="81"/>
            <rFont val="ＭＳ Ｐゴシック"/>
            <family val="3"/>
            <charset val="128"/>
          </rPr>
          <t>CustomFieldText/不具合種別/その他の内容</t>
        </r>
      </text>
    </comment>
    <comment ref="V6" authorId="0" shapeId="0" xr:uid="{00000000-0006-0000-0E00-000016000000}">
      <text>
        <r>
          <rPr>
            <b/>
            <sz val="9"/>
            <color indexed="81"/>
            <rFont val="ＭＳ Ｐゴシック"/>
            <family val="3"/>
            <charset val="128"/>
          </rPr>
          <t>CustomFieldDatafield/アプリケーションバグ分析/バグ発生機能の分類</t>
        </r>
      </text>
    </comment>
    <comment ref="W6" authorId="0" shapeId="0" xr:uid="{00000000-0006-0000-0E00-000017000000}">
      <text>
        <r>
          <rPr>
            <b/>
            <sz val="9"/>
            <color indexed="81"/>
            <rFont val="ＭＳ Ｐゴシック"/>
            <family val="3"/>
            <charset val="128"/>
          </rPr>
          <t>CustomFieldDatafield/アプリケーションバグ分析/バグ発生原因</t>
        </r>
      </text>
    </comment>
    <comment ref="X6" authorId="0" shapeId="0" xr:uid="{00000000-0006-0000-0E00-000018000000}">
      <text>
        <r>
          <rPr>
            <b/>
            <sz val="9"/>
            <color indexed="81"/>
            <rFont val="ＭＳ Ｐゴシック"/>
            <family val="3"/>
            <charset val="128"/>
          </rPr>
          <t>CustomFieldText/アプリケーションバグ分析/その他の内容</t>
        </r>
      </text>
    </comment>
    <comment ref="Y6" authorId="0" shapeId="0" xr:uid="{00000000-0006-0000-0E00-000019000000}">
      <text>
        <r>
          <rPr>
            <b/>
            <sz val="9"/>
            <color indexed="81"/>
            <rFont val="ＭＳ Ｐゴシック"/>
            <family val="3"/>
            <charset val="128"/>
          </rPr>
          <t>CustomFieldDatafield/すり抜け確認/本来摘出すべき試験工程</t>
        </r>
      </text>
    </comment>
    <comment ref="Z6" authorId="0" shapeId="0" xr:uid="{00000000-0006-0000-0E00-00001A000000}">
      <text>
        <r>
          <rPr>
            <b/>
            <sz val="9"/>
            <color indexed="81"/>
            <rFont val="ＭＳ Ｐゴシック"/>
            <family val="3"/>
            <charset val="128"/>
          </rPr>
          <t>CustomFieldDatafield/すり抜け確認/摘出できなかった要因</t>
        </r>
      </text>
    </comment>
    <comment ref="AA6" authorId="0" shapeId="0" xr:uid="{00000000-0006-0000-0E00-00001B000000}">
      <text>
        <r>
          <rPr>
            <b/>
            <sz val="9"/>
            <color indexed="81"/>
            <rFont val="ＭＳ Ｐゴシック"/>
            <family val="3"/>
            <charset val="128"/>
          </rPr>
          <t>CustomFieldText/すり抜け確認/その他の内容</t>
        </r>
      </text>
    </comment>
    <comment ref="AB6" authorId="0" shapeId="0" xr:uid="{00000000-0006-0000-0E00-00001C000000}">
      <text>
        <r>
          <rPr>
            <b/>
            <sz val="9"/>
            <color indexed="81"/>
            <rFont val="ＭＳ Ｐゴシック"/>
            <family val="3"/>
            <charset val="128"/>
          </rPr>
          <t>CustomFieldDatafield/すり抜け確認/混入工程</t>
        </r>
      </text>
    </comment>
    <comment ref="AC6" authorId="0" shapeId="0" xr:uid="{00000000-0006-0000-0E00-00001D000000}">
      <text>
        <r>
          <rPr>
            <b/>
            <sz val="9"/>
            <color indexed="81"/>
            <rFont val="ＭＳ Ｐゴシック"/>
            <family val="3"/>
            <charset val="128"/>
          </rPr>
          <t>CustomFieldDatafield/すり抜け確認/混入要因</t>
        </r>
      </text>
    </comment>
    <comment ref="AD6" authorId="0" shapeId="0" xr:uid="{00000000-0006-0000-0E00-00001E000000}">
      <text>
        <r>
          <rPr>
            <b/>
            <sz val="9"/>
            <color indexed="81"/>
            <rFont val="ＭＳ Ｐゴシック"/>
            <family val="3"/>
            <charset val="128"/>
          </rPr>
          <t>CustomFieldText/すり抜け確認/その他</t>
        </r>
      </text>
    </comment>
    <comment ref="AE6" authorId="0" shapeId="0" xr:uid="{00000000-0006-0000-0E00-00001F000000}">
      <text>
        <r>
          <rPr>
            <b/>
            <sz val="9"/>
            <color indexed="81"/>
            <rFont val="ＭＳ Ｐゴシック"/>
            <family val="3"/>
            <charset val="128"/>
          </rPr>
          <t>CustomFieldDatafield/仕様変更/仕様変更関連有無</t>
        </r>
      </text>
    </comment>
    <comment ref="AF6" authorId="0" shapeId="0" xr:uid="{00000000-0006-0000-0E00-000020000000}">
      <text>
        <r>
          <rPr>
            <b/>
            <sz val="9"/>
            <color indexed="81"/>
            <rFont val="ＭＳ Ｐゴシック"/>
            <family val="3"/>
            <charset val="128"/>
          </rPr>
          <t>CustomFieldText/仕様変更/関連仕様変更管理番号</t>
        </r>
      </text>
    </comment>
    <comment ref="AG6" authorId="0" shapeId="0" xr:uid="{00000000-0006-0000-0E00-000021000000}">
      <text>
        <r>
          <rPr>
            <b/>
            <sz val="9"/>
            <color indexed="81"/>
            <rFont val="ＭＳ Ｐゴシック"/>
            <family val="3"/>
            <charset val="128"/>
          </rPr>
          <t>RTF/RTF2</t>
        </r>
      </text>
    </comment>
    <comment ref="AH6" authorId="0" shapeId="0" xr:uid="{00000000-0006-0000-0E00-000022000000}">
      <text>
        <r>
          <rPr>
            <b/>
            <sz val="9"/>
            <color indexed="81"/>
            <rFont val="ＭＳ Ｐゴシック"/>
            <family val="3"/>
            <charset val="128"/>
          </rPr>
          <t>RTF/RTF3</t>
        </r>
      </text>
    </comment>
    <comment ref="AI6" authorId="0" shapeId="0" xr:uid="{00000000-0006-0000-0E00-000023000000}">
      <text>
        <r>
          <rPr>
            <b/>
            <sz val="9"/>
            <color indexed="81"/>
            <rFont val="ＭＳ Ｐゴシック"/>
            <family val="3"/>
            <charset val="128"/>
          </rPr>
          <t>ResponsibleResource</t>
        </r>
      </text>
    </comment>
    <comment ref="AJ6" authorId="0" shapeId="0" xr:uid="{00000000-0006-0000-0E00-000024000000}">
      <text>
        <r>
          <rPr>
            <b/>
            <sz val="9"/>
            <color indexed="81"/>
            <rFont val="ＭＳ Ｐゴシック"/>
            <family val="3"/>
            <charset val="128"/>
          </rPr>
          <t>TargetDate</t>
        </r>
      </text>
    </comment>
    <comment ref="AK6" authorId="0" shapeId="0" xr:uid="{00000000-0006-0000-0E00-000025000000}">
      <text>
        <r>
          <rPr>
            <b/>
            <sz val="9"/>
            <color indexed="81"/>
            <rFont val="ＭＳ Ｐゴシック"/>
            <family val="3"/>
            <charset val="128"/>
          </rPr>
          <t>CustomFieldDate/確認日/確認日</t>
        </r>
      </text>
    </comment>
    <comment ref="AL6" authorId="0" shapeId="0" xr:uid="{00000000-0006-0000-0E00-000026000000}">
      <text>
        <r>
          <rPr>
            <b/>
            <sz val="9"/>
            <color indexed="81"/>
            <rFont val="ＭＳ Ｐゴシック"/>
            <family val="3"/>
            <charset val="128"/>
          </rPr>
          <t>CustomFieldDate/確認日/確認依頼日</t>
        </r>
      </text>
    </comment>
    <comment ref="AM6" authorId="0" shapeId="0" xr:uid="{00000000-0006-0000-0E00-000027000000}">
      <text>
        <r>
          <rPr>
            <b/>
            <sz val="9"/>
            <color indexed="81"/>
            <rFont val="ＭＳ Ｐゴシック"/>
            <family val="3"/>
            <charset val="128"/>
          </rPr>
          <t>CustomFieldText/確認日/対応確認者</t>
        </r>
      </text>
    </comment>
    <comment ref="AN6" authorId="0" shapeId="0" xr:uid="{00000000-0006-0000-0E00-000028000000}">
      <text>
        <r>
          <rPr>
            <b/>
            <sz val="9"/>
            <color indexed="81"/>
            <rFont val="ＭＳ Ｐゴシック"/>
            <family val="3"/>
            <charset val="128"/>
          </rPr>
          <t>InternalID</t>
        </r>
      </text>
    </comment>
    <comment ref="AO6" authorId="0" shapeId="0" xr:uid="{00000000-0006-0000-0E00-000029000000}">
      <text>
        <r>
          <rPr>
            <b/>
            <sz val="9"/>
            <color indexed="81"/>
            <rFont val="ＭＳ Ｐゴシック"/>
            <family val="3"/>
            <charset val="128"/>
          </rPr>
          <t>ReferenceNumber</t>
        </r>
      </text>
    </comment>
    <comment ref="AP6" authorId="0" shapeId="0" xr:uid="{00000000-0006-0000-0E00-00002A000000}">
      <text>
        <r>
          <rPr>
            <b/>
            <sz val="9"/>
            <color indexed="81"/>
            <rFont val="ＭＳ Ｐゴシック"/>
            <family val="3"/>
            <charset val="128"/>
          </rPr>
          <t>Number</t>
        </r>
      </text>
    </comment>
    <comment ref="AQ6" authorId="0" shapeId="0" xr:uid="{00000000-0006-0000-0E00-00002B000000}">
      <text>
        <r>
          <rPr>
            <b/>
            <sz val="9"/>
            <color indexed="81"/>
            <rFont val="ＭＳ Ｐゴシック"/>
            <family val="3"/>
            <charset val="128"/>
          </rPr>
          <t>ScopeType</t>
        </r>
      </text>
    </comment>
    <comment ref="AR6" authorId="0" shapeId="0" xr:uid="{00000000-0006-0000-0E00-00002C000000}">
      <text>
        <r>
          <rPr>
            <b/>
            <sz val="9"/>
            <color indexed="81"/>
            <rFont val="ＭＳ Ｐゴシック"/>
            <family val="3"/>
            <charset val="128"/>
          </rPr>
          <t>RTF/RTF4</t>
        </r>
      </text>
    </comment>
    <comment ref="AS6" authorId="1" shapeId="0" xr:uid="{00000000-0006-0000-0E00-00002D000000}">
      <text>
        <r>
          <rPr>
            <b/>
            <sz val="9"/>
            <color indexed="81"/>
            <rFont val="ＭＳ Ｐゴシック"/>
            <family val="3"/>
            <charset val="128"/>
          </rPr>
          <t>CustomFieldText/独自管理項目/項目01</t>
        </r>
      </text>
    </comment>
    <comment ref="AT6" authorId="1" shapeId="0" xr:uid="{00000000-0006-0000-0E00-00002E000000}">
      <text>
        <r>
          <rPr>
            <b/>
            <sz val="9"/>
            <color indexed="81"/>
            <rFont val="ＭＳ Ｐゴシック"/>
            <family val="3"/>
            <charset val="128"/>
          </rPr>
          <t>CustomFieldText/独自管理項目/項目02</t>
        </r>
      </text>
    </comment>
    <comment ref="AU6" authorId="1" shapeId="0" xr:uid="{00000000-0006-0000-0E00-00002F000000}">
      <text>
        <r>
          <rPr>
            <b/>
            <sz val="9"/>
            <color indexed="81"/>
            <rFont val="ＭＳ Ｐゴシック"/>
            <family val="3"/>
            <charset val="128"/>
          </rPr>
          <t>CustomFieldText/独自管理項目/項目03</t>
        </r>
      </text>
    </comment>
    <comment ref="AV6" authorId="1" shapeId="0" xr:uid="{00000000-0006-0000-0E00-000030000000}">
      <text>
        <r>
          <rPr>
            <b/>
            <sz val="9"/>
            <color indexed="81"/>
            <rFont val="ＭＳ Ｐゴシック"/>
            <family val="3"/>
            <charset val="128"/>
          </rPr>
          <t>CustomFieldText/独自管理項目/項目04</t>
        </r>
      </text>
    </comment>
    <comment ref="AW6" authorId="1" shapeId="0" xr:uid="{00000000-0006-0000-0E00-000031000000}">
      <text>
        <r>
          <rPr>
            <b/>
            <sz val="9"/>
            <color indexed="81"/>
            <rFont val="ＭＳ Ｐゴシック"/>
            <family val="3"/>
            <charset val="128"/>
          </rPr>
          <t>CustomFieldText/独自管理項目/項目05</t>
        </r>
      </text>
    </comment>
    <comment ref="AX6" authorId="1" shapeId="0" xr:uid="{00000000-0006-0000-0E00-000032000000}">
      <text>
        <r>
          <rPr>
            <b/>
            <sz val="9"/>
            <color indexed="81"/>
            <rFont val="ＭＳ Ｐゴシック"/>
            <family val="3"/>
            <charset val="128"/>
          </rPr>
          <t>CustomFieldText/独自管理項目/項目06</t>
        </r>
      </text>
    </comment>
    <comment ref="AY6" authorId="1" shapeId="0" xr:uid="{00000000-0006-0000-0E00-000033000000}">
      <text>
        <r>
          <rPr>
            <b/>
            <sz val="9"/>
            <color indexed="81"/>
            <rFont val="ＭＳ Ｐゴシック"/>
            <family val="3"/>
            <charset val="128"/>
          </rPr>
          <t>CustomFieldText/独自管理項目/項目07</t>
        </r>
      </text>
    </comment>
    <comment ref="AZ6" authorId="1" shapeId="0" xr:uid="{00000000-0006-0000-0E00-000034000000}">
      <text>
        <r>
          <rPr>
            <b/>
            <sz val="9"/>
            <color indexed="81"/>
            <rFont val="ＭＳ Ｐゴシック"/>
            <family val="3"/>
            <charset val="128"/>
          </rPr>
          <t>CustomFieldText/独自管理項目/項目08</t>
        </r>
      </text>
    </comment>
    <comment ref="BA6" authorId="1" shapeId="0" xr:uid="{00000000-0006-0000-0E00-000035000000}">
      <text>
        <r>
          <rPr>
            <b/>
            <sz val="9"/>
            <color indexed="81"/>
            <rFont val="ＭＳ Ｐゴシック"/>
            <family val="3"/>
            <charset val="128"/>
          </rPr>
          <t>CustomFieldText/独自管理項目/項目09</t>
        </r>
      </text>
    </comment>
    <comment ref="BB6" authorId="1" shapeId="0" xr:uid="{00000000-0006-0000-0E00-000036000000}">
      <text>
        <r>
          <rPr>
            <b/>
            <sz val="9"/>
            <color indexed="81"/>
            <rFont val="ＭＳ Ｐゴシック"/>
            <family val="3"/>
            <charset val="128"/>
          </rPr>
          <t>CustomFieldText/独自管理項目/項目10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品質開発部</author>
    <author>t501368</author>
    <author xml:space="preserve"> </author>
    <author>Administrator</author>
    <author>ovpcpsu16</author>
  </authors>
  <commentList>
    <comment ref="A1" authorId="0" shapeId="0" xr:uid="{00000000-0006-0000-0F00-000001000000}">
      <text>
        <r>
          <rPr>
            <b/>
            <sz val="9"/>
            <color indexed="81"/>
            <rFont val="ＭＳ Ｐゴシック"/>
            <family val="3"/>
            <charset val="128"/>
          </rPr>
          <t>#QualityStandardForm</t>
        </r>
      </text>
    </comment>
    <comment ref="A8" authorId="0" shapeId="0" xr:uid="{00000000-0006-0000-0F00-000002000000}">
      <text>
        <r>
          <rPr>
            <b/>
            <sz val="9"/>
            <color indexed="81"/>
            <rFont val="ＭＳ Ｐゴシック"/>
            <family val="3"/>
            <charset val="128"/>
          </rPr>
          <t>down_TaskName</t>
        </r>
      </text>
    </comment>
    <comment ref="S8" authorId="0" shapeId="0" xr:uid="{00000000-0006-0000-0F00-000003000000}">
      <text>
        <r>
          <rPr>
            <b/>
            <sz val="9"/>
            <color indexed="81"/>
            <rFont val="ＭＳ Ｐゴシック"/>
            <family val="3"/>
            <charset val="128"/>
          </rPr>
          <t>down_ReferenceNumber</t>
        </r>
      </text>
    </comment>
    <comment ref="Z8" authorId="1" shapeId="0" xr:uid="{00000000-0006-0000-0F00-000004000000}">
      <text>
        <r>
          <rPr>
            <b/>
            <sz val="9"/>
            <color indexed="81"/>
            <rFont val="ＭＳ Ｐゴシック"/>
            <family val="3"/>
            <charset val="128"/>
          </rPr>
          <t>right_today</t>
        </r>
      </text>
    </comment>
    <comment ref="Z9" authorId="1" shapeId="0" xr:uid="{00000000-0006-0000-0F00-000005000000}">
      <text>
        <r>
          <rPr>
            <b/>
            <sz val="9"/>
            <color indexed="81"/>
            <rFont val="ＭＳ Ｐゴシック"/>
            <family val="3"/>
            <charset val="128"/>
          </rPr>
          <t>right_userID</t>
        </r>
      </text>
    </comment>
    <comment ref="C11" authorId="2" shapeId="0" xr:uid="{00000000-0006-0000-0F00-000006000000}">
      <text>
        <r>
          <rPr>
            <b/>
            <sz val="9"/>
            <color indexed="81"/>
            <rFont val="ＭＳ Ｐゴシック"/>
            <family val="3"/>
            <charset val="128"/>
          </rPr>
          <t>right_対象工程</t>
        </r>
      </text>
    </comment>
    <comment ref="L14" authorId="3" shapeId="0" xr:uid="{00000000-0006-0000-0F00-000007000000}">
      <text>
        <r>
          <rPr>
            <b/>
            <sz val="9"/>
            <color indexed="81"/>
            <rFont val="ＭＳ Ｐゴシック"/>
            <family val="3"/>
            <charset val="128"/>
          </rPr>
          <t>col_品質管理指標/基準値（下限）</t>
        </r>
      </text>
    </comment>
    <comment ref="O14" authorId="3" shapeId="0" xr:uid="{00000000-0006-0000-0F00-000008000000}">
      <text>
        <r>
          <rPr>
            <b/>
            <sz val="9"/>
            <color indexed="81"/>
            <rFont val="ＭＳ Ｐゴシック"/>
            <family val="3"/>
            <charset val="128"/>
          </rPr>
          <t>col_品質管理指標/基準値（上限）</t>
        </r>
      </text>
    </comment>
    <comment ref="Q14" authorId="3" shapeId="0" xr:uid="{00000000-0006-0000-0F00-000009000000}">
      <text>
        <r>
          <rPr>
            <b/>
            <sz val="9"/>
            <color indexed="81"/>
            <rFont val="ＭＳ Ｐゴシック"/>
            <family val="3"/>
            <charset val="128"/>
          </rPr>
          <t>col_品質管理指標/実績値</t>
        </r>
      </text>
    </comment>
    <comment ref="E15" authorId="2" shapeId="0" xr:uid="{00000000-0006-0000-0F00-00000A000000}">
      <text>
        <r>
          <rPr>
            <b/>
            <sz val="9"/>
            <color indexed="81"/>
            <rFont val="ＭＳ Ｐゴシック"/>
            <family val="3"/>
            <charset val="128"/>
          </rPr>
          <t>row_品質管理指標/テスト密度/製造</t>
        </r>
      </text>
    </comment>
    <comment ref="E16" authorId="2" shapeId="0" xr:uid="{00000000-0006-0000-0F00-00000B000000}">
      <text>
        <r>
          <rPr>
            <b/>
            <sz val="9"/>
            <color indexed="81"/>
            <rFont val="ＭＳ Ｐゴシック"/>
            <family val="3"/>
            <charset val="128"/>
          </rPr>
          <t>row_品質管理指標/バグ摘出密度/製造</t>
        </r>
      </text>
    </comment>
    <comment ref="E17" authorId="2" shapeId="0" xr:uid="{00000000-0006-0000-0F00-00000C000000}">
      <text>
        <r>
          <rPr>
            <b/>
            <sz val="9"/>
            <color indexed="81"/>
            <rFont val="ＭＳ Ｐゴシック"/>
            <family val="3"/>
            <charset val="128"/>
          </rPr>
          <t>row_品質管理指標/テスト密度/結合テスト</t>
        </r>
      </text>
    </comment>
    <comment ref="E18" authorId="2" shapeId="0" xr:uid="{00000000-0006-0000-0F00-00000D000000}">
      <text>
        <r>
          <rPr>
            <b/>
            <sz val="9"/>
            <color indexed="81"/>
            <rFont val="ＭＳ Ｐゴシック"/>
            <family val="3"/>
            <charset val="128"/>
          </rPr>
          <t>row_品質管理指標/バグ摘出密度/結合テスト</t>
        </r>
      </text>
    </comment>
    <comment ref="E19" authorId="2" shapeId="0" xr:uid="{00000000-0006-0000-0F00-00000E000000}">
      <text>
        <r>
          <rPr>
            <b/>
            <sz val="9"/>
            <color indexed="81"/>
            <rFont val="ＭＳ Ｐゴシック"/>
            <family val="3"/>
            <charset val="128"/>
          </rPr>
          <t>row_品質管理指標/テスト密度/システムテスト</t>
        </r>
      </text>
    </comment>
    <comment ref="E20" authorId="2" shapeId="0" xr:uid="{00000000-0006-0000-0F00-00000F000000}">
      <text>
        <r>
          <rPr>
            <b/>
            <sz val="9"/>
            <color indexed="81"/>
            <rFont val="ＭＳ Ｐゴシック"/>
            <family val="3"/>
            <charset val="128"/>
          </rPr>
          <t>row_品質管理指標/バグ摘出密度/システムテスト</t>
        </r>
      </text>
    </comment>
    <comment ref="E21" authorId="2" shapeId="0" xr:uid="{00000000-0006-0000-0F00-000010000000}">
      <text>
        <r>
          <rPr>
            <b/>
            <sz val="9"/>
            <color indexed="81"/>
            <rFont val="ＭＳ Ｐゴシック"/>
            <family val="3"/>
            <charset val="128"/>
          </rPr>
          <t>row_品質管理指標/テスト密度/システムテスト</t>
        </r>
      </text>
    </comment>
    <comment ref="E22" authorId="2" shapeId="0" xr:uid="{00000000-0006-0000-0F00-000011000000}">
      <text>
        <r>
          <rPr>
            <b/>
            <sz val="9"/>
            <color indexed="81"/>
            <rFont val="ＭＳ Ｐゴシック"/>
            <family val="3"/>
            <charset val="128"/>
          </rPr>
          <t>row_品質管理指標/バグ摘出密度/システムテスト</t>
        </r>
      </text>
    </comment>
    <comment ref="E45" authorId="1" shapeId="0" xr:uid="{00000000-0006-0000-0F00-000012000000}">
      <text>
        <r>
          <rPr>
            <b/>
            <sz val="9"/>
            <color indexed="81"/>
            <rFont val="ＭＳ Ｐゴシック"/>
            <family val="3"/>
            <charset val="128"/>
          </rPr>
          <t>row_GraphDate</t>
        </r>
      </text>
    </comment>
    <comment ref="F45" authorId="4" shapeId="0" xr:uid="{00000000-0006-0000-0F00-000013000000}">
      <text>
        <r>
          <rPr>
            <b/>
            <sz val="9"/>
            <color indexed="81"/>
            <rFont val="ＭＳ Ｐゴシック"/>
            <family val="3"/>
            <charset val="128"/>
          </rPr>
          <t>col_DataStart</t>
        </r>
      </text>
    </comment>
    <comment ref="E46" authorId="1" shapeId="0" xr:uid="{00000000-0006-0000-0F00-000014000000}">
      <text>
        <r>
          <rPr>
            <b/>
            <sz val="9"/>
            <color indexed="81"/>
            <rFont val="ＭＳ Ｐゴシック"/>
            <family val="3"/>
            <charset val="128"/>
          </rPr>
          <t>row_TestPlan</t>
        </r>
      </text>
    </comment>
    <comment ref="E47" authorId="1" shapeId="0" xr:uid="{00000000-0006-0000-0F00-000015000000}">
      <text>
        <r>
          <rPr>
            <b/>
            <sz val="9"/>
            <color indexed="81"/>
            <rFont val="ＭＳ Ｐゴシック"/>
            <family val="3"/>
            <charset val="128"/>
          </rPr>
          <t>row_TestPlan_Sum</t>
        </r>
      </text>
    </comment>
    <comment ref="E48" authorId="1" shapeId="0" xr:uid="{00000000-0006-0000-0F00-000016000000}">
      <text>
        <r>
          <rPr>
            <b/>
            <sz val="9"/>
            <color indexed="81"/>
            <rFont val="ＭＳ Ｐゴシック"/>
            <family val="3"/>
            <charset val="128"/>
          </rPr>
          <t>row_TestAct</t>
        </r>
      </text>
    </comment>
    <comment ref="E49" authorId="1" shapeId="0" xr:uid="{00000000-0006-0000-0F00-000017000000}">
      <text>
        <r>
          <rPr>
            <b/>
            <sz val="9"/>
            <color indexed="81"/>
            <rFont val="ＭＳ Ｐゴシック"/>
            <family val="3"/>
            <charset val="128"/>
          </rPr>
          <t>row_TestAct_Sum</t>
        </r>
      </text>
    </comment>
    <comment ref="E50" authorId="1" shapeId="0" xr:uid="{00000000-0006-0000-0F00-000018000000}">
      <text>
        <r>
          <rPr>
            <b/>
            <sz val="9"/>
            <color indexed="81"/>
            <rFont val="ＭＳ Ｐゴシック"/>
            <family val="3"/>
            <charset val="128"/>
          </rPr>
          <t>row_Bug</t>
        </r>
      </text>
    </comment>
    <comment ref="E51" authorId="1" shapeId="0" xr:uid="{00000000-0006-0000-0F00-000019000000}">
      <text>
        <r>
          <rPr>
            <b/>
            <sz val="9"/>
            <color indexed="81"/>
            <rFont val="ＭＳ Ｐゴシック"/>
            <family val="3"/>
            <charset val="128"/>
          </rPr>
          <t>row_Bug_Sum</t>
        </r>
      </text>
    </comment>
    <comment ref="E52" authorId="1" shapeId="0" xr:uid="{00000000-0006-0000-0F00-00001A000000}">
      <text>
        <r>
          <rPr>
            <b/>
            <sz val="9"/>
            <color indexed="81"/>
            <rFont val="ＭＳ Ｐゴシック"/>
            <family val="3"/>
            <charset val="128"/>
          </rPr>
          <t>row_BugFin</t>
        </r>
      </text>
    </comment>
    <comment ref="E53" authorId="1" shapeId="0" xr:uid="{00000000-0006-0000-0F00-00001B000000}">
      <text>
        <r>
          <rPr>
            <b/>
            <sz val="9"/>
            <color indexed="81"/>
            <rFont val="ＭＳ Ｐゴシック"/>
            <family val="3"/>
            <charset val="128"/>
          </rPr>
          <t>row_BugFin_Sum</t>
        </r>
      </text>
    </comment>
    <comment ref="E54" authorId="1" shapeId="0" xr:uid="{00000000-0006-0000-0F00-00001C000000}">
      <text>
        <r>
          <rPr>
            <b/>
            <sz val="9"/>
            <color indexed="81"/>
            <rFont val="ＭＳ Ｐゴシック"/>
            <family val="3"/>
            <charset val="128"/>
          </rPr>
          <t>row_BugNotFin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品質開発部</author>
    <author>ovpcpsu15</author>
    <author>t501368</author>
  </authors>
  <commentList>
    <comment ref="A1" authorId="0" shapeId="0" xr:uid="{00000000-0006-0000-1100-000001000000}">
      <text>
        <r>
          <rPr>
            <b/>
            <sz val="9"/>
            <color indexed="81"/>
            <rFont val="ＭＳ Ｐゴシック"/>
            <family val="3"/>
            <charset val="128"/>
          </rPr>
          <t>#QualityStandardForm</t>
        </r>
      </text>
    </comment>
    <comment ref="A6" authorId="1" shapeId="0" xr:uid="{00000000-0006-0000-1100-000002000000}">
      <text>
        <r>
          <rPr>
            <b/>
            <sz val="9"/>
            <color indexed="81"/>
            <rFont val="ＭＳ Ｐゴシック"/>
            <family val="3"/>
            <charset val="128"/>
          </rPr>
          <t>down_Attribute部</t>
        </r>
      </text>
    </comment>
    <comment ref="H6" authorId="1" shapeId="0" xr:uid="{00000000-0006-0000-1100-000003000000}">
      <text>
        <r>
          <rPr>
            <b/>
            <sz val="9"/>
            <color indexed="81"/>
            <rFont val="ＭＳ Ｐゴシック"/>
            <family val="3"/>
            <charset val="128"/>
          </rPr>
          <t>down_SystemName</t>
        </r>
      </text>
    </comment>
    <comment ref="A8" authorId="0" shapeId="0" xr:uid="{00000000-0006-0000-1100-000004000000}">
      <text>
        <r>
          <rPr>
            <b/>
            <sz val="9"/>
            <color indexed="81"/>
            <rFont val="ＭＳ Ｐゴシック"/>
            <family val="3"/>
            <charset val="128"/>
          </rPr>
          <t>down_TaskName</t>
        </r>
      </text>
    </comment>
    <comment ref="O8" authorId="0" shapeId="0" xr:uid="{00000000-0006-0000-1100-000005000000}">
      <text>
        <r>
          <rPr>
            <b/>
            <sz val="9"/>
            <color indexed="81"/>
            <rFont val="ＭＳ Ｐゴシック"/>
            <family val="3"/>
            <charset val="128"/>
          </rPr>
          <t>down_ReferenceNumber</t>
        </r>
      </text>
    </comment>
    <comment ref="V8" authorId="2" shapeId="0" xr:uid="{00000000-0006-0000-1100-000006000000}">
      <text>
        <r>
          <rPr>
            <b/>
            <sz val="9"/>
            <color indexed="81"/>
            <rFont val="ＭＳ Ｐゴシック"/>
            <family val="3"/>
            <charset val="128"/>
          </rPr>
          <t>right_today</t>
        </r>
      </text>
    </comment>
    <comment ref="V9" authorId="2" shapeId="0" xr:uid="{00000000-0006-0000-1100-000007000000}">
      <text>
        <r>
          <rPr>
            <b/>
            <sz val="9"/>
            <color indexed="81"/>
            <rFont val="ＭＳ Ｐゴシック"/>
            <family val="3"/>
            <charset val="128"/>
          </rPr>
          <t>right_userID</t>
        </r>
      </text>
    </comment>
    <comment ref="B11" authorId="2" shapeId="0" xr:uid="{00000000-0006-0000-1100-000008000000}">
      <text>
        <r>
          <rPr>
            <b/>
            <sz val="9"/>
            <color indexed="81"/>
            <rFont val="ＭＳ Ｐゴシック"/>
            <family val="3"/>
            <charset val="128"/>
          </rPr>
          <t>right_CustomFieldDatafield/発見者/テスト名</t>
        </r>
      </text>
    </comment>
    <comment ref="E14" authorId="2" shapeId="0" xr:uid="{00000000-0006-0000-1100-000009000000}">
      <text>
        <r>
          <rPr>
            <b/>
            <sz val="9"/>
            <color indexed="81"/>
            <rFont val="ＭＳ Ｐゴシック"/>
            <family val="3"/>
            <charset val="128"/>
          </rPr>
          <t>right_CustomFieldDatafield/不具合種別/不具合種別_アプリケーション</t>
        </r>
      </text>
    </comment>
    <comment ref="V14" authorId="2" shapeId="0" xr:uid="{00000000-0006-0000-1100-00000A000000}">
      <text>
        <r>
          <rPr>
            <b/>
            <sz val="9"/>
            <color indexed="81"/>
            <rFont val="ＭＳ Ｐゴシック"/>
            <family val="3"/>
            <charset val="128"/>
          </rPr>
          <t>right_Rank_1</t>
        </r>
      </text>
    </comment>
    <comment ref="E15" authorId="2" shapeId="0" xr:uid="{00000000-0006-0000-1100-00000B000000}">
      <text>
        <r>
          <rPr>
            <b/>
            <sz val="9"/>
            <color indexed="81"/>
            <rFont val="ＭＳ Ｐゴシック"/>
            <family val="3"/>
            <charset val="128"/>
          </rPr>
          <t>right_CustomFieldDatafield/不具合種別/不具合種別_基盤</t>
        </r>
      </text>
    </comment>
    <comment ref="V15" authorId="2" shapeId="0" xr:uid="{00000000-0006-0000-1100-00000C000000}">
      <text>
        <r>
          <rPr>
            <b/>
            <sz val="9"/>
            <color indexed="81"/>
            <rFont val="ＭＳ Ｐゴシック"/>
            <family val="3"/>
            <charset val="128"/>
          </rPr>
          <t>right_Rank_2</t>
        </r>
      </text>
    </comment>
    <comment ref="E16" authorId="2" shapeId="0" xr:uid="{00000000-0006-0000-1100-00000D000000}">
      <text>
        <r>
          <rPr>
            <b/>
            <sz val="9"/>
            <color indexed="81"/>
            <rFont val="ＭＳ Ｐゴシック"/>
            <family val="3"/>
            <charset val="128"/>
          </rPr>
          <t>right_CustomFieldDatafield/不具合種別/不具合種別_データ</t>
        </r>
      </text>
    </comment>
    <comment ref="V16" authorId="2" shapeId="0" xr:uid="{00000000-0006-0000-1100-00000E000000}">
      <text>
        <r>
          <rPr>
            <b/>
            <sz val="9"/>
            <color indexed="81"/>
            <rFont val="ＭＳ Ｐゴシック"/>
            <family val="3"/>
            <charset val="128"/>
          </rPr>
          <t>right_Rank_3</t>
        </r>
      </text>
    </comment>
    <comment ref="E17" authorId="2" shapeId="0" xr:uid="{00000000-0006-0000-1100-00000F000000}">
      <text>
        <r>
          <rPr>
            <b/>
            <sz val="9"/>
            <color indexed="81"/>
            <rFont val="ＭＳ Ｐゴシック"/>
            <family val="3"/>
            <charset val="128"/>
          </rPr>
          <t>right_CustomFieldDatafield/不具合種別/不具合種別_その他</t>
        </r>
      </text>
    </comment>
    <comment ref="V17" authorId="2" shapeId="0" xr:uid="{00000000-0006-0000-1100-000010000000}">
      <text>
        <r>
          <rPr>
            <b/>
            <sz val="9"/>
            <color indexed="81"/>
            <rFont val="ＭＳ Ｐゴシック"/>
            <family val="3"/>
            <charset val="128"/>
          </rPr>
          <t>right_Rank_else</t>
        </r>
      </text>
    </comment>
    <comment ref="E22" authorId="2" shapeId="0" xr:uid="{00000000-0006-0000-1100-000011000000}">
      <text>
        <r>
          <rPr>
            <b/>
            <sz val="9"/>
            <color indexed="81"/>
            <rFont val="ＭＳ Ｐゴシック"/>
            <family val="3"/>
            <charset val="128"/>
          </rPr>
          <t>right_CustomFieldDatafield/不具合管理情報/不具合現象_システムダウン</t>
        </r>
      </text>
    </comment>
    <comment ref="E23" authorId="2" shapeId="0" xr:uid="{00000000-0006-0000-1100-000012000000}">
      <text>
        <r>
          <rPr>
            <b/>
            <sz val="9"/>
            <color indexed="81"/>
            <rFont val="ＭＳ Ｐゴシック"/>
            <family val="3"/>
            <charset val="128"/>
          </rPr>
          <t>right_CustomFieldDatafield/不具合管理情報/不具合現象_ABEND</t>
        </r>
      </text>
    </comment>
    <comment ref="V23" authorId="2" shapeId="0" xr:uid="{00000000-0006-0000-1100-000013000000}">
      <text>
        <r>
          <rPr>
            <b/>
            <sz val="9"/>
            <color indexed="81"/>
            <rFont val="ＭＳ Ｐゴシック"/>
            <family val="3"/>
            <charset val="128"/>
          </rPr>
          <t>right_CustomFieldDatafield/アプリケーションバグ分析/バグ発生原因_仕様書不備：記述漏れ</t>
        </r>
      </text>
    </comment>
    <comment ref="E24" authorId="2" shapeId="0" xr:uid="{00000000-0006-0000-1100-000014000000}">
      <text>
        <r>
          <rPr>
            <b/>
            <sz val="9"/>
            <color indexed="81"/>
            <rFont val="ＭＳ Ｐゴシック"/>
            <family val="3"/>
            <charset val="128"/>
          </rPr>
          <t>right_CustomFieldDatafield/不具合管理情報/不具合現象_データ内容不正</t>
        </r>
      </text>
    </comment>
    <comment ref="V24" authorId="2" shapeId="0" xr:uid="{00000000-0006-0000-1100-000015000000}">
      <text>
        <r>
          <rPr>
            <b/>
            <sz val="9"/>
            <color indexed="81"/>
            <rFont val="ＭＳ Ｐゴシック"/>
            <family val="3"/>
            <charset val="128"/>
          </rPr>
          <t>right_CustomFieldDatafield/アプリケーションバグ分析/バグ発生原因_仕様書不備：記述誤り</t>
        </r>
      </text>
    </comment>
    <comment ref="E25" authorId="2" shapeId="0" xr:uid="{00000000-0006-0000-1100-000016000000}">
      <text>
        <r>
          <rPr>
            <b/>
            <sz val="9"/>
            <color indexed="81"/>
            <rFont val="ＭＳ Ｐゴシック"/>
            <family val="3"/>
            <charset val="128"/>
          </rPr>
          <t>right_CustomFieldDatafield/不具合管理情報/不具合現象_機能障害</t>
        </r>
      </text>
    </comment>
    <comment ref="V25" authorId="2" shapeId="0" xr:uid="{00000000-0006-0000-1100-000017000000}">
      <text>
        <r>
          <rPr>
            <b/>
            <sz val="9"/>
            <color indexed="81"/>
            <rFont val="ＭＳ Ｐゴシック"/>
            <family val="3"/>
            <charset val="128"/>
          </rPr>
          <t>right_CustomFieldDatafield/アプリケーションバグ分析/バグ発生原因_仕様書不備：不明確（曖昧）</t>
        </r>
      </text>
    </comment>
    <comment ref="E26" authorId="2" shapeId="0" xr:uid="{00000000-0006-0000-1100-000018000000}">
      <text>
        <r>
          <rPr>
            <b/>
            <sz val="9"/>
            <color indexed="81"/>
            <rFont val="ＭＳ Ｐゴシック"/>
            <family val="3"/>
            <charset val="128"/>
          </rPr>
          <t>right_CustomFieldDatafield/不具合管理情報/不具合現象_形式不正</t>
        </r>
      </text>
    </comment>
    <comment ref="V26" authorId="2" shapeId="0" xr:uid="{00000000-0006-0000-1100-000019000000}">
      <text>
        <r>
          <rPr>
            <b/>
            <sz val="9"/>
            <color indexed="81"/>
            <rFont val="ＭＳ Ｐゴシック"/>
            <family val="3"/>
            <charset val="128"/>
          </rPr>
          <t>right_CustomFieldDatafield/アプリケーションバグ分析/バグ発生原因_仕様書不備：標準違反</t>
        </r>
      </text>
    </comment>
    <comment ref="E27" authorId="2" shapeId="0" xr:uid="{00000000-0006-0000-1100-00001A000000}">
      <text>
        <r>
          <rPr>
            <b/>
            <sz val="9"/>
            <color indexed="81"/>
            <rFont val="ＭＳ Ｐゴシック"/>
            <family val="3"/>
            <charset val="128"/>
          </rPr>
          <t>right_CustomFieldDatafield/不具合管理情報/不具合現象_その他</t>
        </r>
      </text>
    </comment>
    <comment ref="V27" authorId="2" shapeId="0" xr:uid="{00000000-0006-0000-1100-00001B000000}">
      <text>
        <r>
          <rPr>
            <b/>
            <sz val="9"/>
            <color indexed="81"/>
            <rFont val="ＭＳ Ｐゴシック"/>
            <family val="3"/>
            <charset val="128"/>
          </rPr>
          <t>right_CustomFieldDatafield/アプリケーションバグ分析/バグ発生原因_仕様書不備：ドキュメント修正漏れ</t>
        </r>
      </text>
    </comment>
    <comment ref="V28" authorId="2" shapeId="0" xr:uid="{00000000-0006-0000-1100-00001C000000}">
      <text>
        <r>
          <rPr>
            <b/>
            <sz val="9"/>
            <color indexed="81"/>
            <rFont val="ＭＳ Ｐゴシック"/>
            <family val="3"/>
            <charset val="128"/>
          </rPr>
          <t>right_CustomFieldDatafield/アプリケーションバグ分析/バグ発生原因_仕様書不備：ドキュメント間不整合</t>
        </r>
      </text>
    </comment>
    <comment ref="V29" authorId="2" shapeId="0" xr:uid="{00000000-0006-0000-1100-00001D000000}">
      <text>
        <r>
          <rPr>
            <b/>
            <sz val="9"/>
            <color indexed="81"/>
            <rFont val="ＭＳ Ｐゴシック"/>
            <family val="3"/>
            <charset val="128"/>
          </rPr>
          <t>right_CustomFieldDatafield/アプリケーションバグ分析/バグ発生原因_仕様展開問題：仕様の見落とし</t>
        </r>
      </text>
    </comment>
    <comment ref="E30" authorId="2" shapeId="0" xr:uid="{00000000-0006-0000-1100-00001E000000}">
      <text>
        <r>
          <rPr>
            <b/>
            <sz val="9"/>
            <color indexed="81"/>
            <rFont val="ＭＳ Ｐゴシック"/>
            <family val="3"/>
            <charset val="128"/>
          </rPr>
          <t>right_CustomFieldDatafield/すり抜け確認/本来摘出すべき試験工程_製造（単体テスト）</t>
        </r>
      </text>
    </comment>
    <comment ref="V30" authorId="2" shapeId="0" xr:uid="{00000000-0006-0000-1100-00001F000000}">
      <text>
        <r>
          <rPr>
            <b/>
            <sz val="9"/>
            <color indexed="81"/>
            <rFont val="ＭＳ Ｐゴシック"/>
            <family val="3"/>
            <charset val="128"/>
          </rPr>
          <t>right_CustomFieldDatafield/アプリケーションバグ分析/バグ発生原因_仕様展開問題：仕様の理解不足</t>
        </r>
      </text>
    </comment>
    <comment ref="E31" authorId="2" shapeId="0" xr:uid="{00000000-0006-0000-1100-000020000000}">
      <text>
        <r>
          <rPr>
            <b/>
            <sz val="9"/>
            <color indexed="81"/>
            <rFont val="ＭＳ Ｐゴシック"/>
            <family val="3"/>
            <charset val="128"/>
          </rPr>
          <t>right_CustomFieldDatafield/すり抜け確認/本来摘出すべき試験工程_結合テスト</t>
        </r>
      </text>
    </comment>
    <comment ref="V31" authorId="2" shapeId="0" xr:uid="{00000000-0006-0000-1100-000021000000}">
      <text>
        <r>
          <rPr>
            <b/>
            <sz val="9"/>
            <color indexed="81"/>
            <rFont val="ＭＳ Ｐゴシック"/>
            <family val="3"/>
            <charset val="128"/>
          </rPr>
          <t>right_CustomFieldDatafield/アプリケーションバグ分析/バグ発生原因_仕様展開問題：仕様の認識不足</t>
        </r>
      </text>
    </comment>
    <comment ref="E32" authorId="2" shapeId="0" xr:uid="{00000000-0006-0000-1100-000022000000}">
      <text>
        <r>
          <rPr>
            <b/>
            <sz val="9"/>
            <color indexed="81"/>
            <rFont val="ＭＳ Ｐゴシック"/>
            <family val="3"/>
            <charset val="128"/>
          </rPr>
          <t>right_CustomFieldDatafield/すり抜け確認/本来摘出すべき試験工程_システムテスト</t>
        </r>
      </text>
    </comment>
    <comment ref="V32" authorId="2" shapeId="0" xr:uid="{00000000-0006-0000-1100-000023000000}">
      <text>
        <r>
          <rPr>
            <b/>
            <sz val="9"/>
            <color indexed="81"/>
            <rFont val="ＭＳ Ｐゴシック"/>
            <family val="3"/>
            <charset val="128"/>
          </rPr>
          <t>right_CustomFieldDatafield/アプリケーションバグ分析/バグ発生原因_仕様展開問題：仕様の検討粗漏</t>
        </r>
      </text>
    </comment>
    <comment ref="V33" authorId="2" shapeId="0" xr:uid="{00000000-0006-0000-1100-000024000000}">
      <text>
        <r>
          <rPr>
            <b/>
            <sz val="9"/>
            <color indexed="81"/>
            <rFont val="ＭＳ Ｐゴシック"/>
            <family val="3"/>
            <charset val="128"/>
          </rPr>
          <t>right_CustomFieldDatafield/アプリケーションバグ分析/バグ発生原因_仕様以外問題：言語用法の知識不足</t>
        </r>
      </text>
    </comment>
    <comment ref="V34" authorId="2" shapeId="0" xr:uid="{00000000-0006-0000-1100-000025000000}">
      <text>
        <r>
          <rPr>
            <b/>
            <sz val="9"/>
            <color indexed="81"/>
            <rFont val="ＭＳ Ｐゴシック"/>
            <family val="3"/>
            <charset val="128"/>
          </rPr>
          <t>right_CustomFieldDatafield/アプリケーションバグ分析/バグ発生原因_仕様以外問題：周知連絡の不徹底</t>
        </r>
      </text>
    </comment>
    <comment ref="V35" authorId="2" shapeId="0" xr:uid="{00000000-0006-0000-1100-000026000000}">
      <text>
        <r>
          <rPr>
            <b/>
            <sz val="9"/>
            <color indexed="81"/>
            <rFont val="ＭＳ Ｐゴシック"/>
            <family val="3"/>
            <charset val="128"/>
          </rPr>
          <t>right_CustomFieldDatafield/アプリケーションバグ分析/バグ発生原因_仕様以外問題：標準違反</t>
        </r>
      </text>
    </comment>
    <comment ref="V36" authorId="2" shapeId="0" xr:uid="{00000000-0006-0000-1100-000027000000}">
      <text>
        <r>
          <rPr>
            <b/>
            <sz val="9"/>
            <color indexed="81"/>
            <rFont val="ＭＳ Ｐゴシック"/>
            <family val="3"/>
            <charset val="128"/>
          </rPr>
          <t>right_CustomFieldDatafield/アプリケーションバグ分析/バグ発生原因_仕様以外問題：再利用チェック漏れ</t>
        </r>
      </text>
    </comment>
    <comment ref="V37" authorId="2" shapeId="0" xr:uid="{00000000-0006-0000-1100-000028000000}">
      <text>
        <r>
          <rPr>
            <b/>
            <sz val="9"/>
            <color indexed="81"/>
            <rFont val="ＭＳ Ｐゴシック"/>
            <family val="3"/>
            <charset val="128"/>
          </rPr>
          <t>right_CustomFieldDatafield/アプリケーションバグ分析/バグ発生原因_仕様以外問題：修正チェック漏れ</t>
        </r>
      </text>
    </comment>
    <comment ref="E38" authorId="2" shapeId="0" xr:uid="{00000000-0006-0000-1100-000029000000}">
      <text>
        <r>
          <rPr>
            <b/>
            <sz val="9"/>
            <color indexed="81"/>
            <rFont val="ＭＳ Ｐゴシック"/>
            <family val="3"/>
            <charset val="128"/>
          </rPr>
          <t>right_CustomFieldDatafield/すり抜け確認/混入工程_企画支援</t>
        </r>
      </text>
    </comment>
    <comment ref="V38" authorId="2" shapeId="0" xr:uid="{00000000-0006-0000-1100-00002A000000}">
      <text>
        <r>
          <rPr>
            <b/>
            <sz val="9"/>
            <color indexed="81"/>
            <rFont val="ＭＳ Ｐゴシック"/>
            <family val="3"/>
            <charset val="128"/>
          </rPr>
          <t>right_CustomFieldDatafield/アプリケーションバグ分析/バグ発生原因_else</t>
        </r>
      </text>
    </comment>
    <comment ref="E39" authorId="2" shapeId="0" xr:uid="{00000000-0006-0000-1100-00002B000000}">
      <text>
        <r>
          <rPr>
            <b/>
            <sz val="9"/>
            <color indexed="81"/>
            <rFont val="ＭＳ Ｐゴシック"/>
            <family val="3"/>
            <charset val="128"/>
          </rPr>
          <t>right_CustomFieldDatafield/すり抜け確認/混入工程_要件定義</t>
        </r>
      </text>
    </comment>
    <comment ref="E40" authorId="2" shapeId="0" xr:uid="{00000000-0006-0000-1100-00002C000000}">
      <text>
        <r>
          <rPr>
            <b/>
            <sz val="9"/>
            <color indexed="81"/>
            <rFont val="ＭＳ Ｐゴシック"/>
            <family val="3"/>
            <charset val="128"/>
          </rPr>
          <t>right_CustomFieldDatafield/すり抜け確認/混入工程_基本設計</t>
        </r>
      </text>
    </comment>
    <comment ref="E41" authorId="2" shapeId="0" xr:uid="{00000000-0006-0000-1100-00002D000000}">
      <text>
        <r>
          <rPr>
            <b/>
            <sz val="9"/>
            <color indexed="81"/>
            <rFont val="ＭＳ Ｐゴシック"/>
            <family val="3"/>
            <charset val="128"/>
          </rPr>
          <t>right_CustomFieldDatafield/すり抜け確認/混入工程_詳細設計</t>
        </r>
      </text>
    </comment>
    <comment ref="E42" authorId="2" shapeId="0" xr:uid="{00000000-0006-0000-1100-00002E000000}">
      <text>
        <r>
          <rPr>
            <b/>
            <sz val="9"/>
            <color indexed="81"/>
            <rFont val="ＭＳ Ｐゴシック"/>
            <family val="3"/>
            <charset val="128"/>
          </rPr>
          <t>right_CustomFieldDatafield/すり抜け確認/混入工程_製造</t>
        </r>
      </text>
    </comment>
    <comment ref="E43" authorId="2" shapeId="0" xr:uid="{00000000-0006-0000-1100-00002F000000}">
      <text>
        <r>
          <rPr>
            <b/>
            <sz val="9"/>
            <color indexed="81"/>
            <rFont val="ＭＳ Ｐゴシック"/>
            <family val="3"/>
            <charset val="128"/>
          </rPr>
          <t>right_CustomFieldDatafield/すり抜け確認/混入工程_結合テスト</t>
        </r>
      </text>
    </comment>
    <comment ref="E44" authorId="2" shapeId="0" xr:uid="{00000000-0006-0000-1100-000030000000}">
      <text>
        <r>
          <rPr>
            <b/>
            <sz val="9"/>
            <color indexed="81"/>
            <rFont val="ＭＳ Ｐゴシック"/>
            <family val="3"/>
            <charset val="128"/>
          </rPr>
          <t>right_CustomFieldDatafield/すり抜け確認/混入工程_システムテスト</t>
        </r>
      </text>
    </comment>
    <comment ref="E45" authorId="2" shapeId="0" xr:uid="{00000000-0006-0000-1100-000031000000}">
      <text>
        <r>
          <rPr>
            <b/>
            <sz val="9"/>
            <color indexed="81"/>
            <rFont val="ＭＳ Ｐゴシック"/>
            <family val="3"/>
            <charset val="128"/>
          </rPr>
          <t>right_CustomFieldDatafield/すり抜け確認/混入工程_移行導入</t>
        </r>
      </text>
    </comment>
    <comment ref="E46" authorId="2" shapeId="0" xr:uid="{00000000-0006-0000-1100-000032000000}">
      <text>
        <r>
          <rPr>
            <b/>
            <sz val="9"/>
            <color indexed="81"/>
            <rFont val="ＭＳ Ｐゴシック"/>
            <family val="3"/>
            <charset val="128"/>
          </rPr>
          <t>right_CustomFieldDatafield/すり抜け確認/混入工程_その他</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品質開発部</author>
    <author>t501368</author>
  </authors>
  <commentList>
    <comment ref="A1" authorId="0" shapeId="0" xr:uid="{00000000-0006-0000-1200-000001000000}">
      <text>
        <r>
          <rPr>
            <b/>
            <sz val="9"/>
            <color indexed="81"/>
            <rFont val="ＭＳ Ｐゴシック"/>
            <family val="3"/>
            <charset val="128"/>
          </rPr>
          <t>#QualityStandardForm</t>
        </r>
      </text>
    </comment>
    <comment ref="A8" authorId="0" shapeId="0" xr:uid="{00000000-0006-0000-1200-000002000000}">
      <text>
        <r>
          <rPr>
            <b/>
            <sz val="9"/>
            <color indexed="81"/>
            <rFont val="ＭＳ Ｐゴシック"/>
            <family val="3"/>
            <charset val="128"/>
          </rPr>
          <t>down_TaskName</t>
        </r>
      </text>
    </comment>
    <comment ref="O8" authorId="0" shapeId="0" xr:uid="{00000000-0006-0000-1200-000003000000}">
      <text>
        <r>
          <rPr>
            <b/>
            <sz val="9"/>
            <color indexed="81"/>
            <rFont val="ＭＳ Ｐゴシック"/>
            <family val="3"/>
            <charset val="128"/>
          </rPr>
          <t>down_ReferenceNumber</t>
        </r>
      </text>
    </comment>
    <comment ref="V8" authorId="1" shapeId="0" xr:uid="{00000000-0006-0000-1200-000004000000}">
      <text>
        <r>
          <rPr>
            <b/>
            <sz val="9"/>
            <color indexed="81"/>
            <rFont val="ＭＳ Ｐゴシック"/>
            <family val="3"/>
            <charset val="128"/>
          </rPr>
          <t>right_today</t>
        </r>
      </text>
    </comment>
    <comment ref="V9" authorId="1" shapeId="0" xr:uid="{00000000-0006-0000-1200-000005000000}">
      <text>
        <r>
          <rPr>
            <b/>
            <sz val="9"/>
            <color indexed="81"/>
            <rFont val="ＭＳ Ｐゴシック"/>
            <family val="3"/>
            <charset val="128"/>
          </rPr>
          <t>right_userID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品質開発部</author>
    <author>t501368</author>
  </authors>
  <commentList>
    <comment ref="A1" authorId="0" shapeId="0" xr:uid="{00000000-0006-0000-1300-000001000000}">
      <text>
        <r>
          <rPr>
            <b/>
            <sz val="9"/>
            <color indexed="81"/>
            <rFont val="ＭＳ Ｐゴシック"/>
            <family val="3"/>
            <charset val="128"/>
          </rPr>
          <t>#QualityStandardForm</t>
        </r>
      </text>
    </comment>
    <comment ref="A8" authorId="0" shapeId="0" xr:uid="{00000000-0006-0000-1300-000002000000}">
      <text>
        <r>
          <rPr>
            <b/>
            <sz val="9"/>
            <color indexed="81"/>
            <rFont val="ＭＳ Ｐゴシック"/>
            <family val="3"/>
            <charset val="128"/>
          </rPr>
          <t>down_TaskName</t>
        </r>
      </text>
    </comment>
    <comment ref="O8" authorId="0" shapeId="0" xr:uid="{00000000-0006-0000-1300-000003000000}">
      <text>
        <r>
          <rPr>
            <b/>
            <sz val="9"/>
            <color indexed="81"/>
            <rFont val="ＭＳ Ｐゴシック"/>
            <family val="3"/>
            <charset val="128"/>
          </rPr>
          <t>down_ReferenceNumber</t>
        </r>
      </text>
    </comment>
    <comment ref="V8" authorId="1" shapeId="0" xr:uid="{00000000-0006-0000-1300-000004000000}">
      <text>
        <r>
          <rPr>
            <b/>
            <sz val="9"/>
            <color indexed="81"/>
            <rFont val="ＭＳ Ｐゴシック"/>
            <family val="3"/>
            <charset val="128"/>
          </rPr>
          <t>right_today</t>
        </r>
      </text>
    </comment>
    <comment ref="V9" authorId="1" shapeId="0" xr:uid="{00000000-0006-0000-1300-000005000000}">
      <text>
        <r>
          <rPr>
            <b/>
            <sz val="9"/>
            <color indexed="81"/>
            <rFont val="ＭＳ Ｐゴシック"/>
            <family val="3"/>
            <charset val="128"/>
          </rPr>
          <t>right_userID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品質開発部</author>
    <author>t501368</author>
  </authors>
  <commentList>
    <comment ref="A1" authorId="0" shapeId="0" xr:uid="{00000000-0006-0000-1400-000001000000}">
      <text>
        <r>
          <rPr>
            <b/>
            <sz val="9"/>
            <color indexed="81"/>
            <rFont val="ＭＳ Ｐゴシック"/>
            <family val="3"/>
            <charset val="128"/>
          </rPr>
          <t>#QualityStandardForm</t>
        </r>
      </text>
    </comment>
    <comment ref="A8" authorId="0" shapeId="0" xr:uid="{00000000-0006-0000-1400-000002000000}">
      <text>
        <r>
          <rPr>
            <b/>
            <sz val="9"/>
            <color indexed="81"/>
            <rFont val="ＭＳ Ｐゴシック"/>
            <family val="3"/>
            <charset val="128"/>
          </rPr>
          <t>down_TaskName</t>
        </r>
      </text>
    </comment>
    <comment ref="O8" authorId="0" shapeId="0" xr:uid="{00000000-0006-0000-1400-000003000000}">
      <text>
        <r>
          <rPr>
            <b/>
            <sz val="9"/>
            <color indexed="81"/>
            <rFont val="ＭＳ Ｐゴシック"/>
            <family val="3"/>
            <charset val="128"/>
          </rPr>
          <t>down_ReferenceNumber</t>
        </r>
      </text>
    </comment>
    <comment ref="V8" authorId="1" shapeId="0" xr:uid="{00000000-0006-0000-1400-000004000000}">
      <text>
        <r>
          <rPr>
            <b/>
            <sz val="9"/>
            <color indexed="81"/>
            <rFont val="ＭＳ Ｐゴシック"/>
            <family val="3"/>
            <charset val="128"/>
          </rPr>
          <t>right_today</t>
        </r>
      </text>
    </comment>
    <comment ref="V9" authorId="1" shapeId="0" xr:uid="{00000000-0006-0000-1400-000005000000}">
      <text>
        <r>
          <rPr>
            <b/>
            <sz val="9"/>
            <color indexed="81"/>
            <rFont val="ＭＳ Ｐゴシック"/>
            <family val="3"/>
            <charset val="128"/>
          </rPr>
          <t>right_userID</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品質開発部</author>
    <author>ovpcpsu15</author>
    <author>t501368</author>
  </authors>
  <commentList>
    <comment ref="A1" authorId="0" shapeId="0" xr:uid="{00000000-0006-0000-1500-000001000000}">
      <text>
        <r>
          <rPr>
            <b/>
            <sz val="9"/>
            <color indexed="81"/>
            <rFont val="ＭＳ Ｐゴシック"/>
            <family val="3"/>
            <charset val="128"/>
          </rPr>
          <t>#QualityStandardForm</t>
        </r>
      </text>
    </comment>
    <comment ref="A6" authorId="1" shapeId="0" xr:uid="{00000000-0006-0000-1500-000002000000}">
      <text>
        <r>
          <rPr>
            <b/>
            <sz val="9"/>
            <color indexed="81"/>
            <rFont val="ＭＳ Ｐゴシック"/>
            <family val="3"/>
            <charset val="128"/>
          </rPr>
          <t>down_Attribute部</t>
        </r>
      </text>
    </comment>
    <comment ref="H6" authorId="1" shapeId="0" xr:uid="{00000000-0006-0000-1500-000003000000}">
      <text>
        <r>
          <rPr>
            <b/>
            <sz val="9"/>
            <color indexed="81"/>
            <rFont val="ＭＳ Ｐゴシック"/>
            <family val="3"/>
            <charset val="128"/>
          </rPr>
          <t>down_SystemName</t>
        </r>
      </text>
    </comment>
    <comment ref="A8" authorId="0" shapeId="0" xr:uid="{00000000-0006-0000-1500-000004000000}">
      <text>
        <r>
          <rPr>
            <b/>
            <sz val="9"/>
            <color indexed="81"/>
            <rFont val="ＭＳ Ｐゴシック"/>
            <family val="3"/>
            <charset val="128"/>
          </rPr>
          <t>down_TaskName</t>
        </r>
      </text>
    </comment>
    <comment ref="O8" authorId="0" shapeId="0" xr:uid="{00000000-0006-0000-1500-000005000000}">
      <text>
        <r>
          <rPr>
            <b/>
            <sz val="9"/>
            <color indexed="81"/>
            <rFont val="ＭＳ Ｐゴシック"/>
            <family val="3"/>
            <charset val="128"/>
          </rPr>
          <t>down_ReferenceNumber</t>
        </r>
      </text>
    </comment>
    <comment ref="V8" authorId="2" shapeId="0" xr:uid="{00000000-0006-0000-1500-000006000000}">
      <text>
        <r>
          <rPr>
            <b/>
            <sz val="9"/>
            <color indexed="81"/>
            <rFont val="ＭＳ Ｐゴシック"/>
            <family val="3"/>
            <charset val="128"/>
          </rPr>
          <t>right_today</t>
        </r>
      </text>
    </comment>
    <comment ref="V9" authorId="2" shapeId="0" xr:uid="{00000000-0006-0000-1500-000007000000}">
      <text>
        <r>
          <rPr>
            <b/>
            <sz val="9"/>
            <color indexed="81"/>
            <rFont val="ＭＳ Ｐゴシック"/>
            <family val="3"/>
            <charset val="128"/>
          </rPr>
          <t>right_userID</t>
        </r>
      </text>
    </comment>
    <comment ref="B11" authorId="2" shapeId="0" xr:uid="{00000000-0006-0000-1500-000008000000}">
      <text>
        <r>
          <rPr>
            <b/>
            <sz val="9"/>
            <color indexed="81"/>
            <rFont val="ＭＳ Ｐゴシック"/>
            <family val="3"/>
            <charset val="128"/>
          </rPr>
          <t>right_CustomFieldDatafield/発見者/テスト名</t>
        </r>
      </text>
    </comment>
    <comment ref="F13" authorId="2" shapeId="0" xr:uid="{00000000-0006-0000-1500-000009000000}">
      <text>
        <r>
          <rPr>
            <b/>
            <sz val="9"/>
            <color indexed="81"/>
            <rFont val="ＭＳ Ｐゴシック"/>
            <family val="3"/>
            <charset val="128"/>
          </rPr>
          <t>col_CustomFieldDatafield/すり抜け確認/混入工程_企画支援</t>
        </r>
      </text>
    </comment>
    <comment ref="G13" authorId="2" shapeId="0" xr:uid="{00000000-0006-0000-1500-00000A000000}">
      <text>
        <r>
          <rPr>
            <b/>
            <sz val="9"/>
            <color indexed="81"/>
            <rFont val="ＭＳ Ｐゴシック"/>
            <family val="3"/>
            <charset val="128"/>
          </rPr>
          <t>col_CustomFieldDatafield/すり抜け確認/混入工程_要件定義</t>
        </r>
      </text>
    </comment>
    <comment ref="H13" authorId="2" shapeId="0" xr:uid="{00000000-0006-0000-1500-00000B000000}">
      <text>
        <r>
          <rPr>
            <b/>
            <sz val="9"/>
            <color indexed="81"/>
            <rFont val="ＭＳ Ｐゴシック"/>
            <family val="3"/>
            <charset val="128"/>
          </rPr>
          <t>col_CustomFieldDatafield/すり抜け確認/混入工程_基本設計</t>
        </r>
      </text>
    </comment>
    <comment ref="I13" authorId="2" shapeId="0" xr:uid="{00000000-0006-0000-1500-00000C000000}">
      <text>
        <r>
          <rPr>
            <b/>
            <sz val="9"/>
            <color indexed="81"/>
            <rFont val="ＭＳ Ｐゴシック"/>
            <family val="3"/>
            <charset val="128"/>
          </rPr>
          <t>col_CustomFieldDatafield/すり抜け確認/混入工程_詳細設計</t>
        </r>
      </text>
    </comment>
    <comment ref="J13" authorId="2" shapeId="0" xr:uid="{00000000-0006-0000-1500-00000D000000}">
      <text>
        <r>
          <rPr>
            <b/>
            <sz val="9"/>
            <color indexed="81"/>
            <rFont val="ＭＳ Ｐゴシック"/>
            <family val="3"/>
            <charset val="128"/>
          </rPr>
          <t>col_CustomFieldDatafield/すり抜け確認/混入工程_製造</t>
        </r>
      </text>
    </comment>
    <comment ref="K13" authorId="2" shapeId="0" xr:uid="{00000000-0006-0000-1500-00000E000000}">
      <text>
        <r>
          <rPr>
            <b/>
            <sz val="9"/>
            <color indexed="81"/>
            <rFont val="ＭＳ Ｐゴシック"/>
            <family val="3"/>
            <charset val="128"/>
          </rPr>
          <t>col_CustomFieldDatafield/すり抜け確認/混入工程_結合テスト</t>
        </r>
      </text>
    </comment>
    <comment ref="L13" authorId="2" shapeId="0" xr:uid="{00000000-0006-0000-1500-00000F000000}">
      <text>
        <r>
          <rPr>
            <b/>
            <sz val="9"/>
            <color indexed="81"/>
            <rFont val="ＭＳ Ｐゴシック"/>
            <family val="3"/>
            <charset val="128"/>
          </rPr>
          <t>col_CustomFieldDatafield/すり抜け確認/混入工程_システムテスト</t>
        </r>
      </text>
    </comment>
    <comment ref="M13" authorId="2" shapeId="0" xr:uid="{00000000-0006-0000-1500-000010000000}">
      <text>
        <r>
          <rPr>
            <b/>
            <sz val="9"/>
            <color indexed="81"/>
            <rFont val="ＭＳ Ｐゴシック"/>
            <family val="3"/>
            <charset val="128"/>
          </rPr>
          <t>col_CustomFieldDatafield/すり抜け確認/混入工程_移行導入</t>
        </r>
      </text>
    </comment>
    <comment ref="N13" authorId="2" shapeId="0" xr:uid="{00000000-0006-0000-1500-000011000000}">
      <text>
        <r>
          <rPr>
            <b/>
            <sz val="9"/>
            <color indexed="81"/>
            <rFont val="ＭＳ Ｐゴシック"/>
            <family val="3"/>
            <charset val="128"/>
          </rPr>
          <t>col_CustomFieldDatafield/すり抜け確認/混入工程_その他</t>
        </r>
      </text>
    </comment>
    <comment ref="E20" authorId="2" shapeId="0" xr:uid="{00000000-0006-0000-1500-000012000000}">
      <text>
        <r>
          <rPr>
            <b/>
            <sz val="9"/>
            <color indexed="81"/>
            <rFont val="ＭＳ Ｐゴシック"/>
            <family val="3"/>
            <charset val="128"/>
          </rPr>
          <t>row_CustomFieldDatafield/すり抜け確認/混入要因_要求の確認不足</t>
        </r>
      </text>
    </comment>
    <comment ref="E21" authorId="2" shapeId="0" xr:uid="{00000000-0006-0000-1500-000013000000}">
      <text>
        <r>
          <rPr>
            <b/>
            <sz val="9"/>
            <color indexed="81"/>
            <rFont val="ＭＳ Ｐゴシック"/>
            <family val="3"/>
            <charset val="128"/>
          </rPr>
          <t>row_CustomFieldDatafield/すり抜け確認/混入要因_設計条件の確認不足</t>
        </r>
      </text>
    </comment>
    <comment ref="E22" authorId="2" shapeId="0" xr:uid="{00000000-0006-0000-1500-000014000000}">
      <text>
        <r>
          <rPr>
            <b/>
            <sz val="9"/>
            <color indexed="81"/>
            <rFont val="ＭＳ Ｐゴシック"/>
            <family val="3"/>
            <charset val="128"/>
          </rPr>
          <t>row_CustomFieldDatafield/すり抜け確認/混入要因_実現方式の検討不足</t>
        </r>
      </text>
    </comment>
    <comment ref="E23" authorId="2" shapeId="0" xr:uid="{00000000-0006-0000-1500-000015000000}">
      <text>
        <r>
          <rPr>
            <b/>
            <sz val="9"/>
            <color indexed="81"/>
            <rFont val="ＭＳ Ｐゴシック"/>
            <family val="3"/>
            <charset val="128"/>
          </rPr>
          <t>row_CustomFieldDatafield/すり抜け確認/混入要因_設計技術の習熟不足</t>
        </r>
      </text>
    </comment>
    <comment ref="E24" authorId="2" shapeId="0" xr:uid="{00000000-0006-0000-1500-000016000000}">
      <text>
        <r>
          <rPr>
            <b/>
            <sz val="9"/>
            <color indexed="81"/>
            <rFont val="ＭＳ Ｐゴシック"/>
            <family val="3"/>
            <charset val="128"/>
          </rPr>
          <t>row_CustomFieldDatafield/すり抜け確認/混入要因_業務知識の習熟不足</t>
        </r>
      </text>
    </comment>
    <comment ref="E25" authorId="2" shapeId="0" xr:uid="{00000000-0006-0000-1500-000017000000}">
      <text>
        <r>
          <rPr>
            <b/>
            <sz val="9"/>
            <color indexed="81"/>
            <rFont val="ＭＳ Ｐゴシック"/>
            <family val="3"/>
            <charset val="128"/>
          </rPr>
          <t>row_CustomFieldDatafield/すり抜け確認/混入要因_周知連絡の不徹底</t>
        </r>
      </text>
    </comment>
    <comment ref="E26" authorId="2" shapeId="0" xr:uid="{00000000-0006-0000-1500-000018000000}">
      <text>
        <r>
          <rPr>
            <b/>
            <sz val="9"/>
            <color indexed="81"/>
            <rFont val="ＭＳ Ｐゴシック"/>
            <family val="3"/>
            <charset val="128"/>
          </rPr>
          <t>row_CustomFieldDatafield/すり抜け確認/混入要因_表現上の配慮不足</t>
        </r>
      </text>
    </comment>
    <comment ref="E27" authorId="2" shapeId="0" xr:uid="{00000000-0006-0000-1500-000019000000}">
      <text>
        <r>
          <rPr>
            <b/>
            <sz val="9"/>
            <color indexed="81"/>
            <rFont val="ＭＳ Ｐゴシック"/>
            <family val="3"/>
            <charset val="128"/>
          </rPr>
          <t>row_CustomFieldDatafield/すり抜け確認/混入要因_修正ミス</t>
        </r>
      </text>
    </comment>
    <comment ref="E28" authorId="2" shapeId="0" xr:uid="{00000000-0006-0000-1500-00001A000000}">
      <text>
        <r>
          <rPr>
            <b/>
            <sz val="9"/>
            <color indexed="81"/>
            <rFont val="ＭＳ Ｐゴシック"/>
            <family val="3"/>
            <charset val="128"/>
          </rPr>
          <t>row_CustomFieldDatafield/すり抜け確認/混入要因_その他</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品質開発部</author>
    <author>t501368</author>
  </authors>
  <commentList>
    <comment ref="A1" authorId="0" shapeId="0" xr:uid="{00000000-0006-0000-1600-000001000000}">
      <text>
        <r>
          <rPr>
            <b/>
            <sz val="9"/>
            <color indexed="81"/>
            <rFont val="ＭＳ Ｐゴシック"/>
            <family val="3"/>
            <charset val="128"/>
          </rPr>
          <t>#QualityStandardForm</t>
        </r>
      </text>
    </comment>
    <comment ref="A8" authorId="0" shapeId="0" xr:uid="{00000000-0006-0000-1600-000002000000}">
      <text>
        <r>
          <rPr>
            <b/>
            <sz val="9"/>
            <color indexed="81"/>
            <rFont val="ＭＳ Ｐゴシック"/>
            <family val="3"/>
            <charset val="128"/>
          </rPr>
          <t>down_TaskName</t>
        </r>
      </text>
    </comment>
    <comment ref="O8" authorId="0" shapeId="0" xr:uid="{00000000-0006-0000-1600-000003000000}">
      <text>
        <r>
          <rPr>
            <b/>
            <sz val="9"/>
            <color indexed="81"/>
            <rFont val="ＭＳ Ｐゴシック"/>
            <family val="3"/>
            <charset val="128"/>
          </rPr>
          <t>down_ReferenceNumber</t>
        </r>
      </text>
    </comment>
    <comment ref="V8" authorId="1" shapeId="0" xr:uid="{00000000-0006-0000-1600-000004000000}">
      <text>
        <r>
          <rPr>
            <b/>
            <sz val="9"/>
            <color indexed="81"/>
            <rFont val="ＭＳ Ｐゴシック"/>
            <family val="3"/>
            <charset val="128"/>
          </rPr>
          <t>right_today</t>
        </r>
      </text>
    </comment>
    <comment ref="V9" authorId="1" shapeId="0" xr:uid="{00000000-0006-0000-1600-000005000000}">
      <text>
        <r>
          <rPr>
            <b/>
            <sz val="9"/>
            <color indexed="81"/>
            <rFont val="ＭＳ Ｐゴシック"/>
            <family val="3"/>
            <charset val="128"/>
          </rPr>
          <t>right_userID</t>
        </r>
      </text>
    </comment>
  </commentList>
</comments>
</file>

<file path=xl/sharedStrings.xml><?xml version="1.0" encoding="utf-8"?>
<sst xmlns="http://schemas.openxmlformats.org/spreadsheetml/2006/main" count="2091" uniqueCount="802">
  <si>
    <t>QLT03-1</t>
    <phoneticPr fontId="23"/>
  </si>
  <si>
    <t>作成日</t>
    <rPh sb="0" eb="2">
      <t>サクセイ</t>
    </rPh>
    <rPh sb="2" eb="3">
      <t>ビ</t>
    </rPh>
    <phoneticPr fontId="23"/>
  </si>
  <si>
    <t>条件付完了（注）</t>
    <rPh sb="0" eb="2">
      <t>ジョウケン</t>
    </rPh>
    <rPh sb="2" eb="3">
      <t>ツキ</t>
    </rPh>
    <rPh sb="3" eb="5">
      <t>カンリョウ</t>
    </rPh>
    <rPh sb="6" eb="7">
      <t>チュウ</t>
    </rPh>
    <phoneticPr fontId="23"/>
  </si>
  <si>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23"/>
  </si>
  <si>
    <t>新規/改定</t>
    <rPh sb="0" eb="2">
      <t>シンキ</t>
    </rPh>
    <rPh sb="3" eb="5">
      <t>カイテイ</t>
    </rPh>
    <phoneticPr fontId="23"/>
  </si>
  <si>
    <t>レビュー日付</t>
    <rPh sb="4" eb="6">
      <t>ヒヅケ</t>
    </rPh>
    <phoneticPr fontId="23"/>
  </si>
  <si>
    <t>検討結果および修正内容</t>
    <rPh sb="0" eb="2">
      <t>ケントウ</t>
    </rPh>
    <rPh sb="2" eb="4">
      <t>ケッカ</t>
    </rPh>
    <rPh sb="7" eb="9">
      <t>シュウセイ</t>
    </rPh>
    <rPh sb="9" eb="11">
      <t>ナイヨウ</t>
    </rPh>
    <phoneticPr fontId="23"/>
  </si>
  <si>
    <t>修正要否</t>
    <rPh sb="0" eb="2">
      <t>シュウセイ</t>
    </rPh>
    <rPh sb="2" eb="4">
      <t>ヨウヒ</t>
    </rPh>
    <phoneticPr fontId="23"/>
  </si>
  <si>
    <t>修正担当者</t>
    <rPh sb="0" eb="2">
      <t>シュウセイ</t>
    </rPh>
    <rPh sb="2" eb="5">
      <t>タントウシャ</t>
    </rPh>
    <phoneticPr fontId="23"/>
  </si>
  <si>
    <t>修正確認者</t>
    <rPh sb="0" eb="2">
      <t>シュウセイ</t>
    </rPh>
    <rPh sb="2" eb="4">
      <t>カクニン</t>
    </rPh>
    <rPh sb="4" eb="5">
      <t>シャ</t>
    </rPh>
    <phoneticPr fontId="23"/>
  </si>
  <si>
    <t>詳細設計</t>
  </si>
  <si>
    <t>Ver.</t>
    <phoneticPr fontId="23"/>
  </si>
  <si>
    <t>【基準値】</t>
    <rPh sb="1" eb="4">
      <t>キジュンチ</t>
    </rPh>
    <phoneticPr fontId="23"/>
  </si>
  <si>
    <t>レビュー密度（人時/設計規模）</t>
    <rPh sb="4" eb="6">
      <t>ミツド</t>
    </rPh>
    <rPh sb="7" eb="8">
      <t>ニン</t>
    </rPh>
    <rPh sb="8" eb="9">
      <t>ジ</t>
    </rPh>
    <rPh sb="10" eb="12">
      <t>セッケイ</t>
    </rPh>
    <rPh sb="12" eb="14">
      <t>キボ</t>
    </rPh>
    <phoneticPr fontId="23"/>
  </si>
  <si>
    <t>レビュー時間
（人時）</t>
    <rPh sb="4" eb="6">
      <t>ジカン</t>
    </rPh>
    <rPh sb="8" eb="9">
      <t>ニン</t>
    </rPh>
    <rPh sb="9" eb="10">
      <t>ジ</t>
    </rPh>
    <phoneticPr fontId="23"/>
  </si>
  <si>
    <t>レビュー密度
（人時/設計規模）</t>
    <rPh sb="4" eb="6">
      <t>ミツド</t>
    </rPh>
    <rPh sb="8" eb="9">
      <t>ニン</t>
    </rPh>
    <rPh sb="9" eb="10">
      <t>ジ</t>
    </rPh>
    <rPh sb="11" eb="13">
      <t>セッケイ</t>
    </rPh>
    <rPh sb="13" eb="15">
      <t>キボ</t>
    </rPh>
    <phoneticPr fontId="23"/>
  </si>
  <si>
    <t>指摘摘出密度
（件数/設計規模）</t>
    <rPh sb="0" eb="2">
      <t>シテキ</t>
    </rPh>
    <rPh sb="2" eb="4">
      <t>テキシュツ</t>
    </rPh>
    <rPh sb="4" eb="6">
      <t>ミツド</t>
    </rPh>
    <rPh sb="8" eb="10">
      <t>ケンスウ</t>
    </rPh>
    <rPh sb="11" eb="13">
      <t>セッケイ</t>
    </rPh>
    <rPh sb="13" eb="15">
      <t>キボ</t>
    </rPh>
    <phoneticPr fontId="23"/>
  </si>
  <si>
    <t>○○データベース設計書</t>
    <rPh sb="8" eb="10">
      <t>セッケイ</t>
    </rPh>
    <rPh sb="10" eb="11">
      <t>ショ</t>
    </rPh>
    <phoneticPr fontId="23"/>
  </si>
  <si>
    <t>○○物理データ設計書</t>
    <rPh sb="2" eb="4">
      <t>ブツリ</t>
    </rPh>
    <rPh sb="7" eb="9">
      <t>セッケイ</t>
    </rPh>
    <rPh sb="9" eb="10">
      <t>ショ</t>
    </rPh>
    <phoneticPr fontId="23"/>
  </si>
  <si>
    <t>○○メッセージ定義書</t>
    <rPh sb="7" eb="10">
      <t>テイギショ</t>
    </rPh>
    <phoneticPr fontId="23"/>
  </si>
  <si>
    <t>○○ソフトウェアコンポーネント設計書</t>
    <rPh sb="15" eb="17">
      <t>セッケイ</t>
    </rPh>
    <rPh sb="17" eb="18">
      <t>ショ</t>
    </rPh>
    <phoneticPr fontId="23"/>
  </si>
  <si>
    <t>QLT04-2</t>
    <phoneticPr fontId="23"/>
  </si>
  <si>
    <t>レビュー状況管理表
（チームレビュー）</t>
    <rPh sb="4" eb="6">
      <t>ジョウキョウ</t>
    </rPh>
    <rPh sb="6" eb="8">
      <t>カンリ</t>
    </rPh>
    <rPh sb="8" eb="9">
      <t>ヒョウ</t>
    </rPh>
    <phoneticPr fontId="23"/>
  </si>
  <si>
    <t>Ver.</t>
    <phoneticPr fontId="23"/>
  </si>
  <si>
    <t>QLT04-3</t>
    <phoneticPr fontId="23"/>
  </si>
  <si>
    <t>レビュー状況管理表
（プロジェクトレビュー）</t>
    <rPh sb="4" eb="6">
      <t>ジョウキョウ</t>
    </rPh>
    <rPh sb="6" eb="8">
      <t>カンリ</t>
    </rPh>
    <rPh sb="8" eb="9">
      <t>ヒョウ</t>
    </rPh>
    <phoneticPr fontId="23"/>
  </si>
  <si>
    <t>Ver.</t>
    <phoneticPr fontId="23"/>
  </si>
  <si>
    <t>QLT04-4</t>
    <phoneticPr fontId="23"/>
  </si>
  <si>
    <t>レビュー状況管理表
（顧客レビュー）</t>
    <rPh sb="4" eb="6">
      <t>ジョウキョウ</t>
    </rPh>
    <rPh sb="6" eb="8">
      <t>カンリ</t>
    </rPh>
    <rPh sb="8" eb="9">
      <t>ヒョウ</t>
    </rPh>
    <rPh sb="11" eb="13">
      <t>コキャク</t>
    </rPh>
    <phoneticPr fontId="23"/>
  </si>
  <si>
    <t>Ver.</t>
    <phoneticPr fontId="23"/>
  </si>
  <si>
    <t>QLT12-1</t>
    <phoneticPr fontId="23"/>
  </si>
  <si>
    <t>Ver.</t>
    <phoneticPr fontId="23"/>
  </si>
  <si>
    <t>製造（単体テスト）　※任意</t>
    <rPh sb="0" eb="2">
      <t>セイゾウ</t>
    </rPh>
    <rPh sb="3" eb="5">
      <t>タンタイ</t>
    </rPh>
    <rPh sb="11" eb="12">
      <t>ニン</t>
    </rPh>
    <rPh sb="12" eb="13">
      <t>イ</t>
    </rPh>
    <phoneticPr fontId="23"/>
  </si>
  <si>
    <t>【テスト状況（詳細）】</t>
    <rPh sb="4" eb="6">
      <t>ジョウキョウ</t>
    </rPh>
    <rPh sb="7" eb="9">
      <t>ショウサイ</t>
    </rPh>
    <phoneticPr fontId="23"/>
  </si>
  <si>
    <t>テスト項目数</t>
    <rPh sb="3" eb="5">
      <t>コウモク</t>
    </rPh>
    <rPh sb="5" eb="6">
      <t>スウ</t>
    </rPh>
    <phoneticPr fontId="23"/>
  </si>
  <si>
    <t>テスト密度
（テスト項目数／製造規模）</t>
    <rPh sb="3" eb="5">
      <t>ミツド</t>
    </rPh>
    <rPh sb="10" eb="12">
      <t>コウモク</t>
    </rPh>
    <rPh sb="12" eb="13">
      <t>スウ</t>
    </rPh>
    <rPh sb="14" eb="16">
      <t>セイゾウ</t>
    </rPh>
    <rPh sb="16" eb="18">
      <t>キボ</t>
    </rPh>
    <phoneticPr fontId="23"/>
  </si>
  <si>
    <t>バグ摘出密度
（バグ発生件数／製造規模）</t>
    <rPh sb="2" eb="4">
      <t>テキシュツ</t>
    </rPh>
    <rPh sb="4" eb="6">
      <t>ミツド</t>
    </rPh>
    <rPh sb="10" eb="12">
      <t>ハッセイ</t>
    </rPh>
    <rPh sb="12" eb="13">
      <t>ケン</t>
    </rPh>
    <rPh sb="13" eb="14">
      <t>スウ</t>
    </rPh>
    <rPh sb="15" eb="17">
      <t>セイゾウ</t>
    </rPh>
    <rPh sb="17" eb="19">
      <t>キボ</t>
    </rPh>
    <phoneticPr fontId="23"/>
  </si>
  <si>
    <t>○○サブシステム</t>
    <phoneticPr fontId="23"/>
  </si>
  <si>
    <t>××サブシステム</t>
    <phoneticPr fontId="23"/>
  </si>
  <si>
    <t>□□サブシステム</t>
    <phoneticPr fontId="23"/>
  </si>
  <si>
    <t>コミュニケーションフロー（仕様変更）</t>
    <rPh sb="13" eb="15">
      <t>シヨウ</t>
    </rPh>
    <rPh sb="15" eb="17">
      <t>ヘンコウ</t>
    </rPh>
    <phoneticPr fontId="23"/>
  </si>
  <si>
    <t>WBS辞書</t>
    <rPh sb="3" eb="5">
      <t>ジショ</t>
    </rPh>
    <phoneticPr fontId="23"/>
  </si>
  <si>
    <t>レビュー状況管理表（チームレビュー）</t>
    <rPh sb="4" eb="6">
      <t>ジョウキョウ</t>
    </rPh>
    <rPh sb="6" eb="8">
      <t>カンリ</t>
    </rPh>
    <rPh sb="8" eb="9">
      <t>ヒョウ</t>
    </rPh>
    <phoneticPr fontId="23"/>
  </si>
  <si>
    <t>コミュニケーションフロー（Q&amp;A管理 当社受）</t>
    <rPh sb="16" eb="18">
      <t>カンリ</t>
    </rPh>
    <rPh sb="19" eb="21">
      <t>トウシャ</t>
    </rPh>
    <rPh sb="21" eb="22">
      <t>ウケ</t>
    </rPh>
    <phoneticPr fontId="23"/>
  </si>
  <si>
    <t>工程完了チェックシート</t>
    <rPh sb="0" eb="2">
      <t>コウテイ</t>
    </rPh>
    <rPh sb="2" eb="4">
      <t>カンリョウ</t>
    </rPh>
    <phoneticPr fontId="23"/>
  </si>
  <si>
    <t>レビュー状況管理表（プロジェクトレビュー）</t>
    <rPh sb="4" eb="6">
      <t>ジョウキョウ</t>
    </rPh>
    <rPh sb="6" eb="8">
      <t>カンリ</t>
    </rPh>
    <rPh sb="8" eb="9">
      <t>ヒョウ</t>
    </rPh>
    <phoneticPr fontId="23"/>
  </si>
  <si>
    <t>コミュニケーションフロー（Q&amp;A管理 当社発）</t>
    <rPh sb="16" eb="18">
      <t>カンリ</t>
    </rPh>
    <rPh sb="19" eb="21">
      <t>トウシャ</t>
    </rPh>
    <rPh sb="21" eb="22">
      <t>ハツ</t>
    </rPh>
    <phoneticPr fontId="23"/>
  </si>
  <si>
    <t>変更依頼票</t>
    <rPh sb="0" eb="2">
      <t>ヘンコウ</t>
    </rPh>
    <rPh sb="2" eb="4">
      <t>イライ</t>
    </rPh>
    <rPh sb="4" eb="5">
      <t>ヒョウ</t>
    </rPh>
    <phoneticPr fontId="23"/>
  </si>
  <si>
    <t>レビュー状況管理表（顧客レビュー）</t>
    <rPh sb="4" eb="6">
      <t>ジョウキョウ</t>
    </rPh>
    <rPh sb="6" eb="8">
      <t>カンリ</t>
    </rPh>
    <rPh sb="8" eb="9">
      <t>ヒョウ</t>
    </rPh>
    <rPh sb="10" eb="12">
      <t>コキャク</t>
    </rPh>
    <phoneticPr fontId="23"/>
  </si>
  <si>
    <t>コミュニケーションフロー（Q&amp;A管理 委託先発）</t>
    <rPh sb="16" eb="18">
      <t>カンリ</t>
    </rPh>
    <rPh sb="19" eb="22">
      <t>イタクサキ</t>
    </rPh>
    <rPh sb="22" eb="23">
      <t>ハツ</t>
    </rPh>
    <phoneticPr fontId="23"/>
  </si>
  <si>
    <t>変更管理一覧表</t>
    <rPh sb="0" eb="2">
      <t>ヘンコウ</t>
    </rPh>
    <rPh sb="2" eb="4">
      <t>カンリ</t>
    </rPh>
    <rPh sb="4" eb="6">
      <t>イチラン</t>
    </rPh>
    <rPh sb="6" eb="7">
      <t>ヒョウ</t>
    </rPh>
    <phoneticPr fontId="23"/>
  </si>
  <si>
    <t>設計書指摘分析図（サマリ）</t>
    <rPh sb="0" eb="2">
      <t>セッケイ</t>
    </rPh>
    <rPh sb="2" eb="3">
      <t>ショ</t>
    </rPh>
    <rPh sb="3" eb="5">
      <t>シテキ</t>
    </rPh>
    <rPh sb="5" eb="8">
      <t>ブンセキズ</t>
    </rPh>
    <phoneticPr fontId="23"/>
  </si>
  <si>
    <t>コミュニケーションフロー（課題管理）</t>
    <rPh sb="13" eb="15">
      <t>カダイ</t>
    </rPh>
    <rPh sb="15" eb="17">
      <t>カンリ</t>
    </rPh>
    <phoneticPr fontId="23"/>
  </si>
  <si>
    <t>進捗管理</t>
    <rPh sb="0" eb="2">
      <t>シンチョク</t>
    </rPh>
    <rPh sb="2" eb="4">
      <t>カンリ</t>
    </rPh>
    <phoneticPr fontId="23"/>
  </si>
  <si>
    <t>設計書指摘分析図（指摘現象‐指摘原因）</t>
    <rPh sb="0" eb="2">
      <t>セッケイ</t>
    </rPh>
    <rPh sb="2" eb="3">
      <t>ショ</t>
    </rPh>
    <rPh sb="3" eb="5">
      <t>シテキ</t>
    </rPh>
    <rPh sb="5" eb="8">
      <t>ブンセキズ</t>
    </rPh>
    <rPh sb="9" eb="11">
      <t>シテキ</t>
    </rPh>
    <rPh sb="11" eb="13">
      <t>ゲンショウ</t>
    </rPh>
    <rPh sb="14" eb="16">
      <t>シテキ</t>
    </rPh>
    <rPh sb="16" eb="18">
      <t>ゲンイン</t>
    </rPh>
    <phoneticPr fontId="23"/>
  </si>
  <si>
    <t>コミュニケーションフロー（リスク管理）</t>
    <rPh sb="16" eb="18">
      <t>カンリ</t>
    </rPh>
    <phoneticPr fontId="23"/>
  </si>
  <si>
    <t>QLT07-1</t>
    <phoneticPr fontId="23"/>
  </si>
  <si>
    <t>設計書指摘分析図（指摘現象‐混入工程）</t>
    <rPh sb="0" eb="2">
      <t>セッケイ</t>
    </rPh>
    <rPh sb="2" eb="3">
      <t>ショ</t>
    </rPh>
    <rPh sb="3" eb="5">
      <t>シテキ</t>
    </rPh>
    <rPh sb="5" eb="8">
      <t>ブンセキズ</t>
    </rPh>
    <rPh sb="9" eb="11">
      <t>シテキ</t>
    </rPh>
    <rPh sb="11" eb="13">
      <t>ゲンショウ</t>
    </rPh>
    <rPh sb="14" eb="16">
      <t>コンニュウ</t>
    </rPh>
    <rPh sb="16" eb="18">
      <t>コウテイ</t>
    </rPh>
    <phoneticPr fontId="23"/>
  </si>
  <si>
    <t>コミュニケーションフロー（不具合管理）</t>
    <rPh sb="13" eb="16">
      <t>フグアイ</t>
    </rPh>
    <rPh sb="16" eb="18">
      <t>カンリ</t>
    </rPh>
    <phoneticPr fontId="23"/>
  </si>
  <si>
    <t>PERT図</t>
    <rPh sb="4" eb="5">
      <t>ズ</t>
    </rPh>
    <phoneticPr fontId="23"/>
  </si>
  <si>
    <t>設計書指摘分析図（混入工程‐指摘原因）</t>
    <rPh sb="0" eb="2">
      <t>セッケイ</t>
    </rPh>
    <rPh sb="2" eb="3">
      <t>ショ</t>
    </rPh>
    <rPh sb="3" eb="5">
      <t>シテキ</t>
    </rPh>
    <rPh sb="5" eb="8">
      <t>ブンセキズ</t>
    </rPh>
    <rPh sb="9" eb="11">
      <t>コンニュウ</t>
    </rPh>
    <rPh sb="11" eb="13">
      <t>コウテイ</t>
    </rPh>
    <rPh sb="14" eb="16">
      <t>シテキ</t>
    </rPh>
    <rPh sb="16" eb="18">
      <t>ゲンイン</t>
    </rPh>
    <phoneticPr fontId="23"/>
  </si>
  <si>
    <t>コミュニケーションフロー（ユーザーテスト不具合管理）</t>
    <rPh sb="20" eb="23">
      <t>フグアイ</t>
    </rPh>
    <rPh sb="23" eb="25">
      <t>カンリ</t>
    </rPh>
    <phoneticPr fontId="23"/>
  </si>
  <si>
    <t>工程スケジュール</t>
    <rPh sb="0" eb="2">
      <t>コウテイ</t>
    </rPh>
    <phoneticPr fontId="23"/>
  </si>
  <si>
    <t>コミュニケーションフロー（状況報告）</t>
    <rPh sb="13" eb="15">
      <t>ジョウキョウ</t>
    </rPh>
    <rPh sb="15" eb="17">
      <t>ホウコク</t>
    </rPh>
    <phoneticPr fontId="23"/>
  </si>
  <si>
    <t>コスト管理</t>
    <rPh sb="3" eb="5">
      <t>カンリ</t>
    </rPh>
    <phoneticPr fontId="23"/>
  </si>
  <si>
    <t>課題管理一覧表</t>
    <rPh sb="0" eb="2">
      <t>カダイ</t>
    </rPh>
    <rPh sb="2" eb="4">
      <t>カンリ</t>
    </rPh>
    <rPh sb="4" eb="6">
      <t>イチラン</t>
    </rPh>
    <rPh sb="6" eb="7">
      <t>ヒョウ</t>
    </rPh>
    <phoneticPr fontId="23"/>
  </si>
  <si>
    <t>月別コスト管理表</t>
    <rPh sb="0" eb="2">
      <t>ツキベツ</t>
    </rPh>
    <rPh sb="5" eb="7">
      <t>カンリ</t>
    </rPh>
    <rPh sb="7" eb="8">
      <t>ヒョウ</t>
    </rPh>
    <phoneticPr fontId="23"/>
  </si>
  <si>
    <t>QLT11-1</t>
    <phoneticPr fontId="23"/>
  </si>
  <si>
    <t>テスト状況管理表</t>
    <rPh sb="3" eb="5">
      <t>ジョウキョウ</t>
    </rPh>
    <rPh sb="5" eb="7">
      <t>カンリ</t>
    </rPh>
    <rPh sb="7" eb="8">
      <t>ヒョウ</t>
    </rPh>
    <phoneticPr fontId="23"/>
  </si>
  <si>
    <t>受領物管理表</t>
    <rPh sb="0" eb="2">
      <t>ジュリョウ</t>
    </rPh>
    <rPh sb="2" eb="3">
      <t>ブツ</t>
    </rPh>
    <rPh sb="3" eb="5">
      <t>カンリ</t>
    </rPh>
    <rPh sb="5" eb="6">
      <t>ヒョウ</t>
    </rPh>
    <phoneticPr fontId="23"/>
  </si>
  <si>
    <t>要員管理</t>
    <rPh sb="0" eb="2">
      <t>ヨウイン</t>
    </rPh>
    <rPh sb="2" eb="4">
      <t>カンリ</t>
    </rPh>
    <phoneticPr fontId="23"/>
  </si>
  <si>
    <t>テスト詳細管理表</t>
    <rPh sb="3" eb="5">
      <t>ショウサイ</t>
    </rPh>
    <rPh sb="5" eb="7">
      <t>カンリ</t>
    </rPh>
    <rPh sb="7" eb="8">
      <t>ヒョウ</t>
    </rPh>
    <phoneticPr fontId="23"/>
  </si>
  <si>
    <t>役割／責任分担表</t>
    <rPh sb="0" eb="2">
      <t>ヤクワリ</t>
    </rPh>
    <rPh sb="3" eb="5">
      <t>セキニン</t>
    </rPh>
    <rPh sb="5" eb="7">
      <t>ブンタン</t>
    </rPh>
    <rPh sb="7" eb="8">
      <t>ヒョウ</t>
    </rPh>
    <phoneticPr fontId="23"/>
  </si>
  <si>
    <t>テストエラー分析図（サマリ）</t>
    <rPh sb="6" eb="9">
      <t>ブンセキズ</t>
    </rPh>
    <phoneticPr fontId="23"/>
  </si>
  <si>
    <t>プロジェクト体制図</t>
    <rPh sb="6" eb="8">
      <t>タイセイ</t>
    </rPh>
    <rPh sb="8" eb="9">
      <t>ズ</t>
    </rPh>
    <phoneticPr fontId="23"/>
  </si>
  <si>
    <t>QLT14-1</t>
    <phoneticPr fontId="23"/>
  </si>
  <si>
    <t>テストエラー分析図（エラー現象‐エラー原因）</t>
    <rPh sb="6" eb="9">
      <t>ブンセキズ</t>
    </rPh>
    <rPh sb="13" eb="15">
      <t>ゲンショウ</t>
    </rPh>
    <rPh sb="19" eb="21">
      <t>ゲンイン</t>
    </rPh>
    <phoneticPr fontId="23"/>
  </si>
  <si>
    <t>Q&amp;A管理票</t>
    <rPh sb="3" eb="5">
      <t>カンリ</t>
    </rPh>
    <rPh sb="5" eb="6">
      <t>ヒョウ</t>
    </rPh>
    <phoneticPr fontId="23"/>
  </si>
  <si>
    <t>プロジェクト体制表</t>
    <rPh sb="6" eb="8">
      <t>タイセイ</t>
    </rPh>
    <rPh sb="8" eb="9">
      <t>ヒョウ</t>
    </rPh>
    <phoneticPr fontId="23"/>
  </si>
  <si>
    <t>Q&amp;A管理一覧表</t>
    <rPh sb="3" eb="5">
      <t>カンリ</t>
    </rPh>
    <rPh sb="5" eb="7">
      <t>イチラン</t>
    </rPh>
    <rPh sb="7" eb="8">
      <t>ヒョウ</t>
    </rPh>
    <phoneticPr fontId="23"/>
  </si>
  <si>
    <t>要員管理表</t>
    <rPh sb="0" eb="2">
      <t>ヨウイン</t>
    </rPh>
    <rPh sb="2" eb="4">
      <t>カンリ</t>
    </rPh>
    <rPh sb="4" eb="5">
      <t>ヒョウ</t>
    </rPh>
    <phoneticPr fontId="23"/>
  </si>
  <si>
    <t>調達管理</t>
    <rPh sb="0" eb="2">
      <t>チョウタツ</t>
    </rPh>
    <rPh sb="2" eb="4">
      <t>カンリ</t>
    </rPh>
    <phoneticPr fontId="23"/>
  </si>
  <si>
    <t>要員山積管理表</t>
    <rPh sb="0" eb="2">
      <t>ヨウイン</t>
    </rPh>
    <rPh sb="2" eb="4">
      <t>ヤマヅ</t>
    </rPh>
    <rPh sb="4" eb="6">
      <t>カンリ</t>
    </rPh>
    <rPh sb="6" eb="7">
      <t>ヒョウ</t>
    </rPh>
    <phoneticPr fontId="23"/>
  </si>
  <si>
    <t>品質管理（分析サマリ）</t>
    <rPh sb="0" eb="2">
      <t>ヒンシツ</t>
    </rPh>
    <rPh sb="2" eb="4">
      <t>カンリ</t>
    </rPh>
    <rPh sb="5" eb="7">
      <t>ブンセキ</t>
    </rPh>
    <phoneticPr fontId="23"/>
  </si>
  <si>
    <t>調達先会社選定シート（外部委託）</t>
    <rPh sb="0" eb="2">
      <t>チョウタツ</t>
    </rPh>
    <rPh sb="2" eb="3">
      <t>サキ</t>
    </rPh>
    <rPh sb="3" eb="5">
      <t>カイシャ</t>
    </rPh>
    <rPh sb="5" eb="7">
      <t>センテイ</t>
    </rPh>
    <rPh sb="11" eb="13">
      <t>ガイブ</t>
    </rPh>
    <rPh sb="13" eb="15">
      <t>イタク</t>
    </rPh>
    <phoneticPr fontId="23"/>
  </si>
  <si>
    <t>調達先会社選定シート（物品購入）</t>
    <rPh sb="0" eb="2">
      <t>チョウタツ</t>
    </rPh>
    <rPh sb="2" eb="3">
      <t>サキ</t>
    </rPh>
    <rPh sb="3" eb="5">
      <t>カイシャ</t>
    </rPh>
    <rPh sb="5" eb="7">
      <t>センテイ</t>
    </rPh>
    <rPh sb="11" eb="13">
      <t>ブッピン</t>
    </rPh>
    <rPh sb="13" eb="15">
      <t>コウニュウ</t>
    </rPh>
    <phoneticPr fontId="23"/>
  </si>
  <si>
    <t>調達計画書</t>
    <rPh sb="0" eb="2">
      <t>チョウタツ</t>
    </rPh>
    <rPh sb="2" eb="5">
      <t>ケイカクショ</t>
    </rPh>
    <phoneticPr fontId="23"/>
  </si>
  <si>
    <t>WBS（スケジュール作成）</t>
    <rPh sb="10" eb="12">
      <t>サクセイ</t>
    </rPh>
    <phoneticPr fontId="23"/>
  </si>
  <si>
    <t>WBS（進捗管理）</t>
    <rPh sb="4" eb="6">
      <t>シンチョク</t>
    </rPh>
    <rPh sb="6" eb="8">
      <t>カンリ</t>
    </rPh>
    <phoneticPr fontId="23"/>
  </si>
  <si>
    <t>ITG01-1</t>
  </si>
  <si>
    <t>ITG01-2</t>
  </si>
  <si>
    <t>ITG02-1</t>
  </si>
  <si>
    <t>CMC05-1</t>
  </si>
  <si>
    <t>CMC05-2</t>
  </si>
  <si>
    <t>CMC05-3</t>
  </si>
  <si>
    <t>CMC06-1</t>
  </si>
  <si>
    <t>CMC06-2</t>
  </si>
  <si>
    <t>CMC06-3</t>
  </si>
  <si>
    <t>プロジェクト状況報告書（週次）定性報告</t>
  </si>
  <si>
    <t>プロジェクト状況報告書（週次）計数報告</t>
  </si>
  <si>
    <t>プロジェクト状況報告書（週次）素データ１</t>
  </si>
  <si>
    <t>プロジェクト状況報告書（週次）素データ２</t>
  </si>
  <si>
    <t>プロジェクト状況報告書（月次）定性報告</t>
  </si>
  <si>
    <t>プロジェクト状況報告書（月次）計数報告</t>
  </si>
  <si>
    <t>プロジェクト状況報告書（月次）素データ１</t>
  </si>
  <si>
    <t>プロジェクト状況報告書（月次）素データ２</t>
  </si>
  <si>
    <t>―</t>
    <phoneticPr fontId="23"/>
  </si>
  <si>
    <t>―</t>
    <phoneticPr fontId="23"/>
  </si>
  <si>
    <t>―</t>
    <phoneticPr fontId="23"/>
  </si>
  <si>
    <t>―</t>
    <phoneticPr fontId="23"/>
  </si>
  <si>
    <t>※製造規模の単位：KSLOC</t>
    <rPh sb="1" eb="3">
      <t>セイゾウ</t>
    </rPh>
    <rPh sb="3" eb="5">
      <t>キボ</t>
    </rPh>
    <rPh sb="6" eb="8">
      <t>タンイ</t>
    </rPh>
    <phoneticPr fontId="23"/>
  </si>
  <si>
    <t>―</t>
    <phoneticPr fontId="23"/>
  </si>
  <si>
    <t>１.２ 指摘現象分析（レビュー結果）</t>
    <rPh sb="4" eb="6">
      <t>シテキ</t>
    </rPh>
    <rPh sb="6" eb="8">
      <t>ゲンショウ</t>
    </rPh>
    <rPh sb="8" eb="10">
      <t>ブンセキ</t>
    </rPh>
    <rPh sb="15" eb="17">
      <t>ケッカ</t>
    </rPh>
    <phoneticPr fontId="23"/>
  </si>
  <si>
    <t>２.２ バグ現象分析（テスト結果）</t>
    <rPh sb="6" eb="8">
      <t>ゲンショウ</t>
    </rPh>
    <rPh sb="8" eb="10">
      <t>ブンセキ</t>
    </rPh>
    <rPh sb="14" eb="16">
      <t>ケッカ</t>
    </rPh>
    <phoneticPr fontId="23"/>
  </si>
  <si>
    <t>結合ﾃｽﾄ</t>
    <rPh sb="0" eb="2">
      <t>ケツゴウ</t>
    </rPh>
    <phoneticPr fontId="23"/>
  </si>
  <si>
    <t>ｼｽﾃﾑﾃｽﾄ</t>
    <phoneticPr fontId="23"/>
  </si>
  <si>
    <t>備考</t>
    <rPh sb="0" eb="2">
      <t>ビコウ</t>
    </rPh>
    <phoneticPr fontId="23"/>
  </si>
  <si>
    <t>システムダウン</t>
    <phoneticPr fontId="23"/>
  </si>
  <si>
    <t>ＡＢＥＮＤ</t>
    <phoneticPr fontId="23"/>
  </si>
  <si>
    <t>１.３ 指摘原因分析（レビュー結果）</t>
    <rPh sb="4" eb="6">
      <t>シテキ</t>
    </rPh>
    <rPh sb="6" eb="8">
      <t>ゲンイン</t>
    </rPh>
    <rPh sb="8" eb="10">
      <t>ブンセキ</t>
    </rPh>
    <rPh sb="15" eb="17">
      <t>ケッカ</t>
    </rPh>
    <phoneticPr fontId="23"/>
  </si>
  <si>
    <t>２.３ バグ原因分析（テスト結果）</t>
    <rPh sb="6" eb="8">
      <t>ゲンイン</t>
    </rPh>
    <rPh sb="8" eb="10">
      <t>ブンセキ</t>
    </rPh>
    <rPh sb="14" eb="16">
      <t>ケッカ</t>
    </rPh>
    <phoneticPr fontId="23"/>
  </si>
  <si>
    <t>基盤不備</t>
    <rPh sb="0" eb="2">
      <t>キバン</t>
    </rPh>
    <rPh sb="2" eb="4">
      <t>フビ</t>
    </rPh>
    <phoneticPr fontId="23"/>
  </si>
  <si>
    <t>データ不備</t>
    <rPh sb="3" eb="5">
      <t>フビ</t>
    </rPh>
    <phoneticPr fontId="23"/>
  </si>
  <si>
    <t>仕様書不備</t>
    <rPh sb="0" eb="2">
      <t>シヨウ</t>
    </rPh>
    <rPh sb="2" eb="3">
      <t>ショ</t>
    </rPh>
    <rPh sb="3" eb="5">
      <t>フビ</t>
    </rPh>
    <phoneticPr fontId="23"/>
  </si>
  <si>
    <t>仕様からの展開不備</t>
    <rPh sb="0" eb="2">
      <t>シヨウ</t>
    </rPh>
    <rPh sb="5" eb="7">
      <t>テンカイ</t>
    </rPh>
    <rPh sb="7" eb="9">
      <t>フビ</t>
    </rPh>
    <phoneticPr fontId="23"/>
  </si>
  <si>
    <t>仕様関連以外の問題</t>
    <rPh sb="0" eb="2">
      <t>シヨウ</t>
    </rPh>
    <rPh sb="2" eb="4">
      <t>カンレン</t>
    </rPh>
    <rPh sb="4" eb="6">
      <t>イガイ</t>
    </rPh>
    <rPh sb="7" eb="9">
      <t>モンダイ</t>
    </rPh>
    <phoneticPr fontId="23"/>
  </si>
  <si>
    <t>リスク管理</t>
    <rPh sb="3" eb="5">
      <t>カンリ</t>
    </rPh>
    <phoneticPr fontId="23"/>
  </si>
  <si>
    <t>スコープ管理計画書</t>
    <rPh sb="4" eb="6">
      <t>カンリ</t>
    </rPh>
    <rPh sb="6" eb="9">
      <t>ケイカクショ</t>
    </rPh>
    <phoneticPr fontId="23"/>
  </si>
  <si>
    <t>品質基準管理表（定量的観点）</t>
    <rPh sb="0" eb="2">
      <t>ヒンシツ</t>
    </rPh>
    <rPh sb="2" eb="4">
      <t>キジュン</t>
    </rPh>
    <rPh sb="4" eb="6">
      <t>カンリ</t>
    </rPh>
    <rPh sb="6" eb="7">
      <t>ヒョウ</t>
    </rPh>
    <rPh sb="8" eb="10">
      <t>テイリョウ</t>
    </rPh>
    <rPh sb="10" eb="11">
      <t>テキ</t>
    </rPh>
    <rPh sb="11" eb="13">
      <t>カンテン</t>
    </rPh>
    <phoneticPr fontId="23"/>
  </si>
  <si>
    <t>リスク管理計画書</t>
    <rPh sb="3" eb="5">
      <t>カンリ</t>
    </rPh>
    <rPh sb="5" eb="8">
      <t>ケイカクショ</t>
    </rPh>
    <phoneticPr fontId="23"/>
  </si>
  <si>
    <t>スコープ記述書</t>
    <rPh sb="4" eb="6">
      <t>キジュツ</t>
    </rPh>
    <rPh sb="6" eb="7">
      <t>ショ</t>
    </rPh>
    <phoneticPr fontId="23"/>
  </si>
  <si>
    <t>品質基準管理表（定性的観点）</t>
    <rPh sb="0" eb="2">
      <t>ヒンシツ</t>
    </rPh>
    <rPh sb="2" eb="4">
      <t>キジュン</t>
    </rPh>
    <rPh sb="4" eb="6">
      <t>カンリ</t>
    </rPh>
    <rPh sb="6" eb="7">
      <t>ヒョウ</t>
    </rPh>
    <rPh sb="8" eb="10">
      <t>サダムセイ</t>
    </rPh>
    <rPh sb="10" eb="11">
      <t>テキ</t>
    </rPh>
    <rPh sb="11" eb="13">
      <t>カンテン</t>
    </rPh>
    <phoneticPr fontId="23"/>
  </si>
  <si>
    <t>リスク管理一覧表</t>
    <rPh sb="3" eb="5">
      <t>カンリ</t>
    </rPh>
    <rPh sb="5" eb="7">
      <t>イチラン</t>
    </rPh>
    <rPh sb="7" eb="8">
      <t>ヒョウ</t>
    </rPh>
    <phoneticPr fontId="23"/>
  </si>
  <si>
    <t>SCP03-1</t>
    <phoneticPr fontId="23"/>
  </si>
  <si>
    <t>システム機能一覧表</t>
    <rPh sb="4" eb="6">
      <t>キノウ</t>
    </rPh>
    <rPh sb="6" eb="8">
      <t>イチラン</t>
    </rPh>
    <rPh sb="8" eb="9">
      <t>ヒョウ</t>
    </rPh>
    <phoneticPr fontId="23"/>
  </si>
  <si>
    <t>納品物／成果物一覧表</t>
    <rPh sb="0" eb="2">
      <t>ノウヒン</t>
    </rPh>
    <rPh sb="2" eb="3">
      <t>ブツ</t>
    </rPh>
    <rPh sb="4" eb="6">
      <t>セイカ</t>
    </rPh>
    <rPh sb="6" eb="7">
      <t>ブツ</t>
    </rPh>
    <rPh sb="7" eb="9">
      <t>イチラン</t>
    </rPh>
    <rPh sb="9" eb="10">
      <t>ヒョウ</t>
    </rPh>
    <phoneticPr fontId="23"/>
  </si>
  <si>
    <t>コミュニケーション定義書</t>
    <rPh sb="9" eb="11">
      <t>テイギ</t>
    </rPh>
    <rPh sb="11" eb="12">
      <t>ショ</t>
    </rPh>
    <phoneticPr fontId="23"/>
  </si>
  <si>
    <t>レビュー状況管理表（統一）</t>
    <rPh sb="4" eb="6">
      <t>ジョウキョウ</t>
    </rPh>
    <rPh sb="6" eb="8">
      <t>カンリ</t>
    </rPh>
    <rPh sb="8" eb="9">
      <t>ヒョウ</t>
    </rPh>
    <rPh sb="10" eb="12">
      <t>トウイツ</t>
    </rPh>
    <phoneticPr fontId="23"/>
  </si>
  <si>
    <t>基本設計</t>
  </si>
  <si>
    <t>契約番号</t>
  </si>
  <si>
    <t>□</t>
  </si>
  <si>
    <t>システムテスト</t>
  </si>
  <si>
    <t>発見者</t>
  </si>
  <si>
    <t>完了日</t>
  </si>
  <si>
    <t>会社名</t>
  </si>
  <si>
    <t>所属／チーム名</t>
  </si>
  <si>
    <t>発生対象業務名</t>
  </si>
  <si>
    <t>その他の内容</t>
  </si>
  <si>
    <t>バグ判定</t>
  </si>
  <si>
    <t>バグ発生原因</t>
  </si>
  <si>
    <t>関連仕様変更管理番号</t>
  </si>
  <si>
    <t>措置内容</t>
  </si>
  <si>
    <t>確認依頼日</t>
  </si>
  <si>
    <t>関連文書</t>
  </si>
  <si>
    <t>修正対応中</t>
  </si>
  <si>
    <t>df-001</t>
  </si>
  <si>
    <t>ボタン押下でエラー発生</t>
  </si>
  <si>
    <t>協力　次郎</t>
  </si>
  <si>
    <t>協力会社A</t>
  </si>
  <si>
    <t>開発２部</t>
  </si>
  <si>
    <t>結合テスト</t>
  </si>
  <si>
    <t>P☆MOT</t>
  </si>
  <si>
    <t>スコープ管理機能</t>
  </si>
  <si>
    <t>ABEND</t>
  </si>
  <si>
    <t>アプリケーション：プログラム設計</t>
  </si>
  <si>
    <t>バグである</t>
  </si>
  <si>
    <t>連動（組み合わせ）処理</t>
  </si>
  <si>
    <t>仕様展開問題：仕様の検討粗漏</t>
  </si>
  <si>
    <t>製造（単体テスト）</t>
  </si>
  <si>
    <t>テスト項目抽出漏れ</t>
  </si>
  <si>
    <t>関連あり</t>
  </si>
  <si>
    <t>変更依頼ch-001を実施したことに伴うデグレードが原因。</t>
  </si>
  <si>
    <t>デグレードしたプログラムを修正。</t>
  </si>
  <si>
    <t>Defect</t>
  </si>
  <si>
    <t>エラー画面キャプチャ</t>
  </si>
  <si>
    <t>df-002</t>
  </si>
  <si>
    <t>出力帳票レイアウト不具合</t>
  </si>
  <si>
    <t>帳票出力機能</t>
  </si>
  <si>
    <t>形式不正</t>
  </si>
  <si>
    <t>アプリケーション：詳細設計</t>
  </si>
  <si>
    <t>データ編集機能</t>
  </si>
  <si>
    <t>仕様書不備：記述漏れ</t>
  </si>
  <si>
    <t>結果確認ミス</t>
  </si>
  <si>
    <t>変更依頼ch-002を実施したことに伴うデグレードが原因。</t>
  </si>
  <si>
    <t>その他</t>
  </si>
  <si>
    <t>システムダウン</t>
  </si>
  <si>
    <t>工程</t>
    <rPh sb="0" eb="2">
      <t>コウテイ</t>
    </rPh>
    <phoneticPr fontId="23"/>
  </si>
  <si>
    <t>管理指標</t>
    <rPh sb="0" eb="2">
      <t>カンリ</t>
    </rPh>
    <rPh sb="2" eb="4">
      <t>シヒョウ</t>
    </rPh>
    <phoneticPr fontId="23"/>
  </si>
  <si>
    <t>算出方法</t>
    <rPh sb="0" eb="2">
      <t>サンシュツ</t>
    </rPh>
    <rPh sb="2" eb="4">
      <t>ホウホウ</t>
    </rPh>
    <phoneticPr fontId="23"/>
  </si>
  <si>
    <t>基準値（下限）</t>
    <rPh sb="0" eb="3">
      <t>キジュンチ</t>
    </rPh>
    <rPh sb="4" eb="6">
      <t>カゲン</t>
    </rPh>
    <phoneticPr fontId="23"/>
  </si>
  <si>
    <t>基準値（上限）</t>
    <rPh sb="0" eb="3">
      <t>キジュンチ</t>
    </rPh>
    <rPh sb="4" eb="6">
      <t>ジョウゲン</t>
    </rPh>
    <phoneticPr fontId="23"/>
  </si>
  <si>
    <t>顧客要求事項</t>
    <rPh sb="0" eb="2">
      <t>コキャク</t>
    </rPh>
    <rPh sb="2" eb="4">
      <t>ヨウキュウ</t>
    </rPh>
    <rPh sb="4" eb="6">
      <t>ジコウ</t>
    </rPh>
    <phoneticPr fontId="23"/>
  </si>
  <si>
    <t>管理様式</t>
    <rPh sb="0" eb="2">
      <t>カンリ</t>
    </rPh>
    <rPh sb="2" eb="4">
      <t>ヨウシキ</t>
    </rPh>
    <phoneticPr fontId="23"/>
  </si>
  <si>
    <t>基本設計書</t>
    <rPh sb="0" eb="2">
      <t>キホン</t>
    </rPh>
    <rPh sb="2" eb="4">
      <t>セッケイ</t>
    </rPh>
    <rPh sb="4" eb="5">
      <t>ショ</t>
    </rPh>
    <phoneticPr fontId="23"/>
  </si>
  <si>
    <t>レビュー工数（人時）／設計規模（枚数）</t>
    <phoneticPr fontId="23"/>
  </si>
  <si>
    <t>詳細設計書</t>
    <rPh sb="0" eb="2">
      <t>ショウサイ</t>
    </rPh>
    <rPh sb="2" eb="4">
      <t>セッケイ</t>
    </rPh>
    <rPh sb="4" eb="5">
      <t>ショ</t>
    </rPh>
    <phoneticPr fontId="23"/>
  </si>
  <si>
    <t>レビュー工数（人時）／設計規模（枚数）</t>
    <phoneticPr fontId="23"/>
  </si>
  <si>
    <t>製造工程</t>
    <rPh sb="0" eb="2">
      <t>セイゾウ</t>
    </rPh>
    <rPh sb="2" eb="4">
      <t>コウテイ</t>
    </rPh>
    <phoneticPr fontId="23"/>
  </si>
  <si>
    <t>単体テスト要項書兼結果記録書</t>
    <rPh sb="0" eb="2">
      <t>タンタイ</t>
    </rPh>
    <rPh sb="5" eb="6">
      <t>ヨウ</t>
    </rPh>
    <rPh sb="6" eb="7">
      <t>コウ</t>
    </rPh>
    <rPh sb="7" eb="8">
      <t>ショ</t>
    </rPh>
    <rPh sb="8" eb="9">
      <t>ケン</t>
    </rPh>
    <rPh sb="9" eb="11">
      <t>ケッカ</t>
    </rPh>
    <rPh sb="11" eb="13">
      <t>キロク</t>
    </rPh>
    <rPh sb="13" eb="14">
      <t>ショ</t>
    </rPh>
    <phoneticPr fontId="23"/>
  </si>
  <si>
    <t>レビュー工数（人時）／設計規模（枚数）</t>
    <phoneticPr fontId="23"/>
  </si>
  <si>
    <t>結合テスト要項書兼結果記録書</t>
    <rPh sb="0" eb="2">
      <t>ケツゴウ</t>
    </rPh>
    <rPh sb="5" eb="6">
      <t>ヨウ</t>
    </rPh>
    <rPh sb="6" eb="7">
      <t>コウ</t>
    </rPh>
    <rPh sb="7" eb="8">
      <t>ショ</t>
    </rPh>
    <rPh sb="8" eb="9">
      <t>ケン</t>
    </rPh>
    <rPh sb="9" eb="11">
      <t>ケッカ</t>
    </rPh>
    <rPh sb="11" eb="13">
      <t>キロク</t>
    </rPh>
    <rPh sb="13" eb="14">
      <t>ショ</t>
    </rPh>
    <phoneticPr fontId="23"/>
  </si>
  <si>
    <t>システムテスト要項書兼結果記録書</t>
    <rPh sb="7" eb="8">
      <t>ヨウ</t>
    </rPh>
    <rPh sb="8" eb="9">
      <t>コウ</t>
    </rPh>
    <rPh sb="9" eb="10">
      <t>ショ</t>
    </rPh>
    <rPh sb="10" eb="11">
      <t>ケン</t>
    </rPh>
    <rPh sb="11" eb="13">
      <t>ケッカ</t>
    </rPh>
    <rPh sb="13" eb="15">
      <t>キロク</t>
    </rPh>
    <rPh sb="15" eb="16">
      <t>ショ</t>
    </rPh>
    <phoneticPr fontId="23"/>
  </si>
  <si>
    <t>レビュー工数（人時）／設計規模（枚数）</t>
    <phoneticPr fontId="23"/>
  </si>
  <si>
    <t>移行設計書</t>
    <rPh sb="0" eb="2">
      <t>イコウ</t>
    </rPh>
    <rPh sb="2" eb="4">
      <t>セッケイ</t>
    </rPh>
    <rPh sb="4" eb="5">
      <t>ショ</t>
    </rPh>
    <phoneticPr fontId="23"/>
  </si>
  <si>
    <t>品質管理内容</t>
    <rPh sb="0" eb="2">
      <t>ヒンシツ</t>
    </rPh>
    <rPh sb="2" eb="4">
      <t>カンリ</t>
    </rPh>
    <rPh sb="4" eb="6">
      <t>ナイヨウ</t>
    </rPh>
    <phoneticPr fontId="23"/>
  </si>
  <si>
    <t>信頼性テスト</t>
    <rPh sb="0" eb="3">
      <t>シンライセイ</t>
    </rPh>
    <phoneticPr fontId="23"/>
  </si>
  <si>
    <t>システムテスト</t>
    <phoneticPr fontId="23"/>
  </si>
  <si>
    <t>現新比較テスト</t>
    <rPh sb="0" eb="1">
      <t>ゲン</t>
    </rPh>
    <rPh sb="1" eb="2">
      <t>シン</t>
    </rPh>
    <rPh sb="2" eb="4">
      <t>ヒカク</t>
    </rPh>
    <phoneticPr fontId="23"/>
  </si>
  <si>
    <t>対象工程</t>
    <rPh sb="0" eb="2">
      <t>タイショウ</t>
    </rPh>
    <rPh sb="2" eb="4">
      <t>コウテイ</t>
    </rPh>
    <phoneticPr fontId="23"/>
  </si>
  <si>
    <t>サブシステム</t>
    <phoneticPr fontId="23"/>
  </si>
  <si>
    <t>レビュー種別</t>
    <rPh sb="4" eb="6">
      <t>シュベツ</t>
    </rPh>
    <phoneticPr fontId="23"/>
  </si>
  <si>
    <t>レビュー対象成果物</t>
    <rPh sb="4" eb="6">
      <t>タイショウ</t>
    </rPh>
    <rPh sb="6" eb="8">
      <t>セイカ</t>
    </rPh>
    <rPh sb="8" eb="9">
      <t>ブツ</t>
    </rPh>
    <phoneticPr fontId="23"/>
  </si>
  <si>
    <t>チェック内容</t>
    <rPh sb="4" eb="6">
      <t>ナイヨウ</t>
    </rPh>
    <phoneticPr fontId="23"/>
  </si>
  <si>
    <t>レビュー者</t>
    <rPh sb="4" eb="5">
      <t>シャ</t>
    </rPh>
    <phoneticPr fontId="23"/>
  </si>
  <si>
    <t>【共通】</t>
    <rPh sb="1" eb="3">
      <t>キョウツウ</t>
    </rPh>
    <phoneticPr fontId="23"/>
  </si>
  <si>
    <t>レビュー結果</t>
    <rPh sb="4" eb="6">
      <t>ケッカ</t>
    </rPh>
    <phoneticPr fontId="23"/>
  </si>
  <si>
    <t>特記事項</t>
    <rPh sb="0" eb="2">
      <t>トッキ</t>
    </rPh>
    <rPh sb="2" eb="4">
      <t>ジコウ</t>
    </rPh>
    <phoneticPr fontId="23"/>
  </si>
  <si>
    <t>完了</t>
    <rPh sb="0" eb="2">
      <t>カンリョウ</t>
    </rPh>
    <phoneticPr fontId="23"/>
  </si>
  <si>
    <t>再レビュー</t>
    <rPh sb="0" eb="1">
      <t>サイ</t>
    </rPh>
    <phoneticPr fontId="23"/>
  </si>
  <si>
    <t>成果物名</t>
    <rPh sb="0" eb="2">
      <t>セイカ</t>
    </rPh>
    <rPh sb="2" eb="3">
      <t>ブツ</t>
    </rPh>
    <rPh sb="3" eb="4">
      <t>メイ</t>
    </rPh>
    <phoneticPr fontId="23"/>
  </si>
  <si>
    <t>設計規模</t>
    <rPh sb="0" eb="2">
      <t>セッケイ</t>
    </rPh>
    <rPh sb="2" eb="4">
      <t>キボ</t>
    </rPh>
    <phoneticPr fontId="23"/>
  </si>
  <si>
    <t>レビュー回数</t>
    <rPh sb="4" eb="6">
      <t>カイスウ</t>
    </rPh>
    <phoneticPr fontId="23"/>
  </si>
  <si>
    <t>参加人数</t>
    <rPh sb="0" eb="2">
      <t>サンカ</t>
    </rPh>
    <rPh sb="2" eb="4">
      <t>ニンズウ</t>
    </rPh>
    <phoneticPr fontId="23"/>
  </si>
  <si>
    <t>レビュー時間</t>
    <rPh sb="4" eb="6">
      <t>ジカン</t>
    </rPh>
    <phoneticPr fontId="23"/>
  </si>
  <si>
    <t>レビュー工数</t>
    <rPh sb="4" eb="6">
      <t>コウスウ</t>
    </rPh>
    <phoneticPr fontId="23"/>
  </si>
  <si>
    <t>No.</t>
    <phoneticPr fontId="23"/>
  </si>
  <si>
    <t>記述箇所</t>
    <rPh sb="0" eb="2">
      <t>キジュツ</t>
    </rPh>
    <rPh sb="2" eb="4">
      <t>カショ</t>
    </rPh>
    <phoneticPr fontId="23"/>
  </si>
  <si>
    <t>指摘事項</t>
    <rPh sb="0" eb="2">
      <t>シテキ</t>
    </rPh>
    <rPh sb="2" eb="4">
      <t>ジコウ</t>
    </rPh>
    <phoneticPr fontId="23"/>
  </si>
  <si>
    <t>指摘者</t>
    <rPh sb="0" eb="2">
      <t>シテキ</t>
    </rPh>
    <rPh sb="2" eb="3">
      <t>シャ</t>
    </rPh>
    <phoneticPr fontId="23"/>
  </si>
  <si>
    <t>発生種別</t>
    <rPh sb="0" eb="2">
      <t>ハッセイ</t>
    </rPh>
    <rPh sb="2" eb="4">
      <t>シュベツ</t>
    </rPh>
    <phoneticPr fontId="23"/>
  </si>
  <si>
    <t>指摘現象</t>
    <rPh sb="0" eb="2">
      <t>シテキ</t>
    </rPh>
    <rPh sb="2" eb="4">
      <t>ゲンショウ</t>
    </rPh>
    <phoneticPr fontId="23"/>
  </si>
  <si>
    <t>重要度</t>
    <rPh sb="0" eb="3">
      <t>ジュウヨウド</t>
    </rPh>
    <phoneticPr fontId="23"/>
  </si>
  <si>
    <t>指摘原因</t>
    <rPh sb="0" eb="2">
      <t>シテキ</t>
    </rPh>
    <rPh sb="2" eb="4">
      <t>ゲンイン</t>
    </rPh>
    <phoneticPr fontId="23"/>
  </si>
  <si>
    <t>混入工程</t>
    <rPh sb="0" eb="2">
      <t>コンニュウ</t>
    </rPh>
    <rPh sb="2" eb="4">
      <t>コウテイ</t>
    </rPh>
    <phoneticPr fontId="23"/>
  </si>
  <si>
    <t>品質管理</t>
    <rPh sb="0" eb="2">
      <t>ヒンシツ</t>
    </rPh>
    <rPh sb="2" eb="4">
      <t>カンリ</t>
    </rPh>
    <phoneticPr fontId="23"/>
  </si>
  <si>
    <t>レビュー指摘表</t>
    <rPh sb="4" eb="6">
      <t>シテキ</t>
    </rPh>
    <rPh sb="6" eb="7">
      <t>ヒョウ</t>
    </rPh>
    <phoneticPr fontId="23"/>
  </si>
  <si>
    <t>責任者</t>
    <rPh sb="0" eb="3">
      <t>セキニンシャ</t>
    </rPh>
    <phoneticPr fontId="23"/>
  </si>
  <si>
    <t>担当者</t>
    <rPh sb="0" eb="3">
      <t>タントウシャ</t>
    </rPh>
    <phoneticPr fontId="23"/>
  </si>
  <si>
    <t>20  /  /</t>
    <phoneticPr fontId="23"/>
  </si>
  <si>
    <t>独自管理項目</t>
    <rPh sb="0" eb="2">
      <t>ドクジ</t>
    </rPh>
    <rPh sb="2" eb="4">
      <t>カンリ</t>
    </rPh>
    <rPh sb="4" eb="6">
      <t>コウモク</t>
    </rPh>
    <phoneticPr fontId="23"/>
  </si>
  <si>
    <t>起票日</t>
    <rPh sb="0" eb="2">
      <t>キヒョウ</t>
    </rPh>
    <rPh sb="2" eb="3">
      <t>ビ</t>
    </rPh>
    <phoneticPr fontId="23"/>
  </si>
  <si>
    <t>内部ID</t>
    <rPh sb="0" eb="2">
      <t>ナイブ</t>
    </rPh>
    <phoneticPr fontId="23"/>
  </si>
  <si>
    <t>参照番号</t>
    <rPh sb="0" eb="2">
      <t>サンショウ</t>
    </rPh>
    <rPh sb="2" eb="4">
      <t>バンゴウ</t>
    </rPh>
    <phoneticPr fontId="23"/>
  </si>
  <si>
    <t>項目01</t>
    <rPh sb="0" eb="2">
      <t>コウモク</t>
    </rPh>
    <phoneticPr fontId="23"/>
  </si>
  <si>
    <t>項目02</t>
    <rPh sb="0" eb="2">
      <t>コウモク</t>
    </rPh>
    <phoneticPr fontId="23"/>
  </si>
  <si>
    <t>項目03</t>
    <rPh sb="0" eb="2">
      <t>コウモク</t>
    </rPh>
    <phoneticPr fontId="23"/>
  </si>
  <si>
    <t>項目04</t>
    <rPh sb="0" eb="2">
      <t>コウモク</t>
    </rPh>
    <phoneticPr fontId="23"/>
  </si>
  <si>
    <t>項目05</t>
    <rPh sb="0" eb="2">
      <t>コウモク</t>
    </rPh>
    <phoneticPr fontId="23"/>
  </si>
  <si>
    <t>項目06</t>
    <rPh sb="0" eb="2">
      <t>コウモク</t>
    </rPh>
    <phoneticPr fontId="23"/>
  </si>
  <si>
    <t>項目07</t>
    <rPh sb="0" eb="2">
      <t>コウモク</t>
    </rPh>
    <phoneticPr fontId="23"/>
  </si>
  <si>
    <t>項目08</t>
    <rPh sb="0" eb="2">
      <t>コウモク</t>
    </rPh>
    <phoneticPr fontId="23"/>
  </si>
  <si>
    <t>項目09</t>
    <rPh sb="0" eb="2">
      <t>コウモク</t>
    </rPh>
    <phoneticPr fontId="23"/>
  </si>
  <si>
    <t>項目10</t>
    <rPh sb="0" eb="2">
      <t>コウモク</t>
    </rPh>
    <phoneticPr fontId="23"/>
  </si>
  <si>
    <t>詳細設計</t>
    <rPh sb="0" eb="2">
      <t>ショウサイ</t>
    </rPh>
    <rPh sb="2" eb="4">
      <t>セッケイ</t>
    </rPh>
    <phoneticPr fontId="23"/>
  </si>
  <si>
    <t>指摘摘出密度（件数/設計規模）</t>
    <rPh sb="0" eb="2">
      <t>シテキ</t>
    </rPh>
    <rPh sb="2" eb="4">
      <t>テキシュツ</t>
    </rPh>
    <rPh sb="4" eb="6">
      <t>ミツド</t>
    </rPh>
    <rPh sb="7" eb="9">
      <t>ケンスウ</t>
    </rPh>
    <rPh sb="10" eb="12">
      <t>セッケイ</t>
    </rPh>
    <rPh sb="12" eb="14">
      <t>キボ</t>
    </rPh>
    <phoneticPr fontId="23"/>
  </si>
  <si>
    <t>チームレビュー</t>
    <phoneticPr fontId="23"/>
  </si>
  <si>
    <t>0.200 - 0.600</t>
    <phoneticPr fontId="23"/>
  </si>
  <si>
    <t>プロジェクトレビュー</t>
    <phoneticPr fontId="23"/>
  </si>
  <si>
    <t>0.150 - 0.550</t>
    <phoneticPr fontId="23"/>
  </si>
  <si>
    <t>顧客レビュー</t>
    <rPh sb="0" eb="2">
      <t>コキャク</t>
    </rPh>
    <phoneticPr fontId="23"/>
  </si>
  <si>
    <t>0.100 - 0.500</t>
    <phoneticPr fontId="23"/>
  </si>
  <si>
    <t>【レビュー状況】</t>
    <rPh sb="5" eb="7">
      <t>ジョウキョウ</t>
    </rPh>
    <phoneticPr fontId="23"/>
  </si>
  <si>
    <t>チームレビュー</t>
    <phoneticPr fontId="23"/>
  </si>
  <si>
    <t>プロジェクトレビュー</t>
    <phoneticPr fontId="23"/>
  </si>
  <si>
    <t>指摘件数</t>
    <rPh sb="0" eb="2">
      <t>シテキ</t>
    </rPh>
    <rPh sb="2" eb="4">
      <t>ケンスウ</t>
    </rPh>
    <phoneticPr fontId="23"/>
  </si>
  <si>
    <t>分析種別</t>
    <rPh sb="0" eb="2">
      <t>ブンセキ</t>
    </rPh>
    <rPh sb="2" eb="4">
      <t>シュベツ</t>
    </rPh>
    <phoneticPr fontId="23"/>
  </si>
  <si>
    <t>内容</t>
    <rPh sb="0" eb="2">
      <t>ナイヨウ</t>
    </rPh>
    <phoneticPr fontId="23"/>
  </si>
  <si>
    <t>件数</t>
    <rPh sb="0" eb="2">
      <t>ケンスウ</t>
    </rPh>
    <phoneticPr fontId="23"/>
  </si>
  <si>
    <t>設計</t>
    <rPh sb="0" eb="2">
      <t>セッケイ</t>
    </rPh>
    <phoneticPr fontId="23"/>
  </si>
  <si>
    <t>要求の確認不足</t>
    <rPh sb="0" eb="2">
      <t>ヨウキュウ</t>
    </rPh>
    <rPh sb="3" eb="5">
      <t>カクニン</t>
    </rPh>
    <rPh sb="5" eb="7">
      <t>フソク</t>
    </rPh>
    <phoneticPr fontId="23"/>
  </si>
  <si>
    <t>ドキュメント化</t>
    <rPh sb="6" eb="7">
      <t>カ</t>
    </rPh>
    <phoneticPr fontId="23"/>
  </si>
  <si>
    <t>設計条件の確認不足</t>
    <rPh sb="0" eb="2">
      <t>セッケイ</t>
    </rPh>
    <rPh sb="2" eb="4">
      <t>ジョウケン</t>
    </rPh>
    <rPh sb="5" eb="7">
      <t>カクニン</t>
    </rPh>
    <rPh sb="7" eb="9">
      <t>フソク</t>
    </rPh>
    <phoneticPr fontId="23"/>
  </si>
  <si>
    <t>顧客要求仕様の変更</t>
    <rPh sb="0" eb="2">
      <t>コキャク</t>
    </rPh>
    <rPh sb="2" eb="4">
      <t>ヨウキュウ</t>
    </rPh>
    <rPh sb="4" eb="6">
      <t>シヨウ</t>
    </rPh>
    <rPh sb="7" eb="9">
      <t>ヘンコウ</t>
    </rPh>
    <phoneticPr fontId="23"/>
  </si>
  <si>
    <t>実現方式の検討不足</t>
    <rPh sb="0" eb="2">
      <t>ジツゲン</t>
    </rPh>
    <rPh sb="2" eb="4">
      <t>ホウシキ</t>
    </rPh>
    <rPh sb="5" eb="7">
      <t>ケントウ</t>
    </rPh>
    <rPh sb="7" eb="9">
      <t>フソク</t>
    </rPh>
    <phoneticPr fontId="23"/>
  </si>
  <si>
    <t>その他</t>
    <rPh sb="2" eb="3">
      <t>タ</t>
    </rPh>
    <phoneticPr fontId="23"/>
  </si>
  <si>
    <t>設計技術の習熟不足</t>
    <rPh sb="0" eb="2">
      <t>セッケイ</t>
    </rPh>
    <rPh sb="2" eb="4">
      <t>ギジュツ</t>
    </rPh>
    <rPh sb="5" eb="7">
      <t>シュウジュク</t>
    </rPh>
    <rPh sb="7" eb="9">
      <t>フソク</t>
    </rPh>
    <phoneticPr fontId="23"/>
  </si>
  <si>
    <t>業務知識の習熟不足</t>
    <rPh sb="0" eb="2">
      <t>ギョウム</t>
    </rPh>
    <rPh sb="2" eb="4">
      <t>チシキ</t>
    </rPh>
    <rPh sb="5" eb="7">
      <t>シュウジュク</t>
    </rPh>
    <rPh sb="7" eb="9">
      <t>フソク</t>
    </rPh>
    <phoneticPr fontId="23"/>
  </si>
  <si>
    <t>周知連絡の不徹底</t>
    <rPh sb="0" eb="2">
      <t>シュウチ</t>
    </rPh>
    <rPh sb="2" eb="4">
      <t>レンラク</t>
    </rPh>
    <rPh sb="5" eb="8">
      <t>フテッテイ</t>
    </rPh>
    <phoneticPr fontId="23"/>
  </si>
  <si>
    <t>表現上の配慮不足</t>
    <rPh sb="0" eb="3">
      <t>ヒョウゲンジョウ</t>
    </rPh>
    <rPh sb="4" eb="6">
      <t>ハイリョ</t>
    </rPh>
    <rPh sb="6" eb="8">
      <t>フソク</t>
    </rPh>
    <phoneticPr fontId="23"/>
  </si>
  <si>
    <t>修正ミス</t>
    <rPh sb="0" eb="2">
      <t>シュウセイ</t>
    </rPh>
    <phoneticPr fontId="23"/>
  </si>
  <si>
    <t>設計漏れ</t>
    <rPh sb="0" eb="2">
      <t>セッケイ</t>
    </rPh>
    <rPh sb="2" eb="3">
      <t>モ</t>
    </rPh>
    <phoneticPr fontId="23"/>
  </si>
  <si>
    <t>要件定義</t>
    <rPh sb="0" eb="2">
      <t>ヨウケン</t>
    </rPh>
    <rPh sb="2" eb="4">
      <t>テイギ</t>
    </rPh>
    <phoneticPr fontId="23"/>
  </si>
  <si>
    <t>設計誤り</t>
    <rPh sb="0" eb="2">
      <t>セッケイ</t>
    </rPh>
    <rPh sb="2" eb="3">
      <t>アヤマ</t>
    </rPh>
    <phoneticPr fontId="23"/>
  </si>
  <si>
    <t>基本設計</t>
    <rPh sb="0" eb="2">
      <t>キホン</t>
    </rPh>
    <rPh sb="2" eb="4">
      <t>セッケイ</t>
    </rPh>
    <phoneticPr fontId="23"/>
  </si>
  <si>
    <t>説明内容不明確</t>
    <rPh sb="0" eb="2">
      <t>セツメイ</t>
    </rPh>
    <rPh sb="2" eb="4">
      <t>ナイヨウ</t>
    </rPh>
    <rPh sb="4" eb="7">
      <t>フメイカク</t>
    </rPh>
    <phoneticPr fontId="23"/>
  </si>
  <si>
    <t>標準違反</t>
    <rPh sb="0" eb="2">
      <t>ヒョウジュン</t>
    </rPh>
    <rPh sb="2" eb="4">
      <t>イハン</t>
    </rPh>
    <phoneticPr fontId="23"/>
  </si>
  <si>
    <t>製造（単体テスト）</t>
    <rPh sb="0" eb="2">
      <t>セイゾウ</t>
    </rPh>
    <rPh sb="3" eb="5">
      <t>タンタイ</t>
    </rPh>
    <phoneticPr fontId="23"/>
  </si>
  <si>
    <t>再利用誤り</t>
    <rPh sb="0" eb="3">
      <t>サイリヨウ</t>
    </rPh>
    <rPh sb="3" eb="4">
      <t>アヤマ</t>
    </rPh>
    <phoneticPr fontId="23"/>
  </si>
  <si>
    <t>結合テスト</t>
    <rPh sb="0" eb="2">
      <t>ケツゴウ</t>
    </rPh>
    <phoneticPr fontId="23"/>
  </si>
  <si>
    <t>表現上の記述不良</t>
    <rPh sb="0" eb="2">
      <t>ヒョウゲン</t>
    </rPh>
    <rPh sb="2" eb="3">
      <t>ウエ</t>
    </rPh>
    <rPh sb="4" eb="6">
      <t>キジュツ</t>
    </rPh>
    <rPh sb="6" eb="8">
      <t>フリョウ</t>
    </rPh>
    <phoneticPr fontId="23"/>
  </si>
  <si>
    <t>システムテスト</t>
    <phoneticPr fontId="23"/>
  </si>
  <si>
    <t>設計の改善</t>
    <rPh sb="0" eb="2">
      <t>セッケイ</t>
    </rPh>
    <rPh sb="3" eb="5">
      <t>カイゼン</t>
    </rPh>
    <phoneticPr fontId="23"/>
  </si>
  <si>
    <t>移行導入</t>
    <rPh sb="0" eb="2">
      <t>イコウ</t>
    </rPh>
    <rPh sb="2" eb="4">
      <t>ドウニュウ</t>
    </rPh>
    <phoneticPr fontId="23"/>
  </si>
  <si>
    <t>非指摘扱い</t>
    <rPh sb="0" eb="1">
      <t>ヒ</t>
    </rPh>
    <rPh sb="1" eb="3">
      <t>シテキ</t>
    </rPh>
    <rPh sb="3" eb="4">
      <t>アツカ</t>
    </rPh>
    <phoneticPr fontId="23"/>
  </si>
  <si>
    <t>高</t>
    <rPh sb="0" eb="1">
      <t>コウ</t>
    </rPh>
    <phoneticPr fontId="23"/>
  </si>
  <si>
    <t>中</t>
    <rPh sb="0" eb="1">
      <t>チュウ</t>
    </rPh>
    <phoneticPr fontId="23"/>
  </si>
  <si>
    <t>低</t>
    <rPh sb="0" eb="1">
      <t>テイ</t>
    </rPh>
    <phoneticPr fontId="23"/>
  </si>
  <si>
    <t>指摘現象</t>
    <rPh sb="2" eb="4">
      <t>ゲンショウ</t>
    </rPh>
    <phoneticPr fontId="23"/>
  </si>
  <si>
    <t>表現上の記述不良</t>
    <rPh sb="0" eb="3">
      <t>ヒョウゲンジョウ</t>
    </rPh>
    <rPh sb="4" eb="6">
      <t>キジュツ</t>
    </rPh>
    <rPh sb="6" eb="8">
      <t>フリョウ</t>
    </rPh>
    <phoneticPr fontId="23"/>
  </si>
  <si>
    <t>合計</t>
    <rPh sb="0" eb="2">
      <t>ゴウケイ</t>
    </rPh>
    <phoneticPr fontId="23"/>
  </si>
  <si>
    <t>割合（%）</t>
    <rPh sb="0" eb="2">
      <t>ワリアイ</t>
    </rPh>
    <phoneticPr fontId="23"/>
  </si>
  <si>
    <t>指摘原因</t>
    <rPh sb="2" eb="4">
      <t>ゲンイン</t>
    </rPh>
    <phoneticPr fontId="23"/>
  </si>
  <si>
    <t>－</t>
    <phoneticPr fontId="23"/>
  </si>
  <si>
    <t>システムテスト</t>
    <phoneticPr fontId="23"/>
  </si>
  <si>
    <r>
      <t>製造</t>
    </r>
    <r>
      <rPr>
        <sz val="7"/>
        <rFont val="ＭＳ Ｐゴシック"/>
        <family val="3"/>
        <charset val="128"/>
      </rPr>
      <t>（単体テスト）</t>
    </r>
    <rPh sb="0" eb="2">
      <t>セイゾウ</t>
    </rPh>
    <rPh sb="3" eb="5">
      <t>タンタイ</t>
    </rPh>
    <phoneticPr fontId="23"/>
  </si>
  <si>
    <t>承認者</t>
    <rPh sb="0" eb="2">
      <t>ショウニン</t>
    </rPh>
    <rPh sb="2" eb="3">
      <t>シャ</t>
    </rPh>
    <phoneticPr fontId="23"/>
  </si>
  <si>
    <t>確認者</t>
    <rPh sb="0" eb="2">
      <t>カクニン</t>
    </rPh>
    <rPh sb="2" eb="3">
      <t>シャ</t>
    </rPh>
    <phoneticPr fontId="23"/>
  </si>
  <si>
    <t>委託先欄</t>
    <rPh sb="0" eb="2">
      <t>イタク</t>
    </rPh>
    <rPh sb="2" eb="3">
      <t>サキ</t>
    </rPh>
    <rPh sb="3" eb="4">
      <t>ラン</t>
    </rPh>
    <phoneticPr fontId="23"/>
  </si>
  <si>
    <t>会社名</t>
    <rPh sb="0" eb="2">
      <t>カイシャ</t>
    </rPh>
    <rPh sb="2" eb="3">
      <t>メイ</t>
    </rPh>
    <phoneticPr fontId="23"/>
  </si>
  <si>
    <t>不具合管理票</t>
    <rPh sb="0" eb="3">
      <t>フグアイ</t>
    </rPh>
    <rPh sb="3" eb="5">
      <t>カンリ</t>
    </rPh>
    <rPh sb="5" eb="6">
      <t>ヒョウ</t>
    </rPh>
    <phoneticPr fontId="23"/>
  </si>
  <si>
    <t>プロジェクト名</t>
    <rPh sb="6" eb="7">
      <t>メイ</t>
    </rPh>
    <phoneticPr fontId="23"/>
  </si>
  <si>
    <t>契約番号</t>
    <rPh sb="0" eb="2">
      <t>ケイヤク</t>
    </rPh>
    <rPh sb="2" eb="4">
      <t>バンゴウ</t>
    </rPh>
    <phoneticPr fontId="23"/>
  </si>
  <si>
    <t>作成日</t>
    <rPh sb="0" eb="3">
      <t>サクセイビ</t>
    </rPh>
    <phoneticPr fontId="23"/>
  </si>
  <si>
    <t>更新日</t>
    <rPh sb="0" eb="3">
      <t>コウシンビ</t>
    </rPh>
    <phoneticPr fontId="23"/>
  </si>
  <si>
    <t>作成者</t>
    <rPh sb="0" eb="3">
      <t>サクセイシャ</t>
    </rPh>
    <phoneticPr fontId="23"/>
  </si>
  <si>
    <t>更新者</t>
    <rPh sb="0" eb="3">
      <t>コウシンシャ</t>
    </rPh>
    <phoneticPr fontId="23"/>
  </si>
  <si>
    <t>注） 更新時のみ必ずご記入ください</t>
    <rPh sb="0" eb="1">
      <t>チュウ</t>
    </rPh>
    <rPh sb="3" eb="5">
      <t>コウシン</t>
    </rPh>
    <rPh sb="5" eb="6">
      <t>ジ</t>
    </rPh>
    <rPh sb="8" eb="9">
      <t>カナラ</t>
    </rPh>
    <rPh sb="11" eb="13">
      <t>キニュウ</t>
    </rPh>
    <phoneticPr fontId="23"/>
  </si>
  <si>
    <t>発見者</t>
    <rPh sb="0" eb="3">
      <t>ハッケンシャ</t>
    </rPh>
    <phoneticPr fontId="23"/>
  </si>
  <si>
    <t>所属/チーム名</t>
    <rPh sb="0" eb="2">
      <t>ショゾク</t>
    </rPh>
    <rPh sb="6" eb="7">
      <t>メイ</t>
    </rPh>
    <phoneticPr fontId="23"/>
  </si>
  <si>
    <t>発見者名</t>
    <rPh sb="0" eb="3">
      <t>ハッケンシャ</t>
    </rPh>
    <rPh sb="3" eb="4">
      <t>メイ</t>
    </rPh>
    <phoneticPr fontId="23"/>
  </si>
  <si>
    <t>発生日</t>
    <rPh sb="0" eb="3">
      <t>ハッセイビ</t>
    </rPh>
    <phoneticPr fontId="23"/>
  </si>
  <si>
    <t>テスト名</t>
    <rPh sb="3" eb="4">
      <t>メイ</t>
    </rPh>
    <phoneticPr fontId="23"/>
  </si>
  <si>
    <t>発生対象業務名</t>
    <rPh sb="0" eb="2">
      <t>ハッセイ</t>
    </rPh>
    <rPh sb="2" eb="4">
      <t>タイショウ</t>
    </rPh>
    <rPh sb="4" eb="6">
      <t>ギョウム</t>
    </rPh>
    <rPh sb="6" eb="7">
      <t>メイ</t>
    </rPh>
    <phoneticPr fontId="23"/>
  </si>
  <si>
    <t>不具合現象</t>
    <rPh sb="0" eb="3">
      <t>フグアイ</t>
    </rPh>
    <rPh sb="3" eb="5">
      <t>ゲンショウ</t>
    </rPh>
    <phoneticPr fontId="23"/>
  </si>
  <si>
    <t>不具合
発生状況</t>
    <rPh sb="0" eb="3">
      <t>フグアイ</t>
    </rPh>
    <rPh sb="4" eb="6">
      <t>ハッセイ</t>
    </rPh>
    <rPh sb="6" eb="8">
      <t>ジョウキョウ</t>
    </rPh>
    <phoneticPr fontId="23"/>
  </si>
  <si>
    <t>概要</t>
    <rPh sb="0" eb="2">
      <t>ガイヨウ</t>
    </rPh>
    <phoneticPr fontId="23"/>
  </si>
  <si>
    <t>詳細</t>
    <rPh sb="0" eb="2">
      <t>ショウサイ</t>
    </rPh>
    <phoneticPr fontId="23"/>
  </si>
  <si>
    <t>関連文書</t>
    <rPh sb="0" eb="2">
      <t>カンレン</t>
    </rPh>
    <rPh sb="2" eb="4">
      <t>ブンショ</t>
    </rPh>
    <phoneticPr fontId="23"/>
  </si>
  <si>
    <t>回答者</t>
    <rPh sb="0" eb="2">
      <t>カイトウ</t>
    </rPh>
    <rPh sb="2" eb="3">
      <t>シャ</t>
    </rPh>
    <phoneticPr fontId="23"/>
  </si>
  <si>
    <t>着手日</t>
    <rPh sb="0" eb="2">
      <t>チャクシュ</t>
    </rPh>
    <rPh sb="2" eb="3">
      <t>ビ</t>
    </rPh>
    <phoneticPr fontId="23"/>
  </si>
  <si>
    <t>管理番号</t>
    <rPh sb="0" eb="2">
      <t>カンリ</t>
    </rPh>
    <rPh sb="2" eb="4">
      <t>バンゴウ</t>
    </rPh>
    <phoneticPr fontId="23"/>
  </si>
  <si>
    <t>状態</t>
    <rPh sb="0" eb="2">
      <t>ジョウタイ</t>
    </rPh>
    <phoneticPr fontId="23"/>
  </si>
  <si>
    <t>不具合</t>
    <rPh sb="0" eb="3">
      <t>フグアイ</t>
    </rPh>
    <phoneticPr fontId="23"/>
  </si>
  <si>
    <t>判定</t>
    <rPh sb="0" eb="2">
      <t>ハンテイ</t>
    </rPh>
    <phoneticPr fontId="23"/>
  </si>
  <si>
    <t>種別</t>
    <rPh sb="0" eb="2">
      <t>シュベツ</t>
    </rPh>
    <phoneticPr fontId="23"/>
  </si>
  <si>
    <t>アプリケーション
バグ分析</t>
    <rPh sb="11" eb="13">
      <t>ブンセキ</t>
    </rPh>
    <phoneticPr fontId="23"/>
  </si>
  <si>
    <t>バグ発生
機能</t>
    <rPh sb="2" eb="4">
      <t>ハッセイ</t>
    </rPh>
    <rPh sb="5" eb="7">
      <t>キノウ</t>
    </rPh>
    <phoneticPr fontId="23"/>
  </si>
  <si>
    <t>分類</t>
    <rPh sb="0" eb="2">
      <t>ブンルイ</t>
    </rPh>
    <phoneticPr fontId="23"/>
  </si>
  <si>
    <t>原因</t>
    <rPh sb="0" eb="2">
      <t>ゲンイン</t>
    </rPh>
    <phoneticPr fontId="23"/>
  </si>
  <si>
    <t>すり抜け
確認</t>
    <rPh sb="2" eb="3">
      <t>ヌ</t>
    </rPh>
    <rPh sb="5" eb="7">
      <t>カクニン</t>
    </rPh>
    <phoneticPr fontId="23"/>
  </si>
  <si>
    <t>非摘出要因</t>
    <rPh sb="0" eb="1">
      <t>ヒ</t>
    </rPh>
    <rPh sb="1" eb="3">
      <t>テキシュツ</t>
    </rPh>
    <rPh sb="3" eb="5">
      <t>ヨウイン</t>
    </rPh>
    <phoneticPr fontId="23"/>
  </si>
  <si>
    <t>仕様変更
関連</t>
    <rPh sb="0" eb="2">
      <t>シヨウ</t>
    </rPh>
    <rPh sb="2" eb="4">
      <t>ヘンコウ</t>
    </rPh>
    <rPh sb="5" eb="7">
      <t>カンレン</t>
    </rPh>
    <phoneticPr fontId="23"/>
  </si>
  <si>
    <t>有無</t>
    <rPh sb="0" eb="2">
      <t>ウム</t>
    </rPh>
    <phoneticPr fontId="23"/>
  </si>
  <si>
    <t>仕様変更
管理番号</t>
    <phoneticPr fontId="23"/>
  </si>
  <si>
    <t>対応完了予定日</t>
    <rPh sb="0" eb="2">
      <t>タイオウ</t>
    </rPh>
    <rPh sb="2" eb="4">
      <t>カンリョウ</t>
    </rPh>
    <rPh sb="4" eb="7">
      <t>ヨテイビ</t>
    </rPh>
    <phoneticPr fontId="23"/>
  </si>
  <si>
    <t>確認依頼日</t>
    <phoneticPr fontId="23"/>
  </si>
  <si>
    <t>不具合原因詳細</t>
    <rPh sb="0" eb="3">
      <t>フグアイ</t>
    </rPh>
    <rPh sb="3" eb="5">
      <t>ゲンイン</t>
    </rPh>
    <rPh sb="5" eb="7">
      <t>ショウサイ</t>
    </rPh>
    <phoneticPr fontId="23"/>
  </si>
  <si>
    <t>措置内容</t>
    <rPh sb="0" eb="2">
      <t>ソチ</t>
    </rPh>
    <rPh sb="2" eb="4">
      <t>ナイヨウ</t>
    </rPh>
    <phoneticPr fontId="23"/>
  </si>
  <si>
    <t>ドキュメント
修正</t>
    <rPh sb="7" eb="9">
      <t>シュウセイ</t>
    </rPh>
    <phoneticPr fontId="23"/>
  </si>
  <si>
    <t>ドキュメント名</t>
    <rPh sb="6" eb="7">
      <t>メイ</t>
    </rPh>
    <phoneticPr fontId="23"/>
  </si>
  <si>
    <t>修正日</t>
    <rPh sb="0" eb="2">
      <t>シュウセイ</t>
    </rPh>
    <rPh sb="2" eb="3">
      <t>ヒ</t>
    </rPh>
    <phoneticPr fontId="23"/>
  </si>
  <si>
    <t>修正者</t>
    <rPh sb="0" eb="2">
      <t>シュウセイ</t>
    </rPh>
    <rPh sb="2" eb="3">
      <t>シャ</t>
    </rPh>
    <phoneticPr fontId="23"/>
  </si>
  <si>
    <t>修正確認日</t>
    <rPh sb="0" eb="2">
      <t>シュウセイ</t>
    </rPh>
    <rPh sb="2" eb="4">
      <t>カクニン</t>
    </rPh>
    <rPh sb="4" eb="5">
      <t>ビ</t>
    </rPh>
    <phoneticPr fontId="23"/>
  </si>
  <si>
    <t>プログラム
修正</t>
    <rPh sb="6" eb="8">
      <t>シュウセイ</t>
    </rPh>
    <phoneticPr fontId="23"/>
  </si>
  <si>
    <t>プログラムID</t>
    <phoneticPr fontId="23"/>
  </si>
  <si>
    <t>プログラム名</t>
    <rPh sb="5" eb="6">
      <t>メイ</t>
    </rPh>
    <phoneticPr fontId="23"/>
  </si>
  <si>
    <t>修正工数</t>
    <rPh sb="0" eb="2">
      <t>シュウセイ</t>
    </rPh>
    <rPh sb="2" eb="4">
      <t>コウスウ</t>
    </rPh>
    <phoneticPr fontId="23"/>
  </si>
  <si>
    <t>修正規模</t>
    <rPh sb="0" eb="2">
      <t>シュウセイ</t>
    </rPh>
    <rPh sb="2" eb="4">
      <t>キボ</t>
    </rPh>
    <phoneticPr fontId="23"/>
  </si>
  <si>
    <t>修正開始日</t>
    <rPh sb="0" eb="2">
      <t>シュウセイ</t>
    </rPh>
    <rPh sb="2" eb="4">
      <t>カイシ</t>
    </rPh>
    <rPh sb="4" eb="5">
      <t>ビ</t>
    </rPh>
    <phoneticPr fontId="23"/>
  </si>
  <si>
    <t>修正日</t>
    <rPh sb="0" eb="2">
      <t>シュウセイ</t>
    </rPh>
    <rPh sb="2" eb="3">
      <t>ビ</t>
    </rPh>
    <phoneticPr fontId="23"/>
  </si>
  <si>
    <t>対応確認</t>
    <rPh sb="0" eb="2">
      <t>タイオウ</t>
    </rPh>
    <rPh sb="2" eb="4">
      <t>カクニン</t>
    </rPh>
    <phoneticPr fontId="23"/>
  </si>
  <si>
    <t>対応確認者</t>
    <rPh sb="0" eb="2">
      <t>タイオウ</t>
    </rPh>
    <rPh sb="2" eb="4">
      <t>カクニン</t>
    </rPh>
    <rPh sb="4" eb="5">
      <t>シャ</t>
    </rPh>
    <phoneticPr fontId="23"/>
  </si>
  <si>
    <t>再テスト実施日</t>
    <rPh sb="0" eb="1">
      <t>サイ</t>
    </rPh>
    <rPh sb="4" eb="6">
      <t>ジッシ</t>
    </rPh>
    <rPh sb="6" eb="7">
      <t>ビ</t>
    </rPh>
    <phoneticPr fontId="23"/>
  </si>
  <si>
    <t>対応確認日</t>
    <rPh sb="0" eb="2">
      <t>タイオウ</t>
    </rPh>
    <rPh sb="2" eb="4">
      <t>カクニン</t>
    </rPh>
    <rPh sb="4" eb="5">
      <t>ビ</t>
    </rPh>
    <phoneticPr fontId="23"/>
  </si>
  <si>
    <t>差戻し</t>
    <rPh sb="0" eb="2">
      <t>サシモド</t>
    </rPh>
    <phoneticPr fontId="23"/>
  </si>
  <si>
    <t>システム
反映</t>
    <rPh sb="5" eb="7">
      <t>ハンエイ</t>
    </rPh>
    <phoneticPr fontId="23"/>
  </si>
  <si>
    <t>反映日</t>
    <rPh sb="0" eb="2">
      <t>ハンエイ</t>
    </rPh>
    <rPh sb="2" eb="3">
      <t>ビ</t>
    </rPh>
    <phoneticPr fontId="23"/>
  </si>
  <si>
    <t>確認日</t>
    <rPh sb="0" eb="2">
      <t>カクニン</t>
    </rPh>
    <rPh sb="2" eb="3">
      <t>ビ</t>
    </rPh>
    <phoneticPr fontId="23"/>
  </si>
  <si>
    <t>不具合管理一覧表</t>
    <rPh sb="0" eb="3">
      <t>フグアイ</t>
    </rPh>
    <rPh sb="3" eb="5">
      <t>カンリ</t>
    </rPh>
    <rPh sb="5" eb="7">
      <t>イチラン</t>
    </rPh>
    <rPh sb="7" eb="8">
      <t>ヒョウ</t>
    </rPh>
    <phoneticPr fontId="23"/>
  </si>
  <si>
    <t>基本情報</t>
    <rPh sb="0" eb="2">
      <t>キホン</t>
    </rPh>
    <rPh sb="2" eb="4">
      <t>ジョウホウ</t>
    </rPh>
    <phoneticPr fontId="23"/>
  </si>
  <si>
    <t>起票時情報</t>
    <rPh sb="0" eb="2">
      <t>キヒョウ</t>
    </rPh>
    <rPh sb="2" eb="3">
      <t>ジ</t>
    </rPh>
    <rPh sb="3" eb="5">
      <t>ジョウホウ</t>
    </rPh>
    <phoneticPr fontId="23"/>
  </si>
  <si>
    <t>不具合情報</t>
    <rPh sb="0" eb="3">
      <t>フグアイ</t>
    </rPh>
    <rPh sb="3" eb="5">
      <t>ジョウホウ</t>
    </rPh>
    <phoneticPr fontId="23"/>
  </si>
  <si>
    <t>原因究明情報</t>
    <rPh sb="0" eb="2">
      <t>ゲンイン</t>
    </rPh>
    <rPh sb="2" eb="4">
      <t>キュウメイ</t>
    </rPh>
    <rPh sb="4" eb="6">
      <t>ジョウホウ</t>
    </rPh>
    <phoneticPr fontId="23"/>
  </si>
  <si>
    <t>対応情報</t>
    <rPh sb="0" eb="2">
      <t>タイオウ</t>
    </rPh>
    <rPh sb="2" eb="4">
      <t>ジョウホウ</t>
    </rPh>
    <phoneticPr fontId="23"/>
  </si>
  <si>
    <t>不具合処理</t>
    <rPh sb="0" eb="3">
      <t>フグアイ</t>
    </rPh>
    <rPh sb="3" eb="5">
      <t>ショリ</t>
    </rPh>
    <phoneticPr fontId="23"/>
  </si>
  <si>
    <t>仕様変更</t>
    <rPh sb="0" eb="2">
      <t>シヨウ</t>
    </rPh>
    <rPh sb="2" eb="4">
      <t>ヘンコウ</t>
    </rPh>
    <phoneticPr fontId="23"/>
  </si>
  <si>
    <t>対応完了</t>
    <rPh sb="0" eb="2">
      <t>タイオウ</t>
    </rPh>
    <rPh sb="2" eb="4">
      <t>カンリョウ</t>
    </rPh>
    <phoneticPr fontId="23"/>
  </si>
  <si>
    <t>対応</t>
    <rPh sb="0" eb="2">
      <t>タイオウ</t>
    </rPh>
    <phoneticPr fontId="23"/>
  </si>
  <si>
    <t>名前</t>
    <rPh sb="0" eb="2">
      <t>ナマエ</t>
    </rPh>
    <phoneticPr fontId="23"/>
  </si>
  <si>
    <t>起票者名</t>
    <rPh sb="0" eb="2">
      <t>キヒョウ</t>
    </rPh>
    <rPh sb="2" eb="3">
      <t>シャ</t>
    </rPh>
    <rPh sb="3" eb="4">
      <t>メイ</t>
    </rPh>
    <phoneticPr fontId="23"/>
  </si>
  <si>
    <t>発見日時</t>
    <rPh sb="0" eb="2">
      <t>ハッケン</t>
    </rPh>
    <rPh sb="2" eb="4">
      <t>ニチジ</t>
    </rPh>
    <phoneticPr fontId="23"/>
  </si>
  <si>
    <t>現象</t>
    <rPh sb="0" eb="2">
      <t>ゲンショウ</t>
    </rPh>
    <phoneticPr fontId="23"/>
  </si>
  <si>
    <t>すり抜け要因</t>
    <rPh sb="2" eb="3">
      <t>ヌ</t>
    </rPh>
    <phoneticPr fontId="23"/>
  </si>
  <si>
    <t>主担当者</t>
    <rPh sb="0" eb="1">
      <t>シュ</t>
    </rPh>
    <rPh sb="1" eb="4">
      <t>タントウシャ</t>
    </rPh>
    <phoneticPr fontId="23"/>
  </si>
  <si>
    <t>予定日</t>
    <rPh sb="0" eb="2">
      <t>ヨテイ</t>
    </rPh>
    <rPh sb="2" eb="3">
      <t>ヒ</t>
    </rPh>
    <phoneticPr fontId="23"/>
  </si>
  <si>
    <t>確認日</t>
    <rPh sb="0" eb="2">
      <t>カクニン</t>
    </rPh>
    <rPh sb="2" eb="3">
      <t>ヒ</t>
    </rPh>
    <phoneticPr fontId="23"/>
  </si>
  <si>
    <t>山田　花子</t>
    <rPh sb="0" eb="2">
      <t>ヤマダ</t>
    </rPh>
    <rPh sb="3" eb="5">
      <t>ハナコ</t>
    </rPh>
    <phoneticPr fontId="23"/>
  </si>
  <si>
    <t>スコープ管理の新規入力画面において、次へボタンを押下するとエラー表示になる</t>
    <rPh sb="32" eb="34">
      <t>ヒョウジ</t>
    </rPh>
    <phoneticPr fontId="23"/>
  </si>
  <si>
    <t>修正対応中</t>
    <rPh sb="0" eb="2">
      <t>シュウセイ</t>
    </rPh>
    <phoneticPr fontId="23"/>
  </si>
  <si>
    <t>出力帳票のレイアウトが正しく表示されない</t>
    <rPh sb="11" eb="12">
      <t>タダ</t>
    </rPh>
    <rPh sb="14" eb="16">
      <t>ヒョウジ</t>
    </rPh>
    <phoneticPr fontId="23"/>
  </si>
  <si>
    <t>【管理指標】</t>
    <rPh sb="1" eb="3">
      <t>カンリ</t>
    </rPh>
    <rPh sb="3" eb="5">
      <t>シヒョウ</t>
    </rPh>
    <phoneticPr fontId="23"/>
  </si>
  <si>
    <t>算出式</t>
    <rPh sb="0" eb="2">
      <t>サンシュツ</t>
    </rPh>
    <rPh sb="2" eb="3">
      <t>シキ</t>
    </rPh>
    <phoneticPr fontId="23"/>
  </si>
  <si>
    <t>基準値</t>
    <rPh sb="0" eb="3">
      <t>キジュンチ</t>
    </rPh>
    <phoneticPr fontId="23"/>
  </si>
  <si>
    <t>実績値</t>
    <rPh sb="0" eb="2">
      <t>ジッセキ</t>
    </rPh>
    <rPh sb="2" eb="3">
      <t>チ</t>
    </rPh>
    <phoneticPr fontId="23"/>
  </si>
  <si>
    <t>製造（単体テスト）（任意）</t>
    <rPh sb="0" eb="2">
      <t>セイゾウ</t>
    </rPh>
    <rPh sb="3" eb="5">
      <t>タンタイ</t>
    </rPh>
    <rPh sb="10" eb="12">
      <t>ニンイ</t>
    </rPh>
    <phoneticPr fontId="23"/>
  </si>
  <si>
    <t>テスト密度</t>
    <rPh sb="3" eb="5">
      <t>ミツド</t>
    </rPh>
    <phoneticPr fontId="23"/>
  </si>
  <si>
    <t>バグ摘出密度</t>
    <rPh sb="2" eb="4">
      <t>テキシュツ</t>
    </rPh>
    <rPh sb="4" eb="6">
      <t>ミツド</t>
    </rPh>
    <phoneticPr fontId="23"/>
  </si>
  <si>
    <t>【テスト状況】</t>
    <rPh sb="4" eb="6">
      <t>ジョウキョウ</t>
    </rPh>
    <phoneticPr fontId="23"/>
  </si>
  <si>
    <t>進捗項目</t>
    <rPh sb="0" eb="2">
      <t>シンチョク</t>
    </rPh>
    <rPh sb="2" eb="4">
      <t>コウモク</t>
    </rPh>
    <phoneticPr fontId="23"/>
  </si>
  <si>
    <t>テスト</t>
    <phoneticPr fontId="23"/>
  </si>
  <si>
    <t>テスト計画項目数</t>
    <rPh sb="3" eb="5">
      <t>ケイカク</t>
    </rPh>
    <rPh sb="5" eb="8">
      <t>コウモクスウ</t>
    </rPh>
    <phoneticPr fontId="23"/>
  </si>
  <si>
    <t>テスト計画項目数（累計）</t>
    <rPh sb="3" eb="5">
      <t>ケイカク</t>
    </rPh>
    <rPh sb="5" eb="8">
      <t>コウモクスウ</t>
    </rPh>
    <rPh sb="9" eb="11">
      <t>ルイケイ</t>
    </rPh>
    <phoneticPr fontId="23"/>
  </si>
  <si>
    <t>テスト実施項目数</t>
    <rPh sb="3" eb="5">
      <t>ジッシ</t>
    </rPh>
    <rPh sb="5" eb="8">
      <t>コウモクスウ</t>
    </rPh>
    <phoneticPr fontId="23"/>
  </si>
  <si>
    <t>テスト実施項目数（累計）</t>
    <rPh sb="3" eb="5">
      <t>ジッシ</t>
    </rPh>
    <rPh sb="5" eb="8">
      <t>コウモクスウ</t>
    </rPh>
    <rPh sb="9" eb="11">
      <t>ルイケイ</t>
    </rPh>
    <phoneticPr fontId="23"/>
  </si>
  <si>
    <t>バグ</t>
    <phoneticPr fontId="23"/>
  </si>
  <si>
    <t>バグ発生件数</t>
    <rPh sb="2" eb="4">
      <t>ハッセイ</t>
    </rPh>
    <rPh sb="4" eb="6">
      <t>ケンスウ</t>
    </rPh>
    <phoneticPr fontId="23"/>
  </si>
  <si>
    <t>バグ発生件数（累計）</t>
    <rPh sb="2" eb="4">
      <t>ハッセイ</t>
    </rPh>
    <rPh sb="4" eb="6">
      <t>ケンスウ</t>
    </rPh>
    <rPh sb="7" eb="9">
      <t>ルイケイ</t>
    </rPh>
    <phoneticPr fontId="23"/>
  </si>
  <si>
    <t>対処済件数</t>
    <rPh sb="0" eb="2">
      <t>タイショ</t>
    </rPh>
    <rPh sb="2" eb="3">
      <t>スミ</t>
    </rPh>
    <rPh sb="3" eb="5">
      <t>ケンスウ</t>
    </rPh>
    <phoneticPr fontId="23"/>
  </si>
  <si>
    <t>対処済件数（累計）</t>
    <rPh sb="0" eb="2">
      <t>タイショ</t>
    </rPh>
    <rPh sb="2" eb="3">
      <t>スミ</t>
    </rPh>
    <rPh sb="3" eb="5">
      <t>ケンスウ</t>
    </rPh>
    <rPh sb="6" eb="8">
      <t>ルイケイ</t>
    </rPh>
    <phoneticPr fontId="23"/>
  </si>
  <si>
    <t>未対応バグ件数</t>
    <rPh sb="0" eb="3">
      <t>ミタイオウ</t>
    </rPh>
    <rPh sb="5" eb="7">
      <t>ケンスウ</t>
    </rPh>
    <phoneticPr fontId="23"/>
  </si>
  <si>
    <t>テスト対象
（プログラム・サブシステム）</t>
    <rPh sb="3" eb="5">
      <t>タイショウ</t>
    </rPh>
    <phoneticPr fontId="23"/>
  </si>
  <si>
    <t>製造規模</t>
    <rPh sb="0" eb="2">
      <t>セイゾウ</t>
    </rPh>
    <rPh sb="2" eb="4">
      <t>キボ</t>
    </rPh>
    <phoneticPr fontId="23"/>
  </si>
  <si>
    <t>ソフトウェア</t>
    <phoneticPr fontId="23"/>
  </si>
  <si>
    <t>エラー原因</t>
    <rPh sb="3" eb="5">
      <t>ゲンイン</t>
    </rPh>
    <phoneticPr fontId="23"/>
  </si>
  <si>
    <t>仕様書不備</t>
    <rPh sb="0" eb="3">
      <t>シヨウショ</t>
    </rPh>
    <rPh sb="3" eb="5">
      <t>フビ</t>
    </rPh>
    <phoneticPr fontId="23"/>
  </si>
  <si>
    <t>基盤</t>
    <rPh sb="0" eb="2">
      <t>キバン</t>
    </rPh>
    <phoneticPr fontId="23"/>
  </si>
  <si>
    <t>記述漏れ</t>
    <rPh sb="0" eb="2">
      <t>キジュツ</t>
    </rPh>
    <rPh sb="2" eb="3">
      <t>モ</t>
    </rPh>
    <phoneticPr fontId="23"/>
  </si>
  <si>
    <t>記述誤り</t>
    <rPh sb="0" eb="2">
      <t>キジュツ</t>
    </rPh>
    <rPh sb="2" eb="3">
      <t>アヤマ</t>
    </rPh>
    <phoneticPr fontId="23"/>
  </si>
  <si>
    <t>その他の要因</t>
    <rPh sb="4" eb="6">
      <t>ヨウイン</t>
    </rPh>
    <phoneticPr fontId="23"/>
  </si>
  <si>
    <t>不明確（曖昧）</t>
    <rPh sb="0" eb="3">
      <t>フメイカク</t>
    </rPh>
    <rPh sb="4" eb="6">
      <t>アイマイ</t>
    </rPh>
    <phoneticPr fontId="23"/>
  </si>
  <si>
    <t>ﾄﾞｷｭﾒﾝﾄ修正漏れ</t>
    <rPh sb="7" eb="9">
      <t>シュウセイ</t>
    </rPh>
    <rPh sb="9" eb="10">
      <t>モ</t>
    </rPh>
    <phoneticPr fontId="23"/>
  </si>
  <si>
    <t>ﾄﾞｷｭﾒﾝﾄ間不整合</t>
    <rPh sb="7" eb="8">
      <t>カン</t>
    </rPh>
    <rPh sb="8" eb="11">
      <t>フセイゴウ</t>
    </rPh>
    <phoneticPr fontId="23"/>
  </si>
  <si>
    <t>仕様の見落とし</t>
    <rPh sb="0" eb="2">
      <t>シヨウ</t>
    </rPh>
    <rPh sb="3" eb="5">
      <t>ミオ</t>
    </rPh>
    <phoneticPr fontId="23"/>
  </si>
  <si>
    <t>エラー現象</t>
    <rPh sb="3" eb="5">
      <t>ゲンショウ</t>
    </rPh>
    <phoneticPr fontId="23"/>
  </si>
  <si>
    <t>システムダウン</t>
    <phoneticPr fontId="23"/>
  </si>
  <si>
    <t>仕様の理解不足</t>
    <rPh sb="0" eb="2">
      <t>シヨウ</t>
    </rPh>
    <rPh sb="3" eb="5">
      <t>リカイ</t>
    </rPh>
    <rPh sb="5" eb="7">
      <t>フソク</t>
    </rPh>
    <phoneticPr fontId="23"/>
  </si>
  <si>
    <t>仕様の認識不足</t>
    <rPh sb="0" eb="2">
      <t>シヨウ</t>
    </rPh>
    <rPh sb="3" eb="5">
      <t>ニンシキ</t>
    </rPh>
    <rPh sb="5" eb="7">
      <t>フソク</t>
    </rPh>
    <phoneticPr fontId="23"/>
  </si>
  <si>
    <t>データ内容不正</t>
    <rPh sb="3" eb="5">
      <t>ナイヨウ</t>
    </rPh>
    <rPh sb="5" eb="7">
      <t>フセイ</t>
    </rPh>
    <phoneticPr fontId="23"/>
  </si>
  <si>
    <t>仕様の検討粗漏</t>
    <rPh sb="0" eb="2">
      <t>シヨウ</t>
    </rPh>
    <rPh sb="3" eb="5">
      <t>ケントウ</t>
    </rPh>
    <rPh sb="5" eb="7">
      <t>ソロウ</t>
    </rPh>
    <phoneticPr fontId="23"/>
  </si>
  <si>
    <t>機能障害</t>
    <rPh sb="0" eb="2">
      <t>キノウ</t>
    </rPh>
    <rPh sb="2" eb="4">
      <t>ショウガイ</t>
    </rPh>
    <phoneticPr fontId="23"/>
  </si>
  <si>
    <t>言語用法の知識不足</t>
    <rPh sb="0" eb="2">
      <t>ゲンゴ</t>
    </rPh>
    <rPh sb="2" eb="4">
      <t>ヨウホウ</t>
    </rPh>
    <rPh sb="5" eb="7">
      <t>チシキ</t>
    </rPh>
    <rPh sb="7" eb="9">
      <t>フソク</t>
    </rPh>
    <phoneticPr fontId="23"/>
  </si>
  <si>
    <t>形式不正</t>
    <rPh sb="0" eb="2">
      <t>ケイシキ</t>
    </rPh>
    <rPh sb="2" eb="4">
      <t>フセイ</t>
    </rPh>
    <phoneticPr fontId="23"/>
  </si>
  <si>
    <t>再利用時のﾁｪｯｸ漏れ</t>
    <rPh sb="0" eb="3">
      <t>サイリヨウ</t>
    </rPh>
    <rPh sb="3" eb="4">
      <t>ジ</t>
    </rPh>
    <rPh sb="9" eb="10">
      <t>モ</t>
    </rPh>
    <phoneticPr fontId="23"/>
  </si>
  <si>
    <t>修正時のﾁｪｯｸ漏れ</t>
    <rPh sb="0" eb="2">
      <t>シュウセイ</t>
    </rPh>
    <rPh sb="2" eb="3">
      <t>ジ</t>
    </rPh>
    <rPh sb="8" eb="9">
      <t>モ</t>
    </rPh>
    <phoneticPr fontId="23"/>
  </si>
  <si>
    <t>製造（単体ﾃｽﾄ）</t>
    <rPh sb="0" eb="2">
      <t>セイゾウ</t>
    </rPh>
    <rPh sb="3" eb="5">
      <t>タンタイ</t>
    </rPh>
    <phoneticPr fontId="23"/>
  </si>
  <si>
    <t>全業務取引不能</t>
    <rPh sb="0" eb="3">
      <t>ゼンギョウム</t>
    </rPh>
    <rPh sb="3" eb="5">
      <t>トリヒキ</t>
    </rPh>
    <rPh sb="5" eb="7">
      <t>フノウ</t>
    </rPh>
    <phoneticPr fontId="23"/>
  </si>
  <si>
    <t>一部業務不能</t>
    <rPh sb="0" eb="2">
      <t>イチブ</t>
    </rPh>
    <rPh sb="2" eb="4">
      <t>ギョウム</t>
    </rPh>
    <rPh sb="4" eb="6">
      <t>フノウ</t>
    </rPh>
    <phoneticPr fontId="23"/>
  </si>
  <si>
    <t>回避手段あり</t>
    <rPh sb="0" eb="2">
      <t>カイヒ</t>
    </rPh>
    <rPh sb="2" eb="4">
      <t>シュダン</t>
    </rPh>
    <phoneticPr fontId="23"/>
  </si>
  <si>
    <t>業務影響なし</t>
    <rPh sb="0" eb="2">
      <t>ギョウム</t>
    </rPh>
    <rPh sb="2" eb="4">
      <t>エイキョウ</t>
    </rPh>
    <phoneticPr fontId="23"/>
  </si>
  <si>
    <t>仕様書不備・記述漏れ</t>
    <rPh sb="6" eb="8">
      <t>キジュツ</t>
    </rPh>
    <rPh sb="8" eb="9">
      <t>モ</t>
    </rPh>
    <phoneticPr fontId="23"/>
  </si>
  <si>
    <t>仕様書不備・記述誤り</t>
    <rPh sb="6" eb="8">
      <t>キジュツ</t>
    </rPh>
    <rPh sb="8" eb="9">
      <t>アヤマ</t>
    </rPh>
    <phoneticPr fontId="23"/>
  </si>
  <si>
    <t>仕様書不備・不明確（曖昧）</t>
    <rPh sb="6" eb="9">
      <t>フメイカク</t>
    </rPh>
    <rPh sb="10" eb="12">
      <t>アイマイ</t>
    </rPh>
    <phoneticPr fontId="23"/>
  </si>
  <si>
    <t>仕様書不備・標準違反</t>
    <rPh sb="6" eb="8">
      <t>ヒョウジュン</t>
    </rPh>
    <rPh sb="8" eb="10">
      <t>イハン</t>
    </rPh>
    <phoneticPr fontId="23"/>
  </si>
  <si>
    <t>仕様書不備・ﾄﾞｷｭﾒﾝﾄ修正漏れ</t>
    <rPh sb="13" eb="15">
      <t>シュウセイ</t>
    </rPh>
    <rPh sb="15" eb="16">
      <t>モ</t>
    </rPh>
    <phoneticPr fontId="23"/>
  </si>
  <si>
    <t>仕様書不備・ﾄﾞｷｭﾒﾝﾄ間不整合</t>
    <rPh sb="13" eb="14">
      <t>カン</t>
    </rPh>
    <rPh sb="14" eb="17">
      <t>フセイゴウ</t>
    </rPh>
    <phoneticPr fontId="23"/>
  </si>
  <si>
    <t>１.１ レビュー分析</t>
    <rPh sb="8" eb="10">
      <t>ブンセキ</t>
    </rPh>
    <phoneticPr fontId="23"/>
  </si>
  <si>
    <t>２.１ テスト分析</t>
    <rPh sb="7" eb="9">
      <t>ブンセキ</t>
    </rPh>
    <phoneticPr fontId="23"/>
  </si>
  <si>
    <t>ﾚﾋﾞｭｰ時</t>
    <phoneticPr fontId="23"/>
  </si>
  <si>
    <t>レビュー密度（人時／設計規模）</t>
    <rPh sb="4" eb="6">
      <t>ミツド</t>
    </rPh>
    <rPh sb="7" eb="8">
      <t>ニン</t>
    </rPh>
    <rPh sb="8" eb="9">
      <t>ジ</t>
    </rPh>
    <rPh sb="10" eb="12">
      <t>セッケイ</t>
    </rPh>
    <rPh sb="12" eb="14">
      <t>キボ</t>
    </rPh>
    <phoneticPr fontId="23"/>
  </si>
  <si>
    <t>指摘</t>
    <rPh sb="0" eb="2">
      <t>シテキ</t>
    </rPh>
    <phoneticPr fontId="23"/>
  </si>
  <si>
    <t>指摘摘出密度（件数／設計規模）</t>
    <rPh sb="0" eb="2">
      <t>シテキ</t>
    </rPh>
    <rPh sb="2" eb="4">
      <t>テキシュツ</t>
    </rPh>
    <rPh sb="4" eb="6">
      <t>ミツド</t>
    </rPh>
    <rPh sb="7" eb="9">
      <t>ケンスウ</t>
    </rPh>
    <rPh sb="10" eb="12">
      <t>セッケイ</t>
    </rPh>
    <rPh sb="12" eb="14">
      <t>キボ</t>
    </rPh>
    <phoneticPr fontId="23"/>
  </si>
  <si>
    <t>製造</t>
    <rPh sb="0" eb="2">
      <t>セイゾウ</t>
    </rPh>
    <phoneticPr fontId="23"/>
  </si>
  <si>
    <t>テスト</t>
    <phoneticPr fontId="23"/>
  </si>
  <si>
    <t>テスト密度（項目数／製造規模）</t>
    <rPh sb="3" eb="5">
      <t>ミツド</t>
    </rPh>
    <rPh sb="6" eb="9">
      <t>コウモクスウ</t>
    </rPh>
    <rPh sb="10" eb="12">
      <t>セイゾウ</t>
    </rPh>
    <rPh sb="12" eb="14">
      <t>キボ</t>
    </rPh>
    <phoneticPr fontId="23"/>
  </si>
  <si>
    <t>バグ発</t>
    <rPh sb="2" eb="3">
      <t>ハツ</t>
    </rPh>
    <phoneticPr fontId="23"/>
  </si>
  <si>
    <t>バグ摘出密度（件数／製造規模）</t>
    <rPh sb="2" eb="4">
      <t>テキシュツ</t>
    </rPh>
    <rPh sb="4" eb="6">
      <t>ミツド</t>
    </rPh>
    <rPh sb="7" eb="9">
      <t>ケンスウ</t>
    </rPh>
    <rPh sb="10" eb="12">
      <t>セイゾウ</t>
    </rPh>
    <rPh sb="12" eb="14">
      <t>キボ</t>
    </rPh>
    <phoneticPr fontId="23"/>
  </si>
  <si>
    <t>規模</t>
    <rPh sb="0" eb="2">
      <t>キボ</t>
    </rPh>
    <phoneticPr fontId="23"/>
  </si>
  <si>
    <t>間(人時)</t>
    <rPh sb="0" eb="1">
      <t>アイダ</t>
    </rPh>
    <rPh sb="2" eb="3">
      <t>ニン</t>
    </rPh>
    <rPh sb="3" eb="4">
      <t>ジ</t>
    </rPh>
    <phoneticPr fontId="23"/>
  </si>
  <si>
    <t>基準値</t>
    <rPh sb="0" eb="2">
      <t>キジュン</t>
    </rPh>
    <rPh sb="2" eb="3">
      <t>チ</t>
    </rPh>
    <phoneticPr fontId="23"/>
  </si>
  <si>
    <t>項目数</t>
    <rPh sb="0" eb="2">
      <t>コウモク</t>
    </rPh>
    <rPh sb="2" eb="3">
      <t>スウ</t>
    </rPh>
    <phoneticPr fontId="23"/>
  </si>
  <si>
    <t>生件数</t>
    <rPh sb="0" eb="1">
      <t>ウ</t>
    </rPh>
    <rPh sb="1" eb="3">
      <t>ケンスウ</t>
    </rPh>
    <phoneticPr fontId="23"/>
  </si>
  <si>
    <t>―</t>
    <phoneticPr fontId="23"/>
  </si>
  <si>
    <t>製造(単体テスト)</t>
    <rPh sb="0" eb="2">
      <t>セイゾウ</t>
    </rPh>
    <rPh sb="3" eb="5">
      <t>タンタイ</t>
    </rPh>
    <phoneticPr fontId="23"/>
  </si>
  <si>
    <t>QLT05-1</t>
    <phoneticPr fontId="23"/>
  </si>
  <si>
    <t>設計書指摘分析図
（サマリ）</t>
    <rPh sb="0" eb="2">
      <t>セッケイ</t>
    </rPh>
    <rPh sb="2" eb="3">
      <t>ショ</t>
    </rPh>
    <rPh sb="3" eb="5">
      <t>シテキ</t>
    </rPh>
    <rPh sb="5" eb="8">
      <t>ブンセキズ</t>
    </rPh>
    <phoneticPr fontId="23"/>
  </si>
  <si>
    <t>部署名</t>
    <rPh sb="0" eb="2">
      <t>ブショ</t>
    </rPh>
    <rPh sb="2" eb="3">
      <t>メイ</t>
    </rPh>
    <phoneticPr fontId="23"/>
  </si>
  <si>
    <t>システム名</t>
    <rPh sb="4" eb="5">
      <t>メイ</t>
    </rPh>
    <phoneticPr fontId="23"/>
  </si>
  <si>
    <t>　　　作成日</t>
    <phoneticPr fontId="23"/>
  </si>
  <si>
    <t>更新日</t>
  </si>
  <si>
    <t>Ver.</t>
  </si>
  <si>
    <t>　　　作成者</t>
    <phoneticPr fontId="23"/>
  </si>
  <si>
    <t>更新者</t>
  </si>
  <si>
    <t>設計書指摘分析図
（指摘現象－混入工程）</t>
    <rPh sb="0" eb="2">
      <t>セッケイ</t>
    </rPh>
    <rPh sb="2" eb="3">
      <t>ショ</t>
    </rPh>
    <rPh sb="3" eb="5">
      <t>シテキ</t>
    </rPh>
    <rPh sb="5" eb="8">
      <t>ブンセキズ</t>
    </rPh>
    <rPh sb="10" eb="12">
      <t>シテキ</t>
    </rPh>
    <rPh sb="12" eb="14">
      <t>ゲンショウ</t>
    </rPh>
    <rPh sb="15" eb="17">
      <t>コンニュウ</t>
    </rPh>
    <rPh sb="17" eb="19">
      <t>コウテイ</t>
    </rPh>
    <phoneticPr fontId="23"/>
  </si>
  <si>
    <t>20  /  /</t>
    <phoneticPr fontId="23"/>
  </si>
  <si>
    <t>設計書指摘分析図
（混入工程－指摘原因）</t>
    <rPh sb="0" eb="2">
      <t>セッケイ</t>
    </rPh>
    <rPh sb="2" eb="3">
      <t>ショ</t>
    </rPh>
    <rPh sb="3" eb="5">
      <t>シテキ</t>
    </rPh>
    <rPh sb="5" eb="8">
      <t>ブンセキズ</t>
    </rPh>
    <rPh sb="10" eb="12">
      <t>コンニュウ</t>
    </rPh>
    <rPh sb="12" eb="14">
      <t>コウテイ</t>
    </rPh>
    <rPh sb="15" eb="17">
      <t>シテキ</t>
    </rPh>
    <rPh sb="17" eb="19">
      <t>ゲンイン</t>
    </rPh>
    <phoneticPr fontId="23"/>
  </si>
  <si>
    <t>　　　作成日</t>
    <phoneticPr fontId="23"/>
  </si>
  <si>
    <t>　　　作成者</t>
    <phoneticPr fontId="23"/>
  </si>
  <si>
    <t>QLT08-1</t>
    <phoneticPr fontId="23"/>
  </si>
  <si>
    <t>QLT07-1</t>
    <phoneticPr fontId="23"/>
  </si>
  <si>
    <t>　　　作成日</t>
    <phoneticPr fontId="23"/>
  </si>
  <si>
    <t>　　　作成者</t>
    <phoneticPr fontId="23"/>
  </si>
  <si>
    <t>QLT06-1</t>
    <phoneticPr fontId="23"/>
  </si>
  <si>
    <t>設計書指摘分析図
（指摘現象－指摘原因）</t>
    <rPh sb="0" eb="2">
      <t>セッケイ</t>
    </rPh>
    <rPh sb="2" eb="3">
      <t>ショ</t>
    </rPh>
    <rPh sb="3" eb="5">
      <t>シテキ</t>
    </rPh>
    <rPh sb="5" eb="8">
      <t>ブンセキズ</t>
    </rPh>
    <rPh sb="10" eb="12">
      <t>シテキ</t>
    </rPh>
    <rPh sb="12" eb="14">
      <t>ゲンショウ</t>
    </rPh>
    <rPh sb="15" eb="17">
      <t>シテキ</t>
    </rPh>
    <rPh sb="17" eb="19">
      <t>ゲンイン</t>
    </rPh>
    <phoneticPr fontId="23"/>
  </si>
  <si>
    <t>20  /  /</t>
    <phoneticPr fontId="23"/>
  </si>
  <si>
    <t>　　　作成日</t>
    <phoneticPr fontId="23"/>
  </si>
  <si>
    <t>　　　作成者</t>
    <phoneticPr fontId="23"/>
  </si>
  <si>
    <t>テストエラー分析図
（サマリ）</t>
    <rPh sb="6" eb="9">
      <t>ブンセキズ</t>
    </rPh>
    <phoneticPr fontId="23"/>
  </si>
  <si>
    <t>テストエラー分析図
（エラー現象－エラー原因）</t>
    <rPh sb="6" eb="9">
      <t>ブンセキズ</t>
    </rPh>
    <rPh sb="14" eb="16">
      <t>ゲンショウ</t>
    </rPh>
    <rPh sb="20" eb="22">
      <t>ゲンイン</t>
    </rPh>
    <phoneticPr fontId="23"/>
  </si>
  <si>
    <t>20  /  /</t>
    <phoneticPr fontId="23"/>
  </si>
  <si>
    <t>　　　作成日</t>
    <phoneticPr fontId="23"/>
  </si>
  <si>
    <t>　　　作成者</t>
    <phoneticPr fontId="23"/>
  </si>
  <si>
    <t>QLT17-1</t>
    <phoneticPr fontId="23"/>
  </si>
  <si>
    <t>　　　作成日</t>
    <phoneticPr fontId="23"/>
  </si>
  <si>
    <t>　　　作成者</t>
    <phoneticPr fontId="23"/>
  </si>
  <si>
    <t xml:space="preserve">20  /  /  </t>
    <phoneticPr fontId="23"/>
  </si>
  <si>
    <t xml:space="preserve">20  /  /  </t>
    <phoneticPr fontId="23"/>
  </si>
  <si>
    <t>統合管理</t>
    <rPh sb="0" eb="2">
      <t>トウゴウ</t>
    </rPh>
    <rPh sb="2" eb="4">
      <t>カンリ</t>
    </rPh>
    <phoneticPr fontId="18"/>
  </si>
  <si>
    <t>プロジェクト完了報告書（全体総括）</t>
    <rPh sb="6" eb="8">
      <t>カンリョウ</t>
    </rPh>
    <rPh sb="8" eb="10">
      <t>ホウコク</t>
    </rPh>
    <rPh sb="10" eb="11">
      <t>ショ</t>
    </rPh>
    <rPh sb="12" eb="14">
      <t>ゼンタイ</t>
    </rPh>
    <rPh sb="14" eb="16">
      <t>ソウカツ</t>
    </rPh>
    <phoneticPr fontId="18"/>
  </si>
  <si>
    <t>プロジェクト完了報告書（詳細情報）</t>
    <rPh sb="6" eb="8">
      <t>カンリョウ</t>
    </rPh>
    <rPh sb="8" eb="10">
      <t>ホウコク</t>
    </rPh>
    <rPh sb="10" eb="11">
      <t>ショ</t>
    </rPh>
    <rPh sb="12" eb="14">
      <t>ショウサイ</t>
    </rPh>
    <rPh sb="14" eb="16">
      <t>ジョウホウ</t>
    </rPh>
    <phoneticPr fontId="18"/>
  </si>
  <si>
    <t>是正措置管理票</t>
    <rPh sb="0" eb="2">
      <t>ゼセイ</t>
    </rPh>
    <rPh sb="2" eb="4">
      <t>ソチ</t>
    </rPh>
    <rPh sb="4" eb="6">
      <t>カンリ</t>
    </rPh>
    <rPh sb="6" eb="7">
      <t>ヒョウ</t>
    </rPh>
    <phoneticPr fontId="18"/>
  </si>
  <si>
    <t>QLT01-1</t>
    <phoneticPr fontId="23"/>
  </si>
  <si>
    <t>QLT01-2</t>
    <phoneticPr fontId="23"/>
  </si>
  <si>
    <t>QLT02-1</t>
    <phoneticPr fontId="23"/>
  </si>
  <si>
    <t>レビューチェックリスト</t>
    <phoneticPr fontId="23"/>
  </si>
  <si>
    <t>QLT03-1</t>
    <phoneticPr fontId="23"/>
  </si>
  <si>
    <t>QLT04-1</t>
    <phoneticPr fontId="23"/>
  </si>
  <si>
    <t>QLT04-2</t>
    <phoneticPr fontId="23"/>
  </si>
  <si>
    <t>QLT04-3</t>
    <phoneticPr fontId="23"/>
  </si>
  <si>
    <t>QLT04-4</t>
    <phoneticPr fontId="23"/>
  </si>
  <si>
    <t>QLT05-1</t>
    <phoneticPr fontId="23"/>
  </si>
  <si>
    <t>QLT06-1</t>
    <phoneticPr fontId="23"/>
  </si>
  <si>
    <t>QLT08-1</t>
    <phoneticPr fontId="23"/>
  </si>
  <si>
    <t>QLT09-1</t>
    <phoneticPr fontId="23"/>
  </si>
  <si>
    <t>QLT10-1</t>
    <phoneticPr fontId="23"/>
  </si>
  <si>
    <t>QLT12-1</t>
    <phoneticPr fontId="23"/>
  </si>
  <si>
    <t>QLT13-1</t>
    <phoneticPr fontId="23"/>
  </si>
  <si>
    <t>QLT15-1</t>
    <phoneticPr fontId="23"/>
  </si>
  <si>
    <t>QLT16-1</t>
    <phoneticPr fontId="23"/>
  </si>
  <si>
    <t>QLT17-1</t>
    <phoneticPr fontId="23"/>
  </si>
  <si>
    <t>スコープ管理</t>
    <phoneticPr fontId="23"/>
  </si>
  <si>
    <t>コミュニケーション管理</t>
    <phoneticPr fontId="23"/>
  </si>
  <si>
    <t>Ｊ☆ＰＡＴ　様式サンプル（例付）</t>
    <rPh sb="6" eb="8">
      <t>ヨウシキ</t>
    </rPh>
    <rPh sb="13" eb="14">
      <t>レイ</t>
    </rPh>
    <rPh sb="14" eb="15">
      <t>ツキ</t>
    </rPh>
    <phoneticPr fontId="23"/>
  </si>
  <si>
    <t>※　Ｊ☆ＰＡＴとＰ☆ＭＯＴの関連については、関連図をご覧ください。</t>
    <rPh sb="14" eb="16">
      <t>カンレン</t>
    </rPh>
    <rPh sb="22" eb="24">
      <t>カンレン</t>
    </rPh>
    <rPh sb="24" eb="25">
      <t>ズ</t>
    </rPh>
    <phoneticPr fontId="23"/>
  </si>
  <si>
    <t>SCP01-1</t>
    <phoneticPr fontId="23"/>
  </si>
  <si>
    <t>CMC01-1</t>
    <phoneticPr fontId="23"/>
  </si>
  <si>
    <t>PRC01-1</t>
    <phoneticPr fontId="23"/>
  </si>
  <si>
    <t>SCP02-1</t>
    <phoneticPr fontId="23"/>
  </si>
  <si>
    <t>CMC02-1</t>
    <phoneticPr fontId="23"/>
  </si>
  <si>
    <t>PRC02-1</t>
    <phoneticPr fontId="23"/>
  </si>
  <si>
    <t>CMC02-2</t>
    <phoneticPr fontId="23"/>
  </si>
  <si>
    <t>PRC03-1</t>
    <phoneticPr fontId="23"/>
  </si>
  <si>
    <t>SCP04-1</t>
    <phoneticPr fontId="23"/>
  </si>
  <si>
    <t>CMC02-3</t>
    <phoneticPr fontId="23"/>
  </si>
  <si>
    <t>SCP05-1</t>
    <phoneticPr fontId="23"/>
  </si>
  <si>
    <t>CMC02-4</t>
    <phoneticPr fontId="23"/>
  </si>
  <si>
    <t>WBS</t>
    <phoneticPr fontId="23"/>
  </si>
  <si>
    <t>CMC02-5</t>
    <phoneticPr fontId="23"/>
  </si>
  <si>
    <t>SCP05-2</t>
    <phoneticPr fontId="23"/>
  </si>
  <si>
    <t>CMC02-6</t>
    <phoneticPr fontId="23"/>
  </si>
  <si>
    <t>SCP06-1</t>
    <phoneticPr fontId="23"/>
  </si>
  <si>
    <t>CMC02-7</t>
    <phoneticPr fontId="23"/>
  </si>
  <si>
    <t>SCP07-1</t>
    <phoneticPr fontId="23"/>
  </si>
  <si>
    <t>CMC02-8</t>
    <phoneticPr fontId="23"/>
  </si>
  <si>
    <t>SCP08-1</t>
    <phoneticPr fontId="23"/>
  </si>
  <si>
    <t>CMC02-9</t>
    <phoneticPr fontId="23"/>
  </si>
  <si>
    <t>SCP09-1</t>
    <phoneticPr fontId="23"/>
  </si>
  <si>
    <t>CMC03-1</t>
    <phoneticPr fontId="23"/>
  </si>
  <si>
    <t>CMC04-1</t>
    <phoneticPr fontId="23"/>
  </si>
  <si>
    <t>SCH01-1</t>
    <phoneticPr fontId="23"/>
  </si>
  <si>
    <t>マスタースケジュール</t>
    <phoneticPr fontId="23"/>
  </si>
  <si>
    <t>SCH02-1</t>
    <phoneticPr fontId="23"/>
  </si>
  <si>
    <t>SCH03-1</t>
    <phoneticPr fontId="23"/>
  </si>
  <si>
    <t>CST01-1</t>
    <phoneticPr fontId="23"/>
  </si>
  <si>
    <t>HMN01-1</t>
    <phoneticPr fontId="23"/>
  </si>
  <si>
    <t>HMN02-1</t>
    <phoneticPr fontId="23"/>
  </si>
  <si>
    <t>HMN02-2</t>
    <phoneticPr fontId="23"/>
  </si>
  <si>
    <t>CMC07-1</t>
    <phoneticPr fontId="23"/>
  </si>
  <si>
    <t>HMN03-1</t>
    <phoneticPr fontId="23"/>
  </si>
  <si>
    <t>CMC08-1</t>
    <phoneticPr fontId="23"/>
  </si>
  <si>
    <t>HMN04-1</t>
    <phoneticPr fontId="23"/>
  </si>
  <si>
    <t>RSK01-1</t>
    <phoneticPr fontId="23"/>
  </si>
  <si>
    <t>RSK02-1</t>
    <phoneticPr fontId="23"/>
  </si>
  <si>
    <t>○</t>
  </si>
  <si>
    <t>QLT01-1</t>
    <phoneticPr fontId="23"/>
  </si>
  <si>
    <t>プロジェクト計画書</t>
    <phoneticPr fontId="23"/>
  </si>
  <si>
    <t>品質基準管理表（定量的観点）</t>
    <rPh sb="0" eb="2">
      <t>ヒンシツ</t>
    </rPh>
    <rPh sb="2" eb="4">
      <t>キジュン</t>
    </rPh>
    <rPh sb="4" eb="6">
      <t>カンリ</t>
    </rPh>
    <rPh sb="6" eb="7">
      <t>ヒョウ</t>
    </rPh>
    <rPh sb="8" eb="11">
      <t>テイリョウテキ</t>
    </rPh>
    <rPh sb="11" eb="13">
      <t>カンテン</t>
    </rPh>
    <phoneticPr fontId="23"/>
  </si>
  <si>
    <t>委託先欄</t>
    <rPh sb="0" eb="3">
      <t>イタクサキ</t>
    </rPh>
    <rPh sb="3" eb="4">
      <t>ラン</t>
    </rPh>
    <phoneticPr fontId="23"/>
  </si>
  <si>
    <t>Ver.</t>
    <phoneticPr fontId="23"/>
  </si>
  <si>
    <t>作成者</t>
    <rPh sb="0" eb="2">
      <t>サクセイ</t>
    </rPh>
    <rPh sb="2" eb="3">
      <t>シャ</t>
    </rPh>
    <phoneticPr fontId="23"/>
  </si>
  <si>
    <t>対象となる成果物・作業</t>
    <rPh sb="0" eb="2">
      <t>タイショウ</t>
    </rPh>
    <rPh sb="5" eb="7">
      <t>セイカ</t>
    </rPh>
    <rPh sb="7" eb="8">
      <t>ブツ</t>
    </rPh>
    <rPh sb="9" eb="11">
      <t>サギョウ</t>
    </rPh>
    <phoneticPr fontId="23"/>
  </si>
  <si>
    <t>要件定義工程</t>
    <rPh sb="0" eb="2">
      <t>ヨウケン</t>
    </rPh>
    <rPh sb="2" eb="4">
      <t>テイギ</t>
    </rPh>
    <rPh sb="4" eb="6">
      <t>コウテイ</t>
    </rPh>
    <phoneticPr fontId="23"/>
  </si>
  <si>
    <t>要件定義書</t>
    <rPh sb="0" eb="2">
      <t>ヨウケン</t>
    </rPh>
    <rPh sb="2" eb="5">
      <t>テイギショ</t>
    </rPh>
    <phoneticPr fontId="23"/>
  </si>
  <si>
    <t>レビュー密度</t>
    <rPh sb="4" eb="6">
      <t>ミツド</t>
    </rPh>
    <phoneticPr fontId="23"/>
  </si>
  <si>
    <t>レビュー工数（人時）／設計規模（枚数）</t>
    <rPh sb="16" eb="18">
      <t>マイスウ</t>
    </rPh>
    <phoneticPr fontId="23"/>
  </si>
  <si>
    <t>レビュー状況管理表
品質管理（分析サマリ）</t>
    <rPh sb="4" eb="6">
      <t>ジョウキョウ</t>
    </rPh>
    <rPh sb="6" eb="8">
      <t>カンリ</t>
    </rPh>
    <rPh sb="8" eb="9">
      <t>ヒョウ</t>
    </rPh>
    <rPh sb="10" eb="12">
      <t>ヒンシツ</t>
    </rPh>
    <rPh sb="12" eb="14">
      <t>カンリ</t>
    </rPh>
    <rPh sb="15" eb="17">
      <t>ブンセキ</t>
    </rPh>
    <phoneticPr fontId="23"/>
  </si>
  <si>
    <t>指摘摘出密度</t>
    <rPh sb="0" eb="2">
      <t>シテキ</t>
    </rPh>
    <rPh sb="2" eb="4">
      <t>テキシュツ</t>
    </rPh>
    <rPh sb="4" eb="6">
      <t>ミツド</t>
    </rPh>
    <phoneticPr fontId="23"/>
  </si>
  <si>
    <t>指摘数／設計規模（枚数）</t>
    <phoneticPr fontId="23"/>
  </si>
  <si>
    <t>基本設計工程</t>
    <rPh sb="0" eb="2">
      <t>キホン</t>
    </rPh>
    <rPh sb="2" eb="4">
      <t>セッケイ</t>
    </rPh>
    <rPh sb="4" eb="6">
      <t>コウテイ</t>
    </rPh>
    <phoneticPr fontId="23"/>
  </si>
  <si>
    <t>詳細設計工程</t>
    <rPh sb="0" eb="2">
      <t>ショウサイ</t>
    </rPh>
    <rPh sb="2" eb="4">
      <t>セッケイ</t>
    </rPh>
    <rPh sb="4" eb="6">
      <t>コウテイ</t>
    </rPh>
    <phoneticPr fontId="23"/>
  </si>
  <si>
    <t>単体テスト</t>
    <rPh sb="0" eb="2">
      <t>タンタイ</t>
    </rPh>
    <phoneticPr fontId="23"/>
  </si>
  <si>
    <t>テスト項目数／製造規模（KSLOC）</t>
    <phoneticPr fontId="23"/>
  </si>
  <si>
    <t>テスト状況管理表
品質管理（分析サマリ）</t>
    <rPh sb="3" eb="5">
      <t>ジョウキョウ</t>
    </rPh>
    <rPh sb="5" eb="7">
      <t>カンリ</t>
    </rPh>
    <rPh sb="7" eb="8">
      <t>ヒョウ</t>
    </rPh>
    <rPh sb="9" eb="11">
      <t>ヒンシツ</t>
    </rPh>
    <rPh sb="11" eb="13">
      <t>カンリ</t>
    </rPh>
    <rPh sb="14" eb="16">
      <t>ブンセキ</t>
    </rPh>
    <phoneticPr fontId="23"/>
  </si>
  <si>
    <t>バグ発生件数／製造規模（KSLOC）</t>
    <phoneticPr fontId="23"/>
  </si>
  <si>
    <t>結合テスト工程</t>
    <rPh sb="0" eb="2">
      <t>ケツゴウ</t>
    </rPh>
    <rPh sb="5" eb="7">
      <t>コウテイ</t>
    </rPh>
    <phoneticPr fontId="23"/>
  </si>
  <si>
    <t>システムテスト工程</t>
    <rPh sb="7" eb="9">
      <t>コウテイ</t>
    </rPh>
    <phoneticPr fontId="23"/>
  </si>
  <si>
    <t>システムテスト</t>
    <phoneticPr fontId="23"/>
  </si>
  <si>
    <t>テスト項目数／製造規模（KSLOC）</t>
    <phoneticPr fontId="23"/>
  </si>
  <si>
    <t>移行／導入工程</t>
    <rPh sb="0" eb="2">
      <t>イコウ</t>
    </rPh>
    <rPh sb="3" eb="5">
      <t>ドウニュウ</t>
    </rPh>
    <rPh sb="5" eb="7">
      <t>コウテイ</t>
    </rPh>
    <phoneticPr fontId="23"/>
  </si>
  <si>
    <t>システムテスト工程</t>
  </si>
  <si>
    <t>　</t>
  </si>
  <si>
    <t>QLT01-2</t>
    <phoneticPr fontId="23"/>
  </si>
  <si>
    <t>品質基準管理表（定性的観点）</t>
    <rPh sb="0" eb="2">
      <t>ヒンシツ</t>
    </rPh>
    <rPh sb="2" eb="4">
      <t>キジュン</t>
    </rPh>
    <rPh sb="4" eb="6">
      <t>カンリ</t>
    </rPh>
    <rPh sb="6" eb="7">
      <t>ヒョウ</t>
    </rPh>
    <rPh sb="8" eb="11">
      <t>テイセイテキ</t>
    </rPh>
    <rPh sb="11" eb="13">
      <t>カンテン</t>
    </rPh>
    <phoneticPr fontId="23"/>
  </si>
  <si>
    <t>Ver.</t>
    <phoneticPr fontId="23"/>
  </si>
  <si>
    <t>性能テスト</t>
    <rPh sb="0" eb="2">
      <t>セイノウ</t>
    </rPh>
    <phoneticPr fontId="23"/>
  </si>
  <si>
    <t>当該システムでのレスポンス目標値（許容レスポンスタイムの最大値）は3秒とする。
但し、一覧照会処理では＋2秒、システム間連携処理では経由するシステム毎に＋2秒ずつレスポンス目標値を追加する。</t>
    <rPh sb="0" eb="2">
      <t>トウガイ</t>
    </rPh>
    <rPh sb="13" eb="15">
      <t>モクヒョウ</t>
    </rPh>
    <rPh sb="15" eb="16">
      <t>チ</t>
    </rPh>
    <rPh sb="17" eb="19">
      <t>キョヨウ</t>
    </rPh>
    <rPh sb="28" eb="31">
      <t>サイダイチ</t>
    </rPh>
    <rPh sb="34" eb="35">
      <t>ビョウ</t>
    </rPh>
    <rPh sb="40" eb="41">
      <t>タダ</t>
    </rPh>
    <rPh sb="43" eb="45">
      <t>イチラン</t>
    </rPh>
    <rPh sb="45" eb="47">
      <t>ショウカイ</t>
    </rPh>
    <rPh sb="47" eb="49">
      <t>ショリ</t>
    </rPh>
    <rPh sb="53" eb="54">
      <t>ビョウ</t>
    </rPh>
    <rPh sb="59" eb="60">
      <t>カン</t>
    </rPh>
    <rPh sb="60" eb="62">
      <t>レンケイ</t>
    </rPh>
    <rPh sb="62" eb="64">
      <t>ショリ</t>
    </rPh>
    <rPh sb="66" eb="68">
      <t>ケイユ</t>
    </rPh>
    <rPh sb="74" eb="75">
      <t>ゴト</t>
    </rPh>
    <rPh sb="78" eb="79">
      <t>ビョウ</t>
    </rPh>
    <rPh sb="86" eb="88">
      <t>モクヒョウ</t>
    </rPh>
    <rPh sb="88" eb="89">
      <t>チ</t>
    </rPh>
    <rPh sb="90" eb="92">
      <t>ツイカ</t>
    </rPh>
    <phoneticPr fontId="23"/>
  </si>
  <si>
    <t>ハードウェアの想定障害発生時、障害発生部位および関連部位による影響を受けたサービスは、10分以内に再開する。
但し、データの破損、欠損等により当該システムを利用した業務サービスが提供できない重障害の場合は除く。</t>
    <rPh sb="7" eb="9">
      <t>ソウテイ</t>
    </rPh>
    <rPh sb="9" eb="11">
      <t>ショウガイ</t>
    </rPh>
    <rPh sb="11" eb="13">
      <t>ハッセイ</t>
    </rPh>
    <rPh sb="13" eb="14">
      <t>ジ</t>
    </rPh>
    <rPh sb="15" eb="17">
      <t>ショウガイ</t>
    </rPh>
    <rPh sb="17" eb="19">
      <t>ハッセイ</t>
    </rPh>
    <rPh sb="19" eb="20">
      <t>ブ</t>
    </rPh>
    <rPh sb="20" eb="21">
      <t>イ</t>
    </rPh>
    <rPh sb="24" eb="26">
      <t>カンレン</t>
    </rPh>
    <rPh sb="26" eb="28">
      <t>ブイ</t>
    </rPh>
    <rPh sb="31" eb="33">
      <t>エイキョウ</t>
    </rPh>
    <rPh sb="34" eb="35">
      <t>ウ</t>
    </rPh>
    <rPh sb="45" eb="46">
      <t>フン</t>
    </rPh>
    <rPh sb="46" eb="48">
      <t>イナイ</t>
    </rPh>
    <rPh sb="49" eb="51">
      <t>サイカイ</t>
    </rPh>
    <rPh sb="55" eb="56">
      <t>タダ</t>
    </rPh>
    <rPh sb="62" eb="64">
      <t>ハソン</t>
    </rPh>
    <rPh sb="65" eb="67">
      <t>ケッソン</t>
    </rPh>
    <rPh sb="67" eb="68">
      <t>ナド</t>
    </rPh>
    <rPh sb="71" eb="73">
      <t>トウガイ</t>
    </rPh>
    <rPh sb="78" eb="80">
      <t>リヨウ</t>
    </rPh>
    <rPh sb="82" eb="84">
      <t>ギョウム</t>
    </rPh>
    <rPh sb="89" eb="91">
      <t>テイキョウ</t>
    </rPh>
    <rPh sb="95" eb="96">
      <t>ジュウ</t>
    </rPh>
    <rPh sb="96" eb="98">
      <t>ショウガイ</t>
    </rPh>
    <rPh sb="99" eb="101">
      <t>バアイ</t>
    </rPh>
    <rPh sb="102" eb="103">
      <t>ノゾ</t>
    </rPh>
    <phoneticPr fontId="23"/>
  </si>
  <si>
    <t>顧客より提供される本番相当バリエーションテストデータを使い、現新システムの処理結果が同一であることを確認する。</t>
    <rPh sb="0" eb="2">
      <t>コキャク</t>
    </rPh>
    <rPh sb="4" eb="6">
      <t>テイキョウ</t>
    </rPh>
    <rPh sb="9" eb="11">
      <t>ホンバン</t>
    </rPh>
    <rPh sb="11" eb="13">
      <t>ソウトウ</t>
    </rPh>
    <rPh sb="27" eb="28">
      <t>ツカ</t>
    </rPh>
    <rPh sb="30" eb="31">
      <t>ゲン</t>
    </rPh>
    <rPh sb="31" eb="32">
      <t>シン</t>
    </rPh>
    <rPh sb="37" eb="39">
      <t>ショリ</t>
    </rPh>
    <rPh sb="39" eb="41">
      <t>ケッカ</t>
    </rPh>
    <rPh sb="42" eb="44">
      <t>ドウイツ</t>
    </rPh>
    <rPh sb="50" eb="52">
      <t>カクニン</t>
    </rPh>
    <phoneticPr fontId="23"/>
  </si>
  <si>
    <t>QLT02-1</t>
    <phoneticPr fontId="23"/>
  </si>
  <si>
    <t>レビューチェックリスト</t>
    <phoneticPr fontId="23"/>
  </si>
  <si>
    <t>作成者</t>
    <phoneticPr fontId="23"/>
  </si>
  <si>
    <t>成果物ＩＤ</t>
    <rPh sb="0" eb="2">
      <t>セイカ</t>
    </rPh>
    <rPh sb="2" eb="3">
      <t>ブツ</t>
    </rPh>
    <phoneticPr fontId="23"/>
  </si>
  <si>
    <t>依頼文書における依頼内容の不明確な点を明確化し、顧客確認をとったか</t>
    <rPh sb="0" eb="2">
      <t>イライ</t>
    </rPh>
    <rPh sb="2" eb="4">
      <t>ブンショ</t>
    </rPh>
    <rPh sb="8" eb="10">
      <t>イライ</t>
    </rPh>
    <rPh sb="10" eb="12">
      <t>ナイヨウ</t>
    </rPh>
    <rPh sb="13" eb="16">
      <t>フメイカク</t>
    </rPh>
    <rPh sb="17" eb="18">
      <t>テン</t>
    </rPh>
    <rPh sb="19" eb="21">
      <t>メイカク</t>
    </rPh>
    <rPh sb="21" eb="22">
      <t>カ</t>
    </rPh>
    <rPh sb="24" eb="26">
      <t>コキャク</t>
    </rPh>
    <rPh sb="26" eb="28">
      <t>カクニン</t>
    </rPh>
    <phoneticPr fontId="23"/>
  </si>
  <si>
    <t>依頼文書の内容を網羅しているか</t>
    <rPh sb="0" eb="2">
      <t>イライ</t>
    </rPh>
    <rPh sb="2" eb="4">
      <t>ブンショ</t>
    </rPh>
    <rPh sb="5" eb="7">
      <t>ナイヨウ</t>
    </rPh>
    <rPh sb="8" eb="10">
      <t>モウラ</t>
    </rPh>
    <phoneticPr fontId="23"/>
  </si>
  <si>
    <t>業務上の期待効果の実現に対し、過不足や矛盾はないか</t>
    <rPh sb="0" eb="3">
      <t>ギョウムジョウ</t>
    </rPh>
    <rPh sb="4" eb="6">
      <t>キタイ</t>
    </rPh>
    <rPh sb="6" eb="8">
      <t>コウカ</t>
    </rPh>
    <rPh sb="9" eb="11">
      <t>ジツゲン</t>
    </rPh>
    <rPh sb="12" eb="13">
      <t>タイ</t>
    </rPh>
    <rPh sb="15" eb="18">
      <t>カフソク</t>
    </rPh>
    <rPh sb="19" eb="21">
      <t>ムジュン</t>
    </rPh>
    <phoneticPr fontId="23"/>
  </si>
  <si>
    <t>上位文書である要件定義書の各要件と各要求仕様の追跡性を確保しているか</t>
    <rPh sb="0" eb="2">
      <t>ジョウイ</t>
    </rPh>
    <rPh sb="2" eb="4">
      <t>ブンショ</t>
    </rPh>
    <rPh sb="7" eb="9">
      <t>ヨウケン</t>
    </rPh>
    <rPh sb="9" eb="11">
      <t>テイギ</t>
    </rPh>
    <rPh sb="11" eb="12">
      <t>ショ</t>
    </rPh>
    <rPh sb="13" eb="14">
      <t>カク</t>
    </rPh>
    <rPh sb="14" eb="16">
      <t>ヨウケン</t>
    </rPh>
    <rPh sb="17" eb="18">
      <t>カク</t>
    </rPh>
    <rPh sb="18" eb="20">
      <t>ヨウキュウ</t>
    </rPh>
    <rPh sb="20" eb="22">
      <t>シヨウ</t>
    </rPh>
    <rPh sb="23" eb="25">
      <t>ツイセキ</t>
    </rPh>
    <rPh sb="25" eb="26">
      <t>セイ</t>
    </rPh>
    <rPh sb="27" eb="29">
      <t>カクホ</t>
    </rPh>
    <phoneticPr fontId="23"/>
  </si>
  <si>
    <t>基準を遵守し、明確にわかりやすく記述されているか</t>
    <rPh sb="0" eb="2">
      <t>キジュン</t>
    </rPh>
    <rPh sb="3" eb="5">
      <t>ジュンシュ</t>
    </rPh>
    <rPh sb="7" eb="9">
      <t>メイカク</t>
    </rPh>
    <rPh sb="16" eb="18">
      <t>キジュツ</t>
    </rPh>
    <phoneticPr fontId="23"/>
  </si>
  <si>
    <t>用語、図表は一貫して記述されているか</t>
    <rPh sb="0" eb="2">
      <t>ヨウゴ</t>
    </rPh>
    <rPh sb="3" eb="4">
      <t>ズ</t>
    </rPh>
    <rPh sb="4" eb="5">
      <t>ヒョウ</t>
    </rPh>
    <rPh sb="6" eb="8">
      <t>イッカン</t>
    </rPh>
    <rPh sb="10" eb="12">
      <t>キジュツ</t>
    </rPh>
    <phoneticPr fontId="23"/>
  </si>
  <si>
    <t>設計内容は詳細設計が行えるレベルか</t>
    <rPh sb="0" eb="2">
      <t>セッケイ</t>
    </rPh>
    <rPh sb="2" eb="4">
      <t>ナイヨウ</t>
    </rPh>
    <rPh sb="5" eb="7">
      <t>ショウサイ</t>
    </rPh>
    <rPh sb="7" eb="9">
      <t>セッケイ</t>
    </rPh>
    <rPh sb="10" eb="11">
      <t>オコナ</t>
    </rPh>
    <phoneticPr fontId="23"/>
  </si>
  <si>
    <t>他システム又は他業務への影響範囲を調査したか</t>
    <rPh sb="0" eb="1">
      <t>タ</t>
    </rPh>
    <rPh sb="5" eb="6">
      <t>マタ</t>
    </rPh>
    <rPh sb="7" eb="8">
      <t>タ</t>
    </rPh>
    <rPh sb="8" eb="10">
      <t>ギョウム</t>
    </rPh>
    <rPh sb="12" eb="14">
      <t>エイキョウ</t>
    </rPh>
    <rPh sb="14" eb="16">
      <t>ハンイ</t>
    </rPh>
    <rPh sb="17" eb="19">
      <t>チョウサ</t>
    </rPh>
    <phoneticPr fontId="23"/>
  </si>
  <si>
    <t>移行処理が必要な場合、移行内容は明確になっているか</t>
    <rPh sb="0" eb="2">
      <t>イコウ</t>
    </rPh>
    <rPh sb="2" eb="4">
      <t>ショリ</t>
    </rPh>
    <rPh sb="5" eb="7">
      <t>ヒツヨウ</t>
    </rPh>
    <rPh sb="8" eb="10">
      <t>バアイ</t>
    </rPh>
    <rPh sb="11" eb="13">
      <t>イコウ</t>
    </rPh>
    <rPh sb="13" eb="15">
      <t>ナイヨウ</t>
    </rPh>
    <rPh sb="16" eb="18">
      <t>メイカク</t>
    </rPh>
    <phoneticPr fontId="23"/>
  </si>
  <si>
    <t>【論理データ設計】</t>
    <rPh sb="1" eb="3">
      <t>ロンリ</t>
    </rPh>
    <rPh sb="6" eb="8">
      <t>セッケイ</t>
    </rPh>
    <phoneticPr fontId="23"/>
  </si>
  <si>
    <t>システム要件の充足性や他の成果物との整合性は保たれているか</t>
    <rPh sb="4" eb="6">
      <t>ヨウケン</t>
    </rPh>
    <rPh sb="7" eb="9">
      <t>ジュウソク</t>
    </rPh>
    <rPh sb="9" eb="10">
      <t>セイ</t>
    </rPh>
    <rPh sb="11" eb="12">
      <t>ホカ</t>
    </rPh>
    <rPh sb="13" eb="15">
      <t>セイカ</t>
    </rPh>
    <rPh sb="15" eb="16">
      <t>ブツ</t>
    </rPh>
    <rPh sb="18" eb="21">
      <t>セイゴウセイ</t>
    </rPh>
    <rPh sb="22" eb="23">
      <t>タモ</t>
    </rPh>
    <phoneticPr fontId="23"/>
  </si>
  <si>
    <t>論理データモデルはプロジェクトで定められた表記法で記載されているか</t>
    <rPh sb="0" eb="2">
      <t>ロンリ</t>
    </rPh>
    <rPh sb="16" eb="17">
      <t>サダ</t>
    </rPh>
    <rPh sb="21" eb="23">
      <t>ヒョウキ</t>
    </rPh>
    <rPh sb="23" eb="24">
      <t>ホウ</t>
    </rPh>
    <rPh sb="25" eb="27">
      <t>キサイ</t>
    </rPh>
    <phoneticPr fontId="23"/>
  </si>
  <si>
    <t>論理データモデルは正規化されているか</t>
    <rPh sb="0" eb="2">
      <t>ロンリ</t>
    </rPh>
    <rPh sb="9" eb="11">
      <t>セイキ</t>
    </rPh>
    <rPh sb="11" eb="12">
      <t>カ</t>
    </rPh>
    <phoneticPr fontId="23"/>
  </si>
  <si>
    <t>論理データモデルは効率性、柔軟性、保守性を考慮されているか</t>
    <rPh sb="0" eb="2">
      <t>ロンリ</t>
    </rPh>
    <rPh sb="9" eb="12">
      <t>コウリツセイ</t>
    </rPh>
    <rPh sb="13" eb="16">
      <t>ジュウナンセイ</t>
    </rPh>
    <rPh sb="17" eb="20">
      <t>ホシュセイ</t>
    </rPh>
    <rPh sb="21" eb="23">
      <t>コウリョ</t>
    </rPh>
    <phoneticPr fontId="23"/>
  </si>
  <si>
    <t>論理データモデルは、作成者だけではなく、他の担当者や顧客に対してもイメージしやすく、理解しやすいものになっているか</t>
    <rPh sb="0" eb="2">
      <t>ロンリ</t>
    </rPh>
    <rPh sb="10" eb="13">
      <t>サクセイシャ</t>
    </rPh>
    <rPh sb="20" eb="21">
      <t>ホカ</t>
    </rPh>
    <rPh sb="22" eb="25">
      <t>タントウシャ</t>
    </rPh>
    <rPh sb="26" eb="28">
      <t>コキャク</t>
    </rPh>
    <rPh sb="29" eb="30">
      <t>タイ</t>
    </rPh>
    <rPh sb="42" eb="44">
      <t>リカイ</t>
    </rPh>
    <phoneticPr fontId="23"/>
  </si>
  <si>
    <t>エンティティに含まれるデータ項目（エンティティの属性）の定義を明確にしたか</t>
    <rPh sb="7" eb="8">
      <t>フク</t>
    </rPh>
    <rPh sb="14" eb="16">
      <t>コウモク</t>
    </rPh>
    <rPh sb="24" eb="26">
      <t>ゾクセイ</t>
    </rPh>
    <rPh sb="28" eb="30">
      <t>テイギ</t>
    </rPh>
    <rPh sb="31" eb="33">
      <t>メイカク</t>
    </rPh>
    <phoneticPr fontId="23"/>
  </si>
  <si>
    <t>担当者</t>
    <phoneticPr fontId="23"/>
  </si>
  <si>
    <t>担当者</t>
    <phoneticPr fontId="23"/>
  </si>
  <si>
    <t>担当者</t>
    <phoneticPr fontId="23"/>
  </si>
  <si>
    <r>
      <t>SCP</t>
    </r>
    <r>
      <rPr>
        <sz val="11"/>
        <rFont val="ＭＳ Ｐゴシック"/>
        <family val="3"/>
        <charset val="128"/>
      </rPr>
      <t>10</t>
    </r>
    <r>
      <rPr>
        <sz val="11"/>
        <rFont val="ＭＳ Ｐゴシック"/>
        <family val="3"/>
        <charset val="128"/>
      </rPr>
      <t>-1</t>
    </r>
    <phoneticPr fontId="23"/>
  </si>
  <si>
    <t>非機能要件一覧表　</t>
    <rPh sb="0" eb="1">
      <t>ヒ</t>
    </rPh>
    <rPh sb="1" eb="3">
      <t>キノウ</t>
    </rPh>
    <rPh sb="3" eb="5">
      <t>ヨウケン</t>
    </rPh>
    <rPh sb="5" eb="7">
      <t>イチラン</t>
    </rPh>
    <rPh sb="7" eb="8">
      <t>ヒョウ</t>
    </rPh>
    <phoneticPr fontId="23"/>
  </si>
  <si>
    <t>重要度
(1:全業務取引不能2:一部業務取引不能3:回避手段あり4:業務影響なし)</t>
    <rPh sb="0" eb="3">
      <t>ジュウヨウド</t>
    </rPh>
    <rPh sb="7" eb="8">
      <t>ゼン</t>
    </rPh>
    <rPh sb="8" eb="10">
      <t>ギョウム</t>
    </rPh>
    <rPh sb="10" eb="12">
      <t>トリヒキ</t>
    </rPh>
    <rPh sb="12" eb="14">
      <t>フノウ</t>
    </rPh>
    <rPh sb="16" eb="18">
      <t>イチブ</t>
    </rPh>
    <rPh sb="18" eb="20">
      <t>ギョウム</t>
    </rPh>
    <rPh sb="20" eb="22">
      <t>トリヒキ</t>
    </rPh>
    <rPh sb="22" eb="24">
      <t>フノウ</t>
    </rPh>
    <rPh sb="26" eb="28">
      <t>カイヒ</t>
    </rPh>
    <rPh sb="28" eb="30">
      <t>シュダン</t>
    </rPh>
    <rPh sb="34" eb="36">
      <t>ギョウム</t>
    </rPh>
    <rPh sb="36" eb="38">
      <t>エイキョウ</t>
    </rPh>
    <phoneticPr fontId="23"/>
  </si>
  <si>
    <t>優先度
(1:高2:中3:低)</t>
    <rPh sb="0" eb="2">
      <t>ユウセン</t>
    </rPh>
    <rPh sb="2" eb="3">
      <t>ド</t>
    </rPh>
    <phoneticPr fontId="23"/>
  </si>
  <si>
    <t>混入工程</t>
    <rPh sb="0" eb="2">
      <t>コンニュウ</t>
    </rPh>
    <phoneticPr fontId="23"/>
  </si>
  <si>
    <t>システムテスト</t>
    <phoneticPr fontId="23"/>
  </si>
  <si>
    <t>QLT14-1</t>
    <phoneticPr fontId="23"/>
  </si>
  <si>
    <t>QLT15-1</t>
    <phoneticPr fontId="23"/>
  </si>
  <si>
    <t>摘出工程</t>
    <rPh sb="0" eb="2">
      <t>テキシュツ</t>
    </rPh>
    <rPh sb="2" eb="4">
      <t>コウテイ</t>
    </rPh>
    <phoneticPr fontId="23"/>
  </si>
  <si>
    <t>テストエラー分析図（エラー現象‐摘出すべき工程）</t>
    <rPh sb="6" eb="9">
      <t>ブンセキズ</t>
    </rPh>
    <rPh sb="13" eb="15">
      <t>ゲンショウ</t>
    </rPh>
    <rPh sb="16" eb="18">
      <t>テキシュツ</t>
    </rPh>
    <rPh sb="21" eb="23">
      <t>コウテイ</t>
    </rPh>
    <phoneticPr fontId="23"/>
  </si>
  <si>
    <t>テストエラー分析図（摘出すべき工程‐エラー原因）</t>
    <rPh sb="6" eb="9">
      <t>ブンセキズ</t>
    </rPh>
    <rPh sb="10" eb="12">
      <t>テキシュツ</t>
    </rPh>
    <rPh sb="15" eb="17">
      <t>コウテイ</t>
    </rPh>
    <rPh sb="21" eb="23">
      <t>ゲンイン</t>
    </rPh>
    <phoneticPr fontId="23"/>
  </si>
  <si>
    <t>摘出すべき工程</t>
    <rPh sb="0" eb="2">
      <t>テキシュツ</t>
    </rPh>
    <rPh sb="5" eb="7">
      <t>コウテイ</t>
    </rPh>
    <phoneticPr fontId="23"/>
  </si>
  <si>
    <t>テストエラー分析図
（エラー現象－摘出すべき工程）</t>
    <rPh sb="6" eb="9">
      <t>ブンセキズ</t>
    </rPh>
    <rPh sb="14" eb="16">
      <t>ゲンショウ</t>
    </rPh>
    <rPh sb="17" eb="19">
      <t>テキシュツ</t>
    </rPh>
    <rPh sb="22" eb="24">
      <t>コウテイ</t>
    </rPh>
    <phoneticPr fontId="23"/>
  </si>
  <si>
    <t>テストエラー分析図
（摘出すべき工程－エラー原因）</t>
    <rPh sb="6" eb="9">
      <t>ブンセキズ</t>
    </rPh>
    <rPh sb="11" eb="13">
      <t>テキシュツ</t>
    </rPh>
    <rPh sb="16" eb="18">
      <t>コウテイ</t>
    </rPh>
    <rPh sb="22" eb="24">
      <t>ゲンイン</t>
    </rPh>
    <phoneticPr fontId="23"/>
  </si>
  <si>
    <t>　　　作成日</t>
    <phoneticPr fontId="23"/>
  </si>
  <si>
    <t>　　　作成者</t>
    <phoneticPr fontId="23"/>
  </si>
  <si>
    <t>摘出すべき工程</t>
    <phoneticPr fontId="23"/>
  </si>
  <si>
    <t>－</t>
    <phoneticPr fontId="23"/>
  </si>
  <si>
    <t>　　　作成日</t>
    <phoneticPr fontId="23"/>
  </si>
  <si>
    <t>　　　作成者</t>
    <phoneticPr fontId="23"/>
  </si>
  <si>
    <t>すり抜け工程</t>
    <rPh sb="2" eb="3">
      <t>ヌ</t>
    </rPh>
    <phoneticPr fontId="23"/>
  </si>
  <si>
    <t>混入要因</t>
    <rPh sb="0" eb="2">
      <t>コンニュウ</t>
    </rPh>
    <phoneticPr fontId="23"/>
  </si>
  <si>
    <t>QLT09-1</t>
    <phoneticPr fontId="23"/>
  </si>
  <si>
    <t>Ver.</t>
    <phoneticPr fontId="23"/>
  </si>
  <si>
    <t>サブシステム名</t>
    <phoneticPr fontId="23"/>
  </si>
  <si>
    <t>1：全業務取引不能，2：一部業務取引不能，
3：回避手段あり，4：業務影響なし</t>
    <phoneticPr fontId="23"/>
  </si>
  <si>
    <t>優先度</t>
    <phoneticPr fontId="23"/>
  </si>
  <si>
    <t>1：高，2：中，3：低</t>
    <phoneticPr fontId="23"/>
  </si>
  <si>
    <t>混入要因</t>
    <rPh sb="0" eb="2">
      <t>コンニュウ</t>
    </rPh>
    <rPh sb="2" eb="4">
      <t>ヨウイン</t>
    </rPh>
    <phoneticPr fontId="23"/>
  </si>
  <si>
    <t>サンプルプロジェクトＡ_o100001</t>
    <phoneticPr fontId="23"/>
  </si>
  <si>
    <t>協力会社Ａ</t>
    <phoneticPr fontId="23"/>
  </si>
  <si>
    <t>開発２部</t>
    <phoneticPr fontId="23"/>
  </si>
  <si>
    <t>岡田　宗男</t>
    <phoneticPr fontId="23"/>
  </si>
  <si>
    <t>顧客管理</t>
    <phoneticPr fontId="23"/>
  </si>
  <si>
    <t>顧客情報洗い換え</t>
    <phoneticPr fontId="23"/>
  </si>
  <si>
    <t>ABEND</t>
    <phoneticPr fontId="23"/>
  </si>
  <si>
    <t>バッチ処理中にアベンド</t>
    <phoneticPr fontId="23"/>
  </si>
  <si>
    <t>処理開始から20分経過後に処理がアベンド。エラーログにはOutOFMemoryが発生したことが記録されている。</t>
    <phoneticPr fontId="23"/>
  </si>
  <si>
    <t>df-001</t>
    <phoneticPr fontId="23"/>
  </si>
  <si>
    <t>修正対応中</t>
    <phoneticPr fontId="23"/>
  </si>
  <si>
    <t>バグである</t>
    <phoneticPr fontId="23"/>
  </si>
  <si>
    <t>アプリケーション：コーディング</t>
    <phoneticPr fontId="23"/>
  </si>
  <si>
    <t>限界処理</t>
    <phoneticPr fontId="23"/>
  </si>
  <si>
    <t>仕様不備問題：記述漏れ</t>
    <phoneticPr fontId="23"/>
  </si>
  <si>
    <t>結合テスト</t>
    <phoneticPr fontId="23"/>
  </si>
  <si>
    <t>関連なし</t>
    <phoneticPr fontId="23"/>
  </si>
  <si>
    <t>テスト項目抽出漏れ</t>
    <phoneticPr fontId="23"/>
  </si>
  <si>
    <t>メモリを開放する共通ロジックがプログラムに埋め込まれておらず、大量データを処理しているなかでOutOFMemoryが発生した。
共通ロジックの仕様はプログラム設計書に記載されておらず、プログラム作成者およびレビュー者も気が付かなかった。</t>
    <phoneticPr fontId="23"/>
  </si>
  <si>
    <t>メモリを開放する共通ロジックをプログラムに埋め込んだ上で、想定最大処理件数を処理できるかをテストする。
また、併せて他のプログラムでも共通ロジックが洩れていないかを確認する。
共通ロジックが洩れているプログラムが他にないことを確認する。</t>
    <phoneticPr fontId="23"/>
  </si>
  <si>
    <t>データ</t>
    <phoneticPr fontId="23"/>
  </si>
  <si>
    <t>ABEND</t>
    <phoneticPr fontId="23"/>
  </si>
  <si>
    <t>摘出すべき</t>
    <rPh sb="0" eb="2">
      <t>テキシュツ</t>
    </rPh>
    <phoneticPr fontId="23"/>
  </si>
  <si>
    <t>試験工程</t>
    <rPh sb="0" eb="2">
      <t>シケン</t>
    </rPh>
    <rPh sb="2" eb="4">
      <t>コウテイ</t>
    </rPh>
    <phoneticPr fontId="23"/>
  </si>
  <si>
    <t>システムテスト</t>
    <phoneticPr fontId="23"/>
  </si>
  <si>
    <t>企画支援</t>
    <rPh sb="0" eb="2">
      <t>キカク</t>
    </rPh>
    <rPh sb="2" eb="4">
      <t>シエン</t>
    </rPh>
    <phoneticPr fontId="23"/>
  </si>
  <si>
    <t>テストエラー分析図
（混入工程－混入要因）</t>
    <rPh sb="6" eb="9">
      <t>ブンセキズ</t>
    </rPh>
    <rPh sb="11" eb="13">
      <t>コンニュウ</t>
    </rPh>
    <rPh sb="13" eb="15">
      <t>コウテイ</t>
    </rPh>
    <rPh sb="16" eb="18">
      <t>コンニュウ</t>
    </rPh>
    <rPh sb="18" eb="20">
      <t>ヨウイン</t>
    </rPh>
    <phoneticPr fontId="23"/>
  </si>
  <si>
    <t>　　　作成日</t>
    <phoneticPr fontId="23"/>
  </si>
  <si>
    <t>　　　作成者</t>
    <phoneticPr fontId="23"/>
  </si>
  <si>
    <t>基本設計</t>
    <rPh sb="0" eb="4">
      <t>キホンセッケイ</t>
    </rPh>
    <phoneticPr fontId="23"/>
  </si>
  <si>
    <t>詳細設計</t>
    <rPh sb="0" eb="4">
      <t>ショウサイセッケイ</t>
    </rPh>
    <phoneticPr fontId="23"/>
  </si>
  <si>
    <t>移行導入</t>
    <rPh sb="0" eb="4">
      <t>イコウドウニュウ</t>
    </rPh>
    <phoneticPr fontId="23"/>
  </si>
  <si>
    <t>要求の確認不足</t>
    <rPh sb="0" eb="2">
      <t>ヨウキュウ</t>
    </rPh>
    <rPh sb="3" eb="5">
      <t>カクニン</t>
    </rPh>
    <rPh sb="5" eb="7">
      <t>ブソク</t>
    </rPh>
    <phoneticPr fontId="23"/>
  </si>
  <si>
    <t>設計条件の確認不足</t>
    <rPh sb="0" eb="2">
      <t>セッケイ</t>
    </rPh>
    <rPh sb="2" eb="4">
      <t>ジョウケン</t>
    </rPh>
    <rPh sb="5" eb="7">
      <t>カクニン</t>
    </rPh>
    <rPh sb="7" eb="9">
      <t>ブソク</t>
    </rPh>
    <phoneticPr fontId="23"/>
  </si>
  <si>
    <t>実現方式の検討不足</t>
    <rPh sb="0" eb="2">
      <t>ジツゲン</t>
    </rPh>
    <rPh sb="2" eb="4">
      <t>ホウシキ</t>
    </rPh>
    <rPh sb="5" eb="7">
      <t>ケントウ</t>
    </rPh>
    <rPh sb="7" eb="9">
      <t>ブソク</t>
    </rPh>
    <phoneticPr fontId="23"/>
  </si>
  <si>
    <t>設計技術の習熟不足</t>
    <rPh sb="0" eb="2">
      <t>セッケイ</t>
    </rPh>
    <rPh sb="2" eb="4">
      <t>ギジュツ</t>
    </rPh>
    <rPh sb="5" eb="7">
      <t>シュウジュク</t>
    </rPh>
    <rPh sb="7" eb="9">
      <t>ブソク</t>
    </rPh>
    <phoneticPr fontId="23"/>
  </si>
  <si>
    <t>業務知識の習熟不足</t>
    <rPh sb="0" eb="2">
      <t>ギョウム</t>
    </rPh>
    <rPh sb="2" eb="4">
      <t>チシキ</t>
    </rPh>
    <rPh sb="5" eb="7">
      <t>シュウジュク</t>
    </rPh>
    <rPh sb="7" eb="9">
      <t>ブソク</t>
    </rPh>
    <phoneticPr fontId="23"/>
  </si>
  <si>
    <t>表現上の配慮不足</t>
    <rPh sb="0" eb="3">
      <t>ヒョウゲンジョウ</t>
    </rPh>
    <rPh sb="4" eb="6">
      <t>ハイリョ</t>
    </rPh>
    <rPh sb="6" eb="8">
      <t>ブソク</t>
    </rPh>
    <phoneticPr fontId="23"/>
  </si>
  <si>
    <t>その他</t>
    <phoneticPr fontId="23"/>
  </si>
  <si>
    <t>QLT16-1</t>
    <phoneticPr fontId="23"/>
  </si>
  <si>
    <t>QLT16-2</t>
    <phoneticPr fontId="23"/>
  </si>
  <si>
    <t>QLT16-2</t>
    <phoneticPr fontId="23"/>
  </si>
  <si>
    <t>テストエラー分析図（混入工程‐混入要因）</t>
    <rPh sb="6" eb="9">
      <t>ブンセキズ</t>
    </rPh>
    <rPh sb="10" eb="12">
      <t>コンニュウ</t>
    </rPh>
    <rPh sb="12" eb="14">
      <t>コウテイ</t>
    </rPh>
    <rPh sb="15" eb="17">
      <t>コンニュウ</t>
    </rPh>
    <rPh sb="17" eb="19">
      <t>ヨウイン</t>
    </rPh>
    <phoneticPr fontId="23"/>
  </si>
  <si>
    <t>QLT13-1</t>
    <phoneticPr fontId="23"/>
  </si>
  <si>
    <t>　　　作成日</t>
    <phoneticPr fontId="23"/>
  </si>
  <si>
    <t>　　　作成者</t>
    <phoneticPr fontId="23"/>
  </si>
  <si>
    <t>システムテスト</t>
    <phoneticPr fontId="23"/>
  </si>
  <si>
    <t>設計技術の習得不足</t>
    <rPh sb="0" eb="2">
      <t>セッケイ</t>
    </rPh>
    <rPh sb="2" eb="4">
      <t>ギジュツ</t>
    </rPh>
    <rPh sb="5" eb="7">
      <t>シュウトク</t>
    </rPh>
    <rPh sb="7" eb="9">
      <t>ブソク</t>
    </rPh>
    <phoneticPr fontId="23"/>
  </si>
  <si>
    <t>チームレビュー</t>
    <phoneticPr fontId="23"/>
  </si>
  <si>
    <t>0.200-0.600</t>
    <phoneticPr fontId="23"/>
  </si>
  <si>
    <t>プロジェクトレビュー</t>
    <phoneticPr fontId="23"/>
  </si>
  <si>
    <t>0.150-0.550</t>
    <phoneticPr fontId="23"/>
  </si>
  <si>
    <t>0.100-0.500</t>
    <phoneticPr fontId="23"/>
  </si>
  <si>
    <t>テスト項目数／製造規模</t>
    <rPh sb="3" eb="5">
      <t>コウモク</t>
    </rPh>
    <rPh sb="5" eb="6">
      <t>スウ</t>
    </rPh>
    <rPh sb="7" eb="9">
      <t>セイゾウ</t>
    </rPh>
    <rPh sb="9" eb="11">
      <t>キボ</t>
    </rPh>
    <phoneticPr fontId="23"/>
  </si>
  <si>
    <t>バグ発生件数／製造規模</t>
    <rPh sb="2" eb="5">
      <t>ハッセイケン</t>
    </rPh>
    <rPh sb="5" eb="6">
      <t>スウ</t>
    </rPh>
    <rPh sb="7" eb="9">
      <t>セイゾウ</t>
    </rPh>
    <rPh sb="9" eb="11">
      <t>キボ</t>
    </rPh>
    <phoneticPr fontId="23"/>
  </si>
  <si>
    <t>テスト項目数／製造規模</t>
    <rPh sb="3" eb="6">
      <t>コウモクスウ</t>
    </rPh>
    <rPh sb="7" eb="9">
      <t>セイゾウ</t>
    </rPh>
    <rPh sb="9" eb="11">
      <t>キボ</t>
    </rPh>
    <phoneticPr fontId="23"/>
  </si>
  <si>
    <t>バグ発生件数／製造規模</t>
    <rPh sb="2" eb="4">
      <t>ハッセイ</t>
    </rPh>
    <rPh sb="4" eb="6">
      <t>ケンスウ</t>
    </rPh>
    <rPh sb="7" eb="9">
      <t>セイゾウ</t>
    </rPh>
    <rPh sb="9" eb="11">
      <t>キボ</t>
    </rPh>
    <phoneticPr fontId="23"/>
  </si>
  <si>
    <t>-</t>
    <phoneticPr fontId="23"/>
  </si>
  <si>
    <t>-</t>
    <phoneticPr fontId="23"/>
  </si>
  <si>
    <t>8.394-76.216</t>
    <phoneticPr fontId="23"/>
  </si>
  <si>
    <t>0.398-2.169</t>
    <phoneticPr fontId="23"/>
  </si>
  <si>
    <t>4.042-33.16</t>
    <phoneticPr fontId="23"/>
  </si>
  <si>
    <t>0.036-0.762</t>
    <phoneticPr fontId="23"/>
  </si>
  <si>
    <t>基準値との
乖離理由</t>
    <rPh sb="0" eb="3">
      <t>キジュンチ</t>
    </rPh>
    <rPh sb="6" eb="8">
      <t>カイリ</t>
    </rPh>
    <rPh sb="8" eb="10">
      <t>リユウ</t>
    </rPh>
    <phoneticPr fontId="23"/>
  </si>
  <si>
    <t>無影響確認テスト</t>
    <phoneticPr fontId="23"/>
  </si>
  <si>
    <t>-</t>
    <phoneticPr fontId="23"/>
  </si>
  <si>
    <t>無影響確認テスト（任意）</t>
    <rPh sb="0" eb="1">
      <t>ム</t>
    </rPh>
    <rPh sb="1" eb="3">
      <t>エイキョウ</t>
    </rPh>
    <rPh sb="3" eb="5">
      <t>カクニン</t>
    </rPh>
    <phoneticPr fontId="23"/>
  </si>
  <si>
    <t>無影響確認テスト　※任意</t>
    <phoneticPr fontId="23"/>
  </si>
  <si>
    <t>QLT11-1</t>
    <phoneticPr fontId="23"/>
  </si>
  <si>
    <t>20  /  /</t>
    <phoneticPr fontId="23"/>
  </si>
  <si>
    <t>第三開五部</t>
    <rPh sb="0" eb="1">
      <t>ダイ</t>
    </rPh>
    <rPh sb="1" eb="2">
      <t>サン</t>
    </rPh>
    <rPh sb="2" eb="3">
      <t>カイ</t>
    </rPh>
    <rPh sb="3" eb="4">
      <t>ゴ</t>
    </rPh>
    <rPh sb="4" eb="5">
      <t>ブ</t>
    </rPh>
    <phoneticPr fontId="23"/>
  </si>
  <si>
    <t>○○システム</t>
    <phoneticPr fontId="23"/>
  </si>
  <si>
    <t>　　　作成日</t>
    <phoneticPr fontId="23"/>
  </si>
  <si>
    <t>△△規制対応</t>
    <rPh sb="2" eb="4">
      <t>キセイ</t>
    </rPh>
    <rPh sb="4" eb="6">
      <t>タイオウ</t>
    </rPh>
    <phoneticPr fontId="23"/>
  </si>
  <si>
    <t>R1123910</t>
    <phoneticPr fontId="23"/>
  </si>
  <si>
    <t>　　　作成者</t>
    <phoneticPr fontId="23"/>
  </si>
  <si>
    <t>佐藤　次郎</t>
    <rPh sb="0" eb="2">
      <t>サトウ</t>
    </rPh>
    <rPh sb="3" eb="5">
      <t>ジロウ</t>
    </rPh>
    <phoneticPr fontId="23"/>
  </si>
  <si>
    <t>結合テスト工程、中間確認。
テスト密度、バグ摘出密度共に基準値内。以降も継続監視し、工程終了時（6/中旬）に再度確認する。</t>
    <rPh sb="0" eb="2">
      <t>ケツゴウ</t>
    </rPh>
    <rPh sb="5" eb="7">
      <t>コウテイ</t>
    </rPh>
    <rPh sb="8" eb="10">
      <t>チュウカン</t>
    </rPh>
    <rPh sb="10" eb="12">
      <t>カクニン</t>
    </rPh>
    <rPh sb="17" eb="19">
      <t>ミツド</t>
    </rPh>
    <rPh sb="22" eb="24">
      <t>テキシュツ</t>
    </rPh>
    <rPh sb="24" eb="26">
      <t>ミツド</t>
    </rPh>
    <rPh sb="26" eb="27">
      <t>トモ</t>
    </rPh>
    <rPh sb="28" eb="31">
      <t>キジュンチ</t>
    </rPh>
    <rPh sb="31" eb="32">
      <t>ナイ</t>
    </rPh>
    <rPh sb="33" eb="35">
      <t>イコウ</t>
    </rPh>
    <rPh sb="36" eb="38">
      <t>ケイゾク</t>
    </rPh>
    <rPh sb="38" eb="40">
      <t>カンシ</t>
    </rPh>
    <rPh sb="42" eb="44">
      <t>コウテイ</t>
    </rPh>
    <rPh sb="44" eb="47">
      <t>シュウリョウジ</t>
    </rPh>
    <rPh sb="50" eb="52">
      <t>チュウジュン</t>
    </rPh>
    <rPh sb="54" eb="56">
      <t>サイド</t>
    </rPh>
    <rPh sb="56" eb="58">
      <t>カクニン</t>
    </rPh>
    <phoneticPr fontId="23"/>
  </si>
  <si>
    <t>QLT10-1</t>
    <phoneticPr fontId="23"/>
  </si>
  <si>
    <t>アプリケーション：要求定義</t>
    <phoneticPr fontId="23"/>
  </si>
  <si>
    <t>アプリケーション：基本設計</t>
    <phoneticPr fontId="23"/>
  </si>
  <si>
    <t>アプリケーション：詳細設計</t>
    <phoneticPr fontId="23"/>
  </si>
  <si>
    <t>アプリケーション：プログラム設計</t>
    <phoneticPr fontId="23"/>
  </si>
  <si>
    <t>アプリケーション：コーディング</t>
    <phoneticPr fontId="23"/>
  </si>
  <si>
    <t>基盤：サーバ（本体、ミドルＷ）</t>
    <phoneticPr fontId="23"/>
  </si>
  <si>
    <t>基盤：サーバ（周辺機器）</t>
    <phoneticPr fontId="23"/>
  </si>
  <si>
    <t>基盤：クライアント（本体）</t>
    <phoneticPr fontId="23"/>
  </si>
  <si>
    <t>基盤：クライアント（周辺機器）</t>
    <phoneticPr fontId="23"/>
  </si>
  <si>
    <t>基盤：回線系</t>
    <phoneticPr fontId="23"/>
  </si>
  <si>
    <t>データ：コードマスタ設定不正</t>
    <phoneticPr fontId="23"/>
  </si>
  <si>
    <t>データ：移行データ不正</t>
    <phoneticPr fontId="23"/>
  </si>
  <si>
    <t>その他要因：誤操作</t>
    <phoneticPr fontId="23"/>
  </si>
  <si>
    <t>その他要因：再現せず</t>
    <phoneticPr fontId="23"/>
  </si>
  <si>
    <t>その他要因：指摘ミス</t>
    <phoneticPr fontId="23"/>
  </si>
  <si>
    <t>その他要因：重複</t>
    <phoneticPr fontId="23"/>
  </si>
  <si>
    <t>その他要因：仕様通り（変更不要）</t>
    <phoneticPr fontId="23"/>
  </si>
  <si>
    <t>その他要因：仕様通り（要変更）</t>
    <phoneticPr fontId="23"/>
  </si>
  <si>
    <t>その他要因：テストデータ作成ミス</t>
    <phoneticPr fontId="23"/>
  </si>
  <si>
    <t>その他要因：テストデータ入力ミス</t>
    <phoneticPr fontId="23"/>
  </si>
  <si>
    <t>その他</t>
    <phoneticPr fontId="23"/>
  </si>
  <si>
    <t>不具合</t>
    <phoneticPr fontId="23"/>
  </si>
  <si>
    <t>すり抜け確認</t>
    <phoneticPr fontId="23"/>
  </si>
  <si>
    <t>ｽﾃｰﾀｽ</t>
    <phoneticPr fontId="23"/>
  </si>
  <si>
    <t>対象工程</t>
    <phoneticPr fontId="23"/>
  </si>
  <si>
    <t>ｻﾌﾞｼｽﾃﾑ名</t>
    <phoneticPr fontId="23"/>
  </si>
  <si>
    <t>不具合発生状況</t>
    <phoneticPr fontId="23"/>
  </si>
  <si>
    <t>機能分類</t>
    <phoneticPr fontId="23"/>
  </si>
  <si>
    <t>関連有無</t>
    <phoneticPr fontId="23"/>
  </si>
  <si>
    <t>不具合原因内容</t>
    <phoneticPr fontId="23"/>
  </si>
  <si>
    <t>No</t>
    <phoneticPr fontId="23"/>
  </si>
  <si>
    <t>タイプ</t>
    <phoneticPr fontId="23"/>
  </si>
  <si>
    <t>https://smfg.sharepoint.com/sites/jri/prjmng-std/JPAT/official/JPAT-PMOT.xls</t>
    <phoneticPr fontId="23"/>
  </si>
  <si>
    <t>プロジェクトレビュー</t>
  </si>
  <si>
    <t>【SMCC】基盤基本設計書_IVR（本番・研修環境編）_v1.0_20190116.xlsx</t>
    <rPh sb="6" eb="8">
      <t>キバン</t>
    </rPh>
    <rPh sb="8" eb="10">
      <t>キホン</t>
    </rPh>
    <rPh sb="10" eb="13">
      <t>セッケイショ</t>
    </rPh>
    <rPh sb="18" eb="20">
      <t>ホンバン</t>
    </rPh>
    <rPh sb="21" eb="23">
      <t>ケンシュウ</t>
    </rPh>
    <rPh sb="23" eb="25">
      <t>カンキョウ</t>
    </rPh>
    <rPh sb="25" eb="26">
      <t>ヘン</t>
    </rPh>
    <phoneticPr fontId="23"/>
  </si>
  <si>
    <t>「0.はじめに」－「0-3.ドキュメントお位置づけ」</t>
    <rPh sb="21" eb="23">
      <t>イチ</t>
    </rPh>
    <phoneticPr fontId="23"/>
  </si>
  <si>
    <t>MPP/EPMに関する設計内容のうちSMCC-IVRとして記載される内容があるため、関連文書としてアプリ側のドキュメントも記載が必要。</t>
    <rPh sb="8" eb="9">
      <t>カン</t>
    </rPh>
    <rPh sb="11" eb="13">
      <t>セッケイ</t>
    </rPh>
    <rPh sb="13" eb="15">
      <t>ナイヨウ</t>
    </rPh>
    <rPh sb="29" eb="31">
      <t>キサイ</t>
    </rPh>
    <rPh sb="34" eb="36">
      <t>ナイヨウ</t>
    </rPh>
    <rPh sb="42" eb="44">
      <t>カンレン</t>
    </rPh>
    <rPh sb="44" eb="46">
      <t>ブンショ</t>
    </rPh>
    <rPh sb="52" eb="53">
      <t>ガワ</t>
    </rPh>
    <rPh sb="61" eb="63">
      <t>キサイ</t>
    </rPh>
    <rPh sb="64" eb="66">
      <t>ヒツヨウ</t>
    </rPh>
    <phoneticPr fontId="23"/>
  </si>
  <si>
    <t>SMCC/林</t>
    <rPh sb="5" eb="6">
      <t>ハヤシ</t>
    </rPh>
    <phoneticPr fontId="23"/>
  </si>
  <si>
    <t>「1.システム概要」－「1-5.設計対象範囲」</t>
    <rPh sb="7" eb="9">
      <t>ガイヨウ</t>
    </rPh>
    <rPh sb="16" eb="18">
      <t>セッケイ</t>
    </rPh>
    <rPh sb="18" eb="20">
      <t>タイショウ</t>
    </rPh>
    <rPh sb="20" eb="22">
      <t>ハンイ</t>
    </rPh>
    <phoneticPr fontId="23"/>
  </si>
  <si>
    <t>SMCC/森</t>
    <rPh sb="5" eb="6">
      <t>モリ</t>
    </rPh>
    <phoneticPr fontId="23"/>
  </si>
  <si>
    <t xml:space="preserve">MPP/EPMへWebSAMAgentが導入不可であることについて、経緯及び代替監視方式が記載されるドキュメントの記載が必要。
</t>
    <rPh sb="20" eb="22">
      <t>ドウニュウ</t>
    </rPh>
    <rPh sb="22" eb="24">
      <t>フカ</t>
    </rPh>
    <rPh sb="34" eb="36">
      <t>ケイイ</t>
    </rPh>
    <rPh sb="36" eb="37">
      <t>オヨ</t>
    </rPh>
    <rPh sb="38" eb="40">
      <t>ダイタイ</t>
    </rPh>
    <rPh sb="40" eb="42">
      <t>カンシ</t>
    </rPh>
    <rPh sb="42" eb="44">
      <t>ホウシキ</t>
    </rPh>
    <rPh sb="45" eb="47">
      <t>キサイ</t>
    </rPh>
    <rPh sb="57" eb="59">
      <t>キサイ</t>
    </rPh>
    <rPh sb="60" eb="62">
      <t>ヒツヨウ</t>
    </rPh>
    <phoneticPr fontId="23"/>
  </si>
  <si>
    <t>「2.HWSW構成」－「2-2.SW構成」</t>
    <rPh sb="7" eb="9">
      <t>コウセイ</t>
    </rPh>
    <rPh sb="18" eb="20">
      <t>コウセイ</t>
    </rPh>
    <phoneticPr fontId="23"/>
  </si>
  <si>
    <t>ワッペン記載のウイルスバスター導入検討の主体は「セディナ」ではなく「SMCC」であるため修正すべき。</t>
    <rPh sb="4" eb="6">
      <t>キサイ</t>
    </rPh>
    <rPh sb="15" eb="17">
      <t>ドウニュウ</t>
    </rPh>
    <rPh sb="17" eb="19">
      <t>ケントウ</t>
    </rPh>
    <rPh sb="20" eb="22">
      <t>シュタイ</t>
    </rPh>
    <rPh sb="44" eb="46">
      <t>シュウセイ</t>
    </rPh>
    <phoneticPr fontId="23"/>
  </si>
  <si>
    <t>ソフトウェアバージョンの選定理由について、CTI基盤の設計書と平仄をあわせ、「導入時点の最新版を選定」などの記載を入れるべき。</t>
    <rPh sb="12" eb="14">
      <t>センテイ</t>
    </rPh>
    <rPh sb="14" eb="16">
      <t>リユウ</t>
    </rPh>
    <rPh sb="24" eb="26">
      <t>キバン</t>
    </rPh>
    <rPh sb="27" eb="29">
      <t>セッケイ</t>
    </rPh>
    <rPh sb="29" eb="30">
      <t>ショ</t>
    </rPh>
    <rPh sb="31" eb="33">
      <t>ヒョウソク</t>
    </rPh>
    <rPh sb="39" eb="41">
      <t>ドウニュウ</t>
    </rPh>
    <rPh sb="41" eb="43">
      <t>ジテン</t>
    </rPh>
    <rPh sb="44" eb="46">
      <t>サイシン</t>
    </rPh>
    <rPh sb="46" eb="47">
      <t>バン</t>
    </rPh>
    <rPh sb="48" eb="50">
      <t>センテイ</t>
    </rPh>
    <rPh sb="54" eb="56">
      <t>キサイ</t>
    </rPh>
    <rPh sb="57" eb="58">
      <t>イ</t>
    </rPh>
    <phoneticPr fontId="23"/>
  </si>
  <si>
    <t>「6.バックアップ・リストア処理方式設計」－「6-1.バックアップ概要」</t>
    <rPh sb="14" eb="16">
      <t>ショリ</t>
    </rPh>
    <rPh sb="16" eb="18">
      <t>ホウシキ</t>
    </rPh>
    <rPh sb="18" eb="20">
      <t>セッケイ</t>
    </rPh>
    <rPh sb="33" eb="35">
      <t>ガイヨウ</t>
    </rPh>
    <phoneticPr fontId="23"/>
  </si>
  <si>
    <t>全体</t>
    <rPh sb="0" eb="2">
      <t>ゼンタイ</t>
    </rPh>
    <phoneticPr fontId="23"/>
  </si>
  <si>
    <t>現行システムと更改後の構成差異、及び本番と開発の環境差異について、別紙とする形式でよいので取りまとめをお願いしたい。
Ex.下記の変更内容とその理由など
・サーバ構成
・クラスタソフト</t>
    <rPh sb="0" eb="2">
      <t>ゲンコウ</t>
    </rPh>
    <rPh sb="7" eb="9">
      <t>コウカイ</t>
    </rPh>
    <rPh sb="9" eb="10">
      <t>ゴ</t>
    </rPh>
    <rPh sb="11" eb="13">
      <t>コウセイ</t>
    </rPh>
    <rPh sb="13" eb="15">
      <t>サイ</t>
    </rPh>
    <rPh sb="16" eb="17">
      <t>オヨ</t>
    </rPh>
    <rPh sb="18" eb="20">
      <t>ホンバン</t>
    </rPh>
    <rPh sb="21" eb="23">
      <t>カイハツ</t>
    </rPh>
    <rPh sb="24" eb="26">
      <t>カンキョウ</t>
    </rPh>
    <rPh sb="26" eb="28">
      <t>サイ</t>
    </rPh>
    <rPh sb="33" eb="35">
      <t>ベッシ</t>
    </rPh>
    <rPh sb="38" eb="40">
      <t>ケイシキ</t>
    </rPh>
    <rPh sb="45" eb="46">
      <t>ト</t>
    </rPh>
    <rPh sb="52" eb="53">
      <t>ネガ</t>
    </rPh>
    <rPh sb="62" eb="64">
      <t>カキ</t>
    </rPh>
    <rPh sb="65" eb="67">
      <t>ヘンコウ</t>
    </rPh>
    <rPh sb="67" eb="69">
      <t>ナイヨウ</t>
    </rPh>
    <rPh sb="72" eb="74">
      <t>リユウ</t>
    </rPh>
    <rPh sb="81" eb="83">
      <t>コウセイ</t>
    </rPh>
    <phoneticPr fontId="23"/>
  </si>
  <si>
    <t>要</t>
  </si>
  <si>
    <t>ドキュメント化</t>
  </si>
  <si>
    <t>要求仕様の変更</t>
  </si>
  <si>
    <t>設計誤り</t>
  </si>
  <si>
    <t>説明内容不明確</t>
  </si>
  <si>
    <t>非指摘扱い</t>
  </si>
  <si>
    <t>表現上の記述不良</t>
  </si>
  <si>
    <t>低</t>
  </si>
  <si>
    <t>高</t>
  </si>
  <si>
    <t>表現上の配慮不足</t>
  </si>
  <si>
    <t>修正ミス</t>
  </si>
  <si>
    <t>設計条件の確認不足</t>
  </si>
  <si>
    <t>「アクセスログ」のバックアップ取得要否がサーバによって異なるが正しいのか。</t>
    <rPh sb="15" eb="17">
      <t>シュトク</t>
    </rPh>
    <rPh sb="17" eb="19">
      <t>ヨウヒ</t>
    </rPh>
    <rPh sb="27" eb="28">
      <t>コト</t>
    </rPh>
    <rPh sb="31" eb="32">
      <t>タダ</t>
    </rPh>
    <phoneticPr fontId="23"/>
  </si>
  <si>
    <t>アプリ側の関連文書を追記する。</t>
    <rPh sb="3" eb="4">
      <t>ガワ</t>
    </rPh>
    <rPh sb="5" eb="7">
      <t>カンレン</t>
    </rPh>
    <rPh sb="7" eb="9">
      <t>ブンショ</t>
    </rPh>
    <rPh sb="10" eb="12">
      <t>ツイキ</t>
    </rPh>
    <phoneticPr fontId="23"/>
  </si>
  <si>
    <t>導入経緯および代替監視方式記載箇所を明記する。</t>
    <rPh sb="0" eb="2">
      <t>ドウニュウ</t>
    </rPh>
    <rPh sb="2" eb="4">
      <t>ケイイ</t>
    </rPh>
    <rPh sb="7" eb="9">
      <t>ダイタイ</t>
    </rPh>
    <rPh sb="9" eb="11">
      <t>カンシ</t>
    </rPh>
    <rPh sb="11" eb="13">
      <t>ホウシキ</t>
    </rPh>
    <rPh sb="13" eb="15">
      <t>キサイ</t>
    </rPh>
    <rPh sb="15" eb="17">
      <t>カショ</t>
    </rPh>
    <rPh sb="18" eb="20">
      <t>メイキ</t>
    </rPh>
    <phoneticPr fontId="23"/>
  </si>
  <si>
    <t>記載誤りのため修正する。</t>
    <rPh sb="0" eb="2">
      <t>キサイ</t>
    </rPh>
    <rPh sb="2" eb="3">
      <t>アヤマ</t>
    </rPh>
    <rPh sb="7" eb="9">
      <t>シュウセイ</t>
    </rPh>
    <phoneticPr fontId="23"/>
  </si>
  <si>
    <t>選定理由を追記する。</t>
    <rPh sb="0" eb="2">
      <t>センテイ</t>
    </rPh>
    <rPh sb="2" eb="4">
      <t>リユウ</t>
    </rPh>
    <rPh sb="5" eb="7">
      <t>ツイキ</t>
    </rPh>
    <phoneticPr fontId="23"/>
  </si>
  <si>
    <t>要件を再確認し、アクセスログはバックアップ対象でないことが判明したためバックアップ取得対象から除外する。</t>
    <rPh sb="0" eb="2">
      <t>ヨウケン</t>
    </rPh>
    <rPh sb="3" eb="6">
      <t>サイカクニン</t>
    </rPh>
    <rPh sb="21" eb="23">
      <t>タイショウ</t>
    </rPh>
    <rPh sb="29" eb="31">
      <t>ハンメイ</t>
    </rPh>
    <rPh sb="41" eb="43">
      <t>シュトク</t>
    </rPh>
    <rPh sb="43" eb="45">
      <t>タイショウ</t>
    </rPh>
    <rPh sb="47" eb="49">
      <t>ジョガイ</t>
    </rPh>
    <phoneticPr fontId="23"/>
  </si>
  <si>
    <t>新規</t>
  </si>
  <si>
    <t>SMCC 林、森、根岸、福田</t>
    <rPh sb="5" eb="6">
      <t>ハヤシ</t>
    </rPh>
    <rPh sb="7" eb="8">
      <t>モリ</t>
    </rPh>
    <rPh sb="9" eb="11">
      <t>ネギシ</t>
    </rPh>
    <rPh sb="12" eb="14">
      <t>フクダ</t>
    </rPh>
    <phoneticPr fontId="23"/>
  </si>
  <si>
    <t>中</t>
    <rPh sb="0" eb="1">
      <t>チュウ</t>
    </rPh>
    <phoneticPr fontId="23"/>
  </si>
  <si>
    <t>-</t>
    <phoneticPr fontId="23"/>
  </si>
  <si>
    <t>JRI 濱村</t>
    <rPh sb="4" eb="6">
      <t>ハマムラ</t>
    </rPh>
    <phoneticPr fontId="23"/>
  </si>
  <si>
    <t>要件定義</t>
  </si>
  <si>
    <t>MSYS飛鷹/木全</t>
    <rPh sb="4" eb="6">
      <t>ヒダカ</t>
    </rPh>
    <rPh sb="7" eb="9">
      <t>キマタ</t>
    </rPh>
    <phoneticPr fontId="23"/>
  </si>
  <si>
    <t>本書1章5節より別紙参照の旨を追記。
別紙にて作成致しました。
【SMCC】基盤基本設計書_IVR（本番・研修環境編）_別紙_1章_5_IVR基盤現行環境と更改後の差異について</t>
    <rPh sb="0" eb="2">
      <t>ホンショ</t>
    </rPh>
    <rPh sb="3" eb="4">
      <t>ショウ</t>
    </rPh>
    <rPh sb="5" eb="6">
      <t>セツ</t>
    </rPh>
    <rPh sb="8" eb="10">
      <t>ベッシ</t>
    </rPh>
    <rPh sb="10" eb="12">
      <t>サンショウ</t>
    </rPh>
    <rPh sb="13" eb="14">
      <t>ムネ</t>
    </rPh>
    <rPh sb="15" eb="17">
      <t>ツイキ</t>
    </rPh>
    <rPh sb="19" eb="21">
      <t>ベッシ</t>
    </rPh>
    <rPh sb="23" eb="25">
      <t>サクセイ</t>
    </rPh>
    <rPh sb="25" eb="26">
      <t>イタ</t>
    </rPh>
    <phoneticPr fontId="23"/>
  </si>
  <si>
    <t>MSYS長田</t>
    <rPh sb="4" eb="6">
      <t>オサダ</t>
    </rPh>
    <phoneticPr fontId="2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</si>
</sst>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6" formatCode="&quot;¥&quot;#,##0;[Red]&quot;¥&quot;\-#,##0"/>
    <numFmt numFmtId="176" formatCode="0.0_ "/>
    <numFmt numFmtId="177" formatCode="0.00_);[Red]\(0.00\)"/>
    <numFmt numFmtId="178" formatCode="0_ "/>
    <numFmt numFmtId="179" formatCode="m/d;@"/>
    <numFmt numFmtId="180" formatCode="0.000_ "/>
    <numFmt numFmtId="181" formatCode="#&quot;回目&quot;"/>
    <numFmt numFmtId="182" formatCode="#&quot;時間&quot;"/>
    <numFmt numFmtId="183" formatCode="#&quot;人&quot;"/>
    <numFmt numFmtId="184" formatCode="#&quot;枚&quot;"/>
    <numFmt numFmtId="185" formatCode="#.#&quot;時間&quot;"/>
    <numFmt numFmtId="186" formatCode="#,##0.0_ "/>
    <numFmt numFmtId="187" formatCode="#,##0_ "/>
    <numFmt numFmtId="188" formatCode="0_);[Red]\(0\)"/>
    <numFmt numFmtId="189" formatCode="0.000_);[Red]\(0.000\)"/>
    <numFmt numFmtId="190" formatCode="#,##0.000_);[Red]\(#,##0.000\)"/>
    <numFmt numFmtId="191" formatCode="0.00_ "/>
  </numFmts>
  <fonts count="45" x14ac:knownFonts="1">
    <font>
      <sz val="11"/>
      <name val="ＭＳ Ｐゴシック"/>
      <family val="3"/>
      <charset val="128"/>
    </font>
    <font>
      <sz val="11"/>
      <color indexed="17"/>
      <name val="ＭＳ Ｐゴシック"/>
      <family val="3"/>
      <charset val="128"/>
    </font>
    <font>
      <b/>
      <sz val="11"/>
      <color indexed="52"/>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u/>
      <sz val="11"/>
      <color indexed="12"/>
      <name val="ＭＳ Ｐゴシック"/>
      <family val="3"/>
      <charset val="128"/>
    </font>
    <font>
      <sz val="10"/>
      <name val="MS Sans Serif"/>
      <family val="2"/>
    </font>
    <font>
      <sz val="11"/>
      <color indexed="52"/>
      <name val="ＭＳ Ｐゴシック"/>
      <family val="3"/>
      <charset val="128"/>
    </font>
    <font>
      <sz val="11"/>
      <color indexed="20"/>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0"/>
      <name val="ＭＳ Ｐゴシック"/>
      <family val="3"/>
      <charset val="128"/>
    </font>
    <font>
      <sz val="10"/>
      <name val="Arial"/>
      <family val="2"/>
    </font>
    <font>
      <sz val="6"/>
      <name val="ＭＳ Ｐゴシック"/>
      <family val="3"/>
      <charset val="128"/>
    </font>
    <font>
      <b/>
      <sz val="10"/>
      <name val="ＭＳ Ｐゴシック"/>
      <family val="3"/>
      <charset val="128"/>
    </font>
    <font>
      <sz val="8"/>
      <name val="ＭＳ Ｐゴシック"/>
      <family val="3"/>
      <charset val="128"/>
    </font>
    <font>
      <sz val="12"/>
      <name val="ＭＳ Ｐゴシック"/>
      <family val="3"/>
      <charset val="128"/>
    </font>
    <font>
      <b/>
      <sz val="12"/>
      <name val="ＭＳ Ｐゴシック"/>
      <family val="3"/>
      <charset val="128"/>
    </font>
    <font>
      <b/>
      <sz val="11"/>
      <name val="ＭＳ Ｐゴシック"/>
      <family val="3"/>
      <charset val="128"/>
    </font>
    <font>
      <sz val="10"/>
      <color indexed="9"/>
      <name val="ＭＳ Ｐゴシック"/>
      <family val="3"/>
      <charset val="128"/>
    </font>
    <font>
      <sz val="14"/>
      <name val="ＭＳ Ｐゴシック"/>
      <family val="3"/>
      <charset val="128"/>
    </font>
    <font>
      <sz val="9"/>
      <name val="ＭＳ Ｐゴシック"/>
      <family val="3"/>
      <charset val="128"/>
    </font>
    <font>
      <sz val="7"/>
      <name val="ＭＳ Ｐゴシック"/>
      <family val="3"/>
      <charset val="128"/>
    </font>
    <font>
      <sz val="9"/>
      <name val="ＭＳ ゴシック"/>
      <family val="3"/>
      <charset val="128"/>
    </font>
    <font>
      <sz val="9"/>
      <color indexed="41"/>
      <name val="ＭＳ Ｐゴシック"/>
      <family val="3"/>
      <charset val="128"/>
    </font>
    <font>
      <sz val="5"/>
      <name val="ＭＳ Ｐゴシック"/>
      <family val="3"/>
      <charset val="128"/>
    </font>
    <font>
      <b/>
      <sz val="9"/>
      <color indexed="81"/>
      <name val="ＭＳ Ｐゴシック"/>
      <family val="3"/>
      <charset val="128"/>
    </font>
    <font>
      <b/>
      <u/>
      <sz val="16"/>
      <name val="ＭＳ Ｐゴシック"/>
      <family val="3"/>
      <charset val="128"/>
    </font>
    <font>
      <sz val="16"/>
      <name val="ＭＳ Ｐゴシック"/>
      <family val="3"/>
      <charset val="128"/>
    </font>
    <font>
      <b/>
      <u/>
      <sz val="20"/>
      <name val="ＭＳ Ｐゴシック"/>
      <family val="3"/>
      <charset val="128"/>
    </font>
    <font>
      <b/>
      <sz val="18"/>
      <name val="ＭＳ Ｐゴシック"/>
      <family val="3"/>
      <charset val="128"/>
    </font>
    <font>
      <u/>
      <sz val="18"/>
      <color indexed="12"/>
      <name val="ＭＳ Ｐゴシック"/>
      <family val="3"/>
      <charset val="128"/>
    </font>
    <font>
      <sz val="11"/>
      <name val="ＭＳ Ｐゴシック"/>
      <family val="3"/>
      <charset val="128"/>
    </font>
    <font>
      <sz val="10"/>
      <color theme="0"/>
      <name val="ＭＳ Ｐゴシック"/>
      <family val="3"/>
      <charset val="128"/>
    </font>
    <font>
      <sz val="11"/>
      <color rgb="FFFF0000"/>
      <name val="ＭＳ Ｐゴシック"/>
      <family val="3"/>
      <charset val="128"/>
    </font>
  </fonts>
  <fills count="43">
    <fill>
      <patternFill patternType="none"/>
    </fill>
    <fill>
      <patternFill patternType="gray125"/>
    </fill>
    <fill>
      <patternFill patternType="solid">
        <fgColor indexed="42"/>
      </patternFill>
    </fill>
    <fill>
      <patternFill patternType="solid">
        <fgColor indexed="22"/>
      </patternFill>
    </fill>
    <fill>
      <patternFill patternType="solid">
        <fgColor indexed="31"/>
      </patternFill>
    </fill>
    <fill>
      <patternFill patternType="solid">
        <fgColor indexed="45"/>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41"/>
        <bgColor indexed="64"/>
      </patternFill>
    </fill>
    <fill>
      <patternFill patternType="solid">
        <fgColor indexed="31"/>
        <bgColor indexed="64"/>
      </patternFill>
    </fill>
    <fill>
      <patternFill patternType="solid">
        <fgColor indexed="27"/>
        <bgColor indexed="64"/>
      </patternFill>
    </fill>
    <fill>
      <patternFill patternType="solid">
        <fgColor indexed="26"/>
        <bgColor indexed="64"/>
      </patternFill>
    </fill>
    <fill>
      <patternFill patternType="solid">
        <fgColor indexed="43"/>
        <bgColor indexed="64"/>
      </patternFill>
    </fill>
    <fill>
      <patternFill patternType="solid">
        <fgColor indexed="60"/>
        <bgColor indexed="64"/>
      </patternFill>
    </fill>
    <fill>
      <patternFill patternType="solid">
        <fgColor indexed="32"/>
        <bgColor indexed="64"/>
      </patternFill>
    </fill>
    <fill>
      <patternFill patternType="solid">
        <fgColor indexed="20"/>
        <bgColor indexed="64"/>
      </patternFill>
    </fill>
    <fill>
      <patternFill patternType="solid">
        <fgColor indexed="18"/>
        <bgColor indexed="64"/>
      </patternFill>
    </fill>
    <fill>
      <patternFill patternType="solid">
        <fgColor indexed="17"/>
        <bgColor indexed="64"/>
      </patternFill>
    </fill>
    <fill>
      <patternFill patternType="solid">
        <fgColor indexed="12"/>
        <bgColor indexed="64"/>
      </patternFill>
    </fill>
    <fill>
      <patternFill patternType="solid">
        <fgColor indexed="16"/>
        <bgColor indexed="64"/>
      </patternFill>
    </fill>
    <fill>
      <patternFill patternType="solid">
        <fgColor indexed="58"/>
        <bgColor indexed="64"/>
      </patternFill>
    </fill>
    <fill>
      <patternFill patternType="solid">
        <fgColor indexed="47"/>
        <bgColor indexed="64"/>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
      <patternFill patternType="solid">
        <fgColor rgb="FF000080"/>
        <bgColor indexed="64"/>
      </patternFill>
    </fill>
  </fills>
  <borders count="17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double">
        <color indexed="64"/>
      </right>
      <top style="thin">
        <color indexed="64"/>
      </top>
      <bottom style="hair">
        <color indexed="64"/>
      </bottom>
      <diagonal/>
    </border>
    <border>
      <left style="double">
        <color indexed="64"/>
      </left>
      <right style="thin">
        <color indexed="64"/>
      </right>
      <top style="thin">
        <color indexed="64"/>
      </top>
      <bottom style="hair">
        <color indexed="64"/>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style="thin">
        <color indexed="64"/>
      </left>
      <right style="double">
        <color indexed="64"/>
      </right>
      <top style="hair">
        <color indexed="64"/>
      </top>
      <bottom style="double">
        <color indexed="64"/>
      </bottom>
      <diagonal/>
    </border>
    <border>
      <left style="double">
        <color indexed="64"/>
      </left>
      <right style="thin">
        <color indexed="64"/>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double">
        <color indexed="64"/>
      </left>
      <right style="thin">
        <color indexed="64"/>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double">
        <color indexed="64"/>
      </right>
      <top style="hair">
        <color indexed="64"/>
      </top>
      <bottom style="thin">
        <color indexed="64"/>
      </bottom>
      <diagonal/>
    </border>
    <border>
      <left style="double">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right style="double">
        <color indexed="64"/>
      </right>
      <top/>
      <bottom style="thin">
        <color indexed="64"/>
      </bottom>
      <diagonal/>
    </border>
    <border>
      <left/>
      <right style="thin">
        <color indexed="8"/>
      </right>
      <top/>
      <bottom style="thin">
        <color indexed="8"/>
      </bottom>
      <diagonal/>
    </border>
    <border>
      <left style="thin">
        <color indexed="64"/>
      </left>
      <right style="hair">
        <color indexed="64"/>
      </right>
      <top/>
      <bottom/>
      <diagonal/>
    </border>
    <border>
      <left/>
      <right/>
      <top style="hair">
        <color indexed="64"/>
      </top>
      <bottom style="double">
        <color indexed="64"/>
      </bottom>
      <diagonal/>
    </border>
    <border>
      <left/>
      <right style="dashDot">
        <color indexed="64"/>
      </right>
      <top/>
      <bottom/>
      <diagonal/>
    </border>
    <border>
      <left style="thin">
        <color indexed="64"/>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indexed="8"/>
      </right>
      <top style="thin">
        <color indexed="8"/>
      </top>
      <bottom style="thin">
        <color indexed="64"/>
      </bottom>
      <diagonal/>
    </border>
    <border>
      <left style="thin">
        <color indexed="8"/>
      </left>
      <right style="thin">
        <color indexed="64"/>
      </right>
      <top style="thin">
        <color indexed="8"/>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bottom style="mediumDashed">
        <color indexed="64"/>
      </bottom>
      <diagonal/>
    </border>
    <border>
      <left style="thin">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bottom style="hair">
        <color indexed="64"/>
      </bottom>
      <diagonal/>
    </border>
    <border>
      <left style="thin">
        <color indexed="64"/>
      </left>
      <right style="double">
        <color indexed="22"/>
      </right>
      <top style="thin">
        <color indexed="64"/>
      </top>
      <bottom/>
      <diagonal/>
    </border>
    <border>
      <left/>
      <right style="thin">
        <color indexed="22"/>
      </right>
      <top style="thin">
        <color indexed="64"/>
      </top>
      <bottom/>
      <diagonal/>
    </border>
    <border>
      <left style="thin">
        <color indexed="22"/>
      </left>
      <right/>
      <top style="thin">
        <color indexed="64"/>
      </top>
      <bottom/>
      <diagonal/>
    </border>
    <border>
      <left style="thin">
        <color indexed="22"/>
      </left>
      <right style="thin">
        <color indexed="22"/>
      </right>
      <top/>
      <bottom/>
      <diagonal/>
    </border>
    <border>
      <left style="thin">
        <color indexed="22"/>
      </left>
      <right style="thin">
        <color indexed="22"/>
      </right>
      <top style="thin">
        <color indexed="64"/>
      </top>
      <bottom/>
      <diagonal/>
    </border>
    <border>
      <left style="thin">
        <color indexed="64"/>
      </left>
      <right style="double">
        <color indexed="22"/>
      </right>
      <top/>
      <bottom/>
      <diagonal/>
    </border>
    <border>
      <left/>
      <right style="thin">
        <color indexed="22"/>
      </right>
      <top/>
      <bottom/>
      <diagonal/>
    </border>
    <border>
      <left style="thin">
        <color indexed="22"/>
      </left>
      <right/>
      <top style="thin">
        <color indexed="22"/>
      </top>
      <bottom/>
      <diagonal/>
    </border>
    <border>
      <left style="double">
        <color indexed="22"/>
      </left>
      <right style="thin">
        <color indexed="22"/>
      </right>
      <top style="thin">
        <color indexed="22"/>
      </top>
      <bottom/>
      <diagonal/>
    </border>
    <border>
      <left/>
      <right/>
      <top style="thin">
        <color indexed="22"/>
      </top>
      <bottom style="thin">
        <color indexed="22"/>
      </bottom>
      <diagonal/>
    </border>
    <border>
      <left style="thin">
        <color indexed="22"/>
      </left>
      <right style="double">
        <color indexed="22"/>
      </right>
      <top style="thin">
        <color indexed="22"/>
      </top>
      <bottom/>
      <diagonal/>
    </border>
    <border>
      <left style="thin">
        <color indexed="22"/>
      </left>
      <right style="thin">
        <color indexed="22"/>
      </right>
      <top style="thin">
        <color indexed="22"/>
      </top>
      <bottom/>
      <diagonal/>
    </border>
    <border>
      <left/>
      <right style="thin">
        <color indexed="22"/>
      </right>
      <top style="thin">
        <color indexed="22"/>
      </top>
      <bottom style="thin">
        <color indexed="22"/>
      </bottom>
      <diagonal/>
    </border>
    <border>
      <left/>
      <right/>
      <top style="thin">
        <color indexed="22"/>
      </top>
      <bottom/>
      <diagonal/>
    </border>
    <border>
      <left style="thin">
        <color indexed="22"/>
      </left>
      <right/>
      <top/>
      <bottom/>
      <diagonal/>
    </border>
    <border>
      <left style="thin">
        <color indexed="64"/>
      </left>
      <right style="double">
        <color indexed="22"/>
      </right>
      <top/>
      <bottom style="thin">
        <color indexed="64"/>
      </bottom>
      <diagonal/>
    </border>
    <border>
      <left/>
      <right style="thin">
        <color indexed="22"/>
      </right>
      <top/>
      <bottom style="thin">
        <color indexed="64"/>
      </bottom>
      <diagonal/>
    </border>
    <border>
      <left style="thin">
        <color indexed="22"/>
      </left>
      <right style="thin">
        <color indexed="22"/>
      </right>
      <top/>
      <bottom style="thin">
        <color indexed="64"/>
      </bottom>
      <diagonal/>
    </border>
    <border>
      <left style="thin">
        <color indexed="22"/>
      </left>
      <right/>
      <top/>
      <bottom style="thin">
        <color indexed="64"/>
      </bottom>
      <diagonal/>
    </border>
    <border>
      <left style="double">
        <color indexed="22"/>
      </left>
      <right style="thin">
        <color indexed="22"/>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double">
        <color indexed="22"/>
      </right>
      <top/>
      <bottom style="thin">
        <color indexed="64"/>
      </bottom>
      <diagonal/>
    </border>
    <border>
      <left style="thin">
        <color indexed="9"/>
      </left>
      <right/>
      <top/>
      <bottom style="thin">
        <color indexed="64"/>
      </bottom>
      <diagonal/>
    </border>
    <border>
      <left style="thin">
        <color indexed="9"/>
      </left>
      <right/>
      <top style="thin">
        <color indexed="9"/>
      </top>
      <bottom style="thin">
        <color indexed="64"/>
      </bottom>
      <diagonal/>
    </border>
    <border>
      <left/>
      <right style="thin">
        <color indexed="22"/>
      </right>
      <top style="thin">
        <color indexed="22"/>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hair">
        <color indexed="64"/>
      </left>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style="thin">
        <color indexed="64"/>
      </top>
      <bottom style="thin">
        <color indexed="8"/>
      </bottom>
      <diagonal/>
    </border>
    <border>
      <left style="double">
        <color indexed="64"/>
      </left>
      <right style="thin">
        <color indexed="64"/>
      </right>
      <top style="thin">
        <color indexed="64"/>
      </top>
      <bottom/>
      <diagonal/>
    </border>
    <border>
      <left style="double">
        <color indexed="64"/>
      </left>
      <right style="thin">
        <color indexed="64"/>
      </right>
      <top/>
      <bottom/>
      <diagonal/>
    </border>
    <border>
      <left/>
      <right style="double">
        <color indexed="64"/>
      </right>
      <top style="thin">
        <color indexed="64"/>
      </top>
      <bottom/>
      <diagonal/>
    </border>
    <border>
      <left/>
      <right style="double">
        <color indexed="64"/>
      </right>
      <top/>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thin">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bottom/>
      <diagonal/>
    </border>
    <border>
      <left style="double">
        <color indexed="22"/>
      </left>
      <right/>
      <top style="thin">
        <color indexed="64"/>
      </top>
      <bottom style="thin">
        <color indexed="22"/>
      </bottom>
      <diagonal/>
    </border>
    <border>
      <left/>
      <right/>
      <top style="thin">
        <color indexed="64"/>
      </top>
      <bottom style="thin">
        <color indexed="22"/>
      </bottom>
      <diagonal/>
    </border>
    <border>
      <left/>
      <right style="double">
        <color indexed="22"/>
      </right>
      <top style="thin">
        <color indexed="64"/>
      </top>
      <bottom style="thin">
        <color indexed="22"/>
      </bottom>
      <diagonal/>
    </border>
    <border>
      <left style="double">
        <color indexed="22"/>
      </left>
      <right/>
      <top style="thin">
        <color indexed="64"/>
      </top>
      <bottom/>
      <diagonal/>
    </border>
    <border>
      <left style="thin">
        <color indexed="22"/>
      </left>
      <right/>
      <top style="thin">
        <color indexed="22"/>
      </top>
      <bottom style="thin">
        <color indexed="22"/>
      </bottom>
      <diagonal/>
    </border>
    <border>
      <left/>
      <right style="thin">
        <color indexed="22"/>
      </right>
      <top style="thin">
        <color indexed="22"/>
      </top>
      <bottom/>
      <diagonal/>
    </border>
    <border>
      <left/>
      <right/>
      <top/>
      <bottom style="thin">
        <color indexed="22"/>
      </bottom>
      <diagonal/>
    </border>
    <border>
      <left/>
      <right style="thin">
        <color indexed="22"/>
      </right>
      <top/>
      <bottom style="thin">
        <color indexed="22"/>
      </bottom>
      <diagonal/>
    </border>
    <border>
      <left style="thin">
        <color indexed="22"/>
      </left>
      <right/>
      <top style="thin">
        <color indexed="64"/>
      </top>
      <bottom style="thin">
        <color indexed="22"/>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diagonalUp="1">
      <left style="thin">
        <color indexed="64"/>
      </left>
      <right/>
      <top style="hair">
        <color indexed="64"/>
      </top>
      <bottom style="thin">
        <color indexed="64"/>
      </bottom>
      <diagonal style="thin">
        <color indexed="64"/>
      </diagonal>
    </border>
    <border diagonalUp="1">
      <left/>
      <right/>
      <top style="hair">
        <color indexed="64"/>
      </top>
      <bottom style="thin">
        <color indexed="64"/>
      </bottom>
      <diagonal style="thin">
        <color indexed="64"/>
      </diagonal>
    </border>
    <border diagonalUp="1">
      <left/>
      <right style="thin">
        <color indexed="64"/>
      </right>
      <top style="hair">
        <color indexed="64"/>
      </top>
      <bottom style="thin">
        <color indexed="64"/>
      </bottom>
      <diagonal style="thin">
        <color indexed="64"/>
      </diagonal>
    </border>
  </borders>
  <cellStyleXfs count="89">
    <xf numFmtId="0" fontId="0" fillId="0" borderId="0"/>
    <xf numFmtId="0" fontId="1" fillId="2" borderId="0" applyNumberFormat="0" applyBorder="0" applyAlignment="0" applyProtection="0">
      <alignment vertical="center"/>
    </xf>
    <xf numFmtId="0" fontId="2" fillId="3" borderId="1" applyNumberFormat="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2"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6" borderId="0" applyNumberFormat="0" applyBorder="0" applyAlignment="0" applyProtection="0">
      <alignment vertical="center"/>
    </xf>
    <xf numFmtId="0" fontId="3" fillId="9" borderId="0" applyNumberFormat="0" applyBorder="0" applyAlignment="0" applyProtection="0">
      <alignment vertical="center"/>
    </xf>
    <xf numFmtId="0" fontId="3" fillId="12" borderId="0" applyNumberFormat="0" applyBorder="0" applyAlignment="0" applyProtection="0">
      <alignment vertical="center"/>
    </xf>
    <xf numFmtId="0" fontId="4" fillId="13"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20" borderId="0" applyNumberFormat="0" applyBorder="0" applyAlignment="0" applyProtection="0">
      <alignment vertical="center"/>
    </xf>
    <xf numFmtId="0" fontId="5" fillId="0" borderId="0" applyNumberFormat="0" applyFill="0" applyBorder="0" applyAlignment="0" applyProtection="0">
      <alignment vertical="center"/>
    </xf>
    <xf numFmtId="0" fontId="6" fillId="21" borderId="2" applyNumberFormat="0" applyAlignment="0" applyProtection="0">
      <alignment vertical="center"/>
    </xf>
    <xf numFmtId="0" fontId="7" fillId="22" borderId="0" applyNumberFormat="0" applyBorder="0" applyAlignment="0" applyProtection="0">
      <alignment vertical="center"/>
    </xf>
    <xf numFmtId="0" fontId="9" fillId="0" borderId="0" applyNumberFormat="0" applyFill="0" applyBorder="0" applyAlignment="0" applyProtection="0">
      <alignment vertical="top"/>
      <protection locked="0"/>
    </xf>
    <xf numFmtId="0" fontId="10" fillId="23" borderId="3" applyNumberFormat="0" applyFont="0" applyAlignment="0" applyProtection="0">
      <alignment vertical="center"/>
    </xf>
    <xf numFmtId="0" fontId="11" fillId="0" borderId="4" applyNumberFormat="0" applyFill="0" applyAlignment="0" applyProtection="0">
      <alignment vertical="center"/>
    </xf>
    <xf numFmtId="0" fontId="12" fillId="5" borderId="0" applyNumberFormat="0" applyBorder="0" applyAlignment="0" applyProtection="0">
      <alignment vertical="center"/>
    </xf>
    <xf numFmtId="0" fontId="2" fillId="3" borderId="1" applyNumberFormat="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3" borderId="9" applyNumberFormat="0" applyAlignment="0" applyProtection="0">
      <alignment vertical="center"/>
    </xf>
    <xf numFmtId="0" fontId="19" fillId="0" borderId="0" applyNumberFormat="0" applyFill="0" applyBorder="0" applyAlignment="0" applyProtection="0">
      <alignment vertical="center"/>
    </xf>
    <xf numFmtId="6" fontId="8" fillId="0" borderId="0" applyFont="0" applyFill="0" applyBorder="0" applyAlignment="0" applyProtection="0">
      <alignment vertical="center"/>
    </xf>
    <xf numFmtId="0" fontId="20" fillId="8" borderId="1" applyNumberFormat="0" applyAlignment="0" applyProtection="0">
      <alignment vertical="center"/>
    </xf>
    <xf numFmtId="0" fontId="8" fillId="0" borderId="0">
      <alignment vertical="center"/>
    </xf>
    <xf numFmtId="0" fontId="8" fillId="0" borderId="0">
      <alignment vertical="center"/>
    </xf>
    <xf numFmtId="0" fontId="10" fillId="0" borderId="0"/>
    <xf numFmtId="0" fontId="8" fillId="0" borderId="0">
      <alignment vertical="center"/>
    </xf>
    <xf numFmtId="0" fontId="8" fillId="0" borderId="0">
      <alignment vertical="center"/>
    </xf>
    <xf numFmtId="0" fontId="22"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0" fillId="0" borderId="0"/>
    <xf numFmtId="0" fontId="8" fillId="0" borderId="0">
      <alignment vertical="center"/>
    </xf>
    <xf numFmtId="0" fontId="8" fillId="0" borderId="0"/>
    <xf numFmtId="0" fontId="8" fillId="0" borderId="0"/>
    <xf numFmtId="0" fontId="8" fillId="0" borderId="0"/>
    <xf numFmtId="0" fontId="21" fillId="0" borderId="0">
      <alignment vertical="center"/>
    </xf>
    <xf numFmtId="0" fontId="1" fillId="2" borderId="0" applyNumberFormat="0" applyBorder="0" applyAlignment="0" applyProtection="0">
      <alignment vertical="center"/>
    </xf>
    <xf numFmtId="0" fontId="18" fillId="3" borderId="9" applyNumberFormat="0" applyAlignment="0" applyProtection="0">
      <alignment vertical="center"/>
    </xf>
    <xf numFmtId="0" fontId="13" fillId="0" borderId="0" applyNumberFormat="0" applyFill="0" applyBorder="0" applyAlignment="0" applyProtection="0">
      <alignment vertical="center"/>
    </xf>
    <xf numFmtId="0" fontId="1" fillId="2" borderId="0" applyNumberFormat="0" applyBorder="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18" fillId="3" borderId="9"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7" fillId="22" borderId="0" applyNumberFormat="0" applyBorder="0" applyAlignment="0" applyProtection="0">
      <alignment vertical="center"/>
    </xf>
    <xf numFmtId="0" fontId="16" fillId="0" borderId="7" applyNumberFormat="0" applyFill="0" applyAlignment="0" applyProtection="0">
      <alignment vertical="center"/>
    </xf>
    <xf numFmtId="0" fontId="5" fillId="0" borderId="0" applyNumberFormat="0" applyFill="0" applyBorder="0" applyAlignment="0" applyProtection="0">
      <alignment vertical="center"/>
    </xf>
    <xf numFmtId="0" fontId="11" fillId="0" borderId="4" applyNumberFormat="0" applyFill="0" applyAlignment="0" applyProtection="0">
      <alignment vertical="center"/>
    </xf>
    <xf numFmtId="0" fontId="4" fillId="20" borderId="0" applyNumberFormat="0" applyBorder="0" applyAlignment="0" applyProtection="0">
      <alignment vertical="center"/>
    </xf>
    <xf numFmtId="0" fontId="3" fillId="10" borderId="0" applyNumberFormat="0" applyBorder="0" applyAlignment="0" applyProtection="0">
      <alignment vertical="center"/>
    </xf>
    <xf numFmtId="0" fontId="8" fillId="0" borderId="0"/>
    <xf numFmtId="0" fontId="22" fillId="0" borderId="0"/>
    <xf numFmtId="0" fontId="8" fillId="0" borderId="0"/>
    <xf numFmtId="0" fontId="8" fillId="0" borderId="0"/>
    <xf numFmtId="0" fontId="8" fillId="0" borderId="0"/>
    <xf numFmtId="0" fontId="8" fillId="0" borderId="0"/>
    <xf numFmtId="0" fontId="22" fillId="0" borderId="0"/>
    <xf numFmtId="0" fontId="8" fillId="0" borderId="0"/>
    <xf numFmtId="0" fontId="8" fillId="0" borderId="0"/>
  </cellStyleXfs>
  <cellXfs count="1336">
    <xf numFmtId="0" fontId="0" fillId="0" borderId="0" xfId="0"/>
    <xf numFmtId="0" fontId="0" fillId="0" borderId="0" xfId="0" applyBorder="1" applyAlignment="1">
      <alignment vertical="center" wrapText="1"/>
    </xf>
    <xf numFmtId="0" fontId="0" fillId="0" borderId="0" xfId="0" applyBorder="1" applyAlignment="1">
      <alignment horizontal="center" vertical="center" wrapText="1"/>
    </xf>
    <xf numFmtId="176" fontId="0" fillId="0" borderId="0" xfId="0" applyNumberFormat="1" applyBorder="1" applyAlignment="1">
      <alignment horizontal="center" vertical="center" wrapText="1"/>
    </xf>
    <xf numFmtId="0" fontId="40" fillId="24" borderId="10" xfId="0" applyFont="1" applyFill="1" applyBorder="1" applyAlignment="1">
      <alignment horizontal="center" vertical="center"/>
    </xf>
    <xf numFmtId="0" fontId="8" fillId="0" borderId="0" xfId="49">
      <alignment vertical="center"/>
    </xf>
    <xf numFmtId="0" fontId="21" fillId="0" borderId="0" xfId="49" applyFont="1" applyBorder="1" applyAlignment="1">
      <alignment horizontal="center" vertical="center"/>
    </xf>
    <xf numFmtId="0" fontId="24" fillId="0" borderId="0" xfId="49" applyFont="1" applyBorder="1" applyAlignment="1">
      <alignment horizontal="center" vertical="center"/>
    </xf>
    <xf numFmtId="0" fontId="27" fillId="0" borderId="0" xfId="49" applyFont="1" applyFill="1" applyBorder="1" applyAlignment="1">
      <alignment horizontal="center" vertical="center"/>
    </xf>
    <xf numFmtId="0" fontId="31" fillId="0" borderId="0" xfId="49" applyFont="1" applyAlignment="1">
      <alignment vertical="center"/>
    </xf>
    <xf numFmtId="0" fontId="31" fillId="25" borderId="11" xfId="49" applyFont="1" applyFill="1" applyBorder="1" applyAlignment="1">
      <alignment vertical="center"/>
    </xf>
    <xf numFmtId="0" fontId="31" fillId="25" borderId="12" xfId="49" applyFont="1" applyFill="1" applyBorder="1" applyAlignment="1">
      <alignment vertical="center"/>
    </xf>
    <xf numFmtId="0" fontId="31" fillId="0" borderId="13" xfId="49" applyFont="1" applyBorder="1" applyAlignment="1">
      <alignment vertical="center"/>
    </xf>
    <xf numFmtId="0" fontId="31" fillId="0" borderId="0" xfId="49" applyFont="1" applyBorder="1" applyAlignment="1">
      <alignment vertical="center"/>
    </xf>
    <xf numFmtId="0" fontId="31" fillId="0" borderId="14" xfId="49" applyFont="1" applyBorder="1" applyAlignment="1">
      <alignment vertical="center"/>
    </xf>
    <xf numFmtId="0" fontId="31" fillId="0" borderId="15" xfId="49" applyFont="1" applyBorder="1" applyAlignment="1">
      <alignment vertical="center"/>
    </xf>
    <xf numFmtId="0" fontId="31" fillId="25" borderId="14" xfId="49" applyFont="1" applyFill="1" applyBorder="1" applyAlignment="1">
      <alignment vertical="center"/>
    </xf>
    <xf numFmtId="0" fontId="31" fillId="25" borderId="16" xfId="49" applyFont="1" applyFill="1" applyBorder="1" applyAlignment="1">
      <alignment vertical="center"/>
    </xf>
    <xf numFmtId="0" fontId="31" fillId="25" borderId="17" xfId="49" applyFont="1" applyFill="1" applyBorder="1" applyAlignment="1">
      <alignment vertical="center"/>
    </xf>
    <xf numFmtId="0" fontId="31" fillId="25" borderId="18" xfId="49" applyFont="1" applyFill="1" applyBorder="1" applyAlignment="1">
      <alignment vertical="center"/>
    </xf>
    <xf numFmtId="0" fontId="31" fillId="25" borderId="19" xfId="82" applyFont="1" applyFill="1" applyBorder="1" applyAlignment="1">
      <alignment horizontal="left" vertical="center"/>
    </xf>
    <xf numFmtId="0" fontId="31" fillId="25" borderId="20" xfId="82" applyFont="1" applyFill="1" applyBorder="1" applyAlignment="1">
      <alignment horizontal="left" vertical="center"/>
    </xf>
    <xf numFmtId="0" fontId="31" fillId="25" borderId="20" xfId="49" applyFont="1" applyFill="1" applyBorder="1" applyAlignment="1">
      <alignment vertical="center"/>
    </xf>
    <xf numFmtId="0" fontId="31" fillId="25" borderId="21" xfId="49" applyFont="1" applyFill="1" applyBorder="1" applyAlignment="1">
      <alignment vertical="center"/>
    </xf>
    <xf numFmtId="178" fontId="31" fillId="0" borderId="22" xfId="82" applyNumberFormat="1" applyFont="1" applyBorder="1" applyAlignment="1">
      <alignment horizontal="right" vertical="center"/>
    </xf>
    <xf numFmtId="0" fontId="31" fillId="0" borderId="17" xfId="49" applyFont="1" applyBorder="1" applyAlignment="1">
      <alignment vertical="center"/>
    </xf>
    <xf numFmtId="0" fontId="31" fillId="0" borderId="18" xfId="49" applyFont="1" applyBorder="1" applyAlignment="1">
      <alignment vertical="center"/>
    </xf>
    <xf numFmtId="0" fontId="31" fillId="25" borderId="13" xfId="49" applyFont="1" applyFill="1" applyBorder="1" applyAlignment="1">
      <alignment vertical="center"/>
    </xf>
    <xf numFmtId="0" fontId="31" fillId="25" borderId="23" xfId="49" applyFont="1" applyFill="1" applyBorder="1" applyAlignment="1">
      <alignment vertical="center"/>
    </xf>
    <xf numFmtId="0" fontId="31" fillId="25" borderId="24" xfId="82" applyFont="1" applyFill="1" applyBorder="1" applyAlignment="1">
      <alignment horizontal="left" vertical="center"/>
    </xf>
    <xf numFmtId="0" fontId="31" fillId="25" borderId="25" xfId="82" applyFont="1" applyFill="1" applyBorder="1" applyAlignment="1">
      <alignment horizontal="left" vertical="center"/>
    </xf>
    <xf numFmtId="0" fontId="31" fillId="25" borderId="25" xfId="49" applyFont="1" applyFill="1" applyBorder="1" applyAlignment="1">
      <alignment vertical="center"/>
    </xf>
    <xf numFmtId="0" fontId="31" fillId="25" borderId="26" xfId="49" applyFont="1" applyFill="1" applyBorder="1" applyAlignment="1">
      <alignment vertical="center"/>
    </xf>
    <xf numFmtId="178" fontId="31" fillId="0" borderId="27" xfId="82" applyNumberFormat="1" applyFont="1" applyBorder="1" applyAlignment="1">
      <alignment horizontal="right" vertical="center"/>
    </xf>
    <xf numFmtId="0" fontId="31" fillId="0" borderId="23" xfId="49" applyFont="1" applyBorder="1" applyAlignment="1">
      <alignment vertical="center"/>
    </xf>
    <xf numFmtId="178" fontId="31" fillId="0" borderId="28" xfId="82" applyNumberFormat="1" applyFont="1" applyBorder="1" applyAlignment="1">
      <alignment horizontal="right" vertical="center"/>
    </xf>
    <xf numFmtId="0" fontId="31" fillId="25" borderId="0" xfId="49" applyFont="1" applyFill="1" applyBorder="1" applyAlignment="1">
      <alignment vertical="center"/>
    </xf>
    <xf numFmtId="0" fontId="31" fillId="25" borderId="29" xfId="82" applyFont="1" applyFill="1" applyBorder="1" applyAlignment="1">
      <alignment horizontal="left" vertical="center"/>
    </xf>
    <xf numFmtId="0" fontId="31" fillId="25" borderId="30" xfId="82" applyFont="1" applyFill="1" applyBorder="1" applyAlignment="1">
      <alignment horizontal="left" vertical="center"/>
    </xf>
    <xf numFmtId="0" fontId="31" fillId="25" borderId="30" xfId="49" applyFont="1" applyFill="1" applyBorder="1" applyAlignment="1">
      <alignment vertical="center"/>
    </xf>
    <xf numFmtId="0" fontId="31" fillId="25" borderId="31" xfId="49" applyFont="1" applyFill="1" applyBorder="1" applyAlignment="1">
      <alignment vertical="center"/>
    </xf>
    <xf numFmtId="178" fontId="31" fillId="0" borderId="32" xfId="82" applyNumberFormat="1" applyFont="1" applyBorder="1" applyAlignment="1">
      <alignment horizontal="right" vertical="center"/>
    </xf>
    <xf numFmtId="0" fontId="31" fillId="25" borderId="24" xfId="49" applyFont="1" applyFill="1" applyBorder="1" applyAlignment="1">
      <alignment vertical="center"/>
    </xf>
    <xf numFmtId="0" fontId="31" fillId="25" borderId="29" xfId="49" applyFont="1" applyFill="1" applyBorder="1" applyAlignment="1">
      <alignment vertical="center"/>
    </xf>
    <xf numFmtId="0" fontId="31" fillId="0" borderId="29" xfId="49" applyFont="1" applyBorder="1" applyAlignment="1">
      <alignment vertical="center"/>
    </xf>
    <xf numFmtId="0" fontId="31" fillId="0" borderId="30" xfId="49" applyFont="1" applyBorder="1" applyAlignment="1">
      <alignment vertical="center"/>
    </xf>
    <xf numFmtId="0" fontId="31" fillId="0" borderId="31" xfId="49" applyFont="1" applyBorder="1" applyAlignment="1">
      <alignment vertical="center"/>
    </xf>
    <xf numFmtId="178" fontId="31" fillId="0" borderId="33" xfId="82" applyNumberFormat="1" applyFont="1" applyBorder="1" applyAlignment="1">
      <alignment horizontal="right" vertical="center"/>
    </xf>
    <xf numFmtId="0" fontId="31" fillId="25" borderId="17" xfId="83" applyFont="1" applyFill="1" applyBorder="1" applyAlignment="1">
      <alignment vertical="center"/>
    </xf>
    <xf numFmtId="0" fontId="31" fillId="25" borderId="15" xfId="83" applyFont="1" applyFill="1" applyBorder="1" applyAlignment="1">
      <alignment vertical="center"/>
    </xf>
    <xf numFmtId="0" fontId="31" fillId="25" borderId="18" xfId="83" applyFont="1" applyFill="1" applyBorder="1" applyAlignment="1">
      <alignment horizontal="right" vertical="center"/>
    </xf>
    <xf numFmtId="0" fontId="31" fillId="0" borderId="34" xfId="83" applyFont="1" applyFill="1" applyBorder="1" applyAlignment="1">
      <alignment horizontal="center" vertical="top" textRotation="255"/>
    </xf>
    <xf numFmtId="0" fontId="31" fillId="25" borderId="13" xfId="83" applyFont="1" applyFill="1" applyBorder="1" applyAlignment="1">
      <alignment vertical="center"/>
    </xf>
    <xf numFmtId="0" fontId="31" fillId="25" borderId="0" xfId="83" applyFont="1" applyFill="1" applyBorder="1" applyAlignment="1">
      <alignment vertical="center"/>
    </xf>
    <xf numFmtId="0" fontId="31" fillId="25" borderId="23" xfId="83" applyFont="1" applyFill="1" applyBorder="1" applyAlignment="1">
      <alignment vertical="center"/>
    </xf>
    <xf numFmtId="0" fontId="31" fillId="25" borderId="29" xfId="83" applyFont="1" applyFill="1" applyBorder="1" applyAlignment="1">
      <alignment vertical="center"/>
    </xf>
    <xf numFmtId="0" fontId="31" fillId="25" borderId="30" xfId="83" applyFont="1" applyFill="1" applyBorder="1" applyAlignment="1">
      <alignment vertical="center"/>
    </xf>
    <xf numFmtId="0" fontId="31" fillId="25" borderId="31" xfId="83" applyFont="1" applyFill="1" applyBorder="1" applyAlignment="1">
      <alignment vertical="center"/>
    </xf>
    <xf numFmtId="0" fontId="31" fillId="25" borderId="19" xfId="49" applyFont="1" applyFill="1" applyBorder="1" applyAlignment="1">
      <alignment vertical="center"/>
    </xf>
    <xf numFmtId="178" fontId="31" fillId="0" borderId="33" xfId="83" applyNumberFormat="1" applyFont="1" applyFill="1" applyBorder="1" applyAlignment="1">
      <alignment horizontal="right" vertical="center"/>
    </xf>
    <xf numFmtId="178" fontId="31" fillId="0" borderId="19" xfId="83" applyNumberFormat="1" applyFont="1" applyFill="1" applyBorder="1" applyAlignment="1">
      <alignment horizontal="right" vertical="center"/>
    </xf>
    <xf numFmtId="178" fontId="31" fillId="0" borderId="35" xfId="83" applyNumberFormat="1" applyFont="1" applyFill="1" applyBorder="1" applyAlignment="1">
      <alignment horizontal="right" vertical="center"/>
    </xf>
    <xf numFmtId="178" fontId="31" fillId="0" borderId="36" xfId="83" applyNumberFormat="1" applyFont="1" applyFill="1" applyBorder="1" applyAlignment="1">
      <alignment horizontal="right" vertical="center"/>
    </xf>
    <xf numFmtId="178" fontId="31" fillId="0" borderId="21" xfId="83" applyNumberFormat="1" applyFont="1" applyFill="1" applyBorder="1" applyAlignment="1">
      <alignment horizontal="right" vertical="center"/>
    </xf>
    <xf numFmtId="178" fontId="31" fillId="0" borderId="34" xfId="83" applyNumberFormat="1" applyFont="1" applyFill="1" applyBorder="1" applyAlignment="1">
      <alignment horizontal="right" vertical="center"/>
    </xf>
    <xf numFmtId="0" fontId="31" fillId="25" borderId="25" xfId="83" applyFont="1" applyFill="1" applyBorder="1" applyAlignment="1">
      <alignment horizontal="left" vertical="center"/>
    </xf>
    <xf numFmtId="178" fontId="31" fillId="0" borderId="27" xfId="83" applyNumberFormat="1" applyFont="1" applyFill="1" applyBorder="1" applyAlignment="1">
      <alignment horizontal="right" vertical="center"/>
    </xf>
    <xf numFmtId="178" fontId="31" fillId="0" borderId="24" xfId="83" applyNumberFormat="1" applyFont="1" applyFill="1" applyBorder="1" applyAlignment="1">
      <alignment horizontal="right" vertical="center"/>
    </xf>
    <xf numFmtId="178" fontId="31" fillId="0" borderId="37" xfId="83" applyNumberFormat="1" applyFont="1" applyFill="1" applyBorder="1" applyAlignment="1">
      <alignment horizontal="right" vertical="center"/>
    </xf>
    <xf numFmtId="178" fontId="31" fillId="0" borderId="38" xfId="83" applyNumberFormat="1" applyFont="1" applyFill="1" applyBorder="1" applyAlignment="1">
      <alignment horizontal="right" vertical="center"/>
    </xf>
    <xf numFmtId="178" fontId="31" fillId="0" borderId="26" xfId="83" applyNumberFormat="1" applyFont="1" applyFill="1" applyBorder="1" applyAlignment="1">
      <alignment horizontal="right" vertical="center"/>
    </xf>
    <xf numFmtId="0" fontId="31" fillId="25" borderId="24" xfId="83" applyFont="1" applyFill="1" applyBorder="1" applyAlignment="1">
      <alignment horizontal="left" vertical="center"/>
    </xf>
    <xf numFmtId="0" fontId="31" fillId="25" borderId="39" xfId="83" applyFont="1" applyFill="1" applyBorder="1" applyAlignment="1">
      <alignment horizontal="left" vertical="center"/>
    </xf>
    <xf numFmtId="0" fontId="31" fillId="25" borderId="40" xfId="49" applyFont="1" applyFill="1" applyBorder="1" applyAlignment="1">
      <alignment vertical="center"/>
    </xf>
    <xf numFmtId="0" fontId="31" fillId="25" borderId="41" xfId="49" applyFont="1" applyFill="1" applyBorder="1" applyAlignment="1">
      <alignment vertical="center"/>
    </xf>
    <xf numFmtId="178" fontId="31" fillId="0" borderId="42" xfId="83" applyNumberFormat="1" applyFont="1" applyFill="1" applyBorder="1" applyAlignment="1">
      <alignment horizontal="right" vertical="center"/>
    </xf>
    <xf numFmtId="178" fontId="31" fillId="0" borderId="43" xfId="83" applyNumberFormat="1" applyFont="1" applyFill="1" applyBorder="1" applyAlignment="1">
      <alignment horizontal="right" vertical="center"/>
    </xf>
    <xf numFmtId="178" fontId="31" fillId="0" borderId="44" xfId="83" applyNumberFormat="1" applyFont="1" applyFill="1" applyBorder="1" applyAlignment="1">
      <alignment horizontal="right" vertical="center"/>
    </xf>
    <xf numFmtId="178" fontId="31" fillId="0" borderId="45" xfId="83" applyNumberFormat="1" applyFont="1" applyFill="1" applyBorder="1" applyAlignment="1">
      <alignment horizontal="right" vertical="center"/>
    </xf>
    <xf numFmtId="178" fontId="31" fillId="0" borderId="46" xfId="83" applyNumberFormat="1" applyFont="1" applyFill="1" applyBorder="1" applyAlignment="1">
      <alignment horizontal="right" vertical="center"/>
    </xf>
    <xf numFmtId="0" fontId="31" fillId="25" borderId="47" xfId="83" applyFont="1" applyFill="1" applyBorder="1" applyAlignment="1">
      <alignment horizontal="left" vertical="center"/>
    </xf>
    <xf numFmtId="0" fontId="31" fillId="25" borderId="48" xfId="49" applyFont="1" applyFill="1" applyBorder="1" applyAlignment="1">
      <alignment vertical="center"/>
    </xf>
    <xf numFmtId="178" fontId="31" fillId="0" borderId="49" xfId="83" applyNumberFormat="1" applyFont="1" applyFill="1" applyBorder="1" applyAlignment="1">
      <alignment horizontal="right" vertical="center"/>
    </xf>
    <xf numFmtId="178" fontId="31" fillId="0" borderId="50" xfId="83" applyNumberFormat="1" applyFont="1" applyFill="1" applyBorder="1" applyAlignment="1">
      <alignment horizontal="right" vertical="center"/>
    </xf>
    <xf numFmtId="178" fontId="31" fillId="0" borderId="51" xfId="83" applyNumberFormat="1" applyFont="1" applyFill="1" applyBorder="1" applyAlignment="1">
      <alignment horizontal="right" vertical="center"/>
    </xf>
    <xf numFmtId="178" fontId="31" fillId="0" borderId="52" xfId="83" applyNumberFormat="1" applyFont="1" applyFill="1" applyBorder="1" applyAlignment="1">
      <alignment horizontal="right" vertical="center"/>
    </xf>
    <xf numFmtId="177" fontId="31" fillId="0" borderId="34" xfId="83" applyNumberFormat="1" applyFont="1" applyFill="1" applyBorder="1" applyAlignment="1">
      <alignment horizontal="right" vertical="center"/>
    </xf>
    <xf numFmtId="0" fontId="31" fillId="25" borderId="53" xfId="83" applyFont="1" applyFill="1" applyBorder="1" applyAlignment="1">
      <alignment horizontal="left" vertical="center"/>
    </xf>
    <xf numFmtId="0" fontId="31" fillId="25" borderId="54" xfId="49" applyFont="1" applyFill="1" applyBorder="1" applyAlignment="1">
      <alignment vertical="center"/>
    </xf>
    <xf numFmtId="178" fontId="31" fillId="0" borderId="55" xfId="83" applyNumberFormat="1" applyFont="1" applyFill="1" applyBorder="1" applyAlignment="1">
      <alignment horizontal="right" vertical="center"/>
    </xf>
    <xf numFmtId="178" fontId="31" fillId="0" borderId="56" xfId="83" applyNumberFormat="1" applyFont="1" applyFill="1" applyBorder="1" applyAlignment="1">
      <alignment horizontal="right" vertical="center"/>
    </xf>
    <xf numFmtId="178" fontId="31" fillId="0" borderId="57" xfId="83" applyNumberFormat="1" applyFont="1" applyFill="1" applyBorder="1" applyAlignment="1">
      <alignment horizontal="right" vertical="center"/>
    </xf>
    <xf numFmtId="177" fontId="31" fillId="0" borderId="58" xfId="83" applyNumberFormat="1" applyFont="1" applyFill="1" applyBorder="1" applyAlignment="1">
      <alignment horizontal="right" vertical="center"/>
    </xf>
    <xf numFmtId="0" fontId="31" fillId="0" borderId="34" xfId="49" applyFont="1" applyFill="1" applyBorder="1" applyAlignment="1">
      <alignment vertical="center"/>
    </xf>
    <xf numFmtId="0" fontId="31" fillId="25" borderId="15" xfId="49" applyFont="1" applyFill="1" applyBorder="1" applyAlignment="1">
      <alignment vertical="center"/>
    </xf>
    <xf numFmtId="0" fontId="31" fillId="25" borderId="17" xfId="85" applyFont="1" applyFill="1" applyBorder="1" applyAlignment="1">
      <alignment vertical="center"/>
    </xf>
    <xf numFmtId="0" fontId="31" fillId="25" borderId="15" xfId="85" applyFont="1" applyFill="1" applyBorder="1" applyAlignment="1">
      <alignment vertical="center"/>
    </xf>
    <xf numFmtId="0" fontId="31" fillId="25" borderId="18" xfId="85" applyFont="1" applyFill="1" applyBorder="1" applyAlignment="1">
      <alignment horizontal="right" vertical="center"/>
    </xf>
    <xf numFmtId="0" fontId="31" fillId="0" borderId="13" xfId="85" applyFont="1" applyFill="1" applyBorder="1" applyAlignment="1">
      <alignment horizontal="center" vertical="top" textRotation="255"/>
    </xf>
    <xf numFmtId="0" fontId="31" fillId="0" borderId="23" xfId="85" applyFont="1" applyFill="1" applyBorder="1" applyAlignment="1">
      <alignment horizontal="center" vertical="top" textRotation="255"/>
    </xf>
    <xf numFmtId="0" fontId="31" fillId="25" borderId="13" xfId="85" applyFont="1" applyFill="1" applyBorder="1" applyAlignment="1">
      <alignment vertical="center"/>
    </xf>
    <xf numFmtId="0" fontId="31" fillId="25" borderId="0" xfId="85" applyFont="1" applyFill="1" applyBorder="1" applyAlignment="1">
      <alignment vertical="center"/>
    </xf>
    <xf numFmtId="0" fontId="31" fillId="25" borderId="23" xfId="85" applyFont="1" applyFill="1" applyBorder="1" applyAlignment="1">
      <alignment vertical="center"/>
    </xf>
    <xf numFmtId="0" fontId="31" fillId="25" borderId="29" xfId="85" applyFont="1" applyFill="1" applyBorder="1" applyAlignment="1">
      <alignment vertical="center"/>
    </xf>
    <xf numFmtId="0" fontId="31" fillId="25" borderId="30" xfId="85" applyFont="1" applyFill="1" applyBorder="1" applyAlignment="1">
      <alignment vertical="center"/>
    </xf>
    <xf numFmtId="0" fontId="31" fillId="25" borderId="31" xfId="85" applyFont="1" applyFill="1" applyBorder="1" applyAlignment="1">
      <alignment vertical="center"/>
    </xf>
    <xf numFmtId="178" fontId="31" fillId="0" borderId="33" xfId="85" applyNumberFormat="1" applyFont="1" applyFill="1" applyBorder="1" applyAlignment="1">
      <alignment horizontal="right" vertical="center"/>
    </xf>
    <xf numFmtId="178" fontId="31" fillId="0" borderId="19" xfId="85" applyNumberFormat="1" applyFont="1" applyFill="1" applyBorder="1" applyAlignment="1">
      <alignment horizontal="right" vertical="center"/>
    </xf>
    <xf numFmtId="178" fontId="31" fillId="0" borderId="35" xfId="85" applyNumberFormat="1" applyFont="1" applyFill="1" applyBorder="1" applyAlignment="1">
      <alignment horizontal="right" vertical="center"/>
    </xf>
    <xf numFmtId="178" fontId="31" fillId="0" borderId="36" xfId="85" applyNumberFormat="1" applyFont="1" applyFill="1" applyBorder="1" applyAlignment="1">
      <alignment horizontal="right" vertical="center"/>
    </xf>
    <xf numFmtId="178" fontId="31" fillId="0" borderId="21" xfId="85" applyNumberFormat="1" applyFont="1" applyFill="1" applyBorder="1" applyAlignment="1">
      <alignment horizontal="right" vertical="center"/>
    </xf>
    <xf numFmtId="178" fontId="31" fillId="0" borderId="13" xfId="85" applyNumberFormat="1" applyFont="1" applyFill="1" applyBorder="1" applyAlignment="1">
      <alignment horizontal="right" vertical="center"/>
    </xf>
    <xf numFmtId="178" fontId="31" fillId="0" borderId="23" xfId="85" applyNumberFormat="1" applyFont="1" applyFill="1" applyBorder="1" applyAlignment="1">
      <alignment horizontal="right" vertical="center"/>
    </xf>
    <xf numFmtId="0" fontId="31" fillId="25" borderId="25" xfId="85" applyFont="1" applyFill="1" applyBorder="1" applyAlignment="1">
      <alignment horizontal="left" vertical="center"/>
    </xf>
    <xf numFmtId="178" fontId="31" fillId="0" borderId="27" xfId="85" applyNumberFormat="1" applyFont="1" applyFill="1" applyBorder="1" applyAlignment="1">
      <alignment horizontal="right" vertical="center"/>
    </xf>
    <xf numFmtId="178" fontId="31" fillId="0" borderId="24" xfId="85" applyNumberFormat="1" applyFont="1" applyFill="1" applyBorder="1" applyAlignment="1">
      <alignment horizontal="right" vertical="center"/>
    </xf>
    <xf numFmtId="178" fontId="31" fillId="0" borderId="37" xfId="85" applyNumberFormat="1" applyFont="1" applyFill="1" applyBorder="1" applyAlignment="1">
      <alignment horizontal="right" vertical="center"/>
    </xf>
    <xf numFmtId="178" fontId="31" fillId="0" borderId="38" xfId="85" applyNumberFormat="1" applyFont="1" applyFill="1" applyBorder="1" applyAlignment="1">
      <alignment horizontal="right" vertical="center"/>
    </xf>
    <xf numFmtId="178" fontId="31" fillId="0" borderId="26" xfId="85" applyNumberFormat="1" applyFont="1" applyFill="1" applyBorder="1" applyAlignment="1">
      <alignment horizontal="right" vertical="center"/>
    </xf>
    <xf numFmtId="0" fontId="31" fillId="25" borderId="24" xfId="85" applyFont="1" applyFill="1" applyBorder="1" applyAlignment="1">
      <alignment horizontal="left" vertical="center"/>
    </xf>
    <xf numFmtId="0" fontId="31" fillId="25" borderId="39" xfId="85" applyFont="1" applyFill="1" applyBorder="1" applyAlignment="1">
      <alignment horizontal="left" vertical="center"/>
    </xf>
    <xf numFmtId="178" fontId="31" fillId="0" borderId="42" xfId="85" applyNumberFormat="1" applyFont="1" applyFill="1" applyBorder="1" applyAlignment="1">
      <alignment horizontal="right" vertical="center"/>
    </xf>
    <xf numFmtId="178" fontId="31" fillId="0" borderId="43" xfId="85" applyNumberFormat="1" applyFont="1" applyFill="1" applyBorder="1" applyAlignment="1">
      <alignment horizontal="right" vertical="center"/>
    </xf>
    <xf numFmtId="178" fontId="31" fillId="0" borderId="44" xfId="85" applyNumberFormat="1" applyFont="1" applyFill="1" applyBorder="1" applyAlignment="1">
      <alignment horizontal="right" vertical="center"/>
    </xf>
    <xf numFmtId="178" fontId="31" fillId="0" borderId="45" xfId="85" applyNumberFormat="1" applyFont="1" applyFill="1" applyBorder="1" applyAlignment="1">
      <alignment horizontal="right" vertical="center"/>
    </xf>
    <xf numFmtId="178" fontId="31" fillId="0" borderId="46" xfId="85" applyNumberFormat="1" applyFont="1" applyFill="1" applyBorder="1" applyAlignment="1">
      <alignment horizontal="right" vertical="center"/>
    </xf>
    <xf numFmtId="0" fontId="31" fillId="25" borderId="47" xfId="85" applyFont="1" applyFill="1" applyBorder="1" applyAlignment="1">
      <alignment horizontal="left" vertical="center"/>
    </xf>
    <xf numFmtId="178" fontId="31" fillId="0" borderId="49" xfId="85" applyNumberFormat="1" applyFont="1" applyFill="1" applyBorder="1" applyAlignment="1">
      <alignment horizontal="right" vertical="center"/>
    </xf>
    <xf numFmtId="178" fontId="31" fillId="0" borderId="50" xfId="85" applyNumberFormat="1" applyFont="1" applyFill="1" applyBorder="1" applyAlignment="1">
      <alignment horizontal="right" vertical="center"/>
    </xf>
    <xf numFmtId="178" fontId="31" fillId="0" borderId="51" xfId="85" applyNumberFormat="1" applyFont="1" applyFill="1" applyBorder="1" applyAlignment="1">
      <alignment horizontal="right" vertical="center"/>
    </xf>
    <xf numFmtId="178" fontId="31" fillId="0" borderId="52" xfId="85" applyNumberFormat="1" applyFont="1" applyFill="1" applyBorder="1" applyAlignment="1">
      <alignment horizontal="right" vertical="center"/>
    </xf>
    <xf numFmtId="177" fontId="31" fillId="0" borderId="23" xfId="85" applyNumberFormat="1" applyFont="1" applyFill="1" applyBorder="1" applyAlignment="1">
      <alignment horizontal="right" vertical="center"/>
    </xf>
    <xf numFmtId="0" fontId="31" fillId="25" borderId="53" xfId="85" applyFont="1" applyFill="1" applyBorder="1" applyAlignment="1">
      <alignment horizontal="left" vertical="center"/>
    </xf>
    <xf numFmtId="178" fontId="31" fillId="0" borderId="55" xfId="85" applyNumberFormat="1" applyFont="1" applyFill="1" applyBorder="1" applyAlignment="1">
      <alignment horizontal="right" vertical="center"/>
    </xf>
    <xf numFmtId="178" fontId="31" fillId="0" borderId="56" xfId="85" applyNumberFormat="1" applyFont="1" applyFill="1" applyBorder="1" applyAlignment="1">
      <alignment horizontal="right" vertical="center"/>
    </xf>
    <xf numFmtId="178" fontId="31" fillId="0" borderId="57" xfId="85" applyNumberFormat="1" applyFont="1" applyFill="1" applyBorder="1" applyAlignment="1">
      <alignment horizontal="right" vertical="center"/>
    </xf>
    <xf numFmtId="177" fontId="31" fillId="0" borderId="58" xfId="85" applyNumberFormat="1" applyFont="1" applyFill="1" applyBorder="1" applyAlignment="1">
      <alignment horizontal="right" vertical="center"/>
    </xf>
    <xf numFmtId="177" fontId="31" fillId="0" borderId="13" xfId="85" applyNumberFormat="1" applyFont="1" applyFill="1" applyBorder="1" applyAlignment="1">
      <alignment horizontal="right" vertical="center"/>
    </xf>
    <xf numFmtId="0" fontId="31" fillId="0" borderId="23" xfId="49" applyFont="1" applyFill="1" applyBorder="1" applyAlignment="1">
      <alignment vertical="center"/>
    </xf>
    <xf numFmtId="0" fontId="31" fillId="0" borderId="13" xfId="49" applyFont="1" applyFill="1" applyBorder="1" applyAlignment="1">
      <alignment vertical="center"/>
    </xf>
    <xf numFmtId="0" fontId="31" fillId="0" borderId="0" xfId="61" applyFont="1">
      <alignment vertical="center"/>
    </xf>
    <xf numFmtId="0" fontId="31" fillId="25" borderId="29" xfId="61" applyFont="1" applyFill="1" applyBorder="1" applyAlignment="1">
      <alignment horizontal="center" vertical="center"/>
    </xf>
    <xf numFmtId="0" fontId="31" fillId="25" borderId="11" xfId="61" applyFont="1" applyFill="1" applyBorder="1" applyAlignment="1">
      <alignment horizontal="center" vertical="center"/>
    </xf>
    <xf numFmtId="0" fontId="31" fillId="0" borderId="0" xfId="61" applyFont="1" applyFill="1" applyBorder="1">
      <alignment vertical="center"/>
    </xf>
    <xf numFmtId="0" fontId="31" fillId="0" borderId="0" xfId="61" applyFont="1" applyFill="1" applyBorder="1" applyAlignment="1">
      <alignment horizontal="center" vertical="center" wrapText="1"/>
    </xf>
    <xf numFmtId="0" fontId="31" fillId="0" borderId="0" xfId="61" applyFont="1" applyFill="1" applyBorder="1" applyAlignment="1">
      <alignment horizontal="center" vertical="center"/>
    </xf>
    <xf numFmtId="0" fontId="31" fillId="0" borderId="0" xfId="30" applyFont="1" applyFill="1" applyBorder="1" applyAlignment="1" applyProtection="1">
      <alignment vertical="center"/>
    </xf>
    <xf numFmtId="0" fontId="31" fillId="0" borderId="0" xfId="30" applyFont="1" applyFill="1" applyBorder="1" applyAlignment="1" applyProtection="1">
      <alignment horizontal="left" vertical="center"/>
    </xf>
    <xf numFmtId="0" fontId="31" fillId="0" borderId="0" xfId="61" applyFont="1" applyBorder="1">
      <alignment vertical="center"/>
    </xf>
    <xf numFmtId="0" fontId="31" fillId="0" borderId="59" xfId="61" applyFont="1" applyFill="1" applyBorder="1" applyAlignment="1">
      <alignment vertical="center"/>
    </xf>
    <xf numFmtId="0" fontId="31" fillId="0" borderId="60" xfId="61" applyFont="1" applyFill="1" applyBorder="1" applyAlignment="1">
      <alignment vertical="center"/>
    </xf>
    <xf numFmtId="0" fontId="31" fillId="0" borderId="0" xfId="61" applyFont="1" applyAlignment="1">
      <alignment horizontal="left" vertical="center"/>
    </xf>
    <xf numFmtId="0" fontId="31" fillId="0" borderId="0" xfId="61" applyFont="1" applyFill="1" applyBorder="1" applyAlignment="1">
      <alignment horizontal="left" vertical="center"/>
    </xf>
    <xf numFmtId="0" fontId="31" fillId="0" borderId="0" xfId="61" applyFont="1" applyFill="1" applyBorder="1" applyAlignment="1">
      <alignment horizontal="center" vertical="center" textRotation="255"/>
    </xf>
    <xf numFmtId="0" fontId="31" fillId="25" borderId="61" xfId="61" applyFont="1" applyFill="1" applyBorder="1" applyAlignment="1">
      <alignment vertical="center" wrapText="1"/>
    </xf>
    <xf numFmtId="20" fontId="31" fillId="0" borderId="0" xfId="61" applyNumberFormat="1" applyFont="1" applyFill="1" applyBorder="1" applyAlignment="1">
      <alignment horizontal="left" vertical="center"/>
    </xf>
    <xf numFmtId="0" fontId="21" fillId="0" borderId="0" xfId="47" applyFont="1"/>
    <xf numFmtId="0" fontId="21" fillId="0" borderId="62" xfId="47" applyNumberFormat="1" applyFont="1" applyBorder="1" applyAlignment="1">
      <alignment horizontal="center" vertical="center" wrapText="1"/>
    </xf>
    <xf numFmtId="0" fontId="21" fillId="0" borderId="31" xfId="47" applyNumberFormat="1" applyFont="1" applyBorder="1" applyAlignment="1">
      <alignment horizontal="center" vertical="center" wrapText="1"/>
    </xf>
    <xf numFmtId="0" fontId="21" fillId="0" borderId="29" xfId="47" applyNumberFormat="1" applyFont="1" applyBorder="1" applyAlignment="1">
      <alignment horizontal="left" vertical="center" wrapText="1"/>
    </xf>
    <xf numFmtId="0" fontId="21" fillId="0" borderId="32" xfId="47" applyNumberFormat="1" applyFont="1" applyBorder="1" applyAlignment="1">
      <alignment horizontal="center" vertical="center" wrapText="1"/>
    </xf>
    <xf numFmtId="179" fontId="21" fillId="0" borderId="31" xfId="47" applyNumberFormat="1" applyFont="1" applyBorder="1" applyAlignment="1">
      <alignment horizontal="center" vertical="center" wrapText="1"/>
    </xf>
    <xf numFmtId="179" fontId="21" fillId="0" borderId="30" xfId="47" applyNumberFormat="1" applyFont="1" applyBorder="1" applyAlignment="1">
      <alignment horizontal="center" vertical="center" wrapText="1"/>
    </xf>
    <xf numFmtId="179" fontId="21" fillId="0" borderId="63" xfId="47" applyNumberFormat="1" applyFont="1" applyBorder="1" applyAlignment="1">
      <alignment horizontal="center" vertical="center" wrapText="1"/>
    </xf>
    <xf numFmtId="0" fontId="21" fillId="0" borderId="64" xfId="47" applyNumberFormat="1" applyFont="1" applyBorder="1" applyAlignment="1">
      <alignment horizontal="center" vertical="center" wrapText="1"/>
    </xf>
    <xf numFmtId="0" fontId="21" fillId="0" borderId="63" xfId="47" applyNumberFormat="1" applyFont="1" applyBorder="1" applyAlignment="1">
      <alignment horizontal="center" vertical="center" wrapText="1"/>
    </xf>
    <xf numFmtId="178" fontId="21" fillId="0" borderId="31" xfId="47" applyNumberFormat="1" applyFont="1" applyBorder="1" applyAlignment="1">
      <alignment horizontal="center" vertical="center" wrapText="1"/>
    </xf>
    <xf numFmtId="0" fontId="21" fillId="0" borderId="64" xfId="47" applyNumberFormat="1" applyFont="1" applyBorder="1" applyAlignment="1">
      <alignment horizontal="left" vertical="center" wrapText="1"/>
    </xf>
    <xf numFmtId="0" fontId="21" fillId="0" borderId="30" xfId="47" applyNumberFormat="1" applyFont="1" applyBorder="1" applyAlignment="1">
      <alignment horizontal="left" vertical="center" wrapText="1"/>
    </xf>
    <xf numFmtId="0" fontId="21" fillId="0" borderId="63" xfId="47" applyNumberFormat="1" applyFont="1" applyBorder="1" applyAlignment="1">
      <alignment horizontal="left" vertical="center" wrapText="1"/>
    </xf>
    <xf numFmtId="0" fontId="21" fillId="26" borderId="65" xfId="47" applyFont="1" applyFill="1" applyBorder="1" applyAlignment="1">
      <alignment horizontal="center" vertical="center" wrapText="1"/>
    </xf>
    <xf numFmtId="0" fontId="8" fillId="25" borderId="11" xfId="53" applyFont="1" applyFill="1" applyBorder="1" applyAlignment="1">
      <alignment vertical="center"/>
    </xf>
    <xf numFmtId="0" fontId="8" fillId="25" borderId="14" xfId="53" applyFont="1" applyFill="1" applyBorder="1" applyAlignment="1">
      <alignment vertical="center"/>
    </xf>
    <xf numFmtId="0" fontId="8" fillId="25" borderId="12" xfId="53" applyFont="1" applyFill="1" applyBorder="1" applyAlignment="1">
      <alignment vertical="center"/>
    </xf>
    <xf numFmtId="0" fontId="31" fillId="0" borderId="0" xfId="53" applyFont="1" applyAlignment="1">
      <alignment vertical="center"/>
    </xf>
    <xf numFmtId="0" fontId="8" fillId="0" borderId="0" xfId="53" applyFont="1" applyAlignment="1">
      <alignment vertical="center"/>
    </xf>
    <xf numFmtId="0" fontId="31" fillId="27" borderId="14" xfId="53" applyFont="1" applyFill="1" applyBorder="1" applyAlignment="1">
      <alignment horizontal="center" vertical="center"/>
    </xf>
    <xf numFmtId="0" fontId="31" fillId="27" borderId="11" xfId="53" applyFont="1" applyFill="1" applyBorder="1" applyAlignment="1">
      <alignment vertical="center"/>
    </xf>
    <xf numFmtId="0" fontId="31" fillId="27" borderId="14" xfId="53" applyFont="1" applyFill="1" applyBorder="1" applyAlignment="1">
      <alignment vertical="center"/>
    </xf>
    <xf numFmtId="0" fontId="31" fillId="27" borderId="12" xfId="53" applyFont="1" applyFill="1" applyBorder="1" applyAlignment="1">
      <alignment vertical="center"/>
    </xf>
    <xf numFmtId="179" fontId="25" fillId="27" borderId="16" xfId="53" applyNumberFormat="1" applyFont="1" applyFill="1" applyBorder="1" applyAlignment="1">
      <alignment horizontal="center" vertical="center"/>
    </xf>
    <xf numFmtId="0" fontId="31" fillId="27" borderId="22" xfId="53" applyFont="1" applyFill="1" applyBorder="1" applyAlignment="1">
      <alignment vertical="center"/>
    </xf>
    <xf numFmtId="0" fontId="31" fillId="0" borderId="11" xfId="53" applyFont="1" applyBorder="1" applyAlignment="1">
      <alignment vertical="center"/>
    </xf>
    <xf numFmtId="0" fontId="31" fillId="0" borderId="14" xfId="53" applyFont="1" applyBorder="1" applyAlignment="1">
      <alignment vertical="center"/>
    </xf>
    <xf numFmtId="0" fontId="31" fillId="0" borderId="12" xfId="53" applyFont="1" applyBorder="1" applyAlignment="1">
      <alignment vertical="center"/>
    </xf>
    <xf numFmtId="178" fontId="31" fillId="0" borderId="16" xfId="53" applyNumberFormat="1" applyFont="1" applyBorder="1" applyAlignment="1">
      <alignment horizontal="right" vertical="center"/>
    </xf>
    <xf numFmtId="0" fontId="31" fillId="27" borderId="34" xfId="53" applyFont="1" applyFill="1" applyBorder="1" applyAlignment="1">
      <alignment vertical="center"/>
    </xf>
    <xf numFmtId="0" fontId="31" fillId="28" borderId="11" xfId="53" applyFont="1" applyFill="1" applyBorder="1" applyAlignment="1">
      <alignment vertical="center"/>
    </xf>
    <xf numFmtId="0" fontId="31" fillId="28" borderId="14" xfId="53" applyFont="1" applyFill="1" applyBorder="1" applyAlignment="1">
      <alignment vertical="center"/>
    </xf>
    <xf numFmtId="0" fontId="31" fillId="28" borderId="12" xfId="53" applyFont="1" applyFill="1" applyBorder="1" applyAlignment="1">
      <alignment vertical="center"/>
    </xf>
    <xf numFmtId="178" fontId="31" fillId="28" borderId="16" xfId="53" applyNumberFormat="1" applyFont="1" applyFill="1" applyBorder="1" applyAlignment="1">
      <alignment horizontal="right" vertical="center"/>
    </xf>
    <xf numFmtId="0" fontId="31" fillId="27" borderId="32" xfId="53" applyFont="1" applyFill="1" applyBorder="1" applyAlignment="1">
      <alignment vertical="center"/>
    </xf>
    <xf numFmtId="0" fontId="31" fillId="25" borderId="17" xfId="83" applyFont="1" applyFill="1" applyBorder="1" applyAlignment="1">
      <alignment horizontal="left" vertical="center"/>
    </xf>
    <xf numFmtId="0" fontId="31" fillId="25" borderId="58" xfId="49" applyFont="1" applyFill="1" applyBorder="1" applyAlignment="1">
      <alignment vertical="center"/>
    </xf>
    <xf numFmtId="0" fontId="31" fillId="25" borderId="33" xfId="83" applyFont="1" applyFill="1" applyBorder="1" applyAlignment="1">
      <alignment horizontal="center" vertical="top" textRotation="255" wrapText="1"/>
    </xf>
    <xf numFmtId="0" fontId="31" fillId="25" borderId="35" xfId="83" applyFont="1" applyFill="1" applyBorder="1" applyAlignment="1">
      <alignment horizontal="center" vertical="top" textRotation="255" wrapText="1"/>
    </xf>
    <xf numFmtId="0" fontId="31" fillId="25" borderId="36" xfId="83" applyFont="1" applyFill="1" applyBorder="1" applyAlignment="1">
      <alignment horizontal="center" vertical="top" textRotation="255"/>
    </xf>
    <xf numFmtId="0" fontId="31" fillId="25" borderId="21" xfId="83" applyFont="1" applyFill="1" applyBorder="1" applyAlignment="1">
      <alignment horizontal="center" vertical="top" textRotation="255"/>
    </xf>
    <xf numFmtId="0" fontId="34" fillId="25" borderId="66" xfId="49" applyFont="1" applyFill="1" applyBorder="1" applyAlignment="1">
      <alignment vertical="center"/>
    </xf>
    <xf numFmtId="0" fontId="31" fillId="25" borderId="43" xfId="83" applyFont="1" applyFill="1" applyBorder="1" applyAlignment="1">
      <alignment horizontal="left" vertical="center"/>
    </xf>
    <xf numFmtId="0" fontId="31" fillId="25" borderId="67" xfId="49" applyFont="1" applyFill="1" applyBorder="1" applyAlignment="1">
      <alignment vertical="center"/>
    </xf>
    <xf numFmtId="0" fontId="25" fillId="0" borderId="0" xfId="49" applyFont="1" applyBorder="1" applyAlignment="1">
      <alignment vertical="center"/>
    </xf>
    <xf numFmtId="0" fontId="25" fillId="0" borderId="68" xfId="49" applyFont="1" applyBorder="1" applyAlignment="1">
      <alignment vertical="center"/>
    </xf>
    <xf numFmtId="0" fontId="25" fillId="0" borderId="0" xfId="49" applyFont="1" applyAlignment="1">
      <alignment vertical="center"/>
    </xf>
    <xf numFmtId="0" fontId="23" fillId="25" borderId="22" xfId="49" applyFont="1" applyFill="1" applyBorder="1" applyAlignment="1">
      <alignment horizontal="center" vertical="center"/>
    </xf>
    <xf numFmtId="0" fontId="23" fillId="25" borderId="39" xfId="49" applyFont="1" applyFill="1" applyBorder="1" applyAlignment="1">
      <alignment horizontal="center" vertical="center"/>
    </xf>
    <xf numFmtId="0" fontId="23" fillId="25" borderId="41" xfId="49" applyFont="1" applyFill="1" applyBorder="1" applyAlignment="1">
      <alignment horizontal="center" vertical="center"/>
    </xf>
    <xf numFmtId="0" fontId="23" fillId="25" borderId="69" xfId="49" applyFont="1" applyFill="1" applyBorder="1" applyAlignment="1">
      <alignment horizontal="center" vertical="center"/>
    </xf>
    <xf numFmtId="0" fontId="23" fillId="25" borderId="40" xfId="49" applyFont="1" applyFill="1" applyBorder="1" applyAlignment="1">
      <alignment horizontal="center" vertical="center"/>
    </xf>
    <xf numFmtId="0" fontId="23" fillId="25" borderId="70" xfId="49" applyFont="1" applyFill="1" applyBorder="1" applyAlignment="1">
      <alignment horizontal="center" vertical="center"/>
    </xf>
    <xf numFmtId="0" fontId="23" fillId="25" borderId="71" xfId="49" applyFont="1" applyFill="1" applyBorder="1" applyAlignment="1">
      <alignment horizontal="center" vertical="center"/>
    </xf>
    <xf numFmtId="0" fontId="23" fillId="25" borderId="72" xfId="49" applyFont="1" applyFill="1" applyBorder="1" applyAlignment="1">
      <alignment horizontal="center" vertical="center"/>
    </xf>
    <xf numFmtId="0" fontId="23" fillId="25" borderId="47" xfId="49" applyFont="1" applyFill="1" applyBorder="1" applyAlignment="1">
      <alignment vertical="center"/>
    </xf>
    <xf numFmtId="0" fontId="25" fillId="25" borderId="52" xfId="49" applyFont="1" applyFill="1" applyBorder="1" applyAlignment="1">
      <alignment vertical="center"/>
    </xf>
    <xf numFmtId="187" fontId="23" fillId="0" borderId="49" xfId="49" applyNumberFormat="1" applyFont="1" applyBorder="1" applyAlignment="1">
      <alignment horizontal="center" vertical="center"/>
    </xf>
    <xf numFmtId="186" fontId="23" fillId="0" borderId="49" xfId="49" applyNumberFormat="1" applyFont="1" applyBorder="1" applyAlignment="1">
      <alignment horizontal="center" vertical="center"/>
    </xf>
    <xf numFmtId="186" fontId="23" fillId="0" borderId="47" xfId="49" applyNumberFormat="1" applyFont="1" applyBorder="1" applyAlignment="1">
      <alignment horizontal="center" vertical="center"/>
    </xf>
    <xf numFmtId="186" fontId="23" fillId="0" borderId="48" xfId="49" applyNumberFormat="1" applyFont="1" applyBorder="1" applyAlignment="1">
      <alignment horizontal="center" vertical="center"/>
    </xf>
    <xf numFmtId="186" fontId="23" fillId="0" borderId="52" xfId="49" applyNumberFormat="1" applyFont="1" applyBorder="1" applyAlignment="1">
      <alignment horizontal="center" vertical="center"/>
    </xf>
    <xf numFmtId="0" fontId="23" fillId="25" borderId="24" xfId="49" applyFont="1" applyFill="1" applyBorder="1" applyAlignment="1">
      <alignment vertical="center"/>
    </xf>
    <xf numFmtId="0" fontId="25" fillId="25" borderId="26" xfId="49" applyFont="1" applyFill="1" applyBorder="1" applyAlignment="1">
      <alignment vertical="center"/>
    </xf>
    <xf numFmtId="187" fontId="23" fillId="0" borderId="27" xfId="49" applyNumberFormat="1" applyFont="1" applyBorder="1" applyAlignment="1">
      <alignment horizontal="center" vertical="center"/>
    </xf>
    <xf numFmtId="186" fontId="23" fillId="0" borderId="27" xfId="49" applyNumberFormat="1" applyFont="1" applyBorder="1" applyAlignment="1">
      <alignment horizontal="center" vertical="center"/>
    </xf>
    <xf numFmtId="186" fontId="23" fillId="0" borderId="24" xfId="49" applyNumberFormat="1" applyFont="1" applyBorder="1" applyAlignment="1">
      <alignment horizontal="center" vertical="center"/>
    </xf>
    <xf numFmtId="186" fontId="23" fillId="0" borderId="25" xfId="49" applyNumberFormat="1" applyFont="1" applyBorder="1" applyAlignment="1">
      <alignment horizontal="center" vertical="center"/>
    </xf>
    <xf numFmtId="186" fontId="23" fillId="0" borderId="26" xfId="49" applyNumberFormat="1" applyFont="1" applyBorder="1" applyAlignment="1">
      <alignment horizontal="center" vertical="center"/>
    </xf>
    <xf numFmtId="0" fontId="23" fillId="25" borderId="53" xfId="49" applyFont="1" applyFill="1" applyBorder="1" applyAlignment="1">
      <alignment vertical="center"/>
    </xf>
    <xf numFmtId="0" fontId="25" fillId="25" borderId="58" xfId="49" applyFont="1" applyFill="1" applyBorder="1" applyAlignment="1">
      <alignment vertical="center"/>
    </xf>
    <xf numFmtId="187" fontId="23" fillId="0" borderId="55" xfId="49" applyNumberFormat="1" applyFont="1" applyBorder="1" applyAlignment="1">
      <alignment horizontal="center" vertical="center"/>
    </xf>
    <xf numFmtId="186" fontId="23" fillId="0" borderId="55" xfId="49" applyNumberFormat="1" applyFont="1" applyBorder="1" applyAlignment="1">
      <alignment horizontal="center" vertical="center"/>
    </xf>
    <xf numFmtId="186" fontId="23" fillId="0" borderId="53" xfId="49" applyNumberFormat="1" applyFont="1" applyBorder="1" applyAlignment="1">
      <alignment horizontal="center" vertical="center"/>
    </xf>
    <xf numFmtId="186" fontId="23" fillId="0" borderId="54" xfId="49" applyNumberFormat="1" applyFont="1" applyBorder="1" applyAlignment="1">
      <alignment horizontal="center" vertical="center"/>
    </xf>
    <xf numFmtId="186" fontId="23" fillId="0" borderId="58" xfId="49" applyNumberFormat="1" applyFont="1" applyBorder="1" applyAlignment="1">
      <alignment horizontal="center" vertical="center"/>
    </xf>
    <xf numFmtId="0" fontId="23" fillId="0" borderId="0" xfId="49" applyFont="1" applyAlignment="1">
      <alignment vertical="center"/>
    </xf>
    <xf numFmtId="0" fontId="23" fillId="25" borderId="70" xfId="85" applyFont="1" applyFill="1" applyBorder="1" applyAlignment="1">
      <alignment horizontal="left"/>
    </xf>
    <xf numFmtId="0" fontId="23" fillId="25" borderId="72" xfId="85" applyFont="1" applyFill="1" applyBorder="1" applyAlignment="1">
      <alignment vertical="center"/>
    </xf>
    <xf numFmtId="0" fontId="23" fillId="25" borderId="71" xfId="85" applyFont="1" applyFill="1" applyBorder="1" applyAlignment="1">
      <alignment horizontal="right" vertical="top"/>
    </xf>
    <xf numFmtId="0" fontId="35" fillId="25" borderId="70" xfId="84" applyFont="1" applyFill="1" applyBorder="1" applyAlignment="1">
      <alignment horizontal="center" vertical="center" wrapText="1"/>
    </xf>
    <xf numFmtId="0" fontId="25" fillId="0" borderId="68" xfId="85" applyFont="1" applyFill="1" applyBorder="1" applyAlignment="1">
      <alignment horizontal="center" vertical="top" textRotation="255"/>
    </xf>
    <xf numFmtId="0" fontId="25" fillId="0" borderId="0" xfId="85" applyFont="1" applyFill="1" applyBorder="1" applyAlignment="1">
      <alignment horizontal="center" vertical="top" textRotation="255"/>
    </xf>
    <xf numFmtId="0" fontId="23" fillId="25" borderId="73" xfId="49" applyFont="1" applyFill="1" applyBorder="1" applyAlignment="1">
      <alignment vertical="center"/>
    </xf>
    <xf numFmtId="0" fontId="23" fillId="25" borderId="74" xfId="49" applyFont="1" applyFill="1" applyBorder="1" applyAlignment="1">
      <alignment vertical="center"/>
    </xf>
    <xf numFmtId="0" fontId="23" fillId="25" borderId="75" xfId="49" applyFont="1" applyFill="1" applyBorder="1" applyAlignment="1">
      <alignment vertical="center"/>
    </xf>
    <xf numFmtId="178" fontId="23" fillId="0" borderId="47" xfId="85" applyNumberFormat="1" applyFont="1" applyFill="1" applyBorder="1" applyAlignment="1">
      <alignment horizontal="center" vertical="center"/>
    </xf>
    <xf numFmtId="178" fontId="25" fillId="0" borderId="68" xfId="85" applyNumberFormat="1" applyFont="1" applyFill="1" applyBorder="1" applyAlignment="1">
      <alignment horizontal="right" vertical="center"/>
    </xf>
    <xf numFmtId="178" fontId="25" fillId="0" borderId="0" xfId="85" applyNumberFormat="1" applyFont="1" applyFill="1" applyBorder="1" applyAlignment="1">
      <alignment horizontal="right" vertical="center"/>
    </xf>
    <xf numFmtId="0" fontId="23" fillId="25" borderId="25" xfId="85" applyFont="1" applyFill="1" applyBorder="1" applyAlignment="1">
      <alignment horizontal="left" vertical="center"/>
    </xf>
    <xf numFmtId="0" fontId="23" fillId="25" borderId="26" xfId="49" applyFont="1" applyFill="1" applyBorder="1" applyAlignment="1">
      <alignment vertical="center"/>
    </xf>
    <xf numFmtId="178" fontId="23" fillId="0" borderId="24" xfId="85" applyNumberFormat="1" applyFont="1" applyFill="1" applyBorder="1" applyAlignment="1">
      <alignment horizontal="center" vertical="center"/>
    </xf>
    <xf numFmtId="0" fontId="23" fillId="25" borderId="76" xfId="85" applyFont="1" applyFill="1" applyBorder="1" applyAlignment="1">
      <alignment horizontal="left" vertical="center"/>
    </xf>
    <xf numFmtId="0" fontId="23" fillId="25" borderId="77" xfId="49" applyFont="1" applyFill="1" applyBorder="1" applyAlignment="1">
      <alignment vertical="center"/>
    </xf>
    <xf numFmtId="0" fontId="23" fillId="25" borderId="78" xfId="49" applyFont="1" applyFill="1" applyBorder="1" applyAlignment="1">
      <alignment vertical="center"/>
    </xf>
    <xf numFmtId="0" fontId="23" fillId="25" borderId="79" xfId="85" applyFont="1" applyFill="1" applyBorder="1" applyAlignment="1">
      <alignment horizontal="left" vertical="center"/>
    </xf>
    <xf numFmtId="0" fontId="23" fillId="25" borderId="80" xfId="49" applyFont="1" applyFill="1" applyBorder="1" applyAlignment="1">
      <alignment vertical="center"/>
    </xf>
    <xf numFmtId="0" fontId="23" fillId="25" borderId="81" xfId="49" applyFont="1" applyFill="1" applyBorder="1" applyAlignment="1">
      <alignment vertical="center"/>
    </xf>
    <xf numFmtId="0" fontId="23" fillId="25" borderId="24" xfId="85" applyFont="1" applyFill="1" applyBorder="1" applyAlignment="1">
      <alignment horizontal="left" vertical="center"/>
    </xf>
    <xf numFmtId="0" fontId="23" fillId="25" borderId="25" xfId="49" applyFont="1" applyFill="1" applyBorder="1" applyAlignment="1">
      <alignment vertical="center"/>
    </xf>
    <xf numFmtId="178" fontId="23" fillId="0" borderId="43" xfId="85" applyNumberFormat="1" applyFont="1" applyFill="1" applyBorder="1" applyAlignment="1">
      <alignment horizontal="center" vertical="center"/>
    </xf>
    <xf numFmtId="178" fontId="23" fillId="29" borderId="79" xfId="85" applyNumberFormat="1" applyFont="1" applyFill="1" applyBorder="1" applyAlignment="1">
      <alignment horizontal="center" vertical="center"/>
    </xf>
    <xf numFmtId="0" fontId="31" fillId="0" borderId="0" xfId="54" applyFont="1" applyAlignment="1">
      <alignment vertical="center"/>
    </xf>
    <xf numFmtId="0" fontId="8" fillId="0" borderId="82" xfId="50" applyFont="1" applyBorder="1" applyAlignment="1">
      <alignment horizontal="center" vertical="center"/>
    </xf>
    <xf numFmtId="0" fontId="8" fillId="0" borderId="83" xfId="50" applyFont="1" applyBorder="1" applyAlignment="1">
      <alignment horizontal="center" vertical="center"/>
    </xf>
    <xf numFmtId="0" fontId="31" fillId="0" borderId="0" xfId="50" applyFont="1" applyAlignment="1">
      <alignment vertical="center"/>
    </xf>
    <xf numFmtId="0" fontId="8" fillId="0" borderId="84" xfId="50" applyFont="1" applyBorder="1" applyAlignment="1">
      <alignment horizontal="center" vertical="center"/>
    </xf>
    <xf numFmtId="0" fontId="8" fillId="0" borderId="85" xfId="50" applyFont="1" applyBorder="1" applyAlignment="1">
      <alignment horizontal="center" vertical="center"/>
    </xf>
    <xf numFmtId="0" fontId="8" fillId="0" borderId="11" xfId="50" applyFont="1" applyBorder="1" applyAlignment="1">
      <alignment horizontal="center" vertical="center"/>
    </xf>
    <xf numFmtId="0" fontId="8" fillId="0" borderId="12" xfId="50" applyFont="1" applyBorder="1" applyAlignment="1">
      <alignment horizontal="center" vertical="center"/>
    </xf>
    <xf numFmtId="0" fontId="8" fillId="0" borderId="14" xfId="50" applyFont="1" applyBorder="1" applyAlignment="1">
      <alignment horizontal="center" vertical="center"/>
    </xf>
    <xf numFmtId="0" fontId="8" fillId="0" borderId="0" xfId="50" applyFont="1" applyBorder="1" applyAlignment="1">
      <alignment horizontal="center" vertical="center"/>
    </xf>
    <xf numFmtId="176" fontId="8" fillId="0" borderId="0" xfId="50" applyNumberFormat="1" applyFont="1" applyBorder="1" applyAlignment="1">
      <alignment horizontal="center" vertical="center"/>
    </xf>
    <xf numFmtId="0" fontId="31" fillId="0" borderId="0" xfId="51" applyFont="1" applyAlignment="1">
      <alignment vertical="center"/>
    </xf>
    <xf numFmtId="0" fontId="31" fillId="0" borderId="0" xfId="55" applyFont="1" applyBorder="1" applyAlignment="1">
      <alignment vertical="center"/>
    </xf>
    <xf numFmtId="0" fontId="31" fillId="0" borderId="0" xfId="55" applyFont="1" applyAlignment="1">
      <alignment vertical="center"/>
    </xf>
    <xf numFmtId="0" fontId="31" fillId="0" borderId="0" xfId="50" applyFont="1" applyBorder="1" applyAlignment="1">
      <alignment vertical="center"/>
    </xf>
    <xf numFmtId="0" fontId="31" fillId="27" borderId="86" xfId="61" applyFont="1" applyFill="1" applyBorder="1" applyAlignment="1">
      <alignment horizontal="center" vertical="center" wrapText="1"/>
    </xf>
    <xf numFmtId="0" fontId="31" fillId="27" borderId="87" xfId="61" applyFont="1" applyFill="1" applyBorder="1" applyAlignment="1">
      <alignment horizontal="center" vertical="center" wrapText="1"/>
    </xf>
    <xf numFmtId="0" fontId="31" fillId="27" borderId="12" xfId="61" applyFont="1" applyFill="1" applyBorder="1" applyAlignment="1">
      <alignment vertical="center" wrapText="1"/>
    </xf>
    <xf numFmtId="0" fontId="0" fillId="24" borderId="0" xfId="0" applyFill="1"/>
    <xf numFmtId="0" fontId="39" fillId="24" borderId="0" xfId="0" applyFont="1" applyFill="1" applyAlignment="1">
      <alignment vertical="center"/>
    </xf>
    <xf numFmtId="0" fontId="37" fillId="24" borderId="0" xfId="0" applyFont="1" applyFill="1"/>
    <xf numFmtId="0" fontId="0" fillId="24" borderId="0" xfId="0" applyFill="1" applyBorder="1"/>
    <xf numFmtId="0" fontId="40" fillId="24" borderId="0" xfId="0" applyFont="1" applyFill="1" applyBorder="1"/>
    <xf numFmtId="0" fontId="0" fillId="24" borderId="0" xfId="0" applyFill="1" applyBorder="1" applyAlignment="1">
      <alignment vertical="center"/>
    </xf>
    <xf numFmtId="0" fontId="0" fillId="24" borderId="0" xfId="0" applyFill="1" applyAlignment="1">
      <alignment vertical="center"/>
    </xf>
    <xf numFmtId="0" fontId="40" fillId="24" borderId="0" xfId="0" applyFont="1" applyFill="1" applyBorder="1" applyAlignment="1">
      <alignment horizontal="left" vertical="center"/>
    </xf>
    <xf numFmtId="0" fontId="30" fillId="24" borderId="0" xfId="0" applyFont="1" applyFill="1" applyBorder="1" applyAlignment="1">
      <alignment vertical="center"/>
    </xf>
    <xf numFmtId="0" fontId="26" fillId="24" borderId="0" xfId="0" applyFont="1" applyFill="1"/>
    <xf numFmtId="0" fontId="0" fillId="24" borderId="88" xfId="0" applyFill="1" applyBorder="1"/>
    <xf numFmtId="0" fontId="24" fillId="24" borderId="0" xfId="0" applyFont="1" applyFill="1"/>
    <xf numFmtId="0" fontId="8" fillId="24" borderId="0" xfId="0" applyFont="1" applyFill="1"/>
    <xf numFmtId="0" fontId="26" fillId="24" borderId="0" xfId="0" applyFont="1" applyFill="1" applyBorder="1"/>
    <xf numFmtId="0" fontId="8" fillId="24" borderId="0" xfId="0" applyFont="1" applyFill="1" applyBorder="1"/>
    <xf numFmtId="0" fontId="42" fillId="24" borderId="0" xfId="0" applyFont="1" applyFill="1" applyBorder="1"/>
    <xf numFmtId="0" fontId="42" fillId="24" borderId="0" xfId="0" applyFont="1" applyFill="1"/>
    <xf numFmtId="0" fontId="31" fillId="24" borderId="0" xfId="0" applyFont="1" applyFill="1" applyBorder="1"/>
    <xf numFmtId="0" fontId="28" fillId="24" borderId="0" xfId="0" applyFont="1" applyFill="1"/>
    <xf numFmtId="0" fontId="0" fillId="0" borderId="0" xfId="0" applyFill="1"/>
    <xf numFmtId="14" fontId="0" fillId="0" borderId="0" xfId="0" applyNumberFormat="1" applyBorder="1" applyAlignment="1">
      <alignment vertical="center" wrapText="1"/>
    </xf>
    <xf numFmtId="176" fontId="0" fillId="0" borderId="0" xfId="0" applyNumberFormat="1" applyBorder="1" applyAlignment="1">
      <alignment vertical="center" wrapText="1"/>
    </xf>
    <xf numFmtId="0" fontId="0" fillId="0" borderId="0" xfId="0" applyFill="1" applyBorder="1" applyAlignment="1">
      <alignment vertical="center" wrapText="1"/>
    </xf>
    <xf numFmtId="0" fontId="21" fillId="0" borderId="0" xfId="0" applyFont="1"/>
    <xf numFmtId="14" fontId="0" fillId="0" borderId="0" xfId="0" applyNumberFormat="1" applyBorder="1" applyAlignment="1">
      <alignment horizontal="center" vertical="center" wrapText="1"/>
    </xf>
    <xf numFmtId="180" fontId="0" fillId="0" borderId="0" xfId="0" applyNumberFormat="1" applyBorder="1" applyAlignment="1">
      <alignment horizontal="center" vertical="center" wrapText="1"/>
    </xf>
    <xf numFmtId="0" fontId="9" fillId="24" borderId="0" xfId="30" applyFill="1" applyAlignment="1" applyProtection="1"/>
    <xf numFmtId="0" fontId="31" fillId="25" borderId="17" xfId="87" applyFont="1" applyFill="1" applyBorder="1" applyAlignment="1">
      <alignment vertical="center"/>
    </xf>
    <xf numFmtId="0" fontId="31" fillId="25" borderId="15" xfId="87" applyFont="1" applyFill="1" applyBorder="1" applyAlignment="1">
      <alignment vertical="center"/>
    </xf>
    <xf numFmtId="0" fontId="31" fillId="25" borderId="18" xfId="87" applyFont="1" applyFill="1" applyBorder="1" applyAlignment="1">
      <alignment horizontal="right" vertical="center"/>
    </xf>
    <xf numFmtId="0" fontId="31" fillId="25" borderId="13" xfId="87" applyFont="1" applyFill="1" applyBorder="1" applyAlignment="1">
      <alignment vertical="center"/>
    </xf>
    <xf numFmtId="0" fontId="31" fillId="25" borderId="0" xfId="87" applyFont="1" applyFill="1" applyBorder="1" applyAlignment="1">
      <alignment vertical="center"/>
    </xf>
    <xf numFmtId="0" fontId="31" fillId="25" borderId="23" xfId="87" applyFont="1" applyFill="1" applyBorder="1" applyAlignment="1">
      <alignment vertical="center"/>
    </xf>
    <xf numFmtId="0" fontId="31" fillId="25" borderId="29" xfId="87" applyFont="1" applyFill="1" applyBorder="1" applyAlignment="1">
      <alignment vertical="center"/>
    </xf>
    <xf numFmtId="0" fontId="31" fillId="25" borderId="30" xfId="87" applyFont="1" applyFill="1" applyBorder="1" applyAlignment="1">
      <alignment vertical="center"/>
    </xf>
    <xf numFmtId="0" fontId="31" fillId="25" borderId="31" xfId="87" applyFont="1" applyFill="1" applyBorder="1" applyAlignment="1">
      <alignment vertical="center"/>
    </xf>
    <xf numFmtId="0" fontId="31" fillId="25" borderId="24" xfId="87" applyFont="1" applyFill="1" applyBorder="1" applyAlignment="1">
      <alignment horizontal="left" vertical="center"/>
    </xf>
    <xf numFmtId="178" fontId="31" fillId="0" borderId="89" xfId="87" applyNumberFormat="1" applyFont="1" applyFill="1" applyBorder="1" applyAlignment="1">
      <alignment horizontal="right" vertical="center"/>
    </xf>
    <xf numFmtId="178" fontId="31" fillId="0" borderId="90" xfId="87" applyNumberFormat="1" applyFont="1" applyFill="1" applyBorder="1" applyAlignment="1">
      <alignment horizontal="right" vertical="center"/>
    </xf>
    <xf numFmtId="178" fontId="31" fillId="0" borderId="91" xfId="87" applyNumberFormat="1" applyFont="1" applyFill="1" applyBorder="1" applyAlignment="1">
      <alignment horizontal="right" vertical="center"/>
    </xf>
    <xf numFmtId="178" fontId="31" fillId="0" borderId="75" xfId="87" applyNumberFormat="1" applyFont="1" applyFill="1" applyBorder="1" applyAlignment="1">
      <alignment horizontal="right" vertical="center"/>
    </xf>
    <xf numFmtId="178" fontId="31" fillId="0" borderId="27" xfId="87" applyNumberFormat="1" applyFont="1" applyFill="1" applyBorder="1" applyAlignment="1">
      <alignment horizontal="right" vertical="center"/>
    </xf>
    <xf numFmtId="178" fontId="31" fillId="0" borderId="37" xfId="87" applyNumberFormat="1" applyFont="1" applyFill="1" applyBorder="1" applyAlignment="1">
      <alignment horizontal="right" vertical="center"/>
    </xf>
    <xf numFmtId="178" fontId="31" fillId="0" borderId="38" xfId="87" applyNumberFormat="1" applyFont="1" applyFill="1" applyBorder="1" applyAlignment="1">
      <alignment horizontal="right" vertical="center"/>
    </xf>
    <xf numFmtId="0" fontId="31" fillId="25" borderId="43" xfId="87" applyFont="1" applyFill="1" applyBorder="1" applyAlignment="1">
      <alignment horizontal="left" vertical="center"/>
    </xf>
    <xf numFmtId="178" fontId="31" fillId="0" borderId="42" xfId="87" applyNumberFormat="1" applyFont="1" applyFill="1" applyBorder="1" applyAlignment="1">
      <alignment horizontal="right" vertical="center"/>
    </xf>
    <xf numFmtId="178" fontId="31" fillId="0" borderId="44" xfId="87" applyNumberFormat="1" applyFont="1" applyFill="1" applyBorder="1" applyAlignment="1">
      <alignment horizontal="right" vertical="center"/>
    </xf>
    <xf numFmtId="178" fontId="31" fillId="0" borderId="45" xfId="87" applyNumberFormat="1" applyFont="1" applyFill="1" applyBorder="1" applyAlignment="1">
      <alignment horizontal="right" vertical="center"/>
    </xf>
    <xf numFmtId="178" fontId="31" fillId="0" borderId="46" xfId="87" applyNumberFormat="1" applyFont="1" applyFill="1" applyBorder="1" applyAlignment="1">
      <alignment horizontal="right" vertical="center"/>
    </xf>
    <xf numFmtId="0" fontId="31" fillId="25" borderId="47" xfId="87" applyFont="1" applyFill="1" applyBorder="1" applyAlignment="1">
      <alignment horizontal="left" vertical="center"/>
    </xf>
    <xf numFmtId="178" fontId="31" fillId="0" borderId="49" xfId="87" applyNumberFormat="1" applyFont="1" applyFill="1" applyBorder="1" applyAlignment="1">
      <alignment horizontal="right" vertical="center"/>
    </xf>
    <xf numFmtId="178" fontId="31" fillId="0" borderId="50" xfId="87" applyNumberFormat="1" applyFont="1" applyFill="1" applyBorder="1" applyAlignment="1">
      <alignment horizontal="right" vertical="center"/>
    </xf>
    <xf numFmtId="178" fontId="31" fillId="0" borderId="51" xfId="87" applyNumberFormat="1" applyFont="1" applyFill="1" applyBorder="1" applyAlignment="1">
      <alignment horizontal="right" vertical="center"/>
    </xf>
    <xf numFmtId="178" fontId="31" fillId="0" borderId="52" xfId="87" applyNumberFormat="1" applyFont="1" applyFill="1" applyBorder="1" applyAlignment="1">
      <alignment horizontal="right" vertical="center"/>
    </xf>
    <xf numFmtId="0" fontId="31" fillId="25" borderId="53" xfId="87" applyFont="1" applyFill="1" applyBorder="1" applyAlignment="1">
      <alignment horizontal="left" vertical="center"/>
    </xf>
    <xf numFmtId="178" fontId="31" fillId="0" borderId="55" xfId="87" applyNumberFormat="1" applyFont="1" applyFill="1" applyBorder="1" applyAlignment="1">
      <alignment horizontal="right" vertical="center"/>
    </xf>
    <xf numFmtId="178" fontId="31" fillId="0" borderId="56" xfId="87" applyNumberFormat="1" applyFont="1" applyFill="1" applyBorder="1" applyAlignment="1">
      <alignment horizontal="right" vertical="center"/>
    </xf>
    <xf numFmtId="178" fontId="31" fillId="0" borderId="57" xfId="87" applyNumberFormat="1" applyFont="1" applyFill="1" applyBorder="1" applyAlignment="1">
      <alignment horizontal="right" vertical="center"/>
    </xf>
    <xf numFmtId="177" fontId="31" fillId="0" borderId="58" xfId="87" applyNumberFormat="1" applyFont="1" applyFill="1" applyBorder="1" applyAlignment="1">
      <alignment horizontal="right" vertical="center"/>
    </xf>
    <xf numFmtId="0" fontId="31" fillId="25" borderId="17" xfId="87" applyFont="1" applyFill="1" applyBorder="1" applyAlignment="1">
      <alignment horizontal="left" vertical="center"/>
    </xf>
    <xf numFmtId="0" fontId="31" fillId="25" borderId="33" xfId="87" applyFont="1" applyFill="1" applyBorder="1" applyAlignment="1">
      <alignment horizontal="center" vertical="top" textRotation="255" wrapText="1"/>
    </xf>
    <xf numFmtId="0" fontId="31" fillId="25" borderId="36" xfId="87" applyFont="1" applyFill="1" applyBorder="1" applyAlignment="1">
      <alignment horizontal="center" vertical="top" textRotation="255"/>
    </xf>
    <xf numFmtId="0" fontId="31" fillId="25" borderId="21" xfId="87" applyFont="1" applyFill="1" applyBorder="1" applyAlignment="1">
      <alignment horizontal="center" vertical="top" textRotation="255"/>
    </xf>
    <xf numFmtId="178" fontId="31" fillId="0" borderId="26" xfId="87" applyNumberFormat="1" applyFont="1" applyFill="1" applyBorder="1" applyAlignment="1">
      <alignment horizontal="right" vertical="center"/>
    </xf>
    <xf numFmtId="0" fontId="31" fillId="25" borderId="25" xfId="87" applyFont="1" applyFill="1" applyBorder="1" applyAlignment="1">
      <alignment horizontal="left" vertical="center"/>
    </xf>
    <xf numFmtId="0" fontId="30" fillId="0" borderId="0" xfId="56" applyFont="1" applyAlignment="1">
      <alignment horizontal="center" vertical="center"/>
    </xf>
    <xf numFmtId="0" fontId="21" fillId="0" borderId="0" xfId="56" applyFont="1"/>
    <xf numFmtId="0" fontId="21" fillId="0" borderId="0" xfId="56" applyFont="1" applyAlignment="1">
      <alignment horizontal="center"/>
    </xf>
    <xf numFmtId="49" fontId="21" fillId="0" borderId="0" xfId="56" applyNumberFormat="1" applyFont="1" applyAlignment="1">
      <alignment horizontal="center"/>
    </xf>
    <xf numFmtId="0" fontId="29" fillId="30" borderId="92" xfId="56" applyFont="1" applyFill="1" applyBorder="1" applyAlignment="1">
      <alignment horizontal="center"/>
    </xf>
    <xf numFmtId="0" fontId="29" fillId="31" borderId="93" xfId="56" applyFont="1" applyFill="1" applyBorder="1" applyAlignment="1">
      <alignment horizontal="center"/>
    </xf>
    <xf numFmtId="0" fontId="29" fillId="32" borderId="94" xfId="56" applyFont="1" applyFill="1" applyBorder="1" applyAlignment="1">
      <alignment horizontal="center"/>
    </xf>
    <xf numFmtId="0" fontId="29" fillId="32" borderId="95" xfId="56" applyFont="1" applyFill="1" applyBorder="1" applyAlignment="1">
      <alignment horizontal="center"/>
    </xf>
    <xf numFmtId="49" fontId="29" fillId="32" borderId="96" xfId="56" applyNumberFormat="1" applyFont="1" applyFill="1" applyBorder="1" applyAlignment="1">
      <alignment horizontal="center"/>
    </xf>
    <xf numFmtId="0" fontId="29" fillId="32" borderId="96" xfId="56" applyFont="1" applyFill="1" applyBorder="1" applyAlignment="1">
      <alignment horizontal="center"/>
    </xf>
    <xf numFmtId="0" fontId="29" fillId="0" borderId="0" xfId="56" applyFont="1"/>
    <xf numFmtId="0" fontId="29" fillId="30" borderId="97" xfId="56" applyFont="1" applyFill="1" applyBorder="1" applyAlignment="1">
      <alignment horizontal="center"/>
    </xf>
    <xf numFmtId="0" fontId="29" fillId="31" borderId="98" xfId="56" applyFont="1" applyFill="1" applyBorder="1" applyAlignment="1">
      <alignment horizontal="center"/>
    </xf>
    <xf numFmtId="0" fontId="29" fillId="33" borderId="0" xfId="56" applyFont="1" applyFill="1" applyBorder="1" applyAlignment="1">
      <alignment horizontal="center"/>
    </xf>
    <xf numFmtId="0" fontId="29" fillId="33" borderId="99" xfId="56" applyFont="1" applyFill="1" applyBorder="1" applyAlignment="1">
      <alignment horizontal="center"/>
    </xf>
    <xf numFmtId="0" fontId="29" fillId="34" borderId="100" xfId="56" applyFont="1" applyFill="1" applyBorder="1" applyAlignment="1">
      <alignment horizontal="center"/>
    </xf>
    <xf numFmtId="0" fontId="29" fillId="34" borderId="99" xfId="56" applyFont="1" applyFill="1" applyBorder="1" applyAlignment="1">
      <alignment horizontal="center" vertical="center"/>
    </xf>
    <xf numFmtId="0" fontId="29" fillId="34" borderId="101" xfId="56" applyFont="1" applyFill="1" applyBorder="1" applyAlignment="1">
      <alignment horizontal="center" vertical="center"/>
    </xf>
    <xf numFmtId="0" fontId="29" fillId="34" borderId="102" xfId="56" applyFont="1" applyFill="1" applyBorder="1" applyAlignment="1">
      <alignment horizontal="center" vertical="center"/>
    </xf>
    <xf numFmtId="0" fontId="29" fillId="35" borderId="100" xfId="56" applyFont="1" applyFill="1" applyBorder="1" applyAlignment="1">
      <alignment horizontal="center" vertical="top"/>
    </xf>
    <xf numFmtId="0" fontId="29" fillId="35" borderId="103" xfId="56" applyFont="1" applyFill="1" applyBorder="1" applyAlignment="1">
      <alignment horizontal="center" vertical="top"/>
    </xf>
    <xf numFmtId="0" fontId="29" fillId="35" borderId="99" xfId="56" applyFont="1" applyFill="1" applyBorder="1" applyAlignment="1">
      <alignment horizontal="center" vertical="top"/>
    </xf>
    <xf numFmtId="0" fontId="29" fillId="35" borderId="104" xfId="56" applyFont="1" applyFill="1" applyBorder="1" applyAlignment="1">
      <alignment horizontal="center" vertical="top"/>
    </xf>
    <xf numFmtId="0" fontId="29" fillId="35" borderId="102" xfId="56" applyFont="1" applyFill="1" applyBorder="1" applyAlignment="1">
      <alignment horizontal="center" vertical="top"/>
    </xf>
    <xf numFmtId="0" fontId="29" fillId="36" borderId="105" xfId="56" applyFont="1" applyFill="1" applyBorder="1" applyAlignment="1">
      <alignment horizontal="center"/>
    </xf>
    <xf numFmtId="0" fontId="29" fillId="36" borderId="101" xfId="56" applyFont="1" applyFill="1" applyBorder="1" applyAlignment="1">
      <alignment horizontal="center" vertical="center"/>
    </xf>
    <xf numFmtId="0" fontId="29" fillId="36" borderId="104" xfId="56" applyFont="1" applyFill="1" applyBorder="1" applyAlignment="1">
      <alignment horizontal="center"/>
    </xf>
    <xf numFmtId="0" fontId="29" fillId="36" borderId="99" xfId="56" applyFont="1" applyFill="1" applyBorder="1" applyAlignment="1">
      <alignment horizontal="center" vertical="center"/>
    </xf>
    <xf numFmtId="0" fontId="29" fillId="36" borderId="104" xfId="56" applyFont="1" applyFill="1" applyBorder="1" applyAlignment="1">
      <alignment horizontal="center" vertical="center"/>
    </xf>
    <xf numFmtId="0" fontId="29" fillId="36" borderId="99" xfId="56" applyFont="1" applyFill="1" applyBorder="1" applyAlignment="1">
      <alignment horizontal="center" vertical="top"/>
    </xf>
    <xf numFmtId="0" fontId="29" fillId="37" borderId="100" xfId="56" applyFont="1" applyFill="1" applyBorder="1" applyAlignment="1">
      <alignment horizontal="center"/>
    </xf>
    <xf numFmtId="0" fontId="29" fillId="37" borderId="103" xfId="56" applyFont="1" applyFill="1" applyBorder="1" applyAlignment="1">
      <alignment horizontal="center"/>
    </xf>
    <xf numFmtId="0" fontId="29" fillId="32" borderId="106" xfId="56" applyFont="1" applyFill="1" applyBorder="1" applyAlignment="1">
      <alignment horizontal="center"/>
    </xf>
    <xf numFmtId="49" fontId="29" fillId="32" borderId="95" xfId="56" applyNumberFormat="1" applyFont="1" applyFill="1" applyBorder="1" applyAlignment="1">
      <alignment horizontal="center"/>
    </xf>
    <xf numFmtId="0" fontId="29" fillId="30" borderId="107" xfId="56" applyFont="1" applyFill="1" applyBorder="1" applyAlignment="1">
      <alignment horizontal="center" vertical="center"/>
    </xf>
    <xf numFmtId="0" fontId="29" fillId="31" borderId="108" xfId="56" applyFont="1" applyFill="1" applyBorder="1" applyAlignment="1">
      <alignment horizontal="center" vertical="center"/>
    </xf>
    <xf numFmtId="0" fontId="29" fillId="33" borderId="30" xfId="56" applyFont="1" applyFill="1" applyBorder="1" applyAlignment="1">
      <alignment horizontal="center" vertical="center"/>
    </xf>
    <xf numFmtId="0" fontId="29" fillId="33" borderId="109" xfId="56" applyFont="1" applyFill="1" applyBorder="1" applyAlignment="1">
      <alignment horizontal="center" vertical="center"/>
    </xf>
    <xf numFmtId="0" fontId="29" fillId="32" borderId="109" xfId="56" applyFont="1" applyFill="1" applyBorder="1" applyAlignment="1">
      <alignment horizontal="center" vertical="center"/>
    </xf>
    <xf numFmtId="0" fontId="29" fillId="33" borderId="110" xfId="56" applyFont="1" applyFill="1" applyBorder="1" applyAlignment="1">
      <alignment horizontal="center" vertical="center"/>
    </xf>
    <xf numFmtId="0" fontId="29" fillId="34" borderId="111" xfId="56" applyFont="1" applyFill="1" applyBorder="1" applyAlignment="1">
      <alignment horizontal="center" vertical="center"/>
    </xf>
    <xf numFmtId="0" fontId="29" fillId="34" borderId="109" xfId="56" applyFont="1" applyFill="1" applyBorder="1" applyAlignment="1">
      <alignment horizontal="center" vertical="center"/>
    </xf>
    <xf numFmtId="0" fontId="29" fillId="32" borderId="112" xfId="56" applyFont="1" applyFill="1" applyBorder="1" applyAlignment="1">
      <alignment horizontal="center" vertical="center"/>
    </xf>
    <xf numFmtId="0" fontId="29" fillId="34" borderId="113" xfId="56" applyFont="1" applyFill="1" applyBorder="1" applyAlignment="1">
      <alignment horizontal="center" vertical="center"/>
    </xf>
    <xf numFmtId="0" fontId="29" fillId="35" borderId="111" xfId="56" applyFont="1" applyFill="1" applyBorder="1" applyAlignment="1">
      <alignment horizontal="center" vertical="center"/>
    </xf>
    <xf numFmtId="0" fontId="29" fillId="35" borderId="109" xfId="56" applyFont="1" applyFill="1" applyBorder="1" applyAlignment="1">
      <alignment horizontal="center" vertical="center"/>
    </xf>
    <xf numFmtId="0" fontId="29" fillId="32" borderId="114" xfId="56" applyFont="1" applyFill="1" applyBorder="1" applyAlignment="1">
      <alignment horizontal="center" vertical="center"/>
    </xf>
    <xf numFmtId="0" fontId="29" fillId="35" borderId="109" xfId="56" applyFont="1" applyFill="1" applyBorder="1" applyAlignment="1">
      <alignment horizontal="center" vertical="center" wrapText="1"/>
    </xf>
    <xf numFmtId="0" fontId="29" fillId="35" borderId="113" xfId="56" applyFont="1" applyFill="1" applyBorder="1" applyAlignment="1">
      <alignment horizontal="center" vertical="center"/>
    </xf>
    <xf numFmtId="0" fontId="29" fillId="36" borderId="108" xfId="56" applyFont="1" applyFill="1" applyBorder="1" applyAlignment="1">
      <alignment horizontal="center" vertical="center"/>
    </xf>
    <xf numFmtId="0" fontId="29" fillId="36" borderId="112" xfId="56" applyFont="1" applyFill="1" applyBorder="1" applyAlignment="1">
      <alignment horizontal="center" vertical="center"/>
    </xf>
    <xf numFmtId="0" fontId="29" fillId="32" borderId="115" xfId="56" applyFont="1" applyFill="1" applyBorder="1" applyAlignment="1">
      <alignment horizontal="center" vertical="center"/>
    </xf>
    <xf numFmtId="0" fontId="29" fillId="36" borderId="109" xfId="56" applyFont="1" applyFill="1" applyBorder="1" applyAlignment="1">
      <alignment horizontal="center" vertical="center"/>
    </xf>
    <xf numFmtId="0" fontId="29" fillId="36" borderId="110" xfId="56" applyFont="1" applyFill="1" applyBorder="1" applyAlignment="1">
      <alignment horizontal="center" vertical="center"/>
    </xf>
    <xf numFmtId="0" fontId="29" fillId="37" borderId="111" xfId="56" applyFont="1" applyFill="1" applyBorder="1" applyAlignment="1">
      <alignment horizontal="center" vertical="center"/>
    </xf>
    <xf numFmtId="0" fontId="29" fillId="37" borderId="109" xfId="56" applyFont="1" applyFill="1" applyBorder="1" applyAlignment="1">
      <alignment horizontal="center" vertical="center"/>
    </xf>
    <xf numFmtId="0" fontId="29" fillId="32" borderId="110" xfId="56" applyFont="1" applyFill="1" applyBorder="1" applyAlignment="1">
      <alignment horizontal="center" vertical="center"/>
    </xf>
    <xf numFmtId="49" fontId="29" fillId="32" borderId="109" xfId="56" applyNumberFormat="1" applyFont="1" applyFill="1" applyBorder="1" applyAlignment="1">
      <alignment horizontal="center" vertical="center"/>
    </xf>
    <xf numFmtId="0" fontId="29" fillId="32" borderId="116" xfId="56" applyFont="1" applyFill="1" applyBorder="1" applyAlignment="1">
      <alignment horizontal="center" vertical="center"/>
    </xf>
    <xf numFmtId="0" fontId="29" fillId="0" borderId="0" xfId="56" applyFont="1" applyAlignment="1">
      <alignment vertical="center"/>
    </xf>
    <xf numFmtId="0" fontId="21" fillId="0" borderId="62" xfId="56" applyNumberFormat="1" applyFont="1" applyBorder="1" applyAlignment="1">
      <alignment horizontal="center" vertical="center" wrapText="1"/>
    </xf>
    <xf numFmtId="49" fontId="21" fillId="0" borderId="31" xfId="56" applyNumberFormat="1" applyFont="1" applyBorder="1" applyAlignment="1">
      <alignment horizontal="center" vertical="center" wrapText="1"/>
    </xf>
    <xf numFmtId="0" fontId="21" fillId="0" borderId="29" xfId="56" applyNumberFormat="1" applyFont="1" applyBorder="1" applyAlignment="1">
      <alignment horizontal="left" vertical="center" wrapText="1"/>
    </xf>
    <xf numFmtId="0" fontId="21" fillId="0" borderId="32" xfId="56" applyNumberFormat="1" applyFont="1" applyBorder="1" applyAlignment="1">
      <alignment horizontal="center" vertical="center" wrapText="1"/>
    </xf>
    <xf numFmtId="179" fontId="21" fillId="0" borderId="31" xfId="56" applyNumberFormat="1" applyFont="1" applyBorder="1" applyAlignment="1">
      <alignment horizontal="center" vertical="center" wrapText="1"/>
    </xf>
    <xf numFmtId="179" fontId="21" fillId="0" borderId="30" xfId="56" applyNumberFormat="1" applyFont="1" applyBorder="1" applyAlignment="1">
      <alignment horizontal="center" vertical="center" wrapText="1"/>
    </xf>
    <xf numFmtId="179" fontId="21" fillId="0" borderId="63" xfId="56" applyNumberFormat="1" applyFont="1" applyBorder="1" applyAlignment="1">
      <alignment horizontal="center" vertical="center" wrapText="1"/>
    </xf>
    <xf numFmtId="0" fontId="21" fillId="0" borderId="31" xfId="56" applyNumberFormat="1" applyFont="1" applyBorder="1" applyAlignment="1">
      <alignment horizontal="center" vertical="center" wrapText="1"/>
    </xf>
    <xf numFmtId="0" fontId="21" fillId="0" borderId="64" xfId="56" applyNumberFormat="1" applyFont="1" applyBorder="1" applyAlignment="1">
      <alignment horizontal="center" vertical="center" wrapText="1"/>
    </xf>
    <xf numFmtId="0" fontId="21" fillId="0" borderId="63" xfId="56" applyNumberFormat="1" applyFont="1" applyBorder="1" applyAlignment="1">
      <alignment horizontal="center" vertical="center" wrapText="1"/>
    </xf>
    <xf numFmtId="178" fontId="21" fillId="0" borderId="31" xfId="56" applyNumberFormat="1" applyFont="1" applyBorder="1" applyAlignment="1">
      <alignment horizontal="center" vertical="center" wrapText="1"/>
    </xf>
    <xf numFmtId="0" fontId="21" fillId="0" borderId="64" xfId="56" applyNumberFormat="1" applyFont="1" applyBorder="1" applyAlignment="1">
      <alignment horizontal="left" vertical="center" wrapText="1"/>
    </xf>
    <xf numFmtId="0" fontId="21" fillId="0" borderId="30" xfId="56" applyNumberFormat="1" applyFont="1" applyBorder="1" applyAlignment="1">
      <alignment horizontal="left" vertical="center" wrapText="1"/>
    </xf>
    <xf numFmtId="0" fontId="21" fillId="0" borderId="63" xfId="56" applyNumberFormat="1" applyFont="1" applyBorder="1" applyAlignment="1">
      <alignment horizontal="left" vertical="center" wrapText="1"/>
    </xf>
    <xf numFmtId="0" fontId="21" fillId="0" borderId="32" xfId="56" applyNumberFormat="1" applyFont="1" applyBorder="1" applyAlignment="1">
      <alignment horizontal="left" vertical="center" wrapText="1"/>
    </xf>
    <xf numFmtId="0" fontId="21" fillId="0" borderId="16" xfId="56" applyNumberFormat="1" applyFont="1" applyBorder="1" applyAlignment="1">
      <alignment horizontal="center" vertical="center"/>
    </xf>
    <xf numFmtId="0" fontId="21" fillId="0" borderId="0" xfId="56" applyFont="1" applyAlignment="1">
      <alignment horizontal="center" vertical="center" wrapText="1"/>
    </xf>
    <xf numFmtId="0" fontId="21" fillId="0" borderId="118" xfId="47" applyFont="1" applyFill="1" applyBorder="1" applyAlignment="1">
      <alignment horizontal="center" vertical="center"/>
    </xf>
    <xf numFmtId="0" fontId="21" fillId="0" borderId="117" xfId="47" applyFont="1" applyFill="1" applyBorder="1" applyAlignment="1">
      <alignment horizontal="center" vertical="center" wrapText="1"/>
    </xf>
    <xf numFmtId="0" fontId="8" fillId="0" borderId="0" xfId="57" applyFont="1">
      <alignment vertical="center"/>
    </xf>
    <xf numFmtId="0" fontId="8" fillId="0" borderId="0" xfId="57" applyFont="1" applyAlignment="1">
      <alignment vertical="center"/>
    </xf>
    <xf numFmtId="0" fontId="28" fillId="0" borderId="0" xfId="57" applyFont="1" applyAlignment="1">
      <alignment horizontal="center" vertical="center"/>
    </xf>
    <xf numFmtId="0" fontId="8" fillId="0" borderId="0" xfId="57" applyFont="1" applyAlignment="1">
      <alignment horizontal="right" vertical="center"/>
    </xf>
    <xf numFmtId="0" fontId="31" fillId="0" borderId="0" xfId="52" applyFont="1" applyAlignment="1">
      <alignment vertical="center"/>
    </xf>
    <xf numFmtId="0" fontId="31" fillId="25" borderId="11" xfId="52" applyFont="1" applyFill="1" applyBorder="1" applyAlignment="1">
      <alignment vertical="center"/>
    </xf>
    <xf numFmtId="0" fontId="31" fillId="25" borderId="12" xfId="52" applyFont="1" applyFill="1" applyBorder="1" applyAlignment="1">
      <alignment vertical="center"/>
    </xf>
    <xf numFmtId="0" fontId="31" fillId="0" borderId="0" xfId="52" applyFont="1" applyBorder="1" applyAlignment="1">
      <alignment vertical="center"/>
    </xf>
    <xf numFmtId="0" fontId="31" fillId="0" borderId="15" xfId="52" applyFont="1" applyBorder="1" applyAlignment="1">
      <alignment vertical="center"/>
    </xf>
    <xf numFmtId="0" fontId="31" fillId="25" borderId="17" xfId="52" applyFont="1" applyFill="1" applyBorder="1" applyAlignment="1">
      <alignment vertical="center"/>
    </xf>
    <xf numFmtId="0" fontId="31" fillId="25" borderId="18" xfId="52" applyFont="1" applyFill="1" applyBorder="1" applyAlignment="1">
      <alignment vertical="center"/>
    </xf>
    <xf numFmtId="0" fontId="31" fillId="25" borderId="19" xfId="60" applyFont="1" applyFill="1" applyBorder="1" applyAlignment="1">
      <alignment horizontal="left" vertical="center"/>
    </xf>
    <xf numFmtId="178" fontId="31" fillId="0" borderId="22" xfId="60" applyNumberFormat="1" applyFont="1" applyBorder="1" applyAlignment="1">
      <alignment horizontal="right" vertical="center"/>
    </xf>
    <xf numFmtId="0" fontId="31" fillId="0" borderId="17" xfId="52" applyFont="1" applyBorder="1" applyAlignment="1">
      <alignment vertical="center"/>
    </xf>
    <xf numFmtId="0" fontId="31" fillId="0" borderId="18" xfId="52" applyFont="1" applyBorder="1" applyAlignment="1">
      <alignment vertical="center"/>
    </xf>
    <xf numFmtId="0" fontId="31" fillId="25" borderId="20" xfId="60" applyFont="1" applyFill="1" applyBorder="1" applyAlignment="1">
      <alignment horizontal="left" vertical="center"/>
    </xf>
    <xf numFmtId="0" fontId="31" fillId="25" borderId="13" xfId="52" applyFont="1" applyFill="1" applyBorder="1" applyAlignment="1">
      <alignment vertical="center"/>
    </xf>
    <xf numFmtId="0" fontId="31" fillId="25" borderId="23" xfId="52" applyFont="1" applyFill="1" applyBorder="1" applyAlignment="1">
      <alignment vertical="center"/>
    </xf>
    <xf numFmtId="0" fontId="31" fillId="25" borderId="24" xfId="60" applyFont="1" applyFill="1" applyBorder="1" applyAlignment="1">
      <alignment horizontal="left" vertical="center"/>
    </xf>
    <xf numFmtId="0" fontId="31" fillId="25" borderId="25" xfId="52" applyFont="1" applyFill="1" applyBorder="1" applyAlignment="1">
      <alignment vertical="center"/>
    </xf>
    <xf numFmtId="178" fontId="31" fillId="0" borderId="27" xfId="60" applyNumberFormat="1" applyFont="1" applyBorder="1" applyAlignment="1">
      <alignment horizontal="right" vertical="center"/>
    </xf>
    <xf numFmtId="0" fontId="31" fillId="0" borderId="13" xfId="52" applyFont="1" applyBorder="1" applyAlignment="1">
      <alignment vertical="center"/>
    </xf>
    <xf numFmtId="0" fontId="31" fillId="0" borderId="23" xfId="52" applyFont="1" applyBorder="1" applyAlignment="1">
      <alignment vertical="center"/>
    </xf>
    <xf numFmtId="0" fontId="31" fillId="25" borderId="25" xfId="60" applyFont="1" applyFill="1" applyBorder="1" applyAlignment="1">
      <alignment horizontal="left" vertical="center"/>
    </xf>
    <xf numFmtId="178" fontId="31" fillId="0" borderId="28" xfId="60" applyNumberFormat="1" applyFont="1" applyBorder="1" applyAlignment="1">
      <alignment horizontal="right" vertical="center"/>
    </xf>
    <xf numFmtId="0" fontId="31" fillId="25" borderId="53" xfId="60" applyFont="1" applyFill="1" applyBorder="1" applyAlignment="1">
      <alignment horizontal="left" vertical="center"/>
    </xf>
    <xf numFmtId="0" fontId="31" fillId="25" borderId="54" xfId="52" applyFont="1" applyFill="1" applyBorder="1" applyAlignment="1">
      <alignment vertical="center"/>
    </xf>
    <xf numFmtId="178" fontId="31" fillId="0" borderId="55" xfId="60" applyNumberFormat="1" applyFont="1" applyBorder="1" applyAlignment="1">
      <alignment horizontal="right" vertical="center"/>
    </xf>
    <xf numFmtId="0" fontId="31" fillId="25" borderId="54" xfId="60" applyFont="1" applyFill="1" applyBorder="1" applyAlignment="1">
      <alignment horizontal="left" vertical="center"/>
    </xf>
    <xf numFmtId="178" fontId="31" fillId="0" borderId="32" xfId="60" applyNumberFormat="1" applyFont="1" applyBorder="1" applyAlignment="1">
      <alignment horizontal="right" vertical="center"/>
    </xf>
    <xf numFmtId="0" fontId="31" fillId="25" borderId="0" xfId="52" applyFont="1" applyFill="1" applyBorder="1" applyAlignment="1">
      <alignment vertical="center"/>
    </xf>
    <xf numFmtId="0" fontId="31" fillId="25" borderId="15" xfId="52" applyFont="1" applyFill="1" applyBorder="1" applyAlignment="1">
      <alignment vertical="center"/>
    </xf>
    <xf numFmtId="0" fontId="31" fillId="25" borderId="29" xfId="52" applyFont="1" applyFill="1" applyBorder="1" applyAlignment="1">
      <alignment vertical="center"/>
    </xf>
    <xf numFmtId="0" fontId="31" fillId="25" borderId="30" xfId="52" applyFont="1" applyFill="1" applyBorder="1" applyAlignment="1">
      <alignment vertical="center"/>
    </xf>
    <xf numFmtId="0" fontId="31" fillId="25" borderId="31" xfId="52" applyFont="1" applyFill="1" applyBorder="1" applyAlignment="1">
      <alignment vertical="center"/>
    </xf>
    <xf numFmtId="0" fontId="31" fillId="0" borderId="29" xfId="52" applyFont="1" applyBorder="1" applyAlignment="1">
      <alignment vertical="center"/>
    </xf>
    <xf numFmtId="0" fontId="31" fillId="0" borderId="30" xfId="52" applyFont="1" applyBorder="1" applyAlignment="1">
      <alignment vertical="center"/>
    </xf>
    <xf numFmtId="0" fontId="31" fillId="0" borderId="31" xfId="52" applyFont="1" applyBorder="1" applyAlignment="1">
      <alignment vertical="center"/>
    </xf>
    <xf numFmtId="178" fontId="31" fillId="0" borderId="33" xfId="60" applyNumberFormat="1" applyFont="1" applyBorder="1" applyAlignment="1">
      <alignment horizontal="right" vertical="center"/>
    </xf>
    <xf numFmtId="0" fontId="31" fillId="25" borderId="17" xfId="58" applyFont="1" applyFill="1" applyBorder="1" applyAlignment="1">
      <alignment horizontal="left" vertical="center"/>
    </xf>
    <xf numFmtId="0" fontId="31" fillId="25" borderId="119" xfId="58" applyFont="1" applyFill="1" applyBorder="1" applyAlignment="1">
      <alignment horizontal="left" vertical="center"/>
    </xf>
    <xf numFmtId="0" fontId="31" fillId="25" borderId="24" xfId="58" applyFont="1" applyFill="1" applyBorder="1" applyAlignment="1">
      <alignment horizontal="left" vertical="center"/>
    </xf>
    <xf numFmtId="0" fontId="31" fillId="25" borderId="53" xfId="58" applyFont="1" applyFill="1" applyBorder="1" applyAlignment="1">
      <alignment horizontal="left" vertical="center"/>
    </xf>
    <xf numFmtId="178" fontId="31" fillId="0" borderId="53" xfId="60" applyNumberFormat="1" applyFont="1" applyBorder="1" applyAlignment="1">
      <alignment horizontal="right" vertical="center"/>
    </xf>
    <xf numFmtId="0" fontId="26" fillId="0" borderId="0" xfId="50" applyFont="1" applyBorder="1" applyAlignment="1">
      <alignment vertical="center" shrinkToFit="1"/>
    </xf>
    <xf numFmtId="0" fontId="8" fillId="0" borderId="0" xfId="52" applyBorder="1" applyAlignment="1">
      <alignment vertical="center"/>
    </xf>
    <xf numFmtId="0" fontId="26" fillId="0" borderId="0" xfId="50" applyFont="1" applyBorder="1" applyAlignment="1">
      <alignment horizontal="center" vertical="center"/>
    </xf>
    <xf numFmtId="0" fontId="26" fillId="0" borderId="0" xfId="50" applyFont="1" applyBorder="1" applyAlignment="1">
      <alignment vertical="center"/>
    </xf>
    <xf numFmtId="176" fontId="26" fillId="0" borderId="0" xfId="50" applyNumberFormat="1" applyFont="1" applyBorder="1" applyAlignment="1">
      <alignment vertical="center" shrinkToFit="1"/>
    </xf>
    <xf numFmtId="0" fontId="31" fillId="25" borderId="17" xfId="59" applyFont="1" applyFill="1" applyBorder="1" applyAlignment="1">
      <alignment vertical="center"/>
    </xf>
    <xf numFmtId="0" fontId="31" fillId="25" borderId="15" xfId="59" applyFont="1" applyFill="1" applyBorder="1" applyAlignment="1">
      <alignment vertical="center"/>
    </xf>
    <xf numFmtId="0" fontId="31" fillId="25" borderId="18" xfId="59" applyFont="1" applyFill="1" applyBorder="1" applyAlignment="1">
      <alignment horizontal="right" vertical="center"/>
    </xf>
    <xf numFmtId="0" fontId="31" fillId="25" borderId="13" xfId="59" applyFont="1" applyFill="1" applyBorder="1" applyAlignment="1">
      <alignment vertical="center"/>
    </xf>
    <xf numFmtId="0" fontId="31" fillId="25" borderId="0" xfId="59" applyFont="1" applyFill="1" applyBorder="1" applyAlignment="1">
      <alignment vertical="center"/>
    </xf>
    <xf numFmtId="0" fontId="31" fillId="25" borderId="23" xfId="59" applyFont="1" applyFill="1" applyBorder="1" applyAlignment="1">
      <alignment vertical="center"/>
    </xf>
    <xf numFmtId="0" fontId="31" fillId="25" borderId="29" xfId="59" applyFont="1" applyFill="1" applyBorder="1" applyAlignment="1">
      <alignment vertical="center"/>
    </xf>
    <xf numFmtId="0" fontId="31" fillId="25" borderId="30" xfId="59" applyFont="1" applyFill="1" applyBorder="1" applyAlignment="1">
      <alignment vertical="center"/>
    </xf>
    <xf numFmtId="0" fontId="31" fillId="25" borderId="31" xfId="59" applyFont="1" applyFill="1" applyBorder="1" applyAlignment="1">
      <alignment vertical="center"/>
    </xf>
    <xf numFmtId="0" fontId="31" fillId="25" borderId="24" xfId="59" applyFont="1" applyFill="1" applyBorder="1" applyAlignment="1">
      <alignment horizontal="left" vertical="center"/>
    </xf>
    <xf numFmtId="178" fontId="31" fillId="0" borderId="27" xfId="59" applyNumberFormat="1" applyFont="1" applyFill="1" applyBorder="1" applyAlignment="1">
      <alignment horizontal="right" vertical="center"/>
    </xf>
    <xf numFmtId="178" fontId="31" fillId="0" borderId="38" xfId="59" applyNumberFormat="1" applyFont="1" applyFill="1" applyBorder="1" applyAlignment="1">
      <alignment horizontal="right" vertical="center"/>
    </xf>
    <xf numFmtId="178" fontId="31" fillId="0" borderId="26" xfId="59" applyNumberFormat="1" applyFont="1" applyFill="1" applyBorder="1" applyAlignment="1">
      <alignment horizontal="right" vertical="center"/>
    </xf>
    <xf numFmtId="0" fontId="31" fillId="25" borderId="25" xfId="59" applyFont="1" applyFill="1" applyBorder="1" applyAlignment="1">
      <alignment horizontal="left" vertical="center"/>
    </xf>
    <xf numFmtId="0" fontId="31" fillId="25" borderId="47" xfId="59" applyFont="1" applyFill="1" applyBorder="1" applyAlignment="1">
      <alignment horizontal="left" vertical="center"/>
    </xf>
    <xf numFmtId="0" fontId="31" fillId="25" borderId="48" xfId="52" applyFont="1" applyFill="1" applyBorder="1" applyAlignment="1">
      <alignment vertical="center"/>
    </xf>
    <xf numFmtId="178" fontId="31" fillId="0" borderId="49" xfId="59" applyNumberFormat="1" applyFont="1" applyFill="1" applyBorder="1" applyAlignment="1">
      <alignment horizontal="right" vertical="center"/>
    </xf>
    <xf numFmtId="178" fontId="31" fillId="0" borderId="51" xfId="59" applyNumberFormat="1" applyFont="1" applyFill="1" applyBorder="1" applyAlignment="1">
      <alignment horizontal="right" vertical="center"/>
    </xf>
    <xf numFmtId="178" fontId="31" fillId="0" borderId="52" xfId="59" applyNumberFormat="1" applyFont="1" applyFill="1" applyBorder="1" applyAlignment="1">
      <alignment horizontal="right" vertical="center"/>
    </xf>
    <xf numFmtId="0" fontId="31" fillId="25" borderId="53" xfId="59" applyFont="1" applyFill="1" applyBorder="1" applyAlignment="1">
      <alignment horizontal="left" vertical="center"/>
    </xf>
    <xf numFmtId="178" fontId="31" fillId="0" borderId="55" xfId="59" applyNumberFormat="1" applyFont="1" applyFill="1" applyBorder="1" applyAlignment="1">
      <alignment horizontal="right" vertical="center"/>
    </xf>
    <xf numFmtId="178" fontId="31" fillId="0" borderId="57" xfId="59" applyNumberFormat="1" applyFont="1" applyFill="1" applyBorder="1" applyAlignment="1">
      <alignment horizontal="right" vertical="center"/>
    </xf>
    <xf numFmtId="177" fontId="31" fillId="0" borderId="58" xfId="59" applyNumberFormat="1" applyFont="1" applyFill="1" applyBorder="1" applyAlignment="1">
      <alignment horizontal="right" vertical="center"/>
    </xf>
    <xf numFmtId="0" fontId="31" fillId="0" borderId="0" xfId="48" applyFont="1" applyAlignment="1">
      <alignment vertical="center"/>
    </xf>
    <xf numFmtId="0" fontId="31" fillId="25" borderId="11" xfId="48" applyFont="1" applyFill="1" applyBorder="1" applyAlignment="1">
      <alignment vertical="center"/>
    </xf>
    <xf numFmtId="0" fontId="31" fillId="25" borderId="12" xfId="48" applyFont="1" applyFill="1" applyBorder="1" applyAlignment="1">
      <alignment vertical="center"/>
    </xf>
    <xf numFmtId="0" fontId="31" fillId="0" borderId="0" xfId="48" applyFont="1" applyBorder="1" applyAlignment="1">
      <alignment vertical="center"/>
    </xf>
    <xf numFmtId="0" fontId="31" fillId="0" borderId="14" xfId="48" applyFont="1" applyBorder="1" applyAlignment="1">
      <alignment vertical="center"/>
    </xf>
    <xf numFmtId="0" fontId="31" fillId="0" borderId="15" xfId="48" applyFont="1" applyBorder="1" applyAlignment="1">
      <alignment vertical="center"/>
    </xf>
    <xf numFmtId="0" fontId="31" fillId="25" borderId="14" xfId="48" applyFont="1" applyFill="1" applyBorder="1" applyAlignment="1">
      <alignment vertical="center"/>
    </xf>
    <xf numFmtId="0" fontId="31" fillId="25" borderId="16" xfId="48" applyFont="1" applyFill="1" applyBorder="1" applyAlignment="1">
      <alignment vertical="center"/>
    </xf>
    <xf numFmtId="0" fontId="31" fillId="25" borderId="17" xfId="48" applyFont="1" applyFill="1" applyBorder="1" applyAlignment="1">
      <alignment vertical="center"/>
    </xf>
    <xf numFmtId="0" fontId="31" fillId="25" borderId="18" xfId="48" applyFont="1" applyFill="1" applyBorder="1" applyAlignment="1">
      <alignment vertical="center"/>
    </xf>
    <xf numFmtId="0" fontId="31" fillId="25" borderId="20" xfId="48" applyFont="1" applyFill="1" applyBorder="1" applyAlignment="1">
      <alignment vertical="center"/>
    </xf>
    <xf numFmtId="0" fontId="31" fillId="25" borderId="21" xfId="48" applyFont="1" applyFill="1" applyBorder="1" applyAlignment="1">
      <alignment vertical="center"/>
    </xf>
    <xf numFmtId="0" fontId="31" fillId="0" borderId="17" xfId="48" applyFont="1" applyBorder="1" applyAlignment="1">
      <alignment vertical="center"/>
    </xf>
    <xf numFmtId="0" fontId="31" fillId="0" borderId="18" xfId="48" applyFont="1" applyBorder="1" applyAlignment="1">
      <alignment vertical="center"/>
    </xf>
    <xf numFmtId="0" fontId="31" fillId="25" borderId="13" xfId="48" applyFont="1" applyFill="1" applyBorder="1" applyAlignment="1">
      <alignment vertical="center"/>
    </xf>
    <xf numFmtId="0" fontId="31" fillId="25" borderId="23" xfId="48" applyFont="1" applyFill="1" applyBorder="1" applyAlignment="1">
      <alignment vertical="center"/>
    </xf>
    <xf numFmtId="0" fontId="31" fillId="25" borderId="25" xfId="48" applyFont="1" applyFill="1" applyBorder="1" applyAlignment="1">
      <alignment vertical="center"/>
    </xf>
    <xf numFmtId="0" fontId="31" fillId="25" borderId="26" xfId="48" applyFont="1" applyFill="1" applyBorder="1" applyAlignment="1">
      <alignment vertical="center"/>
    </xf>
    <xf numFmtId="0" fontId="31" fillId="0" borderId="13" xfId="48" applyFont="1" applyBorder="1" applyAlignment="1">
      <alignment vertical="center"/>
    </xf>
    <xf numFmtId="0" fontId="31" fillId="0" borderId="23" xfId="48" applyFont="1" applyBorder="1" applyAlignment="1">
      <alignment vertical="center"/>
    </xf>
    <xf numFmtId="0" fontId="31" fillId="25" borderId="54" xfId="48" applyFont="1" applyFill="1" applyBorder="1" applyAlignment="1">
      <alignment vertical="center"/>
    </xf>
    <xf numFmtId="0" fontId="31" fillId="25" borderId="58" xfId="48" applyFont="1" applyFill="1" applyBorder="1" applyAlignment="1">
      <alignment vertical="center"/>
    </xf>
    <xf numFmtId="0" fontId="31" fillId="25" borderId="0" xfId="48" applyFont="1" applyFill="1" applyBorder="1" applyAlignment="1">
      <alignment vertical="center"/>
    </xf>
    <xf numFmtId="0" fontId="31" fillId="25" borderId="15" xfId="48" applyFont="1" applyFill="1" applyBorder="1" applyAlignment="1">
      <alignment vertical="center"/>
    </xf>
    <xf numFmtId="0" fontId="31" fillId="25" borderId="29" xfId="48" applyFont="1" applyFill="1" applyBorder="1" applyAlignment="1">
      <alignment vertical="center"/>
    </xf>
    <xf numFmtId="0" fontId="31" fillId="25" borderId="30" xfId="48" applyFont="1" applyFill="1" applyBorder="1" applyAlignment="1">
      <alignment vertical="center"/>
    </xf>
    <xf numFmtId="0" fontId="31" fillId="25" borderId="31" xfId="48" applyFont="1" applyFill="1" applyBorder="1" applyAlignment="1">
      <alignment vertical="center"/>
    </xf>
    <xf numFmtId="0" fontId="31" fillId="0" borderId="29" xfId="48" applyFont="1" applyBorder="1" applyAlignment="1">
      <alignment vertical="center"/>
    </xf>
    <xf numFmtId="0" fontId="31" fillId="0" borderId="30" xfId="48" applyFont="1" applyBorder="1" applyAlignment="1">
      <alignment vertical="center"/>
    </xf>
    <xf numFmtId="0" fontId="31" fillId="0" borderId="31" xfId="48" applyFont="1" applyBorder="1" applyAlignment="1">
      <alignment vertical="center"/>
    </xf>
    <xf numFmtId="0" fontId="31" fillId="25" borderId="34" xfId="48" applyFont="1" applyFill="1" applyBorder="1" applyAlignment="1">
      <alignment vertical="center"/>
    </xf>
    <xf numFmtId="0" fontId="34" fillId="25" borderId="13" xfId="48" applyFont="1" applyFill="1" applyBorder="1" applyAlignment="1">
      <alignment vertical="center"/>
    </xf>
    <xf numFmtId="0" fontId="31" fillId="25" borderId="119" xfId="48" applyFont="1" applyFill="1" applyBorder="1" applyAlignment="1">
      <alignment vertical="center"/>
    </xf>
    <xf numFmtId="0" fontId="0" fillId="0" borderId="0" xfId="0" applyFill="1" applyBorder="1" applyAlignment="1">
      <alignment horizontal="center" vertical="center" wrapText="1"/>
    </xf>
    <xf numFmtId="180" fontId="0" fillId="0" borderId="0" xfId="0" applyNumberFormat="1" applyFill="1" applyBorder="1" applyAlignment="1">
      <alignment horizontal="right" vertical="center" wrapText="1"/>
    </xf>
    <xf numFmtId="0" fontId="0" fillId="0" borderId="0" xfId="0" applyBorder="1" applyAlignment="1">
      <alignment vertical="center"/>
    </xf>
    <xf numFmtId="191" fontId="31" fillId="41" borderId="20" xfId="53" applyNumberFormat="1" applyFont="1" applyFill="1" applyBorder="1" applyAlignment="1">
      <alignment horizontal="center" vertical="center"/>
    </xf>
    <xf numFmtId="191" fontId="31" fillId="41" borderId="30" xfId="53" applyNumberFormat="1" applyFont="1" applyFill="1" applyBorder="1" applyAlignment="1">
      <alignment horizontal="center" vertical="center"/>
    </xf>
    <xf numFmtId="191" fontId="31" fillId="0" borderId="20" xfId="53" applyNumberFormat="1" applyFont="1" applyBorder="1" applyAlignment="1">
      <alignment horizontal="center" vertical="center"/>
    </xf>
    <xf numFmtId="191" fontId="31" fillId="0" borderId="30" xfId="53" applyNumberFormat="1" applyFont="1" applyBorder="1" applyAlignment="1">
      <alignment horizontal="center" vertical="center"/>
    </xf>
    <xf numFmtId="0" fontId="29" fillId="36" borderId="101" xfId="56" applyFont="1" applyFill="1" applyBorder="1" applyAlignment="1">
      <alignment horizontal="center"/>
    </xf>
    <xf numFmtId="0" fontId="43" fillId="0" borderId="0" xfId="56" applyFont="1"/>
    <xf numFmtId="0" fontId="43" fillId="0" borderId="0" xfId="56" applyFont="1" applyAlignment="1">
      <alignment horizontal="center"/>
    </xf>
    <xf numFmtId="49" fontId="43" fillId="0" borderId="0" xfId="56" applyNumberFormat="1" applyFont="1" applyAlignment="1">
      <alignment horizontal="center"/>
    </xf>
    <xf numFmtId="0" fontId="29" fillId="42" borderId="99" xfId="56" applyFont="1" applyFill="1" applyBorder="1" applyAlignment="1">
      <alignment horizontal="center"/>
    </xf>
    <xf numFmtId="0" fontId="29" fillId="42" borderId="109" xfId="56" applyFont="1" applyFill="1" applyBorder="1" applyAlignment="1">
      <alignment horizontal="center" vertical="center"/>
    </xf>
    <xf numFmtId="0" fontId="0" fillId="0" borderId="16" xfId="0" applyBorder="1" applyAlignment="1">
      <alignment horizontal="center" vertical="center" wrapText="1"/>
    </xf>
    <xf numFmtId="0" fontId="0" fillId="0" borderId="16" xfId="0" applyFont="1" applyFill="1" applyBorder="1" applyAlignment="1">
      <alignment horizontal="center" vertical="center" wrapText="1"/>
    </xf>
    <xf numFmtId="0" fontId="0" fillId="0" borderId="16" xfId="0" applyFill="1" applyBorder="1" applyAlignment="1">
      <alignment horizontal="center" vertical="center" wrapText="1"/>
    </xf>
    <xf numFmtId="0" fontId="41" fillId="24" borderId="121" xfId="30" applyFont="1" applyFill="1" applyBorder="1" applyAlignment="1" applyProtection="1">
      <alignment horizontal="left" vertical="center"/>
    </xf>
    <xf numFmtId="0" fontId="41" fillId="24" borderId="10" xfId="30" applyFont="1" applyFill="1" applyBorder="1" applyAlignment="1" applyProtection="1">
      <alignment horizontal="left" vertical="center"/>
    </xf>
    <xf numFmtId="0" fontId="41" fillId="24" borderId="122" xfId="30" applyFont="1" applyFill="1" applyBorder="1" applyAlignment="1" applyProtection="1">
      <alignment horizontal="left" vertical="center"/>
    </xf>
    <xf numFmtId="0" fontId="28" fillId="24" borderId="11" xfId="0" applyFont="1" applyFill="1" applyBorder="1" applyAlignment="1">
      <alignment horizontal="center"/>
    </xf>
    <xf numFmtId="0" fontId="28" fillId="24" borderId="14" xfId="0" applyFont="1" applyFill="1" applyBorder="1" applyAlignment="1">
      <alignment horizontal="center"/>
    </xf>
    <xf numFmtId="0" fontId="28" fillId="24" borderId="12" xfId="0" applyFont="1" applyFill="1" applyBorder="1" applyAlignment="1">
      <alignment horizontal="center"/>
    </xf>
    <xf numFmtId="0" fontId="38" fillId="24" borderId="120" xfId="0" applyFont="1" applyFill="1" applyBorder="1" applyAlignment="1">
      <alignment horizontal="center" vertical="center"/>
    </xf>
    <xf numFmtId="0" fontId="40" fillId="24" borderId="121" xfId="0" applyFont="1" applyFill="1" applyBorder="1" applyAlignment="1">
      <alignment horizontal="center" vertical="center"/>
    </xf>
    <xf numFmtId="0" fontId="40" fillId="24" borderId="10" xfId="0" applyFont="1" applyFill="1" applyBorder="1" applyAlignment="1">
      <alignment horizontal="center" vertical="center"/>
    </xf>
    <xf numFmtId="0" fontId="40" fillId="24" borderId="122" xfId="0" applyFont="1" applyFill="1" applyBorder="1" applyAlignment="1">
      <alignment horizontal="center" vertical="center"/>
    </xf>
    <xf numFmtId="14" fontId="0" fillId="0" borderId="16" xfId="0" applyNumberFormat="1" applyBorder="1" applyAlignment="1">
      <alignment horizontal="center" vertical="center" wrapText="1"/>
    </xf>
    <xf numFmtId="0" fontId="0" fillId="0" borderId="16" xfId="0" applyBorder="1" applyAlignment="1">
      <alignment horizontal="center" vertical="center" wrapText="1"/>
    </xf>
    <xf numFmtId="0" fontId="30" fillId="0" borderId="17" xfId="0" applyFont="1" applyBorder="1" applyAlignment="1">
      <alignment horizontal="center" vertical="center" wrapText="1"/>
    </xf>
    <xf numFmtId="0" fontId="30" fillId="0" borderId="15" xfId="0" applyFont="1" applyBorder="1" applyAlignment="1">
      <alignment horizontal="center" vertical="center" wrapText="1"/>
    </xf>
    <xf numFmtId="0" fontId="30" fillId="0" borderId="18" xfId="0" applyFont="1" applyBorder="1" applyAlignment="1">
      <alignment horizontal="center" vertical="center" wrapText="1"/>
    </xf>
    <xf numFmtId="0" fontId="30" fillId="0" borderId="13"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23" xfId="0" applyFont="1" applyBorder="1" applyAlignment="1">
      <alignment horizontal="center" vertical="center" wrapText="1"/>
    </xf>
    <xf numFmtId="0" fontId="30" fillId="0" borderId="29" xfId="0" applyFont="1" applyBorder="1" applyAlignment="1">
      <alignment horizontal="center" vertical="center" wrapText="1"/>
    </xf>
    <xf numFmtId="0" fontId="30" fillId="0" borderId="30" xfId="0" applyFont="1" applyBorder="1" applyAlignment="1">
      <alignment horizontal="center" vertical="center" wrapText="1"/>
    </xf>
    <xf numFmtId="0" fontId="30" fillId="0" borderId="31" xfId="0" applyFont="1" applyBorder="1" applyAlignment="1">
      <alignment horizontal="center" vertical="center" wrapText="1"/>
    </xf>
    <xf numFmtId="14" fontId="38" fillId="0" borderId="17" xfId="0" applyNumberFormat="1" applyFont="1" applyBorder="1" applyAlignment="1">
      <alignment horizontal="center" vertical="center" wrapText="1"/>
    </xf>
    <xf numFmtId="14" fontId="38" fillId="0" borderId="15" xfId="0" applyNumberFormat="1" applyFont="1" applyBorder="1" applyAlignment="1">
      <alignment horizontal="center" vertical="center" wrapText="1"/>
    </xf>
    <xf numFmtId="14" fontId="38" fillId="0" borderId="18" xfId="0" applyNumberFormat="1" applyFont="1" applyBorder="1" applyAlignment="1">
      <alignment horizontal="center" vertical="center" wrapText="1"/>
    </xf>
    <xf numFmtId="14" fontId="38" fillId="0" borderId="13" xfId="0" applyNumberFormat="1" applyFont="1" applyBorder="1" applyAlignment="1">
      <alignment horizontal="center" vertical="center" wrapText="1"/>
    </xf>
    <xf numFmtId="14" fontId="38" fillId="0" borderId="0" xfId="0" applyNumberFormat="1" applyFont="1" applyBorder="1" applyAlignment="1">
      <alignment horizontal="center" vertical="center" wrapText="1"/>
    </xf>
    <xf numFmtId="14" fontId="38" fillId="0" borderId="23" xfId="0" applyNumberFormat="1" applyFont="1" applyBorder="1" applyAlignment="1">
      <alignment horizontal="center" vertical="center" wrapText="1"/>
    </xf>
    <xf numFmtId="14" fontId="38" fillId="0" borderId="29" xfId="0" applyNumberFormat="1" applyFont="1" applyBorder="1" applyAlignment="1">
      <alignment horizontal="center" vertical="center" wrapText="1"/>
    </xf>
    <xf numFmtId="14" fontId="38" fillId="0" borderId="30" xfId="0" applyNumberFormat="1" applyFont="1" applyBorder="1" applyAlignment="1">
      <alignment horizontal="center" vertical="center" wrapText="1"/>
    </xf>
    <xf numFmtId="14" fontId="38" fillId="0" borderId="31" xfId="0" applyNumberFormat="1" applyFont="1"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center" vertical="center" wrapText="1"/>
    </xf>
    <xf numFmtId="0" fontId="0" fillId="0" borderId="12" xfId="0" applyBorder="1" applyAlignment="1">
      <alignment horizontal="center" vertical="center" wrapText="1"/>
    </xf>
    <xf numFmtId="0" fontId="0" fillId="0" borderId="17" xfId="0" applyBorder="1" applyAlignment="1">
      <alignment horizontal="center" vertical="center" wrapText="1"/>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13" xfId="0" applyBorder="1" applyAlignment="1">
      <alignment horizontal="center" vertical="center" wrapText="1"/>
    </xf>
    <xf numFmtId="0" fontId="0" fillId="0" borderId="0" xfId="0" applyBorder="1" applyAlignment="1">
      <alignment horizontal="center" vertical="center" wrapText="1"/>
    </xf>
    <xf numFmtId="0" fontId="0" fillId="0" borderId="23" xfId="0" applyBorder="1" applyAlignment="1">
      <alignment horizontal="center" vertical="center" wrapText="1"/>
    </xf>
    <xf numFmtId="176" fontId="0" fillId="0" borderId="11" xfId="0" applyNumberFormat="1" applyBorder="1" applyAlignment="1">
      <alignment horizontal="center" vertical="center" wrapText="1"/>
    </xf>
    <xf numFmtId="176" fontId="0" fillId="0" borderId="14" xfId="0" applyNumberFormat="1" applyBorder="1" applyAlignment="1">
      <alignment horizontal="center" vertical="center" wrapText="1"/>
    </xf>
    <xf numFmtId="176" fontId="0" fillId="0" borderId="12" xfId="0" applyNumberFormat="1" applyBorder="1" applyAlignment="1">
      <alignment horizontal="center" vertical="center" wrapText="1"/>
    </xf>
    <xf numFmtId="176" fontId="0" fillId="0" borderId="17" xfId="0" applyNumberFormat="1" applyBorder="1" applyAlignment="1">
      <alignment horizontal="center" vertical="center" wrapText="1"/>
    </xf>
    <xf numFmtId="176" fontId="0" fillId="0" borderId="15" xfId="0" applyNumberFormat="1" applyBorder="1" applyAlignment="1">
      <alignment horizontal="center" vertical="center" wrapText="1"/>
    </xf>
    <xf numFmtId="176" fontId="0" fillId="0" borderId="18" xfId="0" applyNumberFormat="1" applyBorder="1" applyAlignment="1">
      <alignment horizontal="center" vertical="center" wrapText="1"/>
    </xf>
    <xf numFmtId="176" fontId="0" fillId="0" borderId="13" xfId="0" applyNumberFormat="1" applyBorder="1" applyAlignment="1">
      <alignment horizontal="center" vertical="center" wrapText="1"/>
    </xf>
    <xf numFmtId="176" fontId="0" fillId="0" borderId="0" xfId="0" applyNumberFormat="1" applyBorder="1" applyAlignment="1">
      <alignment horizontal="center" vertical="center" wrapText="1"/>
    </xf>
    <xf numFmtId="176" fontId="0" fillId="0" borderId="23" xfId="0" applyNumberFormat="1" applyBorder="1" applyAlignment="1">
      <alignment horizontal="center" vertical="center" wrapText="1"/>
    </xf>
    <xf numFmtId="176" fontId="0" fillId="0" borderId="29" xfId="0" applyNumberFormat="1" applyBorder="1" applyAlignment="1">
      <alignment horizontal="center" vertical="center" wrapText="1"/>
    </xf>
    <xf numFmtId="176" fontId="0" fillId="0" borderId="30" xfId="0" applyNumberFormat="1" applyBorder="1" applyAlignment="1">
      <alignment horizontal="center" vertical="center" wrapText="1"/>
    </xf>
    <xf numFmtId="176" fontId="0" fillId="0" borderId="31" xfId="0" applyNumberFormat="1"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176" fontId="0" fillId="0" borderId="16" xfId="0" applyNumberFormat="1" applyBorder="1" applyAlignment="1">
      <alignment horizontal="center" vertical="center" wrapText="1"/>
    </xf>
    <xf numFmtId="180" fontId="0" fillId="0" borderId="17" xfId="0" applyNumberFormat="1" applyBorder="1" applyAlignment="1">
      <alignment horizontal="right" vertical="center" wrapText="1"/>
    </xf>
    <xf numFmtId="180" fontId="0" fillId="0" borderId="15" xfId="0" applyNumberFormat="1" applyBorder="1" applyAlignment="1">
      <alignment horizontal="right" vertical="center" wrapText="1"/>
    </xf>
    <xf numFmtId="180" fontId="0" fillId="0" borderId="18" xfId="0" applyNumberFormat="1" applyBorder="1" applyAlignment="1">
      <alignment horizontal="right" vertical="center" wrapText="1"/>
    </xf>
    <xf numFmtId="180" fontId="0" fillId="0" borderId="29" xfId="0" applyNumberFormat="1" applyBorder="1" applyAlignment="1">
      <alignment horizontal="right" vertical="center" wrapText="1"/>
    </xf>
    <xf numFmtId="180" fontId="0" fillId="0" borderId="30" xfId="0" applyNumberFormat="1" applyBorder="1" applyAlignment="1">
      <alignment horizontal="right" vertical="center" wrapText="1"/>
    </xf>
    <xf numFmtId="180" fontId="0" fillId="0" borderId="31" xfId="0" applyNumberFormat="1" applyBorder="1" applyAlignment="1">
      <alignment horizontal="right" vertical="center" wrapText="1"/>
    </xf>
    <xf numFmtId="0" fontId="0" fillId="0" borderId="17" xfId="0" applyBorder="1" applyAlignment="1">
      <alignment vertical="center" wrapText="1"/>
    </xf>
    <xf numFmtId="0" fontId="0" fillId="0" borderId="15" xfId="0" applyBorder="1" applyAlignment="1">
      <alignment vertical="center" wrapText="1"/>
    </xf>
    <xf numFmtId="0" fontId="0" fillId="0" borderId="18" xfId="0" applyBorder="1" applyAlignment="1">
      <alignment vertical="center" wrapText="1"/>
    </xf>
    <xf numFmtId="0" fontId="0" fillId="0" borderId="29" xfId="0" applyBorder="1" applyAlignment="1">
      <alignment vertical="center" wrapText="1"/>
    </xf>
    <xf numFmtId="0" fontId="0" fillId="0" borderId="30" xfId="0" applyBorder="1" applyAlignment="1">
      <alignment vertical="center" wrapText="1"/>
    </xf>
    <xf numFmtId="0" fontId="0" fillId="0" borderId="31" xfId="0" applyBorder="1" applyAlignment="1">
      <alignment vertical="center" wrapText="1"/>
    </xf>
    <xf numFmtId="0" fontId="0" fillId="25" borderId="17" xfId="0" applyFill="1" applyBorder="1" applyAlignment="1">
      <alignment horizontal="center" vertical="center" wrapText="1"/>
    </xf>
    <xf numFmtId="0" fontId="0" fillId="25" borderId="15" xfId="0" applyFill="1" applyBorder="1" applyAlignment="1">
      <alignment horizontal="center" vertical="center" wrapText="1"/>
    </xf>
    <xf numFmtId="0" fontId="0" fillId="25" borderId="18" xfId="0" applyFill="1" applyBorder="1" applyAlignment="1">
      <alignment horizontal="center" vertical="center" wrapText="1"/>
    </xf>
    <xf numFmtId="0" fontId="0" fillId="25" borderId="29" xfId="0" applyFill="1" applyBorder="1" applyAlignment="1">
      <alignment horizontal="center" vertical="center" wrapText="1"/>
    </xf>
    <xf numFmtId="0" fontId="0" fillId="25" borderId="30" xfId="0" applyFill="1" applyBorder="1" applyAlignment="1">
      <alignment horizontal="center" vertical="center" wrapText="1"/>
    </xf>
    <xf numFmtId="0" fontId="0" fillId="25" borderId="31" xfId="0" applyFill="1" applyBorder="1" applyAlignment="1">
      <alignment horizontal="center" vertical="center" wrapText="1"/>
    </xf>
    <xf numFmtId="0" fontId="0" fillId="0" borderId="13" xfId="0" applyBorder="1" applyAlignment="1">
      <alignment vertical="center" wrapText="1"/>
    </xf>
    <xf numFmtId="0" fontId="0" fillId="0" borderId="0" xfId="0" applyBorder="1" applyAlignment="1">
      <alignment vertical="center" wrapText="1"/>
    </xf>
    <xf numFmtId="0" fontId="0" fillId="0" borderId="23" xfId="0" applyBorder="1" applyAlignment="1">
      <alignment vertical="center" wrapText="1"/>
    </xf>
    <xf numFmtId="0" fontId="0" fillId="0" borderId="16" xfId="0" applyBorder="1" applyAlignment="1">
      <alignment vertical="center" wrapText="1"/>
    </xf>
    <xf numFmtId="0" fontId="0" fillId="0" borderId="17" xfId="0" applyBorder="1" applyAlignment="1">
      <alignment horizontal="center" vertical="center" shrinkToFit="1"/>
    </xf>
    <xf numFmtId="0" fontId="0" fillId="0" borderId="18" xfId="0" applyBorder="1" applyAlignment="1">
      <alignment horizontal="center" vertical="center" shrinkToFit="1"/>
    </xf>
    <xf numFmtId="0" fontId="0" fillId="0" borderId="29" xfId="0" applyBorder="1" applyAlignment="1">
      <alignment horizontal="center" vertical="center" shrinkToFit="1"/>
    </xf>
    <xf numFmtId="0" fontId="0" fillId="0" borderId="31" xfId="0" applyBorder="1" applyAlignment="1">
      <alignment horizontal="center" vertical="center" shrinkToFit="1"/>
    </xf>
    <xf numFmtId="0" fontId="0" fillId="0" borderId="16" xfId="0" applyBorder="1" applyAlignment="1">
      <alignment horizontal="center"/>
    </xf>
    <xf numFmtId="0" fontId="0" fillId="25" borderId="16" xfId="0" applyFill="1" applyBorder="1" applyAlignment="1">
      <alignment horizontal="center" vertical="center" wrapText="1"/>
    </xf>
    <xf numFmtId="0" fontId="0" fillId="0" borderId="16" xfId="0" applyBorder="1" applyAlignment="1">
      <alignment horizontal="left" vertical="center" wrapText="1"/>
    </xf>
    <xf numFmtId="0" fontId="0" fillId="0" borderId="16" xfId="0" applyFill="1" applyBorder="1" applyAlignment="1">
      <alignment horizontal="left" vertical="center" wrapText="1"/>
    </xf>
    <xf numFmtId="0" fontId="0" fillId="0" borderId="16" xfId="0" applyFont="1" applyBorder="1" applyAlignment="1">
      <alignment horizontal="left" vertical="center" wrapText="1"/>
    </xf>
    <xf numFmtId="14" fontId="0" fillId="0" borderId="16" xfId="0" applyNumberFormat="1" applyFont="1" applyBorder="1" applyAlignment="1">
      <alignment horizontal="center" vertical="center" wrapText="1"/>
    </xf>
    <xf numFmtId="0" fontId="0" fillId="0" borderId="16" xfId="0" applyFont="1" applyBorder="1" applyAlignment="1">
      <alignment horizontal="center" vertical="center" wrapText="1"/>
    </xf>
    <xf numFmtId="0" fontId="44" fillId="0" borderId="16" xfId="0" applyFont="1" applyBorder="1" applyAlignment="1">
      <alignment horizontal="left" vertical="center" wrapText="1"/>
    </xf>
    <xf numFmtId="14" fontId="44" fillId="0" borderId="16" xfId="0" applyNumberFormat="1" applyFont="1" applyBorder="1" applyAlignment="1">
      <alignment horizontal="center" vertical="center" wrapText="1"/>
    </xf>
    <xf numFmtId="0" fontId="0" fillId="0" borderId="11" xfId="0" applyBorder="1" applyAlignment="1">
      <alignment horizontal="left" vertical="center" wrapText="1"/>
    </xf>
    <xf numFmtId="0" fontId="0" fillId="0" borderId="14" xfId="0" applyBorder="1" applyAlignment="1">
      <alignment horizontal="left" vertical="center" wrapText="1"/>
    </xf>
    <xf numFmtId="0" fontId="0" fillId="0" borderId="12" xfId="0" applyBorder="1" applyAlignment="1">
      <alignment horizontal="left" vertical="center" wrapText="1"/>
    </xf>
    <xf numFmtId="0" fontId="0" fillId="0" borderId="16" xfId="0" applyFont="1" applyFill="1" applyBorder="1" applyAlignment="1">
      <alignment horizontal="center" vertical="center" wrapText="1"/>
    </xf>
    <xf numFmtId="0" fontId="0" fillId="0" borderId="16" xfId="0" applyFill="1" applyBorder="1" applyAlignment="1">
      <alignment horizontal="center" vertical="center" wrapText="1"/>
    </xf>
    <xf numFmtId="0" fontId="0" fillId="25" borderId="16" xfId="0" applyFill="1" applyBorder="1" applyAlignment="1">
      <alignment horizontal="center"/>
    </xf>
    <xf numFmtId="0" fontId="0" fillId="25" borderId="12" xfId="0" applyFill="1" applyBorder="1" applyAlignment="1">
      <alignment horizontal="center"/>
    </xf>
    <xf numFmtId="0" fontId="0" fillId="25" borderId="13" xfId="0" applyFill="1" applyBorder="1" applyAlignment="1">
      <alignment horizontal="center" vertical="center" wrapText="1"/>
    </xf>
    <xf numFmtId="0" fontId="0" fillId="25" borderId="0" xfId="0" applyFill="1" applyBorder="1" applyAlignment="1">
      <alignment horizontal="center" vertical="center" wrapText="1"/>
    </xf>
    <xf numFmtId="0" fontId="0" fillId="25" borderId="23" xfId="0" applyFill="1" applyBorder="1" applyAlignment="1">
      <alignment horizontal="center" vertical="center" wrapText="1"/>
    </xf>
    <xf numFmtId="0" fontId="0" fillId="0" borderId="16" xfId="0" quotePrefix="1" applyBorder="1" applyAlignment="1">
      <alignment horizontal="left" vertical="center" wrapText="1"/>
    </xf>
    <xf numFmtId="181" fontId="0" fillId="0" borderId="17" xfId="0" applyNumberFormat="1" applyBorder="1" applyAlignment="1">
      <alignment horizontal="right" vertical="center" wrapText="1"/>
    </xf>
    <xf numFmtId="181" fontId="0" fillId="0" borderId="15" xfId="0" applyNumberFormat="1" applyBorder="1" applyAlignment="1">
      <alignment horizontal="right" vertical="center" wrapText="1"/>
    </xf>
    <xf numFmtId="181" fontId="0" fillId="0" borderId="18" xfId="0" applyNumberFormat="1" applyBorder="1" applyAlignment="1">
      <alignment horizontal="right" vertical="center" wrapText="1"/>
    </xf>
    <xf numFmtId="181" fontId="0" fillId="0" borderId="29" xfId="0" applyNumberFormat="1" applyBorder="1" applyAlignment="1">
      <alignment horizontal="right" vertical="center" wrapText="1"/>
    </xf>
    <xf numFmtId="181" fontId="0" fillId="0" borderId="30" xfId="0" applyNumberFormat="1" applyBorder="1" applyAlignment="1">
      <alignment horizontal="right" vertical="center" wrapText="1"/>
    </xf>
    <xf numFmtId="181" fontId="0" fillId="0" borderId="31" xfId="0" applyNumberFormat="1" applyBorder="1" applyAlignment="1">
      <alignment horizontal="right" vertical="center" wrapText="1"/>
    </xf>
    <xf numFmtId="0" fontId="0" fillId="0" borderId="15" xfId="0" applyBorder="1" applyAlignment="1">
      <alignment horizontal="left"/>
    </xf>
    <xf numFmtId="0" fontId="0" fillId="0" borderId="18" xfId="0" applyBorder="1" applyAlignment="1">
      <alignment horizontal="left"/>
    </xf>
    <xf numFmtId="0" fontId="0" fillId="0" borderId="0" xfId="0" applyBorder="1" applyAlignment="1">
      <alignment horizontal="left"/>
    </xf>
    <xf numFmtId="0" fontId="0" fillId="0" borderId="23" xfId="0" applyBorder="1" applyAlignment="1">
      <alignment horizontal="left"/>
    </xf>
    <xf numFmtId="0" fontId="0" fillId="0" borderId="30" xfId="0" applyBorder="1" applyAlignment="1">
      <alignment horizontal="left"/>
    </xf>
    <xf numFmtId="0" fontId="0" fillId="0" borderId="31" xfId="0" applyBorder="1" applyAlignment="1">
      <alignment horizontal="left"/>
    </xf>
    <xf numFmtId="0" fontId="0" fillId="0" borderId="29" xfId="0" applyBorder="1" applyAlignment="1">
      <alignment horizontal="center"/>
    </xf>
    <xf numFmtId="0" fontId="0" fillId="0" borderId="30" xfId="0" applyBorder="1" applyAlignment="1">
      <alignment horizontal="center"/>
    </xf>
    <xf numFmtId="14" fontId="0" fillId="0" borderId="17" xfId="0" applyNumberFormat="1" applyBorder="1" applyAlignment="1">
      <alignment horizontal="center" vertical="center" wrapText="1"/>
    </xf>
    <xf numFmtId="14" fontId="0" fillId="0" borderId="15" xfId="0" applyNumberFormat="1" applyBorder="1" applyAlignment="1">
      <alignment horizontal="center" vertical="center" wrapText="1"/>
    </xf>
    <xf numFmtId="14" fontId="0" fillId="0" borderId="18" xfId="0" applyNumberFormat="1" applyBorder="1" applyAlignment="1">
      <alignment horizontal="center" vertical="center" wrapText="1"/>
    </xf>
    <xf numFmtId="14" fontId="0" fillId="0" borderId="29" xfId="0" applyNumberFormat="1" applyBorder="1" applyAlignment="1">
      <alignment horizontal="center" vertical="center" wrapText="1"/>
    </xf>
    <xf numFmtId="14" fontId="0" fillId="0" borderId="30" xfId="0" applyNumberFormat="1" applyBorder="1" applyAlignment="1">
      <alignment horizontal="center" vertical="center" wrapText="1"/>
    </xf>
    <xf numFmtId="14" fontId="0" fillId="0" borderId="31" xfId="0" applyNumberFormat="1" applyBorder="1" applyAlignment="1">
      <alignment horizontal="center" vertical="center" wrapText="1"/>
    </xf>
    <xf numFmtId="182" fontId="0" fillId="0" borderId="17" xfId="0" applyNumberFormat="1" applyBorder="1" applyAlignment="1">
      <alignment horizontal="right" vertical="center" wrapText="1"/>
    </xf>
    <xf numFmtId="182" fontId="0" fillId="0" borderId="15" xfId="0" applyNumberFormat="1" applyBorder="1" applyAlignment="1">
      <alignment horizontal="right" vertical="center" wrapText="1"/>
    </xf>
    <xf numFmtId="182" fontId="0" fillId="0" borderId="18" xfId="0" applyNumberFormat="1" applyBorder="1" applyAlignment="1">
      <alignment horizontal="right" vertical="center" wrapText="1"/>
    </xf>
    <xf numFmtId="182" fontId="0" fillId="0" borderId="29" xfId="0" applyNumberFormat="1" applyBorder="1" applyAlignment="1">
      <alignment horizontal="right" vertical="center" wrapText="1"/>
    </xf>
    <xf numFmtId="182" fontId="0" fillId="0" borderId="30" xfId="0" applyNumberFormat="1" applyBorder="1" applyAlignment="1">
      <alignment horizontal="right" vertical="center" wrapText="1"/>
    </xf>
    <xf numFmtId="182" fontId="0" fillId="0" borderId="31" xfId="0" applyNumberFormat="1" applyBorder="1" applyAlignment="1">
      <alignment horizontal="right" vertical="center" wrapText="1"/>
    </xf>
    <xf numFmtId="184" fontId="0" fillId="0" borderId="17" xfId="0" applyNumberFormat="1" applyBorder="1" applyAlignment="1">
      <alignment horizontal="right" vertical="center" wrapText="1"/>
    </xf>
    <xf numFmtId="184" fontId="0" fillId="0" borderId="15" xfId="0" applyNumberFormat="1" applyBorder="1" applyAlignment="1">
      <alignment horizontal="right" vertical="center" wrapText="1"/>
    </xf>
    <xf numFmtId="184" fontId="0" fillId="0" borderId="18" xfId="0" applyNumberFormat="1" applyBorder="1" applyAlignment="1">
      <alignment horizontal="right" vertical="center" wrapText="1"/>
    </xf>
    <xf numFmtId="184" fontId="0" fillId="0" borderId="29" xfId="0" applyNumberFormat="1" applyBorder="1" applyAlignment="1">
      <alignment horizontal="right" vertical="center" wrapText="1"/>
    </xf>
    <xf numFmtId="184" fontId="0" fillId="0" borderId="30" xfId="0" applyNumberFormat="1" applyBorder="1" applyAlignment="1">
      <alignment horizontal="right" vertical="center" wrapText="1"/>
    </xf>
    <xf numFmtId="184" fontId="0" fillId="0" borderId="31" xfId="0" applyNumberFormat="1" applyBorder="1" applyAlignment="1">
      <alignment horizontal="right" vertical="center" wrapText="1"/>
    </xf>
    <xf numFmtId="183" fontId="0" fillId="0" borderId="17" xfId="0" applyNumberFormat="1" applyBorder="1" applyAlignment="1">
      <alignment horizontal="right" vertical="center" wrapText="1"/>
    </xf>
    <xf numFmtId="183" fontId="0" fillId="0" borderId="15" xfId="0" applyNumberFormat="1" applyBorder="1" applyAlignment="1">
      <alignment horizontal="right" vertical="center" wrapText="1"/>
    </xf>
    <xf numFmtId="183" fontId="0" fillId="0" borderId="18" xfId="0" applyNumberFormat="1" applyBorder="1" applyAlignment="1">
      <alignment horizontal="right" vertical="center" wrapText="1"/>
    </xf>
    <xf numFmtId="183" fontId="0" fillId="0" borderId="29" xfId="0" applyNumberFormat="1" applyBorder="1" applyAlignment="1">
      <alignment horizontal="right" vertical="center" wrapText="1"/>
    </xf>
    <xf numFmtId="183" fontId="0" fillId="0" borderId="30" xfId="0" applyNumberFormat="1" applyBorder="1" applyAlignment="1">
      <alignment horizontal="right" vertical="center" wrapText="1"/>
    </xf>
    <xf numFmtId="183" fontId="0" fillId="0" borderId="31" xfId="0" applyNumberFormat="1" applyBorder="1" applyAlignment="1">
      <alignment horizontal="right" vertical="center" wrapText="1"/>
    </xf>
    <xf numFmtId="0" fontId="0" fillId="0" borderId="13" xfId="0" applyBorder="1" applyAlignment="1">
      <alignment horizontal="center"/>
    </xf>
    <xf numFmtId="0" fontId="0" fillId="0" borderId="0" xfId="0" applyBorder="1" applyAlignment="1">
      <alignment horizontal="center"/>
    </xf>
    <xf numFmtId="14" fontId="0" fillId="0" borderId="11" xfId="0" applyNumberFormat="1" applyBorder="1" applyAlignment="1">
      <alignment horizontal="center" vertical="center" wrapText="1"/>
    </xf>
    <xf numFmtId="14" fontId="0" fillId="0" borderId="14" xfId="0" applyNumberFormat="1" applyBorder="1" applyAlignment="1">
      <alignment horizontal="center" vertical="center" wrapText="1"/>
    </xf>
    <xf numFmtId="14" fontId="0" fillId="0" borderId="12" xfId="0" applyNumberFormat="1" applyBorder="1" applyAlignment="1">
      <alignment horizontal="center" vertical="center" wrapText="1"/>
    </xf>
    <xf numFmtId="185" fontId="0" fillId="0" borderId="17" xfId="0" applyNumberFormat="1" applyBorder="1" applyAlignment="1">
      <alignment horizontal="right" vertical="center" wrapText="1"/>
    </xf>
    <xf numFmtId="185" fontId="0" fillId="0" borderId="15" xfId="0" applyNumberFormat="1" applyBorder="1" applyAlignment="1">
      <alignment horizontal="right" vertical="center" wrapText="1"/>
    </xf>
    <xf numFmtId="185" fontId="0" fillId="0" borderId="18" xfId="0" applyNumberFormat="1" applyBorder="1" applyAlignment="1">
      <alignment horizontal="right" vertical="center" wrapText="1"/>
    </xf>
    <xf numFmtId="185" fontId="0" fillId="0" borderId="29" xfId="0" applyNumberFormat="1" applyBorder="1" applyAlignment="1">
      <alignment horizontal="right" vertical="center" wrapText="1"/>
    </xf>
    <xf numFmtId="185" fontId="0" fillId="0" borderId="30" xfId="0" applyNumberFormat="1" applyBorder="1" applyAlignment="1">
      <alignment horizontal="right" vertical="center" wrapText="1"/>
    </xf>
    <xf numFmtId="185" fontId="0" fillId="0" borderId="31" xfId="0" applyNumberFormat="1" applyBorder="1" applyAlignment="1">
      <alignment horizontal="right" vertical="center" wrapText="1"/>
    </xf>
    <xf numFmtId="0" fontId="0" fillId="39" borderId="16" xfId="0" applyFill="1" applyBorder="1" applyAlignment="1">
      <alignment horizontal="center"/>
    </xf>
    <xf numFmtId="0" fontId="0" fillId="38" borderId="16" xfId="0" applyFill="1" applyBorder="1" applyAlignment="1">
      <alignment horizontal="center"/>
    </xf>
    <xf numFmtId="0" fontId="0" fillId="38" borderId="11" xfId="0" applyFill="1" applyBorder="1" applyAlignment="1">
      <alignment horizontal="center"/>
    </xf>
    <xf numFmtId="0" fontId="0" fillId="38" borderId="14" xfId="0" applyFill="1" applyBorder="1" applyAlignment="1">
      <alignment horizontal="center"/>
    </xf>
    <xf numFmtId="0" fontId="0" fillId="38" borderId="12" xfId="0" applyFill="1" applyBorder="1" applyAlignment="1">
      <alignment horizontal="center"/>
    </xf>
    <xf numFmtId="0" fontId="0" fillId="0" borderId="17" xfId="0" applyBorder="1" applyAlignment="1">
      <alignment horizontal="center"/>
    </xf>
    <xf numFmtId="0" fontId="0" fillId="0" borderId="15" xfId="0" applyBorder="1" applyAlignment="1">
      <alignment horizontal="center"/>
    </xf>
    <xf numFmtId="0" fontId="38" fillId="0" borderId="17" xfId="0" applyFont="1" applyBorder="1" applyAlignment="1">
      <alignment horizontal="center" vertical="center"/>
    </xf>
    <xf numFmtId="0" fontId="38" fillId="0" borderId="15" xfId="0" applyFont="1" applyBorder="1" applyAlignment="1">
      <alignment horizontal="center" vertical="center"/>
    </xf>
    <xf numFmtId="0" fontId="38" fillId="0" borderId="13" xfId="0" applyFont="1" applyBorder="1" applyAlignment="1">
      <alignment horizontal="center" vertical="center"/>
    </xf>
    <xf numFmtId="0" fontId="38" fillId="0" borderId="0" xfId="0" applyFont="1" applyBorder="1" applyAlignment="1">
      <alignment horizontal="center" vertical="center"/>
    </xf>
    <xf numFmtId="0" fontId="38" fillId="0" borderId="18" xfId="0" applyFont="1" applyBorder="1" applyAlignment="1">
      <alignment horizontal="center" vertical="center"/>
    </xf>
    <xf numFmtId="0" fontId="38" fillId="0" borderId="23" xfId="0" applyFont="1" applyBorder="1" applyAlignment="1">
      <alignment horizontal="center" vertical="center"/>
    </xf>
    <xf numFmtId="0" fontId="0" fillId="0" borderId="16" xfId="0" applyBorder="1" applyAlignment="1">
      <alignment horizontal="right" vertical="center"/>
    </xf>
    <xf numFmtId="176" fontId="0" fillId="0" borderId="16" xfId="0" applyNumberFormat="1" applyBorder="1" applyAlignment="1">
      <alignment horizontal="right" vertical="center"/>
    </xf>
    <xf numFmtId="180" fontId="0" fillId="29" borderId="16" xfId="0" applyNumberFormat="1" applyFill="1" applyBorder="1" applyAlignment="1">
      <alignment horizontal="right" vertical="center"/>
    </xf>
    <xf numFmtId="0" fontId="0" fillId="0" borderId="16" xfId="0" applyBorder="1" applyAlignment="1">
      <alignment horizontal="left"/>
    </xf>
    <xf numFmtId="0" fontId="21" fillId="25" borderId="17" xfId="0" applyFont="1" applyFill="1" applyBorder="1" applyAlignment="1">
      <alignment horizontal="center" vertical="center" wrapText="1"/>
    </xf>
    <xf numFmtId="0" fontId="21" fillId="25" borderId="15" xfId="0" applyFont="1" applyFill="1" applyBorder="1" applyAlignment="1">
      <alignment horizontal="center" vertical="center" wrapText="1"/>
    </xf>
    <xf numFmtId="0" fontId="21" fillId="25" borderId="18" xfId="0" applyFont="1" applyFill="1" applyBorder="1" applyAlignment="1">
      <alignment horizontal="center" vertical="center" wrapText="1"/>
    </xf>
    <xf numFmtId="0" fontId="21" fillId="25" borderId="29" xfId="0" applyFont="1" applyFill="1" applyBorder="1" applyAlignment="1">
      <alignment horizontal="center" vertical="center" wrapText="1"/>
    </xf>
    <xf numFmtId="0" fontId="21" fillId="25" borderId="30" xfId="0" applyFont="1" applyFill="1" applyBorder="1" applyAlignment="1">
      <alignment horizontal="center" vertical="center" wrapText="1"/>
    </xf>
    <xf numFmtId="0" fontId="21" fillId="25" borderId="31" xfId="0" applyFont="1" applyFill="1" applyBorder="1" applyAlignment="1">
      <alignment horizontal="center" vertical="center" wrapText="1"/>
    </xf>
    <xf numFmtId="0" fontId="0" fillId="25" borderId="11" xfId="0" applyFill="1" applyBorder="1" applyAlignment="1">
      <alignment horizontal="center"/>
    </xf>
    <xf numFmtId="0" fontId="0" fillId="25" borderId="14" xfId="0" applyFill="1" applyBorder="1" applyAlignment="1">
      <alignment horizontal="center"/>
    </xf>
    <xf numFmtId="0" fontId="30" fillId="0" borderId="16" xfId="0" applyFont="1" applyBorder="1" applyAlignment="1">
      <alignment horizontal="center" vertical="center" wrapText="1"/>
    </xf>
    <xf numFmtId="0" fontId="38" fillId="0" borderId="16" xfId="0" applyFont="1" applyBorder="1" applyAlignment="1">
      <alignment horizontal="center" vertical="center" wrapText="1"/>
    </xf>
    <xf numFmtId="180" fontId="0" fillId="0" borderId="16" xfId="0" applyNumberFormat="1" applyBorder="1" applyAlignment="1">
      <alignment horizontal="right"/>
    </xf>
    <xf numFmtId="176" fontId="0" fillId="0" borderId="16" xfId="0" applyNumberFormat="1" applyFill="1" applyBorder="1" applyAlignment="1">
      <alignment horizontal="center"/>
    </xf>
    <xf numFmtId="14" fontId="0" fillId="0" borderId="16" xfId="0" applyNumberFormat="1" applyBorder="1" applyAlignment="1">
      <alignment horizontal="center"/>
    </xf>
    <xf numFmtId="0" fontId="0" fillId="25" borderId="16" xfId="0" applyFill="1" applyBorder="1" applyAlignment="1">
      <alignment horizontal="center" vertical="center" textRotation="255" wrapText="1"/>
    </xf>
    <xf numFmtId="0" fontId="0" fillId="0" borderId="16" xfId="0" applyBorder="1" applyAlignment="1">
      <alignment vertical="center" textRotation="255"/>
    </xf>
    <xf numFmtId="0" fontId="0" fillId="40" borderId="16" xfId="0" applyFill="1" applyBorder="1" applyAlignment="1">
      <alignment horizontal="left" vertical="center" wrapText="1"/>
    </xf>
    <xf numFmtId="0" fontId="0" fillId="0" borderId="16" xfId="0" applyBorder="1" applyAlignment="1">
      <alignment horizontal="left" vertical="center"/>
    </xf>
    <xf numFmtId="0" fontId="0" fillId="25" borderId="17" xfId="0" applyFill="1" applyBorder="1" applyAlignment="1">
      <alignment horizontal="center" vertical="center" textRotation="255" wrapText="1"/>
    </xf>
    <xf numFmtId="0" fontId="0" fillId="0" borderId="18" xfId="0" applyBorder="1" applyAlignment="1">
      <alignment vertical="center" textRotation="255"/>
    </xf>
    <xf numFmtId="0" fontId="0" fillId="0" borderId="13" xfId="0" applyBorder="1" applyAlignment="1">
      <alignment vertical="center" textRotation="255"/>
    </xf>
    <xf numFmtId="0" fontId="0" fillId="0" borderId="23" xfId="0" applyBorder="1" applyAlignment="1">
      <alignment vertical="center" textRotation="255"/>
    </xf>
    <xf numFmtId="0" fontId="0" fillId="0" borderId="29" xfId="0" applyBorder="1" applyAlignment="1">
      <alignment vertical="center" textRotation="255"/>
    </xf>
    <xf numFmtId="0" fontId="0" fillId="0" borderId="31" xfId="0" applyBorder="1" applyAlignment="1">
      <alignment vertical="center" textRotation="255"/>
    </xf>
    <xf numFmtId="0" fontId="0" fillId="0" borderId="17" xfId="0" applyBorder="1" applyAlignment="1">
      <alignment vertical="center"/>
    </xf>
    <xf numFmtId="0" fontId="0" fillId="0" borderId="15" xfId="0" applyBorder="1" applyAlignment="1">
      <alignment vertical="center"/>
    </xf>
    <xf numFmtId="0" fontId="0" fillId="0" borderId="18" xfId="0" applyBorder="1" applyAlignment="1">
      <alignment vertical="center"/>
    </xf>
    <xf numFmtId="0" fontId="0" fillId="0" borderId="13" xfId="0" applyBorder="1" applyAlignment="1">
      <alignment vertical="center"/>
    </xf>
    <xf numFmtId="0" fontId="0" fillId="0" borderId="0" xfId="0" applyAlignment="1">
      <alignment vertical="center"/>
    </xf>
    <xf numFmtId="0" fontId="0" fillId="0" borderId="23" xfId="0"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25" borderId="11" xfId="0" applyFill="1" applyBorder="1" applyAlignment="1">
      <alignment horizontal="center" vertical="center" wrapText="1"/>
    </xf>
    <xf numFmtId="189" fontId="0" fillId="0" borderId="11" xfId="0" applyNumberFormat="1" applyBorder="1" applyAlignment="1">
      <alignment horizontal="right" vertical="center" wrapText="1"/>
    </xf>
    <xf numFmtId="189" fontId="0" fillId="0" borderId="14" xfId="0" applyNumberFormat="1" applyBorder="1" applyAlignment="1">
      <alignment horizontal="right" vertical="center" wrapText="1"/>
    </xf>
    <xf numFmtId="189" fontId="0" fillId="0" borderId="12" xfId="0" applyNumberFormat="1" applyBorder="1" applyAlignment="1">
      <alignment horizontal="right" vertical="center" wrapText="1"/>
    </xf>
    <xf numFmtId="190" fontId="0" fillId="0" borderId="11" xfId="0" applyNumberFormat="1" applyBorder="1" applyAlignment="1">
      <alignment horizontal="right" vertical="center" wrapText="1"/>
    </xf>
    <xf numFmtId="190" fontId="0" fillId="0" borderId="14" xfId="0" applyNumberFormat="1" applyBorder="1" applyAlignment="1">
      <alignment horizontal="right" vertical="center" wrapText="1"/>
    </xf>
    <xf numFmtId="190" fontId="0" fillId="0" borderId="12" xfId="0" applyNumberFormat="1" applyBorder="1" applyAlignment="1">
      <alignment horizontal="right" vertical="center" wrapText="1"/>
    </xf>
    <xf numFmtId="0" fontId="8" fillId="0" borderId="123" xfId="50" applyFont="1" applyBorder="1" applyAlignment="1">
      <alignment horizontal="center" vertical="center"/>
    </xf>
    <xf numFmtId="0" fontId="8" fillId="0" borderId="124" xfId="50" applyFont="1" applyBorder="1" applyAlignment="1">
      <alignment horizontal="center" vertical="center"/>
    </xf>
    <xf numFmtId="0" fontId="8" fillId="0" borderId="125" xfId="50" applyFont="1" applyBorder="1" applyAlignment="1">
      <alignment horizontal="center" vertical="center"/>
    </xf>
    <xf numFmtId="0" fontId="8" fillId="0" borderId="126" xfId="50" applyFont="1" applyBorder="1" applyAlignment="1">
      <alignment horizontal="center" vertical="center"/>
    </xf>
    <xf numFmtId="176" fontId="8" fillId="0" borderId="126" xfId="50" applyNumberFormat="1" applyFont="1" applyBorder="1" applyAlignment="1">
      <alignment horizontal="center" vertical="center"/>
    </xf>
    <xf numFmtId="176" fontId="8" fillId="0" borderId="125" xfId="50" applyNumberFormat="1" applyFont="1" applyBorder="1" applyAlignment="1">
      <alignment horizontal="center" vertical="center"/>
    </xf>
    <xf numFmtId="14" fontId="8" fillId="0" borderId="127" xfId="50" applyNumberFormat="1" applyFont="1" applyBorder="1" applyAlignment="1">
      <alignment horizontal="center" vertical="center"/>
    </xf>
    <xf numFmtId="14" fontId="8" fillId="0" borderId="128" xfId="50" applyNumberFormat="1" applyFont="1" applyBorder="1" applyAlignment="1">
      <alignment horizontal="center" vertical="center"/>
    </xf>
    <xf numFmtId="14" fontId="8" fillId="0" borderId="129" xfId="50" applyNumberFormat="1" applyFont="1" applyBorder="1" applyAlignment="1">
      <alignment horizontal="center" vertical="center"/>
    </xf>
    <xf numFmtId="0" fontId="8" fillId="0" borderId="130" xfId="50" applyFont="1" applyBorder="1" applyAlignment="1">
      <alignment horizontal="center" vertical="center"/>
    </xf>
    <xf numFmtId="0" fontId="8" fillId="0" borderId="129" xfId="50" applyFont="1" applyBorder="1" applyAlignment="1">
      <alignment horizontal="center" vertical="center"/>
    </xf>
    <xf numFmtId="14" fontId="8" fillId="0" borderId="130" xfId="50" applyNumberFormat="1" applyFont="1" applyBorder="1" applyAlignment="1">
      <alignment horizontal="center" vertical="center"/>
    </xf>
    <xf numFmtId="0" fontId="8" fillId="0" borderId="16" xfId="54" applyFont="1" applyBorder="1" applyAlignment="1">
      <alignment horizontal="center" vertical="center"/>
    </xf>
    <xf numFmtId="14" fontId="8" fillId="0" borderId="16" xfId="54" applyNumberFormat="1" applyFont="1" applyBorder="1" applyAlignment="1">
      <alignment horizontal="center" vertical="center"/>
    </xf>
    <xf numFmtId="0" fontId="8" fillId="0" borderId="17" xfId="54" applyFont="1" applyBorder="1" applyAlignment="1">
      <alignment horizontal="center" vertical="center"/>
    </xf>
    <xf numFmtId="0" fontId="8" fillId="0" borderId="15" xfId="54" applyFont="1" applyBorder="1" applyAlignment="1">
      <alignment horizontal="center" vertical="center"/>
    </xf>
    <xf numFmtId="0" fontId="8" fillId="0" borderId="18" xfId="54" applyFont="1" applyBorder="1" applyAlignment="1">
      <alignment horizontal="center" vertical="center"/>
    </xf>
    <xf numFmtId="0" fontId="8" fillId="0" borderId="13" xfId="54" applyFont="1" applyBorder="1" applyAlignment="1">
      <alignment horizontal="center" vertical="center"/>
    </xf>
    <xf numFmtId="0" fontId="8" fillId="0" borderId="0" xfId="54" applyFont="1" applyBorder="1" applyAlignment="1">
      <alignment horizontal="center" vertical="center"/>
    </xf>
    <xf numFmtId="0" fontId="8" fillId="0" borderId="23" xfId="54" applyFont="1" applyBorder="1" applyAlignment="1">
      <alignment horizontal="center" vertical="center"/>
    </xf>
    <xf numFmtId="0" fontId="8" fillId="0" borderId="29" xfId="54" applyFont="1" applyBorder="1" applyAlignment="1">
      <alignment horizontal="center" vertical="center"/>
    </xf>
    <xf numFmtId="0" fontId="8" fillId="0" borderId="30" xfId="54" applyFont="1" applyBorder="1" applyAlignment="1">
      <alignment horizontal="center" vertical="center"/>
    </xf>
    <xf numFmtId="0" fontId="8" fillId="0" borderId="31" xfId="54" applyFont="1" applyBorder="1" applyAlignment="1">
      <alignment horizontal="center" vertical="center"/>
    </xf>
    <xf numFmtId="0" fontId="31" fillId="0" borderId="11" xfId="49" applyFont="1" applyBorder="1" applyAlignment="1">
      <alignment horizontal="center" vertical="center"/>
    </xf>
    <xf numFmtId="0" fontId="31" fillId="0" borderId="14" xfId="49" applyFont="1" applyBorder="1" applyAlignment="1">
      <alignment horizontal="center" vertical="center"/>
    </xf>
    <xf numFmtId="0" fontId="31" fillId="0" borderId="12" xfId="49" applyFont="1" applyBorder="1" applyAlignment="1">
      <alignment horizontal="center" vertical="center"/>
    </xf>
    <xf numFmtId="0" fontId="30" fillId="0" borderId="17" xfId="54" applyFont="1" applyBorder="1" applyAlignment="1">
      <alignment horizontal="center" vertical="center"/>
    </xf>
    <xf numFmtId="0" fontId="30" fillId="0" borderId="15" xfId="54" applyFont="1" applyBorder="1" applyAlignment="1">
      <alignment horizontal="center" vertical="center"/>
    </xf>
    <xf numFmtId="0" fontId="30" fillId="0" borderId="18" xfId="54" applyFont="1" applyBorder="1" applyAlignment="1">
      <alignment horizontal="center" vertical="center"/>
    </xf>
    <xf numFmtId="0" fontId="30" fillId="0" borderId="13" xfId="54" applyFont="1" applyBorder="1" applyAlignment="1">
      <alignment horizontal="center" vertical="center"/>
    </xf>
    <xf numFmtId="0" fontId="30" fillId="0" borderId="0" xfId="54" applyFont="1" applyBorder="1" applyAlignment="1">
      <alignment horizontal="center" vertical="center"/>
    </xf>
    <xf numFmtId="0" fontId="30" fillId="0" borderId="23" xfId="54" applyFont="1" applyBorder="1" applyAlignment="1">
      <alignment horizontal="center" vertical="center"/>
    </xf>
    <xf numFmtId="0" fontId="30" fillId="0" borderId="29" xfId="54" applyFont="1" applyBorder="1" applyAlignment="1">
      <alignment horizontal="center" vertical="center"/>
    </xf>
    <xf numFmtId="0" fontId="30" fillId="0" borderId="30" xfId="54" applyFont="1" applyBorder="1" applyAlignment="1">
      <alignment horizontal="center" vertical="center"/>
    </xf>
    <xf numFmtId="0" fontId="30" fillId="0" borderId="31" xfId="54" applyFont="1" applyBorder="1" applyAlignment="1">
      <alignment horizontal="center" vertical="center"/>
    </xf>
    <xf numFmtId="0" fontId="8" fillId="0" borderId="16" xfId="50" applyFont="1" applyBorder="1" applyAlignment="1">
      <alignment horizontal="center" vertical="center"/>
    </xf>
    <xf numFmtId="0" fontId="30" fillId="0" borderId="17" xfId="54" applyFont="1" applyBorder="1" applyAlignment="1">
      <alignment horizontal="center" vertical="center" wrapText="1"/>
    </xf>
    <xf numFmtId="0" fontId="31" fillId="25" borderId="22" xfId="83" applyFont="1" applyFill="1" applyBorder="1" applyAlignment="1">
      <alignment horizontal="center" vertical="top" textRotation="255"/>
    </xf>
    <xf numFmtId="0" fontId="31" fillId="25" borderId="34" xfId="83" applyFont="1" applyFill="1" applyBorder="1" applyAlignment="1">
      <alignment horizontal="center" vertical="top" textRotation="255"/>
    </xf>
    <xf numFmtId="0" fontId="31" fillId="25" borderId="133" xfId="83" applyFont="1" applyFill="1" applyBorder="1" applyAlignment="1">
      <alignment horizontal="center" vertical="top" textRotation="255" wrapText="1"/>
    </xf>
    <xf numFmtId="0" fontId="31" fillId="25" borderId="134" xfId="83" applyFont="1" applyFill="1" applyBorder="1" applyAlignment="1">
      <alignment horizontal="center" vertical="top" textRotation="255" wrapText="1"/>
    </xf>
    <xf numFmtId="0" fontId="31" fillId="25" borderId="22" xfId="83" applyFont="1" applyFill="1" applyBorder="1" applyAlignment="1">
      <alignment horizontal="center" vertical="top" textRotation="255" wrapText="1"/>
    </xf>
    <xf numFmtId="0" fontId="31" fillId="25" borderId="34" xfId="83" applyFont="1" applyFill="1" applyBorder="1" applyAlignment="1">
      <alignment horizontal="center" vertical="top" textRotation="255" wrapText="1"/>
    </xf>
    <xf numFmtId="0" fontId="31" fillId="25" borderId="32" xfId="83" applyFont="1" applyFill="1" applyBorder="1" applyAlignment="1">
      <alignment horizontal="center" vertical="top" textRotation="255" wrapText="1"/>
    </xf>
    <xf numFmtId="0" fontId="31" fillId="25" borderId="131" xfId="83" applyFont="1" applyFill="1" applyBorder="1" applyAlignment="1">
      <alignment horizontal="center" vertical="top" textRotation="255"/>
    </xf>
    <xf numFmtId="0" fontId="31" fillId="25" borderId="132" xfId="83" applyFont="1" applyFill="1" applyBorder="1" applyAlignment="1">
      <alignment horizontal="center" vertical="top" textRotation="255"/>
    </xf>
    <xf numFmtId="0" fontId="31" fillId="25" borderId="22" xfId="85" applyFont="1" applyFill="1" applyBorder="1" applyAlignment="1">
      <alignment horizontal="center" vertical="top" textRotation="255"/>
    </xf>
    <xf numFmtId="0" fontId="31" fillId="25" borderId="34" xfId="85" applyFont="1" applyFill="1" applyBorder="1" applyAlignment="1">
      <alignment horizontal="center" vertical="top" textRotation="255"/>
    </xf>
    <xf numFmtId="0" fontId="31" fillId="25" borderId="135" xfId="83" applyFont="1" applyFill="1" applyBorder="1" applyAlignment="1">
      <alignment horizontal="center" vertical="top" textRotation="255" wrapText="1"/>
    </xf>
    <xf numFmtId="0" fontId="31" fillId="25" borderId="136" xfId="83" applyFont="1" applyFill="1" applyBorder="1" applyAlignment="1">
      <alignment horizontal="center" vertical="top" textRotation="255" wrapText="1"/>
    </xf>
    <xf numFmtId="0" fontId="31" fillId="25" borderId="62" xfId="83" applyFont="1" applyFill="1" applyBorder="1" applyAlignment="1">
      <alignment horizontal="center" vertical="top" textRotation="255" wrapText="1"/>
    </xf>
    <xf numFmtId="0" fontId="31" fillId="25" borderId="131" xfId="85" applyFont="1" applyFill="1" applyBorder="1" applyAlignment="1">
      <alignment horizontal="center" vertical="top" textRotation="255"/>
    </xf>
    <xf numFmtId="0" fontId="31" fillId="25" borderId="132" xfId="85" applyFont="1" applyFill="1" applyBorder="1" applyAlignment="1">
      <alignment horizontal="center" vertical="top" textRotation="255"/>
    </xf>
    <xf numFmtId="0" fontId="31" fillId="25" borderId="149" xfId="61" applyFont="1" applyFill="1" applyBorder="1" applyAlignment="1">
      <alignment horizontal="center" vertical="center" wrapText="1"/>
    </xf>
    <xf numFmtId="0" fontId="31" fillId="25" borderId="15" xfId="61" applyFont="1" applyFill="1" applyBorder="1" applyAlignment="1">
      <alignment horizontal="center" vertical="center" wrapText="1"/>
    </xf>
    <xf numFmtId="0" fontId="31" fillId="25" borderId="18" xfId="61" applyFont="1" applyFill="1" applyBorder="1" applyAlignment="1">
      <alignment horizontal="center" vertical="center" wrapText="1"/>
    </xf>
    <xf numFmtId="0" fontId="31" fillId="25" borderId="150" xfId="61" applyFont="1" applyFill="1" applyBorder="1" applyAlignment="1">
      <alignment horizontal="center" vertical="center" wrapText="1"/>
    </xf>
    <xf numFmtId="0" fontId="31" fillId="25" borderId="30" xfId="61" applyFont="1" applyFill="1" applyBorder="1" applyAlignment="1">
      <alignment horizontal="center" vertical="center" wrapText="1"/>
    </xf>
    <xf numFmtId="0" fontId="31" fillId="25" borderId="31" xfId="61" applyFont="1" applyFill="1" applyBorder="1" applyAlignment="1">
      <alignment horizontal="center" vertical="center" wrapText="1"/>
    </xf>
    <xf numFmtId="0" fontId="31" fillId="0" borderId="11" xfId="61" applyFont="1" applyFill="1" applyBorder="1" applyAlignment="1">
      <alignment vertical="center" wrapText="1"/>
    </xf>
    <xf numFmtId="0" fontId="31" fillId="0" borderId="14" xfId="61" applyFont="1" applyFill="1" applyBorder="1" applyAlignment="1">
      <alignment vertical="center" wrapText="1"/>
    </xf>
    <xf numFmtId="0" fontId="31" fillId="27" borderId="11" xfId="61" applyFont="1" applyFill="1" applyBorder="1" applyAlignment="1">
      <alignment horizontal="center" vertical="center"/>
    </xf>
    <xf numFmtId="0" fontId="31" fillId="27" borderId="14" xfId="61" applyFont="1" applyFill="1" applyBorder="1" applyAlignment="1">
      <alignment horizontal="center" vertical="center"/>
    </xf>
    <xf numFmtId="0" fontId="31" fillId="27" borderId="12" xfId="61" applyFont="1" applyFill="1" applyBorder="1" applyAlignment="1">
      <alignment horizontal="center" vertical="center"/>
    </xf>
    <xf numFmtId="0" fontId="31" fillId="0" borderId="12" xfId="61" applyFont="1" applyFill="1" applyBorder="1" applyAlignment="1">
      <alignment vertical="center" wrapText="1"/>
    </xf>
    <xf numFmtId="0" fontId="31" fillId="27" borderId="29" xfId="61" applyFont="1" applyFill="1" applyBorder="1" applyAlignment="1">
      <alignment horizontal="center" vertical="center"/>
    </xf>
    <xf numFmtId="0" fontId="31" fillId="27" borderId="30" xfId="61" applyFont="1" applyFill="1" applyBorder="1" applyAlignment="1">
      <alignment horizontal="center" vertical="center"/>
    </xf>
    <xf numFmtId="0" fontId="31" fillId="0" borderId="156" xfId="61" applyFont="1" applyFill="1" applyBorder="1" applyAlignment="1">
      <alignment vertical="center" wrapText="1"/>
    </xf>
    <xf numFmtId="0" fontId="31" fillId="25" borderId="157" xfId="61" applyFont="1" applyFill="1" applyBorder="1" applyAlignment="1">
      <alignment horizontal="center" vertical="center" textRotation="255" wrapText="1"/>
    </xf>
    <xf numFmtId="0" fontId="31" fillId="25" borderId="23" xfId="61" applyFont="1" applyFill="1" applyBorder="1" applyAlignment="1">
      <alignment horizontal="center" vertical="center" textRotation="255"/>
    </xf>
    <xf numFmtId="0" fontId="31" fillId="25" borderId="149" xfId="61" applyFont="1" applyFill="1" applyBorder="1" applyAlignment="1">
      <alignment horizontal="center" vertical="center" textRotation="255"/>
    </xf>
    <xf numFmtId="0" fontId="31" fillId="25" borderId="18" xfId="61" applyFont="1" applyFill="1" applyBorder="1" applyAlignment="1">
      <alignment horizontal="center" vertical="center" textRotation="255"/>
    </xf>
    <xf numFmtId="0" fontId="31" fillId="25" borderId="157" xfId="61" applyFont="1" applyFill="1" applyBorder="1" applyAlignment="1">
      <alignment horizontal="center" vertical="center" textRotation="255"/>
    </xf>
    <xf numFmtId="0" fontId="31" fillId="25" borderId="142" xfId="61" applyFont="1" applyFill="1" applyBorder="1" applyAlignment="1">
      <alignment horizontal="center" vertical="center" textRotation="255"/>
    </xf>
    <xf numFmtId="0" fontId="31" fillId="25" borderId="143" xfId="61" applyFont="1" applyFill="1" applyBorder="1" applyAlignment="1">
      <alignment horizontal="center" vertical="center" textRotation="255"/>
    </xf>
    <xf numFmtId="0" fontId="31" fillId="0" borderId="11" xfId="61" applyFont="1" applyBorder="1" applyAlignment="1">
      <alignment vertical="top" wrapText="1"/>
    </xf>
    <xf numFmtId="0" fontId="31" fillId="0" borderId="14" xfId="61" applyFont="1" applyBorder="1" applyAlignment="1">
      <alignment vertical="top" wrapText="1"/>
    </xf>
    <xf numFmtId="0" fontId="31" fillId="0" borderId="156" xfId="61" applyFont="1" applyBorder="1" applyAlignment="1">
      <alignment vertical="top" wrapText="1"/>
    </xf>
    <xf numFmtId="178" fontId="31" fillId="0" borderId="11" xfId="61" applyNumberFormat="1" applyFont="1" applyBorder="1" applyAlignment="1">
      <alignment vertical="top" wrapText="1"/>
    </xf>
    <xf numFmtId="178" fontId="31" fillId="0" borderId="14" xfId="61" applyNumberFormat="1" applyFont="1" applyBorder="1" applyAlignment="1">
      <alignment vertical="top" wrapText="1"/>
    </xf>
    <xf numFmtId="178" fontId="31" fillId="0" borderId="156" xfId="61" applyNumberFormat="1" applyFont="1" applyBorder="1" applyAlignment="1">
      <alignment vertical="top" wrapText="1"/>
    </xf>
    <xf numFmtId="0" fontId="31" fillId="25" borderId="17" xfId="61" applyFont="1" applyFill="1" applyBorder="1" applyAlignment="1">
      <alignment vertical="center"/>
    </xf>
    <xf numFmtId="0" fontId="31" fillId="25" borderId="15" xfId="61" applyFont="1" applyFill="1" applyBorder="1" applyAlignment="1">
      <alignment vertical="center"/>
    </xf>
    <xf numFmtId="0" fontId="31" fillId="25" borderId="18" xfId="61" applyFont="1" applyFill="1" applyBorder="1" applyAlignment="1">
      <alignment vertical="center"/>
    </xf>
    <xf numFmtId="14" fontId="33" fillId="0" borderId="11" xfId="61" applyNumberFormat="1" applyFont="1" applyBorder="1" applyAlignment="1">
      <alignment vertical="top" wrapText="1"/>
    </xf>
    <xf numFmtId="14" fontId="33" fillId="0" borderId="14" xfId="61" applyNumberFormat="1" applyFont="1" applyBorder="1" applyAlignment="1">
      <alignment vertical="top" wrapText="1"/>
    </xf>
    <xf numFmtId="14" fontId="33" fillId="0" borderId="156" xfId="61" applyNumberFormat="1" applyFont="1" applyBorder="1" applyAlignment="1">
      <alignment vertical="top" wrapText="1"/>
    </xf>
    <xf numFmtId="14" fontId="31" fillId="0" borderId="11" xfId="61" applyNumberFormat="1" applyFont="1" applyBorder="1" applyAlignment="1">
      <alignment vertical="top" wrapText="1"/>
    </xf>
    <xf numFmtId="14" fontId="31" fillId="0" borderId="14" xfId="61" applyNumberFormat="1" applyFont="1" applyBorder="1" applyAlignment="1">
      <alignment vertical="top" wrapText="1"/>
    </xf>
    <xf numFmtId="14" fontId="31" fillId="0" borderId="156" xfId="61" applyNumberFormat="1" applyFont="1" applyBorder="1" applyAlignment="1">
      <alignment vertical="top" wrapText="1"/>
    </xf>
    <xf numFmtId="0" fontId="33" fillId="0" borderId="11" xfId="61" applyFont="1" applyBorder="1" applyAlignment="1">
      <alignment vertical="top" wrapText="1"/>
    </xf>
    <xf numFmtId="0" fontId="33" fillId="0" borderId="14" xfId="61" applyFont="1" applyBorder="1" applyAlignment="1">
      <alignment vertical="top" wrapText="1"/>
    </xf>
    <xf numFmtId="0" fontId="33" fillId="0" borderId="156" xfId="61" applyFont="1" applyBorder="1" applyAlignment="1">
      <alignment vertical="top" wrapText="1"/>
    </xf>
    <xf numFmtId="0" fontId="31" fillId="25" borderId="87" xfId="61" applyFont="1" applyFill="1" applyBorder="1" applyAlignment="1">
      <alignment vertical="center"/>
    </xf>
    <xf numFmtId="0" fontId="31" fillId="25" borderId="146" xfId="61" applyFont="1" applyFill="1" applyBorder="1" applyAlignment="1">
      <alignment vertical="center"/>
    </xf>
    <xf numFmtId="0" fontId="31" fillId="25" borderId="61" xfId="61" applyFont="1" applyFill="1" applyBorder="1" applyAlignment="1">
      <alignment vertical="center"/>
    </xf>
    <xf numFmtId="0" fontId="31" fillId="0" borderId="87" xfId="61" applyFont="1" applyBorder="1" applyAlignment="1">
      <alignment vertical="top" wrapText="1"/>
    </xf>
    <xf numFmtId="0" fontId="31" fillId="0" borderId="146" xfId="61" applyFont="1" applyBorder="1" applyAlignment="1">
      <alignment vertical="top" wrapText="1"/>
    </xf>
    <xf numFmtId="0" fontId="31" fillId="0" borderId="154" xfId="61" applyFont="1" applyBorder="1" applyAlignment="1">
      <alignment vertical="top" wrapText="1"/>
    </xf>
    <xf numFmtId="14" fontId="31" fillId="0" borderId="86" xfId="61" applyNumberFormat="1" applyFont="1" applyBorder="1" applyAlignment="1">
      <alignment horizontal="center" vertical="center" wrapText="1"/>
    </xf>
    <xf numFmtId="14" fontId="31" fillId="0" borderId="59" xfId="61" applyNumberFormat="1" applyFont="1" applyBorder="1" applyAlignment="1">
      <alignment horizontal="center" vertical="center" wrapText="1"/>
    </xf>
    <xf numFmtId="14" fontId="31" fillId="0" borderId="59" xfId="61" applyNumberFormat="1" applyFont="1" applyFill="1" applyBorder="1" applyAlignment="1">
      <alignment horizontal="center" vertical="center" wrapText="1"/>
    </xf>
    <xf numFmtId="14" fontId="31" fillId="0" borderId="60" xfId="61" applyNumberFormat="1" applyFont="1" applyFill="1" applyBorder="1" applyAlignment="1">
      <alignment horizontal="center" vertical="center" wrapText="1"/>
    </xf>
    <xf numFmtId="0" fontId="31" fillId="0" borderId="17" xfId="61" applyFont="1" applyBorder="1" applyAlignment="1">
      <alignment vertical="top" wrapText="1"/>
    </xf>
    <xf numFmtId="0" fontId="31" fillId="0" borderId="15" xfId="61" applyFont="1" applyBorder="1" applyAlignment="1">
      <alignment vertical="top" wrapText="1"/>
    </xf>
    <xf numFmtId="0" fontId="31" fillId="0" borderId="18" xfId="61" applyFont="1" applyBorder="1" applyAlignment="1">
      <alignment vertical="top" wrapText="1"/>
    </xf>
    <xf numFmtId="0" fontId="31" fillId="0" borderId="13" xfId="61" applyFont="1" applyBorder="1" applyAlignment="1">
      <alignment vertical="top" wrapText="1"/>
    </xf>
    <xf numFmtId="0" fontId="31" fillId="0" borderId="0" xfId="61" applyFont="1" applyBorder="1" applyAlignment="1">
      <alignment vertical="top" wrapText="1"/>
    </xf>
    <xf numFmtId="0" fontId="31" fillId="0" borderId="23" xfId="61" applyFont="1" applyBorder="1" applyAlignment="1">
      <alignment vertical="top" wrapText="1"/>
    </xf>
    <xf numFmtId="0" fontId="31" fillId="0" borderId="137" xfId="61" applyFont="1" applyBorder="1" applyAlignment="1">
      <alignment vertical="top" wrapText="1"/>
    </xf>
    <xf numFmtId="0" fontId="31" fillId="0" borderId="138" xfId="61" applyFont="1" applyBorder="1" applyAlignment="1">
      <alignment vertical="top" wrapText="1"/>
    </xf>
    <xf numFmtId="0" fontId="31" fillId="0" borderId="143" xfId="61" applyFont="1" applyBorder="1" applyAlignment="1">
      <alignment vertical="top" wrapText="1"/>
    </xf>
    <xf numFmtId="0" fontId="31" fillId="25" borderId="17" xfId="61" applyFont="1" applyFill="1" applyBorder="1" applyAlignment="1">
      <alignment horizontal="center" vertical="center" wrapText="1"/>
    </xf>
    <xf numFmtId="0" fontId="31" fillId="25" borderId="13" xfId="61" applyFont="1" applyFill="1" applyBorder="1" applyAlignment="1">
      <alignment horizontal="center" vertical="center" wrapText="1"/>
    </xf>
    <xf numFmtId="0" fontId="31" fillId="25" borderId="0" xfId="61" applyFont="1" applyFill="1" applyBorder="1" applyAlignment="1">
      <alignment horizontal="center" vertical="center" wrapText="1"/>
    </xf>
    <xf numFmtId="0" fontId="31" fillId="25" borderId="23" xfId="61" applyFont="1" applyFill="1" applyBorder="1" applyAlignment="1">
      <alignment horizontal="center" vertical="center" wrapText="1"/>
    </xf>
    <xf numFmtId="0" fontId="31" fillId="25" borderId="29" xfId="61" applyFont="1" applyFill="1" applyBorder="1" applyAlignment="1">
      <alignment horizontal="center" vertical="center" wrapText="1"/>
    </xf>
    <xf numFmtId="0" fontId="31" fillId="25" borderId="17" xfId="61" applyFont="1" applyFill="1" applyBorder="1" applyAlignment="1">
      <alignment horizontal="center" vertical="center" shrinkToFit="1"/>
    </xf>
    <xf numFmtId="0" fontId="31" fillId="25" borderId="15" xfId="61" applyFont="1" applyFill="1" applyBorder="1" applyAlignment="1">
      <alignment horizontal="center" vertical="center" shrinkToFit="1"/>
    </xf>
    <xf numFmtId="0" fontId="31" fillId="25" borderId="18" xfId="61" applyFont="1" applyFill="1" applyBorder="1" applyAlignment="1">
      <alignment horizontal="center" vertical="center" shrinkToFit="1"/>
    </xf>
    <xf numFmtId="0" fontId="31" fillId="25" borderId="13" xfId="61" applyFont="1" applyFill="1" applyBorder="1" applyAlignment="1">
      <alignment horizontal="center" vertical="center" shrinkToFit="1"/>
    </xf>
    <xf numFmtId="0" fontId="31" fillId="25" borderId="0" xfId="61" applyFont="1" applyFill="1" applyBorder="1" applyAlignment="1">
      <alignment horizontal="center" vertical="center" shrinkToFit="1"/>
    </xf>
    <xf numFmtId="0" fontId="31" fillId="25" borderId="23" xfId="61" applyFont="1" applyFill="1" applyBorder="1" applyAlignment="1">
      <alignment horizontal="center" vertical="center" shrinkToFit="1"/>
    </xf>
    <xf numFmtId="0" fontId="31" fillId="25" borderId="29" xfId="61" applyFont="1" applyFill="1" applyBorder="1" applyAlignment="1">
      <alignment horizontal="center" vertical="center" shrinkToFit="1"/>
    </xf>
    <xf numFmtId="0" fontId="31" fillId="25" borderId="30" xfId="61" applyFont="1" applyFill="1" applyBorder="1" applyAlignment="1">
      <alignment horizontal="center" vertical="center" shrinkToFit="1"/>
    </xf>
    <xf numFmtId="0" fontId="31" fillId="25" borderId="31" xfId="61" applyFont="1" applyFill="1" applyBorder="1" applyAlignment="1">
      <alignment horizontal="center" vertical="center" shrinkToFit="1"/>
    </xf>
    <xf numFmtId="0" fontId="31" fillId="25" borderId="137" xfId="61" applyFont="1" applyFill="1" applyBorder="1" applyAlignment="1">
      <alignment horizontal="center" vertical="center" wrapText="1"/>
    </xf>
    <xf numFmtId="0" fontId="31" fillId="25" borderId="138" xfId="61" applyFont="1" applyFill="1" applyBorder="1" applyAlignment="1">
      <alignment horizontal="center" vertical="center" wrapText="1"/>
    </xf>
    <xf numFmtId="0" fontId="31" fillId="25" borderId="143" xfId="61" applyFont="1" applyFill="1" applyBorder="1" applyAlignment="1">
      <alignment horizontal="center" vertical="center" wrapText="1"/>
    </xf>
    <xf numFmtId="0" fontId="31" fillId="0" borderId="86" xfId="61" applyFont="1" applyFill="1" applyBorder="1" applyAlignment="1">
      <alignment horizontal="center" vertical="center"/>
    </xf>
    <xf numFmtId="0" fontId="31" fillId="0" borderId="59" xfId="61" applyFont="1" applyFill="1" applyBorder="1" applyAlignment="1">
      <alignment horizontal="center" vertical="center"/>
    </xf>
    <xf numFmtId="0" fontId="31" fillId="25" borderId="86" xfId="61" applyFont="1" applyFill="1" applyBorder="1" applyAlignment="1">
      <alignment horizontal="center" vertical="center"/>
    </xf>
    <xf numFmtId="0" fontId="31" fillId="25" borderId="59" xfId="61" applyFont="1" applyFill="1" applyBorder="1" applyAlignment="1">
      <alignment horizontal="center" vertical="center"/>
    </xf>
    <xf numFmtId="0" fontId="31" fillId="0" borderId="87" xfId="61" applyFont="1" applyFill="1" applyBorder="1" applyAlignment="1">
      <alignment horizontal="center" vertical="center" wrapText="1"/>
    </xf>
    <xf numFmtId="0" fontId="31" fillId="0" borderId="146" xfId="61" applyFont="1" applyFill="1" applyBorder="1" applyAlignment="1">
      <alignment horizontal="center" vertical="center" wrapText="1"/>
    </xf>
    <xf numFmtId="0" fontId="31" fillId="0" borderId="154" xfId="61" applyFont="1" applyFill="1" applyBorder="1" applyAlignment="1">
      <alignment horizontal="center" vertical="center" wrapText="1"/>
    </xf>
    <xf numFmtId="0" fontId="31" fillId="25" borderId="60" xfId="61" applyFont="1" applyFill="1" applyBorder="1" applyAlignment="1">
      <alignment horizontal="center" vertical="center"/>
    </xf>
    <xf numFmtId="0" fontId="31" fillId="25" borderId="152" xfId="61" applyFont="1" applyFill="1" applyBorder="1" applyAlignment="1">
      <alignment horizontal="center" vertical="center"/>
    </xf>
    <xf numFmtId="0" fontId="31" fillId="27" borderId="87" xfId="61" applyFont="1" applyFill="1" applyBorder="1" applyAlignment="1">
      <alignment horizontal="center" vertical="center"/>
    </xf>
    <xf numFmtId="0" fontId="31" fillId="27" borderId="146" xfId="61" applyFont="1" applyFill="1" applyBorder="1" applyAlignment="1">
      <alignment horizontal="center" vertical="center"/>
    </xf>
    <xf numFmtId="0" fontId="31" fillId="27" borderId="61" xfId="61" applyFont="1" applyFill="1" applyBorder="1" applyAlignment="1">
      <alignment horizontal="center" vertical="center"/>
    </xf>
    <xf numFmtId="0" fontId="31" fillId="0" borderId="87" xfId="61" applyFont="1" applyFill="1" applyBorder="1" applyAlignment="1">
      <alignment vertical="center" wrapText="1"/>
    </xf>
    <xf numFmtId="0" fontId="31" fillId="0" borderId="146" xfId="61" applyFont="1" applyFill="1" applyBorder="1" applyAlignment="1">
      <alignment vertical="center" wrapText="1"/>
    </xf>
    <xf numFmtId="0" fontId="31" fillId="0" borderId="154" xfId="61" applyFont="1" applyFill="1" applyBorder="1" applyAlignment="1">
      <alignment vertical="center" wrapText="1"/>
    </xf>
    <xf numFmtId="0" fontId="31" fillId="25" borderId="139" xfId="61" applyFont="1" applyFill="1" applyBorder="1" applyAlignment="1">
      <alignment horizontal="center" vertical="center" wrapText="1"/>
    </xf>
    <xf numFmtId="0" fontId="31" fillId="25" borderId="140" xfId="61" applyFont="1" applyFill="1" applyBorder="1" applyAlignment="1">
      <alignment horizontal="center" vertical="center" wrapText="1"/>
    </xf>
    <xf numFmtId="0" fontId="31" fillId="25" borderId="141" xfId="61" applyFont="1" applyFill="1" applyBorder="1" applyAlignment="1">
      <alignment horizontal="center" vertical="center" wrapText="1"/>
    </xf>
    <xf numFmtId="0" fontId="31" fillId="25" borderId="142" xfId="61" applyFont="1" applyFill="1" applyBorder="1" applyAlignment="1">
      <alignment horizontal="center" vertical="center" wrapText="1"/>
    </xf>
    <xf numFmtId="0" fontId="31" fillId="0" borderId="87" xfId="61" applyNumberFormat="1" applyFont="1" applyFill="1" applyBorder="1" applyAlignment="1">
      <alignment horizontal="center" vertical="center" wrapText="1"/>
    </xf>
    <xf numFmtId="0" fontId="31" fillId="0" borderId="146" xfId="61" applyNumberFormat="1" applyFont="1" applyFill="1" applyBorder="1" applyAlignment="1">
      <alignment horizontal="center" vertical="center" wrapText="1"/>
    </xf>
    <xf numFmtId="0" fontId="31" fillId="0" borderId="61" xfId="61" applyNumberFormat="1" applyFont="1" applyFill="1" applyBorder="1" applyAlignment="1">
      <alignment horizontal="center" vertical="center" wrapText="1"/>
    </xf>
    <xf numFmtId="0" fontId="31" fillId="0" borderId="87" xfId="61" applyNumberFormat="1" applyFont="1" applyBorder="1" applyAlignment="1">
      <alignment horizontal="center" vertical="center" wrapText="1"/>
    </xf>
    <xf numFmtId="0" fontId="31" fillId="0" borderId="146" xfId="61" applyNumberFormat="1" applyFont="1" applyBorder="1" applyAlignment="1">
      <alignment horizontal="center" vertical="center" wrapText="1"/>
    </xf>
    <xf numFmtId="0" fontId="31" fillId="0" borderId="154" xfId="61" applyNumberFormat="1" applyFont="1" applyBorder="1" applyAlignment="1">
      <alignment horizontal="center" vertical="center" wrapText="1"/>
    </xf>
    <xf numFmtId="0" fontId="31" fillId="0" borderId="87" xfId="61" applyNumberFormat="1" applyFont="1" applyBorder="1" applyAlignment="1">
      <alignment vertical="center" wrapText="1"/>
    </xf>
    <xf numFmtId="0" fontId="31" fillId="0" borderId="146" xfId="61" applyNumberFormat="1" applyFont="1" applyBorder="1" applyAlignment="1">
      <alignment vertical="center" wrapText="1"/>
    </xf>
    <xf numFmtId="0" fontId="31" fillId="0" borderId="154" xfId="61" applyNumberFormat="1" applyFont="1" applyBorder="1" applyAlignment="1">
      <alignment vertical="center" wrapText="1"/>
    </xf>
    <xf numFmtId="0" fontId="31" fillId="27" borderId="11" xfId="61" applyFont="1" applyFill="1" applyBorder="1" applyAlignment="1">
      <alignment horizontal="center" vertical="center" shrinkToFit="1"/>
    </xf>
    <xf numFmtId="0" fontId="31" fillId="27" borderId="14" xfId="61" applyFont="1" applyFill="1" applyBorder="1" applyAlignment="1">
      <alignment horizontal="center" vertical="center" shrinkToFit="1"/>
    </xf>
    <xf numFmtId="178" fontId="31" fillId="0" borderId="11" xfId="61" applyNumberFormat="1" applyFont="1" applyBorder="1" applyAlignment="1">
      <alignment horizontal="center" vertical="center"/>
    </xf>
    <xf numFmtId="178" fontId="31" fillId="0" borderId="14" xfId="61" applyNumberFormat="1" applyFont="1" applyBorder="1" applyAlignment="1">
      <alignment horizontal="center" vertical="center"/>
    </xf>
    <xf numFmtId="178" fontId="31" fillId="0" borderId="156" xfId="61" applyNumberFormat="1" applyFont="1" applyBorder="1" applyAlignment="1">
      <alignment horizontal="center" vertical="center"/>
    </xf>
    <xf numFmtId="0" fontId="31" fillId="27" borderId="11" xfId="61" applyFont="1" applyFill="1" applyBorder="1" applyAlignment="1">
      <alignment vertical="center" wrapText="1" shrinkToFit="1"/>
    </xf>
    <xf numFmtId="0" fontId="31" fillId="27" borderId="14" xfId="61" applyFont="1" applyFill="1" applyBorder="1" applyAlignment="1">
      <alignment vertical="center" wrapText="1" shrinkToFit="1"/>
    </xf>
    <xf numFmtId="0" fontId="31" fillId="27" borderId="12" xfId="61" applyFont="1" applyFill="1" applyBorder="1" applyAlignment="1">
      <alignment vertical="center" wrapText="1" shrinkToFit="1"/>
    </xf>
    <xf numFmtId="0" fontId="31" fillId="0" borderId="11" xfId="61" applyFont="1" applyBorder="1" applyAlignment="1">
      <alignment vertical="center" wrapText="1"/>
    </xf>
    <xf numFmtId="0" fontId="31" fillId="0" borderId="14" xfId="61" applyFont="1" applyBorder="1" applyAlignment="1">
      <alignment vertical="center" wrapText="1"/>
    </xf>
    <xf numFmtId="0" fontId="31" fillId="0" borderId="156" xfId="61" applyFont="1" applyBorder="1" applyAlignment="1">
      <alignment vertical="center" wrapText="1"/>
    </xf>
    <xf numFmtId="0" fontId="31" fillId="0" borderId="12" xfId="61" applyFont="1" applyBorder="1" applyAlignment="1">
      <alignment vertical="center" wrapText="1"/>
    </xf>
    <xf numFmtId="0" fontId="31" fillId="25" borderId="11" xfId="61" applyFont="1" applyFill="1" applyBorder="1" applyAlignment="1">
      <alignment horizontal="center" vertical="center"/>
    </xf>
    <xf numFmtId="0" fontId="31" fillId="25" borderId="14" xfId="61" applyFont="1" applyFill="1" applyBorder="1" applyAlignment="1">
      <alignment horizontal="center" vertical="center"/>
    </xf>
    <xf numFmtId="0" fontId="31" fillId="25" borderId="12" xfId="61" applyFont="1" applyFill="1" applyBorder="1" applyAlignment="1">
      <alignment horizontal="center" vertical="center"/>
    </xf>
    <xf numFmtId="178" fontId="31" fillId="0" borderId="12" xfId="61" applyNumberFormat="1" applyFont="1" applyBorder="1" applyAlignment="1">
      <alignment horizontal="center" vertical="center"/>
    </xf>
    <xf numFmtId="0" fontId="31" fillId="0" borderId="154" xfId="61" applyNumberFormat="1" applyFont="1" applyFill="1" applyBorder="1" applyAlignment="1">
      <alignment horizontal="center" vertical="center" wrapText="1"/>
    </xf>
    <xf numFmtId="0" fontId="31" fillId="0" borderId="86" xfId="61" applyFont="1" applyFill="1" applyBorder="1" applyAlignment="1">
      <alignment vertical="center" wrapText="1"/>
    </xf>
    <xf numFmtId="0" fontId="31" fillId="0" borderId="59" xfId="61" applyFont="1" applyFill="1" applyBorder="1" applyAlignment="1">
      <alignment vertical="center" wrapText="1"/>
    </xf>
    <xf numFmtId="0" fontId="31" fillId="0" borderId="152" xfId="61" applyFont="1" applyFill="1" applyBorder="1" applyAlignment="1">
      <alignment vertical="center" wrapText="1"/>
    </xf>
    <xf numFmtId="0" fontId="31" fillId="0" borderId="61" xfId="61" applyFont="1" applyFill="1" applyBorder="1" applyAlignment="1">
      <alignment vertical="center" wrapText="1"/>
    </xf>
    <xf numFmtId="0" fontId="31" fillId="25" borderId="147" xfId="61" applyFont="1" applyFill="1" applyBorder="1" applyAlignment="1">
      <alignment horizontal="center" vertical="center" wrapText="1"/>
    </xf>
    <xf numFmtId="0" fontId="31" fillId="25" borderId="146" xfId="61" applyFont="1" applyFill="1" applyBorder="1" applyAlignment="1">
      <alignment horizontal="center" vertical="center" wrapText="1"/>
    </xf>
    <xf numFmtId="0" fontId="31" fillId="25" borderId="61" xfId="61" applyFont="1" applyFill="1" applyBorder="1" applyAlignment="1">
      <alignment horizontal="center" vertical="center" wrapText="1"/>
    </xf>
    <xf numFmtId="0" fontId="31" fillId="27" borderId="87" xfId="61" applyFont="1" applyFill="1" applyBorder="1" applyAlignment="1">
      <alignment horizontal="center" vertical="center" wrapText="1"/>
    </xf>
    <xf numFmtId="0" fontId="31" fillId="0" borderId="87" xfId="61" applyFont="1" applyBorder="1" applyAlignment="1">
      <alignment horizontal="center" vertical="center" wrapText="1"/>
    </xf>
    <xf numFmtId="0" fontId="31" fillId="0" borderId="146" xfId="61" applyFont="1" applyBorder="1" applyAlignment="1">
      <alignment horizontal="center" vertical="center" wrapText="1"/>
    </xf>
    <xf numFmtId="0" fontId="31" fillId="0" borderId="61" xfId="61" applyFont="1" applyBorder="1" applyAlignment="1">
      <alignment horizontal="center" vertical="center" wrapText="1"/>
    </xf>
    <xf numFmtId="0" fontId="8" fillId="0" borderId="16" xfId="61" applyFont="1" applyBorder="1" applyAlignment="1">
      <alignment horizontal="center" vertical="center"/>
    </xf>
    <xf numFmtId="0" fontId="31" fillId="25" borderId="148" xfId="61" applyFont="1" applyFill="1" applyBorder="1" applyAlignment="1">
      <alignment horizontal="center" vertical="center" wrapText="1"/>
    </xf>
    <xf numFmtId="0" fontId="31" fillId="25" borderId="14" xfId="61" applyFont="1" applyFill="1" applyBorder="1" applyAlignment="1">
      <alignment horizontal="center" vertical="center" wrapText="1"/>
    </xf>
    <xf numFmtId="0" fontId="31" fillId="25" borderId="12" xfId="61" applyFont="1" applyFill="1" applyBorder="1" applyAlignment="1">
      <alignment horizontal="center" vertical="center" wrapText="1"/>
    </xf>
    <xf numFmtId="0" fontId="31" fillId="25" borderId="151" xfId="61" applyFont="1" applyFill="1" applyBorder="1" applyAlignment="1">
      <alignment horizontal="center" vertical="center"/>
    </xf>
    <xf numFmtId="14" fontId="31" fillId="0" borderId="86" xfId="61" applyNumberFormat="1" applyFont="1" applyFill="1" applyBorder="1" applyAlignment="1">
      <alignment horizontal="center" vertical="center" wrapText="1"/>
    </xf>
    <xf numFmtId="14" fontId="31" fillId="0" borderId="152" xfId="61" applyNumberFormat="1" applyFont="1" applyFill="1" applyBorder="1" applyAlignment="1">
      <alignment horizontal="center" vertical="center" wrapText="1"/>
    </xf>
    <xf numFmtId="0" fontId="28" fillId="0" borderId="153" xfId="57" applyFont="1" applyBorder="1" applyAlignment="1">
      <alignment horizontal="center" vertical="center"/>
    </xf>
    <xf numFmtId="0" fontId="28" fillId="0" borderId="10" xfId="57" applyFont="1" applyBorder="1" applyAlignment="1">
      <alignment horizontal="center" vertical="center"/>
    </xf>
    <xf numFmtId="0" fontId="28" fillId="0" borderId="122" xfId="57" applyFont="1" applyBorder="1" applyAlignment="1">
      <alignment horizontal="center" vertical="center"/>
    </xf>
    <xf numFmtId="0" fontId="31" fillId="0" borderId="61" xfId="61" applyFont="1" applyFill="1" applyBorder="1" applyAlignment="1">
      <alignment horizontal="center" vertical="center" wrapText="1"/>
    </xf>
    <xf numFmtId="0" fontId="31" fillId="0" borderId="153" xfId="61" applyFont="1" applyBorder="1" applyAlignment="1">
      <alignment vertical="center" wrapText="1"/>
    </xf>
    <xf numFmtId="0" fontId="31" fillId="0" borderId="10" xfId="61" applyFont="1" applyBorder="1" applyAlignment="1">
      <alignment vertical="center" wrapText="1"/>
    </xf>
    <xf numFmtId="0" fontId="31" fillId="0" borderId="122" xfId="61" applyFont="1" applyBorder="1" applyAlignment="1">
      <alignment vertical="center" wrapText="1"/>
    </xf>
    <xf numFmtId="0" fontId="31" fillId="25" borderId="139" xfId="61" applyFont="1" applyFill="1" applyBorder="1" applyAlignment="1">
      <alignment horizontal="center" vertical="center"/>
    </xf>
    <xf numFmtId="0" fontId="31" fillId="25" borderId="140" xfId="61" applyFont="1" applyFill="1" applyBorder="1" applyAlignment="1">
      <alignment horizontal="center" vertical="center"/>
    </xf>
    <xf numFmtId="0" fontId="31" fillId="25" borderId="141" xfId="61" applyFont="1" applyFill="1" applyBorder="1" applyAlignment="1">
      <alignment horizontal="center" vertical="center"/>
    </xf>
    <xf numFmtId="0" fontId="31" fillId="0" borderId="86" xfId="61" applyFont="1" applyBorder="1" applyAlignment="1">
      <alignment vertical="center" wrapText="1"/>
    </xf>
    <xf numFmtId="0" fontId="31" fillId="0" borderId="59" xfId="61" applyFont="1" applyBorder="1" applyAlignment="1">
      <alignment vertical="center" wrapText="1"/>
    </xf>
    <xf numFmtId="0" fontId="31" fillId="0" borderId="60" xfId="61" applyFont="1" applyBorder="1" applyAlignment="1">
      <alignment vertical="center" wrapText="1"/>
    </xf>
    <xf numFmtId="0" fontId="31" fillId="27" borderId="151" xfId="61" applyFont="1" applyFill="1" applyBorder="1" applyAlignment="1">
      <alignment horizontal="center" vertical="center"/>
    </xf>
    <xf numFmtId="0" fontId="31" fillId="27" borderId="59" xfId="61" applyFont="1" applyFill="1" applyBorder="1" applyAlignment="1">
      <alignment horizontal="center" vertical="center"/>
    </xf>
    <xf numFmtId="0" fontId="31" fillId="27" borderId="60" xfId="61" applyFont="1" applyFill="1" applyBorder="1" applyAlignment="1">
      <alignment horizontal="center" vertical="center"/>
    </xf>
    <xf numFmtId="0" fontId="31" fillId="25" borderId="149" xfId="61" applyFont="1" applyFill="1" applyBorder="1" applyAlignment="1">
      <alignment horizontal="center" vertical="center"/>
    </xf>
    <xf numFmtId="0" fontId="31" fillId="25" borderId="15" xfId="61" applyFont="1" applyFill="1" applyBorder="1" applyAlignment="1">
      <alignment horizontal="center" vertical="center"/>
    </xf>
    <xf numFmtId="0" fontId="31" fillId="25" borderId="18" xfId="61" applyFont="1" applyFill="1" applyBorder="1" applyAlignment="1">
      <alignment horizontal="center" vertical="center"/>
    </xf>
    <xf numFmtId="0" fontId="31" fillId="25" borderId="148" xfId="61" applyFont="1" applyFill="1" applyBorder="1" applyAlignment="1">
      <alignment horizontal="center" vertical="center"/>
    </xf>
    <xf numFmtId="0" fontId="31" fillId="0" borderId="137" xfId="61" applyNumberFormat="1" applyFont="1" applyFill="1" applyBorder="1" applyAlignment="1">
      <alignment horizontal="center" vertical="center" wrapText="1"/>
    </xf>
    <xf numFmtId="0" fontId="31" fillId="0" borderId="138" xfId="61" applyNumberFormat="1" applyFont="1" applyFill="1" applyBorder="1" applyAlignment="1">
      <alignment horizontal="center" vertical="center" wrapText="1"/>
    </xf>
    <xf numFmtId="0" fontId="31" fillId="0" borderId="143" xfId="61" applyNumberFormat="1" applyFont="1" applyFill="1" applyBorder="1" applyAlignment="1">
      <alignment horizontal="center" vertical="center" wrapText="1"/>
    </xf>
    <xf numFmtId="14" fontId="31" fillId="0" borderId="137" xfId="61" applyNumberFormat="1" applyFont="1" applyFill="1" applyBorder="1" applyAlignment="1">
      <alignment horizontal="center" vertical="center" wrapText="1"/>
    </xf>
    <xf numFmtId="14" fontId="31" fillId="0" borderId="138" xfId="61" applyNumberFormat="1" applyFont="1" applyFill="1" applyBorder="1" applyAlignment="1">
      <alignment horizontal="center" vertical="center" wrapText="1"/>
    </xf>
    <xf numFmtId="0" fontId="31" fillId="25" borderId="144" xfId="61" applyFont="1" applyFill="1" applyBorder="1" applyAlignment="1">
      <alignment horizontal="center" vertical="center"/>
    </xf>
    <xf numFmtId="0" fontId="31" fillId="25" borderId="145" xfId="61" applyFont="1" applyFill="1" applyBorder="1" applyAlignment="1">
      <alignment horizontal="center" vertical="center"/>
    </xf>
    <xf numFmtId="0" fontId="31" fillId="25" borderId="121" xfId="57" applyFont="1" applyFill="1" applyBorder="1" applyAlignment="1">
      <alignment horizontal="center" vertical="center"/>
    </xf>
    <xf numFmtId="0" fontId="31" fillId="25" borderId="10" xfId="57" applyFont="1" applyFill="1" applyBorder="1" applyAlignment="1">
      <alignment horizontal="center" vertical="center"/>
    </xf>
    <xf numFmtId="0" fontId="31" fillId="0" borderId="10" xfId="61" applyFont="1" applyFill="1" applyBorder="1" applyAlignment="1">
      <alignment horizontal="center" vertical="center" wrapText="1"/>
    </xf>
    <xf numFmtId="0" fontId="31" fillId="0" borderId="122" xfId="61" applyFont="1" applyFill="1" applyBorder="1" applyAlignment="1">
      <alignment horizontal="center" vertical="center" wrapText="1"/>
    </xf>
    <xf numFmtId="14" fontId="31" fillId="0" borderId="87" xfId="61" applyNumberFormat="1" applyFont="1" applyFill="1" applyBorder="1" applyAlignment="1">
      <alignment horizontal="center" vertical="center" wrapText="1"/>
    </xf>
    <xf numFmtId="14" fontId="31" fillId="0" borderId="146" xfId="61" applyNumberFormat="1" applyFont="1" applyFill="1" applyBorder="1" applyAlignment="1">
      <alignment horizontal="center" vertical="center" wrapText="1"/>
    </xf>
    <xf numFmtId="14" fontId="31" fillId="0" borderId="61" xfId="61" applyNumberFormat="1" applyFont="1" applyFill="1" applyBorder="1" applyAlignment="1">
      <alignment horizontal="center" vertical="center" wrapText="1"/>
    </xf>
    <xf numFmtId="0" fontId="31" fillId="25" borderId="121" xfId="61" applyFont="1" applyFill="1" applyBorder="1" applyAlignment="1">
      <alignment horizontal="center" vertical="center"/>
    </xf>
    <xf numFmtId="0" fontId="31" fillId="25" borderId="10" xfId="61" applyFont="1" applyFill="1" applyBorder="1" applyAlignment="1">
      <alignment horizontal="center" vertical="center"/>
    </xf>
    <xf numFmtId="0" fontId="31" fillId="25" borderId="155" xfId="61" applyFont="1" applyFill="1" applyBorder="1" applyAlignment="1">
      <alignment horizontal="center" vertical="center"/>
    </xf>
    <xf numFmtId="14" fontId="8" fillId="0" borderId="16" xfId="61" applyNumberFormat="1" applyFont="1" applyBorder="1" applyAlignment="1">
      <alignment horizontal="center" vertical="center"/>
    </xf>
    <xf numFmtId="176" fontId="8" fillId="0" borderId="16" xfId="61" applyNumberFormat="1" applyFont="1" applyBorder="1" applyAlignment="1">
      <alignment horizontal="center" vertical="center"/>
    </xf>
    <xf numFmtId="0" fontId="31" fillId="0" borderId="16" xfId="61" applyFont="1" applyBorder="1" applyAlignment="1">
      <alignment horizontal="center" vertical="center"/>
    </xf>
    <xf numFmtId="0" fontId="38" fillId="0" borderId="16" xfId="61" applyFont="1" applyBorder="1" applyAlignment="1">
      <alignment horizontal="center" vertical="center"/>
    </xf>
    <xf numFmtId="0" fontId="38" fillId="0" borderId="17" xfId="61" applyFont="1" applyBorder="1" applyAlignment="1">
      <alignment horizontal="center" vertical="center"/>
    </xf>
    <xf numFmtId="0" fontId="38" fillId="0" borderId="15" xfId="61" applyFont="1" applyBorder="1" applyAlignment="1">
      <alignment horizontal="center" vertical="center"/>
    </xf>
    <xf numFmtId="0" fontId="38" fillId="0" borderId="18" xfId="61" applyFont="1" applyBorder="1" applyAlignment="1">
      <alignment horizontal="center" vertical="center"/>
    </xf>
    <xf numFmtId="0" fontId="38" fillId="0" borderId="13" xfId="61" applyFont="1" applyBorder="1" applyAlignment="1">
      <alignment horizontal="center" vertical="center"/>
    </xf>
    <xf numFmtId="0" fontId="38" fillId="0" borderId="0" xfId="61" applyFont="1" applyBorder="1" applyAlignment="1">
      <alignment horizontal="center" vertical="center"/>
    </xf>
    <xf numFmtId="0" fontId="38" fillId="0" borderId="23" xfId="61" applyFont="1" applyBorder="1" applyAlignment="1">
      <alignment horizontal="center" vertical="center"/>
    </xf>
    <xf numFmtId="0" fontId="38" fillId="0" borderId="29" xfId="61" applyFont="1" applyBorder="1" applyAlignment="1">
      <alignment horizontal="center" vertical="center"/>
    </xf>
    <xf numFmtId="0" fontId="38" fillId="0" borderId="30" xfId="61" applyFont="1" applyBorder="1" applyAlignment="1">
      <alignment horizontal="center" vertical="center"/>
    </xf>
    <xf numFmtId="0" fontId="38" fillId="0" borderId="31" xfId="61" applyFont="1" applyBorder="1" applyAlignment="1">
      <alignment horizontal="center" vertical="center"/>
    </xf>
    <xf numFmtId="0" fontId="29" fillId="36" borderId="162" xfId="56" applyFont="1" applyFill="1" applyBorder="1" applyAlignment="1">
      <alignment horizontal="center"/>
    </xf>
    <xf numFmtId="0" fontId="29" fillId="36" borderId="101" xfId="56" applyFont="1" applyFill="1" applyBorder="1" applyAlignment="1">
      <alignment horizontal="center"/>
    </xf>
    <xf numFmtId="0" fontId="29" fillId="37" borderId="162" xfId="56" applyFont="1" applyFill="1" applyBorder="1" applyAlignment="1">
      <alignment horizontal="center"/>
    </xf>
    <xf numFmtId="0" fontId="29" fillId="37" borderId="101" xfId="56" applyFont="1" applyFill="1" applyBorder="1" applyAlignment="1">
      <alignment horizontal="center"/>
    </xf>
    <xf numFmtId="0" fontId="29" fillId="37" borderId="104" xfId="56" applyFont="1" applyFill="1" applyBorder="1" applyAlignment="1">
      <alignment horizontal="center"/>
    </xf>
    <xf numFmtId="0" fontId="29" fillId="32" borderId="164" xfId="56" applyFont="1" applyFill="1" applyBorder="1" applyAlignment="1">
      <alignment horizontal="center"/>
    </xf>
    <xf numFmtId="0" fontId="29" fillId="32" borderId="165" xfId="56" applyFont="1" applyFill="1" applyBorder="1" applyAlignment="1">
      <alignment horizontal="center"/>
    </xf>
    <xf numFmtId="0" fontId="29" fillId="33" borderId="166" xfId="56" applyFont="1" applyFill="1" applyBorder="1" applyAlignment="1">
      <alignment horizontal="center"/>
    </xf>
    <xf numFmtId="0" fontId="29" fillId="33" borderId="159" xfId="56" applyFont="1" applyFill="1" applyBorder="1" applyAlignment="1">
      <alignment horizontal="center"/>
    </xf>
    <xf numFmtId="0" fontId="29" fillId="34" borderId="158" xfId="56" applyFont="1" applyFill="1" applyBorder="1" applyAlignment="1">
      <alignment horizontal="center"/>
    </xf>
    <xf numFmtId="0" fontId="29" fillId="34" borderId="159" xfId="56" applyFont="1" applyFill="1" applyBorder="1" applyAlignment="1">
      <alignment horizontal="center"/>
    </xf>
    <xf numFmtId="0" fontId="29" fillId="34" borderId="160" xfId="56" applyFont="1" applyFill="1" applyBorder="1" applyAlignment="1">
      <alignment horizontal="center"/>
    </xf>
    <xf numFmtId="0" fontId="29" fillId="35" borderId="158" xfId="56" applyFont="1" applyFill="1" applyBorder="1" applyAlignment="1">
      <alignment horizontal="center" vertical="top"/>
    </xf>
    <xf numFmtId="0" fontId="29" fillId="35" borderId="159" xfId="56" applyFont="1" applyFill="1" applyBorder="1" applyAlignment="1">
      <alignment horizontal="center" vertical="top"/>
    </xf>
    <xf numFmtId="0" fontId="29" fillId="35" borderId="160" xfId="56" applyFont="1" applyFill="1" applyBorder="1" applyAlignment="1">
      <alignment horizontal="center" vertical="top"/>
    </xf>
    <xf numFmtId="0" fontId="29" fillId="36" borderId="158" xfId="56" applyFont="1" applyFill="1" applyBorder="1" applyAlignment="1">
      <alignment horizontal="center"/>
    </xf>
    <xf numFmtId="0" fontId="29" fillId="36" borderId="159" xfId="56" applyFont="1" applyFill="1" applyBorder="1" applyAlignment="1">
      <alignment horizontal="center"/>
    </xf>
    <xf numFmtId="0" fontId="29" fillId="36" borderId="160" xfId="56" applyFont="1" applyFill="1" applyBorder="1" applyAlignment="1">
      <alignment horizontal="center"/>
    </xf>
    <xf numFmtId="0" fontId="29" fillId="37" borderId="161" xfId="56" applyFont="1" applyFill="1" applyBorder="1" applyAlignment="1">
      <alignment horizontal="center"/>
    </xf>
    <xf numFmtId="0" fontId="29" fillId="37" borderId="15" xfId="56" applyFont="1" applyFill="1" applyBorder="1" applyAlignment="1">
      <alignment horizontal="center"/>
    </xf>
    <xf numFmtId="0" fontId="29" fillId="37" borderId="93" xfId="56" applyFont="1" applyFill="1" applyBorder="1" applyAlignment="1">
      <alignment horizontal="center"/>
    </xf>
    <xf numFmtId="0" fontId="29" fillId="32" borderId="105" xfId="56" applyFont="1" applyFill="1" applyBorder="1" applyAlignment="1">
      <alignment horizontal="center"/>
    </xf>
    <xf numFmtId="0" fontId="29" fillId="32" borderId="163" xfId="56" applyFont="1" applyFill="1" applyBorder="1" applyAlignment="1">
      <alignment horizontal="center"/>
    </xf>
    <xf numFmtId="0" fontId="30" fillId="0" borderId="16" xfId="56" applyFont="1" applyBorder="1" applyAlignment="1">
      <alignment horizontal="center" vertical="center"/>
    </xf>
    <xf numFmtId="0" fontId="30" fillId="0" borderId="17" xfId="56" applyFont="1" applyBorder="1" applyAlignment="1">
      <alignment horizontal="center" vertical="center"/>
    </xf>
    <xf numFmtId="0" fontId="30" fillId="0" borderId="15" xfId="56" applyFont="1" applyBorder="1" applyAlignment="1">
      <alignment horizontal="center" vertical="center"/>
    </xf>
    <xf numFmtId="0" fontId="30" fillId="0" borderId="18" xfId="56" applyFont="1" applyBorder="1" applyAlignment="1">
      <alignment horizontal="center" vertical="center"/>
    </xf>
    <xf numFmtId="0" fontId="30" fillId="0" borderId="29" xfId="56" applyFont="1" applyBorder="1" applyAlignment="1">
      <alignment horizontal="center" vertical="center"/>
    </xf>
    <xf numFmtId="0" fontId="30" fillId="0" borderId="30" xfId="56" applyFont="1" applyBorder="1" applyAlignment="1">
      <alignment horizontal="center" vertical="center"/>
    </xf>
    <xf numFmtId="0" fontId="30" fillId="0" borderId="31" xfId="56" applyFont="1" applyBorder="1" applyAlignment="1">
      <alignment horizontal="center" vertical="center"/>
    </xf>
    <xf numFmtId="180" fontId="31" fillId="0" borderId="170" xfId="53" applyNumberFormat="1" applyFont="1" applyBorder="1" applyAlignment="1">
      <alignment horizontal="center" vertical="center"/>
    </xf>
    <xf numFmtId="180" fontId="31" fillId="0" borderId="171" xfId="53" applyNumberFormat="1" applyFont="1" applyBorder="1" applyAlignment="1">
      <alignment horizontal="center" vertical="center"/>
    </xf>
    <xf numFmtId="180" fontId="31" fillId="0" borderId="172" xfId="53" applyNumberFormat="1" applyFont="1" applyBorder="1" applyAlignment="1">
      <alignment horizontal="center" vertical="center"/>
    </xf>
    <xf numFmtId="191" fontId="31" fillId="0" borderId="54" xfId="53" applyNumberFormat="1" applyFont="1" applyBorder="1" applyAlignment="1">
      <alignment horizontal="center" vertical="center"/>
    </xf>
    <xf numFmtId="191" fontId="31" fillId="0" borderId="58" xfId="53" applyNumberFormat="1" applyFont="1" applyBorder="1" applyAlignment="1">
      <alignment horizontal="center" vertical="center"/>
    </xf>
    <xf numFmtId="191" fontId="31" fillId="0" borderId="53" xfId="53" applyNumberFormat="1" applyFont="1" applyBorder="1" applyAlignment="1">
      <alignment horizontal="center" vertical="center"/>
    </xf>
    <xf numFmtId="0" fontId="31" fillId="0" borderId="17" xfId="53" applyFont="1" applyBorder="1" applyAlignment="1">
      <alignment horizontal="left" vertical="center"/>
    </xf>
    <xf numFmtId="0" fontId="31" fillId="0" borderId="15" xfId="53" applyFont="1" applyBorder="1" applyAlignment="1">
      <alignment horizontal="left" vertical="center"/>
    </xf>
    <xf numFmtId="0" fontId="31" fillId="0" borderId="18" xfId="53" applyFont="1" applyBorder="1" applyAlignment="1">
      <alignment horizontal="left" vertical="center"/>
    </xf>
    <xf numFmtId="0" fontId="31" fillId="0" borderId="29" xfId="53" applyFont="1" applyBorder="1" applyAlignment="1">
      <alignment horizontal="left" vertical="center"/>
    </xf>
    <xf numFmtId="0" fontId="31" fillId="0" borderId="30" xfId="53" applyFont="1" applyBorder="1" applyAlignment="1">
      <alignment horizontal="left" vertical="center"/>
    </xf>
    <xf numFmtId="0" fontId="31" fillId="0" borderId="31" xfId="53" applyFont="1" applyBorder="1" applyAlignment="1">
      <alignment horizontal="left" vertical="center"/>
    </xf>
    <xf numFmtId="0" fontId="31" fillId="0" borderId="19" xfId="53" applyFont="1" applyBorder="1" applyAlignment="1">
      <alignment horizontal="left" vertical="center"/>
    </xf>
    <xf numFmtId="0" fontId="31" fillId="0" borderId="20" xfId="53" applyFont="1" applyBorder="1" applyAlignment="1">
      <alignment horizontal="left" vertical="center"/>
    </xf>
    <xf numFmtId="0" fontId="31" fillId="0" borderId="21" xfId="53" applyFont="1" applyBorder="1" applyAlignment="1">
      <alignment horizontal="left" vertical="center"/>
    </xf>
    <xf numFmtId="191" fontId="31" fillId="0" borderId="19" xfId="53" applyNumberFormat="1" applyFont="1" applyBorder="1" applyAlignment="1">
      <alignment horizontal="center" vertical="center"/>
    </xf>
    <xf numFmtId="191" fontId="31" fillId="0" borderId="20" xfId="53" applyNumberFormat="1" applyFont="1" applyBorder="1" applyAlignment="1">
      <alignment horizontal="center" vertical="center"/>
    </xf>
    <xf numFmtId="191" fontId="31" fillId="0" borderId="21" xfId="53" applyNumberFormat="1" applyFont="1" applyBorder="1" applyAlignment="1">
      <alignment horizontal="center" vertical="center"/>
    </xf>
    <xf numFmtId="191" fontId="31" fillId="0" borderId="19" xfId="53" applyNumberFormat="1" applyFont="1" applyFill="1" applyBorder="1" applyAlignment="1">
      <alignment horizontal="center" vertical="center"/>
    </xf>
    <xf numFmtId="191" fontId="31" fillId="0" borderId="20" xfId="53" applyNumberFormat="1" applyFont="1" applyFill="1" applyBorder="1" applyAlignment="1">
      <alignment horizontal="center" vertical="center"/>
    </xf>
    <xf numFmtId="191" fontId="31" fillId="0" borderId="21" xfId="53" applyNumberFormat="1" applyFont="1" applyFill="1" applyBorder="1" applyAlignment="1">
      <alignment horizontal="center" vertical="center"/>
    </xf>
    <xf numFmtId="191" fontId="31" fillId="0" borderId="170" xfId="53" applyNumberFormat="1" applyFont="1" applyBorder="1" applyAlignment="1">
      <alignment horizontal="center" vertical="center"/>
    </xf>
    <xf numFmtId="191" fontId="31" fillId="0" borderId="171" xfId="53" applyNumberFormat="1" applyFont="1" applyBorder="1" applyAlignment="1">
      <alignment horizontal="center" vertical="center"/>
    </xf>
    <xf numFmtId="191" fontId="31" fillId="0" borderId="172" xfId="53" applyNumberFormat="1" applyFont="1" applyBorder="1" applyAlignment="1">
      <alignment horizontal="center" vertical="center"/>
    </xf>
    <xf numFmtId="191" fontId="31" fillId="0" borderId="29" xfId="53" applyNumberFormat="1" applyFont="1" applyBorder="1" applyAlignment="1">
      <alignment horizontal="center" vertical="center"/>
    </xf>
    <xf numFmtId="191" fontId="31" fillId="0" borderId="30" xfId="53" applyNumberFormat="1" applyFont="1" applyBorder="1" applyAlignment="1">
      <alignment horizontal="center" vertical="center"/>
    </xf>
    <xf numFmtId="0" fontId="31" fillId="41" borderId="29" xfId="53" applyFont="1" applyFill="1" applyBorder="1" applyAlignment="1">
      <alignment horizontal="left" vertical="center"/>
    </xf>
    <xf numFmtId="0" fontId="31" fillId="41" borderId="30" xfId="53" applyFont="1" applyFill="1" applyBorder="1" applyAlignment="1">
      <alignment horizontal="left" vertical="center"/>
    </xf>
    <xf numFmtId="0" fontId="31" fillId="41" borderId="31" xfId="53" applyFont="1" applyFill="1" applyBorder="1" applyAlignment="1">
      <alignment horizontal="left" vertical="center"/>
    </xf>
    <xf numFmtId="191" fontId="31" fillId="41" borderId="29" xfId="53" applyNumberFormat="1" applyFont="1" applyFill="1" applyBorder="1" applyAlignment="1">
      <alignment horizontal="center" vertical="center"/>
    </xf>
    <xf numFmtId="191" fontId="31" fillId="41" borderId="30" xfId="53" applyNumberFormat="1" applyFont="1" applyFill="1" applyBorder="1" applyAlignment="1">
      <alignment horizontal="center" vertical="center"/>
    </xf>
    <xf numFmtId="191" fontId="31" fillId="41" borderId="54" xfId="53" applyNumberFormat="1" applyFont="1" applyFill="1" applyBorder="1" applyAlignment="1">
      <alignment horizontal="center" vertical="center"/>
    </xf>
    <xf numFmtId="191" fontId="31" fillId="41" borderId="58" xfId="53" applyNumberFormat="1" applyFont="1" applyFill="1" applyBorder="1" applyAlignment="1">
      <alignment horizontal="center" vertical="center"/>
    </xf>
    <xf numFmtId="191" fontId="31" fillId="41" borderId="53" xfId="53" applyNumberFormat="1" applyFont="1" applyFill="1" applyBorder="1" applyAlignment="1">
      <alignment horizontal="center" vertical="center"/>
    </xf>
    <xf numFmtId="0" fontId="31" fillId="0" borderId="11" xfId="53" applyFont="1" applyBorder="1" applyAlignment="1">
      <alignment horizontal="center" vertical="center"/>
    </xf>
    <xf numFmtId="0" fontId="31" fillId="0" borderId="14" xfId="53" applyFont="1" applyBorder="1" applyAlignment="1">
      <alignment horizontal="center" vertical="center"/>
    </xf>
    <xf numFmtId="0" fontId="31" fillId="0" borderId="12" xfId="53" applyFont="1" applyBorder="1" applyAlignment="1">
      <alignment horizontal="center" vertical="center"/>
    </xf>
    <xf numFmtId="0" fontId="0" fillId="0" borderId="16" xfId="0" applyBorder="1" applyAlignment="1">
      <alignment vertical="center"/>
    </xf>
    <xf numFmtId="0" fontId="31" fillId="27" borderId="11" xfId="53" applyFont="1" applyFill="1" applyBorder="1" applyAlignment="1">
      <alignment horizontal="center" vertical="center"/>
    </xf>
    <xf numFmtId="0" fontId="31" fillId="27" borderId="14" xfId="53" applyFont="1" applyFill="1" applyBorder="1" applyAlignment="1">
      <alignment horizontal="center" vertical="center"/>
    </xf>
    <xf numFmtId="0" fontId="31" fillId="27" borderId="12" xfId="53" applyFont="1" applyFill="1" applyBorder="1" applyAlignment="1">
      <alignment horizontal="center" vertical="center"/>
    </xf>
    <xf numFmtId="0" fontId="31" fillId="41" borderId="17" xfId="53" applyFont="1" applyFill="1" applyBorder="1" applyAlignment="1">
      <alignment horizontal="left" vertical="center"/>
    </xf>
    <xf numFmtId="0" fontId="8" fillId="41" borderId="15" xfId="53" applyFill="1" applyBorder="1">
      <alignment vertical="center"/>
    </xf>
    <xf numFmtId="0" fontId="8" fillId="41" borderId="18" xfId="53" applyFill="1" applyBorder="1">
      <alignment vertical="center"/>
    </xf>
    <xf numFmtId="0" fontId="8" fillId="41" borderId="29" xfId="53" applyFill="1" applyBorder="1">
      <alignment vertical="center"/>
    </xf>
    <xf numFmtId="0" fontId="8" fillId="41" borderId="30" xfId="53" applyFill="1" applyBorder="1">
      <alignment vertical="center"/>
    </xf>
    <xf numFmtId="0" fontId="8" fillId="41" borderId="31" xfId="53" applyFill="1" applyBorder="1">
      <alignment vertical="center"/>
    </xf>
    <xf numFmtId="0" fontId="31" fillId="41" borderId="19" xfId="53" applyFont="1" applyFill="1" applyBorder="1" applyAlignment="1">
      <alignment horizontal="left" vertical="center"/>
    </xf>
    <xf numFmtId="0" fontId="31" fillId="41" borderId="20" xfId="53" applyFont="1" applyFill="1" applyBorder="1" applyAlignment="1">
      <alignment horizontal="left" vertical="center"/>
    </xf>
    <xf numFmtId="0" fontId="31" fillId="41" borderId="21" xfId="53" applyFont="1" applyFill="1" applyBorder="1" applyAlignment="1">
      <alignment horizontal="left" vertical="center"/>
    </xf>
    <xf numFmtId="191" fontId="31" fillId="41" borderId="19" xfId="53" applyNumberFormat="1" applyFont="1" applyFill="1" applyBorder="1" applyAlignment="1">
      <alignment horizontal="center" vertical="center"/>
    </xf>
    <xf numFmtId="191" fontId="31" fillId="41" borderId="20" xfId="53" applyNumberFormat="1" applyFont="1" applyFill="1" applyBorder="1" applyAlignment="1">
      <alignment horizontal="center" vertical="center"/>
    </xf>
    <xf numFmtId="191" fontId="31" fillId="41" borderId="21" xfId="53" applyNumberFormat="1" applyFont="1" applyFill="1" applyBorder="1" applyAlignment="1">
      <alignment horizontal="center" vertical="center"/>
    </xf>
    <xf numFmtId="0" fontId="0" fillId="0" borderId="16" xfId="86" applyFont="1" applyBorder="1" applyAlignment="1">
      <alignment horizontal="center" vertical="center"/>
    </xf>
    <xf numFmtId="0" fontId="8" fillId="0" borderId="16" xfId="86" applyFont="1" applyBorder="1" applyAlignment="1">
      <alignment horizontal="center" vertical="center"/>
    </xf>
    <xf numFmtId="0" fontId="0" fillId="0" borderId="16" xfId="50" applyFont="1" applyBorder="1" applyAlignment="1">
      <alignment horizontal="center" vertical="center"/>
    </xf>
    <xf numFmtId="0" fontId="0" fillId="0" borderId="123" xfId="50" applyFont="1" applyBorder="1" applyAlignment="1">
      <alignment horizontal="center" vertical="center"/>
    </xf>
    <xf numFmtId="0" fontId="0" fillId="0" borderId="126" xfId="50" applyFont="1" applyBorder="1" applyAlignment="1">
      <alignment horizontal="center"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8" fillId="0" borderId="15" xfId="0" applyFont="1" applyBorder="1" applyAlignment="1">
      <alignment horizontal="center" vertical="center"/>
    </xf>
    <xf numFmtId="0" fontId="8" fillId="0" borderId="18" xfId="0" applyFont="1" applyBorder="1" applyAlignment="1">
      <alignment horizontal="center" vertical="center"/>
    </xf>
    <xf numFmtId="0" fontId="8" fillId="0" borderId="13" xfId="0" applyFont="1" applyBorder="1" applyAlignment="1">
      <alignment horizontal="center" vertical="center"/>
    </xf>
    <xf numFmtId="0" fontId="8" fillId="0" borderId="0" xfId="0" applyFont="1" applyBorder="1" applyAlignment="1">
      <alignment horizontal="center" vertical="center"/>
    </xf>
    <xf numFmtId="0" fontId="8" fillId="0" borderId="23"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14" fontId="8" fillId="0" borderId="16" xfId="0" applyNumberFormat="1" applyFont="1" applyBorder="1" applyAlignment="1">
      <alignment horizontal="center" vertical="center"/>
    </xf>
    <xf numFmtId="0" fontId="30" fillId="0" borderId="17" xfId="0" applyFont="1" applyBorder="1" applyAlignment="1">
      <alignment horizontal="center" vertical="center"/>
    </xf>
    <xf numFmtId="0" fontId="30" fillId="0" borderId="15" xfId="0" applyFont="1" applyBorder="1" applyAlignment="1">
      <alignment horizontal="center" vertical="center"/>
    </xf>
    <xf numFmtId="0" fontId="30" fillId="0" borderId="18" xfId="0" applyFont="1" applyBorder="1" applyAlignment="1">
      <alignment horizontal="center" vertical="center"/>
    </xf>
    <xf numFmtId="0" fontId="30" fillId="0" borderId="13" xfId="0" applyFont="1" applyBorder="1" applyAlignment="1">
      <alignment horizontal="center" vertical="center"/>
    </xf>
    <xf numFmtId="0" fontId="30" fillId="0" borderId="0" xfId="0" applyFont="1" applyBorder="1" applyAlignment="1">
      <alignment horizontal="center" vertical="center"/>
    </xf>
    <xf numFmtId="0" fontId="30" fillId="0" borderId="23" xfId="0" applyFont="1" applyBorder="1" applyAlignment="1">
      <alignment horizontal="center" vertical="center"/>
    </xf>
    <xf numFmtId="0" fontId="30" fillId="0" borderId="29" xfId="0" applyFont="1" applyBorder="1" applyAlignment="1">
      <alignment horizontal="center" vertical="center"/>
    </xf>
    <xf numFmtId="0" fontId="30" fillId="0" borderId="30" xfId="0" applyFont="1" applyBorder="1" applyAlignment="1">
      <alignment horizontal="center" vertical="center"/>
    </xf>
    <xf numFmtId="0" fontId="30" fillId="0" borderId="31" xfId="0" applyFont="1" applyBorder="1" applyAlignment="1">
      <alignment horizontal="center" vertical="center"/>
    </xf>
    <xf numFmtId="0" fontId="30" fillId="0" borderId="16" xfId="0" applyFont="1" applyBorder="1" applyAlignment="1">
      <alignment horizontal="center" vertical="center"/>
    </xf>
    <xf numFmtId="180" fontId="0" fillId="0" borderId="167" xfId="0" applyNumberFormat="1" applyBorder="1" applyAlignment="1">
      <alignment horizontal="right" vertical="center" wrapText="1"/>
    </xf>
    <xf numFmtId="180" fontId="0" fillId="0" borderId="32" xfId="0" applyNumberFormat="1" applyBorder="1" applyAlignment="1">
      <alignment horizontal="left" vertical="center" wrapText="1"/>
    </xf>
    <xf numFmtId="180" fontId="0" fillId="0" borderId="32" xfId="0" applyNumberFormat="1" applyBorder="1" applyAlignment="1">
      <alignment horizontal="right" vertical="center" wrapText="1"/>
    </xf>
    <xf numFmtId="188" fontId="0" fillId="0" borderId="17" xfId="0" applyNumberFormat="1" applyBorder="1" applyAlignment="1">
      <alignment horizontal="right" vertical="center"/>
    </xf>
    <xf numFmtId="188" fontId="0" fillId="0" borderId="15" xfId="0" applyNumberFormat="1" applyBorder="1" applyAlignment="1">
      <alignment horizontal="right" vertical="center"/>
    </xf>
    <xf numFmtId="188" fontId="0" fillId="0" borderId="18" xfId="0" applyNumberFormat="1" applyBorder="1" applyAlignment="1">
      <alignment horizontal="right" vertical="center"/>
    </xf>
    <xf numFmtId="188" fontId="0" fillId="0" borderId="29" xfId="0" applyNumberFormat="1" applyBorder="1" applyAlignment="1">
      <alignment horizontal="right" vertical="center"/>
    </xf>
    <xf numFmtId="188" fontId="0" fillId="0" borderId="30" xfId="0" applyNumberFormat="1" applyBorder="1" applyAlignment="1">
      <alignment horizontal="right" vertical="center"/>
    </xf>
    <xf numFmtId="188" fontId="0" fillId="0" borderId="31" xfId="0" applyNumberFormat="1" applyBorder="1" applyAlignment="1">
      <alignment horizontal="right" vertical="center"/>
    </xf>
    <xf numFmtId="0" fontId="8" fillId="25" borderId="16" xfId="0" applyFont="1" applyFill="1" applyBorder="1" applyAlignment="1">
      <alignment horizontal="center" vertical="center" wrapText="1"/>
    </xf>
    <xf numFmtId="180" fontId="0" fillId="29" borderId="17" xfId="0" applyNumberFormat="1" applyFill="1" applyBorder="1" applyAlignment="1">
      <alignment horizontal="right" vertical="center"/>
    </xf>
    <xf numFmtId="180" fontId="0" fillId="29" borderId="15" xfId="0" applyNumberFormat="1" applyFill="1" applyBorder="1" applyAlignment="1">
      <alignment horizontal="right" vertical="center"/>
    </xf>
    <xf numFmtId="180" fontId="0" fillId="29" borderId="18" xfId="0" applyNumberFormat="1" applyFill="1" applyBorder="1" applyAlignment="1">
      <alignment horizontal="right" vertical="center"/>
    </xf>
    <xf numFmtId="180" fontId="0" fillId="29" borderId="29" xfId="0" applyNumberFormat="1" applyFill="1" applyBorder="1" applyAlignment="1">
      <alignment horizontal="right" vertical="center"/>
    </xf>
    <xf numFmtId="180" fontId="0" fillId="29" borderId="30" xfId="0" applyNumberFormat="1" applyFill="1" applyBorder="1" applyAlignment="1">
      <alignment horizontal="right" vertical="center"/>
    </xf>
    <xf numFmtId="180" fontId="0" fillId="29" borderId="31" xfId="0" applyNumberFormat="1" applyFill="1" applyBorder="1" applyAlignment="1">
      <alignment horizontal="right" vertical="center"/>
    </xf>
    <xf numFmtId="178" fontId="0" fillId="0" borderId="17" xfId="0" applyNumberFormat="1" applyBorder="1" applyAlignment="1">
      <alignment horizontal="left" vertical="center" wrapText="1"/>
    </xf>
    <xf numFmtId="178" fontId="0" fillId="0" borderId="15" xfId="0" applyNumberFormat="1" applyBorder="1" applyAlignment="1">
      <alignment horizontal="left" vertical="center" wrapText="1"/>
    </xf>
    <xf numFmtId="178" fontId="0" fillId="0" borderId="18" xfId="0" applyNumberFormat="1" applyBorder="1" applyAlignment="1">
      <alignment horizontal="left" vertical="center" wrapText="1"/>
    </xf>
    <xf numFmtId="178" fontId="0" fillId="0" borderId="29" xfId="0" applyNumberFormat="1" applyBorder="1" applyAlignment="1">
      <alignment horizontal="left" vertical="center" wrapText="1"/>
    </xf>
    <xf numFmtId="178" fontId="0" fillId="0" borderId="30" xfId="0" applyNumberFormat="1" applyBorder="1" applyAlignment="1">
      <alignment horizontal="left" vertical="center" wrapText="1"/>
    </xf>
    <xf numFmtId="178" fontId="0" fillId="0" borderId="31" xfId="0" applyNumberFormat="1" applyBorder="1" applyAlignment="1">
      <alignment horizontal="left" vertical="center" wrapText="1"/>
    </xf>
    <xf numFmtId="188" fontId="0" fillId="0" borderId="16" xfId="0" applyNumberFormat="1" applyBorder="1" applyAlignment="1">
      <alignment horizontal="right" vertical="center"/>
    </xf>
    <xf numFmtId="0" fontId="8" fillId="25" borderId="17" xfId="0" applyFont="1" applyFill="1" applyBorder="1" applyAlignment="1">
      <alignment horizontal="center" vertical="center" wrapText="1"/>
    </xf>
    <xf numFmtId="0" fontId="8" fillId="25" borderId="15" xfId="0" applyFont="1" applyFill="1" applyBorder="1" applyAlignment="1">
      <alignment horizontal="center" vertical="center" wrapText="1"/>
    </xf>
    <xf numFmtId="0" fontId="8" fillId="25" borderId="18" xfId="0" applyFont="1" applyFill="1" applyBorder="1" applyAlignment="1">
      <alignment horizontal="center" vertical="center" wrapText="1"/>
    </xf>
    <xf numFmtId="0" fontId="8" fillId="25" borderId="29" xfId="0" applyFont="1" applyFill="1" applyBorder="1" applyAlignment="1">
      <alignment horizontal="center" vertical="center" wrapText="1"/>
    </xf>
    <xf numFmtId="0" fontId="8" fillId="25" borderId="30" xfId="0" applyFont="1" applyFill="1" applyBorder="1" applyAlignment="1">
      <alignment horizontal="center" vertical="center" wrapText="1"/>
    </xf>
    <xf numFmtId="0" fontId="8" fillId="25" borderId="31" xfId="0" applyFont="1" applyFill="1" applyBorder="1" applyAlignment="1">
      <alignment horizontal="center" vertical="center" wrapText="1"/>
    </xf>
    <xf numFmtId="0" fontId="0" fillId="25" borderId="14" xfId="0" applyFill="1" applyBorder="1" applyAlignment="1">
      <alignment horizontal="center" vertical="center" wrapText="1"/>
    </xf>
    <xf numFmtId="0" fontId="0" fillId="25" borderId="12" xfId="0" applyFill="1" applyBorder="1" applyAlignment="1">
      <alignment horizontal="center" vertical="center" wrapText="1"/>
    </xf>
    <xf numFmtId="180" fontId="0" fillId="0" borderId="167" xfId="0" applyNumberFormat="1" applyBorder="1" applyAlignment="1">
      <alignment horizontal="left" vertical="center" wrapText="1"/>
    </xf>
    <xf numFmtId="176" fontId="0" fillId="0" borderId="11" xfId="0" applyNumberFormat="1" applyFill="1" applyBorder="1" applyAlignment="1">
      <alignment horizontal="center" vertical="center" wrapText="1"/>
    </xf>
    <xf numFmtId="176" fontId="0" fillId="0" borderId="14" xfId="0" applyNumberFormat="1" applyFill="1" applyBorder="1" applyAlignment="1">
      <alignment horizontal="center" vertical="center" wrapText="1"/>
    </xf>
    <xf numFmtId="176" fontId="0" fillId="0" borderId="12" xfId="0" applyNumberFormat="1" applyFill="1" applyBorder="1" applyAlignment="1">
      <alignment horizontal="center" vertical="center" wrapText="1"/>
    </xf>
    <xf numFmtId="0" fontId="0" fillId="0" borderId="11" xfId="0" applyFill="1" applyBorder="1" applyAlignment="1">
      <alignment horizontal="center" vertical="center" wrapText="1"/>
    </xf>
    <xf numFmtId="0" fontId="0" fillId="0" borderId="14" xfId="0" applyFill="1" applyBorder="1" applyAlignment="1">
      <alignment horizontal="center" vertical="center" wrapText="1"/>
    </xf>
    <xf numFmtId="0" fontId="0" fillId="0" borderId="12" xfId="0" applyFill="1" applyBorder="1" applyAlignment="1">
      <alignment horizontal="center" vertical="center" wrapText="1"/>
    </xf>
    <xf numFmtId="0" fontId="0" fillId="0" borderId="0" xfId="0" applyBorder="1" applyAlignment="1">
      <alignment vertical="center"/>
    </xf>
    <xf numFmtId="176" fontId="0" fillId="0" borderId="17" xfId="0" applyNumberFormat="1" applyFill="1" applyBorder="1" applyAlignment="1">
      <alignment horizontal="center" vertical="center" wrapText="1"/>
    </xf>
    <xf numFmtId="176" fontId="0" fillId="0" borderId="15" xfId="0" applyNumberFormat="1" applyFill="1" applyBorder="1" applyAlignment="1">
      <alignment horizontal="center" vertical="center" wrapText="1"/>
    </xf>
    <xf numFmtId="176" fontId="0" fillId="0" borderId="18" xfId="0" applyNumberFormat="1" applyFill="1" applyBorder="1" applyAlignment="1">
      <alignment horizontal="center" vertical="center" wrapText="1"/>
    </xf>
    <xf numFmtId="176" fontId="0" fillId="0" borderId="13" xfId="0" applyNumberFormat="1" applyFill="1" applyBorder="1" applyAlignment="1">
      <alignment horizontal="center" vertical="center" wrapText="1"/>
    </xf>
    <xf numFmtId="176" fontId="0" fillId="0" borderId="0" xfId="0" applyNumberFormat="1" applyFill="1" applyBorder="1" applyAlignment="1">
      <alignment horizontal="center" vertical="center" wrapText="1"/>
    </xf>
    <xf numFmtId="176" fontId="0" fillId="0" borderId="23" xfId="0" applyNumberFormat="1" applyFill="1" applyBorder="1" applyAlignment="1">
      <alignment horizontal="center" vertical="center" wrapText="1"/>
    </xf>
    <xf numFmtId="176" fontId="0" fillId="0" borderId="29" xfId="0" applyNumberFormat="1" applyFill="1" applyBorder="1" applyAlignment="1">
      <alignment horizontal="center" vertical="center" wrapText="1"/>
    </xf>
    <xf numFmtId="176" fontId="0" fillId="0" borderId="30" xfId="0" applyNumberFormat="1" applyFill="1" applyBorder="1" applyAlignment="1">
      <alignment horizontal="center" vertical="center" wrapText="1"/>
    </xf>
    <xf numFmtId="176" fontId="0" fillId="0" borderId="31" xfId="0" applyNumberFormat="1" applyFill="1" applyBorder="1" applyAlignment="1">
      <alignment horizontal="center" vertical="center" wrapText="1"/>
    </xf>
    <xf numFmtId="0" fontId="0" fillId="0" borderId="13" xfId="0" applyFill="1" applyBorder="1" applyAlignment="1">
      <alignment horizontal="center" vertical="center" wrapText="1"/>
    </xf>
    <xf numFmtId="0" fontId="0" fillId="0" borderId="0" xfId="0" applyFill="1" applyBorder="1" applyAlignment="1">
      <alignment horizontal="center" vertical="center" wrapText="1"/>
    </xf>
    <xf numFmtId="0" fontId="0" fillId="0" borderId="23" xfId="0" applyFill="1" applyBorder="1" applyAlignment="1">
      <alignment horizontal="center" vertical="center" wrapText="1"/>
    </xf>
    <xf numFmtId="0" fontId="0" fillId="0" borderId="29" xfId="0" applyFill="1" applyBorder="1" applyAlignment="1">
      <alignment horizontal="center" vertical="center" wrapText="1"/>
    </xf>
    <xf numFmtId="0" fontId="0" fillId="0" borderId="30" xfId="0" applyFill="1" applyBorder="1" applyAlignment="1">
      <alignment horizontal="center" vertical="center" wrapText="1"/>
    </xf>
    <xf numFmtId="0" fontId="0" fillId="0" borderId="31" xfId="0" applyFill="1" applyBorder="1" applyAlignment="1">
      <alignment horizontal="center" vertical="center" wrapText="1"/>
    </xf>
    <xf numFmtId="0" fontId="8" fillId="0" borderId="16" xfId="48" applyFont="1" applyBorder="1" applyAlignment="1">
      <alignment horizontal="center" vertical="center"/>
    </xf>
    <xf numFmtId="14" fontId="8" fillId="0" borderId="16" xfId="48" applyNumberFormat="1" applyFont="1" applyBorder="1" applyAlignment="1">
      <alignment horizontal="center" vertical="center"/>
    </xf>
    <xf numFmtId="0" fontId="8" fillId="0" borderId="17" xfId="48" applyFont="1" applyBorder="1" applyAlignment="1">
      <alignment horizontal="center" vertical="center"/>
    </xf>
    <xf numFmtId="0" fontId="8" fillId="0" borderId="15" xfId="48" applyFont="1" applyBorder="1" applyAlignment="1">
      <alignment horizontal="center" vertical="center"/>
    </xf>
    <xf numFmtId="0" fontId="8" fillId="0" borderId="18" xfId="48" applyFont="1" applyBorder="1" applyAlignment="1">
      <alignment horizontal="center" vertical="center"/>
    </xf>
    <xf numFmtId="0" fontId="8" fillId="0" borderId="13" xfId="48" applyFont="1" applyBorder="1" applyAlignment="1">
      <alignment horizontal="center" vertical="center"/>
    </xf>
    <xf numFmtId="0" fontId="8" fillId="0" borderId="0" xfId="48" applyFont="1" applyBorder="1" applyAlignment="1">
      <alignment horizontal="center" vertical="center"/>
    </xf>
    <xf numFmtId="0" fontId="8" fillId="0" borderId="23" xfId="48" applyFont="1" applyBorder="1" applyAlignment="1">
      <alignment horizontal="center" vertical="center"/>
    </xf>
    <xf numFmtId="0" fontId="8" fillId="0" borderId="29" xfId="48" applyFont="1" applyBorder="1" applyAlignment="1">
      <alignment horizontal="center" vertical="center"/>
    </xf>
    <xf numFmtId="0" fontId="8" fillId="0" borderId="30" xfId="48" applyFont="1" applyBorder="1" applyAlignment="1">
      <alignment horizontal="center" vertical="center"/>
    </xf>
    <xf numFmtId="0" fontId="8" fillId="0" borderId="31" xfId="48" applyFont="1" applyBorder="1" applyAlignment="1">
      <alignment horizontal="center" vertical="center"/>
    </xf>
    <xf numFmtId="0" fontId="31" fillId="0" borderId="11" xfId="48" applyFont="1" applyBorder="1" applyAlignment="1">
      <alignment horizontal="center" vertical="center"/>
    </xf>
    <xf numFmtId="0" fontId="31" fillId="0" borderId="14" xfId="48" applyFont="1" applyBorder="1" applyAlignment="1">
      <alignment horizontal="center" vertical="center"/>
    </xf>
    <xf numFmtId="0" fontId="31" fillId="0" borderId="12" xfId="48" applyFont="1" applyBorder="1" applyAlignment="1">
      <alignment horizontal="center" vertical="center"/>
    </xf>
    <xf numFmtId="0" fontId="30" fillId="0" borderId="17" xfId="48" applyFont="1" applyBorder="1" applyAlignment="1">
      <alignment horizontal="center" vertical="center"/>
    </xf>
    <xf numFmtId="0" fontId="30" fillId="0" borderId="15" xfId="48" applyFont="1" applyBorder="1" applyAlignment="1">
      <alignment horizontal="center" vertical="center"/>
    </xf>
    <xf numFmtId="0" fontId="30" fillId="0" borderId="18" xfId="48" applyFont="1" applyBorder="1" applyAlignment="1">
      <alignment horizontal="center" vertical="center"/>
    </xf>
    <xf numFmtId="0" fontId="30" fillId="0" borderId="13" xfId="48" applyFont="1" applyBorder="1" applyAlignment="1">
      <alignment horizontal="center" vertical="center"/>
    </xf>
    <xf numFmtId="0" fontId="30" fillId="0" borderId="0" xfId="48" applyFont="1" applyBorder="1" applyAlignment="1">
      <alignment horizontal="center" vertical="center"/>
    </xf>
    <xf numFmtId="0" fontId="30" fillId="0" borderId="23" xfId="48" applyFont="1" applyBorder="1" applyAlignment="1">
      <alignment horizontal="center" vertical="center"/>
    </xf>
    <xf numFmtId="0" fontId="30" fillId="0" borderId="29" xfId="48" applyFont="1" applyBorder="1" applyAlignment="1">
      <alignment horizontal="center" vertical="center"/>
    </xf>
    <xf numFmtId="0" fontId="30" fillId="0" borderId="30" xfId="48" applyFont="1" applyBorder="1" applyAlignment="1">
      <alignment horizontal="center" vertical="center"/>
    </xf>
    <xf numFmtId="0" fontId="30" fillId="0" borderId="31" xfId="48" applyFont="1" applyBorder="1" applyAlignment="1">
      <alignment horizontal="center" vertical="center"/>
    </xf>
    <xf numFmtId="0" fontId="30" fillId="0" borderId="17" xfId="48" applyFont="1" applyBorder="1" applyAlignment="1">
      <alignment horizontal="center" vertical="center" wrapText="1"/>
    </xf>
    <xf numFmtId="0" fontId="8" fillId="0" borderId="16" xfId="51" applyFont="1" applyBorder="1" applyAlignment="1">
      <alignment horizontal="center" vertical="center"/>
    </xf>
    <xf numFmtId="0" fontId="8" fillId="0" borderId="17" xfId="51" applyFont="1" applyBorder="1" applyAlignment="1">
      <alignment horizontal="center" vertical="center"/>
    </xf>
    <xf numFmtId="0" fontId="8" fillId="0" borderId="15" xfId="51" applyFont="1" applyBorder="1" applyAlignment="1">
      <alignment horizontal="center" vertical="center"/>
    </xf>
    <xf numFmtId="0" fontId="8" fillId="0" borderId="18" xfId="51" applyFont="1" applyBorder="1" applyAlignment="1">
      <alignment horizontal="center" vertical="center"/>
    </xf>
    <xf numFmtId="0" fontId="8" fillId="0" borderId="13" xfId="51" applyFont="1" applyBorder="1" applyAlignment="1">
      <alignment horizontal="center" vertical="center"/>
    </xf>
    <xf numFmtId="0" fontId="8" fillId="0" borderId="0" xfId="51" applyFont="1" applyBorder="1" applyAlignment="1">
      <alignment horizontal="center" vertical="center"/>
    </xf>
    <xf numFmtId="0" fontId="8" fillId="0" borderId="23" xfId="51" applyFont="1" applyBorder="1" applyAlignment="1">
      <alignment horizontal="center" vertical="center"/>
    </xf>
    <xf numFmtId="0" fontId="8" fillId="0" borderId="29" xfId="51" applyFont="1" applyBorder="1" applyAlignment="1">
      <alignment horizontal="center" vertical="center"/>
    </xf>
    <xf numFmtId="0" fontId="8" fillId="0" borderId="30" xfId="51" applyFont="1" applyBorder="1" applyAlignment="1">
      <alignment horizontal="center" vertical="center"/>
    </xf>
    <xf numFmtId="0" fontId="8" fillId="0" borderId="31" xfId="51" applyFont="1" applyBorder="1" applyAlignment="1">
      <alignment horizontal="center" vertical="center"/>
    </xf>
    <xf numFmtId="14" fontId="8" fillId="0" borderId="16" xfId="51" applyNumberFormat="1" applyFont="1" applyBorder="1" applyAlignment="1">
      <alignment horizontal="center" vertical="center"/>
    </xf>
    <xf numFmtId="0" fontId="30" fillId="0" borderId="17" xfId="51" applyFont="1" applyBorder="1" applyAlignment="1">
      <alignment horizontal="center" vertical="center"/>
    </xf>
    <xf numFmtId="0" fontId="30" fillId="0" borderId="15" xfId="51" applyFont="1" applyBorder="1" applyAlignment="1">
      <alignment horizontal="center" vertical="center"/>
    </xf>
    <xf numFmtId="0" fontId="30" fillId="0" borderId="18" xfId="51" applyFont="1" applyBorder="1" applyAlignment="1">
      <alignment horizontal="center" vertical="center"/>
    </xf>
    <xf numFmtId="0" fontId="30" fillId="0" borderId="13" xfId="51" applyFont="1" applyBorder="1" applyAlignment="1">
      <alignment horizontal="center" vertical="center"/>
    </xf>
    <xf numFmtId="0" fontId="30" fillId="0" borderId="0" xfId="51" applyFont="1" applyBorder="1" applyAlignment="1">
      <alignment horizontal="center" vertical="center"/>
    </xf>
    <xf numFmtId="0" fontId="30" fillId="0" borderId="23" xfId="51" applyFont="1" applyBorder="1" applyAlignment="1">
      <alignment horizontal="center" vertical="center"/>
    </xf>
    <xf numFmtId="0" fontId="30" fillId="0" borderId="29" xfId="51" applyFont="1" applyBorder="1" applyAlignment="1">
      <alignment horizontal="center" vertical="center"/>
    </xf>
    <xf numFmtId="0" fontId="30" fillId="0" borderId="30" xfId="51" applyFont="1" applyBorder="1" applyAlignment="1">
      <alignment horizontal="center" vertical="center"/>
    </xf>
    <xf numFmtId="0" fontId="30" fillId="0" borderId="31" xfId="51" applyFont="1" applyBorder="1" applyAlignment="1">
      <alignment horizontal="center" vertical="center"/>
    </xf>
    <xf numFmtId="0" fontId="30" fillId="0" borderId="17" xfId="51" applyFont="1" applyBorder="1" applyAlignment="1">
      <alignment horizontal="center" vertical="center" wrapText="1"/>
    </xf>
    <xf numFmtId="0" fontId="31" fillId="25" borderId="32" xfId="83" applyFont="1" applyFill="1" applyBorder="1" applyAlignment="1">
      <alignment horizontal="center" vertical="top" textRotation="255"/>
    </xf>
    <xf numFmtId="0" fontId="31" fillId="25" borderId="22" xfId="87" applyFont="1" applyFill="1" applyBorder="1" applyAlignment="1">
      <alignment horizontal="center" vertical="top" textRotation="255" wrapText="1"/>
    </xf>
    <xf numFmtId="0" fontId="31" fillId="25" borderId="34" xfId="87" applyFont="1" applyFill="1" applyBorder="1" applyAlignment="1">
      <alignment horizontal="center" vertical="top" textRotation="255" wrapText="1"/>
    </xf>
    <xf numFmtId="0" fontId="31" fillId="25" borderId="32" xfId="87" applyFont="1" applyFill="1" applyBorder="1" applyAlignment="1">
      <alignment horizontal="center" vertical="top" textRotation="255" wrapText="1"/>
    </xf>
    <xf numFmtId="0" fontId="31" fillId="25" borderId="135" xfId="87" applyFont="1" applyFill="1" applyBorder="1" applyAlignment="1">
      <alignment horizontal="center" vertical="top" textRotation="255" wrapText="1"/>
    </xf>
    <xf numFmtId="0" fontId="31" fillId="25" borderId="136" xfId="87" applyFont="1" applyFill="1" applyBorder="1" applyAlignment="1">
      <alignment horizontal="center" vertical="top" textRotation="255" wrapText="1"/>
    </xf>
    <xf numFmtId="0" fontId="31" fillId="25" borderId="62" xfId="87" applyFont="1" applyFill="1" applyBorder="1" applyAlignment="1">
      <alignment horizontal="center" vertical="top" textRotation="255" wrapText="1"/>
    </xf>
    <xf numFmtId="0" fontId="31" fillId="25" borderId="131" xfId="87" applyFont="1" applyFill="1" applyBorder="1" applyAlignment="1">
      <alignment horizontal="center" vertical="top" textRotation="255"/>
    </xf>
    <xf numFmtId="0" fontId="31" fillId="25" borderId="132" xfId="87" applyFont="1" applyFill="1" applyBorder="1" applyAlignment="1">
      <alignment horizontal="center" vertical="top" textRotation="255"/>
    </xf>
    <xf numFmtId="0" fontId="31" fillId="25" borderId="63" xfId="87" applyFont="1" applyFill="1" applyBorder="1" applyAlignment="1">
      <alignment horizontal="center" vertical="top" textRotation="255"/>
    </xf>
    <xf numFmtId="0" fontId="31" fillId="25" borderId="22" xfId="87" applyFont="1" applyFill="1" applyBorder="1" applyAlignment="1">
      <alignment horizontal="center" vertical="top" textRotation="255"/>
    </xf>
    <xf numFmtId="0" fontId="31" fillId="25" borderId="34" xfId="87" applyFont="1" applyFill="1" applyBorder="1" applyAlignment="1">
      <alignment horizontal="center" vertical="top" textRotation="255"/>
    </xf>
    <xf numFmtId="0" fontId="31" fillId="25" borderId="32" xfId="87" applyFont="1" applyFill="1" applyBorder="1" applyAlignment="1">
      <alignment horizontal="center" vertical="top" textRotation="255"/>
    </xf>
    <xf numFmtId="0" fontId="31" fillId="0" borderId="16" xfId="51" applyFont="1" applyBorder="1" applyAlignment="1">
      <alignment horizontal="center" vertical="center"/>
    </xf>
    <xf numFmtId="0" fontId="31" fillId="0" borderId="17" xfId="51" applyFont="1" applyBorder="1" applyAlignment="1">
      <alignment horizontal="center" vertical="center"/>
    </xf>
    <xf numFmtId="0" fontId="31" fillId="0" borderId="15" xfId="51" applyFont="1" applyBorder="1" applyAlignment="1">
      <alignment horizontal="center" vertical="center"/>
    </xf>
    <xf numFmtId="0" fontId="31" fillId="0" borderId="18" xfId="51" applyFont="1" applyBorder="1" applyAlignment="1">
      <alignment horizontal="center" vertical="center"/>
    </xf>
    <xf numFmtId="0" fontId="31" fillId="0" borderId="13" xfId="51" applyFont="1" applyBorder="1" applyAlignment="1">
      <alignment horizontal="center" vertical="center"/>
    </xf>
    <xf numFmtId="0" fontId="31" fillId="0" borderId="0" xfId="51" applyFont="1" applyBorder="1" applyAlignment="1">
      <alignment horizontal="center" vertical="center"/>
    </xf>
    <xf numFmtId="0" fontId="31" fillId="0" borderId="23" xfId="51" applyFont="1" applyBorder="1" applyAlignment="1">
      <alignment horizontal="center" vertical="center"/>
    </xf>
    <xf numFmtId="0" fontId="31" fillId="0" borderId="29" xfId="51" applyFont="1" applyBorder="1" applyAlignment="1">
      <alignment horizontal="center" vertical="center"/>
    </xf>
    <xf numFmtId="0" fontId="31" fillId="0" borderId="30" xfId="51" applyFont="1" applyBorder="1" applyAlignment="1">
      <alignment horizontal="center" vertical="center"/>
    </xf>
    <xf numFmtId="0" fontId="31" fillId="0" borderId="31" xfId="51" applyFont="1" applyBorder="1" applyAlignment="1">
      <alignment horizontal="center" vertical="center"/>
    </xf>
    <xf numFmtId="0" fontId="31" fillId="25" borderId="22" xfId="59" applyFont="1" applyFill="1" applyBorder="1" applyAlignment="1">
      <alignment horizontal="center" vertical="top" textRotation="255" wrapText="1"/>
    </xf>
    <xf numFmtId="0" fontId="31" fillId="25" borderId="34" xfId="59" applyFont="1" applyFill="1" applyBorder="1" applyAlignment="1">
      <alignment horizontal="center" vertical="top" textRotation="255" wrapText="1"/>
    </xf>
    <xf numFmtId="0" fontId="31" fillId="25" borderId="32" xfId="59" applyFont="1" applyFill="1" applyBorder="1" applyAlignment="1">
      <alignment horizontal="center" vertical="top" textRotation="255" wrapText="1"/>
    </xf>
    <xf numFmtId="0" fontId="31" fillId="25" borderId="131" xfId="59" applyFont="1" applyFill="1" applyBorder="1" applyAlignment="1">
      <alignment horizontal="center" vertical="top" textRotation="255"/>
    </xf>
    <xf numFmtId="0" fontId="31" fillId="25" borderId="132" xfId="59" applyFont="1" applyFill="1" applyBorder="1" applyAlignment="1">
      <alignment horizontal="center" vertical="top" textRotation="255"/>
    </xf>
    <xf numFmtId="0" fontId="31" fillId="25" borderId="63" xfId="59" applyFont="1" applyFill="1" applyBorder="1" applyAlignment="1">
      <alignment horizontal="center" vertical="top" textRotation="255"/>
    </xf>
    <xf numFmtId="0" fontId="31" fillId="0" borderId="11" xfId="52" applyFont="1" applyBorder="1" applyAlignment="1">
      <alignment horizontal="center" vertical="center"/>
    </xf>
    <xf numFmtId="0" fontId="31" fillId="0" borderId="14" xfId="52" applyFont="1" applyBorder="1" applyAlignment="1">
      <alignment horizontal="center" vertical="center"/>
    </xf>
    <xf numFmtId="0" fontId="31" fillId="0" borderId="12" xfId="52" applyFont="1" applyBorder="1" applyAlignment="1">
      <alignment horizontal="center" vertical="center"/>
    </xf>
    <xf numFmtId="0" fontId="8" fillId="0" borderId="16" xfId="52" applyFont="1" applyBorder="1" applyAlignment="1">
      <alignment horizontal="center" vertical="center"/>
    </xf>
    <xf numFmtId="14" fontId="8" fillId="0" borderId="16" xfId="52" applyNumberFormat="1" applyFont="1" applyBorder="1" applyAlignment="1">
      <alignment horizontal="center" vertical="center"/>
    </xf>
    <xf numFmtId="0" fontId="31" fillId="0" borderId="16" xfId="52" applyFont="1" applyBorder="1" applyAlignment="1">
      <alignment horizontal="center" vertical="center"/>
    </xf>
    <xf numFmtId="0" fontId="31" fillId="25" borderId="22" xfId="59" applyFont="1" applyFill="1" applyBorder="1" applyAlignment="1">
      <alignment horizontal="center" vertical="top" textRotation="255"/>
    </xf>
    <xf numFmtId="0" fontId="31" fillId="25" borderId="34" xfId="59" applyFont="1" applyFill="1" applyBorder="1" applyAlignment="1">
      <alignment horizontal="center" vertical="top" textRotation="255"/>
    </xf>
    <xf numFmtId="0" fontId="31" fillId="25" borderId="32" xfId="59" applyFont="1" applyFill="1" applyBorder="1" applyAlignment="1">
      <alignment horizontal="center" vertical="top" textRotation="255"/>
    </xf>
    <xf numFmtId="0" fontId="30" fillId="0" borderId="17" xfId="52" applyFont="1" applyBorder="1" applyAlignment="1">
      <alignment horizontal="center" vertical="center"/>
    </xf>
    <xf numFmtId="0" fontId="30" fillId="0" borderId="15" xfId="52" applyFont="1" applyBorder="1" applyAlignment="1">
      <alignment horizontal="center" vertical="center"/>
    </xf>
    <xf numFmtId="0" fontId="30" fillId="0" borderId="18" xfId="52" applyFont="1" applyBorder="1" applyAlignment="1">
      <alignment horizontal="center" vertical="center"/>
    </xf>
    <xf numFmtId="0" fontId="30" fillId="0" borderId="13" xfId="52" applyFont="1" applyBorder="1" applyAlignment="1">
      <alignment horizontal="center" vertical="center"/>
    </xf>
    <xf numFmtId="0" fontId="30" fillId="0" borderId="0" xfId="52" applyFont="1" applyBorder="1" applyAlignment="1">
      <alignment horizontal="center" vertical="center"/>
    </xf>
    <xf numFmtId="0" fontId="30" fillId="0" borderId="23" xfId="52" applyFont="1" applyBorder="1" applyAlignment="1">
      <alignment horizontal="center" vertical="center"/>
    </xf>
    <xf numFmtId="0" fontId="30" fillId="0" borderId="29" xfId="52" applyFont="1" applyBorder="1" applyAlignment="1">
      <alignment horizontal="center" vertical="center"/>
    </xf>
    <xf numFmtId="0" fontId="30" fillId="0" borderId="30" xfId="52" applyFont="1" applyBorder="1" applyAlignment="1">
      <alignment horizontal="center" vertical="center"/>
    </xf>
    <xf numFmtId="0" fontId="30" fillId="0" borderId="31" xfId="52" applyFont="1" applyBorder="1" applyAlignment="1">
      <alignment horizontal="center" vertical="center"/>
    </xf>
    <xf numFmtId="0" fontId="30" fillId="0" borderId="17" xfId="52" applyFont="1" applyBorder="1" applyAlignment="1">
      <alignment horizontal="center" vertical="center" wrapText="1"/>
    </xf>
    <xf numFmtId="0" fontId="31" fillId="0" borderId="17" xfId="52" applyFont="1" applyBorder="1" applyAlignment="1">
      <alignment horizontal="center" vertical="center"/>
    </xf>
    <xf numFmtId="0" fontId="31" fillId="0" borderId="15" xfId="52" applyFont="1" applyBorder="1" applyAlignment="1">
      <alignment horizontal="center" vertical="center"/>
    </xf>
    <xf numFmtId="0" fontId="31" fillId="0" borderId="18" xfId="52" applyFont="1" applyBorder="1" applyAlignment="1">
      <alignment horizontal="center" vertical="center"/>
    </xf>
    <xf numFmtId="0" fontId="31" fillId="0" borderId="13" xfId="52" applyFont="1" applyBorder="1" applyAlignment="1">
      <alignment horizontal="center" vertical="center"/>
    </xf>
    <xf numFmtId="0" fontId="31" fillId="0" borderId="0" xfId="52" applyFont="1" applyBorder="1" applyAlignment="1">
      <alignment horizontal="center" vertical="center"/>
    </xf>
    <xf numFmtId="0" fontId="31" fillId="0" borderId="23" xfId="52" applyFont="1" applyBorder="1" applyAlignment="1">
      <alignment horizontal="center" vertical="center"/>
    </xf>
    <xf numFmtId="0" fontId="31" fillId="0" borderId="29" xfId="52" applyFont="1" applyBorder="1" applyAlignment="1">
      <alignment horizontal="center" vertical="center"/>
    </xf>
    <xf numFmtId="0" fontId="31" fillId="0" borderId="30" xfId="52" applyFont="1" applyBorder="1" applyAlignment="1">
      <alignment horizontal="center" vertical="center"/>
    </xf>
    <xf numFmtId="0" fontId="31" fillId="0" borderId="31" xfId="52" applyFont="1" applyBorder="1" applyAlignment="1">
      <alignment horizontal="center" vertical="center"/>
    </xf>
    <xf numFmtId="0" fontId="8" fillId="0" borderId="16" xfId="55" applyFont="1" applyBorder="1" applyAlignment="1">
      <alignment horizontal="center" vertical="center"/>
    </xf>
    <xf numFmtId="0" fontId="8" fillId="0" borderId="17" xfId="55" applyFont="1" applyBorder="1" applyAlignment="1">
      <alignment horizontal="center" vertical="center"/>
    </xf>
    <xf numFmtId="0" fontId="8" fillId="0" borderId="15" xfId="55" applyFont="1" applyBorder="1" applyAlignment="1">
      <alignment horizontal="center" vertical="center"/>
    </xf>
    <xf numFmtId="0" fontId="8" fillId="0" borderId="18" xfId="55" applyFont="1" applyBorder="1" applyAlignment="1">
      <alignment horizontal="center" vertical="center"/>
    </xf>
    <xf numFmtId="0" fontId="8" fillId="0" borderId="13" xfId="55" applyFont="1" applyBorder="1" applyAlignment="1">
      <alignment horizontal="center" vertical="center"/>
    </xf>
    <xf numFmtId="0" fontId="8" fillId="0" borderId="0" xfId="55" applyFont="1" applyBorder="1" applyAlignment="1">
      <alignment horizontal="center" vertical="center"/>
    </xf>
    <xf numFmtId="0" fontId="8" fillId="0" borderId="23" xfId="55" applyFont="1" applyBorder="1" applyAlignment="1">
      <alignment horizontal="center" vertical="center"/>
    </xf>
    <xf numFmtId="0" fontId="8" fillId="0" borderId="29" xfId="55" applyFont="1" applyBorder="1" applyAlignment="1">
      <alignment horizontal="center" vertical="center"/>
    </xf>
    <xf numFmtId="0" fontId="8" fillId="0" borderId="30" xfId="55" applyFont="1" applyBorder="1" applyAlignment="1">
      <alignment horizontal="center" vertical="center"/>
    </xf>
    <xf numFmtId="0" fontId="8" fillId="0" borderId="31" xfId="55" applyFont="1" applyBorder="1" applyAlignment="1">
      <alignment horizontal="center" vertical="center"/>
    </xf>
    <xf numFmtId="14" fontId="8" fillId="0" borderId="16" xfId="55" applyNumberFormat="1" applyFont="1" applyBorder="1" applyAlignment="1">
      <alignment horizontal="center" vertical="center"/>
    </xf>
    <xf numFmtId="0" fontId="23" fillId="0" borderId="79" xfId="85" applyFont="1" applyFill="1" applyBorder="1" applyAlignment="1">
      <alignment horizontal="center" vertical="top" textRotation="255"/>
    </xf>
    <xf numFmtId="0" fontId="23" fillId="0" borderId="80" xfId="85" applyFont="1" applyFill="1" applyBorder="1" applyAlignment="1">
      <alignment horizontal="center" vertical="top" textRotation="255"/>
    </xf>
    <xf numFmtId="0" fontId="23" fillId="0" borderId="81" xfId="85" applyFont="1" applyFill="1" applyBorder="1" applyAlignment="1">
      <alignment horizontal="center" vertical="top" textRotation="255"/>
    </xf>
    <xf numFmtId="0" fontId="23" fillId="0" borderId="24" xfId="85" applyFont="1" applyFill="1" applyBorder="1" applyAlignment="1">
      <alignment horizontal="center" vertical="top" textRotation="255"/>
    </xf>
    <xf numFmtId="0" fontId="23" fillId="0" borderId="25" xfId="85" applyFont="1" applyFill="1" applyBorder="1" applyAlignment="1">
      <alignment horizontal="center" vertical="top" textRotation="255"/>
    </xf>
    <xf numFmtId="0" fontId="23" fillId="0" borderId="26" xfId="85" applyFont="1" applyFill="1" applyBorder="1" applyAlignment="1">
      <alignment horizontal="center" vertical="top" textRotation="255"/>
    </xf>
    <xf numFmtId="178" fontId="23" fillId="29" borderId="24" xfId="85" applyNumberFormat="1" applyFont="1" applyFill="1" applyBorder="1" applyAlignment="1">
      <alignment horizontal="center" vertical="center"/>
    </xf>
    <xf numFmtId="178" fontId="23" fillId="29" borderId="26" xfId="85" applyNumberFormat="1" applyFont="1" applyFill="1" applyBorder="1" applyAlignment="1">
      <alignment horizontal="center" vertical="center"/>
    </xf>
    <xf numFmtId="178" fontId="23" fillId="29" borderId="43" xfId="85" applyNumberFormat="1" applyFont="1" applyFill="1" applyBorder="1" applyAlignment="1">
      <alignment horizontal="center" vertical="center"/>
    </xf>
    <xf numFmtId="178" fontId="23" fillId="29" borderId="46" xfId="85" applyNumberFormat="1" applyFont="1" applyFill="1" applyBorder="1" applyAlignment="1">
      <alignment horizontal="center" vertical="center"/>
    </xf>
    <xf numFmtId="0" fontId="23" fillId="0" borderId="43" xfId="85" applyFont="1" applyFill="1" applyBorder="1" applyAlignment="1">
      <alignment horizontal="center" vertical="top" textRotation="255"/>
    </xf>
    <xf numFmtId="0" fontId="23" fillId="0" borderId="67" xfId="85" applyFont="1" applyFill="1" applyBorder="1" applyAlignment="1">
      <alignment horizontal="center" vertical="top" textRotation="255"/>
    </xf>
    <xf numFmtId="0" fontId="23" fillId="0" borderId="46" xfId="85" applyFont="1" applyFill="1" applyBorder="1" applyAlignment="1">
      <alignment horizontal="center" vertical="top" textRotation="255"/>
    </xf>
    <xf numFmtId="178" fontId="23" fillId="29" borderId="79" xfId="85" applyNumberFormat="1" applyFont="1" applyFill="1" applyBorder="1" applyAlignment="1">
      <alignment horizontal="center" vertical="center"/>
    </xf>
    <xf numFmtId="178" fontId="23" fillId="29" borderId="81" xfId="85" applyNumberFormat="1" applyFont="1" applyFill="1" applyBorder="1" applyAlignment="1">
      <alignment horizontal="center" vertical="center"/>
    </xf>
    <xf numFmtId="0" fontId="30" fillId="0" borderId="17" xfId="55" applyFont="1" applyBorder="1" applyAlignment="1">
      <alignment horizontal="center" vertical="center"/>
    </xf>
    <xf numFmtId="0" fontId="30" fillId="0" borderId="15" xfId="55" applyFont="1" applyBorder="1" applyAlignment="1">
      <alignment horizontal="center" vertical="center"/>
    </xf>
    <xf numFmtId="0" fontId="30" fillId="0" borderId="18" xfId="55" applyFont="1" applyBorder="1" applyAlignment="1">
      <alignment horizontal="center" vertical="center"/>
    </xf>
    <xf numFmtId="0" fontId="30" fillId="0" borderId="13" xfId="55" applyFont="1" applyBorder="1" applyAlignment="1">
      <alignment horizontal="center" vertical="center"/>
    </xf>
    <xf numFmtId="0" fontId="30" fillId="0" borderId="0" xfId="55" applyFont="1" applyBorder="1" applyAlignment="1">
      <alignment horizontal="center" vertical="center"/>
    </xf>
    <xf numFmtId="0" fontId="30" fillId="0" borderId="23" xfId="55" applyFont="1" applyBorder="1" applyAlignment="1">
      <alignment horizontal="center" vertical="center"/>
    </xf>
    <xf numFmtId="0" fontId="30" fillId="0" borderId="29" xfId="55" applyFont="1" applyBorder="1" applyAlignment="1">
      <alignment horizontal="center" vertical="center"/>
    </xf>
    <xf numFmtId="0" fontId="30" fillId="0" borderId="30" xfId="55" applyFont="1" applyBorder="1" applyAlignment="1">
      <alignment horizontal="center" vertical="center"/>
    </xf>
    <xf numFmtId="0" fontId="30" fillId="0" borderId="31" xfId="55" applyFont="1" applyBorder="1" applyAlignment="1">
      <alignment horizontal="center" vertical="center"/>
    </xf>
    <xf numFmtId="178" fontId="23" fillId="29" borderId="47" xfId="85" applyNumberFormat="1" applyFont="1" applyFill="1" applyBorder="1" applyAlignment="1">
      <alignment horizontal="center" vertical="center"/>
    </xf>
    <xf numFmtId="178" fontId="23" fillId="29" borderId="52" xfId="85" applyNumberFormat="1" applyFont="1" applyFill="1" applyBorder="1" applyAlignment="1">
      <alignment horizontal="center" vertical="center"/>
    </xf>
    <xf numFmtId="0" fontId="23" fillId="0" borderId="47" xfId="85" applyFont="1" applyFill="1" applyBorder="1" applyAlignment="1">
      <alignment horizontal="center" vertical="top" textRotation="255"/>
    </xf>
    <xf numFmtId="0" fontId="23" fillId="0" borderId="48" xfId="85" applyFont="1" applyFill="1" applyBorder="1" applyAlignment="1">
      <alignment horizontal="center" vertical="top" textRotation="255"/>
    </xf>
    <xf numFmtId="0" fontId="23" fillId="0" borderId="52" xfId="85" applyFont="1" applyFill="1" applyBorder="1" applyAlignment="1">
      <alignment horizontal="center" vertical="top" textRotation="255"/>
    </xf>
    <xf numFmtId="186" fontId="23" fillId="29" borderId="24" xfId="49" applyNumberFormat="1" applyFont="1" applyFill="1" applyBorder="1" applyAlignment="1">
      <alignment horizontal="center" vertical="center"/>
    </xf>
    <xf numFmtId="186" fontId="23" fillId="29" borderId="26" xfId="49" applyNumberFormat="1" applyFont="1" applyFill="1" applyBorder="1" applyAlignment="1">
      <alignment horizontal="center" vertical="center"/>
    </xf>
    <xf numFmtId="186" fontId="23" fillId="29" borderId="47" xfId="49" applyNumberFormat="1" applyFont="1" applyFill="1" applyBorder="1" applyAlignment="1">
      <alignment horizontal="center" vertical="center"/>
    </xf>
    <xf numFmtId="186" fontId="23" fillId="29" borderId="52" xfId="49" applyNumberFormat="1" applyFont="1" applyFill="1" applyBorder="1" applyAlignment="1">
      <alignment horizontal="center" vertical="center"/>
    </xf>
    <xf numFmtId="178" fontId="23" fillId="29" borderId="89" xfId="85" applyNumberFormat="1" applyFont="1" applyFill="1" applyBorder="1" applyAlignment="1">
      <alignment horizontal="center" vertical="center"/>
    </xf>
    <xf numFmtId="0" fontId="23" fillId="25" borderId="70" xfId="84" applyFont="1" applyFill="1" applyBorder="1" applyAlignment="1">
      <alignment horizontal="center" vertical="center" wrapText="1"/>
    </xf>
    <xf numFmtId="0" fontId="23" fillId="25" borderId="71" xfId="84" applyFont="1" applyFill="1" applyBorder="1" applyAlignment="1">
      <alignment horizontal="center" vertical="center" wrapText="1"/>
    </xf>
    <xf numFmtId="0" fontId="23" fillId="25" borderId="70" xfId="85" applyFont="1" applyFill="1" applyBorder="1" applyAlignment="1">
      <alignment horizontal="center" vertical="center"/>
    </xf>
    <xf numFmtId="0" fontId="23" fillId="25" borderId="72" xfId="85" applyFont="1" applyFill="1" applyBorder="1" applyAlignment="1">
      <alignment horizontal="center" vertical="center"/>
    </xf>
    <xf numFmtId="0" fontId="23" fillId="25" borderId="71" xfId="85" applyFont="1" applyFill="1" applyBorder="1" applyAlignment="1">
      <alignment horizontal="center" vertical="center"/>
    </xf>
    <xf numFmtId="186" fontId="23" fillId="29" borderId="53" xfId="49" applyNumberFormat="1" applyFont="1" applyFill="1" applyBorder="1" applyAlignment="1">
      <alignment horizontal="center" vertical="center"/>
    </xf>
    <xf numFmtId="186" fontId="23" fillId="29" borderId="58" xfId="49" applyNumberFormat="1" applyFont="1" applyFill="1" applyBorder="1" applyAlignment="1">
      <alignment horizontal="center" vertical="center"/>
    </xf>
    <xf numFmtId="0" fontId="23" fillId="25" borderId="11" xfId="49" applyFont="1" applyFill="1" applyBorder="1" applyAlignment="1">
      <alignment horizontal="center" vertical="center"/>
    </xf>
    <xf numFmtId="0" fontId="23" fillId="25" borderId="14" xfId="49" applyFont="1" applyFill="1" applyBorder="1" applyAlignment="1">
      <alignment horizontal="center" vertical="center"/>
    </xf>
    <xf numFmtId="0" fontId="23" fillId="25" borderId="12" xfId="49" applyFont="1" applyFill="1" applyBorder="1" applyAlignment="1">
      <alignment horizontal="center" vertical="center"/>
    </xf>
    <xf numFmtId="0" fontId="23" fillId="25" borderId="70" xfId="49" applyFont="1" applyFill="1" applyBorder="1" applyAlignment="1">
      <alignment horizontal="center" vertical="center"/>
    </xf>
    <xf numFmtId="0" fontId="23" fillId="25" borderId="71" xfId="49" applyFont="1" applyFill="1" applyBorder="1" applyAlignment="1">
      <alignment horizontal="center" vertical="center"/>
    </xf>
    <xf numFmtId="0" fontId="23" fillId="25" borderId="17" xfId="49" applyFont="1" applyFill="1" applyBorder="1" applyAlignment="1">
      <alignment horizontal="center" vertical="center"/>
    </xf>
    <xf numFmtId="0" fontId="23" fillId="25" borderId="18" xfId="49" applyFont="1" applyFill="1" applyBorder="1" applyAlignment="1">
      <alignment horizontal="center" vertical="center"/>
    </xf>
    <xf numFmtId="0" fontId="23" fillId="25" borderId="39" xfId="49" applyFont="1" applyFill="1" applyBorder="1" applyAlignment="1">
      <alignment horizontal="center" vertical="center"/>
    </xf>
    <xf numFmtId="0" fontId="23" fillId="25" borderId="41" xfId="49" applyFont="1" applyFill="1" applyBorder="1" applyAlignment="1">
      <alignment horizontal="center" vertical="center"/>
    </xf>
    <xf numFmtId="178" fontId="23" fillId="0" borderId="47" xfId="85" applyNumberFormat="1" applyFont="1" applyFill="1" applyBorder="1" applyAlignment="1">
      <alignment horizontal="center" vertical="center"/>
    </xf>
    <xf numFmtId="178" fontId="23" fillId="0" borderId="52" xfId="85" applyNumberFormat="1" applyFont="1" applyFill="1" applyBorder="1" applyAlignment="1">
      <alignment horizontal="center" vertical="center"/>
    </xf>
    <xf numFmtId="178" fontId="23" fillId="0" borderId="24" xfId="85" applyNumberFormat="1" applyFont="1" applyFill="1" applyBorder="1" applyAlignment="1">
      <alignment horizontal="center" vertical="center"/>
    </xf>
    <xf numFmtId="178" fontId="23" fillId="0" borderId="26" xfId="85" applyNumberFormat="1" applyFont="1" applyFill="1" applyBorder="1" applyAlignment="1">
      <alignment horizontal="center" vertical="center"/>
    </xf>
    <xf numFmtId="178" fontId="23" fillId="29" borderId="168" xfId="85" applyNumberFormat="1" applyFont="1" applyFill="1" applyBorder="1" applyAlignment="1">
      <alignment horizontal="center" vertical="center"/>
    </xf>
    <xf numFmtId="178" fontId="23" fillId="29" borderId="27" xfId="85" applyNumberFormat="1" applyFont="1" applyFill="1" applyBorder="1" applyAlignment="1">
      <alignment horizontal="center" vertical="center"/>
    </xf>
    <xf numFmtId="0" fontId="23" fillId="25" borderId="169" xfId="84" applyFont="1" applyFill="1" applyBorder="1" applyAlignment="1">
      <alignment horizontal="center" vertical="center" wrapText="1"/>
    </xf>
    <xf numFmtId="0" fontId="23" fillId="0" borderId="43" xfId="85" applyFont="1" applyFill="1" applyBorder="1" applyAlignment="1">
      <alignment horizontal="left" vertical="top" textRotation="255"/>
    </xf>
    <xf numFmtId="0" fontId="23" fillId="0" borderId="67" xfId="85" applyFont="1" applyFill="1" applyBorder="1" applyAlignment="1">
      <alignment horizontal="left" vertical="top" textRotation="255"/>
    </xf>
    <xf numFmtId="0" fontId="23" fillId="0" borderId="46" xfId="85" applyFont="1" applyFill="1" applyBorder="1" applyAlignment="1">
      <alignment horizontal="left" vertical="top" textRotation="255"/>
    </xf>
    <xf numFmtId="0" fontId="23" fillId="0" borderId="79" xfId="85" applyFont="1" applyFill="1" applyBorder="1" applyAlignment="1">
      <alignment horizontal="left" vertical="top" textRotation="255"/>
    </xf>
    <xf numFmtId="0" fontId="23" fillId="0" borderId="80" xfId="85" applyFont="1" applyFill="1" applyBorder="1" applyAlignment="1">
      <alignment horizontal="left" vertical="top" textRotation="255"/>
    </xf>
    <xf numFmtId="0" fontId="23" fillId="0" borderId="81" xfId="85" applyFont="1" applyFill="1" applyBorder="1" applyAlignment="1">
      <alignment horizontal="left" vertical="top" textRotation="255"/>
    </xf>
    <xf numFmtId="0" fontId="23" fillId="0" borderId="47" xfId="85" applyFont="1" applyFill="1" applyBorder="1" applyAlignment="1">
      <alignment horizontal="left" vertical="top" textRotation="255"/>
    </xf>
    <xf numFmtId="0" fontId="23" fillId="0" borderId="48" xfId="85" applyFont="1" applyFill="1" applyBorder="1" applyAlignment="1">
      <alignment horizontal="left" vertical="top" textRotation="255"/>
    </xf>
    <xf numFmtId="0" fontId="23" fillId="0" borderId="52" xfId="85" applyFont="1" applyFill="1" applyBorder="1" applyAlignment="1">
      <alignment horizontal="left" vertical="top" textRotation="255"/>
    </xf>
    <xf numFmtId="0" fontId="23" fillId="0" borderId="24" xfId="85" applyFont="1" applyFill="1" applyBorder="1" applyAlignment="1">
      <alignment horizontal="left" vertical="top" textRotation="255"/>
    </xf>
    <xf numFmtId="0" fontId="23" fillId="0" borderId="25" xfId="85" applyFont="1" applyFill="1" applyBorder="1" applyAlignment="1">
      <alignment horizontal="left" vertical="top" textRotation="255"/>
    </xf>
    <xf numFmtId="0" fontId="23" fillId="0" borderId="26" xfId="85" applyFont="1" applyFill="1" applyBorder="1" applyAlignment="1">
      <alignment horizontal="left" vertical="top" textRotation="255"/>
    </xf>
    <xf numFmtId="178" fontId="23" fillId="29" borderId="28" xfId="85" applyNumberFormat="1" applyFont="1" applyFill="1" applyBorder="1" applyAlignment="1">
      <alignment horizontal="center" vertical="center"/>
    </xf>
  </cellXfs>
  <cellStyles count="89">
    <cellStyle name="?" xfId="1" xr:uid="{00000000-0005-0000-0000-000000000000}"/>
    <cellStyle name="?_テスト状況管理表20091211" xfId="2" xr:uid="{00000000-0005-0000-0000-000001000000}"/>
    <cellStyle name="20% - アクセント 1" xfId="3" builtinId="30" customBuiltin="1"/>
    <cellStyle name="20% - アクセント 2" xfId="4" builtinId="34" customBuiltin="1"/>
    <cellStyle name="20% - アクセント 3" xfId="5" builtinId="38" customBuiltin="1"/>
    <cellStyle name="20% - アクセント 4" xfId="6" builtinId="42" customBuiltin="1"/>
    <cellStyle name="20% - アクセント 5" xfId="7" builtinId="46" customBuiltin="1"/>
    <cellStyle name="20% - アクセント 6" xfId="8" builtinId="50" customBuiltin="1"/>
    <cellStyle name="40% - アクセント 1" xfId="9" builtinId="31" customBuiltin="1"/>
    <cellStyle name="40% - アクセント 2" xfId="10" builtinId="35" customBuiltin="1"/>
    <cellStyle name="40% - アクセント 3" xfId="11" builtinId="39" customBuiltin="1"/>
    <cellStyle name="40% - アクセント 4" xfId="12" builtinId="43" customBuiltin="1"/>
    <cellStyle name="40% - アクセント 5" xfId="13" builtinId="47" customBuiltin="1"/>
    <cellStyle name="40% - アクセント 6" xfId="14" builtinId="51" customBuiltin="1"/>
    <cellStyle name="60% - アクセント 1" xfId="15" builtinId="32" customBuiltin="1"/>
    <cellStyle name="60% - アクセント 2" xfId="16" builtinId="36" customBuiltin="1"/>
    <cellStyle name="60% - アクセント 3" xfId="17" builtinId="40" customBuiltin="1"/>
    <cellStyle name="60% - アクセント 4" xfId="18" builtinId="44" customBuiltin="1"/>
    <cellStyle name="60% - アクセント 5" xfId="19" builtinId="48" customBuiltin="1"/>
    <cellStyle name="60% - アクセント 6" xfId="20" builtinId="52" customBuiltin="1"/>
    <cellStyle name="アクセント 1" xfId="21" builtinId="29" customBuiltin="1"/>
    <cellStyle name="アクセント 2" xfId="22" builtinId="33" customBuiltin="1"/>
    <cellStyle name="アクセント 3" xfId="23" builtinId="37" customBuiltin="1"/>
    <cellStyle name="アクセント 4" xfId="24" builtinId="41" customBuiltin="1"/>
    <cellStyle name="アクセント 5" xfId="25" builtinId="45" customBuiltin="1"/>
    <cellStyle name="アクセント 6" xfId="26" builtinId="49" customBuiltin="1"/>
    <cellStyle name="タイトル" xfId="27" builtinId="15" customBuiltin="1"/>
    <cellStyle name="チェック セル" xfId="28" builtinId="23" customBuiltin="1"/>
    <cellStyle name="どちらでもない" xfId="29" builtinId="28" customBuiltin="1"/>
    <cellStyle name="ハイパーリンク" xfId="30" builtinId="8"/>
    <cellStyle name="メモ" xfId="31" builtinId="10" customBuiltin="1"/>
    <cellStyle name="リンク セル" xfId="32" builtinId="24" customBuiltin="1"/>
    <cellStyle name="悪い" xfId="33" builtinId="27" customBuiltin="1"/>
    <cellStyle name="計算" xfId="34" builtinId="22" customBuiltin="1"/>
    <cellStyle name="警告文" xfId="35" builtinId="11" customBuiltin="1"/>
    <cellStyle name="見出し 1" xfId="36" builtinId="16" customBuiltin="1"/>
    <cellStyle name="見出し 2" xfId="37" builtinId="17" customBuiltin="1"/>
    <cellStyle name="見出し 3" xfId="38" builtinId="18" customBuiltin="1"/>
    <cellStyle name="見出し 4" xfId="39" builtinId="19" customBuiltin="1"/>
    <cellStyle name="集計" xfId="40" builtinId="25" customBuiltin="1"/>
    <cellStyle name="出力" xfId="41" builtinId="21" customBuiltin="1"/>
    <cellStyle name="説明文" xfId="42" builtinId="53" customBuiltin="1"/>
    <cellStyle name="通貨 2" xfId="43" xr:uid="{00000000-0005-0000-0000-00002A000000}"/>
    <cellStyle name="入力" xfId="44" builtinId="20" customBuiltin="1"/>
    <cellStyle name="標準" xfId="0" builtinId="0"/>
    <cellStyle name="標準 2" xfId="45" xr:uid="{00000000-0005-0000-0000-00002D000000}"/>
    <cellStyle name="標準 3" xfId="46" xr:uid="{00000000-0005-0000-0000-00002E000000}"/>
    <cellStyle name="標準_（エ済）不具合管理一覧表_ver2.0.3" xfId="47" xr:uid="{00000000-0005-0000-0000-00002F000000}"/>
    <cellStyle name="標準_~3481693" xfId="48" xr:uid="{00000000-0005-0000-0000-000030000000}"/>
    <cellStyle name="標準_pmformat_reituki_1_091001" xfId="49" xr:uid="{00000000-0005-0000-0000-000031000000}"/>
    <cellStyle name="標準_WBS_GANTT_GANTT受入確認テスト(monthly)_20090327143436" xfId="50" xr:uid="{00000000-0005-0000-0000-000032000000}"/>
    <cellStyle name="標準_ﾃｽﾄｴﾗｰ分析図ver1.0.5" xfId="51" xr:uid="{00000000-0005-0000-0000-000033000000}"/>
    <cellStyle name="標準_ﾃｽﾄｴﾗｰ分析図ver1.0.7" xfId="52" xr:uid="{00000000-0005-0000-0000-000034000000}"/>
    <cellStyle name="標準_テスト状況管理表20091211" xfId="53" xr:uid="{00000000-0005-0000-0000-000035000000}"/>
    <cellStyle name="標準_設計書指摘分析図ver1.0.5" xfId="54" xr:uid="{00000000-0005-0000-0000-000036000000}"/>
    <cellStyle name="標準_品質管理分析サマリver1.0.6" xfId="55" xr:uid="{00000000-0005-0000-0000-000037000000}"/>
    <cellStyle name="標準_不具合管理一覧表_ver2.0.＿" xfId="56" xr:uid="{00000000-0005-0000-0000-000038000000}"/>
    <cellStyle name="標準_不具合管理票雛型_ver1.0.4" xfId="57" xr:uid="{00000000-0005-0000-0000-000039000000}"/>
    <cellStyle name="標準_別紙2-3：問題記述表_プロジェクト管理様式総合0206a" xfId="58" xr:uid="{00000000-0005-0000-0000-00003A000000}"/>
    <cellStyle name="標準_別紙2-3：問題記述表_プロジェクト管理様式総合0206a_コピーpmformat_1_090401" xfId="59" xr:uid="{00000000-0005-0000-0000-00003B000000}"/>
    <cellStyle name="標準_別紙2-3：問題記述表_様式修正_湯川_0207" xfId="60" xr:uid="{00000000-0005-0000-0000-00003C000000}"/>
    <cellStyle name="標準_様式_問題管理票" xfId="61" xr:uid="{00000000-0005-0000-0000-00003D000000}"/>
    <cellStyle name="良い" xfId="62" builtinId="26" customBuiltin="1"/>
    <cellStyle name="㼿" xfId="63" xr:uid="{00000000-0005-0000-0000-00003F000000}"/>
    <cellStyle name="㼿?" xfId="64" xr:uid="{00000000-0005-0000-0000-000040000000}"/>
    <cellStyle name="㼿_（営業秘密作成）プロジェクト状況報告書(週次)_v3" xfId="65" xr:uid="{00000000-0005-0000-0000-000041000000}"/>
    <cellStyle name="㼿_pmformat_3_100301" xfId="66" xr:uid="{00000000-0005-0000-0000-000042000000}"/>
    <cellStyle name="㼿_pmformat_4_100315" xfId="67" xr:uid="{00000000-0005-0000-0000-000043000000}"/>
    <cellStyle name="㼿_pmformat_partner_reituki_2_100301" xfId="68" xr:uid="{00000000-0005-0000-0000-000044000000}"/>
    <cellStyle name="㼿_pmformat_reituki_1_091225" xfId="69" xr:uid="{00000000-0005-0000-0000-000045000000}"/>
    <cellStyle name="㼿_pmformat_reituki_1_100115" xfId="70" xr:uid="{00000000-0005-0000-0000-000046000000}"/>
    <cellStyle name="㼿_pmformat_reituki_4_100315" xfId="71" xr:uid="{00000000-0005-0000-0000-000047000000}"/>
    <cellStyle name="㼿_コピー ～ pmformat_reituki_4_100315" xfId="72" xr:uid="{00000000-0005-0000-0000-000048000000}"/>
    <cellStyle name="㼿_プロジェクト状況報告書_最終提示案" xfId="73" xr:uid="{00000000-0005-0000-0000-000049000000}"/>
    <cellStyle name="㼿㼿" xfId="74" xr:uid="{00000000-0005-0000-0000-00004A000000}"/>
    <cellStyle name="㼿㼿?" xfId="75" xr:uid="{00000000-0005-0000-0000-00004B000000}"/>
    <cellStyle name="㼿㼿_pmformat_3_100301" xfId="76" xr:uid="{00000000-0005-0000-0000-00004C000000}"/>
    <cellStyle name="㼿㼿㼿" xfId="77" xr:uid="{00000000-0005-0000-0000-00004D000000}"/>
    <cellStyle name="㼿㼿㼿?" xfId="78" xr:uid="{00000000-0005-0000-0000-00004E000000}"/>
    <cellStyle name="㼿㼿㼿㼿㼿㼿?" xfId="79" xr:uid="{00000000-0005-0000-0000-00004F000000}"/>
    <cellStyle name="㼿㼿㼿㼿㼿㼿㼿㼿㼿㼿㼿㼿" xfId="80" xr:uid="{00000000-0005-0000-0000-000050000000}"/>
    <cellStyle name="㼿㼿㼿㼿㼿㼿㼿㼿㼿㼿㼿㼿?" xfId="81" xr:uid="{00000000-0005-0000-0000-000051000000}"/>
    <cellStyle name="㼿㼿㼿㼿㼿㼿㼿㼿㼿㼿㼿㼿㼿" xfId="82" xr:uid="{00000000-0005-0000-0000-000052000000}"/>
    <cellStyle name="㼿㼿㼿㼿㼿㼿㼿㼿㼿㼿㼿㼿㼿㼿㼿?" xfId="83" xr:uid="{00000000-0005-0000-0000-000053000000}"/>
    <cellStyle name="㼿㼿㼿㼿㼿㼿㼿㼿㼿㼿㼿㼿㼿㼿㼿㼿㼿㼿㼿㼿㼿㼿㼿?" xfId="84" xr:uid="{00000000-0005-0000-0000-000054000000}"/>
    <cellStyle name="㼿㼿㼿㼿㼿㼿㼿㼿㼿㼿㼿㼿㼿㼿㼿㼿㼿㼿㼿㼿㼿㼿㼿㼿" xfId="85" xr:uid="{00000000-0005-0000-0000-000055000000}"/>
    <cellStyle name="㼿㼿㼿㼿㼿㼿㼿㼿㼿㼿㼿㼿㼿㼿㼿㼿㼿㼿㼿㼿㼿㼿㼿㼿?" xfId="86" xr:uid="{00000000-0005-0000-0000-000056000000}"/>
    <cellStyle name="㼿㼿㼿㼿㼿㼿㼿㼿㼿㼿㼿㼿㼿㼿㼿㼿㼿㼿㼿㼿㼿㼿㼿㼿㼿㼿" xfId="87" xr:uid="{00000000-0005-0000-0000-000057000000}"/>
    <cellStyle name="㼿㼿㼿㼿㼿㼿㼿㼿㼿㼿㼿㼿㼿㼿㼿㼿㼿㼿㼿㼿㼿㼿㼿㼿㼿㼿㼿㼿㼿㼿㼿㼿㼿?" xfId="88" xr:uid="{00000000-0005-0000-0000-000058000000}"/>
  </cellStyles>
  <dxfs count="18">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val="0"/>
        <i/>
        <condense val="0"/>
        <extend val="0"/>
        <color indexed="17"/>
      </font>
      <fill>
        <patternFill patternType="none">
          <bgColor indexed="65"/>
        </patternFill>
      </fill>
    </dxf>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val="0"/>
        <i/>
        <condense val="0"/>
        <extend val="0"/>
        <color indexed="17"/>
      </font>
      <fill>
        <patternFill patternType="none">
          <bgColor indexed="65"/>
        </patternFill>
      </fill>
    </dxf>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i val="0"/>
        <condense val="0"/>
        <extend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6.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803278688524593"/>
          <c:y val="0.14953305146815554"/>
          <c:w val="0.49508196721311487"/>
          <c:h val="0.70560908661535915"/>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1B98-4B1D-8E1A-D4FBB8D9A63C}"/>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1B98-4B1D-8E1A-D4FBB8D9A63C}"/>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1B98-4B1D-8E1A-D4FBB8D9A63C}"/>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1B98-4B1D-8E1A-D4FBB8D9A63C}"/>
              </c:ext>
            </c:extLst>
          </c:dPt>
          <c:dLbls>
            <c:numFmt formatCode="0%" sourceLinked="0"/>
            <c:spPr>
              <a:noFill/>
              <a:ln w="25400">
                <a:noFill/>
              </a:ln>
            </c:spPr>
            <c:txPr>
              <a:bodyPr/>
              <a:lstStyle/>
              <a:p>
                <a:pPr>
                  <a:defRPr sz="875"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'設計書指摘分析図（サマリ）'!$C$14:$C$17</c:f>
              <c:strCache>
                <c:ptCount val="4"/>
                <c:pt idx="0">
                  <c:v>設計</c:v>
                </c:pt>
                <c:pt idx="1">
                  <c:v>ドキュメント化</c:v>
                </c:pt>
                <c:pt idx="2">
                  <c:v>顧客要求仕様の変更</c:v>
                </c:pt>
                <c:pt idx="3">
                  <c:v>その他</c:v>
                </c:pt>
              </c:strCache>
            </c:strRef>
          </c:cat>
          <c:val>
            <c:numRef>
              <c:f>'設計書指摘分析図（サマリ）'!$G$14:$G$17</c:f>
              <c:numCache>
                <c:formatCode>0_ </c:formatCode>
                <c:ptCount val="4"/>
                <c:pt idx="0">
                  <c:v>0</c:v>
                </c:pt>
                <c:pt idx="1">
                  <c:v>62</c:v>
                </c:pt>
                <c:pt idx="2">
                  <c:v>140</c:v>
                </c:pt>
                <c:pt idx="3">
                  <c:v>464</c:v>
                </c:pt>
              </c:numCache>
            </c:numRef>
          </c:val>
          <c:extLst>
            <c:ext xmlns:c16="http://schemas.microsoft.com/office/drawing/2014/chart" uri="{C3380CC4-5D6E-409C-BE32-E72D297353CC}">
              <c16:uniqueId val="{00000008-1B98-4B1D-8E1A-D4FBB8D9A63C}"/>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5245901639344284"/>
          <c:y val="0.46729070081193119"/>
          <c:w val="0.32786885245901648"/>
          <c:h val="0.28504721956484413"/>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18340285246518"/>
          <c:y val="0.14418604651162795"/>
          <c:w val="0.50000159569545199"/>
          <c:h val="0.71162790697674427"/>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5756-4050-B085-9714F5721B27}"/>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5756-4050-B085-9714F5721B27}"/>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5756-4050-B085-9714F5721B27}"/>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5756-4050-B085-9714F5721B27}"/>
              </c:ext>
            </c:extLst>
          </c:dPt>
          <c:dPt>
            <c:idx val="4"/>
            <c:bubble3D val="0"/>
            <c:spPr>
              <a:pattFill prst="wdDnDiag">
                <a:fgClr>
                  <a:srgbClr val="FFCC00"/>
                </a:fgClr>
                <a:bgClr>
                  <a:srgbClr val="FFFFFF"/>
                </a:bgClr>
              </a:pattFill>
              <a:ln w="12700">
                <a:solidFill>
                  <a:srgbClr val="000000"/>
                </a:solidFill>
                <a:prstDash val="solid"/>
              </a:ln>
            </c:spPr>
            <c:extLst>
              <c:ext xmlns:c16="http://schemas.microsoft.com/office/drawing/2014/chart" uri="{C3380CC4-5D6E-409C-BE32-E72D297353CC}">
                <c16:uniqueId val="{00000009-5756-4050-B085-9714F5721B27}"/>
              </c:ext>
            </c:extLst>
          </c:dPt>
          <c:dPt>
            <c:idx val="5"/>
            <c:bubble3D val="0"/>
            <c:spPr>
              <a:pattFill prst="ltUpDiag">
                <a:fgClr>
                  <a:srgbClr val="993366"/>
                </a:fgClr>
                <a:bgClr>
                  <a:srgbClr val="FFFFFF"/>
                </a:bgClr>
              </a:pattFill>
              <a:ln w="12700">
                <a:solidFill>
                  <a:srgbClr val="000000"/>
                </a:solidFill>
                <a:prstDash val="solid"/>
              </a:ln>
            </c:spPr>
            <c:extLst>
              <c:ext xmlns:c16="http://schemas.microsoft.com/office/drawing/2014/chart" uri="{C3380CC4-5D6E-409C-BE32-E72D297353CC}">
                <c16:uniqueId val="{0000000B-5756-4050-B085-9714F5721B27}"/>
              </c:ext>
            </c:extLst>
          </c:dPt>
          <c:dPt>
            <c:idx val="6"/>
            <c:bubble3D val="0"/>
            <c:spPr>
              <a:pattFill prst="openDmnd">
                <a:fgClr>
                  <a:srgbClr val="00FFFF"/>
                </a:fgClr>
                <a:bgClr>
                  <a:srgbClr val="FFFFFF"/>
                </a:bgClr>
              </a:pattFill>
              <a:ln w="12700">
                <a:solidFill>
                  <a:srgbClr val="000000"/>
                </a:solidFill>
                <a:prstDash val="solid"/>
              </a:ln>
            </c:spPr>
            <c:extLst>
              <c:ext xmlns:c16="http://schemas.microsoft.com/office/drawing/2014/chart" uri="{C3380CC4-5D6E-409C-BE32-E72D297353CC}">
                <c16:uniqueId val="{0000000D-5756-4050-B085-9714F5721B27}"/>
              </c:ext>
            </c:extLst>
          </c:dPt>
          <c:dPt>
            <c:idx val="7"/>
            <c:bubble3D val="0"/>
            <c:spPr>
              <a:pattFill prst="smCheck">
                <a:fgClr>
                  <a:srgbClr val="FF0000"/>
                </a:fgClr>
                <a:bgClr>
                  <a:srgbClr val="FFFFFF"/>
                </a:bgClr>
              </a:pattFill>
              <a:ln w="12700">
                <a:solidFill>
                  <a:srgbClr val="000000"/>
                </a:solidFill>
                <a:prstDash val="solid"/>
              </a:ln>
            </c:spPr>
            <c:extLst>
              <c:ext xmlns:c16="http://schemas.microsoft.com/office/drawing/2014/chart" uri="{C3380CC4-5D6E-409C-BE32-E72D297353CC}">
                <c16:uniqueId val="{0000000F-5756-4050-B085-9714F5721B27}"/>
              </c:ext>
            </c:extLst>
          </c:dPt>
          <c:dPt>
            <c:idx val="8"/>
            <c:bubble3D val="0"/>
            <c:spPr>
              <a:pattFill prst="dotDmnd">
                <a:fgClr>
                  <a:srgbClr val="008000"/>
                </a:fgClr>
                <a:bgClr>
                  <a:srgbClr val="FFFFFF"/>
                </a:bgClr>
              </a:pattFill>
              <a:ln w="12700">
                <a:solidFill>
                  <a:srgbClr val="000000"/>
                </a:solidFill>
                <a:prstDash val="solid"/>
              </a:ln>
            </c:spPr>
            <c:extLst>
              <c:ext xmlns:c16="http://schemas.microsoft.com/office/drawing/2014/chart" uri="{C3380CC4-5D6E-409C-BE32-E72D297353CC}">
                <c16:uniqueId val="{00000011-5756-4050-B085-9714F5721B27}"/>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'設計書指摘分析図（サマリ）'!$C$25:$C$33</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'設計書指摘分析図（サマリ）'!$G$25:$G$33</c:f>
              <c:numCache>
                <c:formatCode>0_ </c:formatCode>
                <c:ptCount val="9"/>
                <c:pt idx="0">
                  <c:v>58</c:v>
                </c:pt>
                <c:pt idx="1">
                  <c:v>62</c:v>
                </c:pt>
                <c:pt idx="2">
                  <c:v>66</c:v>
                </c:pt>
                <c:pt idx="3">
                  <c:v>70</c:v>
                </c:pt>
                <c:pt idx="4">
                  <c:v>74</c:v>
                </c:pt>
                <c:pt idx="5">
                  <c:v>78</c:v>
                </c:pt>
                <c:pt idx="6">
                  <c:v>82</c:v>
                </c:pt>
                <c:pt idx="7">
                  <c:v>86</c:v>
                </c:pt>
                <c:pt idx="8">
                  <c:v>90</c:v>
                </c:pt>
              </c:numCache>
            </c:numRef>
          </c:val>
          <c:extLst>
            <c:ext xmlns:c16="http://schemas.microsoft.com/office/drawing/2014/chart" uri="{C3380CC4-5D6E-409C-BE32-E72D297353CC}">
              <c16:uniqueId val="{00000012-5756-4050-B085-9714F5721B27}"/>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8954454222633943"/>
          <c:y val="0.186046511627907"/>
          <c:w val="0.29085070248571882"/>
          <c:h val="0.63255813953488382"/>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4513871380564"/>
          <c:y val="0.15348837209302332"/>
          <c:w val="0.49019764283867839"/>
          <c:h val="0.6976744186046514"/>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A56A-43A8-9CFD-8F405B6E1C31}"/>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A56A-43A8-9CFD-8F405B6E1C31}"/>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A56A-43A8-9CFD-8F405B6E1C31}"/>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A56A-43A8-9CFD-8F405B6E1C31}"/>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'設計書指摘分析図（サマリ）'!$C$36:$C$39</c:f>
              <c:strCache>
                <c:ptCount val="4"/>
                <c:pt idx="0">
                  <c:v>高</c:v>
                </c:pt>
                <c:pt idx="1">
                  <c:v>中</c:v>
                </c:pt>
                <c:pt idx="2">
                  <c:v>低</c:v>
                </c:pt>
                <c:pt idx="3">
                  <c:v>その他</c:v>
                </c:pt>
              </c:strCache>
            </c:strRef>
          </c:cat>
          <c:val>
            <c:numRef>
              <c:f>'設計書指摘分析図（サマリ）'!$G$36:$G$39</c:f>
              <c:numCache>
                <c:formatCode>0_ </c:formatCode>
                <c:ptCount val="4"/>
                <c:pt idx="0">
                  <c:v>70</c:v>
                </c:pt>
                <c:pt idx="1">
                  <c:v>136</c:v>
                </c:pt>
                <c:pt idx="2">
                  <c:v>234</c:v>
                </c:pt>
                <c:pt idx="3">
                  <c:v>226</c:v>
                </c:pt>
              </c:numCache>
            </c:numRef>
          </c:val>
          <c:extLst>
            <c:ext xmlns:c16="http://schemas.microsoft.com/office/drawing/2014/chart" uri="{C3380CC4-5D6E-409C-BE32-E72D297353CC}">
              <c16:uniqueId val="{00000008-A56A-43A8-9CFD-8F405B6E1C31}"/>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83987202580069653"/>
          <c:y val="0.35348837209302336"/>
          <c:w val="0.14052321891136157"/>
          <c:h val="0.28372093023255818"/>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475409836065574"/>
          <c:y val="0.14018723575139588"/>
          <c:w val="0.50819672131147542"/>
          <c:h val="0.72430071804887863"/>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503A-4C45-AB36-41435383E3C5}"/>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503A-4C45-AB36-41435383E3C5}"/>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503A-4C45-AB36-41435383E3C5}"/>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503A-4C45-AB36-41435383E3C5}"/>
              </c:ext>
            </c:extLst>
          </c:dPt>
          <c:dPt>
            <c:idx val="4"/>
            <c:bubble3D val="0"/>
            <c:spPr>
              <a:pattFill prst="wdDnDiag">
                <a:fgClr>
                  <a:srgbClr val="FFCC00"/>
                </a:fgClr>
                <a:bgClr>
                  <a:srgbClr val="FFFFFF"/>
                </a:bgClr>
              </a:pattFill>
              <a:ln w="12700">
                <a:solidFill>
                  <a:srgbClr val="000000"/>
                </a:solidFill>
                <a:prstDash val="solid"/>
              </a:ln>
            </c:spPr>
            <c:extLst>
              <c:ext xmlns:c16="http://schemas.microsoft.com/office/drawing/2014/chart" uri="{C3380CC4-5D6E-409C-BE32-E72D297353CC}">
                <c16:uniqueId val="{00000009-503A-4C45-AB36-41435383E3C5}"/>
              </c:ext>
            </c:extLst>
          </c:dPt>
          <c:dPt>
            <c:idx val="5"/>
            <c:bubble3D val="0"/>
            <c:spPr>
              <a:pattFill prst="ltUpDiag">
                <a:fgClr>
                  <a:srgbClr val="993366"/>
                </a:fgClr>
                <a:bgClr>
                  <a:srgbClr val="FFFFFF"/>
                </a:bgClr>
              </a:pattFill>
              <a:ln w="12700">
                <a:solidFill>
                  <a:srgbClr val="000000"/>
                </a:solidFill>
                <a:prstDash val="solid"/>
              </a:ln>
            </c:spPr>
            <c:extLst>
              <c:ext xmlns:c16="http://schemas.microsoft.com/office/drawing/2014/chart" uri="{C3380CC4-5D6E-409C-BE32-E72D297353CC}">
                <c16:uniqueId val="{0000000B-503A-4C45-AB36-41435383E3C5}"/>
              </c:ext>
            </c:extLst>
          </c:dPt>
          <c:dPt>
            <c:idx val="6"/>
            <c:bubble3D val="0"/>
            <c:spPr>
              <a:pattFill prst="openDmnd">
                <a:fgClr>
                  <a:srgbClr val="00FFFF"/>
                </a:fgClr>
                <a:bgClr>
                  <a:srgbClr val="FFFFFF"/>
                </a:bgClr>
              </a:pattFill>
              <a:ln w="12700">
                <a:solidFill>
                  <a:srgbClr val="000000"/>
                </a:solidFill>
                <a:prstDash val="solid"/>
              </a:ln>
            </c:spPr>
            <c:extLst>
              <c:ext xmlns:c16="http://schemas.microsoft.com/office/drawing/2014/chart" uri="{C3380CC4-5D6E-409C-BE32-E72D297353CC}">
                <c16:uniqueId val="{0000000D-503A-4C45-AB36-41435383E3C5}"/>
              </c:ext>
            </c:extLst>
          </c:dPt>
          <c:dPt>
            <c:idx val="7"/>
            <c:bubble3D val="0"/>
            <c:spPr>
              <a:pattFill prst="smCheck">
                <a:fgClr>
                  <a:srgbClr val="FF0000"/>
                </a:fgClr>
                <a:bgClr>
                  <a:srgbClr val="FFFFFF"/>
                </a:bgClr>
              </a:pattFill>
              <a:ln w="12700">
                <a:solidFill>
                  <a:srgbClr val="000000"/>
                </a:solidFill>
                <a:prstDash val="solid"/>
              </a:ln>
            </c:spPr>
            <c:extLst>
              <c:ext xmlns:c16="http://schemas.microsoft.com/office/drawing/2014/chart" uri="{C3380CC4-5D6E-409C-BE32-E72D297353CC}">
                <c16:uniqueId val="{0000000F-503A-4C45-AB36-41435383E3C5}"/>
              </c:ext>
            </c:extLst>
          </c:dPt>
          <c:dPt>
            <c:idx val="8"/>
            <c:bubble3D val="0"/>
            <c:spPr>
              <a:pattFill prst="dotDmnd">
                <a:fgClr>
                  <a:srgbClr val="008000"/>
                </a:fgClr>
                <a:bgClr>
                  <a:srgbClr val="FFFFFF"/>
                </a:bgClr>
              </a:pattFill>
              <a:ln w="12700">
                <a:solidFill>
                  <a:srgbClr val="000000"/>
                </a:solidFill>
                <a:prstDash val="solid"/>
              </a:ln>
            </c:spPr>
            <c:extLst>
              <c:ext xmlns:c16="http://schemas.microsoft.com/office/drawing/2014/chart" uri="{C3380CC4-5D6E-409C-BE32-E72D297353CC}">
                <c16:uniqueId val="{00000011-503A-4C45-AB36-41435383E3C5}"/>
              </c:ext>
            </c:extLst>
          </c:dPt>
          <c:dLbls>
            <c:numFmt formatCode="0%" sourceLinked="0"/>
            <c:spPr>
              <a:noFill/>
              <a:ln w="25400">
                <a:noFill/>
              </a:ln>
            </c:spPr>
            <c:txPr>
              <a:bodyPr/>
              <a:lstStyle/>
              <a:p>
                <a:pPr>
                  <a:defRPr sz="85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'設計書指摘分析図（サマリ）'!$S$14:$S$22</c:f>
              <c:strCache>
                <c:ptCount val="9"/>
                <c:pt idx="0">
                  <c:v>要求の確認不足</c:v>
                </c:pt>
                <c:pt idx="1">
                  <c:v>設計条件の確認不足</c:v>
                </c:pt>
                <c:pt idx="2">
                  <c:v>実現方式の検討不足</c:v>
                </c:pt>
                <c:pt idx="3">
                  <c:v>設計技術の習熟不足</c:v>
                </c:pt>
                <c:pt idx="4">
                  <c:v>業務知識の習熟不足</c:v>
                </c:pt>
                <c:pt idx="5">
                  <c:v>周知連絡の不徹底</c:v>
                </c:pt>
                <c:pt idx="6">
                  <c:v>表現上の配慮不足</c:v>
                </c:pt>
                <c:pt idx="7">
                  <c:v>修正ミス</c:v>
                </c:pt>
                <c:pt idx="8">
                  <c:v>その他</c:v>
                </c:pt>
              </c:strCache>
            </c:strRef>
          </c:cat>
          <c:val>
            <c:numRef>
              <c:f>'設計書指摘分析図（サマリ）'!$W$14:$W$22</c:f>
              <c:numCache>
                <c:formatCode>0_ </c:formatCode>
                <c:ptCount val="9"/>
                <c:pt idx="0">
                  <c:v>59</c:v>
                </c:pt>
                <c:pt idx="1">
                  <c:v>61</c:v>
                </c:pt>
                <c:pt idx="2">
                  <c:v>66</c:v>
                </c:pt>
                <c:pt idx="3">
                  <c:v>70</c:v>
                </c:pt>
                <c:pt idx="4">
                  <c:v>74</c:v>
                </c:pt>
                <c:pt idx="5">
                  <c:v>78</c:v>
                </c:pt>
                <c:pt idx="6">
                  <c:v>82</c:v>
                </c:pt>
                <c:pt idx="7">
                  <c:v>86</c:v>
                </c:pt>
                <c:pt idx="8">
                  <c:v>90</c:v>
                </c:pt>
              </c:numCache>
            </c:numRef>
          </c:val>
          <c:extLst>
            <c:ext xmlns:c16="http://schemas.microsoft.com/office/drawing/2014/chart" uri="{C3380CC4-5D6E-409C-BE32-E72D297353CC}">
              <c16:uniqueId val="{00000012-503A-4C45-AB36-41435383E3C5}"/>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622950819672131"/>
          <c:y val="0.3457953737091275"/>
          <c:w val="0.32459016393442636"/>
          <c:h val="0.63551549047023337"/>
        </c:manualLayout>
      </c:layout>
      <c:overlay val="0"/>
      <c:spPr>
        <a:solidFill>
          <a:srgbClr val="FFFFFF"/>
        </a:solidFill>
        <a:ln w="3175">
          <a:solidFill>
            <a:srgbClr val="000000"/>
          </a:solidFill>
          <a:prstDash val="solid"/>
        </a:ln>
      </c:spPr>
      <c:txPr>
        <a:bodyPr/>
        <a:lstStyle/>
        <a:p>
          <a:pPr>
            <a:defRPr sz="595"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86885245901639"/>
          <c:y val="0.15348837209302332"/>
          <c:w val="0.48852459016393446"/>
          <c:h val="0.69302325581395352"/>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6556-49B2-98A7-14507600CD3B}"/>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6556-49B2-98A7-14507600CD3B}"/>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6556-49B2-98A7-14507600CD3B}"/>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6556-49B2-98A7-14507600CD3B}"/>
              </c:ext>
            </c:extLst>
          </c:dPt>
          <c:dPt>
            <c:idx val="4"/>
            <c:bubble3D val="0"/>
            <c:spPr>
              <a:pattFill prst="wdDnDiag">
                <a:fgClr>
                  <a:srgbClr val="FFCC00"/>
                </a:fgClr>
                <a:bgClr>
                  <a:srgbClr val="FFFFFF"/>
                </a:bgClr>
              </a:pattFill>
              <a:ln w="12700">
                <a:solidFill>
                  <a:srgbClr val="000000"/>
                </a:solidFill>
                <a:prstDash val="solid"/>
              </a:ln>
            </c:spPr>
            <c:extLst>
              <c:ext xmlns:c16="http://schemas.microsoft.com/office/drawing/2014/chart" uri="{C3380CC4-5D6E-409C-BE32-E72D297353CC}">
                <c16:uniqueId val="{00000009-6556-49B2-98A7-14507600CD3B}"/>
              </c:ext>
            </c:extLst>
          </c:dPt>
          <c:dPt>
            <c:idx val="5"/>
            <c:bubble3D val="0"/>
            <c:spPr>
              <a:pattFill prst="ltUpDiag">
                <a:fgClr>
                  <a:srgbClr val="993366"/>
                </a:fgClr>
                <a:bgClr>
                  <a:srgbClr val="FFFFFF"/>
                </a:bgClr>
              </a:pattFill>
              <a:ln w="12700">
                <a:solidFill>
                  <a:srgbClr val="000000"/>
                </a:solidFill>
                <a:prstDash val="solid"/>
              </a:ln>
            </c:spPr>
            <c:extLst>
              <c:ext xmlns:c16="http://schemas.microsoft.com/office/drawing/2014/chart" uri="{C3380CC4-5D6E-409C-BE32-E72D297353CC}">
                <c16:uniqueId val="{0000000B-6556-49B2-98A7-14507600CD3B}"/>
              </c:ext>
            </c:extLst>
          </c:dPt>
          <c:dPt>
            <c:idx val="6"/>
            <c:bubble3D val="0"/>
            <c:spPr>
              <a:pattFill prst="openDmnd">
                <a:fgClr>
                  <a:srgbClr val="00FFFF"/>
                </a:fgClr>
                <a:bgClr>
                  <a:srgbClr val="FFFFFF"/>
                </a:bgClr>
              </a:pattFill>
              <a:ln w="12700">
                <a:solidFill>
                  <a:srgbClr val="000000"/>
                </a:solidFill>
                <a:prstDash val="solid"/>
              </a:ln>
            </c:spPr>
            <c:extLst>
              <c:ext xmlns:c16="http://schemas.microsoft.com/office/drawing/2014/chart" uri="{C3380CC4-5D6E-409C-BE32-E72D297353CC}">
                <c16:uniqueId val="{0000000D-6556-49B2-98A7-14507600CD3B}"/>
              </c:ext>
            </c:extLst>
          </c:dPt>
          <c:dPt>
            <c:idx val="7"/>
            <c:bubble3D val="0"/>
            <c:spPr>
              <a:pattFill prst="smCheck">
                <a:fgClr>
                  <a:srgbClr val="FF0000"/>
                </a:fgClr>
                <a:bgClr>
                  <a:srgbClr val="FFFFFF"/>
                </a:bgClr>
              </a:pattFill>
              <a:ln w="12700">
                <a:solidFill>
                  <a:srgbClr val="000000"/>
                </a:solidFill>
                <a:prstDash val="solid"/>
              </a:ln>
            </c:spPr>
            <c:extLst>
              <c:ext xmlns:c16="http://schemas.microsoft.com/office/drawing/2014/chart" uri="{C3380CC4-5D6E-409C-BE32-E72D297353CC}">
                <c16:uniqueId val="{0000000F-6556-49B2-98A7-14507600CD3B}"/>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'設計書指摘分析図（サマリ）'!$S$25:$S$32</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'設計書指摘分析図（サマリ）'!$W$25:$W$32</c:f>
              <c:numCache>
                <c:formatCode>0_ </c:formatCode>
                <c:ptCount val="8"/>
                <c:pt idx="0">
                  <c:v>45</c:v>
                </c:pt>
                <c:pt idx="1">
                  <c:v>55</c:v>
                </c:pt>
                <c:pt idx="2">
                  <c:v>60</c:v>
                </c:pt>
                <c:pt idx="3">
                  <c:v>65</c:v>
                </c:pt>
                <c:pt idx="4">
                  <c:v>70</c:v>
                </c:pt>
                <c:pt idx="5">
                  <c:v>75</c:v>
                </c:pt>
                <c:pt idx="6">
                  <c:v>80</c:v>
                </c:pt>
                <c:pt idx="7">
                  <c:v>20</c:v>
                </c:pt>
              </c:numCache>
            </c:numRef>
          </c:val>
          <c:extLst>
            <c:ext xmlns:c16="http://schemas.microsoft.com/office/drawing/2014/chart" uri="{C3380CC4-5D6E-409C-BE32-E72D297353CC}">
              <c16:uniqueId val="{00000010-6556-49B2-98A7-14507600CD3B}"/>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852459016393444"/>
          <c:y val="0.42790697674418615"/>
          <c:w val="0.29836065573770493"/>
          <c:h val="0.54418604651162783"/>
        </c:manualLayout>
      </c:layout>
      <c:overlay val="0"/>
      <c:spPr>
        <a:solidFill>
          <a:srgbClr val="FFFFFF"/>
        </a:solidFill>
        <a:ln w="3175">
          <a:solidFill>
            <a:srgbClr val="000000"/>
          </a:solidFill>
          <a:prstDash val="solid"/>
        </a:ln>
      </c:spPr>
      <c:txPr>
        <a:bodyPr/>
        <a:lstStyle/>
        <a:p>
          <a:pPr>
            <a:defRPr sz="595"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指摘分析図（指摘現象/指摘原因）</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64484331130349"/>
          <c:y val="9.2564491654021266E-2"/>
          <c:w val="0.8441173994226624"/>
          <c:h val="0.50531107738998482"/>
        </c:manualLayout>
      </c:layout>
      <c:barChart>
        <c:barDir val="col"/>
        <c:grouping val="stacked"/>
        <c:varyColors val="0"/>
        <c:ser>
          <c:idx val="3"/>
          <c:order val="0"/>
          <c:tx>
            <c:strRef>
              <c:f>'設計書指摘分析図（指摘現象-指摘原因）'!$A$19</c:f>
              <c:strCache>
                <c:ptCount val="1"/>
                <c:pt idx="0">
                  <c:v>指摘原因</c:v>
                </c:pt>
              </c:strCache>
            </c:strRef>
          </c:tx>
          <c:spPr>
            <a:solidFill>
              <a:srgbClr val="CCFFFF"/>
            </a:solid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'設計書指摘分析図（指摘現象-指摘原因）'!$E$19:$M$19</c:f>
              <c:numCache>
                <c:formatCode>General</c:formatCode>
                <c:ptCount val="9"/>
              </c:numCache>
            </c:numRef>
          </c:val>
          <c:extLst>
            <c:ext xmlns:c16="http://schemas.microsoft.com/office/drawing/2014/chart" uri="{C3380CC4-5D6E-409C-BE32-E72D297353CC}">
              <c16:uniqueId val="{00000000-427C-4763-91FA-E70E688B25AD}"/>
            </c:ext>
          </c:extLst>
        </c:ser>
        <c:ser>
          <c:idx val="4"/>
          <c:order val="1"/>
          <c:tx>
            <c:strRef>
              <c:f>'設計書指摘分析図（指摘現象-指摘原因）'!$A$20</c:f>
              <c:strCache>
                <c:ptCount val="1"/>
                <c:pt idx="0">
                  <c:v>要求の確認不足</c:v>
                </c:pt>
              </c:strCache>
            </c:strRef>
          </c:tx>
          <c:spPr>
            <a:gradFill rotWithShape="0">
              <a:gsLst>
                <a:gs pos="0">
                  <a:srgbClr val="660066"/>
                </a:gs>
                <a:gs pos="50000">
                  <a:srgbClr val="FFFFFF"/>
                </a:gs>
                <a:gs pos="100000">
                  <a:srgbClr val="660066"/>
                </a:gs>
              </a:gsLst>
              <a:lin ang="0" scaled="1"/>
            </a:gradFill>
            <a:ln w="12700">
              <a:solidFill>
                <a:srgbClr val="000000"/>
              </a:solidFill>
              <a:prstDash val="solid"/>
            </a:ln>
          </c:spPr>
          <c:invertIfNegative val="0"/>
          <c:dPt>
            <c:idx val="0"/>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2-427C-4763-91FA-E70E688B25AD}"/>
              </c:ext>
            </c:extLst>
          </c:dPt>
          <c:dPt>
            <c:idx val="1"/>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4-427C-4763-91FA-E70E688B25AD}"/>
              </c:ext>
            </c:extLst>
          </c:dPt>
          <c:dPt>
            <c:idx val="2"/>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6-427C-4763-91FA-E70E688B25AD}"/>
              </c:ext>
            </c:extLst>
          </c:dPt>
          <c:dPt>
            <c:idx val="3"/>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8-427C-4763-91FA-E70E688B25AD}"/>
              </c:ext>
            </c:extLst>
          </c:dPt>
          <c:dPt>
            <c:idx val="4"/>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A-427C-4763-91FA-E70E688B25AD}"/>
              </c:ext>
            </c:extLst>
          </c:dPt>
          <c:dPt>
            <c:idx val="5"/>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C-427C-4763-91FA-E70E688B25AD}"/>
              </c:ext>
            </c:extLst>
          </c:dPt>
          <c:dPt>
            <c:idx val="6"/>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E-427C-4763-91FA-E70E688B25AD}"/>
              </c:ext>
            </c:extLst>
          </c:dPt>
          <c:dPt>
            <c:idx val="7"/>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10-427C-4763-91FA-E70E688B25AD}"/>
              </c:ext>
            </c:extLst>
          </c:dPt>
          <c:dPt>
            <c:idx val="8"/>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12-427C-4763-91FA-E70E688B25AD}"/>
              </c:ext>
            </c:extLst>
          </c:dPt>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'設計書指摘分析図（指摘現象-指摘原因）'!$E$20:$M$20</c:f>
              <c:numCache>
                <c:formatCode>0_ </c:formatCode>
                <c:ptCount val="9"/>
                <c:pt idx="0">
                  <c:v>58</c:v>
                </c:pt>
                <c:pt idx="1">
                  <c:v>1</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3-427C-4763-91FA-E70E688B25AD}"/>
            </c:ext>
          </c:extLst>
        </c:ser>
        <c:ser>
          <c:idx val="5"/>
          <c:order val="2"/>
          <c:tx>
            <c:strRef>
              <c:f>'設計書指摘分析図（指摘現象-指摘原因）'!$A$21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'設計書指摘分析図（指摘現象-指摘原因）'!$E$21:$M$21</c:f>
              <c:numCache>
                <c:formatCode>0_ </c:formatCode>
                <c:ptCount val="9"/>
                <c:pt idx="0">
                  <c:v>0</c:v>
                </c:pt>
                <c:pt idx="1">
                  <c:v>61</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4-427C-4763-91FA-E70E688B25AD}"/>
            </c:ext>
          </c:extLst>
        </c:ser>
        <c:ser>
          <c:idx val="6"/>
          <c:order val="3"/>
          <c:tx>
            <c:strRef>
              <c:f>'設計書指摘分析図（指摘現象-指摘原因）'!$A$22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'設計書指摘分析図（指摘現象-指摘原因）'!$E$22:$M$22</c:f>
              <c:numCache>
                <c:formatCode>0_ </c:formatCode>
                <c:ptCount val="9"/>
                <c:pt idx="0">
                  <c:v>0</c:v>
                </c:pt>
                <c:pt idx="1">
                  <c:v>0</c:v>
                </c:pt>
                <c:pt idx="2">
                  <c:v>66</c:v>
                </c:pt>
                <c:pt idx="3">
                  <c:v>0</c:v>
                </c:pt>
                <c:pt idx="4">
                  <c:v>0</c:v>
                </c:pt>
                <c:pt idx="5">
                  <c:v>0</c:v>
                </c:pt>
                <c:pt idx="6">
                  <c:v>0</c:v>
                </c:pt>
                <c:pt idx="7">
                  <c:v>0</c:v>
                </c:pt>
                <c:pt idx="8">
                  <c:v>0</c:v>
                </c:pt>
              </c:numCache>
            </c:numRef>
          </c:val>
          <c:extLst>
            <c:ext xmlns:c16="http://schemas.microsoft.com/office/drawing/2014/chart" uri="{C3380CC4-5D6E-409C-BE32-E72D297353CC}">
              <c16:uniqueId val="{00000015-427C-4763-91FA-E70E688B25AD}"/>
            </c:ext>
          </c:extLst>
        </c:ser>
        <c:ser>
          <c:idx val="7"/>
          <c:order val="4"/>
          <c:tx>
            <c:strRef>
              <c:f>'設計書指摘分析図（指摘現象-指摘原因）'!$A$23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'設計書指摘分析図（指摘現象-指摘原因）'!$E$23:$M$23</c:f>
              <c:numCache>
                <c:formatCode>0_ </c:formatCode>
                <c:ptCount val="9"/>
                <c:pt idx="0">
                  <c:v>0</c:v>
                </c:pt>
                <c:pt idx="1">
                  <c:v>0</c:v>
                </c:pt>
                <c:pt idx="2">
                  <c:v>0</c:v>
                </c:pt>
                <c:pt idx="3">
                  <c:v>70</c:v>
                </c:pt>
                <c:pt idx="4">
                  <c:v>0</c:v>
                </c:pt>
                <c:pt idx="5">
                  <c:v>0</c:v>
                </c:pt>
                <c:pt idx="6">
                  <c:v>0</c:v>
                </c:pt>
                <c:pt idx="7">
                  <c:v>0</c:v>
                </c:pt>
                <c:pt idx="8">
                  <c:v>0</c:v>
                </c:pt>
              </c:numCache>
            </c:numRef>
          </c:val>
          <c:extLst>
            <c:ext xmlns:c16="http://schemas.microsoft.com/office/drawing/2014/chart" uri="{C3380CC4-5D6E-409C-BE32-E72D297353CC}">
              <c16:uniqueId val="{00000016-427C-4763-91FA-E70E688B25AD}"/>
            </c:ext>
          </c:extLst>
        </c:ser>
        <c:ser>
          <c:idx val="8"/>
          <c:order val="5"/>
          <c:tx>
            <c:strRef>
              <c:f>'設計書指摘分析図（指摘現象-指摘原因）'!$A$24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'設計書指摘分析図（指摘現象-指摘原因）'!$E$24:$M$24</c:f>
              <c:numCache>
                <c:formatCode>0_ </c:formatCode>
                <c:ptCount val="9"/>
                <c:pt idx="0">
                  <c:v>0</c:v>
                </c:pt>
                <c:pt idx="1">
                  <c:v>0</c:v>
                </c:pt>
                <c:pt idx="2">
                  <c:v>0</c:v>
                </c:pt>
                <c:pt idx="3">
                  <c:v>0</c:v>
                </c:pt>
                <c:pt idx="4">
                  <c:v>74</c:v>
                </c:pt>
                <c:pt idx="5">
                  <c:v>0</c:v>
                </c:pt>
                <c:pt idx="6">
                  <c:v>0</c:v>
                </c:pt>
                <c:pt idx="7">
                  <c:v>0</c:v>
                </c:pt>
                <c:pt idx="8">
                  <c:v>0</c:v>
                </c:pt>
              </c:numCache>
            </c:numRef>
          </c:val>
          <c:extLst>
            <c:ext xmlns:c16="http://schemas.microsoft.com/office/drawing/2014/chart" uri="{C3380CC4-5D6E-409C-BE32-E72D297353CC}">
              <c16:uniqueId val="{00000017-427C-4763-91FA-E70E688B25AD}"/>
            </c:ext>
          </c:extLst>
        </c:ser>
        <c:ser>
          <c:idx val="9"/>
          <c:order val="6"/>
          <c:tx>
            <c:strRef>
              <c:f>'設計書指摘分析図（指摘現象-指摘原因）'!$A$25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'設計書指摘分析図（指摘現象-指摘原因）'!$E$25:$M$25</c:f>
              <c:numCache>
                <c:formatCode>0_ </c:formatCode>
                <c:ptCount val="9"/>
                <c:pt idx="0">
                  <c:v>0</c:v>
                </c:pt>
                <c:pt idx="1">
                  <c:v>0</c:v>
                </c:pt>
                <c:pt idx="2">
                  <c:v>0</c:v>
                </c:pt>
                <c:pt idx="3">
                  <c:v>0</c:v>
                </c:pt>
                <c:pt idx="4">
                  <c:v>0</c:v>
                </c:pt>
                <c:pt idx="5">
                  <c:v>78</c:v>
                </c:pt>
                <c:pt idx="6">
                  <c:v>0</c:v>
                </c:pt>
                <c:pt idx="7">
                  <c:v>0</c:v>
                </c:pt>
                <c:pt idx="8">
                  <c:v>0</c:v>
                </c:pt>
              </c:numCache>
            </c:numRef>
          </c:val>
          <c:extLst>
            <c:ext xmlns:c16="http://schemas.microsoft.com/office/drawing/2014/chart" uri="{C3380CC4-5D6E-409C-BE32-E72D297353CC}">
              <c16:uniqueId val="{00000018-427C-4763-91FA-E70E688B25AD}"/>
            </c:ext>
          </c:extLst>
        </c:ser>
        <c:ser>
          <c:idx val="10"/>
          <c:order val="7"/>
          <c:tx>
            <c:strRef>
              <c:f>'設計書指摘分析図（指摘現象-指摘原因）'!$A$26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'設計書指摘分析図（指摘現象-指摘原因）'!$E$26:$M$26</c:f>
              <c:numCache>
                <c:formatCode>0_ </c:formatCode>
                <c:ptCount val="9"/>
                <c:pt idx="0">
                  <c:v>0</c:v>
                </c:pt>
                <c:pt idx="1">
                  <c:v>0</c:v>
                </c:pt>
                <c:pt idx="2">
                  <c:v>0</c:v>
                </c:pt>
                <c:pt idx="3">
                  <c:v>0</c:v>
                </c:pt>
                <c:pt idx="4">
                  <c:v>0</c:v>
                </c:pt>
                <c:pt idx="5">
                  <c:v>0</c:v>
                </c:pt>
                <c:pt idx="6">
                  <c:v>82</c:v>
                </c:pt>
                <c:pt idx="7">
                  <c:v>0</c:v>
                </c:pt>
                <c:pt idx="8">
                  <c:v>0</c:v>
                </c:pt>
              </c:numCache>
            </c:numRef>
          </c:val>
          <c:extLst>
            <c:ext xmlns:c16="http://schemas.microsoft.com/office/drawing/2014/chart" uri="{C3380CC4-5D6E-409C-BE32-E72D297353CC}">
              <c16:uniqueId val="{00000019-427C-4763-91FA-E70E688B25AD}"/>
            </c:ext>
          </c:extLst>
        </c:ser>
        <c:ser>
          <c:idx val="0"/>
          <c:order val="8"/>
          <c:tx>
            <c:strRef>
              <c:f>'設計書指摘分析図（指摘現象-指摘原因）'!$A$27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'設計書指摘分析図（指摘現象-指摘原因）'!$E$27:$M$27</c:f>
              <c:numCache>
                <c:formatCode>0_ </c:formatCode>
                <c:ptCount val="9"/>
                <c:pt idx="0">
                  <c:v>0</c:v>
                </c:pt>
                <c:pt idx="1">
                  <c:v>0</c:v>
                </c:pt>
                <c:pt idx="2">
                  <c:v>0</c:v>
                </c:pt>
                <c:pt idx="3">
                  <c:v>0</c:v>
                </c:pt>
                <c:pt idx="4">
                  <c:v>0</c:v>
                </c:pt>
                <c:pt idx="5">
                  <c:v>0</c:v>
                </c:pt>
                <c:pt idx="6">
                  <c:v>0</c:v>
                </c:pt>
                <c:pt idx="7">
                  <c:v>86</c:v>
                </c:pt>
                <c:pt idx="8">
                  <c:v>0</c:v>
                </c:pt>
              </c:numCache>
            </c:numRef>
          </c:val>
          <c:extLst>
            <c:ext xmlns:c16="http://schemas.microsoft.com/office/drawing/2014/chart" uri="{C3380CC4-5D6E-409C-BE32-E72D297353CC}">
              <c16:uniqueId val="{0000001A-427C-4763-91FA-E70E688B25AD}"/>
            </c:ext>
          </c:extLst>
        </c:ser>
        <c:ser>
          <c:idx val="1"/>
          <c:order val="9"/>
          <c:tx>
            <c:strRef>
              <c:f>'設計書指摘分析図（指摘現象-指摘原因）'!$A$28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'設計書指摘分析図（指摘現象-指摘原因）'!$E$28:$M$28</c:f>
              <c:numCache>
                <c:formatCode>0_ </c:formatCode>
                <c:ptCount val="9"/>
                <c:pt idx="0">
                  <c:v>0</c:v>
                </c:pt>
                <c:pt idx="1">
                  <c:v>0</c:v>
                </c:pt>
                <c:pt idx="2">
                  <c:v>0</c:v>
                </c:pt>
                <c:pt idx="3">
                  <c:v>0</c:v>
                </c:pt>
                <c:pt idx="4">
                  <c:v>0</c:v>
                </c:pt>
                <c:pt idx="5">
                  <c:v>0</c:v>
                </c:pt>
                <c:pt idx="6">
                  <c:v>0</c:v>
                </c:pt>
                <c:pt idx="7">
                  <c:v>0</c:v>
                </c:pt>
                <c:pt idx="8">
                  <c:v>90</c:v>
                </c:pt>
              </c:numCache>
            </c:numRef>
          </c:val>
          <c:extLst>
            <c:ext xmlns:c16="http://schemas.microsoft.com/office/drawing/2014/chart" uri="{C3380CC4-5D6E-409C-BE32-E72D297353CC}">
              <c16:uniqueId val="{0000001B-427C-4763-91FA-E70E688B25AD}"/>
            </c:ext>
          </c:extLst>
        </c:ser>
        <c:dLbls>
          <c:showLegendKey val="0"/>
          <c:showVal val="0"/>
          <c:showCatName val="0"/>
          <c:showSerName val="0"/>
          <c:showPercent val="0"/>
          <c:showBubbleSize val="0"/>
        </c:dLbls>
        <c:gapWidth val="150"/>
        <c:overlap val="100"/>
        <c:axId val="-2070400720"/>
        <c:axId val="-2070405616"/>
      </c:barChart>
      <c:catAx>
        <c:axId val="-2070400720"/>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a:t>
                </a:r>
              </a:p>
            </c:rich>
          </c:tx>
          <c:layout>
            <c:manualLayout>
              <c:xMode val="edge"/>
              <c:yMode val="edge"/>
              <c:x val="0.47279549718574115"/>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2070405616"/>
        <c:crosses val="autoZero"/>
        <c:auto val="1"/>
        <c:lblAlgn val="ctr"/>
        <c:lblOffset val="100"/>
        <c:tickLblSkip val="1"/>
        <c:tickMarkSkip val="1"/>
        <c:noMultiLvlLbl val="0"/>
      </c:catAx>
      <c:valAx>
        <c:axId val="-2070405616"/>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28983308042488626"/>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70400720"/>
        <c:crosses val="autoZero"/>
        <c:crossBetween val="between"/>
        <c:minorUnit val="1"/>
      </c:valAx>
      <c:spPr>
        <a:solidFill>
          <a:srgbClr val="C0C0C0"/>
        </a:solidFill>
        <a:ln w="12700">
          <a:solidFill>
            <a:srgbClr val="808080"/>
          </a:solidFill>
          <a:prstDash val="solid"/>
        </a:ln>
      </c:spPr>
    </c:plotArea>
    <c:legend>
      <c:legendPos val="b"/>
      <c:legendEntry>
        <c:idx val="0"/>
        <c:delete val="1"/>
      </c:legendEntry>
      <c:layout>
        <c:manualLayout>
          <c:xMode val="edge"/>
          <c:yMode val="edge"/>
          <c:x val="4.5028142589118185E-2"/>
          <c:y val="0.86039453717754188"/>
          <c:w val="0.91744840525328342"/>
          <c:h val="0.1107738998482549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指摘分析図（指摘現象/混入工程）</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131332082551596"/>
          <c:y val="9.5599393019726878E-2"/>
          <c:w val="0.84803001876172612"/>
          <c:h val="0.50227617602427921"/>
        </c:manualLayout>
      </c:layout>
      <c:barChart>
        <c:barDir val="col"/>
        <c:grouping val="stacked"/>
        <c:varyColors val="0"/>
        <c:ser>
          <c:idx val="2"/>
          <c:order val="0"/>
          <c:tx>
            <c:strRef>
              <c:f>'設計書指摘分析図（指摘現象-混入工程）'!$A$19</c:f>
              <c:strCache>
                <c:ptCount val="1"/>
                <c:pt idx="0">
                  <c:v>混入工程</c:v>
                </c:pt>
              </c:strCache>
            </c:strRef>
          </c:tx>
          <c:spPr>
            <a:solidFill>
              <a:srgbClr val="FFFFCC"/>
            </a:solid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'設計書指摘分析図（指摘現象-混入工程）'!$E$19:$M$19</c:f>
              <c:numCache>
                <c:formatCode>General</c:formatCode>
                <c:ptCount val="9"/>
              </c:numCache>
            </c:numRef>
          </c:val>
          <c:extLst>
            <c:ext xmlns:c16="http://schemas.microsoft.com/office/drawing/2014/chart" uri="{C3380CC4-5D6E-409C-BE32-E72D297353CC}">
              <c16:uniqueId val="{00000000-BA7B-4ABD-A226-06AE0606958F}"/>
            </c:ext>
          </c:extLst>
        </c:ser>
        <c:ser>
          <c:idx val="3"/>
          <c:order val="1"/>
          <c:tx>
            <c:strRef>
              <c:f>'設計書指摘分析図（指摘現象-混入工程）'!$A$20</c:f>
              <c:strCache>
                <c:ptCount val="1"/>
                <c:pt idx="0">
                  <c:v>要件定義</c:v>
                </c:pt>
              </c:strCache>
            </c:strRef>
          </c:tx>
          <c:spPr>
            <a:pattFill prst="pct80">
              <a:fgClr>
                <a:srgbClr val="33CCCC"/>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'設計書指摘分析図（指摘現象-混入工程）'!$E$20:$M$20</c:f>
              <c:numCache>
                <c:formatCode>0_ </c:formatCode>
                <c:ptCount val="9"/>
                <c:pt idx="0">
                  <c:v>1</c:v>
                </c:pt>
                <c:pt idx="1">
                  <c:v>2</c:v>
                </c:pt>
                <c:pt idx="2">
                  <c:v>3</c:v>
                </c:pt>
                <c:pt idx="3">
                  <c:v>4</c:v>
                </c:pt>
                <c:pt idx="4">
                  <c:v>5</c:v>
                </c:pt>
                <c:pt idx="5">
                  <c:v>6</c:v>
                </c:pt>
                <c:pt idx="6">
                  <c:v>7</c:v>
                </c:pt>
                <c:pt idx="7">
                  <c:v>8</c:v>
                </c:pt>
                <c:pt idx="8">
                  <c:v>9</c:v>
                </c:pt>
              </c:numCache>
            </c:numRef>
          </c:val>
          <c:extLst>
            <c:ext xmlns:c16="http://schemas.microsoft.com/office/drawing/2014/chart" uri="{C3380CC4-5D6E-409C-BE32-E72D297353CC}">
              <c16:uniqueId val="{00000001-BA7B-4ABD-A226-06AE0606958F}"/>
            </c:ext>
          </c:extLst>
        </c:ser>
        <c:ser>
          <c:idx val="4"/>
          <c:order val="2"/>
          <c:tx>
            <c:strRef>
              <c:f>'設計書指摘分析図（指摘現象-混入工程）'!$A$21</c:f>
              <c:strCache>
                <c:ptCount val="1"/>
                <c:pt idx="0">
                  <c:v>基本設計</c:v>
                </c:pt>
              </c:strCache>
            </c:strRef>
          </c:tx>
          <c:spPr>
            <a:pattFill prst="divot">
              <a:fgClr>
                <a:srgbClr val="80008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'設計書指摘分析図（指摘現象-混入工程）'!$E$21:$M$21</c:f>
              <c:numCache>
                <c:formatCode>0_ </c:formatCode>
                <c:ptCount val="9"/>
                <c:pt idx="0">
                  <c:v>18</c:v>
                </c:pt>
                <c:pt idx="1">
                  <c:v>17</c:v>
                </c:pt>
                <c:pt idx="2">
                  <c:v>16</c:v>
                </c:pt>
                <c:pt idx="3">
                  <c:v>15</c:v>
                </c:pt>
                <c:pt idx="4">
                  <c:v>14</c:v>
                </c:pt>
                <c:pt idx="5">
                  <c:v>13</c:v>
                </c:pt>
                <c:pt idx="6">
                  <c:v>12</c:v>
                </c:pt>
                <c:pt idx="7">
                  <c:v>11</c:v>
                </c:pt>
                <c:pt idx="8">
                  <c:v>10</c:v>
                </c:pt>
              </c:numCache>
            </c:numRef>
          </c:val>
          <c:extLst>
            <c:ext xmlns:c16="http://schemas.microsoft.com/office/drawing/2014/chart" uri="{C3380CC4-5D6E-409C-BE32-E72D297353CC}">
              <c16:uniqueId val="{00000002-BA7B-4ABD-A226-06AE0606958F}"/>
            </c:ext>
          </c:extLst>
        </c:ser>
        <c:ser>
          <c:idx val="0"/>
          <c:order val="3"/>
          <c:tx>
            <c:strRef>
              <c:f>'設計書指摘分析図（指摘現象-混入工程）'!$A$22</c:f>
              <c:strCache>
                <c:ptCount val="1"/>
                <c:pt idx="0">
                  <c:v>詳細設計</c:v>
                </c:pt>
              </c:strCache>
            </c:strRef>
          </c:tx>
          <c:spPr>
            <a:pattFill prst="narVert">
              <a:fgClr>
                <a:srgbClr val="00FF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'設計書指摘分析図（指摘現象-混入工程）'!$E$22:$M$22</c:f>
              <c:numCache>
                <c:formatCode>0_ </c:formatCode>
                <c:ptCount val="9"/>
                <c:pt idx="0">
                  <c:v>19</c:v>
                </c:pt>
                <c:pt idx="1">
                  <c:v>20</c:v>
                </c:pt>
                <c:pt idx="2">
                  <c:v>21</c:v>
                </c:pt>
                <c:pt idx="3">
                  <c:v>22</c:v>
                </c:pt>
                <c:pt idx="4">
                  <c:v>23</c:v>
                </c:pt>
                <c:pt idx="5">
                  <c:v>24</c:v>
                </c:pt>
                <c:pt idx="6">
                  <c:v>25</c:v>
                </c:pt>
                <c:pt idx="7">
                  <c:v>26</c:v>
                </c:pt>
                <c:pt idx="8">
                  <c:v>27</c:v>
                </c:pt>
              </c:numCache>
            </c:numRef>
          </c:val>
          <c:extLst>
            <c:ext xmlns:c16="http://schemas.microsoft.com/office/drawing/2014/chart" uri="{C3380CC4-5D6E-409C-BE32-E72D297353CC}">
              <c16:uniqueId val="{00000003-BA7B-4ABD-A226-06AE0606958F}"/>
            </c:ext>
          </c:extLst>
        </c:ser>
        <c:ser>
          <c:idx val="1"/>
          <c:order val="4"/>
          <c:tx>
            <c:strRef>
              <c:f>'設計書指摘分析図（指摘現象-混入工程）'!$A$23</c:f>
              <c:strCache>
                <c:ptCount val="1"/>
                <c:pt idx="0">
                  <c:v>製造（単体テスト）</c:v>
                </c:pt>
              </c:strCache>
            </c:strRef>
          </c:tx>
          <c:spPr>
            <a:pattFill prst="pct40">
              <a:fgClr>
                <a:srgbClr val="FF00FF"/>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'設計書指摘分析図（指摘現象-混入工程）'!$E$23:$M$23</c:f>
              <c:numCache>
                <c:formatCode>0_ </c:formatCode>
                <c:ptCount val="9"/>
                <c:pt idx="0">
                  <c:v>36</c:v>
                </c:pt>
                <c:pt idx="1">
                  <c:v>35</c:v>
                </c:pt>
                <c:pt idx="2">
                  <c:v>34</c:v>
                </c:pt>
                <c:pt idx="3">
                  <c:v>33</c:v>
                </c:pt>
                <c:pt idx="4">
                  <c:v>32</c:v>
                </c:pt>
                <c:pt idx="5">
                  <c:v>31</c:v>
                </c:pt>
                <c:pt idx="6">
                  <c:v>30</c:v>
                </c:pt>
                <c:pt idx="7">
                  <c:v>29</c:v>
                </c:pt>
                <c:pt idx="8">
                  <c:v>28</c:v>
                </c:pt>
              </c:numCache>
            </c:numRef>
          </c:val>
          <c:extLst>
            <c:ext xmlns:c16="http://schemas.microsoft.com/office/drawing/2014/chart" uri="{C3380CC4-5D6E-409C-BE32-E72D297353CC}">
              <c16:uniqueId val="{00000004-BA7B-4ABD-A226-06AE0606958F}"/>
            </c:ext>
          </c:extLst>
        </c:ser>
        <c:ser>
          <c:idx val="5"/>
          <c:order val="5"/>
          <c:tx>
            <c:strRef>
              <c:f>'設計書指摘分析図（指摘現象-混入工程）'!$A$24</c:f>
              <c:strCache>
                <c:ptCount val="1"/>
                <c:pt idx="0">
                  <c:v>結合テスト</c:v>
                </c:pt>
              </c:strCache>
            </c:strRef>
          </c:tx>
          <c:spPr>
            <a:pattFill prst="wdDnDiag">
              <a:fgClr>
                <a:srgbClr val="FFCC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'設計書指摘分析図（指摘現象-混入工程）'!$E$24:$M$24</c:f>
              <c:numCache>
                <c:formatCode>0_ </c:formatCode>
                <c:ptCount val="9"/>
                <c:pt idx="0">
                  <c:v>37</c:v>
                </c:pt>
                <c:pt idx="1">
                  <c:v>38</c:v>
                </c:pt>
                <c:pt idx="2">
                  <c:v>39</c:v>
                </c:pt>
                <c:pt idx="3">
                  <c:v>40</c:v>
                </c:pt>
                <c:pt idx="4">
                  <c:v>41</c:v>
                </c:pt>
                <c:pt idx="5">
                  <c:v>42</c:v>
                </c:pt>
                <c:pt idx="6">
                  <c:v>43</c:v>
                </c:pt>
                <c:pt idx="7">
                  <c:v>44</c:v>
                </c:pt>
                <c:pt idx="8">
                  <c:v>45</c:v>
                </c:pt>
              </c:numCache>
            </c:numRef>
          </c:val>
          <c:extLst>
            <c:ext xmlns:c16="http://schemas.microsoft.com/office/drawing/2014/chart" uri="{C3380CC4-5D6E-409C-BE32-E72D297353CC}">
              <c16:uniqueId val="{00000005-BA7B-4ABD-A226-06AE0606958F}"/>
            </c:ext>
          </c:extLst>
        </c:ser>
        <c:ser>
          <c:idx val="6"/>
          <c:order val="6"/>
          <c:tx>
            <c:strRef>
              <c:f>'設計書指摘分析図（指摘現象-混入工程）'!$A$25</c:f>
              <c:strCache>
                <c:ptCount val="1"/>
                <c:pt idx="0">
                  <c:v>システムテスト</c:v>
                </c:pt>
              </c:strCache>
            </c:strRef>
          </c:tx>
          <c:spPr>
            <a:pattFill prst="ltUpDiag">
              <a:fgClr>
                <a:srgbClr val="993366"/>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'設計書指摘分析図（指摘現象-混入工程）'!$E$25:$M$25</c:f>
              <c:numCache>
                <c:formatCode>0_ </c:formatCode>
                <c:ptCount val="9"/>
                <c:pt idx="0">
                  <c:v>54</c:v>
                </c:pt>
                <c:pt idx="1">
                  <c:v>53</c:v>
                </c:pt>
                <c:pt idx="2">
                  <c:v>52</c:v>
                </c:pt>
                <c:pt idx="3">
                  <c:v>51</c:v>
                </c:pt>
                <c:pt idx="4">
                  <c:v>50</c:v>
                </c:pt>
                <c:pt idx="5">
                  <c:v>49</c:v>
                </c:pt>
                <c:pt idx="6">
                  <c:v>48</c:v>
                </c:pt>
                <c:pt idx="7">
                  <c:v>47</c:v>
                </c:pt>
                <c:pt idx="8">
                  <c:v>46</c:v>
                </c:pt>
              </c:numCache>
            </c:numRef>
          </c:val>
          <c:extLst>
            <c:ext xmlns:c16="http://schemas.microsoft.com/office/drawing/2014/chart" uri="{C3380CC4-5D6E-409C-BE32-E72D297353CC}">
              <c16:uniqueId val="{00000006-BA7B-4ABD-A226-06AE0606958F}"/>
            </c:ext>
          </c:extLst>
        </c:ser>
        <c:ser>
          <c:idx val="7"/>
          <c:order val="7"/>
          <c:tx>
            <c:strRef>
              <c:f>'設計書指摘分析図（指摘現象-混入工程）'!$A$26</c:f>
              <c:strCache>
                <c:ptCount val="1"/>
                <c:pt idx="0">
                  <c:v>移行導入</c:v>
                </c:pt>
              </c:strCache>
            </c:strRef>
          </c:tx>
          <c:spPr>
            <a:pattFill prst="openDmnd">
              <a:fgClr>
                <a:srgbClr val="00FFFF"/>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'設計書指摘分析図（指摘現象-混入工程）'!$E$26:$M$26</c:f>
              <c:numCache>
                <c:formatCode>0_ </c:formatCode>
                <c:ptCount val="9"/>
                <c:pt idx="0">
                  <c:v>55</c:v>
                </c:pt>
                <c:pt idx="1">
                  <c:v>56</c:v>
                </c:pt>
                <c:pt idx="2">
                  <c:v>57</c:v>
                </c:pt>
                <c:pt idx="3">
                  <c:v>58</c:v>
                </c:pt>
                <c:pt idx="4">
                  <c:v>59</c:v>
                </c:pt>
                <c:pt idx="5">
                  <c:v>60</c:v>
                </c:pt>
                <c:pt idx="6">
                  <c:v>61</c:v>
                </c:pt>
                <c:pt idx="7">
                  <c:v>62</c:v>
                </c:pt>
                <c:pt idx="8">
                  <c:v>63</c:v>
                </c:pt>
              </c:numCache>
            </c:numRef>
          </c:val>
          <c:extLst>
            <c:ext xmlns:c16="http://schemas.microsoft.com/office/drawing/2014/chart" uri="{C3380CC4-5D6E-409C-BE32-E72D297353CC}">
              <c16:uniqueId val="{00000007-BA7B-4ABD-A226-06AE0606958F}"/>
            </c:ext>
          </c:extLst>
        </c:ser>
        <c:ser>
          <c:idx val="8"/>
          <c:order val="8"/>
          <c:tx>
            <c:strRef>
              <c:f>'設計書指摘分析図（指摘現象-混入工程）'!$A$27</c:f>
              <c:strCache>
                <c:ptCount val="1"/>
                <c:pt idx="0">
                  <c:v>その他</c:v>
                </c:pt>
              </c:strCache>
            </c:strRef>
          </c:tx>
          <c:spPr>
            <a:pattFill prst="smCheck">
              <a:fgClr>
                <a:srgbClr val="FF00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'設計書指摘分析図（指摘現象-混入工程）'!$E$27:$M$27</c:f>
              <c:numCache>
                <c:formatCode>0_ </c:formatCode>
                <c:ptCount val="9"/>
                <c:pt idx="0">
                  <c:v>72</c:v>
                </c:pt>
                <c:pt idx="1">
                  <c:v>71</c:v>
                </c:pt>
                <c:pt idx="2">
                  <c:v>70</c:v>
                </c:pt>
                <c:pt idx="3">
                  <c:v>69</c:v>
                </c:pt>
                <c:pt idx="4">
                  <c:v>68</c:v>
                </c:pt>
                <c:pt idx="5">
                  <c:v>67</c:v>
                </c:pt>
                <c:pt idx="6">
                  <c:v>66</c:v>
                </c:pt>
                <c:pt idx="7">
                  <c:v>65</c:v>
                </c:pt>
                <c:pt idx="8">
                  <c:v>64</c:v>
                </c:pt>
              </c:numCache>
            </c:numRef>
          </c:val>
          <c:extLst>
            <c:ext xmlns:c16="http://schemas.microsoft.com/office/drawing/2014/chart" uri="{C3380CC4-5D6E-409C-BE32-E72D297353CC}">
              <c16:uniqueId val="{00000008-BA7B-4ABD-A226-06AE0606958F}"/>
            </c:ext>
          </c:extLst>
        </c:ser>
        <c:dLbls>
          <c:showLegendKey val="0"/>
          <c:showVal val="0"/>
          <c:showCatName val="0"/>
          <c:showSerName val="0"/>
          <c:showPercent val="0"/>
          <c:showBubbleSize val="0"/>
        </c:dLbls>
        <c:gapWidth val="150"/>
        <c:overlap val="100"/>
        <c:axId val="-2070401264"/>
        <c:axId val="-2070412144"/>
      </c:barChart>
      <c:catAx>
        <c:axId val="-2070401264"/>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a:t>
                </a:r>
              </a:p>
            </c:rich>
          </c:tx>
          <c:layout>
            <c:manualLayout>
              <c:xMode val="edge"/>
              <c:yMode val="edge"/>
              <c:x val="0.47279549718574115"/>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2070412144"/>
        <c:crosses val="autoZero"/>
        <c:auto val="1"/>
        <c:lblAlgn val="ctr"/>
        <c:lblOffset val="100"/>
        <c:tickLblSkip val="1"/>
        <c:tickMarkSkip val="1"/>
        <c:noMultiLvlLbl val="0"/>
      </c:catAx>
      <c:valAx>
        <c:axId val="-2070412144"/>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28983308042488626"/>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70401264"/>
        <c:crosses val="autoZero"/>
        <c:crossBetween val="between"/>
        <c:minorUnit val="1"/>
      </c:valAx>
      <c:spPr>
        <a:solidFill>
          <a:srgbClr val="C0C0C0"/>
        </a:solidFill>
        <a:ln w="12700">
          <a:solidFill>
            <a:srgbClr val="808080"/>
          </a:solidFill>
          <a:prstDash val="solid"/>
        </a:ln>
      </c:spPr>
    </c:plotArea>
    <c:legend>
      <c:legendPos val="b"/>
      <c:legendEntry>
        <c:idx val="8"/>
        <c:delete val="1"/>
      </c:legendEntry>
      <c:layout>
        <c:manualLayout>
          <c:xMode val="edge"/>
          <c:yMode val="edge"/>
          <c:x val="0.13133208255159479"/>
          <c:y val="0.87860394537177555"/>
          <c:w val="0.75046904315196983"/>
          <c:h val="9.1047040971168447E-2"/>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指摘分析図（混入工程/指摘原因）</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318949343339587"/>
          <c:y val="9.5599393019726878E-2"/>
          <c:w val="0.84615384615384626"/>
          <c:h val="0.48103186646433993"/>
        </c:manualLayout>
      </c:layout>
      <c:barChart>
        <c:barDir val="col"/>
        <c:grouping val="stacked"/>
        <c:varyColors val="0"/>
        <c:ser>
          <c:idx val="3"/>
          <c:order val="0"/>
          <c:tx>
            <c:strRef>
              <c:f>'設計書指摘分析図（混入工程-指摘原因）'!$A$19</c:f>
              <c:strCache>
                <c:ptCount val="1"/>
                <c:pt idx="0">
                  <c:v>指摘原因</c:v>
                </c:pt>
              </c:strCache>
            </c:strRef>
          </c:tx>
          <c:spPr>
            <a:solidFill>
              <a:srgbClr val="CCFFFF"/>
            </a:solid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'設計書指摘分析図（混入工程-指摘原因）'!$E$19:$L$19</c:f>
              <c:numCache>
                <c:formatCode>General</c:formatCode>
                <c:ptCount val="8"/>
              </c:numCache>
            </c:numRef>
          </c:val>
          <c:extLst>
            <c:ext xmlns:c16="http://schemas.microsoft.com/office/drawing/2014/chart" uri="{C3380CC4-5D6E-409C-BE32-E72D297353CC}">
              <c16:uniqueId val="{00000000-2E8C-46F4-ABC4-1B05F1C2A075}"/>
            </c:ext>
          </c:extLst>
        </c:ser>
        <c:ser>
          <c:idx val="4"/>
          <c:order val="1"/>
          <c:tx>
            <c:strRef>
              <c:f>'設計書指摘分析図（混入工程-指摘原因）'!$A$20</c:f>
              <c:strCache>
                <c:ptCount val="1"/>
                <c:pt idx="0">
                  <c:v>要求の確認不足</c:v>
                </c:pt>
              </c:strCache>
            </c:strRef>
          </c:tx>
          <c:spPr>
            <a:pattFill prst="pct80">
              <a:fgClr>
                <a:srgbClr val="33CCCC"/>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'設計書指摘分析図（混入工程-指摘原因）'!$E$20:$L$20</c:f>
              <c:numCache>
                <c:formatCode>0_ </c:formatCode>
                <c:ptCount val="8"/>
                <c:pt idx="0">
                  <c:v>8</c:v>
                </c:pt>
                <c:pt idx="1">
                  <c:v>7</c:v>
                </c:pt>
                <c:pt idx="2">
                  <c:v>6</c:v>
                </c:pt>
                <c:pt idx="3">
                  <c:v>5</c:v>
                </c:pt>
                <c:pt idx="4">
                  <c:v>4</c:v>
                </c:pt>
                <c:pt idx="5">
                  <c:v>3</c:v>
                </c:pt>
                <c:pt idx="6">
                  <c:v>2</c:v>
                </c:pt>
                <c:pt idx="7">
                  <c:v>1</c:v>
                </c:pt>
              </c:numCache>
            </c:numRef>
          </c:val>
          <c:extLst>
            <c:ext xmlns:c16="http://schemas.microsoft.com/office/drawing/2014/chart" uri="{C3380CC4-5D6E-409C-BE32-E72D297353CC}">
              <c16:uniqueId val="{00000001-2E8C-46F4-ABC4-1B05F1C2A075}"/>
            </c:ext>
          </c:extLst>
        </c:ser>
        <c:ser>
          <c:idx val="5"/>
          <c:order val="2"/>
          <c:tx>
            <c:strRef>
              <c:f>'設計書指摘分析図（混入工程-指摘原因）'!$A$21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'設計書指摘分析図（混入工程-指摘原因）'!$E$21:$L$21</c:f>
              <c:numCache>
                <c:formatCode>0_ </c:formatCode>
                <c:ptCount val="8"/>
                <c:pt idx="0">
                  <c:v>9</c:v>
                </c:pt>
                <c:pt idx="1">
                  <c:v>10</c:v>
                </c:pt>
                <c:pt idx="2">
                  <c:v>11</c:v>
                </c:pt>
                <c:pt idx="3">
                  <c:v>12</c:v>
                </c:pt>
                <c:pt idx="4">
                  <c:v>13</c:v>
                </c:pt>
                <c:pt idx="5">
                  <c:v>14</c:v>
                </c:pt>
                <c:pt idx="6">
                  <c:v>15</c:v>
                </c:pt>
                <c:pt idx="7">
                  <c:v>16</c:v>
                </c:pt>
              </c:numCache>
            </c:numRef>
          </c:val>
          <c:extLst>
            <c:ext xmlns:c16="http://schemas.microsoft.com/office/drawing/2014/chart" uri="{C3380CC4-5D6E-409C-BE32-E72D297353CC}">
              <c16:uniqueId val="{00000002-2E8C-46F4-ABC4-1B05F1C2A075}"/>
            </c:ext>
          </c:extLst>
        </c:ser>
        <c:ser>
          <c:idx val="6"/>
          <c:order val="3"/>
          <c:tx>
            <c:strRef>
              <c:f>'設計書指摘分析図（混入工程-指摘原因）'!$A$22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'設計書指摘分析図（混入工程-指摘原因）'!$E$22:$L$22</c:f>
              <c:numCache>
                <c:formatCode>0_ </c:formatCode>
                <c:ptCount val="8"/>
                <c:pt idx="0">
                  <c:v>24</c:v>
                </c:pt>
                <c:pt idx="1">
                  <c:v>23</c:v>
                </c:pt>
                <c:pt idx="2">
                  <c:v>22</c:v>
                </c:pt>
                <c:pt idx="3">
                  <c:v>21</c:v>
                </c:pt>
                <c:pt idx="4">
                  <c:v>20</c:v>
                </c:pt>
                <c:pt idx="5">
                  <c:v>19</c:v>
                </c:pt>
                <c:pt idx="6">
                  <c:v>18</c:v>
                </c:pt>
                <c:pt idx="7">
                  <c:v>17</c:v>
                </c:pt>
              </c:numCache>
            </c:numRef>
          </c:val>
          <c:extLst>
            <c:ext xmlns:c16="http://schemas.microsoft.com/office/drawing/2014/chart" uri="{C3380CC4-5D6E-409C-BE32-E72D297353CC}">
              <c16:uniqueId val="{00000003-2E8C-46F4-ABC4-1B05F1C2A075}"/>
            </c:ext>
          </c:extLst>
        </c:ser>
        <c:ser>
          <c:idx val="7"/>
          <c:order val="4"/>
          <c:tx>
            <c:strRef>
              <c:f>'設計書指摘分析図（混入工程-指摘原因）'!$A$23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'設計書指摘分析図（混入工程-指摘原因）'!$E$23:$L$23</c:f>
              <c:numCache>
                <c:formatCode>0_ </c:formatCode>
                <c:ptCount val="8"/>
                <c:pt idx="0">
                  <c:v>25</c:v>
                </c:pt>
                <c:pt idx="1">
                  <c:v>26</c:v>
                </c:pt>
                <c:pt idx="2">
                  <c:v>27</c:v>
                </c:pt>
                <c:pt idx="3">
                  <c:v>28</c:v>
                </c:pt>
                <c:pt idx="4">
                  <c:v>29</c:v>
                </c:pt>
                <c:pt idx="5">
                  <c:v>30</c:v>
                </c:pt>
                <c:pt idx="6">
                  <c:v>31</c:v>
                </c:pt>
                <c:pt idx="7">
                  <c:v>32</c:v>
                </c:pt>
              </c:numCache>
            </c:numRef>
          </c:val>
          <c:extLst>
            <c:ext xmlns:c16="http://schemas.microsoft.com/office/drawing/2014/chart" uri="{C3380CC4-5D6E-409C-BE32-E72D297353CC}">
              <c16:uniqueId val="{00000004-2E8C-46F4-ABC4-1B05F1C2A075}"/>
            </c:ext>
          </c:extLst>
        </c:ser>
        <c:ser>
          <c:idx val="8"/>
          <c:order val="5"/>
          <c:tx>
            <c:strRef>
              <c:f>'設計書指摘分析図（混入工程-指摘原因）'!$A$24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'設計書指摘分析図（混入工程-指摘原因）'!$E$24:$L$24</c:f>
              <c:numCache>
                <c:formatCode>0_ </c:formatCode>
                <c:ptCount val="8"/>
                <c:pt idx="0">
                  <c:v>40</c:v>
                </c:pt>
                <c:pt idx="1">
                  <c:v>39</c:v>
                </c:pt>
                <c:pt idx="2">
                  <c:v>38</c:v>
                </c:pt>
                <c:pt idx="3">
                  <c:v>37</c:v>
                </c:pt>
                <c:pt idx="4">
                  <c:v>36</c:v>
                </c:pt>
                <c:pt idx="5">
                  <c:v>35</c:v>
                </c:pt>
                <c:pt idx="6">
                  <c:v>34</c:v>
                </c:pt>
                <c:pt idx="7">
                  <c:v>33</c:v>
                </c:pt>
              </c:numCache>
            </c:numRef>
          </c:val>
          <c:extLst>
            <c:ext xmlns:c16="http://schemas.microsoft.com/office/drawing/2014/chart" uri="{C3380CC4-5D6E-409C-BE32-E72D297353CC}">
              <c16:uniqueId val="{00000005-2E8C-46F4-ABC4-1B05F1C2A075}"/>
            </c:ext>
          </c:extLst>
        </c:ser>
        <c:ser>
          <c:idx val="9"/>
          <c:order val="6"/>
          <c:tx>
            <c:strRef>
              <c:f>'設計書指摘分析図（混入工程-指摘原因）'!$A$25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'設計書指摘分析図（混入工程-指摘原因）'!$E$25:$L$25</c:f>
              <c:numCache>
                <c:formatCode>0_ </c:formatCode>
                <c:ptCount val="8"/>
                <c:pt idx="0">
                  <c:v>25</c:v>
                </c:pt>
                <c:pt idx="1">
                  <c:v>26</c:v>
                </c:pt>
                <c:pt idx="2">
                  <c:v>27</c:v>
                </c:pt>
                <c:pt idx="3">
                  <c:v>28</c:v>
                </c:pt>
                <c:pt idx="4">
                  <c:v>29</c:v>
                </c:pt>
                <c:pt idx="5">
                  <c:v>30</c:v>
                </c:pt>
                <c:pt idx="6">
                  <c:v>31</c:v>
                </c:pt>
                <c:pt idx="7">
                  <c:v>32</c:v>
                </c:pt>
              </c:numCache>
            </c:numRef>
          </c:val>
          <c:extLst>
            <c:ext xmlns:c16="http://schemas.microsoft.com/office/drawing/2014/chart" uri="{C3380CC4-5D6E-409C-BE32-E72D297353CC}">
              <c16:uniqueId val="{00000006-2E8C-46F4-ABC4-1B05F1C2A075}"/>
            </c:ext>
          </c:extLst>
        </c:ser>
        <c:ser>
          <c:idx val="10"/>
          <c:order val="7"/>
          <c:tx>
            <c:strRef>
              <c:f>'設計書指摘分析図（混入工程-指摘原因）'!$A$26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'設計書指摘分析図（混入工程-指摘原因）'!$E$26:$L$26</c:f>
              <c:numCache>
                <c:formatCode>0_ </c:formatCode>
                <c:ptCount val="8"/>
                <c:pt idx="0">
                  <c:v>24</c:v>
                </c:pt>
                <c:pt idx="1">
                  <c:v>23</c:v>
                </c:pt>
                <c:pt idx="2">
                  <c:v>22</c:v>
                </c:pt>
                <c:pt idx="3">
                  <c:v>21</c:v>
                </c:pt>
                <c:pt idx="4">
                  <c:v>20</c:v>
                </c:pt>
                <c:pt idx="5">
                  <c:v>19</c:v>
                </c:pt>
                <c:pt idx="6">
                  <c:v>18</c:v>
                </c:pt>
                <c:pt idx="7">
                  <c:v>17</c:v>
                </c:pt>
              </c:numCache>
            </c:numRef>
          </c:val>
          <c:extLst>
            <c:ext xmlns:c16="http://schemas.microsoft.com/office/drawing/2014/chart" uri="{C3380CC4-5D6E-409C-BE32-E72D297353CC}">
              <c16:uniqueId val="{00000007-2E8C-46F4-ABC4-1B05F1C2A075}"/>
            </c:ext>
          </c:extLst>
        </c:ser>
        <c:ser>
          <c:idx val="0"/>
          <c:order val="8"/>
          <c:tx>
            <c:strRef>
              <c:f>'設計書指摘分析図（混入工程-指摘原因）'!$A$27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'設計書指摘分析図（混入工程-指摘原因）'!$E$27:$L$27</c:f>
              <c:numCache>
                <c:formatCode>0_ </c:formatCode>
                <c:ptCount val="8"/>
                <c:pt idx="0">
                  <c:v>9</c:v>
                </c:pt>
                <c:pt idx="1">
                  <c:v>10</c:v>
                </c:pt>
                <c:pt idx="2">
                  <c:v>11</c:v>
                </c:pt>
                <c:pt idx="3">
                  <c:v>12</c:v>
                </c:pt>
                <c:pt idx="4">
                  <c:v>13</c:v>
                </c:pt>
                <c:pt idx="5">
                  <c:v>14</c:v>
                </c:pt>
                <c:pt idx="6">
                  <c:v>15</c:v>
                </c:pt>
                <c:pt idx="7">
                  <c:v>16</c:v>
                </c:pt>
              </c:numCache>
            </c:numRef>
          </c:val>
          <c:extLst>
            <c:ext xmlns:c16="http://schemas.microsoft.com/office/drawing/2014/chart" uri="{C3380CC4-5D6E-409C-BE32-E72D297353CC}">
              <c16:uniqueId val="{00000008-2E8C-46F4-ABC4-1B05F1C2A075}"/>
            </c:ext>
          </c:extLst>
        </c:ser>
        <c:ser>
          <c:idx val="1"/>
          <c:order val="9"/>
          <c:tx>
            <c:strRef>
              <c:f>'設計書指摘分析図（混入工程-指摘原因）'!$A$28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'設計書指摘分析図（混入工程-指摘原因）'!$E$28:$L$28</c:f>
              <c:numCache>
                <c:formatCode>0_ </c:formatCode>
                <c:ptCount val="8"/>
                <c:pt idx="0">
                  <c:v>8</c:v>
                </c:pt>
                <c:pt idx="1">
                  <c:v>7</c:v>
                </c:pt>
                <c:pt idx="2">
                  <c:v>6</c:v>
                </c:pt>
                <c:pt idx="3">
                  <c:v>5</c:v>
                </c:pt>
                <c:pt idx="4">
                  <c:v>4</c:v>
                </c:pt>
                <c:pt idx="5">
                  <c:v>3</c:v>
                </c:pt>
                <c:pt idx="6">
                  <c:v>2</c:v>
                </c:pt>
                <c:pt idx="7">
                  <c:v>1</c:v>
                </c:pt>
              </c:numCache>
            </c:numRef>
          </c:val>
          <c:extLst>
            <c:ext xmlns:c16="http://schemas.microsoft.com/office/drawing/2014/chart" uri="{C3380CC4-5D6E-409C-BE32-E72D297353CC}">
              <c16:uniqueId val="{00000009-2E8C-46F4-ABC4-1B05F1C2A075}"/>
            </c:ext>
          </c:extLst>
        </c:ser>
        <c:dLbls>
          <c:showLegendKey val="0"/>
          <c:showVal val="0"/>
          <c:showCatName val="0"/>
          <c:showSerName val="0"/>
          <c:showPercent val="0"/>
          <c:showBubbleSize val="0"/>
        </c:dLbls>
        <c:gapWidth val="150"/>
        <c:overlap val="100"/>
        <c:axId val="-2070412688"/>
        <c:axId val="-2070399632"/>
      </c:barChart>
      <c:catAx>
        <c:axId val="-2070412688"/>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混入工程</a:t>
                </a:r>
              </a:p>
            </c:rich>
          </c:tx>
          <c:layout>
            <c:manualLayout>
              <c:xMode val="edge"/>
              <c:yMode val="edge"/>
              <c:x val="0.49171263535772852"/>
              <c:y val="0.79210925644916563"/>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2070399632"/>
        <c:crosses val="autoZero"/>
        <c:auto val="1"/>
        <c:lblAlgn val="ctr"/>
        <c:lblOffset val="100"/>
        <c:tickLblSkip val="1"/>
        <c:tickMarkSkip val="1"/>
        <c:noMultiLvlLbl val="0"/>
      </c:catAx>
      <c:valAx>
        <c:axId val="-2070399632"/>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33232169954476493"/>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70412688"/>
        <c:crosses val="autoZero"/>
        <c:crossBetween val="between"/>
        <c:minorUnit val="1"/>
      </c:valAx>
      <c:spPr>
        <a:solidFill>
          <a:srgbClr val="C0C0C0"/>
        </a:solidFill>
        <a:ln w="12700">
          <a:solidFill>
            <a:srgbClr val="808080"/>
          </a:solidFill>
          <a:prstDash val="solid"/>
        </a:ln>
      </c:spPr>
    </c:plotArea>
    <c:legend>
      <c:legendPos val="b"/>
      <c:legendEntry>
        <c:idx val="0"/>
        <c:delete val="1"/>
      </c:legendEntry>
      <c:layout>
        <c:manualLayout>
          <c:xMode val="edge"/>
          <c:yMode val="edge"/>
          <c:x val="4.1275797373358347E-2"/>
          <c:y val="0.87101669195751141"/>
          <c:w val="0.90619136960600377"/>
          <c:h val="0.1107738998482549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a:t>テスト進捗状況／バグ対応状況</a:t>
            </a:r>
          </a:p>
        </c:rich>
      </c:tx>
      <c:layout>
        <c:manualLayout>
          <c:xMode val="edge"/>
          <c:yMode val="edge"/>
          <c:x val="0.22844861413599898"/>
          <c:y val="8.157894736842107E-2"/>
        </c:manualLayout>
      </c:layout>
      <c:overlay val="0"/>
      <c:spPr>
        <a:noFill/>
        <a:ln w="25400">
          <a:noFill/>
        </a:ln>
      </c:spPr>
    </c:title>
    <c:autoTitleDeleted val="0"/>
    <c:plotArea>
      <c:layout>
        <c:manualLayout>
          <c:layoutTarget val="inner"/>
          <c:xMode val="edge"/>
          <c:yMode val="edge"/>
          <c:x val="8.091770232782268E-2"/>
          <c:y val="0.19780699021867792"/>
          <c:w val="0.84339198796693704"/>
          <c:h val="0.7052631578947367"/>
        </c:manualLayout>
      </c:layout>
      <c:lineChart>
        <c:grouping val="standard"/>
        <c:varyColors val="0"/>
        <c:ser>
          <c:idx val="1"/>
          <c:order val="0"/>
          <c:tx>
            <c:strRef>
              <c:f>テスト状況管理表!$B$47</c:f>
              <c:strCache>
                <c:ptCount val="1"/>
                <c:pt idx="0">
                  <c:v>テスト計画項目数（累計）</c:v>
                </c:pt>
              </c:strCache>
            </c:strRef>
          </c:tx>
          <c:spPr>
            <a:ln w="12700">
              <a:solidFill>
                <a:srgbClr val="000080"/>
              </a:solidFill>
              <a:prstDash val="sysDash"/>
            </a:ln>
          </c:spPr>
          <c:marker>
            <c:symbol val="diamond"/>
            <c:size val="5"/>
            <c:spPr>
              <a:solidFill>
                <a:srgbClr val="000080"/>
              </a:solidFill>
              <a:ln>
                <a:solidFill>
                  <a:srgbClr val="000080"/>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テスト状況管理表!$F$47:$AJ$47</c:f>
              <c:numCache>
                <c:formatCode>0_ </c:formatCode>
                <c:ptCount val="31"/>
                <c:pt idx="0">
                  <c:v>70</c:v>
                </c:pt>
                <c:pt idx="1">
                  <c:v>165</c:v>
                </c:pt>
                <c:pt idx="2">
                  <c:v>239</c:v>
                </c:pt>
                <c:pt idx="3">
                  <c:v>283</c:v>
                </c:pt>
                <c:pt idx="4">
                  <c:v>383</c:v>
                </c:pt>
                <c:pt idx="5">
                  <c:v>483</c:v>
                </c:pt>
                <c:pt idx="6">
                  <c:v>633</c:v>
                </c:pt>
                <c:pt idx="7">
                  <c:v>783</c:v>
                </c:pt>
                <c:pt idx="8">
                  <c:v>943</c:v>
                </c:pt>
                <c:pt idx="9">
                  <c:v>1123</c:v>
                </c:pt>
                <c:pt idx="10">
                  <c:v>1303</c:v>
                </c:pt>
                <c:pt idx="11">
                  <c:v>1483</c:v>
                </c:pt>
                <c:pt idx="12">
                  <c:v>1663</c:v>
                </c:pt>
                <c:pt idx="13">
                  <c:v>1843</c:v>
                </c:pt>
                <c:pt idx="14">
                  <c:v>1993</c:v>
                </c:pt>
                <c:pt idx="15">
                  <c:v>2143</c:v>
                </c:pt>
                <c:pt idx="16">
                  <c:v>2263</c:v>
                </c:pt>
                <c:pt idx="17">
                  <c:v>2383</c:v>
                </c:pt>
                <c:pt idx="18">
                  <c:v>2503</c:v>
                </c:pt>
                <c:pt idx="19">
                  <c:v>2603</c:v>
                </c:pt>
                <c:pt idx="20">
                  <c:v>2703</c:v>
                </c:pt>
                <c:pt idx="21">
                  <c:v>2803</c:v>
                </c:pt>
                <c:pt idx="22">
                  <c:v>2903</c:v>
                </c:pt>
                <c:pt idx="23">
                  <c:v>3003</c:v>
                </c:pt>
                <c:pt idx="24">
                  <c:v>3083</c:v>
                </c:pt>
                <c:pt idx="25">
                  <c:v>3163</c:v>
                </c:pt>
                <c:pt idx="26">
                  <c:v>3243</c:v>
                </c:pt>
                <c:pt idx="27">
                  <c:v>3323</c:v>
                </c:pt>
                <c:pt idx="28">
                  <c:v>3403</c:v>
                </c:pt>
                <c:pt idx="29">
                  <c:v>3433</c:v>
                </c:pt>
                <c:pt idx="30">
                  <c:v>3463</c:v>
                </c:pt>
              </c:numCache>
            </c:numRef>
          </c:val>
          <c:smooth val="0"/>
          <c:extLst>
            <c:ext xmlns:c16="http://schemas.microsoft.com/office/drawing/2014/chart" uri="{C3380CC4-5D6E-409C-BE32-E72D297353CC}">
              <c16:uniqueId val="{00000000-8B43-4A91-9906-B29D52604D79}"/>
            </c:ext>
          </c:extLst>
        </c:ser>
        <c:ser>
          <c:idx val="0"/>
          <c:order val="1"/>
          <c:tx>
            <c:strRef>
              <c:f>テスト状況管理表!$B$49</c:f>
              <c:strCache>
                <c:ptCount val="1"/>
                <c:pt idx="0">
                  <c:v>テスト実施項目数（累計）</c:v>
                </c:pt>
              </c:strCache>
            </c:strRef>
          </c:tx>
          <c:spPr>
            <a:ln w="12700">
              <a:solidFill>
                <a:srgbClr val="FF0000"/>
              </a:solidFill>
              <a:prstDash val="sysDash"/>
            </a:ln>
          </c:spPr>
          <c:marker>
            <c:symbol val="square"/>
            <c:size val="5"/>
            <c:spPr>
              <a:solidFill>
                <a:srgbClr val="FF0000"/>
              </a:solidFill>
              <a:ln>
                <a:solidFill>
                  <a:srgbClr val="FF0000"/>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テスト状況管理表!$F$49:$R$49</c:f>
              <c:numCache>
                <c:formatCode>0_ </c:formatCode>
                <c:ptCount val="13"/>
                <c:pt idx="0">
                  <c:v>63</c:v>
                </c:pt>
                <c:pt idx="1">
                  <c:v>128</c:v>
                </c:pt>
                <c:pt idx="2">
                  <c:v>188</c:v>
                </c:pt>
                <c:pt idx="3">
                  <c:v>218</c:v>
                </c:pt>
                <c:pt idx="4">
                  <c:v>268</c:v>
                </c:pt>
                <c:pt idx="5">
                  <c:v>468</c:v>
                </c:pt>
                <c:pt idx="6">
                  <c:v>572</c:v>
                </c:pt>
                <c:pt idx="7">
                  <c:v>722</c:v>
                </c:pt>
                <c:pt idx="8">
                  <c:v>887</c:v>
                </c:pt>
                <c:pt idx="9">
                  <c:v>1057</c:v>
                </c:pt>
                <c:pt idx="10">
                  <c:v>1247</c:v>
                </c:pt>
                <c:pt idx="11">
                  <c:v>1397</c:v>
                </c:pt>
                <c:pt idx="12">
                  <c:v>1547</c:v>
                </c:pt>
              </c:numCache>
            </c:numRef>
          </c:val>
          <c:smooth val="0"/>
          <c:extLst>
            <c:ext xmlns:c16="http://schemas.microsoft.com/office/drawing/2014/chart" uri="{C3380CC4-5D6E-409C-BE32-E72D297353CC}">
              <c16:uniqueId val="{00000001-8B43-4A91-9906-B29D52604D79}"/>
            </c:ext>
          </c:extLst>
        </c:ser>
        <c:dLbls>
          <c:showLegendKey val="0"/>
          <c:showVal val="0"/>
          <c:showCatName val="0"/>
          <c:showSerName val="0"/>
          <c:showPercent val="0"/>
          <c:showBubbleSize val="0"/>
        </c:dLbls>
        <c:marker val="1"/>
        <c:smooth val="0"/>
        <c:axId val="-2070403984"/>
        <c:axId val="-2070407792"/>
      </c:lineChart>
      <c:lineChart>
        <c:grouping val="standard"/>
        <c:varyColors val="0"/>
        <c:ser>
          <c:idx val="2"/>
          <c:order val="2"/>
          <c:tx>
            <c:strRef>
              <c:f>テスト状況管理表!$B$51</c:f>
              <c:strCache>
                <c:ptCount val="1"/>
                <c:pt idx="0">
                  <c:v>バグ発生件数（累計）</c:v>
                </c:pt>
              </c:strCache>
            </c:strRef>
          </c:tx>
          <c:spPr>
            <a:ln w="12700">
              <a:solidFill>
                <a:srgbClr val="0000FF"/>
              </a:solidFill>
              <a:prstDash val="solid"/>
            </a:ln>
          </c:spPr>
          <c:marker>
            <c:symbol val="triangle"/>
            <c:size val="5"/>
            <c:spPr>
              <a:solidFill>
                <a:srgbClr val="FFFF00"/>
              </a:solidFill>
              <a:ln>
                <a:solidFill>
                  <a:srgbClr val="0000FF"/>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テスト状況管理表!$F$51:$R$51</c:f>
              <c:numCache>
                <c:formatCode>0_ </c:formatCode>
                <c:ptCount val="13"/>
                <c:pt idx="0">
                  <c:v>12</c:v>
                </c:pt>
                <c:pt idx="1">
                  <c:v>31</c:v>
                </c:pt>
                <c:pt idx="2">
                  <c:v>48</c:v>
                </c:pt>
                <c:pt idx="3">
                  <c:v>55</c:v>
                </c:pt>
                <c:pt idx="4">
                  <c:v>64</c:v>
                </c:pt>
                <c:pt idx="5">
                  <c:v>73</c:v>
                </c:pt>
                <c:pt idx="6">
                  <c:v>84</c:v>
                </c:pt>
                <c:pt idx="7">
                  <c:v>88</c:v>
                </c:pt>
                <c:pt idx="8">
                  <c:v>91</c:v>
                </c:pt>
                <c:pt idx="9">
                  <c:v>94</c:v>
                </c:pt>
                <c:pt idx="10">
                  <c:v>95</c:v>
                </c:pt>
                <c:pt idx="11">
                  <c:v>96</c:v>
                </c:pt>
                <c:pt idx="12">
                  <c:v>96</c:v>
                </c:pt>
              </c:numCache>
            </c:numRef>
          </c:val>
          <c:smooth val="0"/>
          <c:extLst>
            <c:ext xmlns:c16="http://schemas.microsoft.com/office/drawing/2014/chart" uri="{C3380CC4-5D6E-409C-BE32-E72D297353CC}">
              <c16:uniqueId val="{00000002-8B43-4A91-9906-B29D52604D79}"/>
            </c:ext>
          </c:extLst>
        </c:ser>
        <c:ser>
          <c:idx val="3"/>
          <c:order val="3"/>
          <c:tx>
            <c:strRef>
              <c:f>テスト状況管理表!$B$54</c:f>
              <c:strCache>
                <c:ptCount val="1"/>
                <c:pt idx="0">
                  <c:v>未対応バグ件数</c:v>
                </c:pt>
              </c:strCache>
            </c:strRef>
          </c:tx>
          <c:spPr>
            <a:ln w="12700">
              <a:solidFill>
                <a:srgbClr val="3366FF"/>
              </a:solidFill>
              <a:prstDash val="solid"/>
            </a:ln>
          </c:spPr>
          <c:marker>
            <c:symbol val="x"/>
            <c:size val="5"/>
            <c:spPr>
              <a:noFill/>
              <a:ln>
                <a:solidFill>
                  <a:srgbClr val="3366FF"/>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テスト状況管理表!$F$54:$R$54</c:f>
              <c:numCache>
                <c:formatCode>0_ </c:formatCode>
                <c:ptCount val="13"/>
                <c:pt idx="0">
                  <c:v>12</c:v>
                </c:pt>
                <c:pt idx="1">
                  <c:v>23</c:v>
                </c:pt>
                <c:pt idx="2">
                  <c:v>31</c:v>
                </c:pt>
                <c:pt idx="3">
                  <c:v>23</c:v>
                </c:pt>
                <c:pt idx="4">
                  <c:v>23</c:v>
                </c:pt>
                <c:pt idx="5">
                  <c:v>12</c:v>
                </c:pt>
                <c:pt idx="6">
                  <c:v>6</c:v>
                </c:pt>
                <c:pt idx="7">
                  <c:v>9</c:v>
                </c:pt>
                <c:pt idx="8">
                  <c:v>6</c:v>
                </c:pt>
                <c:pt idx="9">
                  <c:v>5</c:v>
                </c:pt>
                <c:pt idx="10">
                  <c:v>1</c:v>
                </c:pt>
                <c:pt idx="11">
                  <c:v>0</c:v>
                </c:pt>
                <c:pt idx="12">
                  <c:v>0</c:v>
                </c:pt>
              </c:numCache>
            </c:numRef>
          </c:val>
          <c:smooth val="0"/>
          <c:extLst>
            <c:ext xmlns:c16="http://schemas.microsoft.com/office/drawing/2014/chart" uri="{C3380CC4-5D6E-409C-BE32-E72D297353CC}">
              <c16:uniqueId val="{00000003-8B43-4A91-9906-B29D52604D79}"/>
            </c:ext>
          </c:extLst>
        </c:ser>
        <c:dLbls>
          <c:showLegendKey val="0"/>
          <c:showVal val="0"/>
          <c:showCatName val="0"/>
          <c:showSerName val="0"/>
          <c:showPercent val="0"/>
          <c:showBubbleSize val="0"/>
        </c:dLbls>
        <c:marker val="1"/>
        <c:smooth val="0"/>
        <c:axId val="-2070399088"/>
        <c:axId val="-2070414320"/>
      </c:lineChart>
      <c:catAx>
        <c:axId val="-2070403984"/>
        <c:scaling>
          <c:orientation val="minMax"/>
        </c:scaling>
        <c:delete val="0"/>
        <c:axPos val="b"/>
        <c:numFmt formatCode="m/d;@" sourceLinked="1"/>
        <c:majorTickMark val="in"/>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70407792"/>
        <c:crosses val="autoZero"/>
        <c:auto val="0"/>
        <c:lblAlgn val="ctr"/>
        <c:lblOffset val="100"/>
        <c:tickLblSkip val="1"/>
        <c:tickMarkSkip val="1"/>
        <c:noMultiLvlLbl val="0"/>
      </c:catAx>
      <c:valAx>
        <c:axId val="-2070407792"/>
        <c:scaling>
          <c:orientation val="minMax"/>
        </c:scaling>
        <c:delete val="0"/>
        <c:axPos val="l"/>
        <c:majorGridlines>
          <c:spPr>
            <a:ln w="3175">
              <a:solidFill>
                <a:srgbClr val="969696"/>
              </a:solidFill>
              <a:prstDash val="solid"/>
            </a:ln>
          </c:spPr>
        </c:majorGridlines>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テスト項目数</a:t>
                </a:r>
              </a:p>
            </c:rich>
          </c:tx>
          <c:layout>
            <c:manualLayout>
              <c:xMode val="edge"/>
              <c:yMode val="edge"/>
              <c:x val="1.4367863591519148E-2"/>
              <c:y val="0.44736842105263164"/>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70403984"/>
        <c:crosses val="autoZero"/>
        <c:crossBetween val="between"/>
        <c:minorUnit val="7.2723000000000004"/>
      </c:valAx>
      <c:catAx>
        <c:axId val="-2070399088"/>
        <c:scaling>
          <c:orientation val="minMax"/>
        </c:scaling>
        <c:delete val="1"/>
        <c:axPos val="b"/>
        <c:numFmt formatCode="m/d;@" sourceLinked="1"/>
        <c:majorTickMark val="out"/>
        <c:minorTickMark val="none"/>
        <c:tickLblPos val="none"/>
        <c:crossAx val="-2070414320"/>
        <c:crosses val="autoZero"/>
        <c:auto val="0"/>
        <c:lblAlgn val="ctr"/>
        <c:lblOffset val="100"/>
        <c:noMultiLvlLbl val="0"/>
      </c:catAx>
      <c:valAx>
        <c:axId val="-2070414320"/>
        <c:scaling>
          <c:orientation val="minMax"/>
        </c:scaling>
        <c:delete val="0"/>
        <c:axPos val="r"/>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バグ件数</a:t>
                </a:r>
              </a:p>
            </c:rich>
          </c:tx>
          <c:layout>
            <c:manualLayout>
              <c:xMode val="edge"/>
              <c:yMode val="edge"/>
              <c:x val="0.94971396660523821"/>
              <c:y val="0.48421052631578948"/>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70399088"/>
        <c:crosses val="max"/>
        <c:crossBetween val="between"/>
        <c:minorUnit val="1"/>
      </c:valAx>
      <c:spPr>
        <a:solidFill>
          <a:srgbClr val="C0C0C0"/>
        </a:solidFill>
        <a:ln w="12700">
          <a:solidFill>
            <a:srgbClr val="808080"/>
          </a:solidFill>
          <a:prstDash val="solid"/>
        </a:ln>
      </c:spPr>
    </c:plotArea>
    <c:legend>
      <c:legendPos val="r"/>
      <c:layout>
        <c:manualLayout>
          <c:xMode val="edge"/>
          <c:yMode val="edge"/>
          <c:x val="0.67659663818618432"/>
          <c:y val="1.3157894736842106E-2"/>
          <c:w val="0.3007096666108226"/>
          <c:h val="0.1710526315789473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oddHeader>&amp;A</c:oddHeader>
      <c:oddFooter>Page &amp;P</c:oddFooter>
    </c:headerFooter>
    <c:pageMargins b="1" l="0.75000000000000011" r="0.75000000000000011" t="1" header="0.5" footer="0.5"/>
    <c:pageSetup paperSize="9" orientation="landscape" horizontalDpi="200" verticalDpi="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a:t>バグ収束状況</a:t>
            </a:r>
          </a:p>
        </c:rich>
      </c:tx>
      <c:layout>
        <c:manualLayout>
          <c:xMode val="edge"/>
          <c:yMode val="edge"/>
          <c:x val="0.42919738682299746"/>
          <c:y val="7.8947368421052613E-2"/>
        </c:manualLayout>
      </c:layout>
      <c:overlay val="0"/>
      <c:spPr>
        <a:noFill/>
        <a:ln w="25400">
          <a:noFill/>
        </a:ln>
      </c:spPr>
    </c:title>
    <c:autoTitleDeleted val="0"/>
    <c:plotArea>
      <c:layout>
        <c:manualLayout>
          <c:layoutTarget val="inner"/>
          <c:xMode val="edge"/>
          <c:yMode val="edge"/>
          <c:x val="7.7372317926207496E-2"/>
          <c:y val="0.21842105263157896"/>
          <c:w val="0.89489114884462584"/>
          <c:h val="0.66578947368421082"/>
        </c:manualLayout>
      </c:layout>
      <c:scatterChart>
        <c:scatterStyle val="lineMarker"/>
        <c:varyColors val="0"/>
        <c:ser>
          <c:idx val="0"/>
          <c:order val="0"/>
          <c:tx>
            <c:strRef>
              <c:f>テスト状況管理表!$B$51</c:f>
              <c:strCache>
                <c:ptCount val="1"/>
                <c:pt idx="0">
                  <c:v>バグ発生件数（累計）</c:v>
                </c:pt>
              </c:strCache>
            </c:strRef>
          </c:tx>
          <c:marker>
            <c:symbol val="triangle"/>
            <c:size val="5"/>
            <c:spPr>
              <a:solidFill>
                <a:srgbClr val="000080"/>
              </a:solidFill>
              <a:ln>
                <a:solidFill>
                  <a:srgbClr val="000080"/>
                </a:solidFill>
                <a:prstDash val="solid"/>
              </a:ln>
            </c:spPr>
          </c:marker>
          <c:xVal>
            <c:numRef>
              <c:f>テスト状況管理表!$C$49:$R$49</c:f>
              <c:numCache>
                <c:formatCode>General</c:formatCode>
                <c:ptCount val="16"/>
                <c:pt idx="3" formatCode="0_ ">
                  <c:v>63</c:v>
                </c:pt>
                <c:pt idx="4" formatCode="0_ ">
                  <c:v>128</c:v>
                </c:pt>
                <c:pt idx="5" formatCode="0_ ">
                  <c:v>188</c:v>
                </c:pt>
                <c:pt idx="6" formatCode="0_ ">
                  <c:v>218</c:v>
                </c:pt>
                <c:pt idx="7" formatCode="0_ ">
                  <c:v>268</c:v>
                </c:pt>
                <c:pt idx="8" formatCode="0_ ">
                  <c:v>468</c:v>
                </c:pt>
                <c:pt idx="9" formatCode="0_ ">
                  <c:v>572</c:v>
                </c:pt>
                <c:pt idx="10" formatCode="0_ ">
                  <c:v>722</c:v>
                </c:pt>
                <c:pt idx="11" formatCode="0_ ">
                  <c:v>887</c:v>
                </c:pt>
                <c:pt idx="12" formatCode="0_ ">
                  <c:v>1057</c:v>
                </c:pt>
                <c:pt idx="13" formatCode="0_ ">
                  <c:v>1247</c:v>
                </c:pt>
                <c:pt idx="14" formatCode="0_ ">
                  <c:v>1397</c:v>
                </c:pt>
                <c:pt idx="15" formatCode="0_ ">
                  <c:v>1547</c:v>
                </c:pt>
              </c:numCache>
            </c:numRef>
          </c:xVal>
          <c:yVal>
            <c:numRef>
              <c:f>テスト状況管理表!$C$51:$R$51</c:f>
              <c:numCache>
                <c:formatCode>General</c:formatCode>
                <c:ptCount val="16"/>
                <c:pt idx="3" formatCode="0_ ">
                  <c:v>12</c:v>
                </c:pt>
                <c:pt idx="4" formatCode="0_ ">
                  <c:v>31</c:v>
                </c:pt>
                <c:pt idx="5" formatCode="0_ ">
                  <c:v>48</c:v>
                </c:pt>
                <c:pt idx="6" formatCode="0_ ">
                  <c:v>55</c:v>
                </c:pt>
                <c:pt idx="7" formatCode="0_ ">
                  <c:v>64</c:v>
                </c:pt>
                <c:pt idx="8" formatCode="0_ ">
                  <c:v>73</c:v>
                </c:pt>
                <c:pt idx="9" formatCode="0_ ">
                  <c:v>84</c:v>
                </c:pt>
                <c:pt idx="10" formatCode="0_ ">
                  <c:v>88</c:v>
                </c:pt>
                <c:pt idx="11" formatCode="0_ ">
                  <c:v>91</c:v>
                </c:pt>
                <c:pt idx="12" formatCode="0_ ">
                  <c:v>94</c:v>
                </c:pt>
                <c:pt idx="13" formatCode="0_ ">
                  <c:v>95</c:v>
                </c:pt>
                <c:pt idx="14" formatCode="0_ ">
                  <c:v>96</c:v>
                </c:pt>
                <c:pt idx="15" formatCode="0_ ">
                  <c:v>96</c:v>
                </c:pt>
              </c:numCache>
            </c:numRef>
          </c:yVal>
          <c:smooth val="0"/>
          <c:extLst>
            <c:ext xmlns:c16="http://schemas.microsoft.com/office/drawing/2014/chart" uri="{C3380CC4-5D6E-409C-BE32-E72D297353CC}">
              <c16:uniqueId val="{00000000-BED7-40CF-A75A-DD065F3E8DA1}"/>
            </c:ext>
          </c:extLst>
        </c:ser>
        <c:ser>
          <c:idx val="1"/>
          <c:order val="1"/>
          <c:tx>
            <c:strRef>
              <c:f>テスト状況管理表!$B$53</c:f>
              <c:strCache>
                <c:ptCount val="1"/>
                <c:pt idx="0">
                  <c:v>対処済件数（累計）</c:v>
                </c:pt>
              </c:strCache>
            </c:strRef>
          </c:tx>
          <c:marker>
            <c:symbol val="circle"/>
            <c:size val="5"/>
            <c:spPr>
              <a:solidFill>
                <a:srgbClr val="993300"/>
              </a:solidFill>
              <a:ln>
                <a:solidFill>
                  <a:srgbClr val="993300"/>
                </a:solidFill>
                <a:prstDash val="solid"/>
              </a:ln>
            </c:spPr>
          </c:marker>
          <c:xVal>
            <c:numRef>
              <c:f>テスト状況管理表!$C$49:$R$49</c:f>
              <c:numCache>
                <c:formatCode>General</c:formatCode>
                <c:ptCount val="16"/>
                <c:pt idx="3" formatCode="0_ ">
                  <c:v>63</c:v>
                </c:pt>
                <c:pt idx="4" formatCode="0_ ">
                  <c:v>128</c:v>
                </c:pt>
                <c:pt idx="5" formatCode="0_ ">
                  <c:v>188</c:v>
                </c:pt>
                <c:pt idx="6" formatCode="0_ ">
                  <c:v>218</c:v>
                </c:pt>
                <c:pt idx="7" formatCode="0_ ">
                  <c:v>268</c:v>
                </c:pt>
                <c:pt idx="8" formatCode="0_ ">
                  <c:v>468</c:v>
                </c:pt>
                <c:pt idx="9" formatCode="0_ ">
                  <c:v>572</c:v>
                </c:pt>
                <c:pt idx="10" formatCode="0_ ">
                  <c:v>722</c:v>
                </c:pt>
                <c:pt idx="11" formatCode="0_ ">
                  <c:v>887</c:v>
                </c:pt>
                <c:pt idx="12" formatCode="0_ ">
                  <c:v>1057</c:v>
                </c:pt>
                <c:pt idx="13" formatCode="0_ ">
                  <c:v>1247</c:v>
                </c:pt>
                <c:pt idx="14" formatCode="0_ ">
                  <c:v>1397</c:v>
                </c:pt>
                <c:pt idx="15" formatCode="0_ ">
                  <c:v>1547</c:v>
                </c:pt>
              </c:numCache>
            </c:numRef>
          </c:xVal>
          <c:yVal>
            <c:numRef>
              <c:f>テスト状況管理表!$C$53:$R$53</c:f>
              <c:numCache>
                <c:formatCode>General</c:formatCode>
                <c:ptCount val="16"/>
                <c:pt idx="3" formatCode="0_ ">
                  <c:v>0</c:v>
                </c:pt>
                <c:pt idx="4" formatCode="0_ ">
                  <c:v>8</c:v>
                </c:pt>
                <c:pt idx="5" formatCode="0_ ">
                  <c:v>17</c:v>
                </c:pt>
                <c:pt idx="6" formatCode="0_ ">
                  <c:v>32</c:v>
                </c:pt>
                <c:pt idx="7" formatCode="0_ ">
                  <c:v>41</c:v>
                </c:pt>
                <c:pt idx="8" formatCode="0_ ">
                  <c:v>61</c:v>
                </c:pt>
                <c:pt idx="9" formatCode="0_ ">
                  <c:v>78</c:v>
                </c:pt>
                <c:pt idx="10" formatCode="0_ ">
                  <c:v>79</c:v>
                </c:pt>
                <c:pt idx="11" formatCode="0_ ">
                  <c:v>85</c:v>
                </c:pt>
                <c:pt idx="12" formatCode="0_ ">
                  <c:v>89</c:v>
                </c:pt>
                <c:pt idx="13" formatCode="0_ ">
                  <c:v>94</c:v>
                </c:pt>
                <c:pt idx="14" formatCode="0_ ">
                  <c:v>96</c:v>
                </c:pt>
                <c:pt idx="15" formatCode="0_ ">
                  <c:v>96</c:v>
                </c:pt>
              </c:numCache>
            </c:numRef>
          </c:yVal>
          <c:smooth val="0"/>
          <c:extLst>
            <c:ext xmlns:c16="http://schemas.microsoft.com/office/drawing/2014/chart" uri="{C3380CC4-5D6E-409C-BE32-E72D297353CC}">
              <c16:uniqueId val="{00000001-BED7-40CF-A75A-DD065F3E8DA1}"/>
            </c:ext>
          </c:extLst>
        </c:ser>
        <c:dLbls>
          <c:showLegendKey val="0"/>
          <c:showVal val="0"/>
          <c:showCatName val="0"/>
          <c:showSerName val="0"/>
          <c:showPercent val="0"/>
          <c:showBubbleSize val="0"/>
        </c:dLbls>
        <c:axId val="-2070402896"/>
        <c:axId val="-2070413232"/>
      </c:scatterChart>
      <c:valAx>
        <c:axId val="-2070402896"/>
        <c:scaling>
          <c:orientation val="minMax"/>
        </c:scaling>
        <c:delete val="0"/>
        <c:axPos val="b"/>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テスト実施項目数</a:t>
                </a:r>
              </a:p>
            </c:rich>
          </c:tx>
          <c:layout>
            <c:manualLayout>
              <c:xMode val="edge"/>
              <c:yMode val="edge"/>
              <c:x val="0.85693491963139656"/>
              <c:y val="0.93157894736842117"/>
            </c:manualLayout>
          </c:layout>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70413232"/>
        <c:crosses val="autoZero"/>
        <c:crossBetween val="midCat"/>
        <c:minorUnit val="3.2486999999999999"/>
      </c:valAx>
      <c:valAx>
        <c:axId val="-2070413232"/>
        <c:scaling>
          <c:orientation val="minMax"/>
        </c:scaling>
        <c:delete val="0"/>
        <c:axPos val="l"/>
        <c:majorGridlines>
          <c:spPr>
            <a:ln w="3175">
              <a:solidFill>
                <a:srgbClr val="969696"/>
              </a:solidFill>
              <a:prstDash val="solid"/>
            </a:ln>
          </c:spPr>
        </c:majorGridlines>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件数</a:t>
                </a:r>
              </a:p>
            </c:rich>
          </c:tx>
          <c:layout>
            <c:manualLayout>
              <c:xMode val="edge"/>
              <c:yMode val="edge"/>
              <c:x val="1.4598540145985401E-2"/>
              <c:y val="0.50526315789473675"/>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70402896"/>
        <c:crosses val="autoZero"/>
        <c:crossBetween val="midCat"/>
        <c:minorUnit val="1"/>
      </c:valAx>
      <c:spPr>
        <a:solidFill>
          <a:srgbClr val="C0C0C0"/>
        </a:solidFill>
        <a:ln w="12700">
          <a:solidFill>
            <a:srgbClr val="808080"/>
          </a:solidFill>
          <a:prstDash val="solid"/>
        </a:ln>
      </c:spPr>
    </c:plotArea>
    <c:legend>
      <c:legendPos val="r"/>
      <c:layout>
        <c:manualLayout>
          <c:xMode val="edge"/>
          <c:yMode val="edge"/>
          <c:x val="0.71824863497902192"/>
          <c:y val="5.2631578947368425E-2"/>
          <c:w val="0.22196494051382271"/>
          <c:h val="9.3168669705760487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115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horizontalDpi="200" verticalDpi="200"/>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67647058823528"/>
          <c:y val="0.10759493670886076"/>
          <c:w val="0.45588235294117646"/>
          <c:h val="0.78481012658227844"/>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341E-4107-820F-2D93DC51727E}"/>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341E-4107-820F-2D93DC51727E}"/>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341E-4107-820F-2D93DC51727E}"/>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341E-4107-820F-2D93DC51727E}"/>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c:ext xmlns:c15="http://schemas.microsoft.com/office/drawing/2012/chart" uri="{CE6537A1-D6FC-4f65-9D91-7224C49458BB}"/>
            </c:extLst>
          </c:dLbls>
          <c:cat>
            <c:strRef>
              <c:f>'テストエラー分析図（サマリ）'!$C$14:$C$17</c:f>
              <c:strCache>
                <c:ptCount val="4"/>
                <c:pt idx="0">
                  <c:v>ソフトウェア</c:v>
                </c:pt>
                <c:pt idx="1">
                  <c:v>基盤</c:v>
                </c:pt>
                <c:pt idx="2">
                  <c:v>データ</c:v>
                </c:pt>
                <c:pt idx="3">
                  <c:v>その他の要因</c:v>
                </c:pt>
              </c:strCache>
            </c:strRef>
          </c:cat>
          <c:val>
            <c:numRef>
              <c:f>'テストエラー分析図（サマリ）'!$F$14:$F$17</c:f>
              <c:numCache>
                <c:formatCode>0_ </c:formatCode>
                <c:ptCount val="4"/>
                <c:pt idx="0">
                  <c:v>15</c:v>
                </c:pt>
                <c:pt idx="1">
                  <c:v>20</c:v>
                </c:pt>
                <c:pt idx="2">
                  <c:v>17</c:v>
                </c:pt>
                <c:pt idx="3">
                  <c:v>10</c:v>
                </c:pt>
              </c:numCache>
            </c:numRef>
          </c:val>
          <c:extLst>
            <c:ext xmlns:c16="http://schemas.microsoft.com/office/drawing/2014/chart" uri="{C3380CC4-5D6E-409C-BE32-E72D297353CC}">
              <c16:uniqueId val="{00000008-341E-4107-820F-2D93DC51727E}"/>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4632352941176461"/>
          <c:y val="0.3544303797468355"/>
          <c:w val="0.23161764705882348"/>
          <c:h val="0.36075949367088617"/>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20558681600139"/>
          <c:y val="0.11320824248380067"/>
          <c:w val="0.4468880454729191"/>
          <c:h val="0.76730031016798217"/>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1544-4A2C-9FBF-3AF1EA0E7CBA}"/>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1544-4A2C-9FBF-3AF1EA0E7CBA}"/>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1544-4A2C-9FBF-3AF1EA0E7CBA}"/>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1544-4A2C-9FBF-3AF1EA0E7CBA}"/>
              </c:ext>
            </c:extLst>
          </c:dPt>
          <c:dPt>
            <c:idx val="4"/>
            <c:bubble3D val="0"/>
            <c:spPr>
              <a:pattFill prst="wdDnDiag">
                <a:fgClr>
                  <a:srgbClr val="FFCC00"/>
                </a:fgClr>
                <a:bgClr>
                  <a:srgbClr val="FFFFFF"/>
                </a:bgClr>
              </a:pattFill>
              <a:ln w="12700">
                <a:solidFill>
                  <a:srgbClr val="000000"/>
                </a:solidFill>
                <a:prstDash val="solid"/>
              </a:ln>
            </c:spPr>
            <c:extLst>
              <c:ext xmlns:c16="http://schemas.microsoft.com/office/drawing/2014/chart" uri="{C3380CC4-5D6E-409C-BE32-E72D297353CC}">
                <c16:uniqueId val="{00000009-1544-4A2C-9FBF-3AF1EA0E7CBA}"/>
              </c:ext>
            </c:extLst>
          </c:dPt>
          <c:dPt>
            <c:idx val="5"/>
            <c:bubble3D val="0"/>
            <c:spPr>
              <a:pattFill prst="ltUpDiag">
                <a:fgClr>
                  <a:srgbClr val="993366"/>
                </a:fgClr>
                <a:bgClr>
                  <a:srgbClr val="FFFFFF"/>
                </a:bgClr>
              </a:pattFill>
              <a:ln w="12700">
                <a:solidFill>
                  <a:srgbClr val="000000"/>
                </a:solidFill>
                <a:prstDash val="solid"/>
              </a:ln>
            </c:spPr>
            <c:extLst>
              <c:ext xmlns:c16="http://schemas.microsoft.com/office/drawing/2014/chart" uri="{C3380CC4-5D6E-409C-BE32-E72D297353CC}">
                <c16:uniqueId val="{0000000B-1544-4A2C-9FBF-3AF1EA0E7CBA}"/>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c:ext xmlns:c15="http://schemas.microsoft.com/office/drawing/2012/chart" uri="{CE6537A1-D6FC-4f65-9D91-7224C49458BB}"/>
            </c:extLst>
          </c:dLbls>
          <c:cat>
            <c:strRef>
              <c:f>'テストエラー分析図（サマリ）'!$C$22:$C$27</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'テストエラー分析図（サマリ）'!$F$22:$F$27</c:f>
              <c:numCache>
                <c:formatCode>0_ </c:formatCode>
                <c:ptCount val="6"/>
                <c:pt idx="0">
                  <c:v>16</c:v>
                </c:pt>
                <c:pt idx="1">
                  <c:v>38</c:v>
                </c:pt>
                <c:pt idx="2">
                  <c:v>22</c:v>
                </c:pt>
                <c:pt idx="3">
                  <c:v>20</c:v>
                </c:pt>
                <c:pt idx="4">
                  <c:v>11</c:v>
                </c:pt>
                <c:pt idx="5">
                  <c:v>3</c:v>
                </c:pt>
              </c:numCache>
            </c:numRef>
          </c:val>
          <c:extLst>
            <c:ext xmlns:c16="http://schemas.microsoft.com/office/drawing/2014/chart" uri="{C3380CC4-5D6E-409C-BE32-E72D297353CC}">
              <c16:uniqueId val="{0000000C-1544-4A2C-9FBF-3AF1EA0E7CBA}"/>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161441358291778"/>
          <c:y val="0.22641641492926595"/>
          <c:w val="0.26007402920788752"/>
          <c:h val="0.53459449644266166"/>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54257004982994"/>
          <c:y val="0.10062954887448948"/>
          <c:w val="0.45421407900526206"/>
          <c:h val="0.77987900377729336"/>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6A5C-4B13-A443-030E59736F9C}"/>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6A5C-4B13-A443-030E59736F9C}"/>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6A5C-4B13-A443-030E59736F9C}"/>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c:ext xmlns:c15="http://schemas.microsoft.com/office/drawing/2012/chart" uri="{CE6537A1-D6FC-4f65-9D91-7224C49458BB}"/>
            </c:extLst>
          </c:dLbls>
          <c:cat>
            <c:strRef>
              <c:f>'テストエラー分析図（サマリ）'!$C$30:$C$32</c:f>
              <c:strCache>
                <c:ptCount val="3"/>
                <c:pt idx="0">
                  <c:v>製造（単体ﾃｽﾄ）</c:v>
                </c:pt>
                <c:pt idx="1">
                  <c:v>結合テスト</c:v>
                </c:pt>
                <c:pt idx="2">
                  <c:v>システムテスト</c:v>
                </c:pt>
              </c:strCache>
            </c:strRef>
          </c:cat>
          <c:val>
            <c:numRef>
              <c:f>'テストエラー分析図（サマリ）'!$F$30:$F$32</c:f>
              <c:numCache>
                <c:formatCode>0_ </c:formatCode>
                <c:ptCount val="3"/>
                <c:pt idx="0">
                  <c:v>33</c:v>
                </c:pt>
                <c:pt idx="1">
                  <c:v>21</c:v>
                </c:pt>
                <c:pt idx="2">
                  <c:v>19</c:v>
                </c:pt>
              </c:numCache>
            </c:numRef>
          </c:val>
          <c:extLst>
            <c:ext xmlns:c16="http://schemas.microsoft.com/office/drawing/2014/chart" uri="{C3380CC4-5D6E-409C-BE32-E72D297353CC}">
              <c16:uniqueId val="{00000006-6A5C-4B13-A443-030E59736F9C}"/>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527741724592132"/>
          <c:y val="0.36478185509830136"/>
          <c:w val="0.26007402920788752"/>
          <c:h val="0.2767315406328925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501703349652405"/>
          <c:y val="0.10493890419381867"/>
          <c:w val="0.40594190240144906"/>
          <c:h val="0.7592638362258648"/>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575F-4E85-9D94-350F398B2AF7}"/>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575F-4E85-9D94-350F398B2AF7}"/>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575F-4E85-9D94-350F398B2AF7}"/>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575F-4E85-9D94-350F398B2AF7}"/>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c:ext xmlns:c15="http://schemas.microsoft.com/office/drawing/2012/chart" uri="{CE6537A1-D6FC-4f65-9D91-7224C49458BB}"/>
            </c:extLst>
          </c:dLbls>
          <c:cat>
            <c:strRef>
              <c:f>'テストエラー分析図（サマリ）'!$R$14:$R$17</c:f>
              <c:strCache>
                <c:ptCount val="4"/>
                <c:pt idx="0">
                  <c:v>全業務取引不能</c:v>
                </c:pt>
                <c:pt idx="1">
                  <c:v>一部業務不能</c:v>
                </c:pt>
                <c:pt idx="2">
                  <c:v>回避手段あり</c:v>
                </c:pt>
                <c:pt idx="3">
                  <c:v>業務影響なし</c:v>
                </c:pt>
              </c:strCache>
            </c:strRef>
          </c:cat>
          <c:val>
            <c:numRef>
              <c:f>'テストエラー分析図（サマリ）'!$W$14:$W$17</c:f>
              <c:numCache>
                <c:formatCode>0_ </c:formatCode>
                <c:ptCount val="4"/>
                <c:pt idx="0">
                  <c:v>4</c:v>
                </c:pt>
                <c:pt idx="1">
                  <c:v>2</c:v>
                </c:pt>
                <c:pt idx="2">
                  <c:v>9</c:v>
                </c:pt>
                <c:pt idx="3">
                  <c:v>15</c:v>
                </c:pt>
              </c:numCache>
            </c:numRef>
          </c:val>
          <c:extLst>
            <c:ext xmlns:c16="http://schemas.microsoft.com/office/drawing/2014/chart" uri="{C3380CC4-5D6E-409C-BE32-E72D297353CC}">
              <c16:uniqueId val="{00000008-575F-4E85-9D94-350F398B2AF7}"/>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607503270012064"/>
          <c:y val="0.32098959852240694"/>
          <c:w val="0.23762445535892174"/>
          <c:h val="0.35185379605327116"/>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447394838666154"/>
          <c:y val="8.9552238805970158E-2"/>
          <c:w val="0.40460591303118743"/>
          <c:h val="0.36716417910447779"/>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4ED1-4396-814C-90A44662EC05}"/>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4ED1-4396-814C-90A44662EC05}"/>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4ED1-4396-814C-90A44662EC05}"/>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4ED1-4396-814C-90A44662EC05}"/>
              </c:ext>
            </c:extLst>
          </c:dPt>
          <c:dPt>
            <c:idx val="4"/>
            <c:bubble3D val="0"/>
            <c:spPr>
              <a:pattFill prst="wdDnDiag">
                <a:fgClr>
                  <a:srgbClr val="FFCC00"/>
                </a:fgClr>
                <a:bgClr>
                  <a:srgbClr val="FFFFFF"/>
                </a:bgClr>
              </a:pattFill>
              <a:ln w="12700">
                <a:solidFill>
                  <a:srgbClr val="000000"/>
                </a:solidFill>
                <a:prstDash val="solid"/>
              </a:ln>
            </c:spPr>
            <c:extLst>
              <c:ext xmlns:c16="http://schemas.microsoft.com/office/drawing/2014/chart" uri="{C3380CC4-5D6E-409C-BE32-E72D297353CC}">
                <c16:uniqueId val="{00000009-4ED1-4396-814C-90A44662EC05}"/>
              </c:ext>
            </c:extLst>
          </c:dPt>
          <c:dPt>
            <c:idx val="5"/>
            <c:bubble3D val="0"/>
            <c:spPr>
              <a:pattFill prst="ltUpDiag">
                <a:fgClr>
                  <a:srgbClr val="993366"/>
                </a:fgClr>
                <a:bgClr>
                  <a:srgbClr val="FFFFFF"/>
                </a:bgClr>
              </a:pattFill>
              <a:ln w="12700">
                <a:solidFill>
                  <a:srgbClr val="000000"/>
                </a:solidFill>
                <a:prstDash val="solid"/>
              </a:ln>
            </c:spPr>
            <c:extLst>
              <c:ext xmlns:c16="http://schemas.microsoft.com/office/drawing/2014/chart" uri="{C3380CC4-5D6E-409C-BE32-E72D297353CC}">
                <c16:uniqueId val="{0000000B-4ED1-4396-814C-90A44662EC05}"/>
              </c:ext>
            </c:extLst>
          </c:dPt>
          <c:dPt>
            <c:idx val="6"/>
            <c:bubble3D val="0"/>
            <c:spPr>
              <a:pattFill prst="openDmnd">
                <a:fgClr>
                  <a:srgbClr val="00FFFF"/>
                </a:fgClr>
                <a:bgClr>
                  <a:srgbClr val="FFFFFF"/>
                </a:bgClr>
              </a:pattFill>
              <a:ln w="12700">
                <a:solidFill>
                  <a:srgbClr val="000000"/>
                </a:solidFill>
                <a:prstDash val="solid"/>
              </a:ln>
            </c:spPr>
            <c:extLst>
              <c:ext xmlns:c16="http://schemas.microsoft.com/office/drawing/2014/chart" uri="{C3380CC4-5D6E-409C-BE32-E72D297353CC}">
                <c16:uniqueId val="{0000000D-4ED1-4396-814C-90A44662EC05}"/>
              </c:ext>
            </c:extLst>
          </c:dPt>
          <c:dPt>
            <c:idx val="7"/>
            <c:bubble3D val="0"/>
            <c:spPr>
              <a:pattFill prst="smCheck">
                <a:fgClr>
                  <a:srgbClr val="FF0000"/>
                </a:fgClr>
                <a:bgClr>
                  <a:srgbClr val="FFFFFF"/>
                </a:bgClr>
              </a:pattFill>
              <a:ln w="12700">
                <a:solidFill>
                  <a:srgbClr val="000000"/>
                </a:solidFill>
                <a:prstDash val="solid"/>
              </a:ln>
            </c:spPr>
            <c:extLst>
              <c:ext xmlns:c16="http://schemas.microsoft.com/office/drawing/2014/chart" uri="{C3380CC4-5D6E-409C-BE32-E72D297353CC}">
                <c16:uniqueId val="{0000000F-4ED1-4396-814C-90A44662EC05}"/>
              </c:ext>
            </c:extLst>
          </c:dPt>
          <c:dPt>
            <c:idx val="8"/>
            <c:bubble3D val="0"/>
            <c:spPr>
              <a:pattFill prst="dotDmnd">
                <a:fgClr>
                  <a:srgbClr val="008000"/>
                </a:fgClr>
                <a:bgClr>
                  <a:srgbClr val="FFFFFF"/>
                </a:bgClr>
              </a:pattFill>
              <a:ln w="12700">
                <a:solidFill>
                  <a:srgbClr val="000000"/>
                </a:solidFill>
                <a:prstDash val="solid"/>
              </a:ln>
            </c:spPr>
            <c:extLst>
              <c:ext xmlns:c16="http://schemas.microsoft.com/office/drawing/2014/chart" uri="{C3380CC4-5D6E-409C-BE32-E72D297353CC}">
                <c16:uniqueId val="{00000011-4ED1-4396-814C-90A44662EC05}"/>
              </c:ext>
            </c:extLst>
          </c:dPt>
          <c:dPt>
            <c:idx val="9"/>
            <c:bubble3D val="0"/>
            <c:spPr>
              <a:pattFill prst="wave">
                <a:fgClr>
                  <a:srgbClr val="333399"/>
                </a:fgClr>
                <a:bgClr>
                  <a:srgbClr val="FFFFFF"/>
                </a:bgClr>
              </a:pattFill>
              <a:ln w="12700">
                <a:solidFill>
                  <a:srgbClr val="000000"/>
                </a:solidFill>
                <a:prstDash val="solid"/>
              </a:ln>
            </c:spPr>
            <c:extLst>
              <c:ext xmlns:c16="http://schemas.microsoft.com/office/drawing/2014/chart" uri="{C3380CC4-5D6E-409C-BE32-E72D297353CC}">
                <c16:uniqueId val="{00000013-4ED1-4396-814C-90A44662EC05}"/>
              </c:ext>
            </c:extLst>
          </c:dPt>
          <c:dPt>
            <c:idx val="10"/>
            <c:bubble3D val="0"/>
            <c:spPr>
              <a:pattFill prst="dashUpDiag">
                <a:fgClr>
                  <a:srgbClr val="FF6600"/>
                </a:fgClr>
                <a:bgClr>
                  <a:srgbClr val="FFFFFF"/>
                </a:bgClr>
              </a:pattFill>
              <a:ln w="12700">
                <a:solidFill>
                  <a:srgbClr val="000000"/>
                </a:solidFill>
                <a:prstDash val="solid"/>
              </a:ln>
            </c:spPr>
            <c:extLst>
              <c:ext xmlns:c16="http://schemas.microsoft.com/office/drawing/2014/chart" uri="{C3380CC4-5D6E-409C-BE32-E72D297353CC}">
                <c16:uniqueId val="{00000015-4ED1-4396-814C-90A44662EC05}"/>
              </c:ext>
            </c:extLst>
          </c:dPt>
          <c:dPt>
            <c:idx val="11"/>
            <c:bubble3D val="0"/>
            <c:spPr>
              <a:pattFill prst="pct50">
                <a:fgClr>
                  <a:srgbClr val="0000FF"/>
                </a:fgClr>
                <a:bgClr>
                  <a:srgbClr val="FFFFFF"/>
                </a:bgClr>
              </a:pattFill>
              <a:ln w="12700">
                <a:solidFill>
                  <a:srgbClr val="000000"/>
                </a:solidFill>
                <a:prstDash val="solid"/>
              </a:ln>
            </c:spPr>
            <c:extLst>
              <c:ext xmlns:c16="http://schemas.microsoft.com/office/drawing/2014/chart" uri="{C3380CC4-5D6E-409C-BE32-E72D297353CC}">
                <c16:uniqueId val="{00000017-4ED1-4396-814C-90A44662EC05}"/>
              </c:ext>
            </c:extLst>
          </c:dPt>
          <c:dPt>
            <c:idx val="12"/>
            <c:bubble3D val="0"/>
            <c:spPr>
              <a:pattFill prst="pct1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19-4ED1-4396-814C-90A44662EC05}"/>
              </c:ext>
            </c:extLst>
          </c:dPt>
          <c:dPt>
            <c:idx val="13"/>
            <c:bubble3D val="0"/>
            <c:spPr>
              <a:pattFill prst="lgConfetti">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1B-4ED1-4396-814C-90A44662EC05}"/>
              </c:ext>
            </c:extLst>
          </c:dPt>
          <c:dPt>
            <c:idx val="14"/>
            <c:bubble3D val="0"/>
            <c:spPr>
              <a:pattFill prst="trellis">
                <a:fgClr>
                  <a:srgbClr val="008080"/>
                </a:fgClr>
                <a:bgClr>
                  <a:srgbClr val="FFFFFF"/>
                </a:bgClr>
              </a:pattFill>
              <a:ln w="12700">
                <a:solidFill>
                  <a:srgbClr val="000000"/>
                </a:solidFill>
                <a:prstDash val="solid"/>
              </a:ln>
            </c:spPr>
            <c:extLst>
              <c:ext xmlns:c16="http://schemas.microsoft.com/office/drawing/2014/chart" uri="{C3380CC4-5D6E-409C-BE32-E72D297353CC}">
                <c16:uniqueId val="{0000001D-4ED1-4396-814C-90A44662EC05}"/>
              </c:ext>
            </c:extLst>
          </c:dPt>
          <c:dPt>
            <c:idx val="15"/>
            <c:bubble3D val="0"/>
            <c:spPr>
              <a:pattFill prst="weave">
                <a:fgClr>
                  <a:srgbClr val="FFFF99"/>
                </a:fgClr>
                <a:bgClr>
                  <a:srgbClr val="FFFFFF"/>
                </a:bgClr>
              </a:pattFill>
              <a:ln w="12700">
                <a:solidFill>
                  <a:srgbClr val="000000"/>
                </a:solidFill>
                <a:prstDash val="solid"/>
              </a:ln>
            </c:spPr>
            <c:extLst>
              <c:ext xmlns:c16="http://schemas.microsoft.com/office/drawing/2014/chart" uri="{C3380CC4-5D6E-409C-BE32-E72D297353CC}">
                <c16:uniqueId val="{0000001F-4ED1-4396-814C-90A44662EC05}"/>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c:ext xmlns:c15="http://schemas.microsoft.com/office/drawing/2012/chart" uri="{CE6537A1-D6FC-4f65-9D91-7224C49458BB}"/>
            </c:extLst>
          </c:dLbls>
          <c:cat>
            <c:strRef>
              <c:f>'テストエラー分析図（サマリ）'!$R$23:$R$38</c:f>
              <c:strCache>
                <c:ptCount val="16"/>
                <c:pt idx="0">
                  <c:v>記述漏れ</c:v>
                </c:pt>
                <c:pt idx="1">
                  <c:v>記述誤り</c:v>
                </c:pt>
                <c:pt idx="2">
                  <c:v>不明確（曖昧）</c:v>
                </c:pt>
                <c:pt idx="3">
                  <c:v>標準違反</c:v>
                </c:pt>
                <c:pt idx="4">
                  <c:v>ﾄﾞｷｭﾒﾝﾄ修正漏れ</c:v>
                </c:pt>
                <c:pt idx="5">
                  <c:v>ﾄﾞｷｭﾒﾝﾄ間不整合</c:v>
                </c:pt>
                <c:pt idx="6">
                  <c:v>仕様の見落とし</c:v>
                </c:pt>
                <c:pt idx="7">
                  <c:v>仕様の理解不足</c:v>
                </c:pt>
                <c:pt idx="8">
                  <c:v>仕様の認識不足</c:v>
                </c:pt>
                <c:pt idx="9">
                  <c:v>仕様の検討粗漏</c:v>
                </c:pt>
                <c:pt idx="10">
                  <c:v>言語用法の知識不足</c:v>
                </c:pt>
                <c:pt idx="11">
                  <c:v>周知連絡の不徹底</c:v>
                </c:pt>
                <c:pt idx="12">
                  <c:v>標準違反</c:v>
                </c:pt>
                <c:pt idx="13">
                  <c:v>再利用時のﾁｪｯｸ漏れ</c:v>
                </c:pt>
                <c:pt idx="14">
                  <c:v>修正時のﾁｪｯｸ漏れ</c:v>
                </c:pt>
                <c:pt idx="15">
                  <c:v>その他</c:v>
                </c:pt>
              </c:strCache>
            </c:strRef>
          </c:cat>
          <c:val>
            <c:numRef>
              <c:f>'テストエラー分析図（サマリ）'!$W$23:$W$38</c:f>
              <c:numCache>
                <c:formatCode>0_ </c:formatCode>
                <c:ptCount val="16"/>
                <c:pt idx="0">
                  <c:v>5</c:v>
                </c:pt>
                <c:pt idx="1">
                  <c:v>3</c:v>
                </c:pt>
                <c:pt idx="2">
                  <c:v>10</c:v>
                </c:pt>
                <c:pt idx="3">
                  <c:v>3</c:v>
                </c:pt>
                <c:pt idx="4">
                  <c:v>4</c:v>
                </c:pt>
                <c:pt idx="5">
                  <c:v>5</c:v>
                </c:pt>
                <c:pt idx="6">
                  <c:v>9</c:v>
                </c:pt>
                <c:pt idx="7">
                  <c:v>8</c:v>
                </c:pt>
                <c:pt idx="8">
                  <c:v>2</c:v>
                </c:pt>
                <c:pt idx="9">
                  <c:v>10</c:v>
                </c:pt>
                <c:pt idx="10">
                  <c:v>15</c:v>
                </c:pt>
                <c:pt idx="11">
                  <c:v>3</c:v>
                </c:pt>
                <c:pt idx="12">
                  <c:v>7</c:v>
                </c:pt>
                <c:pt idx="13">
                  <c:v>9</c:v>
                </c:pt>
                <c:pt idx="14">
                  <c:v>10</c:v>
                </c:pt>
                <c:pt idx="15">
                  <c:v>3</c:v>
                </c:pt>
              </c:numCache>
            </c:numRef>
          </c:val>
          <c:extLst>
            <c:ext xmlns:c16="http://schemas.microsoft.com/office/drawing/2014/chart" uri="{C3380CC4-5D6E-409C-BE32-E72D297353CC}">
              <c16:uniqueId val="{00000020-4ED1-4396-814C-90A44662EC05}"/>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31250034535156795"/>
          <c:y val="0.57910447761194039"/>
          <c:w val="0.64473787815996675"/>
          <c:h val="0.40895522388059702"/>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278195488721805"/>
          <c:y val="0.19487277079712939"/>
          <c:w val="0.4699248120300753"/>
          <c:h val="0.64102885130634679"/>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ED5C-4962-9CCD-0B2B9B2B541D}"/>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ED5C-4962-9CCD-0B2B9B2B541D}"/>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ED5C-4962-9CCD-0B2B9B2B541D}"/>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ED5C-4962-9CCD-0B2B9B2B541D}"/>
              </c:ext>
            </c:extLst>
          </c:dPt>
          <c:dPt>
            <c:idx val="4"/>
            <c:bubble3D val="0"/>
            <c:spPr>
              <a:pattFill prst="wdDnDiag">
                <a:fgClr>
                  <a:srgbClr val="FFCC00"/>
                </a:fgClr>
                <a:bgClr>
                  <a:srgbClr val="FFFFFF"/>
                </a:bgClr>
              </a:pattFill>
              <a:ln w="12700">
                <a:solidFill>
                  <a:srgbClr val="000000"/>
                </a:solidFill>
                <a:prstDash val="solid"/>
              </a:ln>
            </c:spPr>
            <c:extLst>
              <c:ext xmlns:c16="http://schemas.microsoft.com/office/drawing/2014/chart" uri="{C3380CC4-5D6E-409C-BE32-E72D297353CC}">
                <c16:uniqueId val="{00000009-ED5C-4962-9CCD-0B2B9B2B541D}"/>
              </c:ext>
            </c:extLst>
          </c:dPt>
          <c:dPt>
            <c:idx val="5"/>
            <c:bubble3D val="0"/>
            <c:spPr>
              <a:pattFill prst="ltUpDiag">
                <a:fgClr>
                  <a:srgbClr val="993366"/>
                </a:fgClr>
                <a:bgClr>
                  <a:srgbClr val="FFFFFF"/>
                </a:bgClr>
              </a:pattFill>
              <a:ln w="12700">
                <a:solidFill>
                  <a:srgbClr val="000000"/>
                </a:solidFill>
                <a:prstDash val="solid"/>
              </a:ln>
            </c:spPr>
            <c:extLst>
              <c:ext xmlns:c16="http://schemas.microsoft.com/office/drawing/2014/chart" uri="{C3380CC4-5D6E-409C-BE32-E72D297353CC}">
                <c16:uniqueId val="{0000000B-ED5C-4962-9CCD-0B2B9B2B541D}"/>
              </c:ext>
            </c:extLst>
          </c:dPt>
          <c:dPt>
            <c:idx val="6"/>
            <c:bubble3D val="0"/>
            <c:spPr>
              <a:pattFill prst="openDmnd">
                <a:fgClr>
                  <a:srgbClr val="00FFFF"/>
                </a:fgClr>
                <a:bgClr>
                  <a:srgbClr val="FFFFFF"/>
                </a:bgClr>
              </a:pattFill>
              <a:ln w="12700">
                <a:solidFill>
                  <a:srgbClr val="000000"/>
                </a:solidFill>
                <a:prstDash val="solid"/>
              </a:ln>
            </c:spPr>
            <c:extLst>
              <c:ext xmlns:c16="http://schemas.microsoft.com/office/drawing/2014/chart" uri="{C3380CC4-5D6E-409C-BE32-E72D297353CC}">
                <c16:uniqueId val="{0000000D-ED5C-4962-9CCD-0B2B9B2B541D}"/>
              </c:ext>
            </c:extLst>
          </c:dPt>
          <c:dPt>
            <c:idx val="7"/>
            <c:bubble3D val="0"/>
            <c:spPr>
              <a:pattFill prst="smCheck">
                <a:fgClr>
                  <a:srgbClr val="FF0000"/>
                </a:fgClr>
                <a:bgClr>
                  <a:srgbClr val="FFFFFF"/>
                </a:bgClr>
              </a:pattFill>
              <a:ln w="12700">
                <a:solidFill>
                  <a:srgbClr val="000000"/>
                </a:solidFill>
                <a:prstDash val="solid"/>
              </a:ln>
            </c:spPr>
            <c:extLst>
              <c:ext xmlns:c16="http://schemas.microsoft.com/office/drawing/2014/chart" uri="{C3380CC4-5D6E-409C-BE32-E72D297353CC}">
                <c16:uniqueId val="{0000000F-ED5C-4962-9CCD-0B2B9B2B541D}"/>
              </c:ext>
            </c:extLst>
          </c:dPt>
          <c:dPt>
            <c:idx val="8"/>
            <c:bubble3D val="0"/>
            <c:spPr>
              <a:pattFill prst="dotDmnd">
                <a:fgClr>
                  <a:srgbClr val="008000"/>
                </a:fgClr>
                <a:bgClr>
                  <a:srgbClr val="FFFFFF"/>
                </a:bgClr>
              </a:pattFill>
              <a:ln w="12700">
                <a:solidFill>
                  <a:srgbClr val="000000"/>
                </a:solidFill>
                <a:prstDash val="solid"/>
              </a:ln>
            </c:spPr>
            <c:extLst>
              <c:ext xmlns:c16="http://schemas.microsoft.com/office/drawing/2014/chart" uri="{C3380CC4-5D6E-409C-BE32-E72D297353CC}">
                <c16:uniqueId val="{00000011-ED5C-4962-9CCD-0B2B9B2B541D}"/>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c:ext xmlns:c15="http://schemas.microsoft.com/office/drawing/2012/chart" uri="{CE6537A1-D6FC-4f65-9D91-7224C49458BB}"/>
            </c:extLst>
          </c:dLbls>
          <c:cat>
            <c:strRef>
              <c:f>'テストエラー分析図（サマリ）'!$C$38:$C$46</c:f>
              <c:strCache>
                <c:ptCount val="9"/>
                <c:pt idx="0">
                  <c:v>企画支援</c:v>
                </c:pt>
                <c:pt idx="1">
                  <c:v>要件定義</c:v>
                </c:pt>
                <c:pt idx="2">
                  <c:v>基本設計</c:v>
                </c:pt>
                <c:pt idx="3">
                  <c:v>詳細設計</c:v>
                </c:pt>
                <c:pt idx="4">
                  <c:v>製造</c:v>
                </c:pt>
                <c:pt idx="5">
                  <c:v>結合テスト</c:v>
                </c:pt>
                <c:pt idx="6">
                  <c:v>システムテスト</c:v>
                </c:pt>
                <c:pt idx="7">
                  <c:v>移行導入</c:v>
                </c:pt>
                <c:pt idx="8">
                  <c:v>その他</c:v>
                </c:pt>
              </c:strCache>
            </c:strRef>
          </c:cat>
          <c:val>
            <c:numRef>
              <c:f>'テストエラー分析図（サマリ）'!$F$38:$F$46</c:f>
              <c:numCache>
                <c:formatCode>0_ </c:formatCode>
                <c:ptCount val="9"/>
                <c:pt idx="0">
                  <c:v>9</c:v>
                </c:pt>
                <c:pt idx="1">
                  <c:v>9</c:v>
                </c:pt>
                <c:pt idx="2">
                  <c:v>9</c:v>
                </c:pt>
                <c:pt idx="3">
                  <c:v>9</c:v>
                </c:pt>
                <c:pt idx="4">
                  <c:v>9</c:v>
                </c:pt>
                <c:pt idx="5">
                  <c:v>9</c:v>
                </c:pt>
                <c:pt idx="6">
                  <c:v>9</c:v>
                </c:pt>
                <c:pt idx="7">
                  <c:v>9</c:v>
                </c:pt>
                <c:pt idx="8">
                  <c:v>1</c:v>
                </c:pt>
              </c:numCache>
            </c:numRef>
          </c:val>
          <c:extLst>
            <c:ext xmlns:c16="http://schemas.microsoft.com/office/drawing/2014/chart" uri="{C3380CC4-5D6E-409C-BE32-E72D297353CC}">
              <c16:uniqueId val="{00000012-ED5C-4962-9CCD-0B2B9B2B541D}"/>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1428571428571441"/>
          <c:y val="0.24102671781411938"/>
          <c:w val="0.26691729323308272"/>
          <c:h val="0.60513143549364024"/>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solidFill>
      <a:srgbClr val="FFFFFF"/>
    </a:solid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verticalDpi="0"/>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エラー分析図（エラー現象/エラー原因）</a:t>
            </a:r>
          </a:p>
        </c:rich>
      </c:tx>
      <c:layout>
        <c:manualLayout>
          <c:xMode val="edge"/>
          <c:yMode val="edge"/>
          <c:x val="0.31946772876352186"/>
          <c:y val="2.7314112291350535E-2"/>
        </c:manualLayout>
      </c:layout>
      <c:overlay val="0"/>
      <c:spPr>
        <a:noFill/>
        <a:ln w="25400">
          <a:noFill/>
        </a:ln>
      </c:spPr>
    </c:title>
    <c:autoTitleDeleted val="0"/>
    <c:plotArea>
      <c:layout>
        <c:manualLayout>
          <c:layoutTarget val="inner"/>
          <c:xMode val="edge"/>
          <c:yMode val="edge"/>
          <c:x val="8.6522532857455065E-2"/>
          <c:y val="9.5599393019726878E-2"/>
          <c:w val="0.86688922343719432"/>
          <c:h val="0.52352048558421849"/>
        </c:manualLayout>
      </c:layout>
      <c:barChart>
        <c:barDir val="col"/>
        <c:grouping val="stacked"/>
        <c:varyColors val="0"/>
        <c:ser>
          <c:idx val="3"/>
          <c:order val="0"/>
          <c:tx>
            <c:strRef>
              <c:f>'テストエラー分析図（エラー現象‐エラー原因）'!$A$21</c:f>
              <c:strCache>
                <c:ptCount val="1"/>
                <c:pt idx="0">
                  <c:v>仕様書不備・記述漏れ</c:v>
                </c:pt>
              </c:strCache>
            </c:strRef>
          </c:tx>
          <c:spPr>
            <a:pattFill prst="pct80">
              <a:fgClr>
                <a:srgbClr val="33CCCC"/>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'テストエラー分析図（エラー現象‐エラー原因）'!$F$21:$K$21</c:f>
              <c:numCache>
                <c:formatCode>0_ </c:formatCode>
                <c:ptCount val="6"/>
                <c:pt idx="0">
                  <c:v>1</c:v>
                </c:pt>
                <c:pt idx="1">
                  <c:v>2</c:v>
                </c:pt>
                <c:pt idx="2">
                  <c:v>3</c:v>
                </c:pt>
                <c:pt idx="3">
                  <c:v>4</c:v>
                </c:pt>
                <c:pt idx="4">
                  <c:v>5</c:v>
                </c:pt>
                <c:pt idx="5">
                  <c:v>6</c:v>
                </c:pt>
              </c:numCache>
            </c:numRef>
          </c:val>
          <c:extLst>
            <c:ext xmlns:c16="http://schemas.microsoft.com/office/drawing/2014/chart" uri="{C3380CC4-5D6E-409C-BE32-E72D297353CC}">
              <c16:uniqueId val="{00000000-1ECA-4413-85A3-6A958A34FD1D}"/>
            </c:ext>
          </c:extLst>
        </c:ser>
        <c:ser>
          <c:idx val="4"/>
          <c:order val="1"/>
          <c:tx>
            <c:strRef>
              <c:f>'テストエラー分析図（エラー現象‐エラー原因）'!$A$22</c:f>
              <c:strCache>
                <c:ptCount val="1"/>
                <c:pt idx="0">
                  <c:v>仕様書不備・記述誤り</c:v>
                </c:pt>
              </c:strCache>
            </c:strRef>
          </c:tx>
          <c:spPr>
            <a:pattFill prst="divot">
              <a:fgClr>
                <a:srgbClr val="800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'テストエラー分析図（エラー現象‐エラー原因）'!$F$22:$K$22</c:f>
              <c:numCache>
                <c:formatCode>0_ </c:formatCode>
                <c:ptCount val="6"/>
                <c:pt idx="0">
                  <c:v>6</c:v>
                </c:pt>
                <c:pt idx="1">
                  <c:v>5</c:v>
                </c:pt>
                <c:pt idx="2">
                  <c:v>4</c:v>
                </c:pt>
                <c:pt idx="3">
                  <c:v>3</c:v>
                </c:pt>
                <c:pt idx="4">
                  <c:v>2</c:v>
                </c:pt>
                <c:pt idx="5">
                  <c:v>1</c:v>
                </c:pt>
              </c:numCache>
            </c:numRef>
          </c:val>
          <c:extLst>
            <c:ext xmlns:c16="http://schemas.microsoft.com/office/drawing/2014/chart" uri="{C3380CC4-5D6E-409C-BE32-E72D297353CC}">
              <c16:uniqueId val="{00000001-1ECA-4413-85A3-6A958A34FD1D}"/>
            </c:ext>
          </c:extLst>
        </c:ser>
        <c:ser>
          <c:idx val="5"/>
          <c:order val="2"/>
          <c:tx>
            <c:strRef>
              <c:f>'テストエラー分析図（エラー現象‐エラー原因）'!$A$23</c:f>
              <c:strCache>
                <c:ptCount val="1"/>
                <c:pt idx="0">
                  <c:v>仕様書不備・不明確（曖昧）</c:v>
                </c:pt>
              </c:strCache>
            </c:strRef>
          </c:tx>
          <c:spPr>
            <a:pattFill prst="narVert">
              <a:fgClr>
                <a:srgbClr val="00FF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'テストエラー分析図（エラー現象‐エラー原因）'!$F$23:$K$23</c:f>
              <c:numCache>
                <c:formatCode>0_ </c:formatCode>
                <c:ptCount val="6"/>
                <c:pt idx="0">
                  <c:v>4</c:v>
                </c:pt>
                <c:pt idx="1">
                  <c:v>5</c:v>
                </c:pt>
                <c:pt idx="2">
                  <c:v>6</c:v>
                </c:pt>
                <c:pt idx="3">
                  <c:v>7</c:v>
                </c:pt>
                <c:pt idx="4">
                  <c:v>2</c:v>
                </c:pt>
                <c:pt idx="5">
                  <c:v>3</c:v>
                </c:pt>
              </c:numCache>
            </c:numRef>
          </c:val>
          <c:extLst>
            <c:ext xmlns:c16="http://schemas.microsoft.com/office/drawing/2014/chart" uri="{C3380CC4-5D6E-409C-BE32-E72D297353CC}">
              <c16:uniqueId val="{00000003-1ECA-4413-85A3-6A958A34FD1D}"/>
            </c:ext>
          </c:extLst>
        </c:ser>
        <c:ser>
          <c:idx val="6"/>
          <c:order val="3"/>
          <c:tx>
            <c:strRef>
              <c:f>'テストエラー分析図（エラー現象‐エラー原因）'!$A$24</c:f>
              <c:strCache>
                <c:ptCount val="1"/>
                <c:pt idx="0">
                  <c:v>仕様書不備・標準違反</c:v>
                </c:pt>
              </c:strCache>
            </c:strRef>
          </c:tx>
          <c:spPr>
            <a:pattFill prst="pct40">
              <a:fgClr>
                <a:srgbClr val="FF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'テストエラー分析図（エラー現象‐エラー原因）'!$F$24:$K$24</c:f>
              <c:numCache>
                <c:formatCode>0_ </c:formatCode>
                <c:ptCount val="6"/>
                <c:pt idx="0">
                  <c:v>5</c:v>
                </c:pt>
                <c:pt idx="1">
                  <c:v>9</c:v>
                </c:pt>
                <c:pt idx="2">
                  <c:v>1</c:v>
                </c:pt>
                <c:pt idx="3">
                  <c:v>3</c:v>
                </c:pt>
                <c:pt idx="4">
                  <c:v>5</c:v>
                </c:pt>
                <c:pt idx="5">
                  <c:v>7</c:v>
                </c:pt>
              </c:numCache>
            </c:numRef>
          </c:val>
          <c:extLst>
            <c:ext xmlns:c16="http://schemas.microsoft.com/office/drawing/2014/chart" uri="{C3380CC4-5D6E-409C-BE32-E72D297353CC}">
              <c16:uniqueId val="{00000005-1ECA-4413-85A3-6A958A34FD1D}"/>
            </c:ext>
          </c:extLst>
        </c:ser>
        <c:ser>
          <c:idx val="7"/>
          <c:order val="4"/>
          <c:tx>
            <c:strRef>
              <c:f>'テストエラー分析図（エラー現象‐エラー原因）'!$A$25</c:f>
              <c:strCache>
                <c:ptCount val="1"/>
                <c:pt idx="0">
                  <c:v>仕様書不備・ﾄﾞｷｭﾒﾝﾄ修正漏れ</c:v>
                </c:pt>
              </c:strCache>
            </c:strRef>
          </c:tx>
          <c:spPr>
            <a:pattFill prst="wdDnDiag">
              <a:fgClr>
                <a:srgbClr val="FFCC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'テストエラー分析図（エラー現象‐エラー原因）'!$F$25:$K$25</c:f>
              <c:numCache>
                <c:formatCode>0_ </c:formatCode>
                <c:ptCount val="6"/>
                <c:pt idx="0">
                  <c:v>2</c:v>
                </c:pt>
                <c:pt idx="1">
                  <c:v>4</c:v>
                </c:pt>
                <c:pt idx="2">
                  <c:v>6</c:v>
                </c:pt>
                <c:pt idx="3">
                  <c:v>5</c:v>
                </c:pt>
                <c:pt idx="4">
                  <c:v>7</c:v>
                </c:pt>
                <c:pt idx="5">
                  <c:v>8</c:v>
                </c:pt>
              </c:numCache>
            </c:numRef>
          </c:val>
          <c:extLst>
            <c:ext xmlns:c16="http://schemas.microsoft.com/office/drawing/2014/chart" uri="{C3380CC4-5D6E-409C-BE32-E72D297353CC}">
              <c16:uniqueId val="{00000007-1ECA-4413-85A3-6A958A34FD1D}"/>
            </c:ext>
          </c:extLst>
        </c:ser>
        <c:ser>
          <c:idx val="8"/>
          <c:order val="5"/>
          <c:tx>
            <c:strRef>
              <c:f>'テストエラー分析図（エラー現象‐エラー原因）'!$A$26</c:f>
              <c:strCache>
                <c:ptCount val="1"/>
                <c:pt idx="0">
                  <c:v>仕様書不備・ﾄﾞｷｭﾒﾝﾄ間不整合</c:v>
                </c:pt>
              </c:strCache>
            </c:strRef>
          </c:tx>
          <c:spPr>
            <a:pattFill prst="ltUpDiag">
              <a:fgClr>
                <a:srgbClr val="993366"/>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'テストエラー分析図（エラー現象‐エラー原因）'!$F$26:$K$26</c:f>
              <c:numCache>
                <c:formatCode>0_ </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8-1ECA-4413-85A3-6A958A34FD1D}"/>
            </c:ext>
          </c:extLst>
        </c:ser>
        <c:ser>
          <c:idx val="10"/>
          <c:order val="6"/>
          <c:tx>
            <c:strRef>
              <c:f>'テストエラー分析図（エラー現象‐エラー原因）'!$A$27</c:f>
              <c:strCache>
                <c:ptCount val="1"/>
                <c:pt idx="0">
                  <c:v>仕様の見落とし</c:v>
                </c:pt>
              </c:strCache>
            </c:strRef>
          </c:tx>
          <c:spPr>
            <a:pattFill prst="openDmnd">
              <a:fgClr>
                <a:srgbClr val="00FF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'テストエラー分析図（エラー現象‐エラー原因）'!$F$27:$K$27</c:f>
              <c:numCache>
                <c:formatCode>0_ </c:formatCode>
                <c:ptCount val="6"/>
                <c:pt idx="0">
                  <c:v>8</c:v>
                </c:pt>
                <c:pt idx="1">
                  <c:v>7</c:v>
                </c:pt>
                <c:pt idx="2">
                  <c:v>6</c:v>
                </c:pt>
                <c:pt idx="3">
                  <c:v>5</c:v>
                </c:pt>
                <c:pt idx="4">
                  <c:v>4</c:v>
                </c:pt>
                <c:pt idx="5">
                  <c:v>3</c:v>
                </c:pt>
              </c:numCache>
            </c:numRef>
          </c:val>
          <c:extLst>
            <c:ext xmlns:c16="http://schemas.microsoft.com/office/drawing/2014/chart" uri="{C3380CC4-5D6E-409C-BE32-E72D297353CC}">
              <c16:uniqueId val="{00000009-1ECA-4413-85A3-6A958A34FD1D}"/>
            </c:ext>
          </c:extLst>
        </c:ser>
        <c:ser>
          <c:idx val="11"/>
          <c:order val="7"/>
          <c:tx>
            <c:strRef>
              <c:f>'テストエラー分析図（エラー現象‐エラー原因）'!$A$28</c:f>
              <c:strCache>
                <c:ptCount val="1"/>
                <c:pt idx="0">
                  <c:v>仕様の理解不足</c:v>
                </c:pt>
              </c:strCache>
            </c:strRef>
          </c:tx>
          <c:spPr>
            <a:pattFill prst="smCheck">
              <a:fgClr>
                <a:srgbClr val="FF00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'テストエラー分析図（エラー現象‐エラー原因）'!$F$28:$K$28</c:f>
              <c:numCache>
                <c:formatCode>0_ </c:formatCode>
                <c:ptCount val="6"/>
                <c:pt idx="0">
                  <c:v>6</c:v>
                </c:pt>
                <c:pt idx="1">
                  <c:v>7</c:v>
                </c:pt>
                <c:pt idx="2">
                  <c:v>9</c:v>
                </c:pt>
                <c:pt idx="3">
                  <c:v>0</c:v>
                </c:pt>
                <c:pt idx="4">
                  <c:v>6</c:v>
                </c:pt>
                <c:pt idx="5">
                  <c:v>5</c:v>
                </c:pt>
              </c:numCache>
            </c:numRef>
          </c:val>
          <c:extLst>
            <c:ext xmlns:c16="http://schemas.microsoft.com/office/drawing/2014/chart" uri="{C3380CC4-5D6E-409C-BE32-E72D297353CC}">
              <c16:uniqueId val="{0000000A-1ECA-4413-85A3-6A958A34FD1D}"/>
            </c:ext>
          </c:extLst>
        </c:ser>
        <c:ser>
          <c:idx val="12"/>
          <c:order val="8"/>
          <c:tx>
            <c:strRef>
              <c:f>'テストエラー分析図（エラー現象‐エラー原因）'!$A$29</c:f>
              <c:strCache>
                <c:ptCount val="1"/>
                <c:pt idx="0">
                  <c:v>仕様の認識不足</c:v>
                </c:pt>
              </c:strCache>
            </c:strRef>
          </c:tx>
          <c:spPr>
            <a:pattFill prst="dotDmnd">
              <a:fgClr>
                <a:srgbClr val="0080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'テストエラー分析図（エラー現象‐エラー原因）'!$F$29:$K$29</c:f>
              <c:numCache>
                <c:formatCode>0_ </c:formatCode>
                <c:ptCount val="6"/>
                <c:pt idx="0">
                  <c:v>7</c:v>
                </c:pt>
                <c:pt idx="1">
                  <c:v>8</c:v>
                </c:pt>
                <c:pt idx="2">
                  <c:v>9</c:v>
                </c:pt>
                <c:pt idx="3">
                  <c:v>5</c:v>
                </c:pt>
                <c:pt idx="4">
                  <c:v>4</c:v>
                </c:pt>
                <c:pt idx="5">
                  <c:v>8</c:v>
                </c:pt>
              </c:numCache>
            </c:numRef>
          </c:val>
          <c:extLst>
            <c:ext xmlns:c16="http://schemas.microsoft.com/office/drawing/2014/chart" uri="{C3380CC4-5D6E-409C-BE32-E72D297353CC}">
              <c16:uniqueId val="{0000000B-1ECA-4413-85A3-6A958A34FD1D}"/>
            </c:ext>
          </c:extLst>
        </c:ser>
        <c:ser>
          <c:idx val="13"/>
          <c:order val="9"/>
          <c:tx>
            <c:strRef>
              <c:f>'テストエラー分析図（エラー現象‐エラー原因）'!$A$30</c:f>
              <c:strCache>
                <c:ptCount val="1"/>
                <c:pt idx="0">
                  <c:v>仕様の検討粗漏</c:v>
                </c:pt>
              </c:strCache>
            </c:strRef>
          </c:tx>
          <c:spPr>
            <a:pattFill prst="wave">
              <a:fgClr>
                <a:srgbClr val="333399"/>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'テストエラー分析図（エラー現象‐エラー原因）'!$F$30:$K$30</c:f>
              <c:numCache>
                <c:formatCode>0_ </c:formatCode>
                <c:ptCount val="6"/>
                <c:pt idx="0">
                  <c:v>5</c:v>
                </c:pt>
                <c:pt idx="1">
                  <c:v>8</c:v>
                </c:pt>
                <c:pt idx="2">
                  <c:v>5</c:v>
                </c:pt>
                <c:pt idx="3">
                  <c:v>3</c:v>
                </c:pt>
                <c:pt idx="4">
                  <c:v>0</c:v>
                </c:pt>
                <c:pt idx="5">
                  <c:v>4</c:v>
                </c:pt>
              </c:numCache>
            </c:numRef>
          </c:val>
          <c:extLst>
            <c:ext xmlns:c16="http://schemas.microsoft.com/office/drawing/2014/chart" uri="{C3380CC4-5D6E-409C-BE32-E72D297353CC}">
              <c16:uniqueId val="{0000000D-1ECA-4413-85A3-6A958A34FD1D}"/>
            </c:ext>
          </c:extLst>
        </c:ser>
        <c:ser>
          <c:idx val="15"/>
          <c:order val="10"/>
          <c:tx>
            <c:strRef>
              <c:f>'テストエラー分析図（エラー現象‐エラー原因）'!$A$31</c:f>
              <c:strCache>
                <c:ptCount val="1"/>
                <c:pt idx="0">
                  <c:v>言語用法の知識不足</c:v>
                </c:pt>
              </c:strCache>
            </c:strRef>
          </c:tx>
          <c:spPr>
            <a:pattFill prst="dashUpDiag">
              <a:fgClr>
                <a:srgbClr val="FF66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'テストエラー分析図（エラー現象‐エラー原因）'!$F$31:$K$31</c:f>
              <c:numCache>
                <c:formatCode>0_ </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E-1ECA-4413-85A3-6A958A34FD1D}"/>
            </c:ext>
          </c:extLst>
        </c:ser>
        <c:ser>
          <c:idx val="16"/>
          <c:order val="11"/>
          <c:tx>
            <c:strRef>
              <c:f>'テストエラー分析図（エラー現象‐エラー原因）'!$A$32</c:f>
              <c:strCache>
                <c:ptCount val="1"/>
                <c:pt idx="0">
                  <c:v>周知連絡の不徹底</c:v>
                </c:pt>
              </c:strCache>
            </c:strRef>
          </c:tx>
          <c:spPr>
            <a:pattFill prst="pct50">
              <a:fgClr>
                <a:srgbClr val="00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'テストエラー分析図（エラー現象‐エラー原因）'!$F$32:$K$32</c:f>
              <c:numCache>
                <c:formatCode>0_ </c:formatCode>
                <c:ptCount val="6"/>
                <c:pt idx="0">
                  <c:v>4</c:v>
                </c:pt>
                <c:pt idx="1">
                  <c:v>7</c:v>
                </c:pt>
                <c:pt idx="2">
                  <c:v>9</c:v>
                </c:pt>
                <c:pt idx="3">
                  <c:v>2</c:v>
                </c:pt>
                <c:pt idx="4">
                  <c:v>1</c:v>
                </c:pt>
                <c:pt idx="5">
                  <c:v>1</c:v>
                </c:pt>
              </c:numCache>
            </c:numRef>
          </c:val>
          <c:extLst>
            <c:ext xmlns:c16="http://schemas.microsoft.com/office/drawing/2014/chart" uri="{C3380CC4-5D6E-409C-BE32-E72D297353CC}">
              <c16:uniqueId val="{0000000F-1ECA-4413-85A3-6A958A34FD1D}"/>
            </c:ext>
          </c:extLst>
        </c:ser>
        <c:ser>
          <c:idx val="0"/>
          <c:order val="12"/>
          <c:tx>
            <c:strRef>
              <c:f>'テストエラー分析図（エラー現象‐エラー原因）'!$A$33</c:f>
              <c:strCache>
                <c:ptCount val="1"/>
                <c:pt idx="0">
                  <c:v>標準違反</c:v>
                </c:pt>
              </c:strCache>
            </c:strRef>
          </c:tx>
          <c:spPr>
            <a:pattFill prst="pct10">
              <a:fgClr>
                <a:srgbClr val="FF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'テストエラー分析図（エラー現象‐エラー原因）'!$F$33:$K$33</c:f>
              <c:numCache>
                <c:formatCode>0_ </c:formatCode>
                <c:ptCount val="6"/>
                <c:pt idx="0">
                  <c:v>0</c:v>
                </c:pt>
                <c:pt idx="1">
                  <c:v>1</c:v>
                </c:pt>
                <c:pt idx="2">
                  <c:v>2</c:v>
                </c:pt>
                <c:pt idx="3">
                  <c:v>2</c:v>
                </c:pt>
                <c:pt idx="4">
                  <c:v>1</c:v>
                </c:pt>
                <c:pt idx="5">
                  <c:v>0</c:v>
                </c:pt>
              </c:numCache>
            </c:numRef>
          </c:val>
          <c:extLst>
            <c:ext xmlns:c16="http://schemas.microsoft.com/office/drawing/2014/chart" uri="{C3380CC4-5D6E-409C-BE32-E72D297353CC}">
              <c16:uniqueId val="{00000010-1ECA-4413-85A3-6A958A34FD1D}"/>
            </c:ext>
          </c:extLst>
        </c:ser>
        <c:ser>
          <c:idx val="17"/>
          <c:order val="13"/>
          <c:tx>
            <c:strRef>
              <c:f>'テストエラー分析図（エラー現象‐エラー原因）'!$A$34</c:f>
              <c:strCache>
                <c:ptCount val="1"/>
                <c:pt idx="0">
                  <c:v>再利用時のﾁｪｯｸ漏れ</c:v>
                </c:pt>
              </c:strCache>
            </c:strRef>
          </c:tx>
          <c:spPr>
            <a:pattFill prst="lgConfetti">
              <a:fgClr>
                <a:srgbClr val="800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'テストエラー分析図（エラー現象‐エラー原因）'!$F$34:$K$34</c:f>
              <c:numCache>
                <c:formatCode>0_ </c:formatCode>
                <c:ptCount val="6"/>
                <c:pt idx="0">
                  <c:v>4</c:v>
                </c:pt>
                <c:pt idx="1">
                  <c:v>0</c:v>
                </c:pt>
                <c:pt idx="2">
                  <c:v>0</c:v>
                </c:pt>
                <c:pt idx="3">
                  <c:v>8</c:v>
                </c:pt>
                <c:pt idx="4">
                  <c:v>0</c:v>
                </c:pt>
                <c:pt idx="5">
                  <c:v>0</c:v>
                </c:pt>
              </c:numCache>
            </c:numRef>
          </c:val>
          <c:extLst>
            <c:ext xmlns:c16="http://schemas.microsoft.com/office/drawing/2014/chart" uri="{C3380CC4-5D6E-409C-BE32-E72D297353CC}">
              <c16:uniqueId val="{00000011-1ECA-4413-85A3-6A958A34FD1D}"/>
            </c:ext>
          </c:extLst>
        </c:ser>
        <c:ser>
          <c:idx val="18"/>
          <c:order val="14"/>
          <c:tx>
            <c:strRef>
              <c:f>'テストエラー分析図（エラー現象‐エラー原因）'!$A$35</c:f>
              <c:strCache>
                <c:ptCount val="1"/>
                <c:pt idx="0">
                  <c:v>修正時のﾁｪｯｸ漏れ</c:v>
                </c:pt>
              </c:strCache>
            </c:strRef>
          </c:tx>
          <c:spPr>
            <a:pattFill prst="trellis">
              <a:fgClr>
                <a:srgbClr val="008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'テストエラー分析図（エラー現象‐エラー原因）'!$F$35:$K$35</c:f>
              <c:numCache>
                <c:formatCode>0_ </c:formatCode>
                <c:ptCount val="6"/>
                <c:pt idx="0">
                  <c:v>0</c:v>
                </c:pt>
                <c:pt idx="1">
                  <c:v>0</c:v>
                </c:pt>
                <c:pt idx="2">
                  <c:v>0</c:v>
                </c:pt>
                <c:pt idx="3">
                  <c:v>8</c:v>
                </c:pt>
                <c:pt idx="4">
                  <c:v>0</c:v>
                </c:pt>
                <c:pt idx="5">
                  <c:v>0</c:v>
                </c:pt>
              </c:numCache>
            </c:numRef>
          </c:val>
          <c:extLst>
            <c:ext xmlns:c16="http://schemas.microsoft.com/office/drawing/2014/chart" uri="{C3380CC4-5D6E-409C-BE32-E72D297353CC}">
              <c16:uniqueId val="{00000012-1ECA-4413-85A3-6A958A34FD1D}"/>
            </c:ext>
          </c:extLst>
        </c:ser>
        <c:ser>
          <c:idx val="20"/>
          <c:order val="15"/>
          <c:tx>
            <c:strRef>
              <c:f>'テストエラー分析図（エラー現象‐エラー原因）'!$A$36</c:f>
              <c:strCache>
                <c:ptCount val="1"/>
                <c:pt idx="0">
                  <c:v>その他</c:v>
                </c:pt>
              </c:strCache>
            </c:strRef>
          </c:tx>
          <c:spPr>
            <a:pattFill prst="weave">
              <a:fgClr>
                <a:srgbClr val="FFFF99"/>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'テストエラー分析図（エラー現象‐エラー原因）'!$F$36:$K$36</c:f>
              <c:numCache>
                <c:formatCode>0_ </c:formatCode>
                <c:ptCount val="6"/>
                <c:pt idx="0">
                  <c:v>0</c:v>
                </c:pt>
                <c:pt idx="1">
                  <c:v>0</c:v>
                </c:pt>
                <c:pt idx="2">
                  <c:v>0</c:v>
                </c:pt>
                <c:pt idx="3">
                  <c:v>3</c:v>
                </c:pt>
                <c:pt idx="4">
                  <c:v>0</c:v>
                </c:pt>
                <c:pt idx="5">
                  <c:v>0</c:v>
                </c:pt>
              </c:numCache>
            </c:numRef>
          </c:val>
          <c:extLst>
            <c:ext xmlns:c16="http://schemas.microsoft.com/office/drawing/2014/chart" uri="{C3380CC4-5D6E-409C-BE32-E72D297353CC}">
              <c16:uniqueId val="{00000013-1ECA-4413-85A3-6A958A34FD1D}"/>
            </c:ext>
          </c:extLst>
        </c:ser>
        <c:dLbls>
          <c:showLegendKey val="0"/>
          <c:showVal val="0"/>
          <c:showCatName val="0"/>
          <c:showSerName val="0"/>
          <c:showPercent val="0"/>
          <c:showBubbleSize val="0"/>
        </c:dLbls>
        <c:gapWidth val="150"/>
        <c:overlap val="100"/>
        <c:axId val="-2059165088"/>
        <c:axId val="-2059167808"/>
      </c:barChart>
      <c:catAx>
        <c:axId val="-2059165088"/>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エラー現象</a:t>
                </a:r>
              </a:p>
            </c:rich>
          </c:tx>
          <c:layout>
            <c:manualLayout>
              <c:xMode val="edge"/>
              <c:yMode val="edge"/>
              <c:x val="0.46921831942388231"/>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2059167808"/>
        <c:crosses val="autoZero"/>
        <c:auto val="1"/>
        <c:lblAlgn val="ctr"/>
        <c:lblOffset val="100"/>
        <c:tickLblSkip val="1"/>
        <c:tickMarkSkip val="1"/>
        <c:noMultiLvlLbl val="0"/>
      </c:catAx>
      <c:valAx>
        <c:axId val="-2059167808"/>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8618968394E-2"/>
              <c:y val="0.29438543247344467"/>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59165088"/>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8.4858569051580721E-2"/>
          <c:y val="0.8649468892261003"/>
          <c:w val="0.85357806979618389"/>
          <c:h val="0.1289833080424886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エラー分析図（エラー現象/摘出すべき工程）</a:t>
            </a:r>
          </a:p>
        </c:rich>
      </c:tx>
      <c:layout>
        <c:manualLayout>
          <c:xMode val="edge"/>
          <c:yMode val="edge"/>
          <c:x val="0.2695508943734975"/>
          <c:y val="2.7314112291350535E-2"/>
        </c:manualLayout>
      </c:layout>
      <c:overlay val="0"/>
      <c:spPr>
        <a:noFill/>
        <a:ln w="25400">
          <a:noFill/>
        </a:ln>
      </c:spPr>
    </c:title>
    <c:autoTitleDeleted val="0"/>
    <c:plotArea>
      <c:layout>
        <c:manualLayout>
          <c:layoutTarget val="inner"/>
          <c:xMode val="edge"/>
          <c:yMode val="edge"/>
          <c:x val="7.7310987814295434E-2"/>
          <c:y val="9.5599393019726878E-2"/>
          <c:w val="0.87563097067930262"/>
          <c:h val="0.52352048558421849"/>
        </c:manualLayout>
      </c:layout>
      <c:barChart>
        <c:barDir val="col"/>
        <c:grouping val="stacked"/>
        <c:varyColors val="0"/>
        <c:ser>
          <c:idx val="2"/>
          <c:order val="0"/>
          <c:tx>
            <c:strRef>
              <c:f>'テストエラー分析図（エラー現象‐摘出すべき工程）'!$A$20</c:f>
              <c:strCache>
                <c:ptCount val="1"/>
                <c:pt idx="0">
                  <c:v>製造（単体テスト）</c:v>
                </c:pt>
              </c:strCache>
            </c:strRef>
          </c:tx>
          <c:spPr>
            <a:pattFill prst="pct80">
              <a:fgClr>
                <a:srgbClr val="33CCCC"/>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'テストエラー分析図（エラー現象‐摘出すべき工程）'!$F$20:$K$20</c:f>
              <c:numCache>
                <c:formatCode>0_ </c:formatCode>
                <c:ptCount val="6"/>
                <c:pt idx="0">
                  <c:v>1</c:v>
                </c:pt>
                <c:pt idx="1">
                  <c:v>0</c:v>
                </c:pt>
                <c:pt idx="2">
                  <c:v>0</c:v>
                </c:pt>
                <c:pt idx="3">
                  <c:v>1</c:v>
                </c:pt>
                <c:pt idx="4">
                  <c:v>0</c:v>
                </c:pt>
                <c:pt idx="5">
                  <c:v>0</c:v>
                </c:pt>
              </c:numCache>
            </c:numRef>
          </c:val>
          <c:extLst>
            <c:ext xmlns:c16="http://schemas.microsoft.com/office/drawing/2014/chart" uri="{C3380CC4-5D6E-409C-BE32-E72D297353CC}">
              <c16:uniqueId val="{00000000-BE3F-4CCD-B892-CE7A1EFDF6F0}"/>
            </c:ext>
          </c:extLst>
        </c:ser>
        <c:ser>
          <c:idx val="3"/>
          <c:order val="1"/>
          <c:tx>
            <c:strRef>
              <c:f>'テストエラー分析図（エラー現象‐摘出すべき工程）'!$A$21</c:f>
              <c:strCache>
                <c:ptCount val="1"/>
                <c:pt idx="0">
                  <c:v>結合テスト</c:v>
                </c:pt>
              </c:strCache>
            </c:strRef>
          </c:tx>
          <c:spPr>
            <a:pattFill prst="divot">
              <a:fgClr>
                <a:srgbClr val="800080"/>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'テストエラー分析図（エラー現象‐摘出すべき工程）'!$F$21:$K$21</c:f>
              <c:numCache>
                <c:formatCode>0_ </c:formatCode>
                <c:ptCount val="6"/>
                <c:pt idx="0">
                  <c:v>0</c:v>
                </c:pt>
                <c:pt idx="1">
                  <c:v>2</c:v>
                </c:pt>
                <c:pt idx="2">
                  <c:v>1</c:v>
                </c:pt>
                <c:pt idx="3">
                  <c:v>0</c:v>
                </c:pt>
                <c:pt idx="4">
                  <c:v>1</c:v>
                </c:pt>
                <c:pt idx="5">
                  <c:v>1</c:v>
                </c:pt>
              </c:numCache>
            </c:numRef>
          </c:val>
          <c:extLst>
            <c:ext xmlns:c16="http://schemas.microsoft.com/office/drawing/2014/chart" uri="{C3380CC4-5D6E-409C-BE32-E72D297353CC}">
              <c16:uniqueId val="{00000001-BE3F-4CCD-B892-CE7A1EFDF6F0}"/>
            </c:ext>
          </c:extLst>
        </c:ser>
        <c:ser>
          <c:idx val="4"/>
          <c:order val="2"/>
          <c:tx>
            <c:strRef>
              <c:f>'テストエラー分析図（エラー現象‐摘出すべき工程）'!$A$22</c:f>
              <c:strCache>
                <c:ptCount val="1"/>
                <c:pt idx="0">
                  <c:v>システムテスト</c:v>
                </c:pt>
              </c:strCache>
            </c:strRef>
          </c:tx>
          <c:spPr>
            <a:pattFill prst="narVert">
              <a:fgClr>
                <a:srgbClr val="00FF00"/>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'テストエラー分析図（エラー現象‐摘出すべき工程）'!$F$22:$K$22</c:f>
              <c:numCache>
                <c:formatCode>0_ </c:formatCode>
                <c:ptCount val="6"/>
                <c:pt idx="0">
                  <c:v>1</c:v>
                </c:pt>
                <c:pt idx="1">
                  <c:v>1</c:v>
                </c:pt>
                <c:pt idx="2">
                  <c:v>0</c:v>
                </c:pt>
                <c:pt idx="3">
                  <c:v>1</c:v>
                </c:pt>
                <c:pt idx="4">
                  <c:v>0</c:v>
                </c:pt>
                <c:pt idx="5">
                  <c:v>1</c:v>
                </c:pt>
              </c:numCache>
            </c:numRef>
          </c:val>
          <c:extLst>
            <c:ext xmlns:c16="http://schemas.microsoft.com/office/drawing/2014/chart" uri="{C3380CC4-5D6E-409C-BE32-E72D297353CC}">
              <c16:uniqueId val="{00000002-BE3F-4CCD-B892-CE7A1EFDF6F0}"/>
            </c:ext>
          </c:extLst>
        </c:ser>
        <c:dLbls>
          <c:showLegendKey val="0"/>
          <c:showVal val="0"/>
          <c:showCatName val="0"/>
          <c:showSerName val="0"/>
          <c:showPercent val="0"/>
          <c:showBubbleSize val="0"/>
        </c:dLbls>
        <c:gapWidth val="150"/>
        <c:overlap val="100"/>
        <c:axId val="-2059174880"/>
        <c:axId val="-2059167264"/>
      </c:barChart>
      <c:catAx>
        <c:axId val="-2059174880"/>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エラー現象</a:t>
                </a:r>
              </a:p>
            </c:rich>
          </c:tx>
          <c:layout>
            <c:manualLayout>
              <c:xMode val="edge"/>
              <c:yMode val="edge"/>
              <c:x val="0.46921828889035933"/>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2059167264"/>
        <c:crosses val="autoZero"/>
        <c:auto val="1"/>
        <c:lblAlgn val="ctr"/>
        <c:lblOffset val="100"/>
        <c:tickLblSkip val="1"/>
        <c:tickMarkSkip val="1"/>
        <c:noMultiLvlLbl val="0"/>
      </c:catAx>
      <c:valAx>
        <c:axId val="-2059167264"/>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9793334661E-2"/>
              <c:y val="0.29438543247344467"/>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59174880"/>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24201698317122133"/>
          <c:y val="0.88012139605462825"/>
          <c:w val="0.53949632766492428"/>
          <c:h val="9.1047040971168447E-2"/>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エラー分析図（摘出すべき工程/エラー原因）</a:t>
            </a:r>
          </a:p>
        </c:rich>
      </c:tx>
      <c:layout>
        <c:manualLayout>
          <c:xMode val="edge"/>
          <c:yMode val="edge"/>
          <c:x val="0.26955092343906267"/>
          <c:y val="2.7314112291350535E-2"/>
        </c:manualLayout>
      </c:layout>
      <c:overlay val="0"/>
      <c:spPr>
        <a:noFill/>
        <a:ln w="25400">
          <a:noFill/>
        </a:ln>
      </c:spPr>
    </c:title>
    <c:autoTitleDeleted val="0"/>
    <c:plotArea>
      <c:layout>
        <c:manualLayout>
          <c:layoutTarget val="inner"/>
          <c:xMode val="edge"/>
          <c:yMode val="edge"/>
          <c:x val="8.6522532857455065E-2"/>
          <c:y val="9.5599393019726878E-2"/>
          <c:w val="0.86688922343719432"/>
          <c:h val="0.5811836115326251"/>
        </c:manualLayout>
      </c:layout>
      <c:barChart>
        <c:barDir val="col"/>
        <c:grouping val="stacked"/>
        <c:varyColors val="0"/>
        <c:ser>
          <c:idx val="1"/>
          <c:order val="0"/>
          <c:tx>
            <c:strRef>
              <c:f>'テストエラー分析図（摘出すべき工程‐エラー原因）'!$A$21</c:f>
              <c:strCache>
                <c:ptCount val="1"/>
                <c:pt idx="0">
                  <c:v>仕様書不備・記述漏れ</c:v>
                </c:pt>
              </c:strCache>
            </c:strRef>
          </c:tx>
          <c:spPr>
            <a:pattFill prst="pct80">
              <a:fgClr>
                <a:srgbClr val="33CCCC"/>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'テストエラー分析図（摘出すべき工程‐エラー原因）'!$F$21:$H$21</c:f>
              <c:numCache>
                <c:formatCode>0_ </c:formatCode>
                <c:ptCount val="3"/>
                <c:pt idx="0">
                  <c:v>1</c:v>
                </c:pt>
                <c:pt idx="1">
                  <c:v>2</c:v>
                </c:pt>
                <c:pt idx="2">
                  <c:v>3</c:v>
                </c:pt>
              </c:numCache>
            </c:numRef>
          </c:val>
          <c:extLst>
            <c:ext xmlns:c16="http://schemas.microsoft.com/office/drawing/2014/chart" uri="{C3380CC4-5D6E-409C-BE32-E72D297353CC}">
              <c16:uniqueId val="{00000001-2964-4070-9D64-C3F2824CF944}"/>
            </c:ext>
          </c:extLst>
        </c:ser>
        <c:ser>
          <c:idx val="2"/>
          <c:order val="1"/>
          <c:tx>
            <c:strRef>
              <c:f>'テストエラー分析図（摘出すべき工程‐エラー原因）'!$A$22</c:f>
              <c:strCache>
                <c:ptCount val="1"/>
                <c:pt idx="0">
                  <c:v>仕様書不備・記述誤り</c:v>
                </c:pt>
              </c:strCache>
            </c:strRef>
          </c:tx>
          <c:spPr>
            <a:pattFill prst="divot">
              <a:fgClr>
                <a:srgbClr val="800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'テストエラー分析図（摘出すべき工程‐エラー原因）'!$F$22:$H$22</c:f>
              <c:numCache>
                <c:formatCode>0_ </c:formatCode>
                <c:ptCount val="3"/>
                <c:pt idx="0">
                  <c:v>0</c:v>
                </c:pt>
                <c:pt idx="1">
                  <c:v>3</c:v>
                </c:pt>
                <c:pt idx="2">
                  <c:v>0</c:v>
                </c:pt>
              </c:numCache>
            </c:numRef>
          </c:val>
          <c:extLst>
            <c:ext xmlns:c16="http://schemas.microsoft.com/office/drawing/2014/chart" uri="{C3380CC4-5D6E-409C-BE32-E72D297353CC}">
              <c16:uniqueId val="{00000002-2964-4070-9D64-C3F2824CF944}"/>
            </c:ext>
          </c:extLst>
        </c:ser>
        <c:ser>
          <c:idx val="3"/>
          <c:order val="2"/>
          <c:tx>
            <c:strRef>
              <c:f>'テストエラー分析図（摘出すべき工程‐エラー原因）'!$A$23</c:f>
              <c:strCache>
                <c:ptCount val="1"/>
                <c:pt idx="0">
                  <c:v>仕様書不備・不明確（曖昧）</c:v>
                </c:pt>
              </c:strCache>
            </c:strRef>
          </c:tx>
          <c:spPr>
            <a:pattFill prst="narVert">
              <a:fgClr>
                <a:srgbClr val="00FF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'テストエラー分析図（摘出すべき工程‐エラー原因）'!$F$23:$H$23</c:f>
              <c:numCache>
                <c:formatCode>0_ </c:formatCode>
                <c:ptCount val="3"/>
                <c:pt idx="0">
                  <c:v>1</c:v>
                </c:pt>
                <c:pt idx="1">
                  <c:v>0</c:v>
                </c:pt>
                <c:pt idx="2">
                  <c:v>1</c:v>
                </c:pt>
              </c:numCache>
            </c:numRef>
          </c:val>
          <c:extLst>
            <c:ext xmlns:c16="http://schemas.microsoft.com/office/drawing/2014/chart" uri="{C3380CC4-5D6E-409C-BE32-E72D297353CC}">
              <c16:uniqueId val="{00000003-2964-4070-9D64-C3F2824CF944}"/>
            </c:ext>
          </c:extLst>
        </c:ser>
        <c:ser>
          <c:idx val="4"/>
          <c:order val="3"/>
          <c:tx>
            <c:strRef>
              <c:f>'テストエラー分析図（摘出すべき工程‐エラー原因）'!$A$24</c:f>
              <c:strCache>
                <c:ptCount val="1"/>
                <c:pt idx="0">
                  <c:v>仕様書不備・標準違反</c:v>
                </c:pt>
              </c:strCache>
            </c:strRef>
          </c:tx>
          <c:spPr>
            <a:pattFill prst="pct40">
              <a:fgClr>
                <a:srgbClr val="FF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'テストエラー分析図（摘出すべき工程‐エラー原因）'!$F$24:$H$24</c:f>
              <c:numCache>
                <c:formatCode>0_ </c:formatCode>
                <c:ptCount val="3"/>
                <c:pt idx="0">
                  <c:v>1</c:v>
                </c:pt>
                <c:pt idx="1">
                  <c:v>0</c:v>
                </c:pt>
                <c:pt idx="2">
                  <c:v>0</c:v>
                </c:pt>
              </c:numCache>
            </c:numRef>
          </c:val>
          <c:extLst>
            <c:ext xmlns:c16="http://schemas.microsoft.com/office/drawing/2014/chart" uri="{C3380CC4-5D6E-409C-BE32-E72D297353CC}">
              <c16:uniqueId val="{00000004-2964-4070-9D64-C3F2824CF944}"/>
            </c:ext>
          </c:extLst>
        </c:ser>
        <c:ser>
          <c:idx val="5"/>
          <c:order val="4"/>
          <c:tx>
            <c:strRef>
              <c:f>'テストエラー分析図（摘出すべき工程‐エラー原因）'!$A$25</c:f>
              <c:strCache>
                <c:ptCount val="1"/>
                <c:pt idx="0">
                  <c:v>仕様書不備・ﾄﾞｷｭﾒﾝﾄ修正漏れ</c:v>
                </c:pt>
              </c:strCache>
            </c:strRef>
          </c:tx>
          <c:spPr>
            <a:pattFill prst="wdDnDiag">
              <a:fgClr>
                <a:srgbClr val="FFCC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'テストエラー分析図（摘出すべき工程‐エラー原因）'!$F$25:$H$25</c:f>
              <c:numCache>
                <c:formatCode>0_ </c:formatCode>
                <c:ptCount val="3"/>
                <c:pt idx="0">
                  <c:v>0</c:v>
                </c:pt>
                <c:pt idx="1">
                  <c:v>0</c:v>
                </c:pt>
                <c:pt idx="2">
                  <c:v>1</c:v>
                </c:pt>
              </c:numCache>
            </c:numRef>
          </c:val>
          <c:extLst>
            <c:ext xmlns:c16="http://schemas.microsoft.com/office/drawing/2014/chart" uri="{C3380CC4-5D6E-409C-BE32-E72D297353CC}">
              <c16:uniqueId val="{00000005-2964-4070-9D64-C3F2824CF944}"/>
            </c:ext>
          </c:extLst>
        </c:ser>
        <c:ser>
          <c:idx val="6"/>
          <c:order val="5"/>
          <c:tx>
            <c:strRef>
              <c:f>'テストエラー分析図（摘出すべき工程‐エラー原因）'!$A$26</c:f>
              <c:strCache>
                <c:ptCount val="1"/>
                <c:pt idx="0">
                  <c:v>仕様書不備・ﾄﾞｷｭﾒﾝﾄ間不整合</c:v>
                </c:pt>
              </c:strCache>
            </c:strRef>
          </c:tx>
          <c:spPr>
            <a:pattFill prst="ltUpDiag">
              <a:fgClr>
                <a:srgbClr val="993366"/>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'テストエラー分析図（摘出すべき工程‐エラー原因）'!$F$26:$H$26</c:f>
              <c:numCache>
                <c:formatCode>0_ </c:formatCode>
                <c:ptCount val="3"/>
                <c:pt idx="0">
                  <c:v>0</c:v>
                </c:pt>
                <c:pt idx="1">
                  <c:v>1</c:v>
                </c:pt>
                <c:pt idx="2">
                  <c:v>0</c:v>
                </c:pt>
              </c:numCache>
            </c:numRef>
          </c:val>
          <c:extLst>
            <c:ext xmlns:c16="http://schemas.microsoft.com/office/drawing/2014/chart" uri="{C3380CC4-5D6E-409C-BE32-E72D297353CC}">
              <c16:uniqueId val="{00000006-2964-4070-9D64-C3F2824CF944}"/>
            </c:ext>
          </c:extLst>
        </c:ser>
        <c:ser>
          <c:idx val="8"/>
          <c:order val="6"/>
          <c:tx>
            <c:strRef>
              <c:f>'テストエラー分析図（摘出すべき工程‐エラー原因）'!$A$27</c:f>
              <c:strCache>
                <c:ptCount val="1"/>
                <c:pt idx="0">
                  <c:v>仕様の見落とし</c:v>
                </c:pt>
              </c:strCache>
            </c:strRef>
          </c:tx>
          <c:spPr>
            <a:pattFill prst="openDmnd">
              <a:fgClr>
                <a:srgbClr val="00FF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'テストエラー分析図（摘出すべき工程‐エラー原因）'!$F$27:$H$27</c:f>
              <c:numCache>
                <c:formatCode>0_ </c:formatCode>
                <c:ptCount val="3"/>
                <c:pt idx="0">
                  <c:v>1</c:v>
                </c:pt>
                <c:pt idx="1">
                  <c:v>0</c:v>
                </c:pt>
                <c:pt idx="2">
                  <c:v>0</c:v>
                </c:pt>
              </c:numCache>
            </c:numRef>
          </c:val>
          <c:extLst>
            <c:ext xmlns:c16="http://schemas.microsoft.com/office/drawing/2014/chart" uri="{C3380CC4-5D6E-409C-BE32-E72D297353CC}">
              <c16:uniqueId val="{00000007-2964-4070-9D64-C3F2824CF944}"/>
            </c:ext>
          </c:extLst>
        </c:ser>
        <c:ser>
          <c:idx val="9"/>
          <c:order val="7"/>
          <c:tx>
            <c:strRef>
              <c:f>'テストエラー分析図（摘出すべき工程‐エラー原因）'!$A$28</c:f>
              <c:strCache>
                <c:ptCount val="1"/>
                <c:pt idx="0">
                  <c:v>仕様の理解不足</c:v>
                </c:pt>
              </c:strCache>
            </c:strRef>
          </c:tx>
          <c:spPr>
            <a:pattFill prst="smCheck">
              <a:fgClr>
                <a:srgbClr val="FF00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'テストエラー分析図（摘出すべき工程‐エラー原因）'!$F$28:$H$28</c:f>
              <c:numCache>
                <c:formatCode>0_ </c:formatCode>
                <c:ptCount val="3"/>
                <c:pt idx="0">
                  <c:v>0</c:v>
                </c:pt>
                <c:pt idx="1">
                  <c:v>0</c:v>
                </c:pt>
                <c:pt idx="2">
                  <c:v>1</c:v>
                </c:pt>
              </c:numCache>
            </c:numRef>
          </c:val>
          <c:extLst>
            <c:ext xmlns:c16="http://schemas.microsoft.com/office/drawing/2014/chart" uri="{C3380CC4-5D6E-409C-BE32-E72D297353CC}">
              <c16:uniqueId val="{00000008-2964-4070-9D64-C3F2824CF944}"/>
            </c:ext>
          </c:extLst>
        </c:ser>
        <c:ser>
          <c:idx val="10"/>
          <c:order val="8"/>
          <c:tx>
            <c:strRef>
              <c:f>'テストエラー分析図（摘出すべき工程‐エラー原因）'!$A$29</c:f>
              <c:strCache>
                <c:ptCount val="1"/>
                <c:pt idx="0">
                  <c:v>仕様の認識不足</c:v>
                </c:pt>
              </c:strCache>
            </c:strRef>
          </c:tx>
          <c:spPr>
            <a:pattFill prst="dotDmnd">
              <a:fgClr>
                <a:srgbClr val="0080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'テストエラー分析図（摘出すべき工程‐エラー原因）'!$F$29:$H$29</c:f>
              <c:numCache>
                <c:formatCode>0_ </c:formatCode>
                <c:ptCount val="3"/>
                <c:pt idx="0">
                  <c:v>0</c:v>
                </c:pt>
                <c:pt idx="1">
                  <c:v>1</c:v>
                </c:pt>
                <c:pt idx="2">
                  <c:v>0</c:v>
                </c:pt>
              </c:numCache>
            </c:numRef>
          </c:val>
          <c:extLst>
            <c:ext xmlns:c16="http://schemas.microsoft.com/office/drawing/2014/chart" uri="{C3380CC4-5D6E-409C-BE32-E72D297353CC}">
              <c16:uniqueId val="{00000009-2964-4070-9D64-C3F2824CF944}"/>
            </c:ext>
          </c:extLst>
        </c:ser>
        <c:ser>
          <c:idx val="11"/>
          <c:order val="9"/>
          <c:tx>
            <c:strRef>
              <c:f>'テストエラー分析図（摘出すべき工程‐エラー原因）'!$A$30</c:f>
              <c:strCache>
                <c:ptCount val="1"/>
                <c:pt idx="0">
                  <c:v>仕様の検討粗漏</c:v>
                </c:pt>
              </c:strCache>
            </c:strRef>
          </c:tx>
          <c:spPr>
            <a:pattFill prst="wave">
              <a:fgClr>
                <a:srgbClr val="333399"/>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'テストエラー分析図（摘出すべき工程‐エラー原因）'!$F$30:$H$30</c:f>
              <c:numCache>
                <c:formatCode>0_ </c:formatCode>
                <c:ptCount val="3"/>
                <c:pt idx="0">
                  <c:v>0</c:v>
                </c:pt>
                <c:pt idx="1">
                  <c:v>1</c:v>
                </c:pt>
                <c:pt idx="2">
                  <c:v>0</c:v>
                </c:pt>
              </c:numCache>
            </c:numRef>
          </c:val>
          <c:extLst>
            <c:ext xmlns:c16="http://schemas.microsoft.com/office/drawing/2014/chart" uri="{C3380CC4-5D6E-409C-BE32-E72D297353CC}">
              <c16:uniqueId val="{0000000A-2964-4070-9D64-C3F2824CF944}"/>
            </c:ext>
          </c:extLst>
        </c:ser>
        <c:ser>
          <c:idx val="13"/>
          <c:order val="10"/>
          <c:tx>
            <c:strRef>
              <c:f>'テストエラー分析図（摘出すべき工程‐エラー原因）'!$A$31</c:f>
              <c:strCache>
                <c:ptCount val="1"/>
                <c:pt idx="0">
                  <c:v>言語用法の知識不足</c:v>
                </c:pt>
              </c:strCache>
            </c:strRef>
          </c:tx>
          <c:spPr>
            <a:pattFill prst="dashUpDiag">
              <a:fgClr>
                <a:srgbClr val="FF66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'テストエラー分析図（摘出すべき工程‐エラー原因）'!$F$31:$H$31</c:f>
              <c:numCache>
                <c:formatCode>0_ </c:formatCode>
                <c:ptCount val="3"/>
                <c:pt idx="0">
                  <c:v>0</c:v>
                </c:pt>
                <c:pt idx="1">
                  <c:v>0</c:v>
                </c:pt>
                <c:pt idx="2">
                  <c:v>1</c:v>
                </c:pt>
              </c:numCache>
            </c:numRef>
          </c:val>
          <c:extLst>
            <c:ext xmlns:c16="http://schemas.microsoft.com/office/drawing/2014/chart" uri="{C3380CC4-5D6E-409C-BE32-E72D297353CC}">
              <c16:uniqueId val="{0000000B-2964-4070-9D64-C3F2824CF944}"/>
            </c:ext>
          </c:extLst>
        </c:ser>
        <c:ser>
          <c:idx val="14"/>
          <c:order val="11"/>
          <c:tx>
            <c:strRef>
              <c:f>'テストエラー分析図（摘出すべき工程‐エラー原因）'!$A$32</c:f>
              <c:strCache>
                <c:ptCount val="1"/>
                <c:pt idx="0">
                  <c:v>周知連絡の不徹底</c:v>
                </c:pt>
              </c:strCache>
            </c:strRef>
          </c:tx>
          <c:spPr>
            <a:pattFill prst="pct50">
              <a:fgClr>
                <a:srgbClr val="00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'テストエラー分析図（摘出すべき工程‐エラー原因）'!$F$32:$H$32</c:f>
              <c:numCache>
                <c:formatCode>0_ </c:formatCode>
                <c:ptCount val="3"/>
                <c:pt idx="0">
                  <c:v>0</c:v>
                </c:pt>
                <c:pt idx="1">
                  <c:v>0</c:v>
                </c:pt>
                <c:pt idx="2">
                  <c:v>1</c:v>
                </c:pt>
              </c:numCache>
            </c:numRef>
          </c:val>
          <c:extLst>
            <c:ext xmlns:c16="http://schemas.microsoft.com/office/drawing/2014/chart" uri="{C3380CC4-5D6E-409C-BE32-E72D297353CC}">
              <c16:uniqueId val="{0000000C-2964-4070-9D64-C3F2824CF944}"/>
            </c:ext>
          </c:extLst>
        </c:ser>
        <c:ser>
          <c:idx val="15"/>
          <c:order val="12"/>
          <c:tx>
            <c:strRef>
              <c:f>'テストエラー分析図（摘出すべき工程‐エラー原因）'!$A$33</c:f>
              <c:strCache>
                <c:ptCount val="1"/>
                <c:pt idx="0">
                  <c:v>標準違反</c:v>
                </c:pt>
              </c:strCache>
            </c:strRef>
          </c:tx>
          <c:spPr>
            <a:pattFill prst="pct10">
              <a:fgClr>
                <a:srgbClr val="FF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'テストエラー分析図（摘出すべき工程‐エラー原因）'!$F$33:$H$33</c:f>
              <c:numCache>
                <c:formatCode>0_ </c:formatCode>
                <c:ptCount val="3"/>
                <c:pt idx="0">
                  <c:v>0</c:v>
                </c:pt>
                <c:pt idx="1">
                  <c:v>1</c:v>
                </c:pt>
                <c:pt idx="2">
                  <c:v>0</c:v>
                </c:pt>
              </c:numCache>
            </c:numRef>
          </c:val>
          <c:extLst>
            <c:ext xmlns:c16="http://schemas.microsoft.com/office/drawing/2014/chart" uri="{C3380CC4-5D6E-409C-BE32-E72D297353CC}">
              <c16:uniqueId val="{0000000D-2964-4070-9D64-C3F2824CF944}"/>
            </c:ext>
          </c:extLst>
        </c:ser>
        <c:ser>
          <c:idx val="16"/>
          <c:order val="13"/>
          <c:tx>
            <c:strRef>
              <c:f>'テストエラー分析図（摘出すべき工程‐エラー原因）'!$A$34</c:f>
              <c:strCache>
                <c:ptCount val="1"/>
                <c:pt idx="0">
                  <c:v>再利用時のﾁｪｯｸ漏れ</c:v>
                </c:pt>
              </c:strCache>
            </c:strRef>
          </c:tx>
          <c:spPr>
            <a:pattFill prst="lgConfetti">
              <a:fgClr>
                <a:srgbClr val="800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'テストエラー分析図（摘出すべき工程‐エラー原因）'!$F$34:$H$34</c:f>
              <c:numCache>
                <c:formatCode>0_ </c:formatCode>
                <c:ptCount val="3"/>
                <c:pt idx="0">
                  <c:v>0</c:v>
                </c:pt>
                <c:pt idx="1">
                  <c:v>2</c:v>
                </c:pt>
                <c:pt idx="2">
                  <c:v>0</c:v>
                </c:pt>
              </c:numCache>
            </c:numRef>
          </c:val>
          <c:extLst>
            <c:ext xmlns:c16="http://schemas.microsoft.com/office/drawing/2014/chart" uri="{C3380CC4-5D6E-409C-BE32-E72D297353CC}">
              <c16:uniqueId val="{0000000E-2964-4070-9D64-C3F2824CF944}"/>
            </c:ext>
          </c:extLst>
        </c:ser>
        <c:ser>
          <c:idx val="0"/>
          <c:order val="14"/>
          <c:tx>
            <c:strRef>
              <c:f>'テストエラー分析図（摘出すべき工程‐エラー原因）'!$A$35</c:f>
              <c:strCache>
                <c:ptCount val="1"/>
                <c:pt idx="0">
                  <c:v>修正時のﾁｪｯｸ漏れ</c:v>
                </c:pt>
              </c:strCache>
            </c:strRef>
          </c:tx>
          <c:spPr>
            <a:pattFill prst="trellis">
              <a:fgClr>
                <a:srgbClr val="008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'テストエラー分析図（摘出すべき工程‐エラー原因）'!$F$35:$H$35</c:f>
              <c:numCache>
                <c:formatCode>0_ </c:formatCode>
                <c:ptCount val="3"/>
                <c:pt idx="0">
                  <c:v>0</c:v>
                </c:pt>
                <c:pt idx="1">
                  <c:v>0</c:v>
                </c:pt>
                <c:pt idx="2">
                  <c:v>1</c:v>
                </c:pt>
              </c:numCache>
            </c:numRef>
          </c:val>
          <c:extLst>
            <c:ext xmlns:c16="http://schemas.microsoft.com/office/drawing/2014/chart" uri="{C3380CC4-5D6E-409C-BE32-E72D297353CC}">
              <c16:uniqueId val="{0000000F-2964-4070-9D64-C3F2824CF944}"/>
            </c:ext>
          </c:extLst>
        </c:ser>
        <c:ser>
          <c:idx val="18"/>
          <c:order val="15"/>
          <c:tx>
            <c:strRef>
              <c:f>'テストエラー分析図（摘出すべき工程‐エラー原因）'!$A$36</c:f>
              <c:strCache>
                <c:ptCount val="1"/>
                <c:pt idx="0">
                  <c:v>その他</c:v>
                </c:pt>
              </c:strCache>
            </c:strRef>
          </c:tx>
          <c:spPr>
            <a:pattFill prst="weave">
              <a:fgClr>
                <a:srgbClr val="FFFF99"/>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'テストエラー分析図（摘出すべき工程‐エラー原因）'!$F$36:$H$36</c:f>
              <c:numCache>
                <c:formatCode>0_ </c:formatCode>
                <c:ptCount val="3"/>
                <c:pt idx="0">
                  <c:v>0</c:v>
                </c:pt>
                <c:pt idx="1">
                  <c:v>0</c:v>
                </c:pt>
                <c:pt idx="2">
                  <c:v>1</c:v>
                </c:pt>
              </c:numCache>
            </c:numRef>
          </c:val>
          <c:extLst>
            <c:ext xmlns:c16="http://schemas.microsoft.com/office/drawing/2014/chart" uri="{C3380CC4-5D6E-409C-BE32-E72D297353CC}">
              <c16:uniqueId val="{00000010-2964-4070-9D64-C3F2824CF944}"/>
            </c:ext>
          </c:extLst>
        </c:ser>
        <c:dLbls>
          <c:showLegendKey val="0"/>
          <c:showVal val="0"/>
          <c:showCatName val="0"/>
          <c:showSerName val="0"/>
          <c:showPercent val="0"/>
          <c:showBubbleSize val="0"/>
        </c:dLbls>
        <c:gapWidth val="150"/>
        <c:overlap val="100"/>
        <c:axId val="-2059166176"/>
        <c:axId val="-2059164000"/>
      </c:barChart>
      <c:catAx>
        <c:axId val="-2059166176"/>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摘出すべきテスト工程</a:t>
                </a:r>
              </a:p>
            </c:rich>
          </c:tx>
          <c:layout>
            <c:manualLayout>
              <c:xMode val="edge"/>
              <c:yMode val="edge"/>
              <c:x val="0.42762098165349971"/>
              <c:y val="0.78300455235204869"/>
            </c:manualLayout>
          </c:layout>
          <c:overlay val="0"/>
          <c:spPr>
            <a:noFill/>
            <a:ln w="25400">
              <a:noFill/>
            </a:ln>
          </c:spPr>
        </c:title>
        <c:numFmt formatCode="General" sourceLinked="1"/>
        <c:majorTickMark val="in"/>
        <c:minorTickMark val="none"/>
        <c:tickLblPos val="nextTo"/>
        <c:spPr>
          <a:ln w="9525">
            <a:noFill/>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2059164000"/>
        <c:crosses val="autoZero"/>
        <c:auto val="1"/>
        <c:lblAlgn val="ctr"/>
        <c:lblOffset val="100"/>
        <c:tickLblSkip val="1"/>
        <c:tickMarkSkip val="1"/>
        <c:noMultiLvlLbl val="0"/>
      </c:catAx>
      <c:valAx>
        <c:axId val="-2059164000"/>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8618968394E-2"/>
              <c:y val="0.32321699544764809"/>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59166176"/>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8.4858569051580721E-2"/>
          <c:y val="0.86646433990895289"/>
          <c:w val="0.85357806979618389"/>
          <c:h val="0.1289833080424886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エラー分析図（混入工程/混入要因）</a:t>
            </a:r>
          </a:p>
        </c:rich>
      </c:tx>
      <c:layout>
        <c:manualLayout>
          <c:xMode val="edge"/>
          <c:yMode val="edge"/>
          <c:x val="0.26955096544795637"/>
          <c:y val="2.7314176401524948E-2"/>
        </c:manualLayout>
      </c:layout>
      <c:overlay val="0"/>
      <c:spPr>
        <a:noFill/>
        <a:ln w="25400">
          <a:noFill/>
        </a:ln>
      </c:spPr>
    </c:title>
    <c:autoTitleDeleted val="0"/>
    <c:plotArea>
      <c:layout>
        <c:manualLayout>
          <c:layoutTarget val="inner"/>
          <c:xMode val="edge"/>
          <c:yMode val="edge"/>
          <c:x val="0.13026064850467389"/>
          <c:y val="0.10017288052690612"/>
          <c:w val="0.81964008059094817"/>
          <c:h val="0.59585592727211389"/>
        </c:manualLayout>
      </c:layout>
      <c:barChart>
        <c:barDir val="col"/>
        <c:grouping val="stacked"/>
        <c:varyColors val="0"/>
        <c:ser>
          <c:idx val="1"/>
          <c:order val="0"/>
          <c:tx>
            <c:strRef>
              <c:f>'テストエラー分析図（混入工程-混入要因）'!$A$20</c:f>
              <c:strCache>
                <c:ptCount val="1"/>
                <c:pt idx="0">
                  <c:v>要求の確認不足</c:v>
                </c:pt>
              </c:strCache>
            </c:strRef>
          </c:tx>
          <c:spPr>
            <a:pattFill prst="pct80">
              <a:fgClr>
                <a:srgbClr val="33CCCC"/>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'テストエラー分析図（混入工程-混入要因）'!$F$20:$N$20</c:f>
              <c:numCache>
                <c:formatCode>0_ </c:formatCode>
                <c:ptCount val="9"/>
                <c:pt idx="0">
                  <c:v>1</c:v>
                </c:pt>
                <c:pt idx="1">
                  <c:v>2</c:v>
                </c:pt>
                <c:pt idx="2">
                  <c:v>3</c:v>
                </c:pt>
                <c:pt idx="3">
                  <c:v>2</c:v>
                </c:pt>
                <c:pt idx="4">
                  <c:v>0</c:v>
                </c:pt>
                <c:pt idx="5">
                  <c:v>0</c:v>
                </c:pt>
                <c:pt idx="6">
                  <c:v>0</c:v>
                </c:pt>
                <c:pt idx="7">
                  <c:v>0</c:v>
                </c:pt>
                <c:pt idx="8">
                  <c:v>0</c:v>
                </c:pt>
              </c:numCache>
            </c:numRef>
          </c:val>
          <c:extLst>
            <c:ext xmlns:c16="http://schemas.microsoft.com/office/drawing/2014/chart" uri="{C3380CC4-5D6E-409C-BE32-E72D297353CC}">
              <c16:uniqueId val="{00000001-6CEA-4043-8799-482D3F47DB41}"/>
            </c:ext>
          </c:extLst>
        </c:ser>
        <c:ser>
          <c:idx val="2"/>
          <c:order val="1"/>
          <c:tx>
            <c:strRef>
              <c:f>'テストエラー分析図（混入工程-混入要因）'!$A$21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'テストエラー分析図（混入工程-混入要因）'!$F$21:$N$21</c:f>
              <c:numCache>
                <c:formatCode>0_ </c:formatCode>
                <c:ptCount val="9"/>
                <c:pt idx="0">
                  <c:v>0</c:v>
                </c:pt>
                <c:pt idx="1">
                  <c:v>0</c:v>
                </c:pt>
                <c:pt idx="2">
                  <c:v>5</c:v>
                </c:pt>
                <c:pt idx="3">
                  <c:v>7</c:v>
                </c:pt>
                <c:pt idx="4">
                  <c:v>3</c:v>
                </c:pt>
                <c:pt idx="5">
                  <c:v>0</c:v>
                </c:pt>
                <c:pt idx="6">
                  <c:v>0</c:v>
                </c:pt>
                <c:pt idx="7">
                  <c:v>0</c:v>
                </c:pt>
                <c:pt idx="8">
                  <c:v>0</c:v>
                </c:pt>
              </c:numCache>
            </c:numRef>
          </c:val>
          <c:extLst>
            <c:ext xmlns:c16="http://schemas.microsoft.com/office/drawing/2014/chart" uri="{C3380CC4-5D6E-409C-BE32-E72D297353CC}">
              <c16:uniqueId val="{00000002-6CEA-4043-8799-482D3F47DB41}"/>
            </c:ext>
          </c:extLst>
        </c:ser>
        <c:ser>
          <c:idx val="3"/>
          <c:order val="2"/>
          <c:tx>
            <c:strRef>
              <c:f>'テストエラー分析図（混入工程-混入要因）'!$A$22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'テストエラー分析図（混入工程-混入要因）'!$F$22:$N$22</c:f>
              <c:numCache>
                <c:formatCode>0_ </c:formatCode>
                <c:ptCount val="9"/>
                <c:pt idx="0">
                  <c:v>0</c:v>
                </c:pt>
                <c:pt idx="1">
                  <c:v>0</c:v>
                </c:pt>
                <c:pt idx="2">
                  <c:v>5</c:v>
                </c:pt>
                <c:pt idx="3">
                  <c:v>3</c:v>
                </c:pt>
                <c:pt idx="4">
                  <c:v>4</c:v>
                </c:pt>
                <c:pt idx="5">
                  <c:v>0</c:v>
                </c:pt>
                <c:pt idx="6">
                  <c:v>0</c:v>
                </c:pt>
                <c:pt idx="7">
                  <c:v>0</c:v>
                </c:pt>
                <c:pt idx="8">
                  <c:v>0</c:v>
                </c:pt>
              </c:numCache>
            </c:numRef>
          </c:val>
          <c:extLst>
            <c:ext xmlns:c16="http://schemas.microsoft.com/office/drawing/2014/chart" uri="{C3380CC4-5D6E-409C-BE32-E72D297353CC}">
              <c16:uniqueId val="{00000003-6CEA-4043-8799-482D3F47DB41}"/>
            </c:ext>
          </c:extLst>
        </c:ser>
        <c:ser>
          <c:idx val="4"/>
          <c:order val="3"/>
          <c:tx>
            <c:strRef>
              <c:f>'テストエラー分析図（混入工程-混入要因）'!$A$23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'テストエラー分析図（混入工程-混入要因）'!$F$23:$N$23</c:f>
              <c:numCache>
                <c:formatCode>0_ </c:formatCode>
                <c:ptCount val="9"/>
                <c:pt idx="0">
                  <c:v>0</c:v>
                </c:pt>
                <c:pt idx="1">
                  <c:v>0</c:v>
                </c:pt>
                <c:pt idx="2">
                  <c:v>7</c:v>
                </c:pt>
                <c:pt idx="3">
                  <c:v>4</c:v>
                </c:pt>
                <c:pt idx="4">
                  <c:v>3</c:v>
                </c:pt>
                <c:pt idx="5">
                  <c:v>0</c:v>
                </c:pt>
                <c:pt idx="6">
                  <c:v>0</c:v>
                </c:pt>
                <c:pt idx="7">
                  <c:v>0</c:v>
                </c:pt>
                <c:pt idx="8">
                  <c:v>0</c:v>
                </c:pt>
              </c:numCache>
            </c:numRef>
          </c:val>
          <c:extLst>
            <c:ext xmlns:c16="http://schemas.microsoft.com/office/drawing/2014/chart" uri="{C3380CC4-5D6E-409C-BE32-E72D297353CC}">
              <c16:uniqueId val="{00000004-6CEA-4043-8799-482D3F47DB41}"/>
            </c:ext>
          </c:extLst>
        </c:ser>
        <c:ser>
          <c:idx val="5"/>
          <c:order val="4"/>
          <c:tx>
            <c:strRef>
              <c:f>'テストエラー分析図（混入工程-混入要因）'!$A$24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'テストエラー分析図（混入工程-混入要因）'!$F$24:$N$24</c:f>
              <c:numCache>
                <c:formatCode>0_ </c:formatCode>
                <c:ptCount val="9"/>
                <c:pt idx="0">
                  <c:v>1</c:v>
                </c:pt>
                <c:pt idx="1">
                  <c:v>5</c:v>
                </c:pt>
                <c:pt idx="2">
                  <c:v>3</c:v>
                </c:pt>
                <c:pt idx="3">
                  <c:v>3</c:v>
                </c:pt>
                <c:pt idx="4">
                  <c:v>0</c:v>
                </c:pt>
                <c:pt idx="5">
                  <c:v>0</c:v>
                </c:pt>
                <c:pt idx="6">
                  <c:v>0</c:v>
                </c:pt>
                <c:pt idx="7">
                  <c:v>0</c:v>
                </c:pt>
                <c:pt idx="8">
                  <c:v>0</c:v>
                </c:pt>
              </c:numCache>
            </c:numRef>
          </c:val>
          <c:extLst>
            <c:ext xmlns:c16="http://schemas.microsoft.com/office/drawing/2014/chart" uri="{C3380CC4-5D6E-409C-BE32-E72D297353CC}">
              <c16:uniqueId val="{00000005-6CEA-4043-8799-482D3F47DB41}"/>
            </c:ext>
          </c:extLst>
        </c:ser>
        <c:ser>
          <c:idx val="6"/>
          <c:order val="5"/>
          <c:tx>
            <c:strRef>
              <c:f>'テストエラー分析図（混入工程-混入要因）'!$A$25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'テストエラー分析図（混入工程-混入要因）'!$F$25:$N$25</c:f>
              <c:numCache>
                <c:formatCode>0_ </c:formatCode>
                <c:ptCount val="9"/>
                <c:pt idx="0">
                  <c:v>0</c:v>
                </c:pt>
                <c:pt idx="1">
                  <c:v>0</c:v>
                </c:pt>
                <c:pt idx="2">
                  <c:v>6</c:v>
                </c:pt>
                <c:pt idx="3">
                  <c:v>4</c:v>
                </c:pt>
                <c:pt idx="4">
                  <c:v>6</c:v>
                </c:pt>
                <c:pt idx="5">
                  <c:v>7</c:v>
                </c:pt>
                <c:pt idx="6">
                  <c:v>0</c:v>
                </c:pt>
                <c:pt idx="7">
                  <c:v>0</c:v>
                </c:pt>
                <c:pt idx="8">
                  <c:v>0</c:v>
                </c:pt>
              </c:numCache>
            </c:numRef>
          </c:val>
          <c:extLst>
            <c:ext xmlns:c16="http://schemas.microsoft.com/office/drawing/2014/chart" uri="{C3380CC4-5D6E-409C-BE32-E72D297353CC}">
              <c16:uniqueId val="{00000006-6CEA-4043-8799-482D3F47DB41}"/>
            </c:ext>
          </c:extLst>
        </c:ser>
        <c:ser>
          <c:idx val="8"/>
          <c:order val="6"/>
          <c:tx>
            <c:strRef>
              <c:f>'テストエラー分析図（混入工程-混入要因）'!$A$26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'テストエラー分析図（混入工程-混入要因）'!$F$26:$N$26</c:f>
              <c:numCache>
                <c:formatCode>0_ </c:formatCode>
                <c:ptCount val="9"/>
                <c:pt idx="0">
                  <c:v>0</c:v>
                </c:pt>
                <c:pt idx="1">
                  <c:v>2</c:v>
                </c:pt>
                <c:pt idx="2">
                  <c:v>4</c:v>
                </c:pt>
                <c:pt idx="3">
                  <c:v>6</c:v>
                </c:pt>
                <c:pt idx="4">
                  <c:v>6</c:v>
                </c:pt>
                <c:pt idx="5">
                  <c:v>5</c:v>
                </c:pt>
                <c:pt idx="6">
                  <c:v>0</c:v>
                </c:pt>
                <c:pt idx="7">
                  <c:v>0</c:v>
                </c:pt>
                <c:pt idx="8">
                  <c:v>0</c:v>
                </c:pt>
              </c:numCache>
            </c:numRef>
          </c:val>
          <c:extLst>
            <c:ext xmlns:c16="http://schemas.microsoft.com/office/drawing/2014/chart" uri="{C3380CC4-5D6E-409C-BE32-E72D297353CC}">
              <c16:uniqueId val="{00000007-6CEA-4043-8799-482D3F47DB41}"/>
            </c:ext>
          </c:extLst>
        </c:ser>
        <c:ser>
          <c:idx val="9"/>
          <c:order val="7"/>
          <c:tx>
            <c:strRef>
              <c:f>'テストエラー分析図（混入工程-混入要因）'!$A$27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'テストエラー分析図（混入工程-混入要因）'!$F$27:$N$27</c:f>
              <c:numCache>
                <c:formatCode>0_ </c:formatCode>
                <c:ptCount val="9"/>
                <c:pt idx="0">
                  <c:v>0</c:v>
                </c:pt>
                <c:pt idx="1">
                  <c:v>0</c:v>
                </c:pt>
                <c:pt idx="2">
                  <c:v>3</c:v>
                </c:pt>
                <c:pt idx="3">
                  <c:v>6</c:v>
                </c:pt>
                <c:pt idx="4">
                  <c:v>8</c:v>
                </c:pt>
                <c:pt idx="5">
                  <c:v>6</c:v>
                </c:pt>
                <c:pt idx="6">
                  <c:v>0</c:v>
                </c:pt>
                <c:pt idx="7">
                  <c:v>0</c:v>
                </c:pt>
                <c:pt idx="8">
                  <c:v>0</c:v>
                </c:pt>
              </c:numCache>
            </c:numRef>
          </c:val>
          <c:extLst>
            <c:ext xmlns:c16="http://schemas.microsoft.com/office/drawing/2014/chart" uri="{C3380CC4-5D6E-409C-BE32-E72D297353CC}">
              <c16:uniqueId val="{00000008-6CEA-4043-8799-482D3F47DB41}"/>
            </c:ext>
          </c:extLst>
        </c:ser>
        <c:ser>
          <c:idx val="10"/>
          <c:order val="8"/>
          <c:tx>
            <c:strRef>
              <c:f>'テストエラー分析図（混入工程-混入要因）'!$A$28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'テストエラー分析図（混入工程-混入要因）'!$F$28:$N$28</c:f>
              <c:numCache>
                <c:formatCode>0_ </c:formatCode>
                <c:ptCount val="9"/>
                <c:pt idx="0">
                  <c:v>0</c:v>
                </c:pt>
                <c:pt idx="1">
                  <c:v>0</c:v>
                </c:pt>
                <c:pt idx="2">
                  <c:v>1</c:v>
                </c:pt>
                <c:pt idx="3">
                  <c:v>0</c:v>
                </c:pt>
                <c:pt idx="4">
                  <c:v>1</c:v>
                </c:pt>
                <c:pt idx="5">
                  <c:v>0</c:v>
                </c:pt>
                <c:pt idx="6">
                  <c:v>0</c:v>
                </c:pt>
                <c:pt idx="7">
                  <c:v>0</c:v>
                </c:pt>
                <c:pt idx="8">
                  <c:v>0</c:v>
                </c:pt>
              </c:numCache>
            </c:numRef>
          </c:val>
          <c:extLst>
            <c:ext xmlns:c16="http://schemas.microsoft.com/office/drawing/2014/chart" uri="{C3380CC4-5D6E-409C-BE32-E72D297353CC}">
              <c16:uniqueId val="{00000009-6CEA-4043-8799-482D3F47DB41}"/>
            </c:ext>
          </c:extLst>
        </c:ser>
        <c:dLbls>
          <c:showLegendKey val="0"/>
          <c:showVal val="0"/>
          <c:showCatName val="0"/>
          <c:showSerName val="0"/>
          <c:showPercent val="0"/>
          <c:showBubbleSize val="0"/>
        </c:dLbls>
        <c:gapWidth val="150"/>
        <c:overlap val="100"/>
        <c:axId val="-2059170528"/>
        <c:axId val="-2059174336"/>
      </c:barChart>
      <c:catAx>
        <c:axId val="-2059170528"/>
        <c:scaling>
          <c:orientation val="minMax"/>
        </c:scaling>
        <c:delete val="0"/>
        <c:axPos val="b"/>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混入工程</a:t>
                </a:r>
              </a:p>
            </c:rich>
          </c:tx>
          <c:layout>
            <c:manualLayout>
              <c:xMode val="edge"/>
              <c:yMode val="edge"/>
              <c:x val="0.42762101631083688"/>
              <c:y val="0.78300463737369641"/>
            </c:manualLayout>
          </c:layout>
          <c:overlay val="0"/>
          <c:spPr>
            <a:noFill/>
            <a:ln w="25400">
              <a:noFill/>
            </a:ln>
          </c:spPr>
        </c:title>
        <c:numFmt formatCode="General" sourceLinked="1"/>
        <c:majorTickMark val="in"/>
        <c:minorTickMark val="none"/>
        <c:tickLblPos val="nextTo"/>
        <c:spPr>
          <a:ln w="9525">
            <a:noFill/>
          </a:ln>
        </c:spPr>
        <c:txPr>
          <a:bodyPr rot="0" vert="horz"/>
          <a:lstStyle/>
          <a:p>
            <a:pPr>
              <a:defRPr sz="700" b="0" i="0" u="none" strike="noStrike" baseline="0">
                <a:solidFill>
                  <a:srgbClr val="000000"/>
                </a:solidFill>
                <a:latin typeface="ＭＳ Ｐゴシック"/>
                <a:ea typeface="ＭＳ Ｐゴシック"/>
                <a:cs typeface="ＭＳ Ｐゴシック"/>
              </a:defRPr>
            </a:pPr>
            <a:endParaRPr lang="ja-JP"/>
          </a:p>
        </c:txPr>
        <c:crossAx val="-2059174336"/>
        <c:crosses val="autoZero"/>
        <c:auto val="1"/>
        <c:lblAlgn val="ctr"/>
        <c:lblOffset val="100"/>
        <c:tickLblSkip val="1"/>
        <c:tickMarkSkip val="1"/>
        <c:noMultiLvlLbl val="0"/>
      </c:catAx>
      <c:valAx>
        <c:axId val="-2059174336"/>
        <c:scaling>
          <c:orientation val="minMax"/>
        </c:scaling>
        <c:delete val="0"/>
        <c:axPos val="l"/>
        <c:majorGridlines>
          <c:spPr>
            <a:ln w="3175">
              <a:solidFill>
                <a:srgbClr val="000000"/>
              </a:solidFill>
              <a:prstDash val="solid"/>
            </a:ln>
          </c:spPr>
        </c:majorGridlines>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混入要因件数（件）</a:t>
                </a:r>
              </a:p>
            </c:rich>
          </c:tx>
          <c:layout>
            <c:manualLayout>
              <c:xMode val="edge"/>
              <c:yMode val="edge"/>
              <c:x val="4.2084168336673354E-2"/>
              <c:y val="0.31088137298899821"/>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59170528"/>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7.2144288577154297E-2"/>
          <c:y val="0.8497423832383646"/>
          <c:w val="0.90380845680863053"/>
          <c:h val="0.1105355871966781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指摘原因分析</a:t>
            </a:r>
          </a:p>
        </c:rich>
      </c:tx>
      <c:layout>
        <c:manualLayout>
          <c:xMode val="edge"/>
          <c:yMode val="edge"/>
          <c:x val="0.3671225712170596"/>
          <c:y val="4.0453693288338977E-2"/>
        </c:manualLayout>
      </c:layout>
      <c:overlay val="0"/>
      <c:spPr>
        <a:noFill/>
        <a:ln w="25400">
          <a:noFill/>
        </a:ln>
      </c:spPr>
    </c:title>
    <c:autoTitleDeleted val="0"/>
    <c:plotArea>
      <c:layout>
        <c:manualLayout>
          <c:layoutTarget val="inner"/>
          <c:xMode val="edge"/>
          <c:yMode val="edge"/>
          <c:x val="9.8404008751047642E-2"/>
          <c:y val="0.16630874088770717"/>
          <c:w val="0.8477883830859485"/>
          <c:h val="0.42700892930627521"/>
        </c:manualLayout>
      </c:layout>
      <c:barChart>
        <c:barDir val="col"/>
        <c:grouping val="stacked"/>
        <c:varyColors val="0"/>
        <c:ser>
          <c:idx val="0"/>
          <c:order val="0"/>
          <c:tx>
            <c:strRef>
              <c:f>'品質管理（分析サマリ）'!$A$37</c:f>
              <c:strCache>
                <c:ptCount val="1"/>
                <c:pt idx="0">
                  <c:v>要求の確認不足</c:v>
                </c:pt>
              </c:strCache>
            </c:strRef>
          </c:tx>
          <c:spPr>
            <a:pattFill prst="pct80">
              <a:fgClr>
                <a:srgbClr val="33CCCC"/>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'品質管理（分析サマリ）'!$D$37:$J$37</c:f>
              <c:numCache>
                <c:formatCode>0_ </c:formatCode>
                <c:ptCount val="7"/>
                <c:pt idx="0">
                  <c:v>0</c:v>
                </c:pt>
                <c:pt idx="1">
                  <c:v>1</c:v>
                </c:pt>
                <c:pt idx="2">
                  <c:v>0</c:v>
                </c:pt>
                <c:pt idx="3">
                  <c:v>0</c:v>
                </c:pt>
                <c:pt idx="4">
                  <c:v>1</c:v>
                </c:pt>
                <c:pt idx="5">
                  <c:v>0</c:v>
                </c:pt>
                <c:pt idx="6">
                  <c:v>0</c:v>
                </c:pt>
              </c:numCache>
            </c:numRef>
          </c:val>
          <c:extLst>
            <c:ext xmlns:c16="http://schemas.microsoft.com/office/drawing/2014/chart" uri="{C3380CC4-5D6E-409C-BE32-E72D297353CC}">
              <c16:uniqueId val="{00000000-A369-48F5-8693-42A0E915D76B}"/>
            </c:ext>
          </c:extLst>
        </c:ser>
        <c:ser>
          <c:idx val="1"/>
          <c:order val="1"/>
          <c:tx>
            <c:strRef>
              <c:f>'品質管理（分析サマリ）'!$A$38</c:f>
              <c:strCache>
                <c:ptCount val="1"/>
                <c:pt idx="0">
                  <c:v>設計条件の確認不足</c:v>
                </c:pt>
              </c:strCache>
            </c:strRef>
          </c:tx>
          <c:spPr>
            <a:pattFill prst="divot">
              <a:fgClr>
                <a:srgbClr val="80008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'品質管理（分析サマリ）'!$D$38:$J$38</c:f>
              <c:numCache>
                <c:formatCode>0_ </c:formatCode>
                <c:ptCount val="7"/>
                <c:pt idx="0">
                  <c:v>1</c:v>
                </c:pt>
                <c:pt idx="1">
                  <c:v>0</c:v>
                </c:pt>
                <c:pt idx="2">
                  <c:v>3</c:v>
                </c:pt>
                <c:pt idx="3">
                  <c:v>1</c:v>
                </c:pt>
                <c:pt idx="4">
                  <c:v>0</c:v>
                </c:pt>
                <c:pt idx="5">
                  <c:v>1</c:v>
                </c:pt>
                <c:pt idx="6">
                  <c:v>0</c:v>
                </c:pt>
              </c:numCache>
            </c:numRef>
          </c:val>
          <c:extLst>
            <c:ext xmlns:c16="http://schemas.microsoft.com/office/drawing/2014/chart" uri="{C3380CC4-5D6E-409C-BE32-E72D297353CC}">
              <c16:uniqueId val="{00000001-A369-48F5-8693-42A0E915D76B}"/>
            </c:ext>
          </c:extLst>
        </c:ser>
        <c:ser>
          <c:idx val="2"/>
          <c:order val="2"/>
          <c:tx>
            <c:strRef>
              <c:f>'品質管理（分析サマリ）'!$A$39</c:f>
              <c:strCache>
                <c:ptCount val="1"/>
                <c:pt idx="0">
                  <c:v>実現方式の検討不足</c:v>
                </c:pt>
              </c:strCache>
            </c:strRef>
          </c:tx>
          <c:spPr>
            <a:pattFill prst="narVert">
              <a:fgClr>
                <a:srgbClr val="00FF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'品質管理（分析サマリ）'!$D$39:$J$39</c:f>
              <c:numCache>
                <c:formatCode>0_ </c:formatCode>
                <c:ptCount val="7"/>
                <c:pt idx="0">
                  <c:v>0</c:v>
                </c:pt>
                <c:pt idx="1">
                  <c:v>1</c:v>
                </c:pt>
                <c:pt idx="2">
                  <c:v>0</c:v>
                </c:pt>
                <c:pt idx="3">
                  <c:v>0</c:v>
                </c:pt>
                <c:pt idx="4">
                  <c:v>0</c:v>
                </c:pt>
                <c:pt idx="5">
                  <c:v>0</c:v>
                </c:pt>
                <c:pt idx="6">
                  <c:v>1</c:v>
                </c:pt>
              </c:numCache>
            </c:numRef>
          </c:val>
          <c:extLst>
            <c:ext xmlns:c16="http://schemas.microsoft.com/office/drawing/2014/chart" uri="{C3380CC4-5D6E-409C-BE32-E72D297353CC}">
              <c16:uniqueId val="{00000002-A369-48F5-8693-42A0E915D76B}"/>
            </c:ext>
          </c:extLst>
        </c:ser>
        <c:ser>
          <c:idx val="3"/>
          <c:order val="3"/>
          <c:tx>
            <c:strRef>
              <c:f>'品質管理（分析サマリ）'!$A$40</c:f>
              <c:strCache>
                <c:ptCount val="1"/>
                <c:pt idx="0">
                  <c:v>設計技術の習熟不足</c:v>
                </c:pt>
              </c:strCache>
            </c:strRef>
          </c:tx>
          <c:spPr>
            <a:pattFill prst="pct40">
              <a:fgClr>
                <a:srgbClr val="FF00FF"/>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'品質管理（分析サマリ）'!$D$40:$J$40</c:f>
              <c:numCache>
                <c:formatCode>0_ </c:formatCode>
                <c:ptCount val="7"/>
                <c:pt idx="0">
                  <c:v>2</c:v>
                </c:pt>
                <c:pt idx="1">
                  <c:v>0</c:v>
                </c:pt>
                <c:pt idx="2">
                  <c:v>0</c:v>
                </c:pt>
                <c:pt idx="3">
                  <c:v>0</c:v>
                </c:pt>
                <c:pt idx="4">
                  <c:v>1</c:v>
                </c:pt>
                <c:pt idx="5">
                  <c:v>0</c:v>
                </c:pt>
                <c:pt idx="6">
                  <c:v>0</c:v>
                </c:pt>
              </c:numCache>
            </c:numRef>
          </c:val>
          <c:extLst>
            <c:ext xmlns:c16="http://schemas.microsoft.com/office/drawing/2014/chart" uri="{C3380CC4-5D6E-409C-BE32-E72D297353CC}">
              <c16:uniqueId val="{00000003-A369-48F5-8693-42A0E915D76B}"/>
            </c:ext>
          </c:extLst>
        </c:ser>
        <c:ser>
          <c:idx val="4"/>
          <c:order val="4"/>
          <c:tx>
            <c:strRef>
              <c:f>'品質管理（分析サマリ）'!$A$41</c:f>
              <c:strCache>
                <c:ptCount val="1"/>
                <c:pt idx="0">
                  <c:v>業務知識の習熟不足</c:v>
                </c:pt>
              </c:strCache>
            </c:strRef>
          </c:tx>
          <c:spPr>
            <a:pattFill prst="wdDnDiag">
              <a:fgClr>
                <a:srgbClr val="FFCC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'品質管理（分析サマリ）'!$D$41:$J$41</c:f>
              <c:numCache>
                <c:formatCode>0_ </c:formatCode>
                <c:ptCount val="7"/>
                <c:pt idx="0">
                  <c:v>0</c:v>
                </c:pt>
                <c:pt idx="1">
                  <c:v>3</c:v>
                </c:pt>
                <c:pt idx="2">
                  <c:v>1</c:v>
                </c:pt>
                <c:pt idx="3">
                  <c:v>1</c:v>
                </c:pt>
                <c:pt idx="4">
                  <c:v>0</c:v>
                </c:pt>
                <c:pt idx="5">
                  <c:v>1</c:v>
                </c:pt>
                <c:pt idx="6">
                  <c:v>0</c:v>
                </c:pt>
              </c:numCache>
            </c:numRef>
          </c:val>
          <c:extLst>
            <c:ext xmlns:c16="http://schemas.microsoft.com/office/drawing/2014/chart" uri="{C3380CC4-5D6E-409C-BE32-E72D297353CC}">
              <c16:uniqueId val="{00000004-A369-48F5-8693-42A0E915D76B}"/>
            </c:ext>
          </c:extLst>
        </c:ser>
        <c:ser>
          <c:idx val="5"/>
          <c:order val="5"/>
          <c:tx>
            <c:strRef>
              <c:f>'品質管理（分析サマリ）'!$A$42</c:f>
              <c:strCache>
                <c:ptCount val="1"/>
                <c:pt idx="0">
                  <c:v>周知連絡の不徹底</c:v>
                </c:pt>
              </c:strCache>
            </c:strRef>
          </c:tx>
          <c:spPr>
            <a:pattFill prst="ltUpDiag">
              <a:fgClr>
                <a:srgbClr val="993366"/>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'品質管理（分析サマリ）'!$D$42:$J$42</c:f>
              <c:numCache>
                <c:formatCode>0_ </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05-A369-48F5-8693-42A0E915D76B}"/>
            </c:ext>
          </c:extLst>
        </c:ser>
        <c:ser>
          <c:idx val="6"/>
          <c:order val="6"/>
          <c:tx>
            <c:strRef>
              <c:f>'品質管理（分析サマリ）'!$A$43</c:f>
              <c:strCache>
                <c:ptCount val="1"/>
                <c:pt idx="0">
                  <c:v>表現上の配慮不足</c:v>
                </c:pt>
              </c:strCache>
            </c:strRef>
          </c:tx>
          <c:spPr>
            <a:pattFill prst="openDmnd">
              <a:fgClr>
                <a:srgbClr val="00FFFF"/>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'品質管理（分析サマリ）'!$D$43:$J$43</c:f>
              <c:numCache>
                <c:formatCode>0_ </c:formatCode>
                <c:ptCount val="7"/>
                <c:pt idx="0">
                  <c:v>1</c:v>
                </c:pt>
                <c:pt idx="1">
                  <c:v>0</c:v>
                </c:pt>
                <c:pt idx="2">
                  <c:v>1</c:v>
                </c:pt>
                <c:pt idx="3">
                  <c:v>0</c:v>
                </c:pt>
                <c:pt idx="4">
                  <c:v>0</c:v>
                </c:pt>
                <c:pt idx="5">
                  <c:v>0</c:v>
                </c:pt>
                <c:pt idx="6">
                  <c:v>0</c:v>
                </c:pt>
              </c:numCache>
            </c:numRef>
          </c:val>
          <c:extLst>
            <c:ext xmlns:c16="http://schemas.microsoft.com/office/drawing/2014/chart" uri="{C3380CC4-5D6E-409C-BE32-E72D297353CC}">
              <c16:uniqueId val="{00000006-A369-48F5-8693-42A0E915D76B}"/>
            </c:ext>
          </c:extLst>
        </c:ser>
        <c:ser>
          <c:idx val="7"/>
          <c:order val="7"/>
          <c:tx>
            <c:strRef>
              <c:f>'品質管理（分析サマリ）'!$A$44</c:f>
              <c:strCache>
                <c:ptCount val="1"/>
                <c:pt idx="0">
                  <c:v>修正ミス</c:v>
                </c:pt>
              </c:strCache>
            </c:strRef>
          </c:tx>
          <c:spPr>
            <a:pattFill prst="smCheck">
              <a:fgClr>
                <a:srgbClr val="FF00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'品質管理（分析サマリ）'!$D$44:$J$44</c:f>
              <c:numCache>
                <c:formatCode>0_ </c:formatCode>
                <c:ptCount val="7"/>
                <c:pt idx="0">
                  <c:v>0</c:v>
                </c:pt>
                <c:pt idx="1">
                  <c:v>0</c:v>
                </c:pt>
                <c:pt idx="2">
                  <c:v>0</c:v>
                </c:pt>
                <c:pt idx="3">
                  <c:v>1</c:v>
                </c:pt>
                <c:pt idx="4">
                  <c:v>1</c:v>
                </c:pt>
                <c:pt idx="5">
                  <c:v>0</c:v>
                </c:pt>
                <c:pt idx="6">
                  <c:v>1</c:v>
                </c:pt>
              </c:numCache>
            </c:numRef>
          </c:val>
          <c:extLst>
            <c:ext xmlns:c16="http://schemas.microsoft.com/office/drawing/2014/chart" uri="{C3380CC4-5D6E-409C-BE32-E72D297353CC}">
              <c16:uniqueId val="{00000007-A369-48F5-8693-42A0E915D76B}"/>
            </c:ext>
          </c:extLst>
        </c:ser>
        <c:ser>
          <c:idx val="8"/>
          <c:order val="8"/>
          <c:tx>
            <c:strRef>
              <c:f>'品質管理（分析サマリ）'!$A$45</c:f>
              <c:strCache>
                <c:ptCount val="1"/>
                <c:pt idx="0">
                  <c:v>その他</c:v>
                </c:pt>
              </c:strCache>
            </c:strRef>
          </c:tx>
          <c:spPr>
            <a:pattFill prst="dotDmnd">
              <a:fgClr>
                <a:srgbClr val="0080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'品質管理（分析サマリ）'!$D$45:$J$45</c:f>
              <c:numCache>
                <c:formatCode>0_ </c:formatCode>
                <c:ptCount val="7"/>
                <c:pt idx="0">
                  <c:v>0</c:v>
                </c:pt>
                <c:pt idx="1">
                  <c:v>1</c:v>
                </c:pt>
                <c:pt idx="2">
                  <c:v>0</c:v>
                </c:pt>
                <c:pt idx="3">
                  <c:v>0</c:v>
                </c:pt>
                <c:pt idx="4">
                  <c:v>0</c:v>
                </c:pt>
                <c:pt idx="5">
                  <c:v>0</c:v>
                </c:pt>
                <c:pt idx="6">
                  <c:v>0</c:v>
                </c:pt>
              </c:numCache>
            </c:numRef>
          </c:val>
          <c:extLst>
            <c:ext xmlns:c16="http://schemas.microsoft.com/office/drawing/2014/chart" uri="{C3380CC4-5D6E-409C-BE32-E72D297353CC}">
              <c16:uniqueId val="{00000008-A369-48F5-8693-42A0E915D76B}"/>
            </c:ext>
          </c:extLst>
        </c:ser>
        <c:dLbls>
          <c:showLegendKey val="0"/>
          <c:showVal val="0"/>
          <c:showCatName val="0"/>
          <c:showSerName val="0"/>
          <c:showPercent val="0"/>
          <c:showBubbleSize val="0"/>
        </c:dLbls>
        <c:gapWidth val="150"/>
        <c:overlap val="100"/>
        <c:axId val="-2059163456"/>
        <c:axId val="-2059178144"/>
      </c:barChart>
      <c:catAx>
        <c:axId val="-205916345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2059178144"/>
        <c:crosses val="autoZero"/>
        <c:auto val="1"/>
        <c:lblAlgn val="ctr"/>
        <c:lblOffset val="100"/>
        <c:tickLblSkip val="1"/>
        <c:tickMarkSkip val="1"/>
        <c:noMultiLvlLbl val="0"/>
      </c:catAx>
      <c:valAx>
        <c:axId val="-2059178144"/>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2059163456"/>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5750954207647125"/>
          <c:y val="0.79910714285714279"/>
          <c:w val="0.71428840625691037"/>
          <c:h val="0.17857142857142866"/>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指摘現象分析</a:t>
            </a:r>
          </a:p>
        </c:rich>
      </c:tx>
      <c:layout>
        <c:manualLayout>
          <c:xMode val="edge"/>
          <c:yMode val="edge"/>
          <c:x val="0.36712230971128612"/>
          <c:y val="4.0453693288338977E-2"/>
        </c:manualLayout>
      </c:layout>
      <c:overlay val="0"/>
      <c:spPr>
        <a:noFill/>
        <a:ln w="25400">
          <a:noFill/>
        </a:ln>
      </c:spPr>
    </c:title>
    <c:autoTitleDeleted val="0"/>
    <c:plotArea>
      <c:layout>
        <c:manualLayout>
          <c:layoutTarget val="inner"/>
          <c:xMode val="edge"/>
          <c:yMode val="edge"/>
          <c:x val="9.8404008751047642E-2"/>
          <c:y val="0.16630874088770717"/>
          <c:w val="0.8477883830859485"/>
          <c:h val="0.38655545179304907"/>
        </c:manualLayout>
      </c:layout>
      <c:barChart>
        <c:barDir val="col"/>
        <c:grouping val="stacked"/>
        <c:varyColors val="0"/>
        <c:ser>
          <c:idx val="0"/>
          <c:order val="0"/>
          <c:tx>
            <c:strRef>
              <c:f>'品質管理（分析サマリ）'!$A$24</c:f>
              <c:strCache>
                <c:ptCount val="1"/>
                <c:pt idx="0">
                  <c:v>設計漏れ</c:v>
                </c:pt>
              </c:strCache>
            </c:strRef>
          </c:tx>
          <c:spPr>
            <a:solidFill>
              <a:srgbClr val="9999FF"/>
            </a:solidFill>
            <a:ln w="3175">
              <a:solidFill>
                <a:srgbClr val="000000"/>
              </a:solidFill>
              <a:prstDash val="solid"/>
            </a:ln>
          </c:spPr>
          <c:invertIfNegative val="0"/>
          <c:dPt>
            <c:idx val="0"/>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1-9EF6-4AB3-9E8F-44DFCE4DACAB}"/>
              </c:ext>
            </c:extLst>
          </c:dPt>
          <c:dPt>
            <c:idx val="1"/>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3-9EF6-4AB3-9E8F-44DFCE4DACAB}"/>
              </c:ext>
            </c:extLst>
          </c:dPt>
          <c:dPt>
            <c:idx val="2"/>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5-9EF6-4AB3-9E8F-44DFCE4DACAB}"/>
              </c:ext>
            </c:extLst>
          </c:dPt>
          <c:dPt>
            <c:idx val="3"/>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7-9EF6-4AB3-9E8F-44DFCE4DACAB}"/>
              </c:ext>
            </c:extLst>
          </c:dPt>
          <c:dPt>
            <c:idx val="4"/>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9-9EF6-4AB3-9E8F-44DFCE4DACAB}"/>
              </c:ext>
            </c:extLst>
          </c:dPt>
          <c:dPt>
            <c:idx val="5"/>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B-9EF6-4AB3-9E8F-44DFCE4DACAB}"/>
              </c:ext>
            </c:extLst>
          </c:dPt>
          <c:dPt>
            <c:idx val="6"/>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D-9EF6-4AB3-9E8F-44DFCE4DACAB}"/>
              </c:ext>
            </c:extLst>
          </c:dPt>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'品質管理（分析サマリ）'!$D$24:$J$24</c:f>
              <c:numCache>
                <c:formatCode>0_ </c:formatCode>
                <c:ptCount val="7"/>
                <c:pt idx="0">
                  <c:v>1</c:v>
                </c:pt>
                <c:pt idx="1">
                  <c:v>0</c:v>
                </c:pt>
                <c:pt idx="2">
                  <c:v>0</c:v>
                </c:pt>
                <c:pt idx="3">
                  <c:v>2</c:v>
                </c:pt>
                <c:pt idx="4">
                  <c:v>0</c:v>
                </c:pt>
                <c:pt idx="5">
                  <c:v>2</c:v>
                </c:pt>
                <c:pt idx="6">
                  <c:v>0</c:v>
                </c:pt>
              </c:numCache>
            </c:numRef>
          </c:val>
          <c:extLst>
            <c:ext xmlns:c16="http://schemas.microsoft.com/office/drawing/2014/chart" uri="{C3380CC4-5D6E-409C-BE32-E72D297353CC}">
              <c16:uniqueId val="{0000000E-9EF6-4AB3-9E8F-44DFCE4DACAB}"/>
            </c:ext>
          </c:extLst>
        </c:ser>
        <c:ser>
          <c:idx val="1"/>
          <c:order val="1"/>
          <c:tx>
            <c:strRef>
              <c:f>'品質管理（分析サマリ）'!$A$25</c:f>
              <c:strCache>
                <c:ptCount val="1"/>
                <c:pt idx="0">
                  <c:v>設計誤り</c:v>
                </c:pt>
              </c:strCache>
            </c:strRef>
          </c:tx>
          <c:spPr>
            <a:pattFill prst="divot">
              <a:fgClr>
                <a:srgbClr val="80008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'品質管理（分析サマリ）'!$D$25:$J$25</c:f>
              <c:numCache>
                <c:formatCode>0_ </c:formatCode>
                <c:ptCount val="7"/>
                <c:pt idx="0">
                  <c:v>1</c:v>
                </c:pt>
                <c:pt idx="1">
                  <c:v>1</c:v>
                </c:pt>
                <c:pt idx="2">
                  <c:v>0</c:v>
                </c:pt>
                <c:pt idx="3">
                  <c:v>0</c:v>
                </c:pt>
                <c:pt idx="4">
                  <c:v>1</c:v>
                </c:pt>
                <c:pt idx="5">
                  <c:v>0</c:v>
                </c:pt>
                <c:pt idx="6">
                  <c:v>1</c:v>
                </c:pt>
              </c:numCache>
            </c:numRef>
          </c:val>
          <c:extLst>
            <c:ext xmlns:c16="http://schemas.microsoft.com/office/drawing/2014/chart" uri="{C3380CC4-5D6E-409C-BE32-E72D297353CC}">
              <c16:uniqueId val="{0000000F-9EF6-4AB3-9E8F-44DFCE4DACAB}"/>
            </c:ext>
          </c:extLst>
        </c:ser>
        <c:ser>
          <c:idx val="2"/>
          <c:order val="2"/>
          <c:tx>
            <c:strRef>
              <c:f>'品質管理（分析サマリ）'!$A$26</c:f>
              <c:strCache>
                <c:ptCount val="1"/>
                <c:pt idx="0">
                  <c:v>説明内容不明確</c:v>
                </c:pt>
              </c:strCache>
            </c:strRef>
          </c:tx>
          <c:spPr>
            <a:pattFill prst="narVert">
              <a:fgClr>
                <a:srgbClr val="00FF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'品質管理（分析サマリ）'!$D$26:$J$26</c:f>
              <c:numCache>
                <c:formatCode>0_ </c:formatCode>
                <c:ptCount val="7"/>
                <c:pt idx="0">
                  <c:v>1</c:v>
                </c:pt>
                <c:pt idx="1">
                  <c:v>0</c:v>
                </c:pt>
                <c:pt idx="2">
                  <c:v>0</c:v>
                </c:pt>
                <c:pt idx="3">
                  <c:v>1</c:v>
                </c:pt>
                <c:pt idx="4">
                  <c:v>0</c:v>
                </c:pt>
                <c:pt idx="5">
                  <c:v>0</c:v>
                </c:pt>
                <c:pt idx="6">
                  <c:v>0</c:v>
                </c:pt>
              </c:numCache>
            </c:numRef>
          </c:val>
          <c:extLst>
            <c:ext xmlns:c16="http://schemas.microsoft.com/office/drawing/2014/chart" uri="{C3380CC4-5D6E-409C-BE32-E72D297353CC}">
              <c16:uniqueId val="{00000010-9EF6-4AB3-9E8F-44DFCE4DACAB}"/>
            </c:ext>
          </c:extLst>
        </c:ser>
        <c:ser>
          <c:idx val="3"/>
          <c:order val="3"/>
          <c:tx>
            <c:strRef>
              <c:f>'品質管理（分析サマリ）'!$A$27</c:f>
              <c:strCache>
                <c:ptCount val="1"/>
                <c:pt idx="0">
                  <c:v>標準違反</c:v>
                </c:pt>
              </c:strCache>
            </c:strRef>
          </c:tx>
          <c:spPr>
            <a:pattFill prst="pct40">
              <a:fgClr>
                <a:srgbClr val="FF00FF"/>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'品質管理（分析サマリ）'!$D$27:$J$27</c:f>
              <c:numCache>
                <c:formatCode>0_ </c:formatCode>
                <c:ptCount val="7"/>
                <c:pt idx="0">
                  <c:v>0</c:v>
                </c:pt>
                <c:pt idx="1">
                  <c:v>1</c:v>
                </c:pt>
                <c:pt idx="2">
                  <c:v>3</c:v>
                </c:pt>
                <c:pt idx="3">
                  <c:v>0</c:v>
                </c:pt>
                <c:pt idx="4">
                  <c:v>0</c:v>
                </c:pt>
                <c:pt idx="5">
                  <c:v>1</c:v>
                </c:pt>
                <c:pt idx="6">
                  <c:v>3</c:v>
                </c:pt>
              </c:numCache>
            </c:numRef>
          </c:val>
          <c:extLst>
            <c:ext xmlns:c16="http://schemas.microsoft.com/office/drawing/2014/chart" uri="{C3380CC4-5D6E-409C-BE32-E72D297353CC}">
              <c16:uniqueId val="{00000011-9EF6-4AB3-9E8F-44DFCE4DACAB}"/>
            </c:ext>
          </c:extLst>
        </c:ser>
        <c:ser>
          <c:idx val="4"/>
          <c:order val="4"/>
          <c:tx>
            <c:strRef>
              <c:f>'品質管理（分析サマリ）'!$A$28</c:f>
              <c:strCache>
                <c:ptCount val="1"/>
                <c:pt idx="0">
                  <c:v>再利用誤り</c:v>
                </c:pt>
              </c:strCache>
            </c:strRef>
          </c:tx>
          <c:spPr>
            <a:pattFill prst="wdDnDiag">
              <a:fgClr>
                <a:srgbClr val="FFCC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'品質管理（分析サマリ）'!$D$28:$J$28</c:f>
              <c:numCache>
                <c:formatCode>0_ </c:formatCode>
                <c:ptCount val="7"/>
                <c:pt idx="0">
                  <c:v>1</c:v>
                </c:pt>
                <c:pt idx="1">
                  <c:v>2</c:v>
                </c:pt>
                <c:pt idx="2">
                  <c:v>0</c:v>
                </c:pt>
                <c:pt idx="3">
                  <c:v>0</c:v>
                </c:pt>
                <c:pt idx="4">
                  <c:v>1</c:v>
                </c:pt>
                <c:pt idx="5">
                  <c:v>0</c:v>
                </c:pt>
                <c:pt idx="6">
                  <c:v>0</c:v>
                </c:pt>
              </c:numCache>
            </c:numRef>
          </c:val>
          <c:extLst>
            <c:ext xmlns:c16="http://schemas.microsoft.com/office/drawing/2014/chart" uri="{C3380CC4-5D6E-409C-BE32-E72D297353CC}">
              <c16:uniqueId val="{00000012-9EF6-4AB3-9E8F-44DFCE4DACAB}"/>
            </c:ext>
          </c:extLst>
        </c:ser>
        <c:ser>
          <c:idx val="5"/>
          <c:order val="5"/>
          <c:tx>
            <c:strRef>
              <c:f>'品質管理（分析サマリ）'!$A$29</c:f>
              <c:strCache>
                <c:ptCount val="1"/>
                <c:pt idx="0">
                  <c:v>表現上の記述不良</c:v>
                </c:pt>
              </c:strCache>
            </c:strRef>
          </c:tx>
          <c:spPr>
            <a:pattFill prst="ltUpDiag">
              <a:fgClr>
                <a:srgbClr val="993366"/>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'品質管理（分析サマリ）'!$D$29:$J$29</c:f>
              <c:numCache>
                <c:formatCode>0_ </c:formatCode>
                <c:ptCount val="7"/>
                <c:pt idx="0">
                  <c:v>0</c:v>
                </c:pt>
                <c:pt idx="1">
                  <c:v>0</c:v>
                </c:pt>
                <c:pt idx="2">
                  <c:v>1</c:v>
                </c:pt>
                <c:pt idx="3">
                  <c:v>0</c:v>
                </c:pt>
                <c:pt idx="4">
                  <c:v>0</c:v>
                </c:pt>
                <c:pt idx="5">
                  <c:v>0</c:v>
                </c:pt>
                <c:pt idx="6">
                  <c:v>1</c:v>
                </c:pt>
              </c:numCache>
            </c:numRef>
          </c:val>
          <c:extLst>
            <c:ext xmlns:c16="http://schemas.microsoft.com/office/drawing/2014/chart" uri="{C3380CC4-5D6E-409C-BE32-E72D297353CC}">
              <c16:uniqueId val="{00000013-9EF6-4AB3-9E8F-44DFCE4DACAB}"/>
            </c:ext>
          </c:extLst>
        </c:ser>
        <c:ser>
          <c:idx val="6"/>
          <c:order val="6"/>
          <c:tx>
            <c:strRef>
              <c:f>'品質管理（分析サマリ）'!$A$30</c:f>
              <c:strCache>
                <c:ptCount val="1"/>
                <c:pt idx="0">
                  <c:v>設計の改善</c:v>
                </c:pt>
              </c:strCache>
            </c:strRef>
          </c:tx>
          <c:spPr>
            <a:pattFill prst="openDmnd">
              <a:fgClr>
                <a:srgbClr val="00FFFF"/>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'品質管理（分析サマリ）'!$D$30:$J$30</c:f>
              <c:numCache>
                <c:formatCode>0_ </c:formatCode>
                <c:ptCount val="7"/>
                <c:pt idx="0">
                  <c:v>1</c:v>
                </c:pt>
                <c:pt idx="1">
                  <c:v>0</c:v>
                </c:pt>
                <c:pt idx="2">
                  <c:v>0</c:v>
                </c:pt>
                <c:pt idx="3">
                  <c:v>0</c:v>
                </c:pt>
                <c:pt idx="4">
                  <c:v>3</c:v>
                </c:pt>
                <c:pt idx="5">
                  <c:v>0</c:v>
                </c:pt>
                <c:pt idx="6">
                  <c:v>0</c:v>
                </c:pt>
              </c:numCache>
            </c:numRef>
          </c:val>
          <c:extLst>
            <c:ext xmlns:c16="http://schemas.microsoft.com/office/drawing/2014/chart" uri="{C3380CC4-5D6E-409C-BE32-E72D297353CC}">
              <c16:uniqueId val="{00000014-9EF6-4AB3-9E8F-44DFCE4DACAB}"/>
            </c:ext>
          </c:extLst>
        </c:ser>
        <c:ser>
          <c:idx val="7"/>
          <c:order val="7"/>
          <c:tx>
            <c:strRef>
              <c:f>'品質管理（分析サマリ）'!$A$31</c:f>
              <c:strCache>
                <c:ptCount val="1"/>
                <c:pt idx="0">
                  <c:v>非指摘扱い</c:v>
                </c:pt>
              </c:strCache>
            </c:strRef>
          </c:tx>
          <c:spPr>
            <a:pattFill prst="smCheck">
              <a:fgClr>
                <a:srgbClr val="FF00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'品質管理（分析サマリ）'!$D$31:$J$31</c:f>
              <c:numCache>
                <c:formatCode>0_ </c:formatCode>
                <c:ptCount val="7"/>
                <c:pt idx="0">
                  <c:v>0</c:v>
                </c:pt>
                <c:pt idx="1">
                  <c:v>0</c:v>
                </c:pt>
                <c:pt idx="2">
                  <c:v>0</c:v>
                </c:pt>
                <c:pt idx="3">
                  <c:v>1</c:v>
                </c:pt>
                <c:pt idx="4">
                  <c:v>0</c:v>
                </c:pt>
                <c:pt idx="5">
                  <c:v>3</c:v>
                </c:pt>
                <c:pt idx="6">
                  <c:v>0</c:v>
                </c:pt>
              </c:numCache>
            </c:numRef>
          </c:val>
          <c:extLst>
            <c:ext xmlns:c16="http://schemas.microsoft.com/office/drawing/2014/chart" uri="{C3380CC4-5D6E-409C-BE32-E72D297353CC}">
              <c16:uniqueId val="{00000015-9EF6-4AB3-9E8F-44DFCE4DACAB}"/>
            </c:ext>
          </c:extLst>
        </c:ser>
        <c:ser>
          <c:idx val="8"/>
          <c:order val="8"/>
          <c:tx>
            <c:strRef>
              <c:f>'品質管理（分析サマリ）'!$A$32</c:f>
              <c:strCache>
                <c:ptCount val="1"/>
                <c:pt idx="0">
                  <c:v>その他</c:v>
                </c:pt>
              </c:strCache>
            </c:strRef>
          </c:tx>
          <c:spPr>
            <a:pattFill prst="dotDmnd">
              <a:fgClr>
                <a:srgbClr val="0080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'品質管理（分析サマリ）'!$D$32:$J$32</c:f>
              <c:numCache>
                <c:formatCode>0_ </c:formatCode>
                <c:ptCount val="7"/>
                <c:pt idx="0">
                  <c:v>0</c:v>
                </c:pt>
                <c:pt idx="1">
                  <c:v>1</c:v>
                </c:pt>
                <c:pt idx="2">
                  <c:v>0</c:v>
                </c:pt>
                <c:pt idx="3">
                  <c:v>0</c:v>
                </c:pt>
                <c:pt idx="4">
                  <c:v>0</c:v>
                </c:pt>
                <c:pt idx="5">
                  <c:v>0</c:v>
                </c:pt>
                <c:pt idx="6">
                  <c:v>1</c:v>
                </c:pt>
              </c:numCache>
            </c:numRef>
          </c:val>
          <c:extLst>
            <c:ext xmlns:c16="http://schemas.microsoft.com/office/drawing/2014/chart" uri="{C3380CC4-5D6E-409C-BE32-E72D297353CC}">
              <c16:uniqueId val="{00000016-9EF6-4AB3-9E8F-44DFCE4DACAB}"/>
            </c:ext>
          </c:extLst>
        </c:ser>
        <c:dLbls>
          <c:showLegendKey val="0"/>
          <c:showVal val="0"/>
          <c:showCatName val="0"/>
          <c:showSerName val="0"/>
          <c:showPercent val="0"/>
          <c:showBubbleSize val="0"/>
        </c:dLbls>
        <c:gapWidth val="150"/>
        <c:overlap val="100"/>
        <c:axId val="-2059169984"/>
        <c:axId val="-2055290528"/>
      </c:barChart>
      <c:catAx>
        <c:axId val="-205916998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2055290528"/>
        <c:crosses val="autoZero"/>
        <c:auto val="1"/>
        <c:lblAlgn val="ctr"/>
        <c:lblOffset val="100"/>
        <c:tickLblSkip val="1"/>
        <c:tickMarkSkip val="1"/>
        <c:noMultiLvlLbl val="0"/>
      </c:catAx>
      <c:valAx>
        <c:axId val="-2055290528"/>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2059169984"/>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9272727272727275"/>
          <c:y val="0.79910714285714279"/>
          <c:w val="0.64000000000000012"/>
          <c:h val="0.17857142857142866"/>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バグ現象分析</a:t>
            </a:r>
          </a:p>
        </c:rich>
      </c:tx>
      <c:layout>
        <c:manualLayout>
          <c:xMode val="edge"/>
          <c:yMode val="edge"/>
          <c:x val="0.37224261512765461"/>
          <c:y val="4.0453693288338977E-2"/>
        </c:manualLayout>
      </c:layout>
      <c:overlay val="0"/>
      <c:spPr>
        <a:noFill/>
        <a:ln w="25400">
          <a:noFill/>
        </a:ln>
      </c:spPr>
    </c:title>
    <c:autoTitleDeleted val="0"/>
    <c:plotArea>
      <c:layout>
        <c:manualLayout>
          <c:layoutTarget val="inner"/>
          <c:xMode val="edge"/>
          <c:yMode val="edge"/>
          <c:x val="0.12032085070601477"/>
          <c:y val="0.16181391005290424"/>
          <c:w val="0.82720584860385171"/>
          <c:h val="0.63377114770720833"/>
        </c:manualLayout>
      </c:layout>
      <c:barChart>
        <c:barDir val="col"/>
        <c:grouping val="stacked"/>
        <c:varyColors val="0"/>
        <c:ser>
          <c:idx val="0"/>
          <c:order val="0"/>
          <c:tx>
            <c:strRef>
              <c:f>'品質管理（分析サマリ）'!$R$24</c:f>
              <c:strCache>
                <c:ptCount val="1"/>
                <c:pt idx="0">
                  <c:v>システムダウン</c:v>
                </c:pt>
              </c:strCache>
            </c:strRef>
          </c:tx>
          <c:spPr>
            <a:pattFill prst="pct80">
              <a:fgClr>
                <a:srgbClr val="33CCCC"/>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('品質管理（分析サマリ）'!$U$24,'品質管理（分析サマリ）'!$W$24,'品質管理（分析サマリ）'!$Y$24)</c:f>
              <c:numCache>
                <c:formatCode>0_ </c:formatCode>
                <c:ptCount val="3"/>
                <c:pt idx="0">
                  <c:v>0</c:v>
                </c:pt>
                <c:pt idx="1">
                  <c:v>15</c:v>
                </c:pt>
                <c:pt idx="2">
                  <c:v>8</c:v>
                </c:pt>
              </c:numCache>
            </c:numRef>
          </c:val>
          <c:extLst>
            <c:ext xmlns:c16="http://schemas.microsoft.com/office/drawing/2014/chart" uri="{C3380CC4-5D6E-409C-BE32-E72D297353CC}">
              <c16:uniqueId val="{00000000-B0DE-43D0-8274-FB395F2DE020}"/>
            </c:ext>
          </c:extLst>
        </c:ser>
        <c:ser>
          <c:idx val="1"/>
          <c:order val="1"/>
          <c:tx>
            <c:strRef>
              <c:f>'品質管理（分析サマリ）'!$R$25</c:f>
              <c:strCache>
                <c:ptCount val="1"/>
                <c:pt idx="0">
                  <c:v>ＡＢＥＮＤ</c:v>
                </c:pt>
              </c:strCache>
            </c:strRef>
          </c:tx>
          <c:spPr>
            <a:pattFill prst="divot">
              <a:fgClr>
                <a:srgbClr val="80008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('品質管理（分析サマリ）'!$U$25,'品質管理（分析サマリ）'!$W$25,'品質管理（分析サマリ）'!$Y$25)</c:f>
              <c:numCache>
                <c:formatCode>0_ </c:formatCode>
                <c:ptCount val="3"/>
                <c:pt idx="0">
                  <c:v>0</c:v>
                </c:pt>
                <c:pt idx="1">
                  <c:v>36</c:v>
                </c:pt>
                <c:pt idx="2">
                  <c:v>10</c:v>
                </c:pt>
              </c:numCache>
            </c:numRef>
          </c:val>
          <c:extLst>
            <c:ext xmlns:c16="http://schemas.microsoft.com/office/drawing/2014/chart" uri="{C3380CC4-5D6E-409C-BE32-E72D297353CC}">
              <c16:uniqueId val="{00000001-B0DE-43D0-8274-FB395F2DE020}"/>
            </c:ext>
          </c:extLst>
        </c:ser>
        <c:ser>
          <c:idx val="2"/>
          <c:order val="2"/>
          <c:tx>
            <c:strRef>
              <c:f>'品質管理（分析サマリ）'!$R$26</c:f>
              <c:strCache>
                <c:ptCount val="1"/>
                <c:pt idx="0">
                  <c:v>データ内容不正</c:v>
                </c:pt>
              </c:strCache>
            </c:strRef>
          </c:tx>
          <c:spPr>
            <a:pattFill prst="narVert">
              <a:fgClr>
                <a:srgbClr val="00FF0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('品質管理（分析サマリ）'!$U$26,'品質管理（分析サマリ）'!$W$26,'品質管理（分析サマリ）'!$Y$26)</c:f>
              <c:numCache>
                <c:formatCode>0_ </c:formatCode>
                <c:ptCount val="3"/>
                <c:pt idx="0">
                  <c:v>0</c:v>
                </c:pt>
                <c:pt idx="1">
                  <c:v>10</c:v>
                </c:pt>
                <c:pt idx="2">
                  <c:v>3</c:v>
                </c:pt>
              </c:numCache>
            </c:numRef>
          </c:val>
          <c:extLst>
            <c:ext xmlns:c16="http://schemas.microsoft.com/office/drawing/2014/chart" uri="{C3380CC4-5D6E-409C-BE32-E72D297353CC}">
              <c16:uniqueId val="{00000002-B0DE-43D0-8274-FB395F2DE020}"/>
            </c:ext>
          </c:extLst>
        </c:ser>
        <c:ser>
          <c:idx val="3"/>
          <c:order val="3"/>
          <c:tx>
            <c:strRef>
              <c:f>'品質管理（分析サマリ）'!$R$27</c:f>
              <c:strCache>
                <c:ptCount val="1"/>
                <c:pt idx="0">
                  <c:v>機能障害</c:v>
                </c:pt>
              </c:strCache>
            </c:strRef>
          </c:tx>
          <c:spPr>
            <a:pattFill prst="pct40">
              <a:fgClr>
                <a:srgbClr val="FF00FF"/>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('品質管理（分析サマリ）'!$U$27,'品質管理（分析サマリ）'!$W$27,'品質管理（分析サマリ）'!$Y$27)</c:f>
              <c:numCache>
                <c:formatCode>0_ </c:formatCode>
                <c:ptCount val="3"/>
                <c:pt idx="0">
                  <c:v>0</c:v>
                </c:pt>
                <c:pt idx="1">
                  <c:v>167</c:v>
                </c:pt>
                <c:pt idx="2">
                  <c:v>142</c:v>
                </c:pt>
              </c:numCache>
            </c:numRef>
          </c:val>
          <c:extLst>
            <c:ext xmlns:c16="http://schemas.microsoft.com/office/drawing/2014/chart" uri="{C3380CC4-5D6E-409C-BE32-E72D297353CC}">
              <c16:uniqueId val="{00000003-B0DE-43D0-8274-FB395F2DE020}"/>
            </c:ext>
          </c:extLst>
        </c:ser>
        <c:ser>
          <c:idx val="4"/>
          <c:order val="4"/>
          <c:tx>
            <c:strRef>
              <c:f>'品質管理（分析サマリ）'!$R$28</c:f>
              <c:strCache>
                <c:ptCount val="1"/>
                <c:pt idx="0">
                  <c:v>形式不正</c:v>
                </c:pt>
              </c:strCache>
            </c:strRef>
          </c:tx>
          <c:spPr>
            <a:pattFill prst="wdDnDiag">
              <a:fgClr>
                <a:srgbClr val="FFCC0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('品質管理（分析サマリ）'!$U$28,'品質管理（分析サマリ）'!$W$28,'品質管理（分析サマリ）'!$Y$28)</c:f>
              <c:numCache>
                <c:formatCode>0_ </c:formatCode>
                <c:ptCount val="3"/>
                <c:pt idx="0">
                  <c:v>0</c:v>
                </c:pt>
                <c:pt idx="1">
                  <c:v>72</c:v>
                </c:pt>
                <c:pt idx="2">
                  <c:v>62</c:v>
                </c:pt>
              </c:numCache>
            </c:numRef>
          </c:val>
          <c:extLst>
            <c:ext xmlns:c16="http://schemas.microsoft.com/office/drawing/2014/chart" uri="{C3380CC4-5D6E-409C-BE32-E72D297353CC}">
              <c16:uniqueId val="{00000004-B0DE-43D0-8274-FB395F2DE020}"/>
            </c:ext>
          </c:extLst>
        </c:ser>
        <c:ser>
          <c:idx val="5"/>
          <c:order val="5"/>
          <c:tx>
            <c:strRef>
              <c:f>'品質管理（分析サマリ）'!$R$29</c:f>
              <c:strCache>
                <c:ptCount val="1"/>
                <c:pt idx="0">
                  <c:v>その他</c:v>
                </c:pt>
              </c:strCache>
            </c:strRef>
          </c:tx>
          <c:spPr>
            <a:pattFill prst="ltUpDiag">
              <a:fgClr>
                <a:srgbClr val="993366"/>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('品質管理（分析サマリ）'!$U$29,'品質管理（分析サマリ）'!$W$29,'品質管理（分析サマリ）'!$Y$29)</c:f>
              <c:numCache>
                <c:formatCode>0_ </c:formatCode>
                <c:ptCount val="3"/>
                <c:pt idx="0">
                  <c:v>0</c:v>
                </c:pt>
                <c:pt idx="1">
                  <c:v>10</c:v>
                </c:pt>
                <c:pt idx="2">
                  <c:v>15</c:v>
                </c:pt>
              </c:numCache>
            </c:numRef>
          </c:val>
          <c:extLst>
            <c:ext xmlns:c16="http://schemas.microsoft.com/office/drawing/2014/chart" uri="{C3380CC4-5D6E-409C-BE32-E72D297353CC}">
              <c16:uniqueId val="{00000005-B0DE-43D0-8274-FB395F2DE020}"/>
            </c:ext>
          </c:extLst>
        </c:ser>
        <c:dLbls>
          <c:showLegendKey val="0"/>
          <c:showVal val="0"/>
          <c:showCatName val="0"/>
          <c:showSerName val="0"/>
          <c:showPercent val="0"/>
          <c:showBubbleSize val="0"/>
        </c:dLbls>
        <c:gapWidth val="150"/>
        <c:overlap val="100"/>
        <c:axId val="-2055293792"/>
        <c:axId val="-2055294336"/>
      </c:barChart>
      <c:catAx>
        <c:axId val="-205529379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50" b="0" i="0" u="none" strike="noStrike" baseline="0">
                <a:solidFill>
                  <a:srgbClr val="000000"/>
                </a:solidFill>
                <a:latin typeface="ＭＳ Ｐゴシック"/>
                <a:ea typeface="ＭＳ Ｐゴシック"/>
                <a:cs typeface="ＭＳ Ｐゴシック"/>
              </a:defRPr>
            </a:pPr>
            <a:endParaRPr lang="ja-JP"/>
          </a:p>
        </c:txPr>
        <c:crossAx val="-2055294336"/>
        <c:crosses val="autoZero"/>
        <c:auto val="1"/>
        <c:lblAlgn val="ctr"/>
        <c:lblOffset val="100"/>
        <c:tickLblSkip val="1"/>
        <c:tickMarkSkip val="1"/>
        <c:noMultiLvlLbl val="0"/>
      </c:catAx>
      <c:valAx>
        <c:axId val="-2055294336"/>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50" b="0" i="0" u="none" strike="noStrike" baseline="0">
                <a:solidFill>
                  <a:srgbClr val="000000"/>
                </a:solidFill>
                <a:latin typeface="ＭＳ Ｐゴシック"/>
                <a:ea typeface="ＭＳ Ｐゴシック"/>
                <a:cs typeface="ＭＳ Ｐゴシック"/>
              </a:defRPr>
            </a:pPr>
            <a:endParaRPr lang="ja-JP"/>
          </a:p>
        </c:txPr>
        <c:crossAx val="-2055293792"/>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1636363636363638"/>
          <c:y val="0.91071428571428559"/>
          <c:w val="0.84727272727272729"/>
          <c:h val="7.1428571428571411E-2"/>
        </c:manualLayout>
      </c:layout>
      <c:overlay val="0"/>
      <c:spPr>
        <a:solidFill>
          <a:srgbClr val="FFFFFF"/>
        </a:solidFill>
        <a:ln w="3175">
          <a:solidFill>
            <a:srgbClr val="000000"/>
          </a:solidFill>
          <a:prstDash val="solid"/>
        </a:ln>
      </c:spPr>
      <c:txPr>
        <a:bodyPr/>
        <a:lstStyle/>
        <a:p>
          <a:pPr>
            <a:defRPr sz="41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5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バグ原因分析</a:t>
            </a:r>
          </a:p>
        </c:rich>
      </c:tx>
      <c:layout>
        <c:manualLayout>
          <c:xMode val="edge"/>
          <c:yMode val="edge"/>
          <c:x val="0.37090766639244738"/>
          <c:y val="4.0453693288338977E-2"/>
        </c:manualLayout>
      </c:layout>
      <c:overlay val="0"/>
      <c:spPr>
        <a:noFill/>
        <a:ln w="25400">
          <a:noFill/>
        </a:ln>
      </c:spPr>
    </c:title>
    <c:autoTitleDeleted val="0"/>
    <c:plotArea>
      <c:layout>
        <c:manualLayout>
          <c:layoutTarget val="inner"/>
          <c:xMode val="edge"/>
          <c:yMode val="edge"/>
          <c:x val="0.12111262615513553"/>
          <c:y val="0.16181391005290424"/>
          <c:w val="0.8250797656818607"/>
          <c:h val="0.59781250102878503"/>
        </c:manualLayout>
      </c:layout>
      <c:barChart>
        <c:barDir val="col"/>
        <c:grouping val="stacked"/>
        <c:varyColors val="0"/>
        <c:ser>
          <c:idx val="0"/>
          <c:order val="0"/>
          <c:tx>
            <c:strRef>
              <c:f>'品質管理（分析サマリ）'!$R$37</c:f>
              <c:strCache>
                <c:ptCount val="1"/>
                <c:pt idx="0">
                  <c:v>基盤不備</c:v>
                </c:pt>
              </c:strCache>
            </c:strRef>
          </c:tx>
          <c:spPr>
            <a:pattFill prst="pct80">
              <a:fgClr>
                <a:srgbClr val="33CCCC"/>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('品質管理（分析サマリ）'!$U$37,'品質管理（分析サマリ）'!$W$37,'品質管理（分析サマリ）'!$Y$37)</c:f>
              <c:numCache>
                <c:formatCode>0_ </c:formatCode>
                <c:ptCount val="3"/>
                <c:pt idx="0">
                  <c:v>0</c:v>
                </c:pt>
                <c:pt idx="1">
                  <c:v>45</c:v>
                </c:pt>
                <c:pt idx="2">
                  <c:v>16</c:v>
                </c:pt>
              </c:numCache>
            </c:numRef>
          </c:val>
          <c:extLst>
            <c:ext xmlns:c16="http://schemas.microsoft.com/office/drawing/2014/chart" uri="{C3380CC4-5D6E-409C-BE32-E72D297353CC}">
              <c16:uniqueId val="{00000000-2076-4502-B86E-19577A587689}"/>
            </c:ext>
          </c:extLst>
        </c:ser>
        <c:ser>
          <c:idx val="1"/>
          <c:order val="1"/>
          <c:tx>
            <c:strRef>
              <c:f>'品質管理（分析サマリ）'!$R$38</c:f>
              <c:strCache>
                <c:ptCount val="1"/>
                <c:pt idx="0">
                  <c:v>データ不備</c:v>
                </c:pt>
              </c:strCache>
            </c:strRef>
          </c:tx>
          <c:spPr>
            <a:pattFill prst="divot">
              <a:fgClr>
                <a:srgbClr val="80008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('品質管理（分析サマリ）'!$U$38,'品質管理（分析サマリ）'!$W$38,'品質管理（分析サマリ）'!$Y$38)</c:f>
              <c:numCache>
                <c:formatCode>0_ </c:formatCode>
                <c:ptCount val="3"/>
                <c:pt idx="0">
                  <c:v>0</c:v>
                </c:pt>
                <c:pt idx="1">
                  <c:v>12</c:v>
                </c:pt>
                <c:pt idx="2">
                  <c:v>18</c:v>
                </c:pt>
              </c:numCache>
            </c:numRef>
          </c:val>
          <c:extLst>
            <c:ext xmlns:c16="http://schemas.microsoft.com/office/drawing/2014/chart" uri="{C3380CC4-5D6E-409C-BE32-E72D297353CC}">
              <c16:uniqueId val="{00000001-2076-4502-B86E-19577A587689}"/>
            </c:ext>
          </c:extLst>
        </c:ser>
        <c:ser>
          <c:idx val="2"/>
          <c:order val="2"/>
          <c:tx>
            <c:strRef>
              <c:f>'品質管理（分析サマリ）'!$R$39</c:f>
              <c:strCache>
                <c:ptCount val="1"/>
                <c:pt idx="0">
                  <c:v>仕様書不備</c:v>
                </c:pt>
              </c:strCache>
            </c:strRef>
          </c:tx>
          <c:spPr>
            <a:pattFill prst="narVert">
              <a:fgClr>
                <a:srgbClr val="00FF0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('品質管理（分析サマリ）'!$U$39,'品質管理（分析サマリ）'!$W$39,'品質管理（分析サマリ）'!$Y$39)</c:f>
              <c:numCache>
                <c:formatCode>0_ </c:formatCode>
                <c:ptCount val="3"/>
                <c:pt idx="0">
                  <c:v>0</c:v>
                </c:pt>
                <c:pt idx="1">
                  <c:v>19</c:v>
                </c:pt>
                <c:pt idx="2">
                  <c:v>14</c:v>
                </c:pt>
              </c:numCache>
            </c:numRef>
          </c:val>
          <c:extLst>
            <c:ext xmlns:c16="http://schemas.microsoft.com/office/drawing/2014/chart" uri="{C3380CC4-5D6E-409C-BE32-E72D297353CC}">
              <c16:uniqueId val="{00000002-2076-4502-B86E-19577A587689}"/>
            </c:ext>
          </c:extLst>
        </c:ser>
        <c:ser>
          <c:idx val="3"/>
          <c:order val="3"/>
          <c:tx>
            <c:strRef>
              <c:f>'品質管理（分析サマリ）'!$R$40</c:f>
              <c:strCache>
                <c:ptCount val="1"/>
                <c:pt idx="0">
                  <c:v>仕様からの展開不備</c:v>
                </c:pt>
              </c:strCache>
            </c:strRef>
          </c:tx>
          <c:spPr>
            <a:pattFill prst="pct40">
              <a:fgClr>
                <a:srgbClr val="FF00FF"/>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('品質管理（分析サマリ）'!$U$40,'品質管理（分析サマリ）'!$W$40,'品質管理（分析サマリ）'!$Y$40)</c:f>
              <c:numCache>
                <c:formatCode>0_ </c:formatCode>
                <c:ptCount val="3"/>
                <c:pt idx="0">
                  <c:v>0</c:v>
                </c:pt>
                <c:pt idx="1">
                  <c:v>56</c:v>
                </c:pt>
                <c:pt idx="2">
                  <c:v>19</c:v>
                </c:pt>
              </c:numCache>
            </c:numRef>
          </c:val>
          <c:extLst>
            <c:ext xmlns:c16="http://schemas.microsoft.com/office/drawing/2014/chart" uri="{C3380CC4-5D6E-409C-BE32-E72D297353CC}">
              <c16:uniqueId val="{00000003-2076-4502-B86E-19577A587689}"/>
            </c:ext>
          </c:extLst>
        </c:ser>
        <c:ser>
          <c:idx val="4"/>
          <c:order val="4"/>
          <c:tx>
            <c:strRef>
              <c:f>'品質管理（分析サマリ）'!$R$41</c:f>
              <c:strCache>
                <c:ptCount val="1"/>
                <c:pt idx="0">
                  <c:v>仕様関連以外の問題</c:v>
                </c:pt>
              </c:strCache>
            </c:strRef>
          </c:tx>
          <c:spPr>
            <a:pattFill prst="wdDnDiag">
              <a:fgClr>
                <a:srgbClr val="FFCC0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('品質管理（分析サマリ）'!$U$41,'品質管理（分析サマリ）'!$W$41,'品質管理（分析サマリ）'!$Y$41)</c:f>
              <c:numCache>
                <c:formatCode>0_ </c:formatCode>
                <c:ptCount val="3"/>
                <c:pt idx="0">
                  <c:v>0</c:v>
                </c:pt>
                <c:pt idx="1">
                  <c:v>174</c:v>
                </c:pt>
                <c:pt idx="2">
                  <c:v>149</c:v>
                </c:pt>
              </c:numCache>
            </c:numRef>
          </c:val>
          <c:extLst>
            <c:ext xmlns:c16="http://schemas.microsoft.com/office/drawing/2014/chart" uri="{C3380CC4-5D6E-409C-BE32-E72D297353CC}">
              <c16:uniqueId val="{00000004-2076-4502-B86E-19577A587689}"/>
            </c:ext>
          </c:extLst>
        </c:ser>
        <c:ser>
          <c:idx val="5"/>
          <c:order val="5"/>
          <c:tx>
            <c:strRef>
              <c:f>'品質管理（分析サマリ）'!$R$42</c:f>
              <c:strCache>
                <c:ptCount val="1"/>
                <c:pt idx="0">
                  <c:v>その他</c:v>
                </c:pt>
              </c:strCache>
            </c:strRef>
          </c:tx>
          <c:spPr>
            <a:pattFill prst="ltUpDiag">
              <a:fgClr>
                <a:srgbClr val="993366"/>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('品質管理（分析サマリ）'!$U$42,'品質管理（分析サマリ）'!$W$42,'品質管理（分析サマリ）'!$Y$42)</c:f>
              <c:numCache>
                <c:formatCode>0_ </c:formatCode>
                <c:ptCount val="3"/>
                <c:pt idx="0">
                  <c:v>0</c:v>
                </c:pt>
                <c:pt idx="1">
                  <c:v>4</c:v>
                </c:pt>
                <c:pt idx="2">
                  <c:v>24</c:v>
                </c:pt>
              </c:numCache>
            </c:numRef>
          </c:val>
          <c:extLst>
            <c:ext xmlns:c16="http://schemas.microsoft.com/office/drawing/2014/chart" uri="{C3380CC4-5D6E-409C-BE32-E72D297353CC}">
              <c16:uniqueId val="{00000005-2076-4502-B86E-19577A587689}"/>
            </c:ext>
          </c:extLst>
        </c:ser>
        <c:dLbls>
          <c:showLegendKey val="0"/>
          <c:showVal val="0"/>
          <c:showCatName val="0"/>
          <c:showSerName val="0"/>
          <c:showPercent val="0"/>
          <c:showBubbleSize val="0"/>
        </c:dLbls>
        <c:gapWidth val="150"/>
        <c:overlap val="100"/>
        <c:axId val="-2055287808"/>
        <c:axId val="-2055285632"/>
      </c:barChart>
      <c:catAx>
        <c:axId val="-205528780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2055285632"/>
        <c:crosses val="autoZero"/>
        <c:auto val="1"/>
        <c:lblAlgn val="ctr"/>
        <c:lblOffset val="100"/>
        <c:tickLblSkip val="1"/>
        <c:tickMarkSkip val="1"/>
        <c:noMultiLvlLbl val="0"/>
      </c:catAx>
      <c:valAx>
        <c:axId val="-2055285632"/>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2055287808"/>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0820934696595763"/>
          <c:y val="0.8616071428571429"/>
          <c:w val="0.72761311552473851"/>
          <c:h val="0.125"/>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drawings/_rels/drawing8.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0</xdr:rowOff>
    </xdr:from>
    <xdr:to>
      <xdr:col>39</xdr:col>
      <xdr:colOff>9525</xdr:colOff>
      <xdr:row>16</xdr:row>
      <xdr:rowOff>0</xdr:rowOff>
    </xdr:to>
    <xdr:sp macro="" textlink="">
      <xdr:nvSpPr>
        <xdr:cNvPr id="48259" name="Rectangle 45">
          <a:extLst>
            <a:ext uri="{FF2B5EF4-FFF2-40B4-BE49-F238E27FC236}">
              <a16:creationId xmlns:a16="http://schemas.microsoft.com/office/drawing/2014/main" id="{00000000-0008-0000-0100-000083BC0000}"/>
            </a:ext>
          </a:extLst>
        </xdr:cNvPr>
        <xdr:cNvSpPr>
          <a:spLocks noChangeArrowheads="1"/>
        </xdr:cNvSpPr>
      </xdr:nvSpPr>
      <xdr:spPr bwMode="auto">
        <a:xfrm>
          <a:off x="0" y="2057400"/>
          <a:ext cx="7810500" cy="685800"/>
        </a:xfrm>
        <a:prstGeom prst="rect">
          <a:avLst/>
        </a:prstGeom>
        <a:noFill/>
        <a:ln w="28575">
          <a:solidFill>
            <a:srgbClr val="3366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39</xdr:col>
      <xdr:colOff>19050</xdr:colOff>
      <xdr:row>11</xdr:row>
      <xdr:rowOff>152400</xdr:rowOff>
    </xdr:from>
    <xdr:to>
      <xdr:col>53</xdr:col>
      <xdr:colOff>0</xdr:colOff>
      <xdr:row>52</xdr:row>
      <xdr:rowOff>9525</xdr:rowOff>
    </xdr:to>
    <xdr:sp macro="" textlink="">
      <xdr:nvSpPr>
        <xdr:cNvPr id="48260" name="Rectangle 46">
          <a:extLst>
            <a:ext uri="{FF2B5EF4-FFF2-40B4-BE49-F238E27FC236}">
              <a16:creationId xmlns:a16="http://schemas.microsoft.com/office/drawing/2014/main" id="{00000000-0008-0000-0100-000084BC0000}"/>
            </a:ext>
          </a:extLst>
        </xdr:cNvPr>
        <xdr:cNvSpPr>
          <a:spLocks noChangeArrowheads="1"/>
        </xdr:cNvSpPr>
      </xdr:nvSpPr>
      <xdr:spPr bwMode="auto">
        <a:xfrm>
          <a:off x="7820025" y="2038350"/>
          <a:ext cx="2809875" cy="688657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xdr:col>
      <xdr:colOff>69477</xdr:colOff>
      <xdr:row>16</xdr:row>
      <xdr:rowOff>70037</xdr:rowOff>
    </xdr:from>
    <xdr:to>
      <xdr:col>28</xdr:col>
      <xdr:colOff>146312</xdr:colOff>
      <xdr:row>24</xdr:row>
      <xdr:rowOff>98689</xdr:rowOff>
    </xdr:to>
    <xdr:sp macro="" textlink="">
      <xdr:nvSpPr>
        <xdr:cNvPr id="257071" name="Rectangle 47">
          <a:extLst>
            <a:ext uri="{FF2B5EF4-FFF2-40B4-BE49-F238E27FC236}">
              <a16:creationId xmlns:a16="http://schemas.microsoft.com/office/drawing/2014/main" id="{00000000-0008-0000-0100-00002FEC0300}"/>
            </a:ext>
          </a:extLst>
        </xdr:cNvPr>
        <xdr:cNvSpPr>
          <a:spLocks noChangeArrowheads="1"/>
        </xdr:cNvSpPr>
      </xdr:nvSpPr>
      <xdr:spPr bwMode="auto">
        <a:xfrm>
          <a:off x="5429250" y="1266825"/>
          <a:ext cx="4238625" cy="138112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defRPr sz="1000"/>
          </a:pPr>
          <a:r>
            <a:rPr lang="ja-JP" altLang="en-US" sz="800" b="0" i="0" u="none" strike="noStrike" baseline="0">
              <a:solidFill>
                <a:srgbClr val="000000"/>
              </a:solidFill>
              <a:latin typeface="ＭＳ Ｐゴシック"/>
              <a:ea typeface="ＭＳ Ｐゴシック"/>
            </a:rPr>
            <a:t>◇作業手順</a:t>
          </a:r>
        </a:p>
        <a:p>
          <a:pPr algn="l" rtl="0">
            <a:defRPr sz="1000"/>
          </a:pPr>
          <a:r>
            <a:rPr lang="ja-JP" altLang="en-US" sz="800" b="0" i="0" u="none" strike="noStrike" baseline="0">
              <a:solidFill>
                <a:srgbClr val="000000"/>
              </a:solidFill>
              <a:latin typeface="ＭＳ Ｐゴシック"/>
              <a:ea typeface="ＭＳ Ｐゴシック"/>
            </a:rPr>
            <a:t>定量的な品質指標による管理を行う対象となる成果物・作業毎に管理指標／抽出方法／基準値／顧客要求事項／管理様式を定める。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なお、サブシステムごとに開発言語が異なり、基準値を個別に設定する場合や、サブシステムにより新規構築／改修が異なる場合は、基準値を個別に定める。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顧客要求事項欄には、当社における顧客に対しての当該管理指標の報告要否を記述する。</a:t>
          </a:r>
        </a:p>
      </xdr:txBody>
    </xdr:sp>
    <xdr:clientData/>
  </xdr:twoCellAnchor>
  <xdr:twoCellAnchor>
    <xdr:from>
      <xdr:col>28</xdr:col>
      <xdr:colOff>148478</xdr:colOff>
      <xdr:row>26</xdr:row>
      <xdr:rowOff>163046</xdr:rowOff>
    </xdr:from>
    <xdr:to>
      <xdr:col>47</xdr:col>
      <xdr:colOff>100450</xdr:colOff>
      <xdr:row>31</xdr:row>
      <xdr:rowOff>80109</xdr:rowOff>
    </xdr:to>
    <xdr:sp macro="" textlink="">
      <xdr:nvSpPr>
        <xdr:cNvPr id="20505" name="AutoShape 48">
          <a:extLst>
            <a:ext uri="{FF2B5EF4-FFF2-40B4-BE49-F238E27FC236}">
              <a16:creationId xmlns:a16="http://schemas.microsoft.com/office/drawing/2014/main" id="{00000000-0008-0000-0100-000019500000}"/>
            </a:ext>
          </a:extLst>
        </xdr:cNvPr>
        <xdr:cNvSpPr>
          <a:spLocks noChangeArrowheads="1"/>
        </xdr:cNvSpPr>
      </xdr:nvSpPr>
      <xdr:spPr bwMode="auto">
        <a:xfrm>
          <a:off x="5753100" y="3857625"/>
          <a:ext cx="3724275" cy="771525"/>
        </a:xfrm>
        <a:prstGeom prst="foldedCorner">
          <a:avLst>
            <a:gd name="adj" fmla="val 12500"/>
          </a:avLst>
        </a:prstGeom>
        <a:solidFill>
          <a:srgbClr val="FFFF00"/>
        </a:solidFill>
        <a:ln w="38100">
          <a:solidFill>
            <a:srgbClr val="000000"/>
          </a:solidFill>
          <a:round/>
          <a:headEnd/>
          <a:tailEnd/>
        </a:ln>
      </xdr:spPr>
      <xdr:txBody>
        <a:bodyPr vertOverflow="clip" wrap="square" lIns="74295" tIns="8890" rIns="74295" bIns="8890" anchor="t" upright="1"/>
        <a:lstStyle/>
        <a:p>
          <a:pPr algn="l" rtl="0">
            <a:lnSpc>
              <a:spcPts val="1300"/>
            </a:lnSpc>
            <a:defRPr sz="1000"/>
          </a:pPr>
          <a:r>
            <a:rPr lang="ja-JP" altLang="en-US" sz="1100" b="1" i="0" u="none" strike="noStrike" baseline="0">
              <a:solidFill>
                <a:srgbClr val="000000"/>
              </a:solidFill>
              <a:latin typeface="ＭＳ Ｐゴシック"/>
              <a:ea typeface="ＭＳ Ｐゴシック"/>
            </a:rPr>
            <a:t>「工程」、「対象となる成果物・作業」、「管理指標」、「算出方法」に記載されている内容も含めてサンプルです。</a:t>
          </a:r>
        </a:p>
      </xdr:txBody>
    </xdr:sp>
    <xdr:clientData/>
  </xdr:twoCellAnchor>
  <xdr:twoCellAnchor>
    <xdr:from>
      <xdr:col>34</xdr:col>
      <xdr:colOff>152400</xdr:colOff>
      <xdr:row>32</xdr:row>
      <xdr:rowOff>133350</xdr:rowOff>
    </xdr:from>
    <xdr:to>
      <xdr:col>55</xdr:col>
      <xdr:colOff>57150</xdr:colOff>
      <xdr:row>39</xdr:row>
      <xdr:rowOff>9525</xdr:rowOff>
    </xdr:to>
    <xdr:sp macro="" textlink="">
      <xdr:nvSpPr>
        <xdr:cNvPr id="48133" name="AutoShape 5">
          <a:extLst>
            <a:ext uri="{FF2B5EF4-FFF2-40B4-BE49-F238E27FC236}">
              <a16:creationId xmlns:a16="http://schemas.microsoft.com/office/drawing/2014/main" id="{00000000-0008-0000-0100-000005BC0000}"/>
            </a:ext>
          </a:extLst>
        </xdr:cNvPr>
        <xdr:cNvSpPr>
          <a:spLocks/>
        </xdr:cNvSpPr>
      </xdr:nvSpPr>
      <xdr:spPr bwMode="auto">
        <a:xfrm>
          <a:off x="6953250" y="5619750"/>
          <a:ext cx="4133850" cy="1076325"/>
        </a:xfrm>
        <a:prstGeom prst="borderCallout1">
          <a:avLst>
            <a:gd name="adj1" fmla="val 10620"/>
            <a:gd name="adj2" fmla="val -1843"/>
            <a:gd name="adj3" fmla="val 56639"/>
            <a:gd name="adj4" fmla="val -7833"/>
          </a:avLst>
        </a:prstGeom>
        <a:solidFill>
          <a:srgbClr val="FFFF99"/>
        </a:solidFill>
        <a:ln w="19050">
          <a:solidFill>
            <a:srgbClr val="0000FF"/>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FF"/>
              </a:solidFill>
              <a:latin typeface="ＭＳ Ｐゴシック"/>
              <a:ea typeface="ＭＳ Ｐゴシック"/>
            </a:rPr>
            <a:t>同一工程内に複数の基準値を設定する場合（言語別にテスト密度を設定する等）はＰ☆ＭＯＴへの基準値入力はせず、「品質基準管理表」への記入のみで対応（管理）してください。</a:t>
          </a:r>
        </a:p>
        <a:p>
          <a:pPr algn="l" rtl="0">
            <a:lnSpc>
              <a:spcPts val="1300"/>
            </a:lnSpc>
            <a:defRPr sz="1000"/>
          </a:pPr>
          <a:r>
            <a:rPr lang="ja-JP" altLang="en-US" sz="1100" b="0" i="0" u="none" strike="noStrike" baseline="0">
              <a:solidFill>
                <a:srgbClr val="0000FF"/>
              </a:solidFill>
              <a:latin typeface="ＭＳ Ｐゴシック"/>
              <a:ea typeface="ＭＳ Ｐゴシック"/>
            </a:rPr>
            <a:t>例）テスト密度（Java）、テスト密度（C言語）等に行を分ける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126066</xdr:colOff>
      <xdr:row>23</xdr:row>
      <xdr:rowOff>10646</xdr:rowOff>
    </xdr:from>
    <xdr:to>
      <xdr:col>29</xdr:col>
      <xdr:colOff>20412</xdr:colOff>
      <xdr:row>29</xdr:row>
      <xdr:rowOff>77172</xdr:rowOff>
    </xdr:to>
    <xdr:sp macro="" textlink="">
      <xdr:nvSpPr>
        <xdr:cNvPr id="75777" name="Rectangle 20">
          <a:extLst>
            <a:ext uri="{FF2B5EF4-FFF2-40B4-BE49-F238E27FC236}">
              <a16:creationId xmlns:a16="http://schemas.microsoft.com/office/drawing/2014/main" id="{00000000-0008-0000-0200-000001280100}"/>
            </a:ext>
          </a:extLst>
        </xdr:cNvPr>
        <xdr:cNvSpPr>
          <a:spLocks noChangeArrowheads="1"/>
        </xdr:cNvSpPr>
      </xdr:nvSpPr>
      <xdr:spPr bwMode="auto">
        <a:xfrm>
          <a:off x="3848100" y="2800350"/>
          <a:ext cx="3467100" cy="108585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defRPr sz="1000"/>
          </a:pPr>
          <a:r>
            <a:rPr lang="ja-JP" altLang="en-US" sz="800" b="0" i="0" u="none" strike="noStrike" baseline="0">
              <a:solidFill>
                <a:srgbClr val="000000"/>
              </a:solidFill>
              <a:latin typeface="ＭＳ Ｐゴシック"/>
              <a:ea typeface="ＭＳ Ｐゴシック"/>
            </a:rPr>
            <a:t>◇作業手順</a:t>
          </a:r>
        </a:p>
        <a:p>
          <a:pPr algn="l" rtl="0">
            <a:defRPr sz="1000"/>
          </a:pPr>
          <a:r>
            <a:rPr lang="en-US" altLang="ja-JP" sz="800" b="0" i="0" u="none" strike="noStrike" baseline="0">
              <a:solidFill>
                <a:srgbClr val="000000"/>
              </a:solidFill>
              <a:latin typeface="ＭＳ Ｐゴシック"/>
              <a:ea typeface="ＭＳ Ｐゴシック"/>
            </a:rPr>
            <a:t>【QLT01-1</a:t>
          </a:r>
          <a:r>
            <a:rPr lang="ja-JP" altLang="en-US" sz="800" b="0" i="0" u="none" strike="noStrike" baseline="0">
              <a:solidFill>
                <a:srgbClr val="000000"/>
              </a:solidFill>
              <a:latin typeface="ＭＳ Ｐゴシック"/>
              <a:ea typeface="ＭＳ Ｐゴシック"/>
            </a:rPr>
            <a:t>品質基準管理表（定量的観点）</a:t>
          </a: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で定める管理指標以外で、品質を確保するための作業・成果物を定める。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非機能要件に対する品質管理作業や</a:t>
          </a:r>
        </a:p>
        <a:p>
          <a:pPr algn="l" rtl="0">
            <a:defRPr sz="1000"/>
          </a:pPr>
          <a:r>
            <a:rPr lang="ja-JP" altLang="en-US" sz="800" b="0" i="0" u="none" strike="noStrike" baseline="0">
              <a:solidFill>
                <a:srgbClr val="000000"/>
              </a:solidFill>
              <a:latin typeface="ＭＳ Ｐゴシック"/>
              <a:ea typeface="ＭＳ Ｐゴシック"/>
            </a:rPr>
            <a:t>　システム基盤更改時の品質管理作業等を記載する</a:t>
          </a:r>
        </a:p>
      </xdr:txBody>
    </xdr:sp>
    <xdr:clientData/>
  </xdr:twoCellAnchor>
  <xdr:twoCellAnchor>
    <xdr:from>
      <xdr:col>31</xdr:col>
      <xdr:colOff>112059</xdr:colOff>
      <xdr:row>21</xdr:row>
      <xdr:rowOff>135031</xdr:rowOff>
    </xdr:from>
    <xdr:to>
      <xdr:col>46</xdr:col>
      <xdr:colOff>2469</xdr:colOff>
      <xdr:row>26</xdr:row>
      <xdr:rowOff>163467</xdr:rowOff>
    </xdr:to>
    <xdr:sp macro="" textlink="">
      <xdr:nvSpPr>
        <xdr:cNvPr id="224282" name="AutoShape 26">
          <a:extLst>
            <a:ext uri="{FF2B5EF4-FFF2-40B4-BE49-F238E27FC236}">
              <a16:creationId xmlns:a16="http://schemas.microsoft.com/office/drawing/2014/main" id="{00000000-0008-0000-0200-00001A6C0300}"/>
            </a:ext>
          </a:extLst>
        </xdr:cNvPr>
        <xdr:cNvSpPr>
          <a:spLocks noChangeArrowheads="1"/>
        </xdr:cNvSpPr>
      </xdr:nvSpPr>
      <xdr:spPr bwMode="auto">
        <a:xfrm>
          <a:off x="4638675" y="6819900"/>
          <a:ext cx="2886075" cy="8953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defRPr sz="1000"/>
          </a:pPr>
          <a:r>
            <a:rPr lang="ja-JP" altLang="en-US" sz="1400" b="1" i="0" u="none" strike="noStrike" baseline="0">
              <a:solidFill>
                <a:srgbClr val="000000"/>
              </a:solidFill>
              <a:latin typeface="ＭＳ Ｐゴシック"/>
              <a:ea typeface="ＭＳ Ｐゴシック"/>
            </a:rPr>
            <a:t>記載内容については</a:t>
          </a:r>
        </a:p>
        <a:p>
          <a:pPr algn="ctr" rtl="0">
            <a:lnSpc>
              <a:spcPts val="1700"/>
            </a:lnSpc>
            <a:defRPr sz="1000"/>
          </a:pPr>
          <a:r>
            <a:rPr lang="ja-JP" altLang="en-US" sz="1400" b="1" i="0" u="none" strike="noStrike" baseline="0">
              <a:solidFill>
                <a:srgbClr val="000000"/>
              </a:solidFill>
              <a:latin typeface="ＭＳ Ｐゴシック"/>
              <a:ea typeface="ＭＳ Ｐゴシック"/>
            </a:rPr>
            <a:t>サンプルです。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28</xdr:col>
      <xdr:colOff>104775</xdr:colOff>
      <xdr:row>21</xdr:row>
      <xdr:rowOff>9525</xdr:rowOff>
    </xdr:from>
    <xdr:to>
      <xdr:col>45</xdr:col>
      <xdr:colOff>161925</xdr:colOff>
      <xdr:row>32</xdr:row>
      <xdr:rowOff>28575</xdr:rowOff>
    </xdr:to>
    <xdr:sp macro="" textlink="">
      <xdr:nvSpPr>
        <xdr:cNvPr id="50177" name="AutoShape 26">
          <a:extLst>
            <a:ext uri="{FF2B5EF4-FFF2-40B4-BE49-F238E27FC236}">
              <a16:creationId xmlns:a16="http://schemas.microsoft.com/office/drawing/2014/main" id="{00000000-0008-0000-0300-000001C40000}"/>
            </a:ext>
          </a:extLst>
        </xdr:cNvPr>
        <xdr:cNvSpPr>
          <a:spLocks noChangeArrowheads="1"/>
        </xdr:cNvSpPr>
      </xdr:nvSpPr>
      <xdr:spPr bwMode="auto">
        <a:xfrm>
          <a:off x="5705475" y="3609975"/>
          <a:ext cx="3457575" cy="19050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defRPr sz="1000"/>
          </a:pPr>
          <a:r>
            <a:rPr lang="ja-JP" altLang="en-US" sz="1400" b="1" i="0" u="none" strike="noStrike" baseline="0">
              <a:solidFill>
                <a:srgbClr val="000000"/>
              </a:solidFill>
              <a:latin typeface="ＭＳ Ｐゴシック"/>
              <a:ea typeface="ＭＳ Ｐゴシック"/>
            </a:rPr>
            <a:t>記載内容については</a:t>
          </a:r>
        </a:p>
        <a:p>
          <a:pPr algn="ctr" rtl="0">
            <a:defRPr sz="1000"/>
          </a:pPr>
          <a:r>
            <a:rPr lang="ja-JP" altLang="en-US" sz="1400" b="1" i="0" u="none" strike="noStrike" baseline="0">
              <a:solidFill>
                <a:srgbClr val="000000"/>
              </a:solidFill>
              <a:latin typeface="ＭＳ Ｐゴシック"/>
              <a:ea typeface="ＭＳ Ｐゴシック"/>
            </a:rPr>
            <a:t>サンプルです。</a:t>
          </a:r>
        </a:p>
        <a:p>
          <a:pPr algn="ctr" rtl="0">
            <a:lnSpc>
              <a:spcPts val="1700"/>
            </a:lnSpc>
            <a:defRPr sz="1000"/>
          </a:pPr>
          <a:r>
            <a:rPr lang="ja-JP" altLang="en-US" sz="1400" b="1" i="0" u="none" strike="noStrike" baseline="0">
              <a:solidFill>
                <a:srgbClr val="000000"/>
              </a:solidFill>
              <a:latin typeface="ＭＳ Ｐゴシック"/>
              <a:ea typeface="ＭＳ Ｐゴシック"/>
            </a:rPr>
            <a:t>別途、Ｊ☆ＰＡＴのＦＡＱに共通な内容についてのサンプルを用意しております。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44</xdr:row>
      <xdr:rowOff>57150</xdr:rowOff>
    </xdr:from>
    <xdr:to>
      <xdr:col>19</xdr:col>
      <xdr:colOff>85725</xdr:colOff>
      <xdr:row>55</xdr:row>
      <xdr:rowOff>19050</xdr:rowOff>
    </xdr:to>
    <xdr:sp macro="" textlink="">
      <xdr:nvSpPr>
        <xdr:cNvPr id="52225" name="Rectangle 19">
          <a:extLst>
            <a:ext uri="{FF2B5EF4-FFF2-40B4-BE49-F238E27FC236}">
              <a16:creationId xmlns:a16="http://schemas.microsoft.com/office/drawing/2014/main" id="{00000000-0008-0000-0500-000001CC0000}"/>
            </a:ext>
          </a:extLst>
        </xdr:cNvPr>
        <xdr:cNvSpPr>
          <a:spLocks noChangeArrowheads="1"/>
        </xdr:cNvSpPr>
      </xdr:nvSpPr>
      <xdr:spPr bwMode="auto">
        <a:xfrm>
          <a:off x="0" y="7600950"/>
          <a:ext cx="3886200" cy="18478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21</xdr:col>
      <xdr:colOff>76200</xdr:colOff>
      <xdr:row>44</xdr:row>
      <xdr:rowOff>57150</xdr:rowOff>
    </xdr:from>
    <xdr:to>
      <xdr:col>40</xdr:col>
      <xdr:colOff>19050</xdr:colOff>
      <xdr:row>56</xdr:row>
      <xdr:rowOff>161925</xdr:rowOff>
    </xdr:to>
    <xdr:sp macro="" textlink="">
      <xdr:nvSpPr>
        <xdr:cNvPr id="52226" name="Rectangle 20">
          <a:extLst>
            <a:ext uri="{FF2B5EF4-FFF2-40B4-BE49-F238E27FC236}">
              <a16:creationId xmlns:a16="http://schemas.microsoft.com/office/drawing/2014/main" id="{00000000-0008-0000-0500-000002CC0000}"/>
            </a:ext>
          </a:extLst>
        </xdr:cNvPr>
        <xdr:cNvSpPr>
          <a:spLocks noChangeArrowheads="1"/>
        </xdr:cNvSpPr>
      </xdr:nvSpPr>
      <xdr:spPr bwMode="auto">
        <a:xfrm>
          <a:off x="4276725" y="7600950"/>
          <a:ext cx="3743325" cy="216217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レビュー種別（チームレビュー、プロジェクトレビュー、顧客レビュー）ごとに、作業手順②で決定した単位でレビュー時間（人時）、指摘件数を記入したうえで、レビュー密度、指摘摘出密度を算出し、記述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FF0000"/>
              </a:solidFill>
              <a:latin typeface="ＭＳ Ｐゴシック"/>
              <a:ea typeface="ＭＳ Ｐゴシック"/>
            </a:rPr>
            <a:t>※チームレビューは必須とする。</a:t>
          </a:r>
        </a:p>
        <a:p>
          <a:pPr algn="l" rtl="0">
            <a:lnSpc>
              <a:spcPts val="1300"/>
            </a:lnSpc>
            <a:defRPr sz="1000"/>
          </a:pPr>
          <a:endParaRPr lang="ja-JP" altLang="en-US" sz="1100" b="0" i="0" u="none" strike="noStrike" baseline="0">
            <a:solidFill>
              <a:srgbClr val="FF0000"/>
            </a:solidFill>
            <a:latin typeface="ＭＳ Ｐゴシック"/>
            <a:ea typeface="ＭＳ Ｐゴシック"/>
          </a:endParaRPr>
        </a:p>
      </xdr:txBody>
    </xdr:sp>
    <xdr:clientData/>
  </xdr:twoCellAnchor>
  <xdr:twoCellAnchor>
    <xdr:from>
      <xdr:col>0</xdr:col>
      <xdr:colOff>0</xdr:colOff>
      <xdr:row>20</xdr:row>
      <xdr:rowOff>0</xdr:rowOff>
    </xdr:from>
    <xdr:to>
      <xdr:col>13</xdr:col>
      <xdr:colOff>0</xdr:colOff>
      <xdr:row>43</xdr:row>
      <xdr:rowOff>0</xdr:rowOff>
    </xdr:to>
    <xdr:sp macro="" textlink="">
      <xdr:nvSpPr>
        <xdr:cNvPr id="52561" name="Rectangle 21">
          <a:extLst>
            <a:ext uri="{FF2B5EF4-FFF2-40B4-BE49-F238E27FC236}">
              <a16:creationId xmlns:a16="http://schemas.microsoft.com/office/drawing/2014/main" id="{00000000-0008-0000-0500-000051CD0000}"/>
            </a:ext>
          </a:extLst>
        </xdr:cNvPr>
        <xdr:cNvSpPr>
          <a:spLocks noChangeArrowheads="1"/>
        </xdr:cNvSpPr>
      </xdr:nvSpPr>
      <xdr:spPr bwMode="auto">
        <a:xfrm>
          <a:off x="0" y="3429000"/>
          <a:ext cx="260032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104775</xdr:colOff>
      <xdr:row>40</xdr:row>
      <xdr:rowOff>104775</xdr:rowOff>
    </xdr:from>
    <xdr:to>
      <xdr:col>8</xdr:col>
      <xdr:colOff>152400</xdr:colOff>
      <xdr:row>45</xdr:row>
      <xdr:rowOff>104775</xdr:rowOff>
    </xdr:to>
    <xdr:sp macro="" textlink="">
      <xdr:nvSpPr>
        <xdr:cNvPr id="52562" name="Line 22">
          <a:extLst>
            <a:ext uri="{FF2B5EF4-FFF2-40B4-BE49-F238E27FC236}">
              <a16:creationId xmlns:a16="http://schemas.microsoft.com/office/drawing/2014/main" id="{00000000-0008-0000-0500-000052CD0000}"/>
            </a:ext>
          </a:extLst>
        </xdr:cNvPr>
        <xdr:cNvSpPr>
          <a:spLocks noChangeShapeType="1"/>
        </xdr:cNvSpPr>
      </xdr:nvSpPr>
      <xdr:spPr bwMode="auto">
        <a:xfrm>
          <a:off x="1704975" y="6962775"/>
          <a:ext cx="47625" cy="857250"/>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38100</xdr:colOff>
      <xdr:row>20</xdr:row>
      <xdr:rowOff>0</xdr:rowOff>
    </xdr:from>
    <xdr:to>
      <xdr:col>79</xdr:col>
      <xdr:colOff>28575</xdr:colOff>
      <xdr:row>43</xdr:row>
      <xdr:rowOff>28575</xdr:rowOff>
    </xdr:to>
    <xdr:sp macro="" textlink="">
      <xdr:nvSpPr>
        <xdr:cNvPr id="52563" name="Rectangle 23">
          <a:extLst>
            <a:ext uri="{FF2B5EF4-FFF2-40B4-BE49-F238E27FC236}">
              <a16:creationId xmlns:a16="http://schemas.microsoft.com/office/drawing/2014/main" id="{00000000-0008-0000-0500-000053CD0000}"/>
            </a:ext>
          </a:extLst>
        </xdr:cNvPr>
        <xdr:cNvSpPr>
          <a:spLocks noChangeArrowheads="1"/>
        </xdr:cNvSpPr>
      </xdr:nvSpPr>
      <xdr:spPr bwMode="auto">
        <a:xfrm>
          <a:off x="2638425" y="3429000"/>
          <a:ext cx="13220700" cy="39719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35</xdr:col>
      <xdr:colOff>104775</xdr:colOff>
      <xdr:row>41</xdr:row>
      <xdr:rowOff>152400</xdr:rowOff>
    </xdr:from>
    <xdr:to>
      <xdr:col>36</xdr:col>
      <xdr:colOff>28575</xdr:colOff>
      <xdr:row>45</xdr:row>
      <xdr:rowOff>152400</xdr:rowOff>
    </xdr:to>
    <xdr:sp macro="" textlink="">
      <xdr:nvSpPr>
        <xdr:cNvPr id="52564" name="Line 24">
          <a:extLst>
            <a:ext uri="{FF2B5EF4-FFF2-40B4-BE49-F238E27FC236}">
              <a16:creationId xmlns:a16="http://schemas.microsoft.com/office/drawing/2014/main" id="{00000000-0008-0000-0500-000054CD0000}"/>
            </a:ext>
          </a:extLst>
        </xdr:cNvPr>
        <xdr:cNvSpPr>
          <a:spLocks noChangeShapeType="1"/>
        </xdr:cNvSpPr>
      </xdr:nvSpPr>
      <xdr:spPr bwMode="auto">
        <a:xfrm flipH="1">
          <a:off x="7105650" y="7181850"/>
          <a:ext cx="123825" cy="685800"/>
        </a:xfrm>
        <a:prstGeom prst="line">
          <a:avLst/>
        </a:prstGeom>
        <a:noFill/>
        <a:ln w="38100">
          <a:solidFill>
            <a:srgbClr val="008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14</xdr:row>
      <xdr:rowOff>9525</xdr:rowOff>
    </xdr:from>
    <xdr:to>
      <xdr:col>34</xdr:col>
      <xdr:colOff>0</xdr:colOff>
      <xdr:row>18</xdr:row>
      <xdr:rowOff>0</xdr:rowOff>
    </xdr:to>
    <xdr:sp macro="" textlink="">
      <xdr:nvSpPr>
        <xdr:cNvPr id="52565" name="Rectangle 25">
          <a:extLst>
            <a:ext uri="{FF2B5EF4-FFF2-40B4-BE49-F238E27FC236}">
              <a16:creationId xmlns:a16="http://schemas.microsoft.com/office/drawing/2014/main" id="{00000000-0008-0000-0500-000055CD0000}"/>
            </a:ext>
          </a:extLst>
        </xdr:cNvPr>
        <xdr:cNvSpPr>
          <a:spLocks noChangeArrowheads="1"/>
        </xdr:cNvSpPr>
      </xdr:nvSpPr>
      <xdr:spPr bwMode="auto">
        <a:xfrm>
          <a:off x="0" y="2409825"/>
          <a:ext cx="6800850" cy="6762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14</xdr:col>
      <xdr:colOff>11767</xdr:colOff>
      <xdr:row>1</xdr:row>
      <xdr:rowOff>120464</xdr:rowOff>
    </xdr:from>
    <xdr:to>
      <xdr:col>34</xdr:col>
      <xdr:colOff>159684</xdr:colOff>
      <xdr:row>10</xdr:row>
      <xdr:rowOff>129989</xdr:rowOff>
    </xdr:to>
    <xdr:sp macro="" textlink="">
      <xdr:nvSpPr>
        <xdr:cNvPr id="52232" name="Rectangle 26">
          <a:extLst>
            <a:ext uri="{FF2B5EF4-FFF2-40B4-BE49-F238E27FC236}">
              <a16:creationId xmlns:a16="http://schemas.microsoft.com/office/drawing/2014/main" id="{00000000-0008-0000-0500-000008CC0000}"/>
            </a:ext>
          </a:extLst>
        </xdr:cNvPr>
        <xdr:cNvSpPr>
          <a:spLocks noChangeArrowheads="1"/>
        </xdr:cNvSpPr>
      </xdr:nvSpPr>
      <xdr:spPr bwMode="auto">
        <a:xfrm>
          <a:off x="2835649" y="288552"/>
          <a:ext cx="4182035" cy="1522319"/>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レビュー種別（チームレビュー、プロジェクトレビュー、顧客レビュー）ごとにレビュー密度、指摘摘出密度の基準値を記述する。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FF0000"/>
              </a:solidFill>
              <a:latin typeface="ＭＳ Ｐゴシック"/>
              <a:ea typeface="ＭＳ Ｐゴシック"/>
            </a:rPr>
            <a:t>※チームレビューは必須とする。</a:t>
          </a:r>
        </a:p>
      </xdr:txBody>
    </xdr:sp>
    <xdr:clientData/>
  </xdr:twoCellAnchor>
  <xdr:twoCellAnchor>
    <xdr:from>
      <xdr:col>29</xdr:col>
      <xdr:colOff>133350</xdr:colOff>
      <xdr:row>10</xdr:row>
      <xdr:rowOff>123825</xdr:rowOff>
    </xdr:from>
    <xdr:to>
      <xdr:col>30</xdr:col>
      <xdr:colOff>0</xdr:colOff>
      <xdr:row>13</xdr:row>
      <xdr:rowOff>142875</xdr:rowOff>
    </xdr:to>
    <xdr:sp macro="" textlink="">
      <xdr:nvSpPr>
        <xdr:cNvPr id="52567" name="Line 27">
          <a:extLst>
            <a:ext uri="{FF2B5EF4-FFF2-40B4-BE49-F238E27FC236}">
              <a16:creationId xmlns:a16="http://schemas.microsoft.com/office/drawing/2014/main" id="{00000000-0008-0000-0500-000057CD0000}"/>
            </a:ext>
          </a:extLst>
        </xdr:cNvPr>
        <xdr:cNvSpPr>
          <a:spLocks noChangeShapeType="1"/>
        </xdr:cNvSpPr>
      </xdr:nvSpPr>
      <xdr:spPr bwMode="auto">
        <a:xfrm flipH="1">
          <a:off x="5934075" y="1838325"/>
          <a:ext cx="66675" cy="53340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32</xdr:col>
      <xdr:colOff>193062</xdr:colOff>
      <xdr:row>33</xdr:row>
      <xdr:rowOff>61072</xdr:rowOff>
    </xdr:from>
    <xdr:to>
      <xdr:col>42</xdr:col>
      <xdr:colOff>151910</xdr:colOff>
      <xdr:row>38</xdr:row>
      <xdr:rowOff>72026</xdr:rowOff>
    </xdr:to>
    <xdr:sp macro="" textlink="">
      <xdr:nvSpPr>
        <xdr:cNvPr id="234524" name="AutoShape 28">
          <a:extLst>
            <a:ext uri="{FF2B5EF4-FFF2-40B4-BE49-F238E27FC236}">
              <a16:creationId xmlns:a16="http://schemas.microsoft.com/office/drawing/2014/main" id="{00000000-0008-0000-0500-00001C940300}"/>
            </a:ext>
          </a:extLst>
        </xdr:cNvPr>
        <xdr:cNvSpPr>
          <a:spLocks noChangeAspect="1" noChangeArrowheads="1"/>
        </xdr:cNvSpPr>
      </xdr:nvSpPr>
      <xdr:spPr bwMode="auto">
        <a:xfrm>
          <a:off x="15630525" y="6686550"/>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42</xdr:col>
      <xdr:colOff>57150</xdr:colOff>
      <xdr:row>43</xdr:row>
      <xdr:rowOff>133350</xdr:rowOff>
    </xdr:from>
    <xdr:to>
      <xdr:col>61</xdr:col>
      <xdr:colOff>85725</xdr:colOff>
      <xdr:row>53</xdr:row>
      <xdr:rowOff>28575</xdr:rowOff>
    </xdr:to>
    <xdr:sp macro="" textlink="">
      <xdr:nvSpPr>
        <xdr:cNvPr id="52235" name="AutoShape 101">
          <a:extLst>
            <a:ext uri="{FF2B5EF4-FFF2-40B4-BE49-F238E27FC236}">
              <a16:creationId xmlns:a16="http://schemas.microsoft.com/office/drawing/2014/main" id="{00000000-0008-0000-0500-00000BCC0000}"/>
            </a:ext>
          </a:extLst>
        </xdr:cNvPr>
        <xdr:cNvSpPr>
          <a:spLocks noChangeAspect="1" noChangeArrowheads="1"/>
        </xdr:cNvSpPr>
      </xdr:nvSpPr>
      <xdr:spPr bwMode="auto">
        <a:xfrm>
          <a:off x="8458200" y="7505700"/>
          <a:ext cx="3857625" cy="1609725"/>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顧客レビューで同じ場合の様式</a:t>
          </a:r>
        </a:p>
      </xdr:txBody>
    </xdr:sp>
    <xdr:clientData/>
  </xdr:twoCellAnchor>
  <xdr:twoCellAnchor>
    <xdr:from>
      <xdr:col>43</xdr:col>
      <xdr:colOff>114300</xdr:colOff>
      <xdr:row>11</xdr:row>
      <xdr:rowOff>9525</xdr:rowOff>
    </xdr:from>
    <xdr:to>
      <xdr:col>62</xdr:col>
      <xdr:colOff>85725</xdr:colOff>
      <xdr:row>16</xdr:row>
      <xdr:rowOff>76200</xdr:rowOff>
    </xdr:to>
    <xdr:sp macro="" textlink="">
      <xdr:nvSpPr>
        <xdr:cNvPr id="13" name="Rectangle 19">
          <a:extLst>
            <a:ext uri="{FF2B5EF4-FFF2-40B4-BE49-F238E27FC236}">
              <a16:creationId xmlns:a16="http://schemas.microsoft.com/office/drawing/2014/main" id="{00000000-0008-0000-0500-00000D000000}"/>
            </a:ext>
          </a:extLst>
        </xdr:cNvPr>
        <xdr:cNvSpPr>
          <a:spLocks noChangeArrowheads="1"/>
        </xdr:cNvSpPr>
      </xdr:nvSpPr>
      <xdr:spPr bwMode="auto">
        <a:xfrm>
          <a:off x="7896225" y="1895475"/>
          <a:ext cx="3438525" cy="9239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34</xdr:col>
      <xdr:colOff>171450</xdr:colOff>
      <xdr:row>10</xdr:row>
      <xdr:rowOff>19050</xdr:rowOff>
    </xdr:from>
    <xdr:to>
      <xdr:col>78</xdr:col>
      <xdr:colOff>161925</xdr:colOff>
      <xdr:row>18</xdr:row>
      <xdr:rowOff>19050</xdr:rowOff>
    </xdr:to>
    <xdr:sp macro="" textlink="">
      <xdr:nvSpPr>
        <xdr:cNvPr id="52571" name="Rectangle 24">
          <a:extLst>
            <a:ext uri="{FF2B5EF4-FFF2-40B4-BE49-F238E27FC236}">
              <a16:creationId xmlns:a16="http://schemas.microsoft.com/office/drawing/2014/main" id="{00000000-0008-0000-0500-00005BCD0000}"/>
            </a:ext>
          </a:extLst>
        </xdr:cNvPr>
        <xdr:cNvSpPr>
          <a:spLocks noChangeArrowheads="1"/>
        </xdr:cNvSpPr>
      </xdr:nvSpPr>
      <xdr:spPr bwMode="auto">
        <a:xfrm>
          <a:off x="6972300" y="1733550"/>
          <a:ext cx="8820150" cy="137160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xdr:colOff>
      <xdr:row>29</xdr:row>
      <xdr:rowOff>57150</xdr:rowOff>
    </xdr:from>
    <xdr:to>
      <xdr:col>16</xdr:col>
      <xdr:colOff>19050</xdr:colOff>
      <xdr:row>37</xdr:row>
      <xdr:rowOff>152400</xdr:rowOff>
    </xdr:to>
    <xdr:sp macro="" textlink="">
      <xdr:nvSpPr>
        <xdr:cNvPr id="53249" name="Rectangle 47">
          <a:extLst>
            <a:ext uri="{FF2B5EF4-FFF2-40B4-BE49-F238E27FC236}">
              <a16:creationId xmlns:a16="http://schemas.microsoft.com/office/drawing/2014/main" id="{00000000-0008-0000-0600-000001D00000}"/>
            </a:ext>
          </a:extLst>
        </xdr:cNvPr>
        <xdr:cNvSpPr>
          <a:spLocks noChangeArrowheads="1"/>
        </xdr:cNvSpPr>
      </xdr:nvSpPr>
      <xdr:spPr bwMode="auto">
        <a:xfrm>
          <a:off x="209550" y="5029200"/>
          <a:ext cx="3009900" cy="14668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8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100"/>
            </a:lnSpc>
            <a:defRPr sz="1000"/>
          </a:pPr>
          <a:endParaRPr lang="ja-JP" altLang="en-US" sz="1100" b="0" i="0" u="none" strike="noStrike" baseline="0">
            <a:solidFill>
              <a:srgbClr val="000000"/>
            </a:solidFill>
            <a:latin typeface="ＭＳ Ｐゴシック"/>
            <a:ea typeface="ＭＳ Ｐゴシック"/>
          </a:endParaRPr>
        </a:p>
        <a:p>
          <a:pPr algn="l" rtl="0">
            <a:lnSpc>
              <a:spcPts val="11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18</xdr:col>
      <xdr:colOff>142875</xdr:colOff>
      <xdr:row>29</xdr:row>
      <xdr:rowOff>57150</xdr:rowOff>
    </xdr:from>
    <xdr:to>
      <xdr:col>37</xdr:col>
      <xdr:colOff>9525</xdr:colOff>
      <xdr:row>38</xdr:row>
      <xdr:rowOff>57150</xdr:rowOff>
    </xdr:to>
    <xdr:sp macro="" textlink="">
      <xdr:nvSpPr>
        <xdr:cNvPr id="53250" name="Rectangle 48">
          <a:extLst>
            <a:ext uri="{FF2B5EF4-FFF2-40B4-BE49-F238E27FC236}">
              <a16:creationId xmlns:a16="http://schemas.microsoft.com/office/drawing/2014/main" id="{00000000-0008-0000-0600-000002D00000}"/>
            </a:ext>
          </a:extLst>
        </xdr:cNvPr>
        <xdr:cNvSpPr>
          <a:spLocks noChangeArrowheads="1"/>
        </xdr:cNvSpPr>
      </xdr:nvSpPr>
      <xdr:spPr bwMode="auto">
        <a:xfrm>
          <a:off x="3743325" y="5029200"/>
          <a:ext cx="3667125" cy="15430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0</xdr:col>
      <xdr:colOff>0</xdr:colOff>
      <xdr:row>17</xdr:row>
      <xdr:rowOff>0</xdr:rowOff>
    </xdr:from>
    <xdr:to>
      <xdr:col>18</xdr:col>
      <xdr:colOff>9525</xdr:colOff>
      <xdr:row>40</xdr:row>
      <xdr:rowOff>0</xdr:rowOff>
    </xdr:to>
    <xdr:sp macro="" textlink="">
      <xdr:nvSpPr>
        <xdr:cNvPr id="53532" name="Rectangle 49">
          <a:extLst>
            <a:ext uri="{FF2B5EF4-FFF2-40B4-BE49-F238E27FC236}">
              <a16:creationId xmlns:a16="http://schemas.microsoft.com/office/drawing/2014/main" id="{00000000-0008-0000-0600-00001CD10000}"/>
            </a:ext>
          </a:extLst>
        </xdr:cNvPr>
        <xdr:cNvSpPr>
          <a:spLocks noChangeArrowheads="1"/>
        </xdr:cNvSpPr>
      </xdr:nvSpPr>
      <xdr:spPr bwMode="auto">
        <a:xfrm>
          <a:off x="0" y="2914650"/>
          <a:ext cx="360997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9525</xdr:colOff>
      <xdr:row>17</xdr:row>
      <xdr:rowOff>0</xdr:rowOff>
    </xdr:from>
    <xdr:to>
      <xdr:col>48</xdr:col>
      <xdr:colOff>19050</xdr:colOff>
      <xdr:row>40</xdr:row>
      <xdr:rowOff>0</xdr:rowOff>
    </xdr:to>
    <xdr:sp macro="" textlink="">
      <xdr:nvSpPr>
        <xdr:cNvPr id="53533" name="Rectangle 51">
          <a:extLst>
            <a:ext uri="{FF2B5EF4-FFF2-40B4-BE49-F238E27FC236}">
              <a16:creationId xmlns:a16="http://schemas.microsoft.com/office/drawing/2014/main" id="{00000000-0008-0000-0600-00001DD10000}"/>
            </a:ext>
          </a:extLst>
        </xdr:cNvPr>
        <xdr:cNvSpPr>
          <a:spLocks noChangeArrowheads="1"/>
        </xdr:cNvSpPr>
      </xdr:nvSpPr>
      <xdr:spPr bwMode="auto">
        <a:xfrm>
          <a:off x="3609975" y="2914650"/>
          <a:ext cx="6010275" cy="394335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29</xdr:col>
      <xdr:colOff>190500</xdr:colOff>
      <xdr:row>15</xdr:row>
      <xdr:rowOff>9525</xdr:rowOff>
    </xdr:to>
    <xdr:sp macro="" textlink="">
      <xdr:nvSpPr>
        <xdr:cNvPr id="53534" name="Rectangle 53">
          <a:extLst>
            <a:ext uri="{FF2B5EF4-FFF2-40B4-BE49-F238E27FC236}">
              <a16:creationId xmlns:a16="http://schemas.microsoft.com/office/drawing/2014/main" id="{00000000-0008-0000-0600-00001ED10000}"/>
            </a:ext>
          </a:extLst>
        </xdr:cNvPr>
        <xdr:cNvSpPr>
          <a:spLocks noChangeArrowheads="1"/>
        </xdr:cNvSpPr>
      </xdr:nvSpPr>
      <xdr:spPr bwMode="auto">
        <a:xfrm>
          <a:off x="0" y="2209800"/>
          <a:ext cx="5991225" cy="3714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47</xdr:col>
      <xdr:colOff>18170</xdr:colOff>
      <xdr:row>16</xdr:row>
      <xdr:rowOff>64753</xdr:rowOff>
    </xdr:from>
    <xdr:to>
      <xdr:col>56</xdr:col>
      <xdr:colOff>106309</xdr:colOff>
      <xdr:row>21</xdr:row>
      <xdr:rowOff>40650</xdr:rowOff>
    </xdr:to>
    <xdr:sp macro="" textlink="">
      <xdr:nvSpPr>
        <xdr:cNvPr id="235576" name="AutoShape 56">
          <a:extLst>
            <a:ext uri="{FF2B5EF4-FFF2-40B4-BE49-F238E27FC236}">
              <a16:creationId xmlns:a16="http://schemas.microsoft.com/office/drawing/2014/main" id="{00000000-0008-0000-0600-000038980300}"/>
            </a:ext>
          </a:extLst>
        </xdr:cNvPr>
        <xdr:cNvSpPr>
          <a:spLocks noChangeAspect="1" noChangeArrowheads="1"/>
        </xdr:cNvSpPr>
      </xdr:nvSpPr>
      <xdr:spPr bwMode="auto">
        <a:xfrm>
          <a:off x="10401300" y="36861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3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39</xdr:col>
      <xdr:colOff>152400</xdr:colOff>
      <xdr:row>26</xdr:row>
      <xdr:rowOff>142875</xdr:rowOff>
    </xdr:from>
    <xdr:to>
      <xdr:col>57</xdr:col>
      <xdr:colOff>19050</xdr:colOff>
      <xdr:row>39</xdr:row>
      <xdr:rowOff>85725</xdr:rowOff>
    </xdr:to>
    <xdr:sp macro="" textlink="">
      <xdr:nvSpPr>
        <xdr:cNvPr id="53257" name="AutoShape 102">
          <a:extLst>
            <a:ext uri="{FF2B5EF4-FFF2-40B4-BE49-F238E27FC236}">
              <a16:creationId xmlns:a16="http://schemas.microsoft.com/office/drawing/2014/main" id="{00000000-0008-0000-0600-000009D00000}"/>
            </a:ext>
          </a:extLst>
        </xdr:cNvPr>
        <xdr:cNvSpPr>
          <a:spLocks noChangeAspect="1" noChangeArrowheads="1"/>
        </xdr:cNvSpPr>
      </xdr:nvSpPr>
      <xdr:spPr bwMode="auto">
        <a:xfrm>
          <a:off x="7953375" y="4600575"/>
          <a:ext cx="3467100" cy="21717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156882</xdr:colOff>
      <xdr:row>10</xdr:row>
      <xdr:rowOff>11206</xdr:rowOff>
    </xdr:from>
    <xdr:to>
      <xdr:col>53</xdr:col>
      <xdr:colOff>150718</xdr:colOff>
      <xdr:row>15</xdr:row>
      <xdr:rowOff>77880</xdr:rowOff>
    </xdr:to>
    <xdr:sp macro="" textlink="">
      <xdr:nvSpPr>
        <xdr:cNvPr id="11" name="Rectangle 19">
          <a:extLst>
            <a:ext uri="{FF2B5EF4-FFF2-40B4-BE49-F238E27FC236}">
              <a16:creationId xmlns:a16="http://schemas.microsoft.com/office/drawing/2014/main" id="{00000000-0008-0000-0600-00000B000000}"/>
            </a:ext>
          </a:extLst>
        </xdr:cNvPr>
        <xdr:cNvSpPr>
          <a:spLocks noChangeArrowheads="1"/>
        </xdr:cNvSpPr>
      </xdr:nvSpPr>
      <xdr:spPr bwMode="auto">
        <a:xfrm>
          <a:off x="7014882" y="1692088"/>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190500</xdr:colOff>
      <xdr:row>9</xdr:row>
      <xdr:rowOff>0</xdr:rowOff>
    </xdr:from>
    <xdr:to>
      <xdr:col>58</xdr:col>
      <xdr:colOff>9525</xdr:colOff>
      <xdr:row>16</xdr:row>
      <xdr:rowOff>0</xdr:rowOff>
    </xdr:to>
    <xdr:sp macro="" textlink="">
      <xdr:nvSpPr>
        <xdr:cNvPr id="53538" name="Rectangle 24">
          <a:extLst>
            <a:ext uri="{FF2B5EF4-FFF2-40B4-BE49-F238E27FC236}">
              <a16:creationId xmlns:a16="http://schemas.microsoft.com/office/drawing/2014/main" id="{00000000-0008-0000-0600-000022D10000}"/>
            </a:ext>
          </a:extLst>
        </xdr:cNvPr>
        <xdr:cNvSpPr>
          <a:spLocks noChangeArrowheads="1"/>
        </xdr:cNvSpPr>
      </xdr:nvSpPr>
      <xdr:spPr bwMode="auto">
        <a:xfrm>
          <a:off x="6191250" y="154305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19</xdr:col>
      <xdr:colOff>136151</xdr:colOff>
      <xdr:row>2</xdr:row>
      <xdr:rowOff>138393</xdr:rowOff>
    </xdr:from>
    <xdr:to>
      <xdr:col>35</xdr:col>
      <xdr:colOff>50426</xdr:colOff>
      <xdr:row>9</xdr:row>
      <xdr:rowOff>52668</xdr:rowOff>
    </xdr:to>
    <xdr:sp macro="" textlink="">
      <xdr:nvSpPr>
        <xdr:cNvPr id="53254" name="Rectangle 54">
          <a:extLst>
            <a:ext uri="{FF2B5EF4-FFF2-40B4-BE49-F238E27FC236}">
              <a16:creationId xmlns:a16="http://schemas.microsoft.com/office/drawing/2014/main" id="{00000000-0008-0000-0600-000006D00000}"/>
            </a:ext>
          </a:extLst>
        </xdr:cNvPr>
        <xdr:cNvSpPr>
          <a:spLocks noChangeArrowheads="1"/>
        </xdr:cNvSpPr>
      </xdr:nvSpPr>
      <xdr:spPr bwMode="auto">
        <a:xfrm>
          <a:off x="3968563" y="474569"/>
          <a:ext cx="3141569" cy="1090893"/>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9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900"/>
            </a:lnSpc>
            <a:defRPr sz="1000"/>
          </a:pPr>
          <a:endParaRPr lang="ja-JP" altLang="en-US" sz="1100" b="0" i="0" u="none" strike="noStrike" baseline="0">
            <a:solidFill>
              <a:srgbClr val="000000"/>
            </a:solidFill>
            <a:latin typeface="ＭＳ Ｐゴシック"/>
            <a:ea typeface="ＭＳ Ｐゴシック"/>
          </a:endParaRPr>
        </a:p>
        <a:p>
          <a:pPr algn="l" rtl="0">
            <a:lnSpc>
              <a:spcPts val="9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23</xdr:col>
      <xdr:colOff>9525</xdr:colOff>
      <xdr:row>8</xdr:row>
      <xdr:rowOff>142875</xdr:rowOff>
    </xdr:from>
    <xdr:to>
      <xdr:col>25</xdr:col>
      <xdr:colOff>180975</xdr:colOff>
      <xdr:row>12</xdr:row>
      <xdr:rowOff>123825</xdr:rowOff>
    </xdr:to>
    <xdr:sp macro="" textlink="">
      <xdr:nvSpPr>
        <xdr:cNvPr id="53540" name="Line 55">
          <a:extLst>
            <a:ext uri="{FF2B5EF4-FFF2-40B4-BE49-F238E27FC236}">
              <a16:creationId xmlns:a16="http://schemas.microsoft.com/office/drawing/2014/main" id="{00000000-0008-0000-0600-000024D10000}"/>
            </a:ext>
          </a:extLst>
        </xdr:cNvPr>
        <xdr:cNvSpPr>
          <a:spLocks noChangeShapeType="1"/>
        </xdr:cNvSpPr>
      </xdr:nvSpPr>
      <xdr:spPr bwMode="auto">
        <a:xfrm flipH="1">
          <a:off x="4610100" y="1514475"/>
          <a:ext cx="571500" cy="6667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16</xdr:row>
      <xdr:rowOff>152400</xdr:rowOff>
    </xdr:from>
    <xdr:to>
      <xdr:col>18</xdr:col>
      <xdr:colOff>0</xdr:colOff>
      <xdr:row>40</xdr:row>
      <xdr:rowOff>9525</xdr:rowOff>
    </xdr:to>
    <xdr:sp macro="" textlink="">
      <xdr:nvSpPr>
        <xdr:cNvPr id="54550" name="Rectangle 75">
          <a:extLst>
            <a:ext uri="{FF2B5EF4-FFF2-40B4-BE49-F238E27FC236}">
              <a16:creationId xmlns:a16="http://schemas.microsoft.com/office/drawing/2014/main" id="{00000000-0008-0000-0700-000016D50000}"/>
            </a:ext>
          </a:extLst>
        </xdr:cNvPr>
        <xdr:cNvSpPr>
          <a:spLocks noChangeArrowheads="1"/>
        </xdr:cNvSpPr>
      </xdr:nvSpPr>
      <xdr:spPr bwMode="auto">
        <a:xfrm>
          <a:off x="0" y="2895600"/>
          <a:ext cx="3600450" cy="3971925"/>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19050</xdr:colOff>
      <xdr:row>16</xdr:row>
      <xdr:rowOff>142875</xdr:rowOff>
    </xdr:from>
    <xdr:to>
      <xdr:col>48</xdr:col>
      <xdr:colOff>9525</xdr:colOff>
      <xdr:row>40</xdr:row>
      <xdr:rowOff>38100</xdr:rowOff>
    </xdr:to>
    <xdr:sp macro="" textlink="">
      <xdr:nvSpPr>
        <xdr:cNvPr id="54551" name="Rectangle 76">
          <a:extLst>
            <a:ext uri="{FF2B5EF4-FFF2-40B4-BE49-F238E27FC236}">
              <a16:creationId xmlns:a16="http://schemas.microsoft.com/office/drawing/2014/main" id="{00000000-0008-0000-0700-000017D50000}"/>
            </a:ext>
          </a:extLst>
        </xdr:cNvPr>
        <xdr:cNvSpPr>
          <a:spLocks noChangeArrowheads="1"/>
        </xdr:cNvSpPr>
      </xdr:nvSpPr>
      <xdr:spPr bwMode="auto">
        <a:xfrm>
          <a:off x="3619500" y="2886075"/>
          <a:ext cx="5991225" cy="40100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30</xdr:col>
      <xdr:colOff>0</xdr:colOff>
      <xdr:row>15</xdr:row>
      <xdr:rowOff>9525</xdr:rowOff>
    </xdr:to>
    <xdr:sp macro="" textlink="">
      <xdr:nvSpPr>
        <xdr:cNvPr id="54552" name="Rectangle 77">
          <a:extLst>
            <a:ext uri="{FF2B5EF4-FFF2-40B4-BE49-F238E27FC236}">
              <a16:creationId xmlns:a16="http://schemas.microsoft.com/office/drawing/2014/main" id="{00000000-0008-0000-0700-000018D50000}"/>
            </a:ext>
          </a:extLst>
        </xdr:cNvPr>
        <xdr:cNvSpPr>
          <a:spLocks noChangeArrowheads="1"/>
        </xdr:cNvSpPr>
      </xdr:nvSpPr>
      <xdr:spPr bwMode="auto">
        <a:xfrm>
          <a:off x="0" y="2209800"/>
          <a:ext cx="6000750" cy="3714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12326</xdr:colOff>
      <xdr:row>21</xdr:row>
      <xdr:rowOff>89807</xdr:rowOff>
    </xdr:from>
    <xdr:to>
      <xdr:col>13</xdr:col>
      <xdr:colOff>143446</xdr:colOff>
      <xdr:row>26</xdr:row>
      <xdr:rowOff>74459</xdr:rowOff>
    </xdr:to>
    <xdr:sp macro="" textlink="">
      <xdr:nvSpPr>
        <xdr:cNvPr id="236643" name="AutoShape 99">
          <a:extLst>
            <a:ext uri="{FF2B5EF4-FFF2-40B4-BE49-F238E27FC236}">
              <a16:creationId xmlns:a16="http://schemas.microsoft.com/office/drawing/2014/main" id="{00000000-0008-0000-0700-0000639C0300}"/>
            </a:ext>
          </a:extLst>
        </xdr:cNvPr>
        <xdr:cNvSpPr>
          <a:spLocks noChangeAspect="1" noChangeArrowheads="1"/>
        </xdr:cNvSpPr>
      </xdr:nvSpPr>
      <xdr:spPr bwMode="auto">
        <a:xfrm>
          <a:off x="10401300" y="36861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1</xdr:col>
      <xdr:colOff>104775</xdr:colOff>
      <xdr:row>28</xdr:row>
      <xdr:rowOff>9525</xdr:rowOff>
    </xdr:from>
    <xdr:to>
      <xdr:col>15</xdr:col>
      <xdr:colOff>85725</xdr:colOff>
      <xdr:row>37</xdr:row>
      <xdr:rowOff>85725</xdr:rowOff>
    </xdr:to>
    <xdr:sp macro="" textlink="">
      <xdr:nvSpPr>
        <xdr:cNvPr id="54277" name="Rectangle 103">
          <a:extLst>
            <a:ext uri="{FF2B5EF4-FFF2-40B4-BE49-F238E27FC236}">
              <a16:creationId xmlns:a16="http://schemas.microsoft.com/office/drawing/2014/main" id="{00000000-0008-0000-0700-000005D40000}"/>
            </a:ext>
          </a:extLst>
        </xdr:cNvPr>
        <xdr:cNvSpPr>
          <a:spLocks noChangeArrowheads="1"/>
        </xdr:cNvSpPr>
      </xdr:nvSpPr>
      <xdr:spPr bwMode="auto">
        <a:xfrm>
          <a:off x="304800" y="4810125"/>
          <a:ext cx="2781300" cy="16192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18</xdr:col>
      <xdr:colOff>190500</xdr:colOff>
      <xdr:row>28</xdr:row>
      <xdr:rowOff>9525</xdr:rowOff>
    </xdr:from>
    <xdr:to>
      <xdr:col>36</xdr:col>
      <xdr:colOff>47625</xdr:colOff>
      <xdr:row>36</xdr:row>
      <xdr:rowOff>57150</xdr:rowOff>
    </xdr:to>
    <xdr:sp macro="" textlink="">
      <xdr:nvSpPr>
        <xdr:cNvPr id="54278" name="Rectangle 104">
          <a:extLst>
            <a:ext uri="{FF2B5EF4-FFF2-40B4-BE49-F238E27FC236}">
              <a16:creationId xmlns:a16="http://schemas.microsoft.com/office/drawing/2014/main" id="{00000000-0008-0000-0700-000006D40000}"/>
            </a:ext>
          </a:extLst>
        </xdr:cNvPr>
        <xdr:cNvSpPr>
          <a:spLocks noChangeArrowheads="1"/>
        </xdr:cNvSpPr>
      </xdr:nvSpPr>
      <xdr:spPr bwMode="auto">
        <a:xfrm>
          <a:off x="3790950" y="4810125"/>
          <a:ext cx="3457575" cy="14192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37</xdr:col>
      <xdr:colOff>190500</xdr:colOff>
      <xdr:row>23</xdr:row>
      <xdr:rowOff>133350</xdr:rowOff>
    </xdr:from>
    <xdr:to>
      <xdr:col>53</xdr:col>
      <xdr:colOff>57150</xdr:colOff>
      <xdr:row>36</xdr:row>
      <xdr:rowOff>95250</xdr:rowOff>
    </xdr:to>
    <xdr:sp macro="" textlink="">
      <xdr:nvSpPr>
        <xdr:cNvPr id="54281" name="AutoShape 109">
          <a:extLst>
            <a:ext uri="{FF2B5EF4-FFF2-40B4-BE49-F238E27FC236}">
              <a16:creationId xmlns:a16="http://schemas.microsoft.com/office/drawing/2014/main" id="{00000000-0008-0000-0700-000009D40000}"/>
            </a:ext>
          </a:extLst>
        </xdr:cNvPr>
        <xdr:cNvSpPr>
          <a:spLocks noChangeAspect="1" noChangeArrowheads="1"/>
        </xdr:cNvSpPr>
      </xdr:nvSpPr>
      <xdr:spPr bwMode="auto">
        <a:xfrm>
          <a:off x="7591425" y="4076700"/>
          <a:ext cx="3067050" cy="21907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134471</xdr:colOff>
      <xdr:row>10</xdr:row>
      <xdr:rowOff>33618</xdr:rowOff>
    </xdr:from>
    <xdr:to>
      <xdr:col>53</xdr:col>
      <xdr:colOff>128307</xdr:colOff>
      <xdr:row>15</xdr:row>
      <xdr:rowOff>100292</xdr:rowOff>
    </xdr:to>
    <xdr:sp macro="" textlink="">
      <xdr:nvSpPr>
        <xdr:cNvPr id="11" name="Rectangle 19">
          <a:extLst>
            <a:ext uri="{FF2B5EF4-FFF2-40B4-BE49-F238E27FC236}">
              <a16:creationId xmlns:a16="http://schemas.microsoft.com/office/drawing/2014/main" id="{00000000-0008-0000-0700-00000B000000}"/>
            </a:ext>
          </a:extLst>
        </xdr:cNvPr>
        <xdr:cNvSpPr>
          <a:spLocks noChangeArrowheads="1"/>
        </xdr:cNvSpPr>
      </xdr:nvSpPr>
      <xdr:spPr bwMode="auto">
        <a:xfrm>
          <a:off x="6992471" y="1714500"/>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171450</xdr:colOff>
      <xdr:row>9</xdr:row>
      <xdr:rowOff>19050</xdr:rowOff>
    </xdr:from>
    <xdr:to>
      <xdr:col>57</xdr:col>
      <xdr:colOff>190500</xdr:colOff>
      <xdr:row>16</xdr:row>
      <xdr:rowOff>19050</xdr:rowOff>
    </xdr:to>
    <xdr:sp macro="" textlink="">
      <xdr:nvSpPr>
        <xdr:cNvPr id="54558" name="Rectangle 24">
          <a:extLst>
            <a:ext uri="{FF2B5EF4-FFF2-40B4-BE49-F238E27FC236}">
              <a16:creationId xmlns:a16="http://schemas.microsoft.com/office/drawing/2014/main" id="{00000000-0008-0000-0700-00001ED50000}"/>
            </a:ext>
          </a:extLst>
        </xdr:cNvPr>
        <xdr:cNvSpPr>
          <a:spLocks noChangeArrowheads="1"/>
        </xdr:cNvSpPr>
      </xdr:nvSpPr>
      <xdr:spPr bwMode="auto">
        <a:xfrm>
          <a:off x="6172200" y="156210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100852</xdr:colOff>
      <xdr:row>4</xdr:row>
      <xdr:rowOff>68356</xdr:rowOff>
    </xdr:from>
    <xdr:to>
      <xdr:col>35</xdr:col>
      <xdr:colOff>129428</xdr:colOff>
      <xdr:row>9</xdr:row>
      <xdr:rowOff>125507</xdr:rowOff>
    </xdr:to>
    <xdr:sp macro="" textlink="">
      <xdr:nvSpPr>
        <xdr:cNvPr id="54279" name="Rectangle 107">
          <a:extLst>
            <a:ext uri="{FF2B5EF4-FFF2-40B4-BE49-F238E27FC236}">
              <a16:creationId xmlns:a16="http://schemas.microsoft.com/office/drawing/2014/main" id="{00000000-0008-0000-0700-000007D40000}"/>
            </a:ext>
          </a:extLst>
        </xdr:cNvPr>
        <xdr:cNvSpPr>
          <a:spLocks noChangeArrowheads="1"/>
        </xdr:cNvSpPr>
      </xdr:nvSpPr>
      <xdr:spPr bwMode="auto">
        <a:xfrm>
          <a:off x="4134970" y="740709"/>
          <a:ext cx="3054164" cy="897592"/>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9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000"/>
            </a:lnSpc>
            <a:defRPr sz="1000"/>
          </a:pPr>
          <a:endParaRPr lang="ja-JP" altLang="en-US" sz="1100" b="0" i="0" u="none" strike="noStrike" baseline="0">
            <a:solidFill>
              <a:srgbClr val="000000"/>
            </a:solidFill>
            <a:latin typeface="ＭＳ Ｐゴシック"/>
            <a:ea typeface="ＭＳ Ｐゴシック"/>
          </a:endParaRPr>
        </a:p>
        <a:p>
          <a:pPr algn="l" rtl="0">
            <a:lnSpc>
              <a:spcPts val="9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21</xdr:col>
      <xdr:colOff>200025</xdr:colOff>
      <xdr:row>9</xdr:row>
      <xdr:rowOff>85725</xdr:rowOff>
    </xdr:from>
    <xdr:to>
      <xdr:col>24</xdr:col>
      <xdr:colOff>85725</xdr:colOff>
      <xdr:row>12</xdr:row>
      <xdr:rowOff>123825</xdr:rowOff>
    </xdr:to>
    <xdr:sp macro="" textlink="">
      <xdr:nvSpPr>
        <xdr:cNvPr id="54560" name="Line 108">
          <a:extLst>
            <a:ext uri="{FF2B5EF4-FFF2-40B4-BE49-F238E27FC236}">
              <a16:creationId xmlns:a16="http://schemas.microsoft.com/office/drawing/2014/main" id="{00000000-0008-0000-0700-000020D50000}"/>
            </a:ext>
          </a:extLst>
        </xdr:cNvPr>
        <xdr:cNvSpPr>
          <a:spLocks noChangeShapeType="1"/>
        </xdr:cNvSpPr>
      </xdr:nvSpPr>
      <xdr:spPr bwMode="auto">
        <a:xfrm flipH="1">
          <a:off x="4400550" y="1628775"/>
          <a:ext cx="485775" cy="5524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17</xdr:row>
      <xdr:rowOff>0</xdr:rowOff>
    </xdr:from>
    <xdr:to>
      <xdr:col>17</xdr:col>
      <xdr:colOff>190500</xdr:colOff>
      <xdr:row>40</xdr:row>
      <xdr:rowOff>0</xdr:rowOff>
    </xdr:to>
    <xdr:sp macro="" textlink="">
      <xdr:nvSpPr>
        <xdr:cNvPr id="55574" name="Rectangle 96">
          <a:extLst>
            <a:ext uri="{FF2B5EF4-FFF2-40B4-BE49-F238E27FC236}">
              <a16:creationId xmlns:a16="http://schemas.microsoft.com/office/drawing/2014/main" id="{00000000-0008-0000-0800-000016D90000}"/>
            </a:ext>
          </a:extLst>
        </xdr:cNvPr>
        <xdr:cNvSpPr>
          <a:spLocks noChangeArrowheads="1"/>
        </xdr:cNvSpPr>
      </xdr:nvSpPr>
      <xdr:spPr bwMode="auto">
        <a:xfrm>
          <a:off x="0" y="2914650"/>
          <a:ext cx="359092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9525</xdr:colOff>
      <xdr:row>17</xdr:row>
      <xdr:rowOff>0</xdr:rowOff>
    </xdr:from>
    <xdr:to>
      <xdr:col>48</xdr:col>
      <xdr:colOff>0</xdr:colOff>
      <xdr:row>40</xdr:row>
      <xdr:rowOff>9525</xdr:rowOff>
    </xdr:to>
    <xdr:sp macro="" textlink="">
      <xdr:nvSpPr>
        <xdr:cNvPr id="55575" name="Rectangle 97">
          <a:extLst>
            <a:ext uri="{FF2B5EF4-FFF2-40B4-BE49-F238E27FC236}">
              <a16:creationId xmlns:a16="http://schemas.microsoft.com/office/drawing/2014/main" id="{00000000-0008-0000-0800-000017D90000}"/>
            </a:ext>
          </a:extLst>
        </xdr:cNvPr>
        <xdr:cNvSpPr>
          <a:spLocks noChangeArrowheads="1"/>
        </xdr:cNvSpPr>
      </xdr:nvSpPr>
      <xdr:spPr bwMode="auto">
        <a:xfrm>
          <a:off x="3609975" y="2914650"/>
          <a:ext cx="5991225" cy="395287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13</xdr:row>
      <xdr:rowOff>0</xdr:rowOff>
    </xdr:from>
    <xdr:to>
      <xdr:col>30</xdr:col>
      <xdr:colOff>38100</xdr:colOff>
      <xdr:row>15</xdr:row>
      <xdr:rowOff>19050</xdr:rowOff>
    </xdr:to>
    <xdr:sp macro="" textlink="">
      <xdr:nvSpPr>
        <xdr:cNvPr id="55576" name="Rectangle 98">
          <a:extLst>
            <a:ext uri="{FF2B5EF4-FFF2-40B4-BE49-F238E27FC236}">
              <a16:creationId xmlns:a16="http://schemas.microsoft.com/office/drawing/2014/main" id="{00000000-0008-0000-0800-000018D90000}"/>
            </a:ext>
          </a:extLst>
        </xdr:cNvPr>
        <xdr:cNvSpPr>
          <a:spLocks noChangeArrowheads="1"/>
        </xdr:cNvSpPr>
      </xdr:nvSpPr>
      <xdr:spPr bwMode="auto">
        <a:xfrm>
          <a:off x="0" y="2228850"/>
          <a:ext cx="6038850" cy="36195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152400</xdr:colOff>
      <xdr:row>29</xdr:row>
      <xdr:rowOff>104775</xdr:rowOff>
    </xdr:from>
    <xdr:to>
      <xdr:col>16</xdr:col>
      <xdr:colOff>95250</xdr:colOff>
      <xdr:row>38</xdr:row>
      <xdr:rowOff>123825</xdr:rowOff>
    </xdr:to>
    <xdr:sp macro="" textlink="">
      <xdr:nvSpPr>
        <xdr:cNvPr id="55300" name="Rectangle 102">
          <a:extLst>
            <a:ext uri="{FF2B5EF4-FFF2-40B4-BE49-F238E27FC236}">
              <a16:creationId xmlns:a16="http://schemas.microsoft.com/office/drawing/2014/main" id="{00000000-0008-0000-0800-000004D80000}"/>
            </a:ext>
          </a:extLst>
        </xdr:cNvPr>
        <xdr:cNvSpPr>
          <a:spLocks noChangeArrowheads="1"/>
        </xdr:cNvSpPr>
      </xdr:nvSpPr>
      <xdr:spPr bwMode="auto">
        <a:xfrm>
          <a:off x="152400" y="5076825"/>
          <a:ext cx="3143250" cy="156210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19</xdr:col>
      <xdr:colOff>142875</xdr:colOff>
      <xdr:row>27</xdr:row>
      <xdr:rowOff>133350</xdr:rowOff>
    </xdr:from>
    <xdr:to>
      <xdr:col>35</xdr:col>
      <xdr:colOff>161925</xdr:colOff>
      <xdr:row>38</xdr:row>
      <xdr:rowOff>123825</xdr:rowOff>
    </xdr:to>
    <xdr:sp macro="" textlink="">
      <xdr:nvSpPr>
        <xdr:cNvPr id="55301" name="Rectangle 103">
          <a:extLst>
            <a:ext uri="{FF2B5EF4-FFF2-40B4-BE49-F238E27FC236}">
              <a16:creationId xmlns:a16="http://schemas.microsoft.com/office/drawing/2014/main" id="{00000000-0008-0000-0800-000005D80000}"/>
            </a:ext>
          </a:extLst>
        </xdr:cNvPr>
        <xdr:cNvSpPr>
          <a:spLocks noChangeArrowheads="1"/>
        </xdr:cNvSpPr>
      </xdr:nvSpPr>
      <xdr:spPr bwMode="auto">
        <a:xfrm>
          <a:off x="3943350" y="4762500"/>
          <a:ext cx="3219450" cy="18764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9</xdr:col>
      <xdr:colOff>142875</xdr:colOff>
      <xdr:row>24</xdr:row>
      <xdr:rowOff>9525</xdr:rowOff>
    </xdr:from>
    <xdr:to>
      <xdr:col>19</xdr:col>
      <xdr:colOff>114300</xdr:colOff>
      <xdr:row>27</xdr:row>
      <xdr:rowOff>142875</xdr:rowOff>
    </xdr:to>
    <xdr:sp macro="" textlink="">
      <xdr:nvSpPr>
        <xdr:cNvPr id="55304" name="AutoShape 108">
          <a:extLst>
            <a:ext uri="{FF2B5EF4-FFF2-40B4-BE49-F238E27FC236}">
              <a16:creationId xmlns:a16="http://schemas.microsoft.com/office/drawing/2014/main" id="{00000000-0008-0000-0800-000008D80000}"/>
            </a:ext>
          </a:extLst>
        </xdr:cNvPr>
        <xdr:cNvSpPr>
          <a:spLocks noChangeAspect="1" noChangeArrowheads="1"/>
        </xdr:cNvSpPr>
      </xdr:nvSpPr>
      <xdr:spPr bwMode="auto">
        <a:xfrm>
          <a:off x="1943100" y="4124325"/>
          <a:ext cx="1971675" cy="6477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defRPr sz="1000"/>
          </a:pPr>
          <a:r>
            <a:rPr lang="ja-JP" altLang="en-US" sz="11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100" b="1" i="0" u="none" strike="noStrike" baseline="0">
              <a:solidFill>
                <a:srgbClr val="000000"/>
              </a:solidFill>
              <a:latin typeface="ＭＳ Ｐゴシック"/>
              <a:ea typeface="ＭＳ Ｐゴシック"/>
            </a:rPr>
            <a:t>サンプルです。</a:t>
          </a:r>
        </a:p>
      </xdr:txBody>
    </xdr:sp>
    <xdr:clientData/>
  </xdr:twoCellAnchor>
  <xdr:twoCellAnchor>
    <xdr:from>
      <xdr:col>36</xdr:col>
      <xdr:colOff>104775</xdr:colOff>
      <xdr:row>21</xdr:row>
      <xdr:rowOff>152400</xdr:rowOff>
    </xdr:from>
    <xdr:to>
      <xdr:col>54</xdr:col>
      <xdr:colOff>104775</xdr:colOff>
      <xdr:row>31</xdr:row>
      <xdr:rowOff>104775</xdr:rowOff>
    </xdr:to>
    <xdr:sp macro="" textlink="">
      <xdr:nvSpPr>
        <xdr:cNvPr id="55305" name="AutoShape 109">
          <a:extLst>
            <a:ext uri="{FF2B5EF4-FFF2-40B4-BE49-F238E27FC236}">
              <a16:creationId xmlns:a16="http://schemas.microsoft.com/office/drawing/2014/main" id="{00000000-0008-0000-0800-000009D80000}"/>
            </a:ext>
          </a:extLst>
        </xdr:cNvPr>
        <xdr:cNvSpPr>
          <a:spLocks noChangeAspect="1" noChangeArrowheads="1"/>
        </xdr:cNvSpPr>
      </xdr:nvSpPr>
      <xdr:spPr bwMode="auto">
        <a:xfrm>
          <a:off x="7305675" y="3752850"/>
          <a:ext cx="3600450" cy="1666875"/>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145678</xdr:colOff>
      <xdr:row>10</xdr:row>
      <xdr:rowOff>11206</xdr:rowOff>
    </xdr:from>
    <xdr:to>
      <xdr:col>53</xdr:col>
      <xdr:colOff>139514</xdr:colOff>
      <xdr:row>15</xdr:row>
      <xdr:rowOff>77880</xdr:rowOff>
    </xdr:to>
    <xdr:sp macro="" textlink="">
      <xdr:nvSpPr>
        <xdr:cNvPr id="11" name="Rectangle 19">
          <a:extLst>
            <a:ext uri="{FF2B5EF4-FFF2-40B4-BE49-F238E27FC236}">
              <a16:creationId xmlns:a16="http://schemas.microsoft.com/office/drawing/2014/main" id="{00000000-0008-0000-0800-00000B000000}"/>
            </a:ext>
          </a:extLst>
        </xdr:cNvPr>
        <xdr:cNvSpPr>
          <a:spLocks noChangeArrowheads="1"/>
        </xdr:cNvSpPr>
      </xdr:nvSpPr>
      <xdr:spPr bwMode="auto">
        <a:xfrm>
          <a:off x="7003678" y="1692088"/>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180975</xdr:colOff>
      <xdr:row>9</xdr:row>
      <xdr:rowOff>0</xdr:rowOff>
    </xdr:from>
    <xdr:to>
      <xdr:col>58</xdr:col>
      <xdr:colOff>0</xdr:colOff>
      <xdr:row>16</xdr:row>
      <xdr:rowOff>0</xdr:rowOff>
    </xdr:to>
    <xdr:sp macro="" textlink="">
      <xdr:nvSpPr>
        <xdr:cNvPr id="55582" name="Rectangle 24">
          <a:extLst>
            <a:ext uri="{FF2B5EF4-FFF2-40B4-BE49-F238E27FC236}">
              <a16:creationId xmlns:a16="http://schemas.microsoft.com/office/drawing/2014/main" id="{00000000-0008-0000-0800-00001ED90000}"/>
            </a:ext>
          </a:extLst>
        </xdr:cNvPr>
        <xdr:cNvSpPr>
          <a:spLocks noChangeArrowheads="1"/>
        </xdr:cNvSpPr>
      </xdr:nvSpPr>
      <xdr:spPr bwMode="auto">
        <a:xfrm>
          <a:off x="6181725" y="154305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21</xdr:col>
      <xdr:colOff>67235</xdr:colOff>
      <xdr:row>2</xdr:row>
      <xdr:rowOff>132230</xdr:rowOff>
    </xdr:from>
    <xdr:to>
      <xdr:col>35</xdr:col>
      <xdr:colOff>36980</xdr:colOff>
      <xdr:row>9</xdr:row>
      <xdr:rowOff>49867</xdr:rowOff>
    </xdr:to>
    <xdr:sp macro="" textlink="">
      <xdr:nvSpPr>
        <xdr:cNvPr id="55302" name="Rectangle 106">
          <a:extLst>
            <a:ext uri="{FF2B5EF4-FFF2-40B4-BE49-F238E27FC236}">
              <a16:creationId xmlns:a16="http://schemas.microsoft.com/office/drawing/2014/main" id="{00000000-0008-0000-0800-000006D80000}"/>
            </a:ext>
          </a:extLst>
        </xdr:cNvPr>
        <xdr:cNvSpPr>
          <a:spLocks noChangeArrowheads="1"/>
        </xdr:cNvSpPr>
      </xdr:nvSpPr>
      <xdr:spPr bwMode="auto">
        <a:xfrm>
          <a:off x="4303059" y="468406"/>
          <a:ext cx="2793627" cy="109425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23</xdr:col>
      <xdr:colOff>28575</xdr:colOff>
      <xdr:row>9</xdr:row>
      <xdr:rowOff>47625</xdr:rowOff>
    </xdr:from>
    <xdr:to>
      <xdr:col>26</xdr:col>
      <xdr:colOff>47625</xdr:colOff>
      <xdr:row>12</xdr:row>
      <xdr:rowOff>161925</xdr:rowOff>
    </xdr:to>
    <xdr:sp macro="" textlink="">
      <xdr:nvSpPr>
        <xdr:cNvPr id="55584" name="Line 107">
          <a:extLst>
            <a:ext uri="{FF2B5EF4-FFF2-40B4-BE49-F238E27FC236}">
              <a16:creationId xmlns:a16="http://schemas.microsoft.com/office/drawing/2014/main" id="{00000000-0008-0000-0800-000020D90000}"/>
            </a:ext>
          </a:extLst>
        </xdr:cNvPr>
        <xdr:cNvSpPr>
          <a:spLocks noChangeShapeType="1"/>
        </xdr:cNvSpPr>
      </xdr:nvSpPr>
      <xdr:spPr bwMode="auto">
        <a:xfrm flipH="1">
          <a:off x="4629150" y="1590675"/>
          <a:ext cx="619125" cy="6286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13</xdr:row>
      <xdr:rowOff>9525</xdr:rowOff>
    </xdr:from>
    <xdr:to>
      <xdr:col>15</xdr:col>
      <xdr:colOff>314325</xdr:colOff>
      <xdr:row>23</xdr:row>
      <xdr:rowOff>142875</xdr:rowOff>
    </xdr:to>
    <xdr:graphicFrame macro="">
      <xdr:nvGraphicFramePr>
        <xdr:cNvPr id="10479" name="Chart 2">
          <a:extLst>
            <a:ext uri="{FF2B5EF4-FFF2-40B4-BE49-F238E27FC236}">
              <a16:creationId xmlns:a16="http://schemas.microsoft.com/office/drawing/2014/main" id="{00000000-0008-0000-0900-0000EF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24</xdr:row>
      <xdr:rowOff>9525</xdr:rowOff>
    </xdr:from>
    <xdr:to>
      <xdr:col>16</xdr:col>
      <xdr:colOff>0</xdr:colOff>
      <xdr:row>34</xdr:row>
      <xdr:rowOff>152400</xdr:rowOff>
    </xdr:to>
    <xdr:graphicFrame macro="">
      <xdr:nvGraphicFramePr>
        <xdr:cNvPr id="10480" name="Chart 3">
          <a:extLst>
            <a:ext uri="{FF2B5EF4-FFF2-40B4-BE49-F238E27FC236}">
              <a16:creationId xmlns:a16="http://schemas.microsoft.com/office/drawing/2014/main" id="{00000000-0008-0000-0900-0000F0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35</xdr:row>
      <xdr:rowOff>9525</xdr:rowOff>
    </xdr:from>
    <xdr:to>
      <xdr:col>16</xdr:col>
      <xdr:colOff>0</xdr:colOff>
      <xdr:row>45</xdr:row>
      <xdr:rowOff>152400</xdr:rowOff>
    </xdr:to>
    <xdr:graphicFrame macro="">
      <xdr:nvGraphicFramePr>
        <xdr:cNvPr id="10481" name="Chart 4">
          <a:extLst>
            <a:ext uri="{FF2B5EF4-FFF2-40B4-BE49-F238E27FC236}">
              <a16:creationId xmlns:a16="http://schemas.microsoft.com/office/drawing/2014/main" id="{00000000-0008-0000-0900-0000F1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13</xdr:row>
      <xdr:rowOff>9525</xdr:rowOff>
    </xdr:from>
    <xdr:to>
      <xdr:col>31</xdr:col>
      <xdr:colOff>314325</xdr:colOff>
      <xdr:row>23</xdr:row>
      <xdr:rowOff>142875</xdr:rowOff>
    </xdr:to>
    <xdr:graphicFrame macro="">
      <xdr:nvGraphicFramePr>
        <xdr:cNvPr id="10482" name="Chart 53">
          <a:extLst>
            <a:ext uri="{FF2B5EF4-FFF2-40B4-BE49-F238E27FC236}">
              <a16:creationId xmlns:a16="http://schemas.microsoft.com/office/drawing/2014/main" id="{00000000-0008-0000-0900-0000F2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24</xdr:row>
      <xdr:rowOff>9525</xdr:rowOff>
    </xdr:from>
    <xdr:to>
      <xdr:col>31</xdr:col>
      <xdr:colOff>314325</xdr:colOff>
      <xdr:row>34</xdr:row>
      <xdr:rowOff>152400</xdr:rowOff>
    </xdr:to>
    <xdr:graphicFrame macro="">
      <xdr:nvGraphicFramePr>
        <xdr:cNvPr id="10483" name="Chart 54">
          <a:extLst>
            <a:ext uri="{FF2B5EF4-FFF2-40B4-BE49-F238E27FC236}">
              <a16:creationId xmlns:a16="http://schemas.microsoft.com/office/drawing/2014/main" id="{00000000-0008-0000-0900-0000F3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95250</xdr:colOff>
      <xdr:row>35</xdr:row>
      <xdr:rowOff>85725</xdr:rowOff>
    </xdr:from>
    <xdr:to>
      <xdr:col>27</xdr:col>
      <xdr:colOff>21582</xdr:colOff>
      <xdr:row>40</xdr:row>
      <xdr:rowOff>180975</xdr:rowOff>
    </xdr:to>
    <xdr:sp macro="" textlink="">
      <xdr:nvSpPr>
        <xdr:cNvPr id="124937" name="Rectangle 9">
          <a:extLst>
            <a:ext uri="{FF2B5EF4-FFF2-40B4-BE49-F238E27FC236}">
              <a16:creationId xmlns:a16="http://schemas.microsoft.com/office/drawing/2014/main" id="{00000000-0008-0000-0900-000009E80100}"/>
            </a:ext>
          </a:extLst>
        </xdr:cNvPr>
        <xdr:cNvSpPr>
          <a:spLocks noChangeArrowheads="1"/>
        </xdr:cNvSpPr>
      </xdr:nvSpPr>
      <xdr:spPr bwMode="auto">
        <a:xfrm>
          <a:off x="295275" y="6124575"/>
          <a:ext cx="3486150" cy="10477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本様式で示すような観点から指摘の傾向を把握し、対策（目立った傾向があれば、その観点から他の設計書にも横展開して確認するなど）を講じる。</a:t>
          </a:r>
        </a:p>
      </xdr:txBody>
    </xdr:sp>
    <xdr:clientData/>
  </xdr:twoCellAnchor>
  <xdr:twoCellAnchor>
    <xdr:from>
      <xdr:col>28</xdr:col>
      <xdr:colOff>295275</xdr:colOff>
      <xdr:row>36</xdr:row>
      <xdr:rowOff>0</xdr:rowOff>
    </xdr:from>
    <xdr:to>
      <xdr:col>34</xdr:col>
      <xdr:colOff>265154</xdr:colOff>
      <xdr:row>40</xdr:row>
      <xdr:rowOff>76200</xdr:rowOff>
    </xdr:to>
    <xdr:sp macro="" textlink="">
      <xdr:nvSpPr>
        <xdr:cNvPr id="237676" name="AutoShape 108">
          <a:extLst>
            <a:ext uri="{FF2B5EF4-FFF2-40B4-BE49-F238E27FC236}">
              <a16:creationId xmlns:a16="http://schemas.microsoft.com/office/drawing/2014/main" id="{00000000-0008-0000-09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16550" name="Chart 6">
          <a:extLst>
            <a:ext uri="{FF2B5EF4-FFF2-40B4-BE49-F238E27FC236}">
              <a16:creationId xmlns:a16="http://schemas.microsoft.com/office/drawing/2014/main" id="{00000000-0008-0000-0A00-0000A6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16551" name="Line 7">
          <a:extLst>
            <a:ext uri="{FF2B5EF4-FFF2-40B4-BE49-F238E27FC236}">
              <a16:creationId xmlns:a16="http://schemas.microsoft.com/office/drawing/2014/main" id="{00000000-0008-0000-0A00-0000A740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86846</xdr:colOff>
      <xdr:row>30</xdr:row>
      <xdr:rowOff>161925</xdr:rowOff>
    </xdr:from>
    <xdr:to>
      <xdr:col>14</xdr:col>
      <xdr:colOff>38087</xdr:colOff>
      <xdr:row>39</xdr:row>
      <xdr:rowOff>161925</xdr:rowOff>
    </xdr:to>
    <xdr:sp macro="" textlink="">
      <xdr:nvSpPr>
        <xdr:cNvPr id="125954" name="Rectangle 2">
          <a:extLst>
            <a:ext uri="{FF2B5EF4-FFF2-40B4-BE49-F238E27FC236}">
              <a16:creationId xmlns:a16="http://schemas.microsoft.com/office/drawing/2014/main" id="{00000000-0008-0000-0A00-000002EC0100}"/>
            </a:ext>
          </a:extLst>
        </xdr:cNvPr>
        <xdr:cNvSpPr>
          <a:spLocks noChangeArrowheads="1"/>
        </xdr:cNvSpPr>
      </xdr:nvSpPr>
      <xdr:spPr bwMode="auto">
        <a:xfrm>
          <a:off x="219075" y="4314825"/>
          <a:ext cx="4543425" cy="171450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指摘現象と指摘原因のマトリクスから見て、指摘の傾向を把握し、対策を講じる。</a:t>
          </a:r>
        </a:p>
        <a:p>
          <a:pPr algn="l" rtl="0">
            <a:lnSpc>
              <a:spcPts val="1100"/>
            </a:lnSpc>
            <a:defRPr sz="1000"/>
          </a:pPr>
          <a:r>
            <a:rPr lang="ja-JP" altLang="en-US" sz="1000" b="0" i="0" u="none" strike="noStrike" baseline="0">
              <a:solidFill>
                <a:srgbClr val="000000"/>
              </a:solidFill>
              <a:latin typeface="ＭＳ Ｐゴシック"/>
              <a:ea typeface="ＭＳ Ｐゴシック"/>
            </a:rPr>
            <a:t>例えば、標準違反が多い場合、その原因として周知連絡の不徹底が多いのであれば、標準の習得を目的としたトレーニングの開催を検討したり、設計技術の習熟不足が多いのであれば、標準規定書の記述レベルの検討を行うような対策が考えられる。</a:t>
          </a:r>
        </a:p>
        <a:p>
          <a:pPr algn="l" rtl="0">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16</xdr:col>
      <xdr:colOff>295835</xdr:colOff>
      <xdr:row>36</xdr:row>
      <xdr:rowOff>0</xdr:rowOff>
    </xdr:from>
    <xdr:to>
      <xdr:col>22</xdr:col>
      <xdr:colOff>251012</xdr:colOff>
      <xdr:row>40</xdr:row>
      <xdr:rowOff>76200</xdr:rowOff>
    </xdr:to>
    <xdr:sp macro="" textlink="">
      <xdr:nvSpPr>
        <xdr:cNvPr id="237676" name="AutoShape 108">
          <a:extLst>
            <a:ext uri="{FF2B5EF4-FFF2-40B4-BE49-F238E27FC236}">
              <a16:creationId xmlns:a16="http://schemas.microsoft.com/office/drawing/2014/main" id="{00000000-0008-0000-0A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18598" name="Chart 1">
          <a:extLst>
            <a:ext uri="{FF2B5EF4-FFF2-40B4-BE49-F238E27FC236}">
              <a16:creationId xmlns:a16="http://schemas.microsoft.com/office/drawing/2014/main" id="{00000000-0008-0000-0B00-0000A64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18599" name="Line 19">
          <a:extLst>
            <a:ext uri="{FF2B5EF4-FFF2-40B4-BE49-F238E27FC236}">
              <a16:creationId xmlns:a16="http://schemas.microsoft.com/office/drawing/2014/main" id="{00000000-0008-0000-0B00-0000A748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304800</xdr:colOff>
      <xdr:row>31</xdr:row>
      <xdr:rowOff>114300</xdr:rowOff>
    </xdr:from>
    <xdr:to>
      <xdr:col>13</xdr:col>
      <xdr:colOff>321150</xdr:colOff>
      <xdr:row>40</xdr:row>
      <xdr:rowOff>38100</xdr:rowOff>
    </xdr:to>
    <xdr:sp macro="" textlink="">
      <xdr:nvSpPr>
        <xdr:cNvPr id="126981" name="Rectangle 5">
          <a:extLst>
            <a:ext uri="{FF2B5EF4-FFF2-40B4-BE49-F238E27FC236}">
              <a16:creationId xmlns:a16="http://schemas.microsoft.com/office/drawing/2014/main" id="{00000000-0008-0000-0B00-000005F00100}"/>
            </a:ext>
          </a:extLst>
        </xdr:cNvPr>
        <xdr:cNvSpPr>
          <a:spLocks noChangeArrowheads="1"/>
        </xdr:cNvSpPr>
      </xdr:nvSpPr>
      <xdr:spPr bwMode="auto">
        <a:xfrm>
          <a:off x="266700" y="3514725"/>
          <a:ext cx="3895725" cy="163830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指摘現象と混入工程のマトリクスから見て、指摘の傾向を把握し、対策を講じる。</a:t>
          </a:r>
        </a:p>
        <a:p>
          <a:pPr algn="l" rtl="0">
            <a:lnSpc>
              <a:spcPts val="11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前工程で混入されたものが多く発生している場合は、その工程の成果物に立ち戻って再確認を行う　など</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15</xdr:col>
      <xdr:colOff>73025</xdr:colOff>
      <xdr:row>36</xdr:row>
      <xdr:rowOff>76200</xdr:rowOff>
    </xdr:from>
    <xdr:to>
      <xdr:col>21</xdr:col>
      <xdr:colOff>69936</xdr:colOff>
      <xdr:row>40</xdr:row>
      <xdr:rowOff>152400</xdr:rowOff>
    </xdr:to>
    <xdr:sp macro="" textlink="">
      <xdr:nvSpPr>
        <xdr:cNvPr id="237676" name="AutoShape 108">
          <a:extLst>
            <a:ext uri="{FF2B5EF4-FFF2-40B4-BE49-F238E27FC236}">
              <a16:creationId xmlns:a16="http://schemas.microsoft.com/office/drawing/2014/main" id="{00000000-0008-0000-0B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20646" name="Chart 1">
          <a:extLst>
            <a:ext uri="{FF2B5EF4-FFF2-40B4-BE49-F238E27FC236}">
              <a16:creationId xmlns:a16="http://schemas.microsoft.com/office/drawing/2014/main" id="{00000000-0008-0000-0C00-0000A65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20647" name="Line 2">
          <a:extLst>
            <a:ext uri="{FF2B5EF4-FFF2-40B4-BE49-F238E27FC236}">
              <a16:creationId xmlns:a16="http://schemas.microsoft.com/office/drawing/2014/main" id="{00000000-0008-0000-0C00-0000A750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215900</xdr:colOff>
      <xdr:row>31</xdr:row>
      <xdr:rowOff>180975</xdr:rowOff>
    </xdr:from>
    <xdr:to>
      <xdr:col>11</xdr:col>
      <xdr:colOff>295936</xdr:colOff>
      <xdr:row>41</xdr:row>
      <xdr:rowOff>152400</xdr:rowOff>
    </xdr:to>
    <xdr:sp macro="" textlink="">
      <xdr:nvSpPr>
        <xdr:cNvPr id="128005" name="Rectangle 5">
          <a:extLst>
            <a:ext uri="{FF2B5EF4-FFF2-40B4-BE49-F238E27FC236}">
              <a16:creationId xmlns:a16="http://schemas.microsoft.com/office/drawing/2014/main" id="{00000000-0008-0000-0C00-000005F40100}"/>
            </a:ext>
          </a:extLst>
        </xdr:cNvPr>
        <xdr:cNvSpPr>
          <a:spLocks noChangeArrowheads="1"/>
        </xdr:cNvSpPr>
      </xdr:nvSpPr>
      <xdr:spPr bwMode="auto">
        <a:xfrm>
          <a:off x="361950" y="4267200"/>
          <a:ext cx="3629025" cy="1876425"/>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混入工程と指摘原因のマトリクスから見て、指摘の傾向を把握し、対策を講じる。</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前工程で混入されたものが多く発生している場合は、その工程の成果物に立ち戻って再確認を行う　など</a:t>
          </a:r>
        </a:p>
        <a:p>
          <a:pPr algn="l" rtl="0">
            <a:lnSpc>
              <a:spcPts val="10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12</xdr:col>
      <xdr:colOff>73025</xdr:colOff>
      <xdr:row>35</xdr:row>
      <xdr:rowOff>47625</xdr:rowOff>
    </xdr:from>
    <xdr:to>
      <xdr:col>18</xdr:col>
      <xdr:colOff>69936</xdr:colOff>
      <xdr:row>39</xdr:row>
      <xdr:rowOff>123825</xdr:rowOff>
    </xdr:to>
    <xdr:sp macro="" textlink="">
      <xdr:nvSpPr>
        <xdr:cNvPr id="237676" name="AutoShape 108">
          <a:extLst>
            <a:ext uri="{FF2B5EF4-FFF2-40B4-BE49-F238E27FC236}">
              <a16:creationId xmlns:a16="http://schemas.microsoft.com/office/drawing/2014/main" id="{00000000-0008-0000-0C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8</xdr:col>
      <xdr:colOff>209550</xdr:colOff>
      <xdr:row>41</xdr:row>
      <xdr:rowOff>55068</xdr:rowOff>
    </xdr:from>
    <xdr:to>
      <xdr:col>14</xdr:col>
      <xdr:colOff>257175</xdr:colOff>
      <xdr:row>45</xdr:row>
      <xdr:rowOff>50541</xdr:rowOff>
    </xdr:to>
    <xdr:sp macro="" textlink="">
      <xdr:nvSpPr>
        <xdr:cNvPr id="287802" name="AutoShape 58">
          <a:extLst>
            <a:ext uri="{FF2B5EF4-FFF2-40B4-BE49-F238E27FC236}">
              <a16:creationId xmlns:a16="http://schemas.microsoft.com/office/drawing/2014/main" id="{00000000-0008-0000-0D00-00003A640400}"/>
            </a:ext>
          </a:extLst>
        </xdr:cNvPr>
        <xdr:cNvSpPr>
          <a:spLocks noChangeAspect="1" noChangeArrowheads="1"/>
        </xdr:cNvSpPr>
      </xdr:nvSpPr>
      <xdr:spPr bwMode="auto">
        <a:xfrm>
          <a:off x="2057400" y="108108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0</xdr:col>
      <xdr:colOff>0</xdr:colOff>
      <xdr:row>10</xdr:row>
      <xdr:rowOff>323850</xdr:rowOff>
    </xdr:from>
    <xdr:to>
      <xdr:col>34</xdr:col>
      <xdr:colOff>0</xdr:colOff>
      <xdr:row>21</xdr:row>
      <xdr:rowOff>304800</xdr:rowOff>
    </xdr:to>
    <xdr:sp macro="" textlink="">
      <xdr:nvSpPr>
        <xdr:cNvPr id="82537" name="Rectangle 36">
          <a:extLst>
            <a:ext uri="{FF2B5EF4-FFF2-40B4-BE49-F238E27FC236}">
              <a16:creationId xmlns:a16="http://schemas.microsoft.com/office/drawing/2014/main" id="{00000000-0008-0000-0D00-000069420100}"/>
            </a:ext>
          </a:extLst>
        </xdr:cNvPr>
        <xdr:cNvSpPr>
          <a:spLocks noChangeArrowheads="1"/>
        </xdr:cNvSpPr>
      </xdr:nvSpPr>
      <xdr:spPr bwMode="auto">
        <a:xfrm>
          <a:off x="0" y="2085975"/>
          <a:ext cx="10191750" cy="438150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23</xdr:row>
      <xdr:rowOff>0</xdr:rowOff>
    </xdr:from>
    <xdr:to>
      <xdr:col>34</xdr:col>
      <xdr:colOff>0</xdr:colOff>
      <xdr:row>34</xdr:row>
      <xdr:rowOff>333375</xdr:rowOff>
    </xdr:to>
    <xdr:sp macro="" textlink="">
      <xdr:nvSpPr>
        <xdr:cNvPr id="82538" name="Rectangle 45">
          <a:extLst>
            <a:ext uri="{FF2B5EF4-FFF2-40B4-BE49-F238E27FC236}">
              <a16:creationId xmlns:a16="http://schemas.microsoft.com/office/drawing/2014/main" id="{00000000-0008-0000-0D00-00006A420100}"/>
            </a:ext>
          </a:extLst>
        </xdr:cNvPr>
        <xdr:cNvSpPr>
          <a:spLocks noChangeArrowheads="1"/>
        </xdr:cNvSpPr>
      </xdr:nvSpPr>
      <xdr:spPr bwMode="auto">
        <a:xfrm>
          <a:off x="0" y="6600825"/>
          <a:ext cx="10191750" cy="34766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35</xdr:row>
      <xdr:rowOff>66675</xdr:rowOff>
    </xdr:from>
    <xdr:to>
      <xdr:col>34</xdr:col>
      <xdr:colOff>9525</xdr:colOff>
      <xdr:row>38</xdr:row>
      <xdr:rowOff>0</xdr:rowOff>
    </xdr:to>
    <xdr:sp macro="" textlink="">
      <xdr:nvSpPr>
        <xdr:cNvPr id="82539" name="Rectangle 38">
          <a:extLst>
            <a:ext uri="{FF2B5EF4-FFF2-40B4-BE49-F238E27FC236}">
              <a16:creationId xmlns:a16="http://schemas.microsoft.com/office/drawing/2014/main" id="{00000000-0008-0000-0D00-00006B420100}"/>
            </a:ext>
          </a:extLst>
        </xdr:cNvPr>
        <xdr:cNvSpPr>
          <a:spLocks noChangeArrowheads="1"/>
        </xdr:cNvSpPr>
      </xdr:nvSpPr>
      <xdr:spPr bwMode="auto">
        <a:xfrm>
          <a:off x="0" y="10153650"/>
          <a:ext cx="10201275" cy="2276475"/>
        </a:xfrm>
        <a:prstGeom prst="rect">
          <a:avLst/>
        </a:prstGeom>
        <a:noFill/>
        <a:ln w="28575">
          <a:solidFill>
            <a:srgbClr val="FF99CC"/>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38100</xdr:colOff>
      <xdr:row>38</xdr:row>
      <xdr:rowOff>38100</xdr:rowOff>
    </xdr:from>
    <xdr:to>
      <xdr:col>33</xdr:col>
      <xdr:colOff>314325</xdr:colOff>
      <xdr:row>56</xdr:row>
      <xdr:rowOff>200025</xdr:rowOff>
    </xdr:to>
    <xdr:grpSp>
      <xdr:nvGrpSpPr>
        <xdr:cNvPr id="82540" name="Group 51">
          <a:extLst>
            <a:ext uri="{FF2B5EF4-FFF2-40B4-BE49-F238E27FC236}">
              <a16:creationId xmlns:a16="http://schemas.microsoft.com/office/drawing/2014/main" id="{00000000-0008-0000-0D00-00006C420100}"/>
            </a:ext>
          </a:extLst>
        </xdr:cNvPr>
        <xdr:cNvGrpSpPr>
          <a:grpSpLocks/>
        </xdr:cNvGrpSpPr>
      </xdr:nvGrpSpPr>
      <xdr:grpSpPr bwMode="auto">
        <a:xfrm>
          <a:off x="38100" y="12461421"/>
          <a:ext cx="10127796" cy="3835854"/>
          <a:chOff x="3" y="1110"/>
          <a:chExt cx="1062" cy="411"/>
        </a:xfrm>
      </xdr:grpSpPr>
      <xdr:sp macro="" textlink="">
        <xdr:nvSpPr>
          <xdr:cNvPr id="82555" name="Rectangle 40">
            <a:extLst>
              <a:ext uri="{FF2B5EF4-FFF2-40B4-BE49-F238E27FC236}">
                <a16:creationId xmlns:a16="http://schemas.microsoft.com/office/drawing/2014/main" id="{00000000-0008-0000-0D00-00007B420100}"/>
              </a:ext>
            </a:extLst>
          </xdr:cNvPr>
          <xdr:cNvSpPr>
            <a:spLocks noChangeArrowheads="1"/>
          </xdr:cNvSpPr>
        </xdr:nvSpPr>
        <xdr:spPr bwMode="auto">
          <a:xfrm>
            <a:off x="3" y="1110"/>
            <a:ext cx="648" cy="411"/>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82556" name="Rectangle 41">
            <a:extLst>
              <a:ext uri="{FF2B5EF4-FFF2-40B4-BE49-F238E27FC236}">
                <a16:creationId xmlns:a16="http://schemas.microsoft.com/office/drawing/2014/main" id="{00000000-0008-0000-0D00-00007C420100}"/>
              </a:ext>
            </a:extLst>
          </xdr:cNvPr>
          <xdr:cNvSpPr>
            <a:spLocks noChangeArrowheads="1"/>
          </xdr:cNvSpPr>
        </xdr:nvSpPr>
        <xdr:spPr bwMode="auto">
          <a:xfrm>
            <a:off x="652" y="1110"/>
            <a:ext cx="413" cy="26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82557" name="Rectangle 42">
            <a:extLst>
              <a:ext uri="{FF2B5EF4-FFF2-40B4-BE49-F238E27FC236}">
                <a16:creationId xmlns:a16="http://schemas.microsoft.com/office/drawing/2014/main" id="{00000000-0008-0000-0D00-00007D420100}"/>
              </a:ext>
            </a:extLst>
          </xdr:cNvPr>
          <xdr:cNvSpPr>
            <a:spLocks noChangeArrowheads="1"/>
          </xdr:cNvSpPr>
        </xdr:nvSpPr>
        <xdr:spPr bwMode="auto">
          <a:xfrm>
            <a:off x="605" y="1114"/>
            <a:ext cx="49" cy="25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22</xdr:col>
      <xdr:colOff>19050</xdr:colOff>
      <xdr:row>50</xdr:row>
      <xdr:rowOff>47625</xdr:rowOff>
    </xdr:from>
    <xdr:to>
      <xdr:col>33</xdr:col>
      <xdr:colOff>304800</xdr:colOff>
      <xdr:row>56</xdr:row>
      <xdr:rowOff>190500</xdr:rowOff>
    </xdr:to>
    <xdr:sp macro="" textlink="">
      <xdr:nvSpPr>
        <xdr:cNvPr id="82541" name="Rectangle 37">
          <a:extLst>
            <a:ext uri="{FF2B5EF4-FFF2-40B4-BE49-F238E27FC236}">
              <a16:creationId xmlns:a16="http://schemas.microsoft.com/office/drawing/2014/main" id="{00000000-0008-0000-0D00-00006D420100}"/>
            </a:ext>
          </a:extLst>
        </xdr:cNvPr>
        <xdr:cNvSpPr>
          <a:spLocks noChangeArrowheads="1"/>
        </xdr:cNvSpPr>
      </xdr:nvSpPr>
      <xdr:spPr bwMode="auto">
        <a:xfrm>
          <a:off x="6267450" y="14992350"/>
          <a:ext cx="3905250" cy="1400175"/>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34</xdr:col>
      <xdr:colOff>104775</xdr:colOff>
      <xdr:row>11</xdr:row>
      <xdr:rowOff>150400</xdr:rowOff>
    </xdr:from>
    <xdr:to>
      <xdr:col>40</xdr:col>
      <xdr:colOff>390525</xdr:colOff>
      <xdr:row>16</xdr:row>
      <xdr:rowOff>262268</xdr:rowOff>
    </xdr:to>
    <xdr:sp macro="" textlink="">
      <xdr:nvSpPr>
        <xdr:cNvPr id="287796" name="Rectangle 52">
          <a:extLst>
            <a:ext uri="{FF2B5EF4-FFF2-40B4-BE49-F238E27FC236}">
              <a16:creationId xmlns:a16="http://schemas.microsoft.com/office/drawing/2014/main" id="{00000000-0008-0000-0D00-000034640400}"/>
            </a:ext>
          </a:extLst>
        </xdr:cNvPr>
        <xdr:cNvSpPr>
          <a:spLocks noChangeArrowheads="1"/>
        </xdr:cNvSpPr>
      </xdr:nvSpPr>
      <xdr:spPr bwMode="auto">
        <a:xfrm>
          <a:off x="10296525" y="1476375"/>
          <a:ext cx="3943350" cy="16383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◇作業手順①</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テスト実施者が不具合を発見し、</a:t>
          </a:r>
          <a:r>
            <a:rPr lang="en-US" altLang="ja-JP" sz="1400" b="0" i="0" u="none" strike="noStrike" baseline="0">
              <a:solidFill>
                <a:srgbClr val="000000"/>
              </a:solidFill>
              <a:latin typeface="ＭＳ Ｐゴシック"/>
              <a:ea typeface="ＭＳ Ｐゴシック"/>
            </a:rPr>
            <a:t>『</a:t>
          </a:r>
          <a:r>
            <a:rPr lang="ja-JP" altLang="en-US" sz="1400" b="0" i="0" u="none" strike="noStrike" baseline="0">
              <a:solidFill>
                <a:srgbClr val="000000"/>
              </a:solidFill>
              <a:latin typeface="ＭＳ Ｐゴシック"/>
              <a:ea typeface="ＭＳ Ｐゴシック"/>
            </a:rPr>
            <a:t>不具合管理票</a:t>
          </a:r>
          <a:r>
            <a:rPr lang="en-US" altLang="ja-JP" sz="1400" b="0" i="0" u="none" strike="noStrike" baseline="0">
              <a:solidFill>
                <a:srgbClr val="000000"/>
              </a:solidFill>
              <a:latin typeface="ＭＳ Ｐゴシック"/>
              <a:ea typeface="ＭＳ Ｐゴシック"/>
            </a:rPr>
            <a:t>』</a:t>
          </a:r>
          <a:r>
            <a:rPr lang="ja-JP" altLang="en-US" sz="1400" b="0" i="0" u="none" strike="noStrike" baseline="0">
              <a:solidFill>
                <a:srgbClr val="000000"/>
              </a:solidFill>
              <a:latin typeface="ＭＳ Ｐゴシック"/>
              <a:ea typeface="ＭＳ Ｐゴシック"/>
            </a:rPr>
            <a:t>を起票する際に入力する。</a:t>
          </a:r>
        </a:p>
      </xdr:txBody>
    </xdr:sp>
    <xdr:clientData/>
  </xdr:twoCellAnchor>
  <xdr:twoCellAnchor>
    <xdr:from>
      <xdr:col>32</xdr:col>
      <xdr:colOff>209550</xdr:colOff>
      <xdr:row>15</xdr:row>
      <xdr:rowOff>76200</xdr:rowOff>
    </xdr:from>
    <xdr:to>
      <xdr:col>34</xdr:col>
      <xdr:colOff>190500</xdr:colOff>
      <xdr:row>15</xdr:row>
      <xdr:rowOff>114300</xdr:rowOff>
    </xdr:to>
    <xdr:sp macro="" textlink="">
      <xdr:nvSpPr>
        <xdr:cNvPr id="82543" name="Line 59">
          <a:extLst>
            <a:ext uri="{FF2B5EF4-FFF2-40B4-BE49-F238E27FC236}">
              <a16:creationId xmlns:a16="http://schemas.microsoft.com/office/drawing/2014/main" id="{00000000-0008-0000-0D00-00006F420100}"/>
            </a:ext>
          </a:extLst>
        </xdr:cNvPr>
        <xdr:cNvSpPr>
          <a:spLocks noChangeShapeType="1"/>
        </xdr:cNvSpPr>
      </xdr:nvSpPr>
      <xdr:spPr bwMode="auto">
        <a:xfrm flipV="1">
          <a:off x="9763125" y="3381375"/>
          <a:ext cx="619125" cy="38100"/>
        </a:xfrm>
        <a:prstGeom prst="line">
          <a:avLst/>
        </a:prstGeom>
        <a:noFill/>
        <a:ln w="28575">
          <a:solidFill>
            <a:srgbClr val="0000FF"/>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104775</xdr:colOff>
      <xdr:row>18</xdr:row>
      <xdr:rowOff>248450</xdr:rowOff>
    </xdr:from>
    <xdr:to>
      <xdr:col>40</xdr:col>
      <xdr:colOff>390525</xdr:colOff>
      <xdr:row>25</xdr:row>
      <xdr:rowOff>7237</xdr:rowOff>
    </xdr:to>
    <xdr:sp macro="" textlink="">
      <xdr:nvSpPr>
        <xdr:cNvPr id="287801" name="Rectangle 57">
          <a:extLst>
            <a:ext uri="{FF2B5EF4-FFF2-40B4-BE49-F238E27FC236}">
              <a16:creationId xmlns:a16="http://schemas.microsoft.com/office/drawing/2014/main" id="{00000000-0008-0000-0D00-000039640400}"/>
            </a:ext>
          </a:extLst>
        </xdr:cNvPr>
        <xdr:cNvSpPr>
          <a:spLocks noChangeArrowheads="1"/>
        </xdr:cNvSpPr>
      </xdr:nvSpPr>
      <xdr:spPr bwMode="auto">
        <a:xfrm>
          <a:off x="10306050" y="3838575"/>
          <a:ext cx="3943350" cy="280987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□ステータス</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状態が変更される際に更新する。</a:t>
          </a:r>
        </a:p>
        <a:p>
          <a:pPr algn="l" rtl="0">
            <a:lnSpc>
              <a:spcPts val="1700"/>
            </a:lnSpc>
            <a:defRPr sz="1000"/>
          </a:pPr>
          <a:r>
            <a:rPr lang="ja-JP" altLang="en-US" sz="1400" b="0" i="0" u="none" strike="noStrike" baseline="0">
              <a:solidFill>
                <a:srgbClr val="000000"/>
              </a:solidFill>
              <a:latin typeface="ＭＳ Ｐゴシック"/>
              <a:ea typeface="ＭＳ Ｐゴシック"/>
            </a:rPr>
            <a:t>ステータスは以下のとおり。</a:t>
          </a:r>
        </a:p>
        <a:p>
          <a:pPr algn="l" rtl="0">
            <a:lnSpc>
              <a:spcPts val="1700"/>
            </a:lnSpc>
            <a:defRPr sz="1000"/>
          </a:pPr>
          <a:r>
            <a:rPr lang="ja-JP" altLang="en-US" sz="1400" b="0" i="0" u="none" strike="noStrike" baseline="0">
              <a:solidFill>
                <a:srgbClr val="000000"/>
              </a:solidFill>
              <a:latin typeface="ＭＳ Ｐゴシック"/>
              <a:ea typeface="ＭＳ Ｐゴシック"/>
            </a:rPr>
            <a:t>　・起票中</a:t>
          </a:r>
        </a:p>
        <a:p>
          <a:pPr algn="l" rtl="0">
            <a:lnSpc>
              <a:spcPts val="1700"/>
            </a:lnSpc>
            <a:defRPr sz="1000"/>
          </a:pPr>
          <a:r>
            <a:rPr lang="ja-JP" altLang="en-US" sz="1400" b="0" i="0" u="none" strike="noStrike" baseline="0">
              <a:solidFill>
                <a:srgbClr val="000000"/>
              </a:solidFill>
              <a:latin typeface="ＭＳ Ｐゴシック"/>
              <a:ea typeface="ＭＳ Ｐゴシック"/>
            </a:rPr>
            <a:t>　・起票済</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・原因調査中</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・原因調査済</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・修正対応中</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・修正対応済</a:t>
          </a:r>
        </a:p>
        <a:p>
          <a:pPr algn="l" rtl="0">
            <a:lnSpc>
              <a:spcPts val="1700"/>
            </a:lnSpc>
            <a:defRPr sz="1000"/>
          </a:pPr>
          <a:r>
            <a:rPr lang="ja-JP" altLang="en-US" sz="1400" b="0" i="0" u="none" strike="noStrike" baseline="0">
              <a:solidFill>
                <a:srgbClr val="000000"/>
              </a:solidFill>
              <a:latin typeface="ＭＳ Ｐゴシック"/>
              <a:ea typeface="ＭＳ Ｐゴシック"/>
            </a:rPr>
            <a:t>　・完了</a:t>
          </a:r>
        </a:p>
      </xdr:txBody>
    </xdr:sp>
    <xdr:clientData/>
  </xdr:twoCellAnchor>
  <xdr:twoCellAnchor>
    <xdr:from>
      <xdr:col>33</xdr:col>
      <xdr:colOff>104775</xdr:colOff>
      <xdr:row>23</xdr:row>
      <xdr:rowOff>76200</xdr:rowOff>
    </xdr:from>
    <xdr:to>
      <xdr:col>34</xdr:col>
      <xdr:colOff>257175</xdr:colOff>
      <xdr:row>24</xdr:row>
      <xdr:rowOff>180975</xdr:rowOff>
    </xdr:to>
    <xdr:sp macro="" textlink="">
      <xdr:nvSpPr>
        <xdr:cNvPr id="82545" name="Line 63">
          <a:extLst>
            <a:ext uri="{FF2B5EF4-FFF2-40B4-BE49-F238E27FC236}">
              <a16:creationId xmlns:a16="http://schemas.microsoft.com/office/drawing/2014/main" id="{00000000-0008-0000-0D00-000071420100}"/>
            </a:ext>
          </a:extLst>
        </xdr:cNvPr>
        <xdr:cNvSpPr>
          <a:spLocks noChangeShapeType="1"/>
        </xdr:cNvSpPr>
      </xdr:nvSpPr>
      <xdr:spPr bwMode="auto">
        <a:xfrm flipH="1">
          <a:off x="9972675" y="6677025"/>
          <a:ext cx="476250" cy="361950"/>
        </a:xfrm>
        <a:prstGeom prst="line">
          <a:avLst/>
        </a:prstGeom>
        <a:noFill/>
        <a:ln w="28575">
          <a:solidFill>
            <a:srgbClr val="333333"/>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30</xdr:col>
      <xdr:colOff>0</xdr:colOff>
      <xdr:row>23</xdr:row>
      <xdr:rowOff>38100</xdr:rowOff>
    </xdr:from>
    <xdr:to>
      <xdr:col>33</xdr:col>
      <xdr:colOff>304800</xdr:colOff>
      <xdr:row>24</xdr:row>
      <xdr:rowOff>514350</xdr:rowOff>
    </xdr:to>
    <xdr:sp macro="" textlink="">
      <xdr:nvSpPr>
        <xdr:cNvPr id="82546" name="Rectangle 43">
          <a:extLst>
            <a:ext uri="{FF2B5EF4-FFF2-40B4-BE49-F238E27FC236}">
              <a16:creationId xmlns:a16="http://schemas.microsoft.com/office/drawing/2014/main" id="{00000000-0008-0000-0D00-000072420100}"/>
            </a:ext>
          </a:extLst>
        </xdr:cNvPr>
        <xdr:cNvSpPr>
          <a:spLocks noChangeArrowheads="1"/>
        </xdr:cNvSpPr>
      </xdr:nvSpPr>
      <xdr:spPr bwMode="auto">
        <a:xfrm>
          <a:off x="8924925" y="6638925"/>
          <a:ext cx="1247775" cy="733425"/>
        </a:xfrm>
        <a:prstGeom prst="rect">
          <a:avLst/>
        </a:prstGeom>
        <a:noFill/>
        <a:ln w="28575">
          <a:solidFill>
            <a:srgbClr val="333333"/>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34</xdr:col>
      <xdr:colOff>114300</xdr:colOff>
      <xdr:row>27</xdr:row>
      <xdr:rowOff>39701</xdr:rowOff>
    </xdr:from>
    <xdr:to>
      <xdr:col>40</xdr:col>
      <xdr:colOff>400050</xdr:colOff>
      <xdr:row>33</xdr:row>
      <xdr:rowOff>165065</xdr:rowOff>
    </xdr:to>
    <xdr:sp macro="" textlink="">
      <xdr:nvSpPr>
        <xdr:cNvPr id="287797" name="Rectangle 53">
          <a:extLst>
            <a:ext uri="{FF2B5EF4-FFF2-40B4-BE49-F238E27FC236}">
              <a16:creationId xmlns:a16="http://schemas.microsoft.com/office/drawing/2014/main" id="{00000000-0008-0000-0D00-000035640400}"/>
            </a:ext>
          </a:extLst>
        </xdr:cNvPr>
        <xdr:cNvSpPr>
          <a:spLocks noChangeArrowheads="1"/>
        </xdr:cNvSpPr>
      </xdr:nvSpPr>
      <xdr:spPr bwMode="auto">
        <a:xfrm>
          <a:off x="10344150" y="6829425"/>
          <a:ext cx="3943350" cy="17526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◇作業手順②</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記載された不具合について、問題の現象や原因の１次解析を実施した際に入力する。</a:t>
          </a:r>
        </a:p>
        <a:p>
          <a:pPr algn="l" rtl="0">
            <a:lnSpc>
              <a:spcPts val="1600"/>
            </a:lnSpc>
            <a:defRPr sz="1000"/>
          </a:pPr>
          <a:r>
            <a:rPr lang="ja-JP" altLang="en-US" sz="1400" b="0" i="0" u="none" strike="noStrike" baseline="0">
              <a:solidFill>
                <a:srgbClr val="000000"/>
              </a:solidFill>
              <a:latin typeface="ＭＳ Ｐゴシック"/>
              <a:ea typeface="ＭＳ Ｐゴシック"/>
            </a:rPr>
            <a:t>問題が「アプリケーションバグ」だった場合はアプリケーションバグ分析も実施し、あわせて入力する。</a:t>
          </a:r>
        </a:p>
      </xdr:txBody>
    </xdr:sp>
    <xdr:clientData/>
  </xdr:twoCellAnchor>
  <xdr:twoCellAnchor>
    <xdr:from>
      <xdr:col>32</xdr:col>
      <xdr:colOff>238125</xdr:colOff>
      <xdr:row>30</xdr:row>
      <xdr:rowOff>238125</xdr:rowOff>
    </xdr:from>
    <xdr:to>
      <xdr:col>34</xdr:col>
      <xdr:colOff>209550</xdr:colOff>
      <xdr:row>30</xdr:row>
      <xdr:rowOff>276225</xdr:rowOff>
    </xdr:to>
    <xdr:sp macro="" textlink="">
      <xdr:nvSpPr>
        <xdr:cNvPr id="82548" name="Line 64">
          <a:extLst>
            <a:ext uri="{FF2B5EF4-FFF2-40B4-BE49-F238E27FC236}">
              <a16:creationId xmlns:a16="http://schemas.microsoft.com/office/drawing/2014/main" id="{00000000-0008-0000-0D00-000074420100}"/>
            </a:ext>
          </a:extLst>
        </xdr:cNvPr>
        <xdr:cNvSpPr>
          <a:spLocks noChangeShapeType="1"/>
        </xdr:cNvSpPr>
      </xdr:nvSpPr>
      <xdr:spPr bwMode="auto">
        <a:xfrm flipV="1">
          <a:off x="9791700" y="8610600"/>
          <a:ext cx="609600" cy="381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114300</xdr:colOff>
      <xdr:row>36</xdr:row>
      <xdr:rowOff>19050</xdr:rowOff>
    </xdr:from>
    <xdr:to>
      <xdr:col>40</xdr:col>
      <xdr:colOff>400050</xdr:colOff>
      <xdr:row>37</xdr:row>
      <xdr:rowOff>904875</xdr:rowOff>
    </xdr:to>
    <xdr:sp macro="" textlink="">
      <xdr:nvSpPr>
        <xdr:cNvPr id="81977" name="Rectangle 54">
          <a:extLst>
            <a:ext uri="{FF2B5EF4-FFF2-40B4-BE49-F238E27FC236}">
              <a16:creationId xmlns:a16="http://schemas.microsoft.com/office/drawing/2014/main" id="{00000000-0008-0000-0D00-000039400100}"/>
            </a:ext>
          </a:extLst>
        </xdr:cNvPr>
        <xdr:cNvSpPr>
          <a:spLocks noChangeArrowheads="1"/>
        </xdr:cNvSpPr>
      </xdr:nvSpPr>
      <xdr:spPr bwMode="auto">
        <a:xfrm>
          <a:off x="10306050" y="10182225"/>
          <a:ext cx="3943350" cy="12287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◇作業手順③</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不具合についての２次分析を実施し、修正要否の確認依頼を実施した際に入力する。</a:t>
          </a:r>
        </a:p>
      </xdr:txBody>
    </xdr:sp>
    <xdr:clientData/>
  </xdr:twoCellAnchor>
  <xdr:twoCellAnchor>
    <xdr:from>
      <xdr:col>33</xdr:col>
      <xdr:colOff>38100</xdr:colOff>
      <xdr:row>37</xdr:row>
      <xdr:rowOff>714375</xdr:rowOff>
    </xdr:from>
    <xdr:to>
      <xdr:col>34</xdr:col>
      <xdr:colOff>200025</xdr:colOff>
      <xdr:row>37</xdr:row>
      <xdr:rowOff>714375</xdr:rowOff>
    </xdr:to>
    <xdr:sp macro="" textlink="">
      <xdr:nvSpPr>
        <xdr:cNvPr id="82550" name="Line 60">
          <a:extLst>
            <a:ext uri="{FF2B5EF4-FFF2-40B4-BE49-F238E27FC236}">
              <a16:creationId xmlns:a16="http://schemas.microsoft.com/office/drawing/2014/main" id="{00000000-0008-0000-0D00-000076420100}"/>
            </a:ext>
          </a:extLst>
        </xdr:cNvPr>
        <xdr:cNvSpPr>
          <a:spLocks noChangeShapeType="1"/>
        </xdr:cNvSpPr>
      </xdr:nvSpPr>
      <xdr:spPr bwMode="auto">
        <a:xfrm flipV="1">
          <a:off x="9906000" y="11220450"/>
          <a:ext cx="485775" cy="0"/>
        </a:xfrm>
        <a:prstGeom prst="line">
          <a:avLst/>
        </a:prstGeom>
        <a:noFill/>
        <a:ln w="28575">
          <a:solidFill>
            <a:srgbClr val="FF99CC"/>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114300</xdr:colOff>
      <xdr:row>40</xdr:row>
      <xdr:rowOff>107816</xdr:rowOff>
    </xdr:from>
    <xdr:to>
      <xdr:col>40</xdr:col>
      <xdr:colOff>400050</xdr:colOff>
      <xdr:row>45</xdr:row>
      <xdr:rowOff>128268</xdr:rowOff>
    </xdr:to>
    <xdr:sp macro="" textlink="">
      <xdr:nvSpPr>
        <xdr:cNvPr id="287799" name="Rectangle 55">
          <a:extLst>
            <a:ext uri="{FF2B5EF4-FFF2-40B4-BE49-F238E27FC236}">
              <a16:creationId xmlns:a16="http://schemas.microsoft.com/office/drawing/2014/main" id="{00000000-0008-0000-0D00-000037640400}"/>
            </a:ext>
          </a:extLst>
        </xdr:cNvPr>
        <xdr:cNvSpPr>
          <a:spLocks noChangeArrowheads="1"/>
        </xdr:cNvSpPr>
      </xdr:nvSpPr>
      <xdr:spPr bwMode="auto">
        <a:xfrm>
          <a:off x="10315575" y="11782425"/>
          <a:ext cx="3943350" cy="10668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◇作業手順④</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不具合に対する修正作業を実施する場合、修正作業を実施した際に入力する。</a:t>
          </a:r>
        </a:p>
      </xdr:txBody>
    </xdr:sp>
    <xdr:clientData/>
  </xdr:twoCellAnchor>
  <xdr:twoCellAnchor>
    <xdr:from>
      <xdr:col>33</xdr:col>
      <xdr:colOff>19050</xdr:colOff>
      <xdr:row>45</xdr:row>
      <xdr:rowOff>38100</xdr:rowOff>
    </xdr:from>
    <xdr:to>
      <xdr:col>34</xdr:col>
      <xdr:colOff>200025</xdr:colOff>
      <xdr:row>45</xdr:row>
      <xdr:rowOff>114300</xdr:rowOff>
    </xdr:to>
    <xdr:sp macro="" textlink="">
      <xdr:nvSpPr>
        <xdr:cNvPr id="82552" name="Line 61">
          <a:extLst>
            <a:ext uri="{FF2B5EF4-FFF2-40B4-BE49-F238E27FC236}">
              <a16:creationId xmlns:a16="http://schemas.microsoft.com/office/drawing/2014/main" id="{00000000-0008-0000-0D00-000078420100}"/>
            </a:ext>
          </a:extLst>
        </xdr:cNvPr>
        <xdr:cNvSpPr>
          <a:spLocks noChangeShapeType="1"/>
        </xdr:cNvSpPr>
      </xdr:nvSpPr>
      <xdr:spPr bwMode="auto">
        <a:xfrm flipV="1">
          <a:off x="9886950" y="13935075"/>
          <a:ext cx="504825" cy="76200"/>
        </a:xfrm>
        <a:prstGeom prst="line">
          <a:avLst/>
        </a:prstGeom>
        <a:noFill/>
        <a:ln w="28575">
          <a:solidFill>
            <a:srgbClr val="FF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123825</xdr:colOff>
      <xdr:row>47</xdr:row>
      <xdr:rowOff>3041</xdr:rowOff>
    </xdr:from>
    <xdr:to>
      <xdr:col>40</xdr:col>
      <xdr:colOff>409575</xdr:colOff>
      <xdr:row>53</xdr:row>
      <xdr:rowOff>91437</xdr:rowOff>
    </xdr:to>
    <xdr:sp macro="" textlink="">
      <xdr:nvSpPr>
        <xdr:cNvPr id="287800" name="Rectangle 56">
          <a:extLst>
            <a:ext uri="{FF2B5EF4-FFF2-40B4-BE49-F238E27FC236}">
              <a16:creationId xmlns:a16="http://schemas.microsoft.com/office/drawing/2014/main" id="{00000000-0008-0000-0D00-000038640400}"/>
            </a:ext>
          </a:extLst>
        </xdr:cNvPr>
        <xdr:cNvSpPr>
          <a:spLocks noChangeArrowheads="1"/>
        </xdr:cNvSpPr>
      </xdr:nvSpPr>
      <xdr:spPr bwMode="auto">
        <a:xfrm>
          <a:off x="10306050" y="13163550"/>
          <a:ext cx="3943350" cy="135255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◇作業手順⑤</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テスト実施者が再テストを実施して修正内容が正しいことを確認し、修正結果をシステムに反映した際に入力する。</a:t>
          </a:r>
        </a:p>
      </xdr:txBody>
    </xdr:sp>
    <xdr:clientData/>
  </xdr:twoCellAnchor>
  <xdr:twoCellAnchor>
    <xdr:from>
      <xdr:col>33</xdr:col>
      <xdr:colOff>76200</xdr:colOff>
      <xdr:row>52</xdr:row>
      <xdr:rowOff>19050</xdr:rowOff>
    </xdr:from>
    <xdr:to>
      <xdr:col>34</xdr:col>
      <xdr:colOff>200025</xdr:colOff>
      <xdr:row>52</xdr:row>
      <xdr:rowOff>142875</xdr:rowOff>
    </xdr:to>
    <xdr:sp macro="" textlink="">
      <xdr:nvSpPr>
        <xdr:cNvPr id="82554" name="Line 62">
          <a:extLst>
            <a:ext uri="{FF2B5EF4-FFF2-40B4-BE49-F238E27FC236}">
              <a16:creationId xmlns:a16="http://schemas.microsoft.com/office/drawing/2014/main" id="{00000000-0008-0000-0D00-00007A420100}"/>
            </a:ext>
          </a:extLst>
        </xdr:cNvPr>
        <xdr:cNvSpPr>
          <a:spLocks noChangeShapeType="1"/>
        </xdr:cNvSpPr>
      </xdr:nvSpPr>
      <xdr:spPr bwMode="auto">
        <a:xfrm flipV="1">
          <a:off x="9944100" y="15382875"/>
          <a:ext cx="447675" cy="123825"/>
        </a:xfrm>
        <a:prstGeom prst="line">
          <a:avLst/>
        </a:prstGeom>
        <a:noFill/>
        <a:ln w="28575">
          <a:solidFill>
            <a:srgbClr val="80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27214</xdr:colOff>
      <xdr:row>3</xdr:row>
      <xdr:rowOff>28574</xdr:rowOff>
    </xdr:from>
    <xdr:to>
      <xdr:col>0</xdr:col>
      <xdr:colOff>713014</xdr:colOff>
      <xdr:row>8</xdr:row>
      <xdr:rowOff>435428</xdr:rowOff>
    </xdr:to>
    <xdr:sp macro="" textlink="">
      <xdr:nvSpPr>
        <xdr:cNvPr id="2" name="Rectangle 57">
          <a:extLst>
            <a:ext uri="{FF2B5EF4-FFF2-40B4-BE49-F238E27FC236}">
              <a16:creationId xmlns:a16="http://schemas.microsoft.com/office/drawing/2014/main" id="{00000000-0008-0000-0E00-000002000000}"/>
            </a:ext>
          </a:extLst>
        </xdr:cNvPr>
        <xdr:cNvSpPr>
          <a:spLocks noChangeArrowheads="1"/>
        </xdr:cNvSpPr>
      </xdr:nvSpPr>
      <xdr:spPr bwMode="auto">
        <a:xfrm>
          <a:off x="27214" y="477610"/>
          <a:ext cx="685800" cy="1685925"/>
        </a:xfrm>
        <a:prstGeom prst="rect">
          <a:avLst/>
        </a:prstGeom>
        <a:noFill/>
        <a:ln w="28575">
          <a:solidFill>
            <a:srgbClr val="333333"/>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68035</xdr:colOff>
      <xdr:row>3</xdr:row>
      <xdr:rowOff>0</xdr:rowOff>
    </xdr:from>
    <xdr:to>
      <xdr:col>17</xdr:col>
      <xdr:colOff>1496785</xdr:colOff>
      <xdr:row>8</xdr:row>
      <xdr:rowOff>449036</xdr:rowOff>
    </xdr:to>
    <xdr:sp macro="" textlink="">
      <xdr:nvSpPr>
        <xdr:cNvPr id="3" name="Rectangle 52">
          <a:extLst>
            <a:ext uri="{FF2B5EF4-FFF2-40B4-BE49-F238E27FC236}">
              <a16:creationId xmlns:a16="http://schemas.microsoft.com/office/drawing/2014/main" id="{00000000-0008-0000-0E00-000003000000}"/>
            </a:ext>
          </a:extLst>
        </xdr:cNvPr>
        <xdr:cNvSpPr>
          <a:spLocks noChangeArrowheads="1"/>
        </xdr:cNvSpPr>
      </xdr:nvSpPr>
      <xdr:spPr bwMode="auto">
        <a:xfrm>
          <a:off x="789214" y="449036"/>
          <a:ext cx="14682107" cy="1728107"/>
        </a:xfrm>
        <a:prstGeom prst="rect">
          <a:avLst/>
        </a:prstGeom>
        <a:noFill/>
        <a:ln w="28575">
          <a:solidFill>
            <a:srgbClr val="3366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32661</xdr:colOff>
      <xdr:row>4</xdr:row>
      <xdr:rowOff>23132</xdr:rowOff>
    </xdr:from>
    <xdr:to>
      <xdr:col>30</xdr:col>
      <xdr:colOff>69401</xdr:colOff>
      <xdr:row>8</xdr:row>
      <xdr:rowOff>449036</xdr:rowOff>
    </xdr:to>
    <xdr:sp macro="" textlink="">
      <xdr:nvSpPr>
        <xdr:cNvPr id="4" name="Rectangle 53">
          <a:extLst>
            <a:ext uri="{FF2B5EF4-FFF2-40B4-BE49-F238E27FC236}">
              <a16:creationId xmlns:a16="http://schemas.microsoft.com/office/drawing/2014/main" id="{00000000-0008-0000-0E00-000004000000}"/>
            </a:ext>
          </a:extLst>
        </xdr:cNvPr>
        <xdr:cNvSpPr>
          <a:spLocks noChangeArrowheads="1"/>
        </xdr:cNvSpPr>
      </xdr:nvSpPr>
      <xdr:spPr bwMode="auto">
        <a:xfrm>
          <a:off x="15517590" y="649061"/>
          <a:ext cx="14678025" cy="1528082"/>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30</xdr:col>
      <xdr:colOff>96615</xdr:colOff>
      <xdr:row>4</xdr:row>
      <xdr:rowOff>42181</xdr:rowOff>
    </xdr:from>
    <xdr:to>
      <xdr:col>32</xdr:col>
      <xdr:colOff>1306286</xdr:colOff>
      <xdr:row>9</xdr:row>
      <xdr:rowOff>27213</xdr:rowOff>
    </xdr:to>
    <xdr:sp macro="" textlink="">
      <xdr:nvSpPr>
        <xdr:cNvPr id="5" name="Rectangle 56">
          <a:extLst>
            <a:ext uri="{FF2B5EF4-FFF2-40B4-BE49-F238E27FC236}">
              <a16:creationId xmlns:a16="http://schemas.microsoft.com/office/drawing/2014/main" id="{00000000-0008-0000-0E00-000005000000}"/>
            </a:ext>
          </a:extLst>
        </xdr:cNvPr>
        <xdr:cNvSpPr>
          <a:spLocks noChangeArrowheads="1"/>
        </xdr:cNvSpPr>
      </xdr:nvSpPr>
      <xdr:spPr bwMode="auto">
        <a:xfrm>
          <a:off x="30222829" y="668110"/>
          <a:ext cx="3890278" cy="1549853"/>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33</xdr:col>
      <xdr:colOff>28571</xdr:colOff>
      <xdr:row>4</xdr:row>
      <xdr:rowOff>42182</xdr:rowOff>
    </xdr:from>
    <xdr:to>
      <xdr:col>35</xdr:col>
      <xdr:colOff>870853</xdr:colOff>
      <xdr:row>9</xdr:row>
      <xdr:rowOff>40821</xdr:rowOff>
    </xdr:to>
    <xdr:sp macro="" textlink="">
      <xdr:nvSpPr>
        <xdr:cNvPr id="6" name="Rectangle 54">
          <a:extLst>
            <a:ext uri="{FF2B5EF4-FFF2-40B4-BE49-F238E27FC236}">
              <a16:creationId xmlns:a16="http://schemas.microsoft.com/office/drawing/2014/main" id="{00000000-0008-0000-0E00-000006000000}"/>
            </a:ext>
          </a:extLst>
        </xdr:cNvPr>
        <xdr:cNvSpPr>
          <a:spLocks noChangeArrowheads="1"/>
        </xdr:cNvSpPr>
      </xdr:nvSpPr>
      <xdr:spPr bwMode="auto">
        <a:xfrm>
          <a:off x="34168892" y="668111"/>
          <a:ext cx="3209925" cy="1563460"/>
        </a:xfrm>
        <a:prstGeom prst="rect">
          <a:avLst/>
        </a:prstGeom>
        <a:noFill/>
        <a:ln w="28575">
          <a:solidFill>
            <a:srgbClr val="FF99CC"/>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36</xdr:col>
      <xdr:colOff>27211</xdr:colOff>
      <xdr:row>4</xdr:row>
      <xdr:rowOff>13606</xdr:rowOff>
    </xdr:from>
    <xdr:to>
      <xdr:col>54</xdr:col>
      <xdr:colOff>27216</xdr:colOff>
      <xdr:row>9</xdr:row>
      <xdr:rowOff>13606</xdr:rowOff>
    </xdr:to>
    <xdr:sp macro="" textlink="">
      <xdr:nvSpPr>
        <xdr:cNvPr id="7" name="Rectangle 55">
          <a:extLst>
            <a:ext uri="{FF2B5EF4-FFF2-40B4-BE49-F238E27FC236}">
              <a16:creationId xmlns:a16="http://schemas.microsoft.com/office/drawing/2014/main" id="{00000000-0008-0000-0E00-000007000000}"/>
            </a:ext>
          </a:extLst>
        </xdr:cNvPr>
        <xdr:cNvSpPr>
          <a:spLocks noChangeArrowheads="1"/>
        </xdr:cNvSpPr>
      </xdr:nvSpPr>
      <xdr:spPr bwMode="auto">
        <a:xfrm>
          <a:off x="37406032" y="639535"/>
          <a:ext cx="23132148" cy="1564821"/>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179614</xdr:colOff>
      <xdr:row>9</xdr:row>
      <xdr:rowOff>172811</xdr:rowOff>
    </xdr:from>
    <xdr:to>
      <xdr:col>5</xdr:col>
      <xdr:colOff>326118</xdr:colOff>
      <xdr:row>26</xdr:row>
      <xdr:rowOff>51707</xdr:rowOff>
    </xdr:to>
    <xdr:sp macro="" textlink="">
      <xdr:nvSpPr>
        <xdr:cNvPr id="8" name="Rectangle 87">
          <a:extLst>
            <a:ext uri="{FF2B5EF4-FFF2-40B4-BE49-F238E27FC236}">
              <a16:creationId xmlns:a16="http://schemas.microsoft.com/office/drawing/2014/main" id="{00000000-0008-0000-0E00-000008000000}"/>
            </a:ext>
          </a:extLst>
        </xdr:cNvPr>
        <xdr:cNvSpPr>
          <a:spLocks noChangeArrowheads="1"/>
        </xdr:cNvSpPr>
      </xdr:nvSpPr>
      <xdr:spPr bwMode="auto">
        <a:xfrm>
          <a:off x="179614" y="2363561"/>
          <a:ext cx="4283075" cy="288607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□ステータス</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状態が変更される際に更新する。</a:t>
          </a:r>
        </a:p>
        <a:p>
          <a:pPr algn="l" rtl="0">
            <a:lnSpc>
              <a:spcPts val="1700"/>
            </a:lnSpc>
            <a:defRPr sz="1000"/>
          </a:pPr>
          <a:r>
            <a:rPr lang="ja-JP" altLang="en-US" sz="1400" b="0" i="0" u="none" strike="noStrike" baseline="0">
              <a:solidFill>
                <a:srgbClr val="000000"/>
              </a:solidFill>
              <a:latin typeface="ＭＳ Ｐゴシック"/>
              <a:ea typeface="ＭＳ Ｐゴシック"/>
            </a:rPr>
            <a:t>ステータスは以下のとおり。</a:t>
          </a:r>
        </a:p>
        <a:p>
          <a:pPr algn="l" rtl="0">
            <a:lnSpc>
              <a:spcPts val="1700"/>
            </a:lnSpc>
            <a:defRPr sz="1000"/>
          </a:pPr>
          <a:r>
            <a:rPr lang="ja-JP" altLang="en-US" sz="1400" b="0" i="0" u="none" strike="noStrike" baseline="0">
              <a:solidFill>
                <a:srgbClr val="000000"/>
              </a:solidFill>
              <a:latin typeface="ＭＳ Ｐゴシック"/>
              <a:ea typeface="ＭＳ Ｐゴシック"/>
            </a:rPr>
            <a:t>　・起票中</a:t>
          </a:r>
        </a:p>
        <a:p>
          <a:pPr algn="l" rtl="0">
            <a:lnSpc>
              <a:spcPts val="1700"/>
            </a:lnSpc>
            <a:defRPr sz="1000"/>
          </a:pPr>
          <a:r>
            <a:rPr lang="ja-JP" altLang="en-US" sz="1400" b="0" i="0" u="none" strike="noStrike" baseline="0">
              <a:solidFill>
                <a:srgbClr val="000000"/>
              </a:solidFill>
              <a:latin typeface="ＭＳ Ｐゴシック"/>
              <a:ea typeface="ＭＳ Ｐゴシック"/>
            </a:rPr>
            <a:t>　・起票済</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・原因調査中</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・原因調査済</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・修正対応中</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・修正対応済</a:t>
          </a:r>
        </a:p>
        <a:p>
          <a:pPr algn="l" rtl="0">
            <a:lnSpc>
              <a:spcPts val="1700"/>
            </a:lnSpc>
            <a:defRPr sz="1000"/>
          </a:pPr>
          <a:r>
            <a:rPr lang="ja-JP" altLang="en-US" sz="1400" b="0" i="0" u="none" strike="noStrike" baseline="0">
              <a:solidFill>
                <a:srgbClr val="000000"/>
              </a:solidFill>
              <a:latin typeface="ＭＳ Ｐゴシック"/>
              <a:ea typeface="ＭＳ Ｐゴシック"/>
            </a:rPr>
            <a:t>　・完了</a:t>
          </a:r>
        </a:p>
      </xdr:txBody>
    </xdr:sp>
    <xdr:clientData/>
  </xdr:twoCellAnchor>
  <xdr:twoCellAnchor>
    <xdr:from>
      <xdr:col>0</xdr:col>
      <xdr:colOff>370114</xdr:colOff>
      <xdr:row>8</xdr:row>
      <xdr:rowOff>244929</xdr:rowOff>
    </xdr:from>
    <xdr:to>
      <xdr:col>1</xdr:col>
      <xdr:colOff>534760</xdr:colOff>
      <xdr:row>10</xdr:row>
      <xdr:rowOff>81643</xdr:rowOff>
    </xdr:to>
    <xdr:sp macro="" textlink="">
      <xdr:nvSpPr>
        <xdr:cNvPr id="9" name="Line 93">
          <a:extLst>
            <a:ext uri="{FF2B5EF4-FFF2-40B4-BE49-F238E27FC236}">
              <a16:creationId xmlns:a16="http://schemas.microsoft.com/office/drawing/2014/main" id="{00000000-0008-0000-0E00-000009000000}"/>
            </a:ext>
          </a:extLst>
        </xdr:cNvPr>
        <xdr:cNvSpPr>
          <a:spLocks noChangeShapeType="1"/>
        </xdr:cNvSpPr>
      </xdr:nvSpPr>
      <xdr:spPr bwMode="auto">
        <a:xfrm flipH="1" flipV="1">
          <a:off x="370114" y="1973036"/>
          <a:ext cx="885825" cy="476250"/>
        </a:xfrm>
        <a:prstGeom prst="line">
          <a:avLst/>
        </a:prstGeom>
        <a:noFill/>
        <a:ln w="28575">
          <a:solidFill>
            <a:srgbClr val="333333"/>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7</xdr:col>
      <xdr:colOff>449035</xdr:colOff>
      <xdr:row>9</xdr:row>
      <xdr:rowOff>172811</xdr:rowOff>
    </xdr:from>
    <xdr:to>
      <xdr:col>14</xdr:col>
      <xdr:colOff>129268</xdr:colOff>
      <xdr:row>19</xdr:row>
      <xdr:rowOff>45377</xdr:rowOff>
    </xdr:to>
    <xdr:sp macro="" textlink="">
      <xdr:nvSpPr>
        <xdr:cNvPr id="10" name="Rectangle 82">
          <a:extLst>
            <a:ext uri="{FF2B5EF4-FFF2-40B4-BE49-F238E27FC236}">
              <a16:creationId xmlns:a16="http://schemas.microsoft.com/office/drawing/2014/main" id="{00000000-0008-0000-0E00-00000A000000}"/>
            </a:ext>
          </a:extLst>
        </xdr:cNvPr>
        <xdr:cNvSpPr>
          <a:spLocks noChangeArrowheads="1"/>
        </xdr:cNvSpPr>
      </xdr:nvSpPr>
      <xdr:spPr bwMode="auto">
        <a:xfrm>
          <a:off x="6027964" y="2363561"/>
          <a:ext cx="5667375" cy="164149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◇作業手順①</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テスト実施者が不具合を発見した際に入力する。</a:t>
          </a:r>
        </a:p>
      </xdr:txBody>
    </xdr:sp>
    <xdr:clientData/>
  </xdr:twoCellAnchor>
  <xdr:twoCellAnchor>
    <xdr:from>
      <xdr:col>12</xdr:col>
      <xdr:colOff>163285</xdr:colOff>
      <xdr:row>8</xdr:row>
      <xdr:rowOff>159204</xdr:rowOff>
    </xdr:from>
    <xdr:to>
      <xdr:col>12</xdr:col>
      <xdr:colOff>172810</xdr:colOff>
      <xdr:row>11</xdr:row>
      <xdr:rowOff>38100</xdr:rowOff>
    </xdr:to>
    <xdr:sp macro="" textlink="">
      <xdr:nvSpPr>
        <xdr:cNvPr id="11" name="Line 89">
          <a:extLst>
            <a:ext uri="{FF2B5EF4-FFF2-40B4-BE49-F238E27FC236}">
              <a16:creationId xmlns:a16="http://schemas.microsoft.com/office/drawing/2014/main" id="{00000000-0008-0000-0E00-00000B000000}"/>
            </a:ext>
          </a:extLst>
        </xdr:cNvPr>
        <xdr:cNvSpPr>
          <a:spLocks noChangeShapeType="1"/>
        </xdr:cNvSpPr>
      </xdr:nvSpPr>
      <xdr:spPr bwMode="auto">
        <a:xfrm flipV="1">
          <a:off x="10028464" y="1887311"/>
          <a:ext cx="9525" cy="695325"/>
        </a:xfrm>
        <a:prstGeom prst="line">
          <a:avLst/>
        </a:prstGeom>
        <a:noFill/>
        <a:ln w="28575">
          <a:solidFill>
            <a:srgbClr val="0000FF"/>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18</xdr:col>
      <xdr:colOff>1039585</xdr:colOff>
      <xdr:row>9</xdr:row>
      <xdr:rowOff>172811</xdr:rowOff>
    </xdr:from>
    <xdr:to>
      <xdr:col>22</xdr:col>
      <xdr:colOff>532039</xdr:colOff>
      <xdr:row>19</xdr:row>
      <xdr:rowOff>54902</xdr:rowOff>
    </xdr:to>
    <xdr:sp macro="" textlink="">
      <xdr:nvSpPr>
        <xdr:cNvPr id="12" name="Rectangle 83">
          <a:extLst>
            <a:ext uri="{FF2B5EF4-FFF2-40B4-BE49-F238E27FC236}">
              <a16:creationId xmlns:a16="http://schemas.microsoft.com/office/drawing/2014/main" id="{00000000-0008-0000-0E00-00000C000000}"/>
            </a:ext>
          </a:extLst>
        </xdr:cNvPr>
        <xdr:cNvSpPr>
          <a:spLocks noChangeArrowheads="1"/>
        </xdr:cNvSpPr>
      </xdr:nvSpPr>
      <xdr:spPr bwMode="auto">
        <a:xfrm>
          <a:off x="16524514" y="2363561"/>
          <a:ext cx="4105275" cy="165102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defRPr sz="1000"/>
          </a:pPr>
          <a:r>
            <a:rPr lang="ja-JP" altLang="en-US" sz="1400" b="0" i="0" u="none" strike="noStrike" baseline="0">
              <a:solidFill>
                <a:srgbClr val="000000"/>
              </a:solidFill>
              <a:latin typeface="ＭＳ Ｐゴシック"/>
              <a:ea typeface="ＭＳ Ｐゴシック"/>
            </a:rPr>
            <a:t>◇作業手順②</a:t>
          </a:r>
        </a:p>
        <a:p>
          <a:pPr algn="l" rtl="0">
            <a:defRPr sz="1000"/>
          </a:pPr>
          <a:endParaRPr lang="ja-JP" altLang="en-US" sz="1400" b="0" i="0" u="none" strike="noStrike" baseline="0">
            <a:solidFill>
              <a:srgbClr val="000000"/>
            </a:solidFill>
            <a:latin typeface="ＭＳ Ｐゴシック"/>
            <a:ea typeface="ＭＳ Ｐゴシック"/>
          </a:endParaRPr>
        </a:p>
        <a:p>
          <a:pPr algn="l" rtl="0">
            <a:defRPr sz="1000"/>
          </a:pPr>
          <a:r>
            <a:rPr lang="ja-JP" altLang="en-US" sz="1400" b="0" i="0" u="none" strike="noStrike" baseline="0">
              <a:solidFill>
                <a:srgbClr val="000000"/>
              </a:solidFill>
              <a:latin typeface="ＭＳ Ｐゴシック"/>
              <a:ea typeface="ＭＳ Ｐゴシック"/>
            </a:rPr>
            <a:t>記載された不具合について、問題の現象や原因の１次分析を実施し、入力する。</a:t>
          </a:r>
        </a:p>
      </xdr:txBody>
    </xdr:sp>
    <xdr:clientData/>
  </xdr:twoCellAnchor>
  <xdr:twoCellAnchor>
    <xdr:from>
      <xdr:col>19</xdr:col>
      <xdr:colOff>523875</xdr:colOff>
      <xdr:row>8</xdr:row>
      <xdr:rowOff>206829</xdr:rowOff>
    </xdr:from>
    <xdr:to>
      <xdr:col>19</xdr:col>
      <xdr:colOff>552450</xdr:colOff>
      <xdr:row>11</xdr:row>
      <xdr:rowOff>0</xdr:rowOff>
    </xdr:to>
    <xdr:sp macro="" textlink="">
      <xdr:nvSpPr>
        <xdr:cNvPr id="13" name="Line 94">
          <a:extLst>
            <a:ext uri="{FF2B5EF4-FFF2-40B4-BE49-F238E27FC236}">
              <a16:creationId xmlns:a16="http://schemas.microsoft.com/office/drawing/2014/main" id="{00000000-0008-0000-0E00-00000D000000}"/>
            </a:ext>
          </a:extLst>
        </xdr:cNvPr>
        <xdr:cNvSpPr>
          <a:spLocks noChangeShapeType="1"/>
        </xdr:cNvSpPr>
      </xdr:nvSpPr>
      <xdr:spPr bwMode="auto">
        <a:xfrm flipH="1" flipV="1">
          <a:off x="17886589" y="1934936"/>
          <a:ext cx="28575" cy="6096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27</xdr:col>
      <xdr:colOff>318407</xdr:colOff>
      <xdr:row>9</xdr:row>
      <xdr:rowOff>172811</xdr:rowOff>
    </xdr:from>
    <xdr:to>
      <xdr:col>32</xdr:col>
      <xdr:colOff>726168</xdr:colOff>
      <xdr:row>19</xdr:row>
      <xdr:rowOff>51707</xdr:rowOff>
    </xdr:to>
    <xdr:sp macro="" textlink="">
      <xdr:nvSpPr>
        <xdr:cNvPr id="14" name="Rectangle 85">
          <a:extLst>
            <a:ext uri="{FF2B5EF4-FFF2-40B4-BE49-F238E27FC236}">
              <a16:creationId xmlns:a16="http://schemas.microsoft.com/office/drawing/2014/main" id="{00000000-0008-0000-0E00-00000E000000}"/>
            </a:ext>
          </a:extLst>
        </xdr:cNvPr>
        <xdr:cNvSpPr>
          <a:spLocks noChangeArrowheads="1"/>
        </xdr:cNvSpPr>
      </xdr:nvSpPr>
      <xdr:spPr bwMode="auto">
        <a:xfrm>
          <a:off x="26621014" y="2363561"/>
          <a:ext cx="6911975" cy="164782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◇作業手順③</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不具合についての２次分析を実施し、修正要否の確認依頼を実施し、入力する。</a:t>
          </a:r>
        </a:p>
      </xdr:txBody>
    </xdr:sp>
    <xdr:clientData/>
  </xdr:twoCellAnchor>
  <xdr:twoCellAnchor>
    <xdr:from>
      <xdr:col>32</xdr:col>
      <xdr:colOff>91168</xdr:colOff>
      <xdr:row>8</xdr:row>
      <xdr:rowOff>216354</xdr:rowOff>
    </xdr:from>
    <xdr:to>
      <xdr:col>32</xdr:col>
      <xdr:colOff>310243</xdr:colOff>
      <xdr:row>10</xdr:row>
      <xdr:rowOff>138793</xdr:rowOff>
    </xdr:to>
    <xdr:sp macro="" textlink="">
      <xdr:nvSpPr>
        <xdr:cNvPr id="15" name="Line 90">
          <a:extLst>
            <a:ext uri="{FF2B5EF4-FFF2-40B4-BE49-F238E27FC236}">
              <a16:creationId xmlns:a16="http://schemas.microsoft.com/office/drawing/2014/main" id="{00000000-0008-0000-0E00-00000F000000}"/>
            </a:ext>
          </a:extLst>
        </xdr:cNvPr>
        <xdr:cNvSpPr>
          <a:spLocks noChangeShapeType="1"/>
        </xdr:cNvSpPr>
      </xdr:nvSpPr>
      <xdr:spPr bwMode="auto">
        <a:xfrm flipV="1">
          <a:off x="32897989" y="1944461"/>
          <a:ext cx="219075" cy="561975"/>
        </a:xfrm>
        <a:prstGeom prst="line">
          <a:avLst/>
        </a:prstGeom>
        <a:noFill/>
        <a:ln w="28575">
          <a:solidFill>
            <a:srgbClr val="FF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32</xdr:col>
      <xdr:colOff>1021443</xdr:colOff>
      <xdr:row>10</xdr:row>
      <xdr:rowOff>5443</xdr:rowOff>
    </xdr:from>
    <xdr:to>
      <xdr:col>35</xdr:col>
      <xdr:colOff>410936</xdr:colOff>
      <xdr:row>19</xdr:row>
      <xdr:rowOff>61232</xdr:rowOff>
    </xdr:to>
    <xdr:sp macro="" textlink="">
      <xdr:nvSpPr>
        <xdr:cNvPr id="16" name="Rectangle 86">
          <a:extLst>
            <a:ext uri="{FF2B5EF4-FFF2-40B4-BE49-F238E27FC236}">
              <a16:creationId xmlns:a16="http://schemas.microsoft.com/office/drawing/2014/main" id="{00000000-0008-0000-0E00-000010000000}"/>
            </a:ext>
          </a:extLst>
        </xdr:cNvPr>
        <xdr:cNvSpPr>
          <a:spLocks noChangeArrowheads="1"/>
        </xdr:cNvSpPr>
      </xdr:nvSpPr>
      <xdr:spPr bwMode="auto">
        <a:xfrm>
          <a:off x="33828264" y="2373086"/>
          <a:ext cx="3090636" cy="164782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◇作業手順④</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不具合に対する修正作業を実施する場合、修正作業を実施し、入力する。</a:t>
          </a:r>
        </a:p>
      </xdr:txBody>
    </xdr:sp>
    <xdr:clientData/>
  </xdr:twoCellAnchor>
  <xdr:twoCellAnchor>
    <xdr:from>
      <xdr:col>34</xdr:col>
      <xdr:colOff>451757</xdr:colOff>
      <xdr:row>8</xdr:row>
      <xdr:rowOff>121104</xdr:rowOff>
    </xdr:from>
    <xdr:to>
      <xdr:col>34</xdr:col>
      <xdr:colOff>556532</xdr:colOff>
      <xdr:row>11</xdr:row>
      <xdr:rowOff>28575</xdr:rowOff>
    </xdr:to>
    <xdr:sp macro="" textlink="">
      <xdr:nvSpPr>
        <xdr:cNvPr id="17" name="Line 92">
          <a:extLst>
            <a:ext uri="{FF2B5EF4-FFF2-40B4-BE49-F238E27FC236}">
              <a16:creationId xmlns:a16="http://schemas.microsoft.com/office/drawing/2014/main" id="{00000000-0008-0000-0E00-000011000000}"/>
            </a:ext>
          </a:extLst>
        </xdr:cNvPr>
        <xdr:cNvSpPr>
          <a:spLocks noChangeShapeType="1"/>
        </xdr:cNvSpPr>
      </xdr:nvSpPr>
      <xdr:spPr bwMode="auto">
        <a:xfrm flipV="1">
          <a:off x="35803114" y="1849211"/>
          <a:ext cx="104775" cy="723900"/>
        </a:xfrm>
        <a:prstGeom prst="line">
          <a:avLst/>
        </a:prstGeom>
        <a:noFill/>
        <a:ln w="28575">
          <a:solidFill>
            <a:srgbClr val="FF99CC"/>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33</xdr:col>
      <xdr:colOff>856343</xdr:colOff>
      <xdr:row>21</xdr:row>
      <xdr:rowOff>151947</xdr:rowOff>
    </xdr:from>
    <xdr:to>
      <xdr:col>38</xdr:col>
      <xdr:colOff>279594</xdr:colOff>
      <xdr:row>31</xdr:row>
      <xdr:rowOff>34038</xdr:rowOff>
    </xdr:to>
    <xdr:sp macro="" textlink="">
      <xdr:nvSpPr>
        <xdr:cNvPr id="18" name="Rectangle 84">
          <a:extLst>
            <a:ext uri="{FF2B5EF4-FFF2-40B4-BE49-F238E27FC236}">
              <a16:creationId xmlns:a16="http://schemas.microsoft.com/office/drawing/2014/main" id="{00000000-0008-0000-0E00-000012000000}"/>
            </a:ext>
          </a:extLst>
        </xdr:cNvPr>
        <xdr:cNvSpPr>
          <a:spLocks noChangeArrowheads="1"/>
        </xdr:cNvSpPr>
      </xdr:nvSpPr>
      <xdr:spPr bwMode="auto">
        <a:xfrm>
          <a:off x="34996664" y="4465411"/>
          <a:ext cx="4253787" cy="165102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◇作業手順⑤</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テスト実施者が再テストを実施して修正内容が正しいことを確認し、修正結果をシステムに反映した際に入力する。</a:t>
          </a:r>
        </a:p>
      </xdr:txBody>
    </xdr:sp>
    <xdr:clientData/>
  </xdr:twoCellAnchor>
  <xdr:twoCellAnchor>
    <xdr:from>
      <xdr:col>36</xdr:col>
      <xdr:colOff>176893</xdr:colOff>
      <xdr:row>8</xdr:row>
      <xdr:rowOff>197304</xdr:rowOff>
    </xdr:from>
    <xdr:to>
      <xdr:col>36</xdr:col>
      <xdr:colOff>205468</xdr:colOff>
      <xdr:row>22</xdr:row>
      <xdr:rowOff>149679</xdr:rowOff>
    </xdr:to>
    <xdr:sp macro="" textlink="">
      <xdr:nvSpPr>
        <xdr:cNvPr id="19" name="Line 91">
          <a:extLst>
            <a:ext uri="{FF2B5EF4-FFF2-40B4-BE49-F238E27FC236}">
              <a16:creationId xmlns:a16="http://schemas.microsoft.com/office/drawing/2014/main" id="{00000000-0008-0000-0E00-000013000000}"/>
            </a:ext>
          </a:extLst>
        </xdr:cNvPr>
        <xdr:cNvSpPr>
          <a:spLocks noChangeShapeType="1"/>
        </xdr:cNvSpPr>
      </xdr:nvSpPr>
      <xdr:spPr bwMode="auto">
        <a:xfrm flipH="1" flipV="1">
          <a:off x="37555714" y="1925411"/>
          <a:ext cx="28575" cy="2714625"/>
        </a:xfrm>
        <a:prstGeom prst="line">
          <a:avLst/>
        </a:prstGeom>
        <a:noFill/>
        <a:ln w="28575">
          <a:solidFill>
            <a:srgbClr val="80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24</xdr:col>
      <xdr:colOff>903514</xdr:colOff>
      <xdr:row>29</xdr:row>
      <xdr:rowOff>32204</xdr:rowOff>
    </xdr:from>
    <xdr:to>
      <xdr:col>27</xdr:col>
      <xdr:colOff>150132</xdr:colOff>
      <xdr:row>34</xdr:row>
      <xdr:rowOff>81190</xdr:rowOff>
    </xdr:to>
    <xdr:sp macro="" textlink="">
      <xdr:nvSpPr>
        <xdr:cNvPr id="20" name="AutoShape 88">
          <a:extLst>
            <a:ext uri="{FF2B5EF4-FFF2-40B4-BE49-F238E27FC236}">
              <a16:creationId xmlns:a16="http://schemas.microsoft.com/office/drawing/2014/main" id="{00000000-0008-0000-0E00-000014000000}"/>
            </a:ext>
          </a:extLst>
        </xdr:cNvPr>
        <xdr:cNvSpPr>
          <a:spLocks noChangeAspect="1" noChangeArrowheads="1"/>
        </xdr:cNvSpPr>
      </xdr:nvSpPr>
      <xdr:spPr bwMode="auto">
        <a:xfrm>
          <a:off x="23382514" y="5760811"/>
          <a:ext cx="3070225" cy="9334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714781" name="Line 2">
          <a:extLst>
            <a:ext uri="{FF2B5EF4-FFF2-40B4-BE49-F238E27FC236}">
              <a16:creationId xmlns:a16="http://schemas.microsoft.com/office/drawing/2014/main" id="{00000000-0008-0000-0F00-00001D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0</xdr:colOff>
      <xdr:row>0</xdr:row>
      <xdr:rowOff>0</xdr:rowOff>
    </xdr:to>
    <xdr:sp macro="" textlink="">
      <xdr:nvSpPr>
        <xdr:cNvPr id="714782" name="Line 2">
          <a:extLst>
            <a:ext uri="{FF2B5EF4-FFF2-40B4-BE49-F238E27FC236}">
              <a16:creationId xmlns:a16="http://schemas.microsoft.com/office/drawing/2014/main" id="{00000000-0008-0000-0F00-00001E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24</xdr:row>
      <xdr:rowOff>0</xdr:rowOff>
    </xdr:from>
    <xdr:to>
      <xdr:col>17</xdr:col>
      <xdr:colOff>314325</xdr:colOff>
      <xdr:row>43</xdr:row>
      <xdr:rowOff>0</xdr:rowOff>
    </xdr:to>
    <xdr:graphicFrame macro="">
      <xdr:nvGraphicFramePr>
        <xdr:cNvPr id="714783" name="Chart 6">
          <a:extLst>
            <a:ext uri="{FF2B5EF4-FFF2-40B4-BE49-F238E27FC236}">
              <a16:creationId xmlns:a16="http://schemas.microsoft.com/office/drawing/2014/main" id="{00000000-0008-0000-0F00-00001FE80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114300</xdr:colOff>
      <xdr:row>24</xdr:row>
      <xdr:rowOff>0</xdr:rowOff>
    </xdr:from>
    <xdr:to>
      <xdr:col>35</xdr:col>
      <xdr:colOff>323850</xdr:colOff>
      <xdr:row>43</xdr:row>
      <xdr:rowOff>0</xdr:rowOff>
    </xdr:to>
    <xdr:graphicFrame macro="">
      <xdr:nvGraphicFramePr>
        <xdr:cNvPr id="714784" name="Chart 7">
          <a:extLst>
            <a:ext uri="{FF2B5EF4-FFF2-40B4-BE49-F238E27FC236}">
              <a16:creationId xmlns:a16="http://schemas.microsoft.com/office/drawing/2014/main" id="{00000000-0008-0000-0F00-000020E80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0</xdr:col>
      <xdr:colOff>0</xdr:colOff>
      <xdr:row>0</xdr:row>
      <xdr:rowOff>0</xdr:rowOff>
    </xdr:to>
    <xdr:sp macro="" textlink="">
      <xdr:nvSpPr>
        <xdr:cNvPr id="714785" name="Line 2">
          <a:extLst>
            <a:ext uri="{FF2B5EF4-FFF2-40B4-BE49-F238E27FC236}">
              <a16:creationId xmlns:a16="http://schemas.microsoft.com/office/drawing/2014/main" id="{00000000-0008-0000-0F00-000021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0</xdr:colOff>
      <xdr:row>0</xdr:row>
      <xdr:rowOff>0</xdr:rowOff>
    </xdr:to>
    <xdr:sp macro="" textlink="">
      <xdr:nvSpPr>
        <xdr:cNvPr id="714786" name="Line 2">
          <a:extLst>
            <a:ext uri="{FF2B5EF4-FFF2-40B4-BE49-F238E27FC236}">
              <a16:creationId xmlns:a16="http://schemas.microsoft.com/office/drawing/2014/main" id="{00000000-0008-0000-0F00-000022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220701</xdr:colOff>
      <xdr:row>0</xdr:row>
      <xdr:rowOff>0</xdr:rowOff>
    </xdr:from>
    <xdr:to>
      <xdr:col>34</xdr:col>
      <xdr:colOff>320674</xdr:colOff>
      <xdr:row>6</xdr:row>
      <xdr:rowOff>84563</xdr:rowOff>
    </xdr:to>
    <xdr:sp macro="" textlink="">
      <xdr:nvSpPr>
        <xdr:cNvPr id="8" name="テキスト ボックス 7">
          <a:extLst>
            <a:ext uri="{FF2B5EF4-FFF2-40B4-BE49-F238E27FC236}">
              <a16:creationId xmlns:a16="http://schemas.microsoft.com/office/drawing/2014/main" id="{00000000-0008-0000-0F00-000008000000}"/>
            </a:ext>
          </a:extLst>
        </xdr:cNvPr>
        <xdr:cNvSpPr txBox="1"/>
      </xdr:nvSpPr>
      <xdr:spPr>
        <a:xfrm>
          <a:off x="10364826" y="0"/>
          <a:ext cx="2700298" cy="998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400" b="1" i="0">
              <a:solidFill>
                <a:srgbClr val="FF0000"/>
              </a:solidFill>
            </a:rPr>
            <a:t>Sample</a:t>
          </a:r>
          <a:endParaRPr kumimoji="1" lang="ja-JP" altLang="en-US" sz="4400" b="1" i="0">
            <a:solidFill>
              <a:srgbClr val="FF0000"/>
            </a:solidFill>
          </a:endParaRPr>
        </a:p>
      </xdr:txBody>
    </xdr:sp>
    <xdr:clientData/>
  </xdr:twoCellAnchor>
  <xdr:twoCellAnchor>
    <xdr:from>
      <xdr:col>0</xdr:col>
      <xdr:colOff>0</xdr:colOff>
      <xdr:row>12</xdr:row>
      <xdr:rowOff>171450</xdr:rowOff>
    </xdr:from>
    <xdr:to>
      <xdr:col>18</xdr:col>
      <xdr:colOff>333375</xdr:colOff>
      <xdr:row>21</xdr:row>
      <xdr:rowOff>171450</xdr:rowOff>
    </xdr:to>
    <xdr:sp macro="" textlink="">
      <xdr:nvSpPr>
        <xdr:cNvPr id="714788" name="Rectangle 44">
          <a:extLst>
            <a:ext uri="{FF2B5EF4-FFF2-40B4-BE49-F238E27FC236}">
              <a16:creationId xmlns:a16="http://schemas.microsoft.com/office/drawing/2014/main" id="{00000000-0008-0000-0F00-000024E80A00}"/>
            </a:ext>
          </a:extLst>
        </xdr:cNvPr>
        <xdr:cNvSpPr>
          <a:spLocks noChangeArrowheads="1"/>
        </xdr:cNvSpPr>
      </xdr:nvSpPr>
      <xdr:spPr bwMode="auto">
        <a:xfrm>
          <a:off x="0" y="2076450"/>
          <a:ext cx="7134225" cy="171450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38100</xdr:colOff>
      <xdr:row>10</xdr:row>
      <xdr:rowOff>9525</xdr:rowOff>
    </xdr:from>
    <xdr:to>
      <xdr:col>35</xdr:col>
      <xdr:colOff>352425</xdr:colOff>
      <xdr:row>22</xdr:row>
      <xdr:rowOff>9525</xdr:rowOff>
    </xdr:to>
    <xdr:sp macro="" textlink="">
      <xdr:nvSpPr>
        <xdr:cNvPr id="714789" name="Rectangle 44">
          <a:extLst>
            <a:ext uri="{FF2B5EF4-FFF2-40B4-BE49-F238E27FC236}">
              <a16:creationId xmlns:a16="http://schemas.microsoft.com/office/drawing/2014/main" id="{00000000-0008-0000-0F00-000025E80A00}"/>
            </a:ext>
          </a:extLst>
        </xdr:cNvPr>
        <xdr:cNvSpPr>
          <a:spLocks noChangeArrowheads="1"/>
        </xdr:cNvSpPr>
      </xdr:nvSpPr>
      <xdr:spPr bwMode="auto">
        <a:xfrm>
          <a:off x="7581900" y="1533525"/>
          <a:ext cx="5886450" cy="228600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209086</xdr:colOff>
      <xdr:row>17</xdr:row>
      <xdr:rowOff>151006</xdr:rowOff>
    </xdr:from>
    <xdr:to>
      <xdr:col>35</xdr:col>
      <xdr:colOff>348477</xdr:colOff>
      <xdr:row>24</xdr:row>
      <xdr:rowOff>89676</xdr:rowOff>
    </xdr:to>
    <xdr:sp macro="" textlink="">
      <xdr:nvSpPr>
        <xdr:cNvPr id="11" name="Rectangle 48">
          <a:extLst>
            <a:ext uri="{FF2B5EF4-FFF2-40B4-BE49-F238E27FC236}">
              <a16:creationId xmlns:a16="http://schemas.microsoft.com/office/drawing/2014/main" id="{00000000-0008-0000-0F00-00000B000000}"/>
            </a:ext>
          </a:extLst>
        </xdr:cNvPr>
        <xdr:cNvSpPr>
          <a:spLocks noChangeArrowheads="1"/>
        </xdr:cNvSpPr>
      </xdr:nvSpPr>
      <xdr:spPr bwMode="auto">
        <a:xfrm>
          <a:off x="9981736" y="3008506"/>
          <a:ext cx="3482666" cy="1272170"/>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2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300"/>
            </a:lnSpc>
            <a:spcBef>
              <a:spcPts val="0"/>
            </a:spcBef>
            <a:spcAft>
              <a:spcPts val="600"/>
            </a:spcAft>
            <a:buClrTx/>
            <a:buSzTx/>
            <a:buFontTx/>
            <a:buNone/>
            <a:tabLst/>
            <a:defRPr sz="1000"/>
          </a:pPr>
          <a:r>
            <a:rPr lang="ja-JP" altLang="en-US" sz="1400" b="0" i="0" baseline="0">
              <a:effectLst/>
              <a:latin typeface="+mn-lt"/>
              <a:ea typeface="+mn-ea"/>
              <a:cs typeface="+mn-cs"/>
            </a:rPr>
            <a:t>・基準値と実績値に乖離がある場合、判定と乖離理由を簡潔に記入</a:t>
          </a:r>
          <a:endParaRPr lang="en-US" altLang="ja-JP" sz="1400" b="0" i="0" baseline="0">
            <a:effectLst/>
            <a:latin typeface="+mn-lt"/>
            <a:ea typeface="+mn-ea"/>
            <a:cs typeface="+mn-cs"/>
          </a:endParaRPr>
        </a:p>
      </xdr:txBody>
    </xdr:sp>
    <xdr:clientData/>
  </xdr:twoCellAnchor>
  <xdr:twoCellAnchor>
    <xdr:from>
      <xdr:col>0</xdr:col>
      <xdr:colOff>0</xdr:colOff>
      <xdr:row>44</xdr:row>
      <xdr:rowOff>0</xdr:rowOff>
    </xdr:from>
    <xdr:to>
      <xdr:col>36</xdr:col>
      <xdr:colOff>0</xdr:colOff>
      <xdr:row>53</xdr:row>
      <xdr:rowOff>171450</xdr:rowOff>
    </xdr:to>
    <xdr:sp macro="" textlink="">
      <xdr:nvSpPr>
        <xdr:cNvPr id="714791" name="Rectangle 44">
          <a:extLst>
            <a:ext uri="{FF2B5EF4-FFF2-40B4-BE49-F238E27FC236}">
              <a16:creationId xmlns:a16="http://schemas.microsoft.com/office/drawing/2014/main" id="{00000000-0008-0000-0F00-000027E80A00}"/>
            </a:ext>
          </a:extLst>
        </xdr:cNvPr>
        <xdr:cNvSpPr>
          <a:spLocks noChangeArrowheads="1"/>
        </xdr:cNvSpPr>
      </xdr:nvSpPr>
      <xdr:spPr bwMode="auto">
        <a:xfrm>
          <a:off x="0" y="8001000"/>
          <a:ext cx="13487400" cy="188595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xdr:col>
      <xdr:colOff>76924</xdr:colOff>
      <xdr:row>37</xdr:row>
      <xdr:rowOff>9295</xdr:rowOff>
    </xdr:from>
    <xdr:to>
      <xdr:col>23</xdr:col>
      <xdr:colOff>131906</xdr:colOff>
      <xdr:row>40</xdr:row>
      <xdr:rowOff>188179</xdr:rowOff>
    </xdr:to>
    <xdr:sp macro="" textlink="">
      <xdr:nvSpPr>
        <xdr:cNvPr id="13" name="Rectangle 48">
          <a:extLst>
            <a:ext uri="{FF2B5EF4-FFF2-40B4-BE49-F238E27FC236}">
              <a16:creationId xmlns:a16="http://schemas.microsoft.com/office/drawing/2014/main" id="{00000000-0008-0000-0F00-00000D000000}"/>
            </a:ext>
          </a:extLst>
        </xdr:cNvPr>
        <xdr:cNvSpPr>
          <a:spLocks noChangeArrowheads="1"/>
        </xdr:cNvSpPr>
      </xdr:nvSpPr>
      <xdr:spPr bwMode="auto">
        <a:xfrm>
          <a:off x="4191724" y="6676795"/>
          <a:ext cx="4598407" cy="750384"/>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2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000"/>
            </a:lnSpc>
            <a:spcBef>
              <a:spcPts val="0"/>
            </a:spcBef>
            <a:spcAft>
              <a:spcPts val="0"/>
            </a:spcAft>
            <a:buClrTx/>
            <a:buSzTx/>
            <a:buFontTx/>
            <a:buNone/>
            <a:tabLst/>
            <a:defRPr sz="1000"/>
          </a:pPr>
          <a:r>
            <a:rPr lang="ja-JP" altLang="en-US" sz="1400" b="0" i="0" baseline="0">
              <a:effectLst/>
              <a:latin typeface="+mn-lt"/>
              <a:ea typeface="+mn-ea"/>
              <a:cs typeface="+mn-cs"/>
            </a:rPr>
            <a:t>・必要に応じて、グラフの範囲を変更し当様式を活用</a:t>
          </a:r>
          <a:endParaRPr lang="en-US" altLang="ja-JP" sz="1400" b="0" i="0" baseline="0">
            <a:effectLst/>
            <a:latin typeface="+mn-lt"/>
            <a:ea typeface="+mn-ea"/>
            <a:cs typeface="+mn-cs"/>
          </a:endParaRPr>
        </a:p>
      </xdr:txBody>
    </xdr:sp>
    <xdr:clientData/>
  </xdr:twoCellAnchor>
  <xdr:twoCellAnchor>
    <xdr:from>
      <xdr:col>6</xdr:col>
      <xdr:colOff>314325</xdr:colOff>
      <xdr:row>40</xdr:row>
      <xdr:rowOff>142875</xdr:rowOff>
    </xdr:from>
    <xdr:to>
      <xdr:col>8</xdr:col>
      <xdr:colOff>238125</xdr:colOff>
      <xdr:row>44</xdr:row>
      <xdr:rowOff>133350</xdr:rowOff>
    </xdr:to>
    <xdr:sp macro="" textlink="">
      <xdr:nvSpPr>
        <xdr:cNvPr id="714793" name="Line 52">
          <a:extLst>
            <a:ext uri="{FF2B5EF4-FFF2-40B4-BE49-F238E27FC236}">
              <a16:creationId xmlns:a16="http://schemas.microsoft.com/office/drawing/2014/main" id="{00000000-0008-0000-0F00-000029E80A00}"/>
            </a:ext>
          </a:extLst>
        </xdr:cNvPr>
        <xdr:cNvSpPr>
          <a:spLocks noChangeShapeType="1"/>
        </xdr:cNvSpPr>
      </xdr:nvSpPr>
      <xdr:spPr bwMode="auto">
        <a:xfrm flipV="1">
          <a:off x="2543175" y="7381875"/>
          <a:ext cx="666750" cy="752475"/>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19</xdr:col>
      <xdr:colOff>42333</xdr:colOff>
      <xdr:row>42</xdr:row>
      <xdr:rowOff>158750</xdr:rowOff>
    </xdr:from>
    <xdr:to>
      <xdr:col>35</xdr:col>
      <xdr:colOff>305366</xdr:colOff>
      <xdr:row>53</xdr:row>
      <xdr:rowOff>158750</xdr:rowOff>
    </xdr:to>
    <xdr:sp macro="" textlink="">
      <xdr:nvSpPr>
        <xdr:cNvPr id="15" name="Rectangle 48">
          <a:extLst>
            <a:ext uri="{FF2B5EF4-FFF2-40B4-BE49-F238E27FC236}">
              <a16:creationId xmlns:a16="http://schemas.microsoft.com/office/drawing/2014/main" id="{00000000-0008-0000-0F00-00000F000000}"/>
            </a:ext>
          </a:extLst>
        </xdr:cNvPr>
        <xdr:cNvSpPr>
          <a:spLocks noChangeArrowheads="1"/>
        </xdr:cNvSpPr>
      </xdr:nvSpPr>
      <xdr:spPr bwMode="auto">
        <a:xfrm>
          <a:off x="7214658" y="7778750"/>
          <a:ext cx="6206633" cy="2095500"/>
        </a:xfrm>
        <a:prstGeom prst="rect">
          <a:avLst/>
        </a:prstGeom>
        <a:solidFill>
          <a:srgbClr val="FFFF99"/>
        </a:solidFill>
        <a:ln w="9525">
          <a:solidFill>
            <a:srgbClr val="000000"/>
          </a:solidFill>
          <a:miter lim="800000"/>
          <a:headEnd/>
          <a:tailEnd/>
        </a:ln>
      </xdr:spPr>
      <xdr:txBody>
        <a:bodyPr vertOverflow="clip" wrap="square" lIns="72000" tIns="72000" rIns="72000" bIns="46800" anchor="t" upright="1"/>
        <a:lstStyle/>
        <a:p>
          <a:pPr algn="l" rtl="0">
            <a:lnSpc>
              <a:spcPts val="15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運用時のポイント</a:t>
          </a:r>
          <a:r>
            <a:rPr lang="en-US" altLang="ja-JP" sz="1400" b="0" i="0" u="sng" strike="noStrike" baseline="0">
              <a:solidFill>
                <a:srgbClr val="000000"/>
              </a:solidFill>
              <a:latin typeface="ＭＳ Ｐゴシック"/>
              <a:ea typeface="ＭＳ Ｐゴシック"/>
            </a:rPr>
            <a:t>】</a:t>
          </a:r>
        </a:p>
        <a:p>
          <a:pPr lvl="0">
            <a:lnSpc>
              <a:spcPts val="1600"/>
            </a:lnSpc>
          </a:pPr>
          <a:r>
            <a:rPr lang="ja-JP" altLang="en-US" sz="1400">
              <a:effectLst/>
              <a:latin typeface="+mn-lt"/>
              <a:ea typeface="+mn-ea"/>
              <a:cs typeface="+mn-cs"/>
            </a:rPr>
            <a:t>・工程完了チェック時に初めて品質基準を満たさないことが判明するという事態にならないよう、レビュー状況管理表、テスト状況管理表等を用いて、工程途中でも品質状況を把握</a:t>
          </a:r>
          <a:endParaRPr lang="en-US" altLang="ja-JP" sz="1400">
            <a:effectLst/>
            <a:latin typeface="+mn-lt"/>
            <a:ea typeface="+mn-ea"/>
            <a:cs typeface="+mn-cs"/>
          </a:endParaRPr>
        </a:p>
        <a:p>
          <a:pPr marL="0" marR="0" lvl="0" indent="0" defTabSz="914400" eaLnBrk="1" fontAlgn="auto" latinLnBrk="0" hangingPunct="1">
            <a:lnSpc>
              <a:spcPts val="1700"/>
            </a:lnSpc>
            <a:spcBef>
              <a:spcPts val="0"/>
            </a:spcBef>
            <a:spcAft>
              <a:spcPts val="0"/>
            </a:spcAft>
            <a:buClrTx/>
            <a:buSzTx/>
            <a:buFontTx/>
            <a:buNone/>
            <a:tabLst/>
            <a:defRPr/>
          </a:pPr>
          <a:endParaRPr lang="en-US" altLang="ja-JP" sz="1400">
            <a:effectLst/>
            <a:latin typeface="+mn-lt"/>
            <a:ea typeface="+mn-ea"/>
            <a:cs typeface="+mn-cs"/>
          </a:endParaRPr>
        </a:p>
        <a:p>
          <a:pPr marL="0" marR="0" lvl="0" indent="0" defTabSz="914400" eaLnBrk="1" fontAlgn="auto" latinLnBrk="0" hangingPunct="1">
            <a:lnSpc>
              <a:spcPts val="1400"/>
            </a:lnSpc>
            <a:spcBef>
              <a:spcPts val="0"/>
            </a:spcBef>
            <a:spcAft>
              <a:spcPts val="0"/>
            </a:spcAft>
            <a:buClrTx/>
            <a:buSzTx/>
            <a:buFontTx/>
            <a:buNone/>
            <a:tabLst/>
            <a:defRPr/>
          </a:pPr>
          <a:r>
            <a:rPr lang="en-US" altLang="ja-JP" sz="1400">
              <a:effectLst/>
              <a:latin typeface="+mn-lt"/>
              <a:ea typeface="+mn-ea"/>
              <a:cs typeface="+mn-cs"/>
            </a:rPr>
            <a:t>※</a:t>
          </a:r>
          <a:r>
            <a:rPr lang="ja-JP" altLang="ja-JP" sz="1400">
              <a:effectLst/>
              <a:latin typeface="+mn-lt"/>
              <a:ea typeface="+mn-ea"/>
              <a:cs typeface="+mn-cs"/>
            </a:rPr>
            <a:t>品質の作りこみは</a:t>
          </a:r>
          <a:r>
            <a:rPr lang="ja-JP" altLang="en-US" sz="1400">
              <a:effectLst/>
              <a:latin typeface="+mn-lt"/>
              <a:ea typeface="+mn-ea"/>
              <a:cs typeface="+mn-cs"/>
            </a:rPr>
            <a:t>テスト工程ではなく、上流工程（</a:t>
          </a:r>
          <a:r>
            <a:rPr lang="ja-JP" altLang="ja-JP" sz="1400">
              <a:effectLst/>
              <a:latin typeface="+mn-lt"/>
              <a:ea typeface="+mn-ea"/>
              <a:cs typeface="+mn-cs"/>
            </a:rPr>
            <a:t>要件定義および設計</a:t>
          </a:r>
          <a:r>
            <a:rPr lang="ja-JP" altLang="en-US" sz="1400">
              <a:effectLst/>
              <a:latin typeface="+mn-lt"/>
              <a:ea typeface="+mn-ea"/>
              <a:cs typeface="+mn-cs"/>
            </a:rPr>
            <a:t>）</a:t>
          </a:r>
          <a:r>
            <a:rPr lang="ja-JP" altLang="ja-JP" sz="1400">
              <a:effectLst/>
              <a:latin typeface="+mn-lt"/>
              <a:ea typeface="+mn-ea"/>
              <a:cs typeface="+mn-cs"/>
            </a:rPr>
            <a:t>で行うことを認識し、</a:t>
          </a:r>
          <a:r>
            <a:rPr lang="ja-JP" altLang="en-US" sz="1400">
              <a:effectLst/>
              <a:latin typeface="+mn-lt"/>
              <a:ea typeface="+mn-ea"/>
              <a:cs typeface="+mn-cs"/>
            </a:rPr>
            <a:t>成果物が一定の品質を満たしているか測定するために、品質管理指標と基準値を設定し、</a:t>
          </a:r>
          <a:r>
            <a:rPr lang="en-US" altLang="ja-JP" sz="1400">
              <a:effectLst/>
              <a:latin typeface="+mn-lt"/>
              <a:ea typeface="+mn-ea"/>
              <a:cs typeface="+mn-cs"/>
            </a:rPr>
            <a:t>『</a:t>
          </a:r>
          <a:r>
            <a:rPr lang="ja-JP" altLang="en-US" sz="1400">
              <a:effectLst/>
              <a:latin typeface="+mn-lt"/>
              <a:ea typeface="+mn-ea"/>
              <a:cs typeface="+mn-cs"/>
            </a:rPr>
            <a:t>品質基準管理表</a:t>
          </a:r>
          <a:r>
            <a:rPr lang="en-US" altLang="ja-JP" sz="1400">
              <a:effectLst/>
              <a:latin typeface="+mn-lt"/>
              <a:ea typeface="+mn-ea"/>
              <a:cs typeface="+mn-cs"/>
            </a:rPr>
            <a:t>』</a:t>
          </a:r>
          <a:r>
            <a:rPr lang="ja-JP" altLang="en-US" sz="1400">
              <a:effectLst/>
              <a:latin typeface="+mn-lt"/>
              <a:ea typeface="+mn-ea"/>
              <a:cs typeface="+mn-cs"/>
            </a:rPr>
            <a:t>に定める</a:t>
          </a:r>
        </a:p>
      </xdr:txBody>
    </xdr:sp>
    <xdr:clientData/>
  </xdr:twoCellAnchor>
  <xdr:twoCellAnchor>
    <xdr:from>
      <xdr:col>10</xdr:col>
      <xdr:colOff>232317</xdr:colOff>
      <xdr:row>3</xdr:row>
      <xdr:rowOff>92928</xdr:rowOff>
    </xdr:from>
    <xdr:to>
      <xdr:col>21</xdr:col>
      <xdr:colOff>220702</xdr:colOff>
      <xdr:row>12</xdr:row>
      <xdr:rowOff>112908</xdr:rowOff>
    </xdr:to>
    <xdr:sp macro="" textlink="">
      <xdr:nvSpPr>
        <xdr:cNvPr id="16" name="Rectangle 48">
          <a:extLst>
            <a:ext uri="{FF2B5EF4-FFF2-40B4-BE49-F238E27FC236}">
              <a16:creationId xmlns:a16="http://schemas.microsoft.com/office/drawing/2014/main" id="{00000000-0008-0000-0F00-000010000000}"/>
            </a:ext>
          </a:extLst>
        </xdr:cNvPr>
        <xdr:cNvSpPr>
          <a:spLocks noChangeArrowheads="1"/>
        </xdr:cNvSpPr>
      </xdr:nvSpPr>
      <xdr:spPr bwMode="auto">
        <a:xfrm>
          <a:off x="3947067" y="550128"/>
          <a:ext cx="4188910" cy="1467780"/>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0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600"/>
            </a:lnSpc>
            <a:spcBef>
              <a:spcPts val="0"/>
            </a:spcBef>
            <a:spcAft>
              <a:spcPts val="600"/>
            </a:spcAft>
            <a:buClrTx/>
            <a:buSzTx/>
            <a:buFontTx/>
            <a:buNone/>
            <a:tabLst/>
            <a:defRPr sz="1000"/>
          </a:pPr>
          <a:r>
            <a:rPr lang="ja-JP" altLang="en-US" sz="1400" b="0" i="0" baseline="0">
              <a:effectLst/>
              <a:latin typeface="+mn-lt"/>
              <a:ea typeface="+mn-ea"/>
              <a:cs typeface="+mn-cs"/>
            </a:rPr>
            <a:t>・工程ごとのテストで使用する管理指標とその基準値、実績値を記入</a:t>
          </a:r>
          <a:endParaRPr lang="en-US" altLang="ja-JP" sz="1400" b="0" i="0" baseline="0">
            <a:effectLst/>
            <a:latin typeface="+mn-lt"/>
            <a:ea typeface="+mn-ea"/>
            <a:cs typeface="+mn-cs"/>
          </a:endParaRPr>
        </a:p>
        <a:p>
          <a:pPr marL="0" marR="0" indent="0" algn="l" defTabSz="914400" rtl="0" eaLnBrk="1" fontAlgn="auto" latinLnBrk="0" hangingPunct="1">
            <a:lnSpc>
              <a:spcPts val="1100"/>
            </a:lnSpc>
            <a:spcBef>
              <a:spcPts val="0"/>
            </a:spcBef>
            <a:spcAft>
              <a:spcPts val="0"/>
            </a:spcAft>
            <a:buClrTx/>
            <a:buSzTx/>
            <a:buFontTx/>
            <a:buNone/>
            <a:tabLst/>
            <a:defRPr sz="1000"/>
          </a:pPr>
          <a:r>
            <a:rPr lang="ja-JP" altLang="en-US" sz="1400" b="0" i="0" baseline="0">
              <a:effectLst/>
              <a:latin typeface="+mn-lt"/>
              <a:ea typeface="+mn-ea"/>
              <a:cs typeface="+mn-cs"/>
            </a:rPr>
            <a:t>・システムテストと無影響確認テストを分けて管理</a:t>
          </a:r>
          <a:endParaRPr lang="en-US" altLang="ja-JP" sz="1400" b="0" i="0" baseline="0">
            <a:effectLst/>
            <a:latin typeface="+mn-lt"/>
            <a:ea typeface="+mn-ea"/>
            <a:cs typeface="+mn-cs"/>
          </a:endParaRPr>
        </a:p>
      </xdr:txBody>
    </xdr:sp>
    <xdr:clientData/>
  </xdr:twoCellAnchor>
  <xdr:twoCellAnchor>
    <xdr:from>
      <xdr:col>9</xdr:col>
      <xdr:colOff>190500</xdr:colOff>
      <xdr:row>11</xdr:row>
      <xdr:rowOff>9525</xdr:rowOff>
    </xdr:from>
    <xdr:to>
      <xdr:col>10</xdr:col>
      <xdr:colOff>219075</xdr:colOff>
      <xdr:row>12</xdr:row>
      <xdr:rowOff>171450</xdr:rowOff>
    </xdr:to>
    <xdr:sp macro="" textlink="">
      <xdr:nvSpPr>
        <xdr:cNvPr id="714796" name="Line 52">
          <a:extLst>
            <a:ext uri="{FF2B5EF4-FFF2-40B4-BE49-F238E27FC236}">
              <a16:creationId xmlns:a16="http://schemas.microsoft.com/office/drawing/2014/main" id="{00000000-0008-0000-0F00-00002CE80A00}"/>
            </a:ext>
          </a:extLst>
        </xdr:cNvPr>
        <xdr:cNvSpPr>
          <a:spLocks noChangeShapeType="1"/>
        </xdr:cNvSpPr>
      </xdr:nvSpPr>
      <xdr:spPr bwMode="auto">
        <a:xfrm flipV="1">
          <a:off x="3533775" y="1724025"/>
          <a:ext cx="400050" cy="352425"/>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25</xdr:col>
      <xdr:colOff>104775</xdr:colOff>
      <xdr:row>21</xdr:row>
      <xdr:rowOff>180975</xdr:rowOff>
    </xdr:from>
    <xdr:to>
      <xdr:col>26</xdr:col>
      <xdr:colOff>200025</xdr:colOff>
      <xdr:row>22</xdr:row>
      <xdr:rowOff>142875</xdr:rowOff>
    </xdr:to>
    <xdr:sp macro="" textlink="">
      <xdr:nvSpPr>
        <xdr:cNvPr id="714797" name="Line 52">
          <a:extLst>
            <a:ext uri="{FF2B5EF4-FFF2-40B4-BE49-F238E27FC236}">
              <a16:creationId xmlns:a16="http://schemas.microsoft.com/office/drawing/2014/main" id="{00000000-0008-0000-0F00-00002DE80A00}"/>
            </a:ext>
          </a:extLst>
        </xdr:cNvPr>
        <xdr:cNvSpPr>
          <a:spLocks noChangeShapeType="1"/>
        </xdr:cNvSpPr>
      </xdr:nvSpPr>
      <xdr:spPr bwMode="auto">
        <a:xfrm>
          <a:off x="9505950" y="3800475"/>
          <a:ext cx="466725" cy="1524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17</xdr:col>
      <xdr:colOff>402165</xdr:colOff>
      <xdr:row>44</xdr:row>
      <xdr:rowOff>0</xdr:rowOff>
    </xdr:from>
    <xdr:to>
      <xdr:col>17</xdr:col>
      <xdr:colOff>402165</xdr:colOff>
      <xdr:row>53</xdr:row>
      <xdr:rowOff>171450</xdr:rowOff>
    </xdr:to>
    <xdr:cxnSp macro="">
      <xdr:nvCxnSpPr>
        <xdr:cNvPr id="19" name="直線コネクタ 18">
          <a:extLst>
            <a:ext uri="{FF2B5EF4-FFF2-40B4-BE49-F238E27FC236}">
              <a16:creationId xmlns:a16="http://schemas.microsoft.com/office/drawing/2014/main" id="{00000000-0008-0000-0F00-000013000000}"/>
            </a:ext>
          </a:extLst>
        </xdr:cNvPr>
        <xdr:cNvCxnSpPr/>
      </xdr:nvCxnSpPr>
      <xdr:spPr>
        <a:xfrm>
          <a:off x="6802965" y="8001000"/>
          <a:ext cx="0" cy="1885950"/>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19</xdr:col>
      <xdr:colOff>123825</xdr:colOff>
      <xdr:row>33</xdr:row>
      <xdr:rowOff>85725</xdr:rowOff>
    </xdr:from>
    <xdr:to>
      <xdr:col>36</xdr:col>
      <xdr:colOff>85725</xdr:colOff>
      <xdr:row>42</xdr:row>
      <xdr:rowOff>85725</xdr:rowOff>
    </xdr:to>
    <xdr:sp macro="" textlink="">
      <xdr:nvSpPr>
        <xdr:cNvPr id="56321" name="Rectangle 19">
          <a:extLst>
            <a:ext uri="{FF2B5EF4-FFF2-40B4-BE49-F238E27FC236}">
              <a16:creationId xmlns:a16="http://schemas.microsoft.com/office/drawing/2014/main" id="{00000000-0008-0000-1000-000001DC0000}"/>
            </a:ext>
          </a:extLst>
        </xdr:cNvPr>
        <xdr:cNvSpPr>
          <a:spLocks noChangeArrowheads="1"/>
        </xdr:cNvSpPr>
      </xdr:nvSpPr>
      <xdr:spPr bwMode="auto">
        <a:xfrm>
          <a:off x="3924300" y="5400675"/>
          <a:ext cx="3362325" cy="15430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作業手順②で決定したテスト対象ごとに、テスト項目数、バグ発生件数を記入したうえで、テスト密度、バグ摘出密度を算出し、記入する。</a:t>
          </a:r>
        </a:p>
      </xdr:txBody>
    </xdr:sp>
    <xdr:clientData/>
  </xdr:twoCellAnchor>
  <xdr:twoCellAnchor>
    <xdr:from>
      <xdr:col>0</xdr:col>
      <xdr:colOff>0</xdr:colOff>
      <xdr:row>24</xdr:row>
      <xdr:rowOff>0</xdr:rowOff>
    </xdr:from>
    <xdr:to>
      <xdr:col>10</xdr:col>
      <xdr:colOff>152400</xdr:colOff>
      <xdr:row>43</xdr:row>
      <xdr:rowOff>152400</xdr:rowOff>
    </xdr:to>
    <xdr:sp macro="" textlink="">
      <xdr:nvSpPr>
        <xdr:cNvPr id="56601" name="Rectangle 21">
          <a:extLst>
            <a:ext uri="{FF2B5EF4-FFF2-40B4-BE49-F238E27FC236}">
              <a16:creationId xmlns:a16="http://schemas.microsoft.com/office/drawing/2014/main" id="{00000000-0008-0000-1000-000019DD0000}"/>
            </a:ext>
          </a:extLst>
        </xdr:cNvPr>
        <xdr:cNvSpPr>
          <a:spLocks noChangeArrowheads="1"/>
        </xdr:cNvSpPr>
      </xdr:nvSpPr>
      <xdr:spPr bwMode="auto">
        <a:xfrm>
          <a:off x="0" y="4114800"/>
          <a:ext cx="2152650" cy="34099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190500</xdr:colOff>
      <xdr:row>24</xdr:row>
      <xdr:rowOff>9525</xdr:rowOff>
    </xdr:from>
    <xdr:to>
      <xdr:col>51</xdr:col>
      <xdr:colOff>190500</xdr:colOff>
      <xdr:row>43</xdr:row>
      <xdr:rowOff>152400</xdr:rowOff>
    </xdr:to>
    <xdr:sp macro="" textlink="">
      <xdr:nvSpPr>
        <xdr:cNvPr id="56602" name="Rectangle 22">
          <a:extLst>
            <a:ext uri="{FF2B5EF4-FFF2-40B4-BE49-F238E27FC236}">
              <a16:creationId xmlns:a16="http://schemas.microsoft.com/office/drawing/2014/main" id="{00000000-0008-0000-1000-00001ADD0000}"/>
            </a:ext>
          </a:extLst>
        </xdr:cNvPr>
        <xdr:cNvSpPr>
          <a:spLocks noChangeArrowheads="1"/>
        </xdr:cNvSpPr>
      </xdr:nvSpPr>
      <xdr:spPr bwMode="auto">
        <a:xfrm>
          <a:off x="2190750" y="4124325"/>
          <a:ext cx="8201025" cy="34004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31</xdr:col>
      <xdr:colOff>9525</xdr:colOff>
      <xdr:row>22</xdr:row>
      <xdr:rowOff>19050</xdr:rowOff>
    </xdr:to>
    <xdr:sp macro="" textlink="">
      <xdr:nvSpPr>
        <xdr:cNvPr id="56603" name="Rectangle 26">
          <a:extLst>
            <a:ext uri="{FF2B5EF4-FFF2-40B4-BE49-F238E27FC236}">
              <a16:creationId xmlns:a16="http://schemas.microsoft.com/office/drawing/2014/main" id="{00000000-0008-0000-1000-00001BDD0000}"/>
            </a:ext>
          </a:extLst>
        </xdr:cNvPr>
        <xdr:cNvSpPr>
          <a:spLocks noChangeArrowheads="1"/>
        </xdr:cNvSpPr>
      </xdr:nvSpPr>
      <xdr:spPr bwMode="auto">
        <a:xfrm>
          <a:off x="0" y="2209800"/>
          <a:ext cx="6210300" cy="158115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39</xdr:col>
      <xdr:colOff>184898</xdr:colOff>
      <xdr:row>34</xdr:row>
      <xdr:rowOff>22972</xdr:rowOff>
    </xdr:from>
    <xdr:to>
      <xdr:col>49</xdr:col>
      <xdr:colOff>113191</xdr:colOff>
      <xdr:row>39</xdr:row>
      <xdr:rowOff>6014</xdr:rowOff>
    </xdr:to>
    <xdr:sp macro="" textlink="">
      <xdr:nvSpPr>
        <xdr:cNvPr id="237676" name="AutoShape 108">
          <a:extLst>
            <a:ext uri="{FF2B5EF4-FFF2-40B4-BE49-F238E27FC236}">
              <a16:creationId xmlns:a16="http://schemas.microsoft.com/office/drawing/2014/main" id="{00000000-0008-0000-10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5</xdr:col>
      <xdr:colOff>47625</xdr:colOff>
      <xdr:row>32</xdr:row>
      <xdr:rowOff>152400</xdr:rowOff>
    </xdr:from>
    <xdr:to>
      <xdr:col>16</xdr:col>
      <xdr:colOff>133350</xdr:colOff>
      <xdr:row>43</xdr:row>
      <xdr:rowOff>142875</xdr:rowOff>
    </xdr:to>
    <xdr:sp macro="" textlink="">
      <xdr:nvSpPr>
        <xdr:cNvPr id="56328" name="Rectangle 20">
          <a:extLst>
            <a:ext uri="{FF2B5EF4-FFF2-40B4-BE49-F238E27FC236}">
              <a16:creationId xmlns:a16="http://schemas.microsoft.com/office/drawing/2014/main" id="{00000000-0008-0000-1000-000008DC0000}"/>
            </a:ext>
          </a:extLst>
        </xdr:cNvPr>
        <xdr:cNvSpPr>
          <a:spLocks noChangeArrowheads="1"/>
        </xdr:cNvSpPr>
      </xdr:nvSpPr>
      <xdr:spPr bwMode="auto">
        <a:xfrm>
          <a:off x="1047750" y="5295900"/>
          <a:ext cx="2286000" cy="18764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□テスト対象</a:t>
          </a:r>
        </a:p>
        <a:p>
          <a:pPr algn="l" rtl="0">
            <a:lnSpc>
              <a:spcPts val="1200"/>
            </a:lnSpc>
            <a:defRPr sz="1000"/>
          </a:pPr>
          <a:r>
            <a:rPr lang="ja-JP" altLang="en-US" sz="1100" b="0" i="0" u="none" strike="noStrike" baseline="0">
              <a:solidFill>
                <a:srgbClr val="000000"/>
              </a:solidFill>
              <a:latin typeface="ＭＳ Ｐゴシック"/>
              <a:ea typeface="ＭＳ Ｐゴシック"/>
            </a:rPr>
            <a:t>単体テスト、結合テストにおいて、プログラム単位やサブシステム単位でテスト密度、バグ摘出密度を測定する場合には、その単位で記入する。</a:t>
          </a:r>
        </a:p>
      </xdr:txBody>
    </xdr:sp>
    <xdr:clientData/>
  </xdr:twoCellAnchor>
  <xdr:twoCellAnchor>
    <xdr:from>
      <xdr:col>4</xdr:col>
      <xdr:colOff>114300</xdr:colOff>
      <xdr:row>33</xdr:row>
      <xdr:rowOff>123825</xdr:rowOff>
    </xdr:from>
    <xdr:to>
      <xdr:col>5</xdr:col>
      <xdr:colOff>123825</xdr:colOff>
      <xdr:row>34</xdr:row>
      <xdr:rowOff>142875</xdr:rowOff>
    </xdr:to>
    <xdr:sp macro="" textlink="">
      <xdr:nvSpPr>
        <xdr:cNvPr id="56606" name="Line 23">
          <a:extLst>
            <a:ext uri="{FF2B5EF4-FFF2-40B4-BE49-F238E27FC236}">
              <a16:creationId xmlns:a16="http://schemas.microsoft.com/office/drawing/2014/main" id="{00000000-0008-0000-1000-00001EDD0000}"/>
            </a:ext>
          </a:extLst>
        </xdr:cNvPr>
        <xdr:cNvSpPr>
          <a:spLocks noChangeShapeType="1"/>
        </xdr:cNvSpPr>
      </xdr:nvSpPr>
      <xdr:spPr bwMode="auto">
        <a:xfrm>
          <a:off x="914400" y="5781675"/>
          <a:ext cx="209550" cy="190500"/>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179294</xdr:colOff>
      <xdr:row>11</xdr:row>
      <xdr:rowOff>11205</xdr:rowOff>
    </xdr:from>
    <xdr:to>
      <xdr:col>54</xdr:col>
      <xdr:colOff>16316</xdr:colOff>
      <xdr:row>20</xdr:row>
      <xdr:rowOff>139107</xdr:rowOff>
    </xdr:to>
    <xdr:sp macro="" textlink="">
      <xdr:nvSpPr>
        <xdr:cNvPr id="11" name="Rectangle 19">
          <a:extLst>
            <a:ext uri="{FF2B5EF4-FFF2-40B4-BE49-F238E27FC236}">
              <a16:creationId xmlns:a16="http://schemas.microsoft.com/office/drawing/2014/main" id="{00000000-0008-0000-1000-00000B000000}"/>
            </a:ext>
          </a:extLst>
        </xdr:cNvPr>
        <xdr:cNvSpPr>
          <a:spLocks noChangeArrowheads="1"/>
        </xdr:cNvSpPr>
      </xdr:nvSpPr>
      <xdr:spPr bwMode="auto">
        <a:xfrm>
          <a:off x="7239000" y="1860176"/>
          <a:ext cx="3669434" cy="1304519"/>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32</xdr:col>
      <xdr:colOff>9525</xdr:colOff>
      <xdr:row>10</xdr:row>
      <xdr:rowOff>0</xdr:rowOff>
    </xdr:from>
    <xdr:to>
      <xdr:col>58</xdr:col>
      <xdr:colOff>9525</xdr:colOff>
      <xdr:row>22</xdr:row>
      <xdr:rowOff>9525</xdr:rowOff>
    </xdr:to>
    <xdr:sp macro="" textlink="">
      <xdr:nvSpPr>
        <xdr:cNvPr id="56608" name="Rectangle 24">
          <a:extLst>
            <a:ext uri="{FF2B5EF4-FFF2-40B4-BE49-F238E27FC236}">
              <a16:creationId xmlns:a16="http://schemas.microsoft.com/office/drawing/2014/main" id="{00000000-0008-0000-1000-000020DD0000}"/>
            </a:ext>
          </a:extLst>
        </xdr:cNvPr>
        <xdr:cNvSpPr>
          <a:spLocks noChangeArrowheads="1"/>
        </xdr:cNvSpPr>
      </xdr:nvSpPr>
      <xdr:spPr bwMode="auto">
        <a:xfrm>
          <a:off x="6410325" y="1714500"/>
          <a:ext cx="5200650" cy="2066925"/>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21</xdr:col>
      <xdr:colOff>179293</xdr:colOff>
      <xdr:row>3</xdr:row>
      <xdr:rowOff>149598</xdr:rowOff>
    </xdr:from>
    <xdr:to>
      <xdr:col>33</xdr:col>
      <xdr:colOff>179293</xdr:colOff>
      <xdr:row>11</xdr:row>
      <xdr:rowOff>82923</xdr:rowOff>
    </xdr:to>
    <xdr:sp macro="" textlink="">
      <xdr:nvSpPr>
        <xdr:cNvPr id="56324" name="Rectangle 25">
          <a:extLst>
            <a:ext uri="{FF2B5EF4-FFF2-40B4-BE49-F238E27FC236}">
              <a16:creationId xmlns:a16="http://schemas.microsoft.com/office/drawing/2014/main" id="{00000000-0008-0000-1000-000004DC0000}"/>
            </a:ext>
          </a:extLst>
        </xdr:cNvPr>
        <xdr:cNvSpPr>
          <a:spLocks noChangeArrowheads="1"/>
        </xdr:cNvSpPr>
      </xdr:nvSpPr>
      <xdr:spPr bwMode="auto">
        <a:xfrm>
          <a:off x="4415117" y="653863"/>
          <a:ext cx="2420470" cy="1278031"/>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□管理指標</a:t>
          </a:r>
        </a:p>
        <a:p>
          <a:pPr algn="l" rtl="0">
            <a:lnSpc>
              <a:spcPts val="1300"/>
            </a:lnSpc>
            <a:defRPr sz="1000"/>
          </a:pPr>
          <a:r>
            <a:rPr lang="ja-JP" altLang="en-US" sz="1100" b="0" i="0" u="none" strike="noStrike" baseline="0">
              <a:solidFill>
                <a:srgbClr val="000000"/>
              </a:solidFill>
              <a:latin typeface="ＭＳ Ｐゴシック"/>
              <a:ea typeface="ＭＳ Ｐゴシック"/>
            </a:rPr>
            <a:t>工程ごとのテストで使用する管理指標とその基準値を入力する。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20</xdr:col>
      <xdr:colOff>180975</xdr:colOff>
      <xdr:row>11</xdr:row>
      <xdr:rowOff>66675</xdr:rowOff>
    </xdr:from>
    <xdr:to>
      <xdr:col>24</xdr:col>
      <xdr:colOff>123825</xdr:colOff>
      <xdr:row>13</xdr:row>
      <xdr:rowOff>57150</xdr:rowOff>
    </xdr:to>
    <xdr:sp macro="" textlink="">
      <xdr:nvSpPr>
        <xdr:cNvPr id="56610" name="Line 27">
          <a:extLst>
            <a:ext uri="{FF2B5EF4-FFF2-40B4-BE49-F238E27FC236}">
              <a16:creationId xmlns:a16="http://schemas.microsoft.com/office/drawing/2014/main" id="{00000000-0008-0000-1000-000022DD0000}"/>
            </a:ext>
          </a:extLst>
        </xdr:cNvPr>
        <xdr:cNvSpPr>
          <a:spLocks noChangeShapeType="1"/>
        </xdr:cNvSpPr>
      </xdr:nvSpPr>
      <xdr:spPr bwMode="auto">
        <a:xfrm flipV="1">
          <a:off x="4181475" y="1952625"/>
          <a:ext cx="742950" cy="333375"/>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89647</xdr:colOff>
      <xdr:row>21</xdr:row>
      <xdr:rowOff>1</xdr:rowOff>
    </xdr:from>
    <xdr:to>
      <xdr:col>31</xdr:col>
      <xdr:colOff>22412</xdr:colOff>
      <xdr:row>23</xdr:row>
      <xdr:rowOff>102533</xdr:rowOff>
    </xdr:to>
    <xdr:sp macro="" textlink="">
      <xdr:nvSpPr>
        <xdr:cNvPr id="13" name="AutoShape 2">
          <a:extLst>
            <a:ext uri="{FF2B5EF4-FFF2-40B4-BE49-F238E27FC236}">
              <a16:creationId xmlns:a16="http://schemas.microsoft.com/office/drawing/2014/main" id="{00000000-0008-0000-1000-00000D000000}"/>
            </a:ext>
          </a:extLst>
        </xdr:cNvPr>
        <xdr:cNvSpPr>
          <a:spLocks/>
        </xdr:cNvSpPr>
      </xdr:nvSpPr>
      <xdr:spPr bwMode="auto">
        <a:xfrm>
          <a:off x="2106706" y="3529854"/>
          <a:ext cx="4168588" cy="438708"/>
        </a:xfrm>
        <a:prstGeom prst="borderCallout1">
          <a:avLst>
            <a:gd name="adj1" fmla="val 21051"/>
            <a:gd name="adj2" fmla="val -3653"/>
            <a:gd name="adj3" fmla="val -9755"/>
            <a:gd name="adj4" fmla="val -8479"/>
          </a:avLst>
        </a:prstGeom>
        <a:solidFill>
          <a:srgbClr val="FFFFFF"/>
        </a:solidFill>
        <a:ln w="31750">
          <a:solidFill>
            <a:srgbClr val="FF0000"/>
          </a:solidFill>
          <a:miter lim="800000"/>
          <a:headEnd/>
          <a:tailEnd/>
        </a:ln>
      </xdr:spPr>
      <xdr:txBody>
        <a:bodyPr vertOverflow="clip" wrap="square" lIns="27432" tIns="18288" rIns="0" bIns="0" anchor="ctr" upright="1"/>
        <a:lstStyle/>
        <a:p>
          <a:pPr algn="l" rtl="0">
            <a:lnSpc>
              <a:spcPts val="1300"/>
            </a:lnSpc>
            <a:defRPr sz="1000"/>
          </a:pPr>
          <a:r>
            <a:rPr lang="ja-JP" altLang="en-US">
              <a:solidFill>
                <a:srgbClr val="FF0000"/>
              </a:solidFill>
            </a:rPr>
            <a:t>品質メトリクスは、システムテストと無影響確認テストを分けて管理する</a:t>
          </a:r>
          <a:endParaRPr lang="en-US" altLang="ja-JP">
            <a:solidFill>
              <a:srgbClr val="FF0000"/>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13</xdr:row>
      <xdr:rowOff>9525</xdr:rowOff>
    </xdr:from>
    <xdr:to>
      <xdr:col>14</xdr:col>
      <xdr:colOff>0</xdr:colOff>
      <xdr:row>20</xdr:row>
      <xdr:rowOff>180975</xdr:rowOff>
    </xdr:to>
    <xdr:graphicFrame macro="">
      <xdr:nvGraphicFramePr>
        <xdr:cNvPr id="92419" name="Chart 2">
          <a:extLst>
            <a:ext uri="{FF2B5EF4-FFF2-40B4-BE49-F238E27FC236}">
              <a16:creationId xmlns:a16="http://schemas.microsoft.com/office/drawing/2014/main" id="{00000000-0008-0000-1100-000003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21</xdr:row>
      <xdr:rowOff>9525</xdr:rowOff>
    </xdr:from>
    <xdr:to>
      <xdr:col>14</xdr:col>
      <xdr:colOff>9525</xdr:colOff>
      <xdr:row>29</xdr:row>
      <xdr:rowOff>0</xdr:rowOff>
    </xdr:to>
    <xdr:graphicFrame macro="">
      <xdr:nvGraphicFramePr>
        <xdr:cNvPr id="92420" name="Chart 3">
          <a:extLst>
            <a:ext uri="{FF2B5EF4-FFF2-40B4-BE49-F238E27FC236}">
              <a16:creationId xmlns:a16="http://schemas.microsoft.com/office/drawing/2014/main" id="{00000000-0008-0000-1100-000004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29</xdr:row>
      <xdr:rowOff>9525</xdr:rowOff>
    </xdr:from>
    <xdr:to>
      <xdr:col>14</xdr:col>
      <xdr:colOff>9525</xdr:colOff>
      <xdr:row>37</xdr:row>
      <xdr:rowOff>0</xdr:rowOff>
    </xdr:to>
    <xdr:graphicFrame macro="">
      <xdr:nvGraphicFramePr>
        <xdr:cNvPr id="92421" name="Chart 4">
          <a:extLst>
            <a:ext uri="{FF2B5EF4-FFF2-40B4-BE49-F238E27FC236}">
              <a16:creationId xmlns:a16="http://schemas.microsoft.com/office/drawing/2014/main" id="{00000000-0008-0000-1100-000005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13</xdr:row>
      <xdr:rowOff>9525</xdr:rowOff>
    </xdr:from>
    <xdr:to>
      <xdr:col>31</xdr:col>
      <xdr:colOff>295275</xdr:colOff>
      <xdr:row>21</xdr:row>
      <xdr:rowOff>28575</xdr:rowOff>
    </xdr:to>
    <xdr:graphicFrame macro="">
      <xdr:nvGraphicFramePr>
        <xdr:cNvPr id="92422" name="Chart 5">
          <a:extLst>
            <a:ext uri="{FF2B5EF4-FFF2-40B4-BE49-F238E27FC236}">
              <a16:creationId xmlns:a16="http://schemas.microsoft.com/office/drawing/2014/main" id="{00000000-0008-0000-1100-000006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21</xdr:row>
      <xdr:rowOff>0</xdr:rowOff>
    </xdr:from>
    <xdr:to>
      <xdr:col>31</xdr:col>
      <xdr:colOff>304800</xdr:colOff>
      <xdr:row>37</xdr:row>
      <xdr:rowOff>142875</xdr:rowOff>
    </xdr:to>
    <xdr:graphicFrame macro="">
      <xdr:nvGraphicFramePr>
        <xdr:cNvPr id="92423" name="Chart 6">
          <a:extLst>
            <a:ext uri="{FF2B5EF4-FFF2-40B4-BE49-F238E27FC236}">
              <a16:creationId xmlns:a16="http://schemas.microsoft.com/office/drawing/2014/main" id="{00000000-0008-0000-1100-000007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28575</xdr:colOff>
      <xdr:row>37</xdr:row>
      <xdr:rowOff>38100</xdr:rowOff>
    </xdr:from>
    <xdr:to>
      <xdr:col>13</xdr:col>
      <xdr:colOff>295275</xdr:colOff>
      <xdr:row>46</xdr:row>
      <xdr:rowOff>180975</xdr:rowOff>
    </xdr:to>
    <xdr:graphicFrame macro="">
      <xdr:nvGraphicFramePr>
        <xdr:cNvPr id="92424" name="Chart 4">
          <a:extLst>
            <a:ext uri="{FF2B5EF4-FFF2-40B4-BE49-F238E27FC236}">
              <a16:creationId xmlns:a16="http://schemas.microsoft.com/office/drawing/2014/main" id="{00000000-0008-0000-1100-000008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327025</xdr:colOff>
      <xdr:row>38</xdr:row>
      <xdr:rowOff>104775</xdr:rowOff>
    </xdr:from>
    <xdr:to>
      <xdr:col>27</xdr:col>
      <xdr:colOff>178674</xdr:colOff>
      <xdr:row>44</xdr:row>
      <xdr:rowOff>9525</xdr:rowOff>
    </xdr:to>
    <xdr:sp macro="" textlink="">
      <xdr:nvSpPr>
        <xdr:cNvPr id="155655" name="Rectangle 7">
          <a:extLst>
            <a:ext uri="{FF2B5EF4-FFF2-40B4-BE49-F238E27FC236}">
              <a16:creationId xmlns:a16="http://schemas.microsoft.com/office/drawing/2014/main" id="{00000000-0008-0000-1100-000007600200}"/>
            </a:ext>
          </a:extLst>
        </xdr:cNvPr>
        <xdr:cNvSpPr>
          <a:spLocks noChangeArrowheads="1"/>
        </xdr:cNvSpPr>
      </xdr:nvSpPr>
      <xdr:spPr bwMode="auto">
        <a:xfrm>
          <a:off x="5534025" y="2762250"/>
          <a:ext cx="4048125" cy="10477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本様式で示すような観点からバグの傾向を把握し、対策（目立った傾向があれば、その観点から他の設計書にも横展開して確認するなど）を講じる。</a:t>
          </a:r>
        </a:p>
      </xdr:txBody>
    </xdr:sp>
    <xdr:clientData/>
  </xdr:twoCellAnchor>
  <xdr:twoCellAnchor>
    <xdr:from>
      <xdr:col>15</xdr:col>
      <xdr:colOff>6350</xdr:colOff>
      <xdr:row>44</xdr:row>
      <xdr:rowOff>161925</xdr:rowOff>
    </xdr:from>
    <xdr:to>
      <xdr:col>21</xdr:col>
      <xdr:colOff>3261</xdr:colOff>
      <xdr:row>49</xdr:row>
      <xdr:rowOff>47625</xdr:rowOff>
    </xdr:to>
    <xdr:sp macro="" textlink="">
      <xdr:nvSpPr>
        <xdr:cNvPr id="237676" name="AutoShape 108">
          <a:extLst>
            <a:ext uri="{FF2B5EF4-FFF2-40B4-BE49-F238E27FC236}">
              <a16:creationId xmlns:a16="http://schemas.microsoft.com/office/drawing/2014/main" id="{00000000-0008-0000-11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14</xdr:col>
      <xdr:colOff>47625</xdr:colOff>
      <xdr:row>12</xdr:row>
      <xdr:rowOff>9525</xdr:rowOff>
    </xdr:from>
    <xdr:to>
      <xdr:col>31</xdr:col>
      <xdr:colOff>266700</xdr:colOff>
      <xdr:row>45</xdr:row>
      <xdr:rowOff>0</xdr:rowOff>
    </xdr:to>
    <xdr:graphicFrame macro="">
      <xdr:nvGraphicFramePr>
        <xdr:cNvPr id="34977" name="Chart 6">
          <a:extLst>
            <a:ext uri="{FF2B5EF4-FFF2-40B4-BE49-F238E27FC236}">
              <a16:creationId xmlns:a16="http://schemas.microsoft.com/office/drawing/2014/main" id="{00000000-0008-0000-1200-0000A18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34978" name="Line 7">
          <a:extLst>
            <a:ext uri="{FF2B5EF4-FFF2-40B4-BE49-F238E27FC236}">
              <a16:creationId xmlns:a16="http://schemas.microsoft.com/office/drawing/2014/main" id="{00000000-0008-0000-1200-0000A2880000}"/>
            </a:ext>
          </a:extLst>
        </xdr:cNvPr>
        <xdr:cNvSpPr>
          <a:spLocks noChangeShapeType="1"/>
        </xdr:cNvSpPr>
      </xdr:nvSpPr>
      <xdr:spPr bwMode="auto">
        <a:xfrm flipH="1" flipV="1">
          <a:off x="9525" y="2143125"/>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260350</xdr:colOff>
      <xdr:row>36</xdr:row>
      <xdr:rowOff>9525</xdr:rowOff>
    </xdr:from>
    <xdr:to>
      <xdr:col>30</xdr:col>
      <xdr:colOff>292100</xdr:colOff>
      <xdr:row>40</xdr:row>
      <xdr:rowOff>104775</xdr:rowOff>
    </xdr:to>
    <xdr:sp macro="" textlink="">
      <xdr:nvSpPr>
        <xdr:cNvPr id="156692" name="Rectangle 20">
          <a:extLst>
            <a:ext uri="{FF2B5EF4-FFF2-40B4-BE49-F238E27FC236}">
              <a16:creationId xmlns:a16="http://schemas.microsoft.com/office/drawing/2014/main" id="{00000000-0008-0000-1200-000014640200}"/>
            </a:ext>
          </a:extLst>
        </xdr:cNvPr>
        <xdr:cNvSpPr>
          <a:spLocks noChangeArrowheads="1"/>
        </xdr:cNvSpPr>
      </xdr:nvSpPr>
      <xdr:spPr bwMode="auto">
        <a:xfrm>
          <a:off x="342900" y="6191250"/>
          <a:ext cx="3267075"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エラー現象とエラー原因のマトリクスから見て、エラーの傾向を把握し、対策を講じる。</a:t>
          </a:r>
        </a:p>
      </xdr:txBody>
    </xdr:sp>
    <xdr:clientData/>
  </xdr:twoCellAnchor>
  <xdr:twoCellAnchor>
    <xdr:from>
      <xdr:col>3</xdr:col>
      <xdr:colOff>139700</xdr:colOff>
      <xdr:row>39</xdr:row>
      <xdr:rowOff>66675</xdr:rowOff>
    </xdr:from>
    <xdr:to>
      <xdr:col>9</xdr:col>
      <xdr:colOff>136611</xdr:colOff>
      <xdr:row>43</xdr:row>
      <xdr:rowOff>142875</xdr:rowOff>
    </xdr:to>
    <xdr:sp macro="" textlink="">
      <xdr:nvSpPr>
        <xdr:cNvPr id="237676" name="AutoShape 108">
          <a:extLst>
            <a:ext uri="{FF2B5EF4-FFF2-40B4-BE49-F238E27FC236}">
              <a16:creationId xmlns:a16="http://schemas.microsoft.com/office/drawing/2014/main" id="{00000000-0008-0000-12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14</xdr:col>
      <xdr:colOff>38100</xdr:colOff>
      <xdr:row>12</xdr:row>
      <xdr:rowOff>9525</xdr:rowOff>
    </xdr:from>
    <xdr:to>
      <xdr:col>31</xdr:col>
      <xdr:colOff>200025</xdr:colOff>
      <xdr:row>45</xdr:row>
      <xdr:rowOff>0</xdr:rowOff>
    </xdr:to>
    <xdr:graphicFrame macro="">
      <xdr:nvGraphicFramePr>
        <xdr:cNvPr id="76910" name="Chart 1">
          <a:extLst>
            <a:ext uri="{FF2B5EF4-FFF2-40B4-BE49-F238E27FC236}">
              <a16:creationId xmlns:a16="http://schemas.microsoft.com/office/drawing/2014/main" id="{00000000-0008-0000-1300-00006E2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76911" name="Line 3">
          <a:extLst>
            <a:ext uri="{FF2B5EF4-FFF2-40B4-BE49-F238E27FC236}">
              <a16:creationId xmlns:a16="http://schemas.microsoft.com/office/drawing/2014/main" id="{00000000-0008-0000-1300-00006F2C0100}"/>
            </a:ext>
          </a:extLst>
        </xdr:cNvPr>
        <xdr:cNvSpPr>
          <a:spLocks noChangeShapeType="1"/>
        </xdr:cNvSpPr>
      </xdr:nvSpPr>
      <xdr:spPr bwMode="auto">
        <a:xfrm flipH="1" flipV="1">
          <a:off x="9525" y="2143125"/>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44450</xdr:colOff>
      <xdr:row>36</xdr:row>
      <xdr:rowOff>0</xdr:rowOff>
    </xdr:from>
    <xdr:to>
      <xdr:col>35</xdr:col>
      <xdr:colOff>142455</xdr:colOff>
      <xdr:row>40</xdr:row>
      <xdr:rowOff>95250</xdr:rowOff>
    </xdr:to>
    <xdr:sp macro="" textlink="">
      <xdr:nvSpPr>
        <xdr:cNvPr id="157699" name="Rectangle 3">
          <a:extLst>
            <a:ext uri="{FF2B5EF4-FFF2-40B4-BE49-F238E27FC236}">
              <a16:creationId xmlns:a16="http://schemas.microsoft.com/office/drawing/2014/main" id="{00000000-0008-0000-1300-000003680200}"/>
            </a:ext>
          </a:extLst>
        </xdr:cNvPr>
        <xdr:cNvSpPr>
          <a:spLocks noChangeArrowheads="1"/>
        </xdr:cNvSpPr>
      </xdr:nvSpPr>
      <xdr:spPr bwMode="auto">
        <a:xfrm>
          <a:off x="247650" y="3429000"/>
          <a:ext cx="3676650"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エラー現象と摘出すべき工程のマトリクスから見て、エラーの傾向を把握し、対策を講じる。</a:t>
          </a:r>
        </a:p>
      </xdr:txBody>
    </xdr:sp>
    <xdr:clientData/>
  </xdr:twoCellAnchor>
  <xdr:twoCellAnchor>
    <xdr:from>
      <xdr:col>3</xdr:col>
      <xdr:colOff>101600</xdr:colOff>
      <xdr:row>33</xdr:row>
      <xdr:rowOff>38100</xdr:rowOff>
    </xdr:from>
    <xdr:to>
      <xdr:col>9</xdr:col>
      <xdr:colOff>98511</xdr:colOff>
      <xdr:row>37</xdr:row>
      <xdr:rowOff>114300</xdr:rowOff>
    </xdr:to>
    <xdr:sp macro="" textlink="">
      <xdr:nvSpPr>
        <xdr:cNvPr id="237676" name="AutoShape 108">
          <a:extLst>
            <a:ext uri="{FF2B5EF4-FFF2-40B4-BE49-F238E27FC236}">
              <a16:creationId xmlns:a16="http://schemas.microsoft.com/office/drawing/2014/main" id="{00000000-0008-0000-13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47625</xdr:colOff>
      <xdr:row>12</xdr:row>
      <xdr:rowOff>9525</xdr:rowOff>
    </xdr:from>
    <xdr:to>
      <xdr:col>31</xdr:col>
      <xdr:colOff>266700</xdr:colOff>
      <xdr:row>45</xdr:row>
      <xdr:rowOff>0</xdr:rowOff>
    </xdr:to>
    <xdr:graphicFrame macro="">
      <xdr:nvGraphicFramePr>
        <xdr:cNvPr id="78932" name="Chart 1">
          <a:extLst>
            <a:ext uri="{FF2B5EF4-FFF2-40B4-BE49-F238E27FC236}">
              <a16:creationId xmlns:a16="http://schemas.microsoft.com/office/drawing/2014/main" id="{00000000-0008-0000-1400-0000543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78933" name="Line 2">
          <a:extLst>
            <a:ext uri="{FF2B5EF4-FFF2-40B4-BE49-F238E27FC236}">
              <a16:creationId xmlns:a16="http://schemas.microsoft.com/office/drawing/2014/main" id="{00000000-0008-0000-1400-000055340100}"/>
            </a:ext>
          </a:extLst>
        </xdr:cNvPr>
        <xdr:cNvSpPr>
          <a:spLocks noChangeShapeType="1"/>
        </xdr:cNvSpPr>
      </xdr:nvSpPr>
      <xdr:spPr bwMode="auto">
        <a:xfrm flipH="1" flipV="1">
          <a:off x="9525" y="2114550"/>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136525</xdr:colOff>
      <xdr:row>39</xdr:row>
      <xdr:rowOff>28575</xdr:rowOff>
    </xdr:from>
    <xdr:to>
      <xdr:col>8</xdr:col>
      <xdr:colOff>133436</xdr:colOff>
      <xdr:row>43</xdr:row>
      <xdr:rowOff>104775</xdr:rowOff>
    </xdr:to>
    <xdr:sp macro="" textlink="">
      <xdr:nvSpPr>
        <xdr:cNvPr id="237676" name="AutoShape 108">
          <a:extLst>
            <a:ext uri="{FF2B5EF4-FFF2-40B4-BE49-F238E27FC236}">
              <a16:creationId xmlns:a16="http://schemas.microsoft.com/office/drawing/2014/main" id="{00000000-0008-0000-14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20.xml><?xml version="1.0" encoding="utf-8"?>
<c:userShapes xmlns:c="http://schemas.openxmlformats.org/drawingml/2006/chart">
  <cdr:relSizeAnchor xmlns:cdr="http://schemas.openxmlformats.org/drawingml/2006/chartDrawing">
    <cdr:from>
      <cdr:x>0.37143</cdr:x>
      <cdr:y>0.55392</cdr:y>
    </cdr:from>
    <cdr:to>
      <cdr:x>0.99131</cdr:x>
      <cdr:y>0.69549</cdr:y>
    </cdr:to>
    <cdr:sp macro="" textlink="">
      <cdr:nvSpPr>
        <cdr:cNvPr id="56321" name="Rectangle 20">
          <a:extLst xmlns:a="http://schemas.openxmlformats.org/drawingml/2006/main">
            <a:ext uri="{FF2B5EF4-FFF2-40B4-BE49-F238E27FC236}">
              <a16:creationId xmlns:a16="http://schemas.microsoft.com/office/drawing/2014/main" id="{466999B6-D026-40C4-A536-A32A3B4EA75A}"/>
            </a:ext>
          </a:extLst>
        </cdr:cNvPr>
        <cdr:cNvSpPr>
          <a:spLocks xmlns:a="http://schemas.openxmlformats.org/drawingml/2006/main" noChangeArrowheads="1"/>
        </cdr:cNvSpPr>
      </cdr:nvSpPr>
      <cdr:spPr bwMode="auto">
        <a:xfrm xmlns:a="http://schemas.openxmlformats.org/drawingml/2006/main">
          <a:off x="2173051" y="3485396"/>
          <a:ext cx="3621324" cy="889992"/>
        </a:xfrm>
        <a:prstGeom xmlns:a="http://schemas.openxmlformats.org/drawingml/2006/main" prst="rect">
          <a:avLst/>
        </a:prstGeom>
        <a:solidFill xmlns:a="http://schemas.openxmlformats.org/drawingml/2006/main">
          <a:srgbClr val="CCFFCC"/>
        </a:solidFill>
        <a:ln xmlns:a="http://schemas.openxmlformats.org/drawingml/2006/main" w="9525">
          <a:solidFill>
            <a:srgbClr val="000000"/>
          </a:solidFill>
          <a:miter lim="800000"/>
          <a:headEnd/>
          <a:tailEnd/>
        </a:ln>
      </cdr:spPr>
      <cdr:txBody>
        <a:bodyPr xmlns:a="http://schemas.openxmlformats.org/drawingml/2006/main" vertOverflow="clip" wrap="square" lIns="27432" tIns="18288" rIns="0" bIns="18288" anchor="ctr" upright="1"/>
        <a:lstStyle xmlns:a="http://schemas.openxmlformats.org/drawingml/2006/main"/>
        <a:p xmlns:a="http://schemas.openxmlformats.org/drawingml/2006/main">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xmlns:a="http://schemas.openxmlformats.org/drawingml/2006/main">
          <a:pPr algn="l" rtl="0">
            <a:lnSpc>
              <a:spcPts val="1200"/>
            </a:lnSpc>
            <a:defRPr sz="1000"/>
          </a:pPr>
          <a:endParaRPr lang="ja-JP" altLang="en-US" sz="1000" b="0" i="0" u="none" strike="noStrike" baseline="0">
            <a:solidFill>
              <a:srgbClr val="000000"/>
            </a:solidFill>
            <a:latin typeface="ＭＳ Ｐゴシック"/>
            <a:ea typeface="ＭＳ Ｐゴシック"/>
          </a:endParaRPr>
        </a:p>
        <a:p xmlns:a="http://schemas.openxmlformats.org/drawingml/2006/main">
          <a:pPr algn="l" rtl="0">
            <a:lnSpc>
              <a:spcPts val="1200"/>
            </a:lnSpc>
            <a:defRPr sz="1000"/>
          </a:pPr>
          <a:r>
            <a:rPr lang="ja-JP" altLang="en-US" sz="1000" b="0" i="0" u="none" strike="noStrike" baseline="0">
              <a:solidFill>
                <a:srgbClr val="000000"/>
              </a:solidFill>
              <a:latin typeface="ＭＳ Ｐゴシック"/>
              <a:ea typeface="ＭＳ Ｐゴシック"/>
            </a:rPr>
            <a:t>エラー原因と摘出すべき工程のマトリクスから見て、エラーの傾向を把握し、対策を講じる。</a:t>
          </a:r>
        </a:p>
      </cdr:txBody>
    </cdr:sp>
  </cdr:relSizeAnchor>
</c:userShapes>
</file>

<file path=xl/drawings/drawing21.xml><?xml version="1.0" encoding="utf-8"?>
<xdr:wsDr xmlns:xdr="http://schemas.openxmlformats.org/drawingml/2006/spreadsheetDrawing" xmlns:a="http://schemas.openxmlformats.org/drawingml/2006/main">
  <xdr:twoCellAnchor>
    <xdr:from>
      <xdr:col>17</xdr:col>
      <xdr:colOff>47625</xdr:colOff>
      <xdr:row>12</xdr:row>
      <xdr:rowOff>9525</xdr:rowOff>
    </xdr:from>
    <xdr:to>
      <xdr:col>31</xdr:col>
      <xdr:colOff>266700</xdr:colOff>
      <xdr:row>41</xdr:row>
      <xdr:rowOff>0</xdr:rowOff>
    </xdr:to>
    <xdr:graphicFrame macro="">
      <xdr:nvGraphicFramePr>
        <xdr:cNvPr id="90243" name="Chart 1">
          <a:extLst>
            <a:ext uri="{FF2B5EF4-FFF2-40B4-BE49-F238E27FC236}">
              <a16:creationId xmlns:a16="http://schemas.microsoft.com/office/drawing/2014/main" id="{00000000-0008-0000-1500-0000836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90244" name="Line 2">
          <a:extLst>
            <a:ext uri="{FF2B5EF4-FFF2-40B4-BE49-F238E27FC236}">
              <a16:creationId xmlns:a16="http://schemas.microsoft.com/office/drawing/2014/main" id="{00000000-0008-0000-1500-000084600100}"/>
            </a:ext>
          </a:extLst>
        </xdr:cNvPr>
        <xdr:cNvSpPr>
          <a:spLocks noChangeShapeType="1"/>
        </xdr:cNvSpPr>
      </xdr:nvSpPr>
      <xdr:spPr bwMode="auto">
        <a:xfrm flipH="1" flipV="1">
          <a:off x="9525" y="2114550"/>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301625</xdr:colOff>
      <xdr:row>34</xdr:row>
      <xdr:rowOff>38100</xdr:rowOff>
    </xdr:from>
    <xdr:to>
      <xdr:col>13</xdr:col>
      <xdr:colOff>34907</xdr:colOff>
      <xdr:row>38</xdr:row>
      <xdr:rowOff>114300</xdr:rowOff>
    </xdr:to>
    <xdr:sp macro="" textlink="">
      <xdr:nvSpPr>
        <xdr:cNvPr id="237676" name="AutoShape 108">
          <a:extLst>
            <a:ext uri="{FF2B5EF4-FFF2-40B4-BE49-F238E27FC236}">
              <a16:creationId xmlns:a16="http://schemas.microsoft.com/office/drawing/2014/main" id="{00000000-0008-0000-15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20</xdr:col>
      <xdr:colOff>98425</xdr:colOff>
      <xdr:row>27</xdr:row>
      <xdr:rowOff>66675</xdr:rowOff>
    </xdr:from>
    <xdr:to>
      <xdr:col>31</xdr:col>
      <xdr:colOff>205970</xdr:colOff>
      <xdr:row>31</xdr:row>
      <xdr:rowOff>161925</xdr:rowOff>
    </xdr:to>
    <xdr:sp macro="" textlink="">
      <xdr:nvSpPr>
        <xdr:cNvPr id="157699" name="Rectangle 3">
          <a:extLst>
            <a:ext uri="{FF2B5EF4-FFF2-40B4-BE49-F238E27FC236}">
              <a16:creationId xmlns:a16="http://schemas.microsoft.com/office/drawing/2014/main" id="{00000000-0008-0000-1500-000003680200}"/>
            </a:ext>
          </a:extLst>
        </xdr:cNvPr>
        <xdr:cNvSpPr>
          <a:spLocks noChangeArrowheads="1"/>
        </xdr:cNvSpPr>
      </xdr:nvSpPr>
      <xdr:spPr bwMode="auto">
        <a:xfrm>
          <a:off x="247650" y="3429000"/>
          <a:ext cx="3676650"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混入要因と混入工程のマトリクスから見て、エラーの傾向を把握し、対策を講じる。</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35</xdr:row>
      <xdr:rowOff>9525</xdr:rowOff>
    </xdr:from>
    <xdr:to>
      <xdr:col>3</xdr:col>
      <xdr:colOff>0</xdr:colOff>
      <xdr:row>36</xdr:row>
      <xdr:rowOff>0</xdr:rowOff>
    </xdr:to>
    <xdr:sp macro="" textlink="">
      <xdr:nvSpPr>
        <xdr:cNvPr id="41472" name="Line 2">
          <a:extLst>
            <a:ext uri="{FF2B5EF4-FFF2-40B4-BE49-F238E27FC236}">
              <a16:creationId xmlns:a16="http://schemas.microsoft.com/office/drawing/2014/main" id="{00000000-0008-0000-1600-000000A20000}"/>
            </a:ext>
          </a:extLst>
        </xdr:cNvPr>
        <xdr:cNvSpPr>
          <a:spLocks noChangeShapeType="1"/>
        </xdr:cNvSpPr>
      </xdr:nvSpPr>
      <xdr:spPr bwMode="auto">
        <a:xfrm flipH="1" flipV="1">
          <a:off x="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15</xdr:col>
      <xdr:colOff>257175</xdr:colOff>
      <xdr:row>63</xdr:row>
      <xdr:rowOff>0</xdr:rowOff>
    </xdr:to>
    <xdr:graphicFrame macro="">
      <xdr:nvGraphicFramePr>
        <xdr:cNvPr id="41473" name="Chart 2">
          <a:extLst>
            <a:ext uri="{FF2B5EF4-FFF2-40B4-BE49-F238E27FC236}">
              <a16:creationId xmlns:a16="http://schemas.microsoft.com/office/drawing/2014/main" id="{00000000-0008-0000-1600-000001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9525</xdr:rowOff>
    </xdr:from>
    <xdr:to>
      <xdr:col>3</xdr:col>
      <xdr:colOff>0</xdr:colOff>
      <xdr:row>22</xdr:row>
      <xdr:rowOff>180975</xdr:rowOff>
    </xdr:to>
    <xdr:sp macro="" textlink="">
      <xdr:nvSpPr>
        <xdr:cNvPr id="41474" name="Line 2">
          <a:extLst>
            <a:ext uri="{FF2B5EF4-FFF2-40B4-BE49-F238E27FC236}">
              <a16:creationId xmlns:a16="http://schemas.microsoft.com/office/drawing/2014/main" id="{00000000-0008-0000-1600-000002A20000}"/>
            </a:ext>
          </a:extLst>
        </xdr:cNvPr>
        <xdr:cNvSpPr>
          <a:spLocks noChangeShapeType="1"/>
        </xdr:cNvSpPr>
      </xdr:nvSpPr>
      <xdr:spPr bwMode="auto">
        <a:xfrm flipH="1" flipV="1">
          <a:off x="0" y="3143250"/>
          <a:ext cx="990600"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47</xdr:row>
      <xdr:rowOff>0</xdr:rowOff>
    </xdr:from>
    <xdr:to>
      <xdr:col>7</xdr:col>
      <xdr:colOff>257175</xdr:colOff>
      <xdr:row>63</xdr:row>
      <xdr:rowOff>0</xdr:rowOff>
    </xdr:to>
    <xdr:graphicFrame macro="">
      <xdr:nvGraphicFramePr>
        <xdr:cNvPr id="41475" name="Chart 4">
          <a:extLst>
            <a:ext uri="{FF2B5EF4-FFF2-40B4-BE49-F238E27FC236}">
              <a16:creationId xmlns:a16="http://schemas.microsoft.com/office/drawing/2014/main" id="{00000000-0008-0000-1600-000003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22</xdr:row>
      <xdr:rowOff>9525</xdr:rowOff>
    </xdr:from>
    <xdr:to>
      <xdr:col>20</xdr:col>
      <xdr:colOff>0</xdr:colOff>
      <xdr:row>23</xdr:row>
      <xdr:rowOff>0</xdr:rowOff>
    </xdr:to>
    <xdr:sp macro="" textlink="">
      <xdr:nvSpPr>
        <xdr:cNvPr id="41476" name="Line 2">
          <a:extLst>
            <a:ext uri="{FF2B5EF4-FFF2-40B4-BE49-F238E27FC236}">
              <a16:creationId xmlns:a16="http://schemas.microsoft.com/office/drawing/2014/main" id="{00000000-0008-0000-1600-000004A20000}"/>
            </a:ext>
          </a:extLst>
        </xdr:cNvPr>
        <xdr:cNvSpPr>
          <a:spLocks noChangeShapeType="1"/>
        </xdr:cNvSpPr>
      </xdr:nvSpPr>
      <xdr:spPr bwMode="auto">
        <a:xfrm flipH="1" flipV="1">
          <a:off x="5695950" y="314325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0</xdr:colOff>
      <xdr:row>35</xdr:row>
      <xdr:rowOff>9525</xdr:rowOff>
    </xdr:from>
    <xdr:to>
      <xdr:col>20</xdr:col>
      <xdr:colOff>0</xdr:colOff>
      <xdr:row>36</xdr:row>
      <xdr:rowOff>0</xdr:rowOff>
    </xdr:to>
    <xdr:sp macro="" textlink="">
      <xdr:nvSpPr>
        <xdr:cNvPr id="41477" name="Line 2">
          <a:extLst>
            <a:ext uri="{FF2B5EF4-FFF2-40B4-BE49-F238E27FC236}">
              <a16:creationId xmlns:a16="http://schemas.microsoft.com/office/drawing/2014/main" id="{00000000-0008-0000-1600-000005A20000}"/>
            </a:ext>
          </a:extLst>
        </xdr:cNvPr>
        <xdr:cNvSpPr>
          <a:spLocks noChangeShapeType="1"/>
        </xdr:cNvSpPr>
      </xdr:nvSpPr>
      <xdr:spPr bwMode="auto">
        <a:xfrm flipH="1" flipV="1">
          <a:off x="569595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57150</xdr:colOff>
      <xdr:row>47</xdr:row>
      <xdr:rowOff>0</xdr:rowOff>
    </xdr:from>
    <xdr:to>
      <xdr:col>23</xdr:col>
      <xdr:colOff>314325</xdr:colOff>
      <xdr:row>63</xdr:row>
      <xdr:rowOff>0</xdr:rowOff>
    </xdr:to>
    <xdr:graphicFrame macro="">
      <xdr:nvGraphicFramePr>
        <xdr:cNvPr id="41478" name="Chart 7">
          <a:extLst>
            <a:ext uri="{FF2B5EF4-FFF2-40B4-BE49-F238E27FC236}">
              <a16:creationId xmlns:a16="http://schemas.microsoft.com/office/drawing/2014/main" id="{00000000-0008-0000-1600-000006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57150</xdr:colOff>
      <xdr:row>47</xdr:row>
      <xdr:rowOff>0</xdr:rowOff>
    </xdr:from>
    <xdr:to>
      <xdr:col>31</xdr:col>
      <xdr:colOff>314325</xdr:colOff>
      <xdr:row>63</xdr:row>
      <xdr:rowOff>0</xdr:rowOff>
    </xdr:to>
    <xdr:graphicFrame macro="">
      <xdr:nvGraphicFramePr>
        <xdr:cNvPr id="41479" name="Chart 8">
          <a:extLst>
            <a:ext uri="{FF2B5EF4-FFF2-40B4-BE49-F238E27FC236}">
              <a16:creationId xmlns:a16="http://schemas.microsoft.com/office/drawing/2014/main" id="{00000000-0008-0000-1600-000007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35</xdr:row>
      <xdr:rowOff>9525</xdr:rowOff>
    </xdr:from>
    <xdr:to>
      <xdr:col>3</xdr:col>
      <xdr:colOff>0</xdr:colOff>
      <xdr:row>36</xdr:row>
      <xdr:rowOff>0</xdr:rowOff>
    </xdr:to>
    <xdr:sp macro="" textlink="">
      <xdr:nvSpPr>
        <xdr:cNvPr id="41480" name="Line 2">
          <a:extLst>
            <a:ext uri="{FF2B5EF4-FFF2-40B4-BE49-F238E27FC236}">
              <a16:creationId xmlns:a16="http://schemas.microsoft.com/office/drawing/2014/main" id="{00000000-0008-0000-1600-000008A20000}"/>
            </a:ext>
          </a:extLst>
        </xdr:cNvPr>
        <xdr:cNvSpPr>
          <a:spLocks noChangeShapeType="1"/>
        </xdr:cNvSpPr>
      </xdr:nvSpPr>
      <xdr:spPr bwMode="auto">
        <a:xfrm flipH="1" flipV="1">
          <a:off x="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22</xdr:row>
      <xdr:rowOff>9525</xdr:rowOff>
    </xdr:from>
    <xdr:to>
      <xdr:col>3</xdr:col>
      <xdr:colOff>0</xdr:colOff>
      <xdr:row>22</xdr:row>
      <xdr:rowOff>180975</xdr:rowOff>
    </xdr:to>
    <xdr:sp macro="" textlink="">
      <xdr:nvSpPr>
        <xdr:cNvPr id="41481" name="Line 2">
          <a:extLst>
            <a:ext uri="{FF2B5EF4-FFF2-40B4-BE49-F238E27FC236}">
              <a16:creationId xmlns:a16="http://schemas.microsoft.com/office/drawing/2014/main" id="{00000000-0008-0000-1600-000009A20000}"/>
            </a:ext>
          </a:extLst>
        </xdr:cNvPr>
        <xdr:cNvSpPr>
          <a:spLocks noChangeShapeType="1"/>
        </xdr:cNvSpPr>
      </xdr:nvSpPr>
      <xdr:spPr bwMode="auto">
        <a:xfrm flipH="1" flipV="1">
          <a:off x="0" y="3143250"/>
          <a:ext cx="990600"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295275</xdr:colOff>
      <xdr:row>12</xdr:row>
      <xdr:rowOff>66675</xdr:rowOff>
    </xdr:from>
    <xdr:to>
      <xdr:col>15</xdr:col>
      <xdr:colOff>66675</xdr:colOff>
      <xdr:row>20</xdr:row>
      <xdr:rowOff>28575</xdr:rowOff>
    </xdr:to>
    <xdr:sp macro="" textlink="">
      <xdr:nvSpPr>
        <xdr:cNvPr id="57399" name="Rectangle 5">
          <a:extLst>
            <a:ext uri="{FF2B5EF4-FFF2-40B4-BE49-F238E27FC236}">
              <a16:creationId xmlns:a16="http://schemas.microsoft.com/office/drawing/2014/main" id="{00000000-0008-0000-1600-000037E00000}"/>
            </a:ext>
          </a:extLst>
        </xdr:cNvPr>
        <xdr:cNvSpPr>
          <a:spLocks noChangeArrowheads="1"/>
        </xdr:cNvSpPr>
      </xdr:nvSpPr>
      <xdr:spPr bwMode="auto">
        <a:xfrm>
          <a:off x="2886075" y="847725"/>
          <a:ext cx="2038350" cy="102870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◇作業手順①</a:t>
          </a:r>
        </a:p>
        <a:p>
          <a:pPr algn="l" rtl="0">
            <a:lnSpc>
              <a:spcPts val="1200"/>
            </a:lnSpc>
            <a:defRPr sz="1000"/>
          </a:pPr>
          <a:r>
            <a:rPr lang="ja-JP" altLang="en-US" sz="1000" b="0" i="0" u="none" strike="noStrike" baseline="0">
              <a:solidFill>
                <a:srgbClr val="000000"/>
              </a:solidFill>
              <a:latin typeface="ＭＳ Ｐゴシック"/>
              <a:ea typeface="ＭＳ Ｐゴシック"/>
            </a:rPr>
            <a:t>設計書成果物の品質管理指標である「レビュー密度」「指摘摘出密度」を工程別に記載し、基準を満たしていることを確認する。</a:t>
          </a:r>
        </a:p>
      </xdr:txBody>
    </xdr:sp>
    <xdr:clientData/>
  </xdr:twoCellAnchor>
  <xdr:twoCellAnchor>
    <xdr:from>
      <xdr:col>8</xdr:col>
      <xdr:colOff>285750</xdr:colOff>
      <xdr:row>22</xdr:row>
      <xdr:rowOff>162753</xdr:rowOff>
    </xdr:from>
    <xdr:to>
      <xdr:col>15</xdr:col>
      <xdr:colOff>113349</xdr:colOff>
      <xdr:row>31</xdr:row>
      <xdr:rowOff>63425</xdr:rowOff>
    </xdr:to>
    <xdr:sp macro="" textlink="">
      <xdr:nvSpPr>
        <xdr:cNvPr id="251910" name="Rectangle 6">
          <a:extLst>
            <a:ext uri="{FF2B5EF4-FFF2-40B4-BE49-F238E27FC236}">
              <a16:creationId xmlns:a16="http://schemas.microsoft.com/office/drawing/2014/main" id="{00000000-0008-0000-1600-000006D80300}"/>
            </a:ext>
          </a:extLst>
        </xdr:cNvPr>
        <xdr:cNvSpPr>
          <a:spLocks noChangeArrowheads="1"/>
        </xdr:cNvSpPr>
      </xdr:nvSpPr>
      <xdr:spPr bwMode="auto">
        <a:xfrm>
          <a:off x="7705725" y="3000375"/>
          <a:ext cx="2095500" cy="115252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◇作業手順②</a:t>
          </a:r>
        </a:p>
        <a:p>
          <a:pPr algn="l" rtl="0">
            <a:lnSpc>
              <a:spcPts val="1100"/>
            </a:lnSpc>
            <a:defRPr sz="1000"/>
          </a:pPr>
          <a:r>
            <a:rPr lang="ja-JP" altLang="en-US" sz="1000" b="0" i="0" u="none" strike="noStrike" baseline="0">
              <a:solidFill>
                <a:srgbClr val="000000"/>
              </a:solidFill>
              <a:latin typeface="ＭＳ Ｐゴシック"/>
              <a:ea typeface="ＭＳ Ｐゴシック"/>
            </a:rPr>
            <a:t>設計書成果物のレビューで摘出された指摘の現象を各工程毎に件数を集計して指摘現象の傾向を把握する。</a:t>
          </a:r>
        </a:p>
      </xdr:txBody>
    </xdr:sp>
    <xdr:clientData/>
  </xdr:twoCellAnchor>
  <xdr:twoCellAnchor>
    <xdr:from>
      <xdr:col>8</xdr:col>
      <xdr:colOff>304800</xdr:colOff>
      <xdr:row>35</xdr:row>
      <xdr:rowOff>164410</xdr:rowOff>
    </xdr:from>
    <xdr:to>
      <xdr:col>15</xdr:col>
      <xdr:colOff>83666</xdr:colOff>
      <xdr:row>44</xdr:row>
      <xdr:rowOff>82941</xdr:rowOff>
    </xdr:to>
    <xdr:sp macro="" textlink="">
      <xdr:nvSpPr>
        <xdr:cNvPr id="251911" name="Rectangle 7">
          <a:extLst>
            <a:ext uri="{FF2B5EF4-FFF2-40B4-BE49-F238E27FC236}">
              <a16:creationId xmlns:a16="http://schemas.microsoft.com/office/drawing/2014/main" id="{00000000-0008-0000-1600-000007D80300}"/>
            </a:ext>
          </a:extLst>
        </xdr:cNvPr>
        <xdr:cNvSpPr>
          <a:spLocks noChangeArrowheads="1"/>
        </xdr:cNvSpPr>
      </xdr:nvSpPr>
      <xdr:spPr bwMode="auto">
        <a:xfrm>
          <a:off x="7629525" y="5010150"/>
          <a:ext cx="2047875" cy="118110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100"/>
            </a:lnSpc>
            <a:defRPr sz="1000"/>
          </a:pPr>
          <a:r>
            <a:rPr lang="ja-JP" altLang="en-US" sz="1000" b="0" i="0" u="none" strike="noStrike" baseline="0">
              <a:solidFill>
                <a:srgbClr val="000000"/>
              </a:solidFill>
              <a:latin typeface="ＭＳ Ｐゴシック"/>
              <a:ea typeface="ＭＳ Ｐゴシック"/>
            </a:rPr>
            <a:t>◇作業手順③</a:t>
          </a:r>
        </a:p>
        <a:p>
          <a:pPr algn="l" rtl="0">
            <a:lnSpc>
              <a:spcPts val="1100"/>
            </a:lnSpc>
            <a:defRPr sz="1000"/>
          </a:pPr>
          <a:r>
            <a:rPr lang="ja-JP" altLang="en-US" sz="1000" b="0" i="0" u="none" strike="noStrike" baseline="0">
              <a:solidFill>
                <a:srgbClr val="000000"/>
              </a:solidFill>
              <a:latin typeface="ＭＳ Ｐゴシック"/>
              <a:ea typeface="ＭＳ Ｐゴシック"/>
            </a:rPr>
            <a:t>設計書成果物のレビューで摘出された指摘の原因を各工程毎に件数を集計して指摘原因の傾向を把握する。</a:t>
          </a:r>
        </a:p>
      </xdr:txBody>
    </xdr:sp>
    <xdr:clientData/>
  </xdr:twoCellAnchor>
  <xdr:twoCellAnchor>
    <xdr:from>
      <xdr:col>27</xdr:col>
      <xdr:colOff>51426</xdr:colOff>
      <xdr:row>11</xdr:row>
      <xdr:rowOff>117367</xdr:rowOff>
    </xdr:from>
    <xdr:to>
      <xdr:col>35</xdr:col>
      <xdr:colOff>145589</xdr:colOff>
      <xdr:row>21</xdr:row>
      <xdr:rowOff>52491</xdr:rowOff>
    </xdr:to>
    <xdr:sp macro="" textlink="">
      <xdr:nvSpPr>
        <xdr:cNvPr id="251912" name="Rectangle 8">
          <a:extLst>
            <a:ext uri="{FF2B5EF4-FFF2-40B4-BE49-F238E27FC236}">
              <a16:creationId xmlns:a16="http://schemas.microsoft.com/office/drawing/2014/main" id="{00000000-0008-0000-1600-000008D80300}"/>
            </a:ext>
          </a:extLst>
        </xdr:cNvPr>
        <xdr:cNvSpPr>
          <a:spLocks noChangeArrowheads="1"/>
        </xdr:cNvSpPr>
      </xdr:nvSpPr>
      <xdr:spPr bwMode="auto">
        <a:xfrm>
          <a:off x="9184220" y="1854279"/>
          <a:ext cx="2716340" cy="1178977"/>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◇作業手順④</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テストの品質管理指標である「テスト密度」「バグ摘出密度」を工程別に記載し、基準を満たしていることを確認する。</a:t>
          </a:r>
        </a:p>
      </xdr:txBody>
    </xdr:sp>
    <xdr:clientData/>
  </xdr:twoCellAnchor>
  <xdr:twoCellAnchor>
    <xdr:from>
      <xdr:col>27</xdr:col>
      <xdr:colOff>65433</xdr:colOff>
      <xdr:row>22</xdr:row>
      <xdr:rowOff>181803</xdr:rowOff>
    </xdr:from>
    <xdr:to>
      <xdr:col>35</xdr:col>
      <xdr:colOff>121740</xdr:colOff>
      <xdr:row>31</xdr:row>
      <xdr:rowOff>130133</xdr:rowOff>
    </xdr:to>
    <xdr:sp macro="" textlink="">
      <xdr:nvSpPr>
        <xdr:cNvPr id="251913" name="Rectangle 9">
          <a:extLst>
            <a:ext uri="{FF2B5EF4-FFF2-40B4-BE49-F238E27FC236}">
              <a16:creationId xmlns:a16="http://schemas.microsoft.com/office/drawing/2014/main" id="{00000000-0008-0000-1600-000009D80300}"/>
            </a:ext>
          </a:extLst>
        </xdr:cNvPr>
        <xdr:cNvSpPr>
          <a:spLocks noChangeArrowheads="1"/>
        </xdr:cNvSpPr>
      </xdr:nvSpPr>
      <xdr:spPr bwMode="auto">
        <a:xfrm>
          <a:off x="18640425" y="3009900"/>
          <a:ext cx="2657475" cy="120015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◇作業手順⑤</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テストの実施で摘出されたバグの現象を各工程毎に件数を集計してバグの現象の傾向を把握する。</a:t>
          </a:r>
        </a:p>
      </xdr:txBody>
    </xdr:sp>
    <xdr:clientData/>
  </xdr:twoCellAnchor>
  <xdr:twoCellAnchor>
    <xdr:from>
      <xdr:col>27</xdr:col>
      <xdr:colOff>74958</xdr:colOff>
      <xdr:row>35</xdr:row>
      <xdr:rowOff>127966</xdr:rowOff>
    </xdr:from>
    <xdr:to>
      <xdr:col>35</xdr:col>
      <xdr:colOff>131265</xdr:colOff>
      <xdr:row>44</xdr:row>
      <xdr:rowOff>31655</xdr:rowOff>
    </xdr:to>
    <xdr:sp macro="" textlink="">
      <xdr:nvSpPr>
        <xdr:cNvPr id="251914" name="Rectangle 10">
          <a:extLst>
            <a:ext uri="{FF2B5EF4-FFF2-40B4-BE49-F238E27FC236}">
              <a16:creationId xmlns:a16="http://schemas.microsoft.com/office/drawing/2014/main" id="{00000000-0008-0000-1600-00000AD80300}"/>
            </a:ext>
          </a:extLst>
        </xdr:cNvPr>
        <xdr:cNvSpPr>
          <a:spLocks noChangeArrowheads="1"/>
        </xdr:cNvSpPr>
      </xdr:nvSpPr>
      <xdr:spPr bwMode="auto">
        <a:xfrm>
          <a:off x="18649950" y="4629150"/>
          <a:ext cx="2657475" cy="117157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◇作業手順⑥</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テストの実施で摘出されたバグの原因を各工程毎に件数を集計してバグの原因の傾向を把握する。</a:t>
          </a:r>
        </a:p>
      </xdr:txBody>
    </xdr:sp>
    <xdr:clientData/>
  </xdr:twoCellAnchor>
  <xdr:twoCellAnchor>
    <xdr:from>
      <xdr:col>15</xdr:col>
      <xdr:colOff>135965</xdr:colOff>
      <xdr:row>40</xdr:row>
      <xdr:rowOff>93009</xdr:rowOff>
    </xdr:from>
    <xdr:to>
      <xdr:col>21</xdr:col>
      <xdr:colOff>112879</xdr:colOff>
      <xdr:row>47</xdr:row>
      <xdr:rowOff>48565</xdr:rowOff>
    </xdr:to>
    <xdr:sp macro="" textlink="">
      <xdr:nvSpPr>
        <xdr:cNvPr id="237676" name="AutoShape 108">
          <a:extLst>
            <a:ext uri="{FF2B5EF4-FFF2-40B4-BE49-F238E27FC236}">
              <a16:creationId xmlns:a16="http://schemas.microsoft.com/office/drawing/2014/main" id="{00000000-0008-0000-16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21</xdr:col>
      <xdr:colOff>324971</xdr:colOff>
      <xdr:row>7</xdr:row>
      <xdr:rowOff>100853</xdr:rowOff>
    </xdr:from>
    <xdr:to>
      <xdr:col>34</xdr:col>
      <xdr:colOff>224118</xdr:colOff>
      <xdr:row>10</xdr:row>
      <xdr:rowOff>102532</xdr:rowOff>
    </xdr:to>
    <xdr:sp macro="" textlink="">
      <xdr:nvSpPr>
        <xdr:cNvPr id="19" name="AutoShape 2">
          <a:extLst>
            <a:ext uri="{FF2B5EF4-FFF2-40B4-BE49-F238E27FC236}">
              <a16:creationId xmlns:a16="http://schemas.microsoft.com/office/drawing/2014/main" id="{00000000-0008-0000-1600-000013000000}"/>
            </a:ext>
          </a:extLst>
        </xdr:cNvPr>
        <xdr:cNvSpPr>
          <a:spLocks/>
        </xdr:cNvSpPr>
      </xdr:nvSpPr>
      <xdr:spPr bwMode="auto">
        <a:xfrm>
          <a:off x="7451912" y="1266265"/>
          <a:ext cx="4202206" cy="438708"/>
        </a:xfrm>
        <a:prstGeom prst="borderCallout1">
          <a:avLst>
            <a:gd name="adj1" fmla="val 21051"/>
            <a:gd name="adj2" fmla="val -3653"/>
            <a:gd name="adj3" fmla="val 274020"/>
            <a:gd name="adj4" fmla="val -25904"/>
          </a:avLst>
        </a:prstGeom>
        <a:solidFill>
          <a:srgbClr val="FFFFFF"/>
        </a:solidFill>
        <a:ln w="31750">
          <a:solidFill>
            <a:srgbClr val="FF0000"/>
          </a:solidFill>
          <a:miter lim="800000"/>
          <a:headEnd/>
          <a:tailEnd/>
        </a:ln>
      </xdr:spPr>
      <xdr:txBody>
        <a:bodyPr vertOverflow="clip" wrap="square" lIns="27432" tIns="18288" rIns="0" bIns="0" anchor="ctr" upright="1"/>
        <a:lstStyle/>
        <a:p>
          <a:pPr algn="l" rtl="0">
            <a:lnSpc>
              <a:spcPts val="1300"/>
            </a:lnSpc>
            <a:defRPr sz="1000"/>
          </a:pPr>
          <a:r>
            <a:rPr lang="ja-JP" altLang="en-US">
              <a:solidFill>
                <a:srgbClr val="FF0000"/>
              </a:solidFill>
            </a:rPr>
            <a:t>品質メトリクスは、システムテストと無影響確認テストを分けて管理する</a:t>
          </a:r>
          <a:endParaRPr lang="en-US" altLang="ja-JP">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nmp.jri.co.jp/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t570032/&#12487;&#12473;&#12463;&#12488;&#12483;&#12503;/&#21029;&#32025;2-3&#65306;&#21839;&#38988;&#35352;&#36848;&#349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mfg.sharepoint.com/sites/jri/prjmng-std/JPAT/official/&#12497;&#12540;&#12488;&#12490;&#12540;&#20250;&#31038;&#21521;/&#21029;&#32025;2-3&#65306;&#21839;&#38988;&#35352;&#36848;&#349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www.nmp.jri.co.jp/prjmng-std/JPAT/official/&#21029;&#32025;2-3&#65306;&#21839;&#38988;&#35352;&#36848;&#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mfg.sharepoint.com/DOCUME~1/t501951.D1/LOCALS~1/Temp/20091225&#22793;&#26356;.zip%20&#12398;&#19968;&#26178;&#12487;&#12451;&#12524;&#12463;&#12488;&#12522;%201/20091225&#22793;&#26356;/qdd/standardize/pm/official/&#21029;&#32025;2-3&#65306;&#21839;&#38988;&#35352;&#36848;&#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5913;&#23450;&#36039;&#26009;/work/&#20462;&#27491;20090831&#65374;/&#21029;&#32025;2-3&#65306;&#21839;&#38988;&#35352;&#36848;&#349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mfg.sharepoint.com/400.&#29983;&#29987;&#25216;&#34899;/500.&#38283;&#30330;&#27161;&#28310;/14.&#27425;&#26399;&#12503;&#12525;&#12472;&#12455;&#12463;&#12488;&#31649;&#29702;&#12484;&#12540;&#12523;/40_&#21463;&#20837;&#12486;&#12473;&#12488;/&#26032;_&#24115;&#31080;&#12501;&#12457;&#12540;&#12510;&#12483;&#12488;/JPAT&#24115;&#31080;/&#21029;&#32025;2-3&#65306;&#21839;&#38988;&#35352;&#36848;&#3492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smfg.sharepoint.com/sites/jri/prjmng-std/JPAT/official/backup/&#21029;&#32025;2-3&#65306;&#21839;&#38988;&#35352;&#36848;&#349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mfg.sharepoint.com/sites/jri/prjmng-std/JPAT/official/&#21029;&#32025;2-3&#65306;&#21839;&#38988;&#35352;&#36848;&#3492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別紙2-3：問題記述表"/>
      <sheetName val="Note"/>
      <sheetName val="日付ﾃｰﾌﾞﾙ"/>
      <sheetName val="役職"/>
      <sheetName val="リスト"/>
      <sheetName val="Sheet4"/>
      <sheetName val="ステータス"/>
      <sheetName val="Sheet1"/>
      <sheetName val="CPU量分析"/>
      <sheetName val="基礎データ"/>
    </sheetNames>
    <sheetDataSet>
      <sheetData sheetId="0"/>
      <sheetData sheetId="1" refreshError="1">
        <row r="7">
          <cell r="A7" t="str">
            <v>設計</v>
          </cell>
        </row>
        <row r="8">
          <cell r="A8" t="str">
            <v>ドキュメント化</v>
          </cell>
        </row>
        <row r="9">
          <cell r="A9" t="str">
            <v>お客様要求仕様の変更</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概算見積"/>
      <sheetName val="準"/>
      <sheetName val="担"/>
      <sheetName val="入力項目定義書（ﾊﾞｯﾁﾏｽﾀｰ）"/>
      <sheetName val="見積もり前提"/>
      <sheetName val="Sheet1"/>
      <sheetName val="リスト"/>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記入説明（メッセージを追加する前に必ず参照してください）"/>
      <sheetName val="（不要）担当者検索"/>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mfg.sharepoint.com/sites/jri/prjmng-std/JPAT/official/JPAT-PMOT.xls" TargetMode="External"/><Relationship Id="rId1" Type="http://schemas.openxmlformats.org/officeDocument/2006/relationships/hyperlink" Target="https://smfg.sharepoint.com/sites/jri/prjmng-std/JPAT/official/JPAT-PMOT.xl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10.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11.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0.xml"/><Relationship Id="rId1" Type="http://schemas.openxmlformats.org/officeDocument/2006/relationships/printerSettings" Target="../printerSettings/printerSettings12.bin"/><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1.xml"/><Relationship Id="rId1" Type="http://schemas.openxmlformats.org/officeDocument/2006/relationships/printerSettings" Target="../printerSettings/printerSettings13.bin"/><Relationship Id="rId4"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2.xml"/><Relationship Id="rId1" Type="http://schemas.openxmlformats.org/officeDocument/2006/relationships/printerSettings" Target="../printerSettings/printerSettings14.bin"/><Relationship Id="rId4" Type="http://schemas.openxmlformats.org/officeDocument/2006/relationships/comments" Target="../comments5.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3.xml"/><Relationship Id="rId1" Type="http://schemas.openxmlformats.org/officeDocument/2006/relationships/printerSettings" Target="../printerSettings/printerSettings15.bin"/><Relationship Id="rId4" Type="http://schemas.openxmlformats.org/officeDocument/2006/relationships/comments" Target="../comments6.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4.xml"/><Relationship Id="rId1" Type="http://schemas.openxmlformats.org/officeDocument/2006/relationships/printerSettings" Target="../printerSettings/printerSettings16.bin"/><Relationship Id="rId4" Type="http://schemas.openxmlformats.org/officeDocument/2006/relationships/comments" Target="../comments7.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6.xml"/><Relationship Id="rId1" Type="http://schemas.openxmlformats.org/officeDocument/2006/relationships/printerSettings" Target="../printerSettings/printerSettings18.bin"/><Relationship Id="rId4" Type="http://schemas.openxmlformats.org/officeDocument/2006/relationships/comments" Target="../comments8.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7.xml"/><Relationship Id="rId1" Type="http://schemas.openxmlformats.org/officeDocument/2006/relationships/printerSettings" Target="../printerSettings/printerSettings19.bin"/><Relationship Id="rId4" Type="http://schemas.openxmlformats.org/officeDocument/2006/relationships/comments" Target="../comments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8.xml"/><Relationship Id="rId1" Type="http://schemas.openxmlformats.org/officeDocument/2006/relationships/printerSettings" Target="../printerSettings/printerSettings20.bin"/><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9.xml"/><Relationship Id="rId1" Type="http://schemas.openxmlformats.org/officeDocument/2006/relationships/printerSettings" Target="../printerSettings/printerSettings21.bin"/><Relationship Id="rId4" Type="http://schemas.openxmlformats.org/officeDocument/2006/relationships/comments" Target="../comments11.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comments" Target="../comments12.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R75"/>
  <sheetViews>
    <sheetView view="pageBreakPreview" zoomScale="85" zoomScaleNormal="55" zoomScaleSheetLayoutView="85" workbookViewId="0">
      <selection activeCell="CD18" sqref="CD18"/>
    </sheetView>
  </sheetViews>
  <sheetFormatPr defaultColWidth="2.125" defaultRowHeight="13.5" x14ac:dyDescent="0.15"/>
  <cols>
    <col min="1" max="1" width="9" style="277" customWidth="1"/>
    <col min="2" max="60" width="2.125" style="277"/>
    <col min="61" max="61" width="2.125" style="277" customWidth="1"/>
    <col min="62" max="16384" width="2.125" style="277"/>
  </cols>
  <sheetData>
    <row r="1" spans="5:53" ht="34.5" customHeight="1" x14ac:dyDescent="0.15">
      <c r="T1" s="278" t="s">
        <v>521</v>
      </c>
    </row>
    <row r="2" spans="5:53" ht="15.75" customHeight="1" x14ac:dyDescent="0.2">
      <c r="E2" s="279"/>
    </row>
    <row r="3" spans="5:53" ht="14.25" thickBot="1" x14ac:dyDescent="0.2">
      <c r="F3" s="280"/>
      <c r="G3" s="280"/>
      <c r="H3" s="280"/>
      <c r="I3" s="280"/>
      <c r="J3" s="280"/>
      <c r="K3" s="280"/>
      <c r="N3" s="280"/>
      <c r="O3" s="280"/>
      <c r="P3" s="280"/>
      <c r="Q3" s="280"/>
      <c r="R3" s="280"/>
      <c r="S3" s="280"/>
      <c r="T3" s="280"/>
      <c r="U3" s="280"/>
      <c r="V3" s="280"/>
      <c r="W3" s="280"/>
      <c r="X3" s="280"/>
      <c r="Y3" s="280"/>
    </row>
    <row r="4" spans="5:53" ht="27.95" customHeight="1" thickBot="1" x14ac:dyDescent="0.25">
      <c r="G4" s="281"/>
      <c r="H4" s="280"/>
      <c r="I4" s="280"/>
      <c r="J4" s="280"/>
      <c r="K4" s="280"/>
      <c r="L4" s="280"/>
      <c r="M4" s="280"/>
      <c r="N4" s="549" t="s">
        <v>234</v>
      </c>
      <c r="O4" s="550"/>
      <c r="P4" s="550"/>
      <c r="Q4" s="550"/>
      <c r="R4" s="550"/>
      <c r="S4" s="550"/>
      <c r="T4" s="550"/>
      <c r="U4" s="550"/>
      <c r="V4" s="550"/>
      <c r="W4" s="550"/>
      <c r="X4" s="551"/>
      <c r="Y4" s="282"/>
      <c r="Z4" s="282"/>
      <c r="AA4" s="282"/>
      <c r="AB4" s="283"/>
      <c r="AC4" s="283"/>
      <c r="AD4" s="283"/>
      <c r="AE4" s="283"/>
      <c r="AF4" s="283"/>
      <c r="AG4" s="283"/>
      <c r="AH4" s="283"/>
      <c r="AI4" s="283"/>
      <c r="AJ4" s="283"/>
      <c r="AK4" s="283"/>
      <c r="AL4" s="283"/>
      <c r="AM4" s="283"/>
      <c r="AN4" s="283"/>
      <c r="AO4" s="283"/>
      <c r="AP4" s="283"/>
      <c r="AQ4" s="283"/>
      <c r="AR4" s="283"/>
      <c r="AS4" s="283"/>
      <c r="AT4" s="283"/>
      <c r="AU4" s="283"/>
      <c r="AV4" s="283"/>
      <c r="AW4" s="283"/>
      <c r="AX4" s="283"/>
      <c r="AY4" s="283"/>
      <c r="AZ4" s="283"/>
    </row>
    <row r="5" spans="5:53" ht="10.5" customHeight="1" thickBot="1" x14ac:dyDescent="0.25">
      <c r="G5" s="281"/>
      <c r="H5" s="280"/>
      <c r="I5" s="280"/>
      <c r="J5" s="280"/>
      <c r="K5" s="280"/>
      <c r="L5" s="280"/>
      <c r="M5" s="280"/>
      <c r="N5" s="4"/>
      <c r="O5" s="4"/>
      <c r="P5" s="4"/>
      <c r="Q5" s="4"/>
      <c r="R5" s="4"/>
      <c r="S5" s="4"/>
      <c r="T5" s="4"/>
      <c r="U5" s="284"/>
      <c r="V5" s="284"/>
      <c r="W5" s="282"/>
      <c r="X5" s="282"/>
      <c r="Y5" s="282"/>
      <c r="Z5" s="282"/>
      <c r="AA5" s="282"/>
      <c r="AB5" s="283"/>
      <c r="AC5" s="283"/>
      <c r="AD5" s="283"/>
      <c r="AE5" s="283"/>
      <c r="AF5" s="283"/>
      <c r="AG5" s="283"/>
      <c r="AH5" s="283"/>
      <c r="AI5" s="283"/>
      <c r="AJ5" s="283"/>
      <c r="AK5" s="283"/>
      <c r="AL5" s="283"/>
      <c r="AM5" s="283"/>
      <c r="AN5" s="283"/>
      <c r="AO5" s="283"/>
      <c r="AP5" s="283"/>
      <c r="AQ5" s="283"/>
      <c r="AR5" s="283"/>
      <c r="AS5" s="283"/>
      <c r="AT5" s="283"/>
      <c r="AU5" s="283"/>
      <c r="AV5" s="283"/>
      <c r="AW5" s="283"/>
      <c r="AX5" s="283"/>
      <c r="AY5" s="283"/>
      <c r="AZ5" s="283"/>
    </row>
    <row r="6" spans="5:53" ht="27.95" customHeight="1" thickBot="1" x14ac:dyDescent="0.2">
      <c r="K6" s="280"/>
      <c r="L6" s="280"/>
      <c r="M6" s="280"/>
      <c r="N6" s="548" t="s">
        <v>500</v>
      </c>
      <c r="O6" s="548"/>
      <c r="P6" s="548"/>
      <c r="Q6" s="548"/>
      <c r="R6" s="548"/>
      <c r="S6" s="548"/>
      <c r="T6" s="548"/>
      <c r="U6" s="542" t="s">
        <v>128</v>
      </c>
      <c r="V6" s="543"/>
      <c r="W6" s="543"/>
      <c r="X6" s="543"/>
      <c r="Y6" s="543"/>
      <c r="Z6" s="543"/>
      <c r="AA6" s="543"/>
      <c r="AB6" s="543"/>
      <c r="AC6" s="543"/>
      <c r="AD6" s="543"/>
      <c r="AE6" s="543"/>
      <c r="AF6" s="543"/>
      <c r="AG6" s="543"/>
      <c r="AH6" s="543"/>
      <c r="AI6" s="543"/>
      <c r="AJ6" s="543"/>
      <c r="AK6" s="543"/>
      <c r="AL6" s="543"/>
      <c r="AM6" s="543"/>
      <c r="AN6" s="543"/>
      <c r="AO6" s="543"/>
      <c r="AP6" s="543"/>
      <c r="AQ6" s="543"/>
      <c r="AR6" s="543"/>
      <c r="AS6" s="543"/>
      <c r="AT6" s="543"/>
      <c r="AU6" s="543"/>
      <c r="AV6" s="543"/>
      <c r="AW6" s="543"/>
      <c r="AX6" s="543"/>
      <c r="AY6" s="543"/>
      <c r="AZ6" s="543"/>
      <c r="BA6" s="544"/>
    </row>
    <row r="7" spans="5:53" ht="27.95" customHeight="1" thickBot="1" x14ac:dyDescent="0.2">
      <c r="K7" s="280"/>
      <c r="L7" s="280"/>
      <c r="M7" s="280"/>
      <c r="N7" s="548" t="s">
        <v>501</v>
      </c>
      <c r="O7" s="548"/>
      <c r="P7" s="548"/>
      <c r="Q7" s="548"/>
      <c r="R7" s="548"/>
      <c r="S7" s="548"/>
      <c r="T7" s="548"/>
      <c r="U7" s="542" t="s">
        <v>131</v>
      </c>
      <c r="V7" s="543"/>
      <c r="W7" s="543"/>
      <c r="X7" s="543"/>
      <c r="Y7" s="543"/>
      <c r="Z7" s="543"/>
      <c r="AA7" s="543"/>
      <c r="AB7" s="543"/>
      <c r="AC7" s="543"/>
      <c r="AD7" s="543"/>
      <c r="AE7" s="543"/>
      <c r="AF7" s="543"/>
      <c r="AG7" s="543"/>
      <c r="AH7" s="543"/>
      <c r="AI7" s="543"/>
      <c r="AJ7" s="543"/>
      <c r="AK7" s="543"/>
      <c r="AL7" s="543"/>
      <c r="AM7" s="543"/>
      <c r="AN7" s="543"/>
      <c r="AO7" s="543"/>
      <c r="AP7" s="543"/>
      <c r="AQ7" s="543"/>
      <c r="AR7" s="543"/>
      <c r="AS7" s="543"/>
      <c r="AT7" s="543"/>
      <c r="AU7" s="543"/>
      <c r="AV7" s="543"/>
      <c r="AW7" s="543"/>
      <c r="AX7" s="543"/>
      <c r="AY7" s="543"/>
      <c r="AZ7" s="543"/>
      <c r="BA7" s="544"/>
    </row>
    <row r="8" spans="5:53" ht="27.95" customHeight="1" thickBot="1" x14ac:dyDescent="0.2">
      <c r="K8" s="280"/>
      <c r="L8" s="280"/>
      <c r="M8" s="280"/>
      <c r="N8" s="548" t="s">
        <v>502</v>
      </c>
      <c r="O8" s="548"/>
      <c r="P8" s="548"/>
      <c r="Q8" s="548"/>
      <c r="R8" s="548"/>
      <c r="S8" s="548"/>
      <c r="T8" s="548"/>
      <c r="U8" s="542" t="s">
        <v>503</v>
      </c>
      <c r="V8" s="543"/>
      <c r="W8" s="543"/>
      <c r="X8" s="543"/>
      <c r="Y8" s="543"/>
      <c r="Z8" s="543"/>
      <c r="AA8" s="543"/>
      <c r="AB8" s="543"/>
      <c r="AC8" s="543"/>
      <c r="AD8" s="543"/>
      <c r="AE8" s="543"/>
      <c r="AF8" s="543"/>
      <c r="AG8" s="543"/>
      <c r="AH8" s="543"/>
      <c r="AI8" s="543"/>
      <c r="AJ8" s="543"/>
      <c r="AK8" s="543"/>
      <c r="AL8" s="543"/>
      <c r="AM8" s="543"/>
      <c r="AN8" s="543"/>
      <c r="AO8" s="543"/>
      <c r="AP8" s="543"/>
      <c r="AQ8" s="543"/>
      <c r="AR8" s="543"/>
      <c r="AS8" s="543"/>
      <c r="AT8" s="543"/>
      <c r="AU8" s="543"/>
      <c r="AV8" s="543"/>
      <c r="AW8" s="543"/>
      <c r="AX8" s="543"/>
      <c r="AY8" s="543"/>
      <c r="AZ8" s="543"/>
      <c r="BA8" s="544"/>
    </row>
    <row r="9" spans="5:53" ht="27.95" customHeight="1" thickBot="1" x14ac:dyDescent="0.2">
      <c r="K9" s="280"/>
      <c r="L9" s="280"/>
      <c r="M9" s="280"/>
      <c r="N9" s="548" t="s">
        <v>504</v>
      </c>
      <c r="O9" s="548"/>
      <c r="P9" s="548"/>
      <c r="Q9" s="548"/>
      <c r="R9" s="548"/>
      <c r="S9" s="548"/>
      <c r="T9" s="548"/>
      <c r="U9" s="542" t="s">
        <v>235</v>
      </c>
      <c r="V9" s="543"/>
      <c r="W9" s="543"/>
      <c r="X9" s="543"/>
      <c r="Y9" s="543"/>
      <c r="Z9" s="543"/>
      <c r="AA9" s="543"/>
      <c r="AB9" s="543"/>
      <c r="AC9" s="543"/>
      <c r="AD9" s="543"/>
      <c r="AE9" s="543"/>
      <c r="AF9" s="543"/>
      <c r="AG9" s="543"/>
      <c r="AH9" s="543"/>
      <c r="AI9" s="543"/>
      <c r="AJ9" s="543"/>
      <c r="AK9" s="543"/>
      <c r="AL9" s="543"/>
      <c r="AM9" s="543"/>
      <c r="AN9" s="543"/>
      <c r="AO9" s="543"/>
      <c r="AP9" s="543"/>
      <c r="AQ9" s="543"/>
      <c r="AR9" s="543"/>
      <c r="AS9" s="543"/>
      <c r="AT9" s="543"/>
      <c r="AU9" s="543"/>
      <c r="AV9" s="543"/>
      <c r="AW9" s="543"/>
      <c r="AX9" s="543"/>
      <c r="AY9" s="543"/>
      <c r="AZ9" s="543"/>
      <c r="BA9" s="544"/>
    </row>
    <row r="10" spans="5:53" ht="27.95" customHeight="1" thickBot="1" x14ac:dyDescent="0.2">
      <c r="K10" s="280"/>
      <c r="L10" s="280"/>
      <c r="M10" s="280"/>
      <c r="N10" s="548" t="s">
        <v>505</v>
      </c>
      <c r="O10" s="548"/>
      <c r="P10" s="548"/>
      <c r="Q10" s="548"/>
      <c r="R10" s="548"/>
      <c r="S10" s="548"/>
      <c r="T10" s="548"/>
      <c r="U10" s="542" t="s">
        <v>137</v>
      </c>
      <c r="V10" s="543"/>
      <c r="W10" s="543"/>
      <c r="X10" s="543"/>
      <c r="Y10" s="543"/>
      <c r="Z10" s="543"/>
      <c r="AA10" s="543"/>
      <c r="AB10" s="543"/>
      <c r="AC10" s="543"/>
      <c r="AD10" s="543"/>
      <c r="AE10" s="543"/>
      <c r="AF10" s="543"/>
      <c r="AG10" s="543"/>
      <c r="AH10" s="543"/>
      <c r="AI10" s="543"/>
      <c r="AJ10" s="543"/>
      <c r="AK10" s="543"/>
      <c r="AL10" s="543"/>
      <c r="AM10" s="543"/>
      <c r="AN10" s="543"/>
      <c r="AO10" s="543"/>
      <c r="AP10" s="543"/>
      <c r="AQ10" s="543"/>
      <c r="AR10" s="543"/>
      <c r="AS10" s="543"/>
      <c r="AT10" s="543"/>
      <c r="AU10" s="543"/>
      <c r="AV10" s="543"/>
      <c r="AW10" s="543"/>
      <c r="AX10" s="543"/>
      <c r="AY10" s="543"/>
      <c r="AZ10" s="543"/>
      <c r="BA10" s="544"/>
    </row>
    <row r="11" spans="5:53" ht="27.95" customHeight="1" thickBot="1" x14ac:dyDescent="0.2">
      <c r="N11" s="548" t="s">
        <v>506</v>
      </c>
      <c r="O11" s="548"/>
      <c r="P11" s="548"/>
      <c r="Q11" s="548"/>
      <c r="R11" s="548"/>
      <c r="S11" s="548"/>
      <c r="T11" s="548"/>
      <c r="U11" s="542" t="s">
        <v>42</v>
      </c>
      <c r="V11" s="543"/>
      <c r="W11" s="543"/>
      <c r="X11" s="543"/>
      <c r="Y11" s="543"/>
      <c r="Z11" s="543"/>
      <c r="AA11" s="543"/>
      <c r="AB11" s="543"/>
      <c r="AC11" s="543"/>
      <c r="AD11" s="543"/>
      <c r="AE11" s="543"/>
      <c r="AF11" s="543"/>
      <c r="AG11" s="543"/>
      <c r="AH11" s="543"/>
      <c r="AI11" s="543"/>
      <c r="AJ11" s="543"/>
      <c r="AK11" s="543"/>
      <c r="AL11" s="543"/>
      <c r="AM11" s="543"/>
      <c r="AN11" s="543"/>
      <c r="AO11" s="543"/>
      <c r="AP11" s="543"/>
      <c r="AQ11" s="543"/>
      <c r="AR11" s="543"/>
      <c r="AS11" s="543"/>
      <c r="AT11" s="543"/>
      <c r="AU11" s="543"/>
      <c r="AV11" s="543"/>
      <c r="AW11" s="543"/>
      <c r="AX11" s="543"/>
      <c r="AY11" s="543"/>
      <c r="AZ11" s="543"/>
      <c r="BA11" s="544"/>
    </row>
    <row r="12" spans="5:53" ht="27.95" customHeight="1" thickBot="1" x14ac:dyDescent="0.2">
      <c r="N12" s="548" t="s">
        <v>507</v>
      </c>
      <c r="O12" s="548"/>
      <c r="P12" s="548"/>
      <c r="Q12" s="548"/>
      <c r="R12" s="548"/>
      <c r="S12" s="548"/>
      <c r="T12" s="548"/>
      <c r="U12" s="542" t="s">
        <v>45</v>
      </c>
      <c r="V12" s="543"/>
      <c r="W12" s="543"/>
      <c r="X12" s="543"/>
      <c r="Y12" s="543"/>
      <c r="Z12" s="543"/>
      <c r="AA12" s="543"/>
      <c r="AB12" s="543"/>
      <c r="AC12" s="543"/>
      <c r="AD12" s="543"/>
      <c r="AE12" s="543"/>
      <c r="AF12" s="543"/>
      <c r="AG12" s="543"/>
      <c r="AH12" s="543"/>
      <c r="AI12" s="543"/>
      <c r="AJ12" s="543"/>
      <c r="AK12" s="543"/>
      <c r="AL12" s="543"/>
      <c r="AM12" s="543"/>
      <c r="AN12" s="543"/>
      <c r="AO12" s="543"/>
      <c r="AP12" s="543"/>
      <c r="AQ12" s="543"/>
      <c r="AR12" s="543"/>
      <c r="AS12" s="543"/>
      <c r="AT12" s="543"/>
      <c r="AU12" s="543"/>
      <c r="AV12" s="543"/>
      <c r="AW12" s="543"/>
      <c r="AX12" s="543"/>
      <c r="AY12" s="543"/>
      <c r="AZ12" s="543"/>
      <c r="BA12" s="544"/>
    </row>
    <row r="13" spans="5:53" ht="27.95" customHeight="1" thickBot="1" x14ac:dyDescent="0.2">
      <c r="N13" s="548" t="s">
        <v>508</v>
      </c>
      <c r="O13" s="548"/>
      <c r="P13" s="548"/>
      <c r="Q13" s="548"/>
      <c r="R13" s="548"/>
      <c r="S13" s="548"/>
      <c r="T13" s="548"/>
      <c r="U13" s="542" t="s">
        <v>48</v>
      </c>
      <c r="V13" s="543"/>
      <c r="W13" s="543"/>
      <c r="X13" s="543"/>
      <c r="Y13" s="543"/>
      <c r="Z13" s="543"/>
      <c r="AA13" s="543"/>
      <c r="AB13" s="543"/>
      <c r="AC13" s="543"/>
      <c r="AD13" s="543"/>
      <c r="AE13" s="543"/>
      <c r="AF13" s="543"/>
      <c r="AG13" s="543"/>
      <c r="AH13" s="543"/>
      <c r="AI13" s="543"/>
      <c r="AJ13" s="543"/>
      <c r="AK13" s="543"/>
      <c r="AL13" s="543"/>
      <c r="AM13" s="543"/>
      <c r="AN13" s="543"/>
      <c r="AO13" s="543"/>
      <c r="AP13" s="543"/>
      <c r="AQ13" s="543"/>
      <c r="AR13" s="543"/>
      <c r="AS13" s="543"/>
      <c r="AT13" s="543"/>
      <c r="AU13" s="543"/>
      <c r="AV13" s="543"/>
      <c r="AW13" s="543"/>
      <c r="AX13" s="543"/>
      <c r="AY13" s="543"/>
      <c r="AZ13" s="543"/>
      <c r="BA13" s="544"/>
    </row>
    <row r="14" spans="5:53" ht="27.95" customHeight="1" thickBot="1" x14ac:dyDescent="0.2">
      <c r="N14" s="548" t="s">
        <v>509</v>
      </c>
      <c r="O14" s="548"/>
      <c r="P14" s="548"/>
      <c r="Q14" s="548"/>
      <c r="R14" s="548"/>
      <c r="S14" s="548"/>
      <c r="T14" s="548"/>
      <c r="U14" s="542" t="s">
        <v>51</v>
      </c>
      <c r="V14" s="543"/>
      <c r="W14" s="543"/>
      <c r="X14" s="543"/>
      <c r="Y14" s="543"/>
      <c r="Z14" s="543"/>
      <c r="AA14" s="543"/>
      <c r="AB14" s="543"/>
      <c r="AC14" s="543"/>
      <c r="AD14" s="543"/>
      <c r="AE14" s="543"/>
      <c r="AF14" s="543"/>
      <c r="AG14" s="543"/>
      <c r="AH14" s="543"/>
      <c r="AI14" s="543"/>
      <c r="AJ14" s="543"/>
      <c r="AK14" s="543"/>
      <c r="AL14" s="543"/>
      <c r="AM14" s="543"/>
      <c r="AN14" s="543"/>
      <c r="AO14" s="543"/>
      <c r="AP14" s="543"/>
      <c r="AQ14" s="543"/>
      <c r="AR14" s="543"/>
      <c r="AS14" s="543"/>
      <c r="AT14" s="543"/>
      <c r="AU14" s="543"/>
      <c r="AV14" s="543"/>
      <c r="AW14" s="543"/>
      <c r="AX14" s="543"/>
      <c r="AY14" s="543"/>
      <c r="AZ14" s="543"/>
      <c r="BA14" s="544"/>
    </row>
    <row r="15" spans="5:53" ht="27.95" customHeight="1" thickBot="1" x14ac:dyDescent="0.2">
      <c r="N15" s="548" t="s">
        <v>510</v>
      </c>
      <c r="O15" s="548"/>
      <c r="P15" s="548"/>
      <c r="Q15" s="548"/>
      <c r="R15" s="548"/>
      <c r="S15" s="548"/>
      <c r="T15" s="548"/>
      <c r="U15" s="542" t="s">
        <v>54</v>
      </c>
      <c r="V15" s="543"/>
      <c r="W15" s="543"/>
      <c r="X15" s="543"/>
      <c r="Y15" s="543"/>
      <c r="Z15" s="543"/>
      <c r="AA15" s="543"/>
      <c r="AB15" s="543"/>
      <c r="AC15" s="543"/>
      <c r="AD15" s="543"/>
      <c r="AE15" s="543"/>
      <c r="AF15" s="543"/>
      <c r="AG15" s="543"/>
      <c r="AH15" s="543"/>
      <c r="AI15" s="543"/>
      <c r="AJ15" s="543"/>
      <c r="AK15" s="543"/>
      <c r="AL15" s="543"/>
      <c r="AM15" s="543"/>
      <c r="AN15" s="543"/>
      <c r="AO15" s="543"/>
      <c r="AP15" s="543"/>
      <c r="AQ15" s="543"/>
      <c r="AR15" s="543"/>
      <c r="AS15" s="543"/>
      <c r="AT15" s="543"/>
      <c r="AU15" s="543"/>
      <c r="AV15" s="543"/>
      <c r="AW15" s="543"/>
      <c r="AX15" s="543"/>
      <c r="AY15" s="543"/>
      <c r="AZ15" s="543"/>
      <c r="BA15" s="544"/>
    </row>
    <row r="16" spans="5:53" ht="27.95" customHeight="1" thickBot="1" x14ac:dyDescent="0.2">
      <c r="N16" s="548" t="s">
        <v>56</v>
      </c>
      <c r="O16" s="548"/>
      <c r="P16" s="548"/>
      <c r="Q16" s="548"/>
      <c r="R16" s="548"/>
      <c r="S16" s="548"/>
      <c r="T16" s="548"/>
      <c r="U16" s="542" t="s">
        <v>57</v>
      </c>
      <c r="V16" s="543"/>
      <c r="W16" s="543"/>
      <c r="X16" s="543"/>
      <c r="Y16" s="543"/>
      <c r="Z16" s="543"/>
      <c r="AA16" s="543"/>
      <c r="AB16" s="543"/>
      <c r="AC16" s="543"/>
      <c r="AD16" s="543"/>
      <c r="AE16" s="543"/>
      <c r="AF16" s="543"/>
      <c r="AG16" s="543"/>
      <c r="AH16" s="543"/>
      <c r="AI16" s="543"/>
      <c r="AJ16" s="543"/>
      <c r="AK16" s="543"/>
      <c r="AL16" s="543"/>
      <c r="AM16" s="543"/>
      <c r="AN16" s="543"/>
      <c r="AO16" s="543"/>
      <c r="AP16" s="543"/>
      <c r="AQ16" s="543"/>
      <c r="AR16" s="543"/>
      <c r="AS16" s="543"/>
      <c r="AT16" s="543"/>
      <c r="AU16" s="543"/>
      <c r="AV16" s="543"/>
      <c r="AW16" s="543"/>
      <c r="AX16" s="543"/>
      <c r="AY16" s="543"/>
      <c r="AZ16" s="543"/>
      <c r="BA16" s="544"/>
    </row>
    <row r="17" spans="2:69" ht="27.95" customHeight="1" thickBot="1" x14ac:dyDescent="0.2">
      <c r="N17" s="548" t="s">
        <v>511</v>
      </c>
      <c r="O17" s="548"/>
      <c r="P17" s="548"/>
      <c r="Q17" s="548"/>
      <c r="R17" s="548"/>
      <c r="S17" s="548"/>
      <c r="T17" s="548"/>
      <c r="U17" s="542" t="s">
        <v>60</v>
      </c>
      <c r="V17" s="543"/>
      <c r="W17" s="543"/>
      <c r="X17" s="543"/>
      <c r="Y17" s="543"/>
      <c r="Z17" s="543"/>
      <c r="AA17" s="543"/>
      <c r="AB17" s="543"/>
      <c r="AC17" s="543"/>
      <c r="AD17" s="543"/>
      <c r="AE17" s="543"/>
      <c r="AF17" s="543"/>
      <c r="AG17" s="543"/>
      <c r="AH17" s="543"/>
      <c r="AI17" s="543"/>
      <c r="AJ17" s="543"/>
      <c r="AK17" s="543"/>
      <c r="AL17" s="543"/>
      <c r="AM17" s="543"/>
      <c r="AN17" s="543"/>
      <c r="AO17" s="543"/>
      <c r="AP17" s="543"/>
      <c r="AQ17" s="543"/>
      <c r="AR17" s="543"/>
      <c r="AS17" s="543"/>
      <c r="AT17" s="543"/>
      <c r="AU17" s="543"/>
      <c r="AV17" s="543"/>
      <c r="AW17" s="543"/>
      <c r="AX17" s="543"/>
      <c r="AY17" s="543"/>
      <c r="AZ17" s="543"/>
      <c r="BA17" s="544"/>
    </row>
    <row r="18" spans="2:69" ht="27.95" customHeight="1" thickBot="1" x14ac:dyDescent="0.2">
      <c r="J18" s="285"/>
      <c r="N18" s="548" t="s">
        <v>512</v>
      </c>
      <c r="O18" s="548"/>
      <c r="P18" s="548"/>
      <c r="Q18" s="548"/>
      <c r="R18" s="548"/>
      <c r="S18" s="548"/>
      <c r="T18" s="548"/>
      <c r="U18" s="542" t="s">
        <v>309</v>
      </c>
      <c r="V18" s="543"/>
      <c r="W18" s="543"/>
      <c r="X18" s="543"/>
      <c r="Y18" s="543"/>
      <c r="Z18" s="543"/>
      <c r="AA18" s="543"/>
      <c r="AB18" s="543"/>
      <c r="AC18" s="543"/>
      <c r="AD18" s="543"/>
      <c r="AE18" s="543"/>
      <c r="AF18" s="543"/>
      <c r="AG18" s="543"/>
      <c r="AH18" s="543"/>
      <c r="AI18" s="543"/>
      <c r="AJ18" s="543"/>
      <c r="AK18" s="543"/>
      <c r="AL18" s="543"/>
      <c r="AM18" s="543"/>
      <c r="AN18" s="543"/>
      <c r="AO18" s="543"/>
      <c r="AP18" s="543"/>
      <c r="AQ18" s="543"/>
      <c r="AR18" s="543"/>
      <c r="AS18" s="543"/>
      <c r="AT18" s="543"/>
      <c r="AU18" s="543"/>
      <c r="AV18" s="543"/>
      <c r="AW18" s="543"/>
      <c r="AX18" s="543"/>
      <c r="AY18" s="543"/>
      <c r="AZ18" s="543"/>
      <c r="BA18" s="544"/>
    </row>
    <row r="19" spans="2:69" ht="27.95" customHeight="1" thickBot="1" x14ac:dyDescent="0.2">
      <c r="J19" s="285"/>
      <c r="N19" s="548" t="s">
        <v>513</v>
      </c>
      <c r="O19" s="548"/>
      <c r="P19" s="548"/>
      <c r="Q19" s="548"/>
      <c r="R19" s="548"/>
      <c r="S19" s="548"/>
      <c r="T19" s="548"/>
      <c r="U19" s="542" t="s">
        <v>368</v>
      </c>
      <c r="V19" s="543"/>
      <c r="W19" s="543"/>
      <c r="X19" s="543"/>
      <c r="Y19" s="543"/>
      <c r="Z19" s="543"/>
      <c r="AA19" s="543"/>
      <c r="AB19" s="543"/>
      <c r="AC19" s="543"/>
      <c r="AD19" s="543"/>
      <c r="AE19" s="543"/>
      <c r="AF19" s="543"/>
      <c r="AG19" s="543"/>
      <c r="AH19" s="543"/>
      <c r="AI19" s="543"/>
      <c r="AJ19" s="543"/>
      <c r="AK19" s="543"/>
      <c r="AL19" s="543"/>
      <c r="AM19" s="543"/>
      <c r="AN19" s="543"/>
      <c r="AO19" s="543"/>
      <c r="AP19" s="543"/>
      <c r="AQ19" s="543"/>
      <c r="AR19" s="543"/>
      <c r="AS19" s="543"/>
      <c r="AT19" s="543"/>
      <c r="AU19" s="543"/>
      <c r="AV19" s="543"/>
      <c r="AW19" s="543"/>
      <c r="AX19" s="543"/>
      <c r="AY19" s="543"/>
      <c r="AZ19" s="543"/>
      <c r="BA19" s="544"/>
    </row>
    <row r="20" spans="2:69" ht="27.95" customHeight="1" thickBot="1" x14ac:dyDescent="0.2">
      <c r="N20" s="548" t="s">
        <v>67</v>
      </c>
      <c r="O20" s="548"/>
      <c r="P20" s="548"/>
      <c r="Q20" s="548"/>
      <c r="R20" s="548"/>
      <c r="S20" s="548"/>
      <c r="T20" s="548"/>
      <c r="U20" s="542" t="s">
        <v>68</v>
      </c>
      <c r="V20" s="543"/>
      <c r="W20" s="543"/>
      <c r="X20" s="543"/>
      <c r="Y20" s="543"/>
      <c r="Z20" s="543"/>
      <c r="AA20" s="543"/>
      <c r="AB20" s="543"/>
      <c r="AC20" s="543"/>
      <c r="AD20" s="543"/>
      <c r="AE20" s="543"/>
      <c r="AF20" s="543"/>
      <c r="AG20" s="543"/>
      <c r="AH20" s="543"/>
      <c r="AI20" s="543"/>
      <c r="AJ20" s="543"/>
      <c r="AK20" s="543"/>
      <c r="AL20" s="543"/>
      <c r="AM20" s="543"/>
      <c r="AN20" s="543"/>
      <c r="AO20" s="543"/>
      <c r="AP20" s="543"/>
      <c r="AQ20" s="543"/>
      <c r="AR20" s="543"/>
      <c r="AS20" s="543"/>
      <c r="AT20" s="543"/>
      <c r="AU20" s="543"/>
      <c r="AV20" s="543"/>
      <c r="AW20" s="543"/>
      <c r="AX20" s="543"/>
      <c r="AY20" s="543"/>
      <c r="AZ20" s="543"/>
      <c r="BA20" s="544"/>
    </row>
    <row r="21" spans="2:69" ht="27.95" customHeight="1" thickBot="1" x14ac:dyDescent="0.2">
      <c r="N21" s="548" t="s">
        <v>514</v>
      </c>
      <c r="O21" s="548"/>
      <c r="P21" s="548"/>
      <c r="Q21" s="548"/>
      <c r="R21" s="548"/>
      <c r="S21" s="548"/>
      <c r="T21" s="548"/>
      <c r="U21" s="542" t="s">
        <v>71</v>
      </c>
      <c r="V21" s="543"/>
      <c r="W21" s="543"/>
      <c r="X21" s="543"/>
      <c r="Y21" s="543"/>
      <c r="Z21" s="543"/>
      <c r="AA21" s="543"/>
      <c r="AB21" s="543"/>
      <c r="AC21" s="543"/>
      <c r="AD21" s="543"/>
      <c r="AE21" s="543"/>
      <c r="AF21" s="543"/>
      <c r="AG21" s="543"/>
      <c r="AH21" s="543"/>
      <c r="AI21" s="543"/>
      <c r="AJ21" s="543"/>
      <c r="AK21" s="543"/>
      <c r="AL21" s="543"/>
      <c r="AM21" s="543"/>
      <c r="AN21" s="543"/>
      <c r="AO21" s="543"/>
      <c r="AP21" s="543"/>
      <c r="AQ21" s="543"/>
      <c r="AR21" s="543"/>
      <c r="AS21" s="543"/>
      <c r="AT21" s="543"/>
      <c r="AU21" s="543"/>
      <c r="AV21" s="543"/>
      <c r="AW21" s="543"/>
      <c r="AX21" s="543"/>
      <c r="AY21" s="543"/>
      <c r="AZ21" s="543"/>
      <c r="BA21" s="544"/>
    </row>
    <row r="22" spans="2:69" ht="27.95" customHeight="1" thickBot="1" x14ac:dyDescent="0.2">
      <c r="N22" s="548" t="s">
        <v>515</v>
      </c>
      <c r="O22" s="548"/>
      <c r="P22" s="548"/>
      <c r="Q22" s="548"/>
      <c r="R22" s="548"/>
      <c r="S22" s="548"/>
      <c r="T22" s="548"/>
      <c r="U22" s="542" t="s">
        <v>73</v>
      </c>
      <c r="V22" s="543"/>
      <c r="W22" s="543"/>
      <c r="X22" s="543"/>
      <c r="Y22" s="543"/>
      <c r="Z22" s="543"/>
      <c r="AA22" s="543"/>
      <c r="AB22" s="543"/>
      <c r="AC22" s="543"/>
      <c r="AD22" s="543"/>
      <c r="AE22" s="543"/>
      <c r="AF22" s="543"/>
      <c r="AG22" s="543"/>
      <c r="AH22" s="543"/>
      <c r="AI22" s="543"/>
      <c r="AJ22" s="543"/>
      <c r="AK22" s="543"/>
      <c r="AL22" s="543"/>
      <c r="AM22" s="543"/>
      <c r="AN22" s="543"/>
      <c r="AO22" s="543"/>
      <c r="AP22" s="543"/>
      <c r="AQ22" s="543"/>
      <c r="AR22" s="543"/>
      <c r="AS22" s="543"/>
      <c r="AT22" s="543"/>
      <c r="AU22" s="543"/>
      <c r="AV22" s="543"/>
      <c r="AW22" s="543"/>
      <c r="AX22" s="543"/>
      <c r="AY22" s="543"/>
      <c r="AZ22" s="543"/>
      <c r="BA22" s="544"/>
    </row>
    <row r="23" spans="2:69" ht="27.95" customHeight="1" thickBot="1" x14ac:dyDescent="0.2">
      <c r="N23" s="548" t="s">
        <v>75</v>
      </c>
      <c r="O23" s="548"/>
      <c r="P23" s="548"/>
      <c r="Q23" s="548"/>
      <c r="R23" s="548"/>
      <c r="S23" s="548"/>
      <c r="T23" s="548"/>
      <c r="U23" s="542" t="s">
        <v>76</v>
      </c>
      <c r="V23" s="543"/>
      <c r="W23" s="543"/>
      <c r="X23" s="543"/>
      <c r="Y23" s="543"/>
      <c r="Z23" s="543"/>
      <c r="AA23" s="543"/>
      <c r="AB23" s="543"/>
      <c r="AC23" s="543"/>
      <c r="AD23" s="543"/>
      <c r="AE23" s="543"/>
      <c r="AF23" s="543"/>
      <c r="AG23" s="543"/>
      <c r="AH23" s="543"/>
      <c r="AI23" s="543"/>
      <c r="AJ23" s="543"/>
      <c r="AK23" s="543"/>
      <c r="AL23" s="543"/>
      <c r="AM23" s="543"/>
      <c r="AN23" s="543"/>
      <c r="AO23" s="543"/>
      <c r="AP23" s="543"/>
      <c r="AQ23" s="543"/>
      <c r="AR23" s="543"/>
      <c r="AS23" s="543"/>
      <c r="AT23" s="543"/>
      <c r="AU23" s="543"/>
      <c r="AV23" s="543"/>
      <c r="AW23" s="543"/>
      <c r="AX23" s="543"/>
      <c r="AY23" s="543"/>
      <c r="AZ23" s="543"/>
      <c r="BA23" s="544"/>
    </row>
    <row r="24" spans="2:69" ht="27.95" customHeight="1" thickBot="1" x14ac:dyDescent="0.2">
      <c r="N24" s="548" t="s">
        <v>516</v>
      </c>
      <c r="O24" s="548"/>
      <c r="P24" s="548"/>
      <c r="Q24" s="548"/>
      <c r="R24" s="548"/>
      <c r="S24" s="548"/>
      <c r="T24" s="548"/>
      <c r="U24" s="542" t="s">
        <v>629</v>
      </c>
      <c r="V24" s="543"/>
      <c r="W24" s="543"/>
      <c r="X24" s="543"/>
      <c r="Y24" s="543"/>
      <c r="Z24" s="543"/>
      <c r="AA24" s="543"/>
      <c r="AB24" s="543"/>
      <c r="AC24" s="543"/>
      <c r="AD24" s="543"/>
      <c r="AE24" s="543"/>
      <c r="AF24" s="543"/>
      <c r="AG24" s="543"/>
      <c r="AH24" s="543"/>
      <c r="AI24" s="543"/>
      <c r="AJ24" s="543"/>
      <c r="AK24" s="543"/>
      <c r="AL24" s="543"/>
      <c r="AM24" s="543"/>
      <c r="AN24" s="543"/>
      <c r="AO24" s="543"/>
      <c r="AP24" s="543"/>
      <c r="AQ24" s="543"/>
      <c r="AR24" s="543"/>
      <c r="AS24" s="543"/>
      <c r="AT24" s="543"/>
      <c r="AU24" s="543"/>
      <c r="AV24" s="543"/>
      <c r="AW24" s="543"/>
      <c r="AX24" s="543"/>
      <c r="AY24" s="543"/>
      <c r="AZ24" s="543"/>
      <c r="BA24" s="544"/>
    </row>
    <row r="25" spans="2:69" ht="27.95" customHeight="1" thickBot="1" x14ac:dyDescent="0.2">
      <c r="N25" s="548" t="s">
        <v>517</v>
      </c>
      <c r="O25" s="548"/>
      <c r="P25" s="548"/>
      <c r="Q25" s="548"/>
      <c r="R25" s="548"/>
      <c r="S25" s="548"/>
      <c r="T25" s="548"/>
      <c r="U25" s="542" t="s">
        <v>630</v>
      </c>
      <c r="V25" s="543"/>
      <c r="W25" s="543"/>
      <c r="X25" s="543"/>
      <c r="Y25" s="543"/>
      <c r="Z25" s="543"/>
      <c r="AA25" s="543"/>
      <c r="AB25" s="543"/>
      <c r="AC25" s="543"/>
      <c r="AD25" s="543"/>
      <c r="AE25" s="543"/>
      <c r="AF25" s="543"/>
      <c r="AG25" s="543"/>
      <c r="AH25" s="543"/>
      <c r="AI25" s="543"/>
      <c r="AJ25" s="543"/>
      <c r="AK25" s="543"/>
      <c r="AL25" s="543"/>
      <c r="AM25" s="543"/>
      <c r="AN25" s="543"/>
      <c r="AO25" s="543"/>
      <c r="AP25" s="543"/>
      <c r="AQ25" s="543"/>
      <c r="AR25" s="543"/>
      <c r="AS25" s="543"/>
      <c r="AT25" s="543"/>
      <c r="AU25" s="543"/>
      <c r="AV25" s="543"/>
      <c r="AW25" s="543"/>
      <c r="AX25" s="543"/>
      <c r="AY25" s="543"/>
      <c r="AZ25" s="543"/>
      <c r="BA25" s="544"/>
    </row>
    <row r="26" spans="2:69" ht="27.95" customHeight="1" thickBot="1" x14ac:dyDescent="0.2">
      <c r="N26" s="548" t="s">
        <v>690</v>
      </c>
      <c r="O26" s="548"/>
      <c r="P26" s="548"/>
      <c r="Q26" s="548"/>
      <c r="R26" s="548"/>
      <c r="S26" s="548"/>
      <c r="T26" s="548"/>
      <c r="U26" s="542" t="s">
        <v>691</v>
      </c>
      <c r="V26" s="543"/>
      <c r="W26" s="543"/>
      <c r="X26" s="543"/>
      <c r="Y26" s="543"/>
      <c r="Z26" s="543"/>
      <c r="AA26" s="543"/>
      <c r="AB26" s="543"/>
      <c r="AC26" s="543"/>
      <c r="AD26" s="543"/>
      <c r="AE26" s="543"/>
      <c r="AF26" s="543"/>
      <c r="AG26" s="543"/>
      <c r="AH26" s="543"/>
      <c r="AI26" s="543"/>
      <c r="AJ26" s="543"/>
      <c r="AK26" s="543"/>
      <c r="AL26" s="543"/>
      <c r="AM26" s="543"/>
      <c r="AN26" s="543"/>
      <c r="AO26" s="543"/>
      <c r="AP26" s="543"/>
      <c r="AQ26" s="543"/>
      <c r="AR26" s="543"/>
      <c r="AS26" s="543"/>
      <c r="AT26" s="543"/>
      <c r="AU26" s="543"/>
      <c r="AV26" s="543"/>
      <c r="AW26" s="543"/>
      <c r="AX26" s="543"/>
      <c r="AY26" s="543"/>
      <c r="AZ26" s="543"/>
      <c r="BA26" s="544"/>
    </row>
    <row r="27" spans="2:69" ht="27.95" customHeight="1" thickBot="1" x14ac:dyDescent="0.2">
      <c r="N27" s="548" t="s">
        <v>518</v>
      </c>
      <c r="O27" s="548"/>
      <c r="P27" s="548"/>
      <c r="Q27" s="548"/>
      <c r="R27" s="548"/>
      <c r="S27" s="548"/>
      <c r="T27" s="548"/>
      <c r="U27" s="542" t="s">
        <v>83</v>
      </c>
      <c r="V27" s="543"/>
      <c r="W27" s="543"/>
      <c r="X27" s="543"/>
      <c r="Y27" s="543"/>
      <c r="Z27" s="543"/>
      <c r="AA27" s="543"/>
      <c r="AB27" s="543"/>
      <c r="AC27" s="543"/>
      <c r="AD27" s="543"/>
      <c r="AE27" s="543"/>
      <c r="AF27" s="543"/>
      <c r="AG27" s="543"/>
      <c r="AH27" s="543"/>
      <c r="AI27" s="543"/>
      <c r="AJ27" s="543"/>
      <c r="AK27" s="543"/>
      <c r="AL27" s="543"/>
      <c r="AM27" s="543"/>
      <c r="AN27" s="543"/>
      <c r="AO27" s="543"/>
      <c r="AP27" s="543"/>
      <c r="AQ27" s="543"/>
      <c r="AR27" s="543"/>
      <c r="AS27" s="543"/>
      <c r="AT27" s="543"/>
      <c r="AU27" s="543"/>
      <c r="AV27" s="543"/>
      <c r="AW27" s="543"/>
      <c r="AX27" s="543"/>
      <c r="AY27" s="543"/>
      <c r="AZ27" s="543"/>
      <c r="BA27" s="544"/>
    </row>
    <row r="28" spans="2:69" x14ac:dyDescent="0.15">
      <c r="U28" s="280"/>
      <c r="V28" s="280"/>
    </row>
    <row r="29" spans="2:69" x14ac:dyDescent="0.15">
      <c r="U29" s="280"/>
      <c r="V29" s="280"/>
    </row>
    <row r="30" spans="2:69" ht="14.25" x14ac:dyDescent="0.15">
      <c r="C30" s="286"/>
      <c r="N30" s="286" t="s">
        <v>522</v>
      </c>
      <c r="O30" s="286"/>
      <c r="P30" s="286"/>
      <c r="Q30" s="286"/>
      <c r="R30" s="286"/>
      <c r="S30" s="286"/>
      <c r="T30" s="286"/>
      <c r="U30" s="290"/>
      <c r="V30" s="290"/>
      <c r="W30" s="286"/>
      <c r="AG30" s="286"/>
    </row>
    <row r="31" spans="2:69" ht="14.25" x14ac:dyDescent="0.15">
      <c r="C31" s="286"/>
      <c r="N31" s="303" t="s">
        <v>760</v>
      </c>
      <c r="O31" s="303"/>
      <c r="P31" s="303"/>
      <c r="Q31" s="303"/>
      <c r="R31" s="303"/>
      <c r="S31" s="303"/>
      <c r="T31" s="303"/>
      <c r="U31" s="303"/>
      <c r="V31" s="303"/>
      <c r="W31" s="303"/>
      <c r="X31" s="303"/>
      <c r="Y31" s="303"/>
      <c r="Z31" s="303"/>
      <c r="AA31" s="303"/>
      <c r="AB31" s="303"/>
      <c r="AC31" s="303"/>
      <c r="AD31" s="303"/>
      <c r="AE31" s="303"/>
      <c r="AF31" s="303"/>
      <c r="AG31" s="303"/>
    </row>
    <row r="32" spans="2:69" ht="14.25" thickBot="1" x14ac:dyDescent="0.2">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c r="AF32" s="287"/>
      <c r="AG32" s="287"/>
      <c r="AH32" s="287"/>
      <c r="AI32" s="287"/>
      <c r="AJ32" s="287"/>
      <c r="AK32" s="287"/>
      <c r="AL32" s="287"/>
      <c r="AM32" s="287"/>
      <c r="AN32" s="287"/>
      <c r="AO32" s="287"/>
      <c r="AP32" s="287"/>
      <c r="AQ32" s="287"/>
      <c r="AR32" s="287"/>
      <c r="AS32" s="287"/>
      <c r="AT32" s="287"/>
      <c r="AU32" s="287"/>
      <c r="AV32" s="287"/>
      <c r="AW32" s="287"/>
      <c r="AX32" s="287"/>
      <c r="AY32" s="287"/>
      <c r="AZ32" s="287"/>
      <c r="BA32" s="287"/>
      <c r="BB32" s="287"/>
      <c r="BC32" s="287"/>
      <c r="BD32" s="287"/>
      <c r="BE32" s="287"/>
      <c r="BF32" s="287"/>
      <c r="BG32" s="287"/>
      <c r="BH32" s="287"/>
      <c r="BI32" s="287"/>
      <c r="BJ32" s="287"/>
      <c r="BK32" s="287"/>
      <c r="BL32" s="287"/>
      <c r="BM32" s="287"/>
      <c r="BN32" s="287"/>
      <c r="BO32" s="287"/>
      <c r="BP32" s="287"/>
      <c r="BQ32" s="287"/>
    </row>
    <row r="33" spans="1:70" x14ac:dyDescent="0.15">
      <c r="A33" s="289"/>
      <c r="B33" s="289"/>
      <c r="C33" s="289"/>
      <c r="D33" s="289"/>
      <c r="E33" s="289"/>
      <c r="F33" s="289"/>
      <c r="G33" s="289"/>
      <c r="H33" s="289"/>
      <c r="I33" s="289"/>
      <c r="J33" s="289"/>
      <c r="K33" s="289"/>
      <c r="L33" s="289"/>
      <c r="M33" s="289"/>
      <c r="N33" s="289"/>
      <c r="O33" s="289"/>
      <c r="P33" s="289"/>
      <c r="Q33" s="289"/>
      <c r="R33" s="289"/>
      <c r="S33" s="289"/>
      <c r="T33" s="289"/>
      <c r="U33" s="289"/>
      <c r="V33" s="289"/>
      <c r="W33" s="289"/>
      <c r="X33" s="289"/>
      <c r="Y33" s="289"/>
      <c r="Z33" s="289"/>
      <c r="AA33" s="289"/>
      <c r="AB33" s="289"/>
      <c r="AC33" s="289"/>
      <c r="AD33" s="289"/>
      <c r="AE33" s="289"/>
      <c r="AF33" s="289"/>
      <c r="AG33" s="289"/>
      <c r="AH33" s="289"/>
      <c r="AI33" s="289"/>
      <c r="AJ33" s="289"/>
      <c r="AK33" s="289"/>
      <c r="AL33" s="289"/>
      <c r="AM33" s="289"/>
      <c r="AN33" s="289"/>
      <c r="AO33" s="289"/>
      <c r="AP33" s="289"/>
      <c r="AQ33" s="289"/>
      <c r="AR33" s="289"/>
      <c r="AS33" s="289"/>
      <c r="AT33" s="289"/>
      <c r="AU33" s="289"/>
      <c r="AV33" s="289"/>
      <c r="AW33" s="289"/>
      <c r="AX33" s="289"/>
      <c r="AY33" s="289"/>
      <c r="AZ33" s="289"/>
      <c r="BA33" s="289"/>
      <c r="BB33" s="289"/>
      <c r="BC33" s="289"/>
      <c r="BD33" s="289"/>
      <c r="BE33" s="289"/>
      <c r="BF33" s="289"/>
      <c r="BG33" s="289"/>
      <c r="BH33" s="289"/>
      <c r="BI33" s="289"/>
      <c r="BJ33" s="289"/>
      <c r="BK33" s="289"/>
      <c r="BL33" s="289"/>
      <c r="BM33" s="289"/>
      <c r="BN33" s="289"/>
      <c r="BO33" s="289"/>
      <c r="BP33" s="289"/>
      <c r="BQ33" s="289"/>
      <c r="BR33" s="289"/>
    </row>
    <row r="34" spans="1:70" x14ac:dyDescent="0.15">
      <c r="A34" s="289"/>
      <c r="B34" s="289"/>
      <c r="C34" s="291"/>
      <c r="D34" s="545" t="s">
        <v>519</v>
      </c>
      <c r="E34" s="546"/>
      <c r="F34" s="546"/>
      <c r="G34" s="546"/>
      <c r="H34" s="546"/>
      <c r="I34" s="546"/>
      <c r="J34" s="547"/>
      <c r="K34" s="292"/>
      <c r="L34" s="292"/>
      <c r="M34" s="292"/>
      <c r="N34" s="292"/>
      <c r="O34" s="292"/>
      <c r="P34" s="292"/>
      <c r="Q34" s="292"/>
      <c r="R34" s="293"/>
      <c r="S34" s="293"/>
      <c r="T34" s="293"/>
      <c r="U34" s="293"/>
      <c r="V34" s="293"/>
      <c r="W34" s="545" t="s">
        <v>520</v>
      </c>
      <c r="X34" s="546"/>
      <c r="Y34" s="546"/>
      <c r="Z34" s="546"/>
      <c r="AA34" s="546"/>
      <c r="AB34" s="546"/>
      <c r="AC34" s="546"/>
      <c r="AD34" s="546"/>
      <c r="AE34" s="546"/>
      <c r="AF34" s="546"/>
      <c r="AG34" s="547"/>
      <c r="AH34" s="293"/>
      <c r="AI34" s="293"/>
      <c r="AJ34" s="293"/>
      <c r="AK34" s="293"/>
      <c r="AL34" s="293"/>
      <c r="AM34" s="292"/>
      <c r="AN34" s="292"/>
      <c r="AO34" s="292"/>
      <c r="AP34" s="292"/>
      <c r="AQ34" s="292"/>
      <c r="AR34" s="292"/>
      <c r="AS34" s="292"/>
      <c r="AT34" s="293"/>
      <c r="AU34" s="293"/>
      <c r="AV34" s="293"/>
      <c r="AW34" s="293"/>
      <c r="AX34" s="545" t="s">
        <v>81</v>
      </c>
      <c r="AY34" s="546"/>
      <c r="AZ34" s="546"/>
      <c r="BA34" s="546"/>
      <c r="BB34" s="546"/>
      <c r="BC34" s="547"/>
      <c r="BD34" s="293"/>
      <c r="BE34" s="293"/>
      <c r="BF34" s="293"/>
      <c r="BG34" s="293"/>
      <c r="BH34" s="293"/>
      <c r="BI34" s="293"/>
      <c r="BJ34" s="293"/>
      <c r="BK34" s="293"/>
      <c r="BL34" s="293"/>
      <c r="BM34" s="293"/>
      <c r="BN34" s="293"/>
      <c r="BO34" s="293"/>
      <c r="BP34" s="293"/>
      <c r="BQ34" s="293"/>
      <c r="BR34" s="293"/>
    </row>
    <row r="35" spans="1:70" x14ac:dyDescent="0.15">
      <c r="A35" s="293"/>
      <c r="B35" s="292"/>
      <c r="C35" s="292"/>
      <c r="D35" s="292"/>
      <c r="E35" s="292" t="s">
        <v>523</v>
      </c>
      <c r="F35" s="292"/>
      <c r="G35" s="292"/>
      <c r="H35" s="292"/>
      <c r="I35" s="292"/>
      <c r="J35" s="293" t="s">
        <v>127</v>
      </c>
      <c r="K35" s="292"/>
      <c r="L35" s="292"/>
      <c r="M35" s="292"/>
      <c r="N35" s="292"/>
      <c r="O35" s="292"/>
      <c r="P35" s="292"/>
      <c r="Q35" s="292"/>
      <c r="R35" s="293"/>
      <c r="S35" s="293"/>
      <c r="T35" s="293"/>
      <c r="U35" s="293"/>
      <c r="V35" s="293"/>
      <c r="W35" s="293"/>
      <c r="X35" s="293" t="s">
        <v>524</v>
      </c>
      <c r="Y35" s="293"/>
      <c r="Z35" s="293"/>
      <c r="AA35" s="293"/>
      <c r="AB35" s="293"/>
      <c r="AC35" s="293" t="s">
        <v>136</v>
      </c>
      <c r="AD35" s="293"/>
      <c r="AE35" s="293"/>
      <c r="AF35" s="293"/>
      <c r="AG35" s="293"/>
      <c r="AH35" s="293"/>
      <c r="AI35" s="293"/>
      <c r="AJ35" s="293"/>
      <c r="AK35" s="293"/>
      <c r="AL35" s="293"/>
      <c r="AM35" s="292"/>
      <c r="AN35" s="292"/>
      <c r="AO35" s="292"/>
      <c r="AP35" s="292"/>
      <c r="AQ35" s="292"/>
      <c r="AR35" s="292"/>
      <c r="AS35" s="292"/>
      <c r="AT35" s="293"/>
      <c r="AU35" s="293"/>
      <c r="AV35" s="293"/>
      <c r="AW35" s="293"/>
      <c r="AX35" s="293"/>
      <c r="AY35" s="293" t="s">
        <v>525</v>
      </c>
      <c r="AZ35" s="293"/>
      <c r="BA35" s="293"/>
      <c r="BB35" s="293"/>
      <c r="BC35" s="293"/>
      <c r="BD35" s="293" t="s">
        <v>84</v>
      </c>
      <c r="BE35" s="293"/>
      <c r="BF35" s="293"/>
      <c r="BG35" s="293"/>
      <c r="BH35" s="293"/>
      <c r="BI35" s="293"/>
      <c r="BJ35" s="293"/>
      <c r="BK35" s="293"/>
      <c r="BL35" s="293"/>
      <c r="BM35" s="293"/>
      <c r="BN35" s="293"/>
      <c r="BO35" s="293"/>
      <c r="BP35" s="293"/>
      <c r="BQ35" s="293"/>
      <c r="BR35" s="293"/>
    </row>
    <row r="36" spans="1:70" x14ac:dyDescent="0.15">
      <c r="A36" s="293"/>
      <c r="B36" s="292"/>
      <c r="C36" s="292"/>
      <c r="D36" s="292"/>
      <c r="E36" s="292" t="s">
        <v>526</v>
      </c>
      <c r="F36" s="292"/>
      <c r="G36" s="292"/>
      <c r="H36" s="292"/>
      <c r="I36" s="292"/>
      <c r="J36" s="293" t="s">
        <v>130</v>
      </c>
      <c r="K36" s="292"/>
      <c r="L36" s="292"/>
      <c r="M36" s="292"/>
      <c r="N36" s="292"/>
      <c r="O36" s="292"/>
      <c r="P36" s="292"/>
      <c r="Q36" s="292"/>
      <c r="R36" s="293"/>
      <c r="S36" s="293"/>
      <c r="T36" s="293"/>
      <c r="U36" s="293"/>
      <c r="V36" s="293"/>
      <c r="W36" s="293"/>
      <c r="X36" s="293" t="s">
        <v>527</v>
      </c>
      <c r="Y36" s="293"/>
      <c r="Z36" s="293"/>
      <c r="AA36" s="293"/>
      <c r="AB36" s="293"/>
      <c r="AC36" s="293" t="s">
        <v>40</v>
      </c>
      <c r="AD36" s="293"/>
      <c r="AE36" s="293"/>
      <c r="AF36" s="293"/>
      <c r="AG36" s="293"/>
      <c r="AH36" s="293"/>
      <c r="AI36" s="293"/>
      <c r="AJ36" s="293"/>
      <c r="AK36" s="293"/>
      <c r="AL36" s="293"/>
      <c r="AM36" s="292"/>
      <c r="AN36" s="292"/>
      <c r="AO36" s="292"/>
      <c r="AP36" s="292"/>
      <c r="AQ36" s="292"/>
      <c r="AR36" s="292"/>
      <c r="AS36" s="292"/>
      <c r="AT36" s="293"/>
      <c r="AU36" s="293"/>
      <c r="AV36" s="293"/>
      <c r="AW36" s="293"/>
      <c r="AX36" s="293"/>
      <c r="AY36" s="293" t="s">
        <v>528</v>
      </c>
      <c r="AZ36" s="293"/>
      <c r="BA36" s="293"/>
      <c r="BB36" s="293"/>
      <c r="BC36" s="293"/>
      <c r="BD36" s="293" t="s">
        <v>85</v>
      </c>
      <c r="BE36" s="293"/>
      <c r="BF36" s="293"/>
      <c r="BG36" s="293"/>
      <c r="BH36" s="293"/>
      <c r="BI36" s="293"/>
      <c r="BJ36" s="293"/>
      <c r="BK36" s="293"/>
      <c r="BL36" s="293"/>
      <c r="BM36" s="293"/>
      <c r="BN36" s="293"/>
      <c r="BO36" s="293"/>
      <c r="BP36" s="293"/>
      <c r="BQ36" s="293"/>
      <c r="BR36" s="293"/>
    </row>
    <row r="37" spans="1:70" x14ac:dyDescent="0.15">
      <c r="A37" s="293"/>
      <c r="B37" s="292"/>
      <c r="C37" s="292"/>
      <c r="D37" s="292"/>
      <c r="E37" s="292" t="s">
        <v>133</v>
      </c>
      <c r="F37" s="292"/>
      <c r="G37" s="292"/>
      <c r="H37" s="292"/>
      <c r="I37" s="292"/>
      <c r="J37" s="293" t="s">
        <v>134</v>
      </c>
      <c r="K37" s="292"/>
      <c r="L37" s="292"/>
      <c r="M37" s="292"/>
      <c r="N37" s="292"/>
      <c r="O37" s="292"/>
      <c r="P37" s="292"/>
      <c r="Q37" s="292"/>
      <c r="R37" s="293"/>
      <c r="S37" s="293"/>
      <c r="T37" s="293"/>
      <c r="U37" s="293"/>
      <c r="V37" s="293"/>
      <c r="W37" s="293"/>
      <c r="X37" s="293" t="s">
        <v>529</v>
      </c>
      <c r="Y37" s="293"/>
      <c r="Z37" s="293"/>
      <c r="AA37" s="293"/>
      <c r="AB37" s="293"/>
      <c r="AC37" s="293" t="s">
        <v>43</v>
      </c>
      <c r="AD37" s="293"/>
      <c r="AE37" s="293"/>
      <c r="AF37" s="293"/>
      <c r="AG37" s="293"/>
      <c r="AH37" s="293"/>
      <c r="AI37" s="293"/>
      <c r="AJ37" s="293"/>
      <c r="AK37" s="293"/>
      <c r="AL37" s="293"/>
      <c r="AM37" s="293"/>
      <c r="AN37" s="293"/>
      <c r="AO37" s="293"/>
      <c r="AP37" s="293"/>
      <c r="AQ37" s="293"/>
      <c r="AR37" s="293"/>
      <c r="AS37" s="293"/>
      <c r="AT37" s="293"/>
      <c r="AU37" s="293"/>
      <c r="AV37" s="293"/>
      <c r="AW37" s="293"/>
      <c r="AX37" s="293"/>
      <c r="AY37" s="293" t="s">
        <v>530</v>
      </c>
      <c r="AZ37" s="293"/>
      <c r="BA37" s="293"/>
      <c r="BB37" s="293"/>
      <c r="BC37" s="293"/>
      <c r="BD37" s="293" t="s">
        <v>86</v>
      </c>
      <c r="BE37" s="293"/>
      <c r="BF37" s="293"/>
      <c r="BG37" s="293"/>
      <c r="BH37" s="293"/>
      <c r="BI37" s="293"/>
      <c r="BJ37" s="293"/>
      <c r="BK37" s="293"/>
      <c r="BL37" s="293"/>
      <c r="BM37" s="293"/>
      <c r="BN37" s="293"/>
      <c r="BO37" s="293"/>
      <c r="BP37" s="293"/>
      <c r="BQ37" s="293"/>
      <c r="BR37" s="293"/>
    </row>
    <row r="38" spans="1:70" x14ac:dyDescent="0.15">
      <c r="A38" s="293"/>
      <c r="B38" s="292"/>
      <c r="C38" s="292"/>
      <c r="D38" s="292"/>
      <c r="E38" s="292" t="s">
        <v>531</v>
      </c>
      <c r="F38" s="292"/>
      <c r="G38" s="292"/>
      <c r="H38" s="292"/>
      <c r="I38" s="292"/>
      <c r="J38" s="293" t="s">
        <v>135</v>
      </c>
      <c r="K38" s="292"/>
      <c r="L38" s="292"/>
      <c r="M38" s="292"/>
      <c r="N38" s="292"/>
      <c r="O38" s="292"/>
      <c r="P38" s="292"/>
      <c r="Q38" s="292"/>
      <c r="R38" s="293"/>
      <c r="S38" s="293"/>
      <c r="T38" s="293"/>
      <c r="U38" s="293"/>
      <c r="V38" s="293"/>
      <c r="W38" s="293"/>
      <c r="X38" s="293" t="s">
        <v>532</v>
      </c>
      <c r="Y38" s="293"/>
      <c r="Z38" s="293"/>
      <c r="AA38" s="293"/>
      <c r="AB38" s="293"/>
      <c r="AC38" s="293" t="s">
        <v>46</v>
      </c>
      <c r="AD38" s="293"/>
      <c r="AE38" s="293"/>
      <c r="AF38" s="293"/>
      <c r="AG38" s="293"/>
      <c r="AH38" s="293"/>
      <c r="AI38" s="293"/>
      <c r="AJ38" s="293"/>
      <c r="AK38" s="293"/>
      <c r="AL38" s="293"/>
      <c r="AM38" s="293"/>
      <c r="AN38" s="293"/>
      <c r="AO38" s="293"/>
      <c r="AP38" s="293"/>
      <c r="AQ38" s="293"/>
      <c r="AR38" s="293"/>
      <c r="AS38" s="293"/>
      <c r="AT38" s="293"/>
      <c r="AU38" s="293"/>
      <c r="AV38" s="293"/>
      <c r="AW38" s="293"/>
      <c r="AX38" s="545" t="s">
        <v>496</v>
      </c>
      <c r="AY38" s="546"/>
      <c r="AZ38" s="546"/>
      <c r="BA38" s="546"/>
      <c r="BB38" s="546"/>
      <c r="BC38" s="547"/>
      <c r="BD38" s="293"/>
      <c r="BE38" s="293"/>
      <c r="BF38" s="293"/>
      <c r="BG38" s="293"/>
      <c r="BH38" s="293"/>
      <c r="BI38" s="293"/>
      <c r="BJ38" s="293"/>
      <c r="BK38" s="293"/>
      <c r="BL38" s="293"/>
      <c r="BM38" s="293"/>
      <c r="BN38" s="293"/>
      <c r="BO38" s="293"/>
      <c r="BP38" s="293"/>
      <c r="BQ38" s="293"/>
      <c r="BR38" s="293"/>
    </row>
    <row r="39" spans="1:70" x14ac:dyDescent="0.15">
      <c r="A39" s="293"/>
      <c r="B39" s="292"/>
      <c r="C39" s="292"/>
      <c r="D39" s="292"/>
      <c r="E39" s="292" t="s">
        <v>533</v>
      </c>
      <c r="F39" s="292"/>
      <c r="G39" s="292"/>
      <c r="H39" s="292"/>
      <c r="I39" s="292"/>
      <c r="J39" s="293" t="s">
        <v>87</v>
      </c>
      <c r="K39" s="292"/>
      <c r="L39" s="292"/>
      <c r="M39" s="292"/>
      <c r="N39" s="292"/>
      <c r="O39" s="292"/>
      <c r="P39" s="292"/>
      <c r="Q39" s="292"/>
      <c r="R39" s="293"/>
      <c r="S39" s="293"/>
      <c r="T39" s="293"/>
      <c r="U39" s="293"/>
      <c r="V39" s="293"/>
      <c r="W39" s="293"/>
      <c r="X39" s="293" t="s">
        <v>534</v>
      </c>
      <c r="Y39" s="293"/>
      <c r="Z39" s="293"/>
      <c r="AA39" s="293"/>
      <c r="AB39" s="293"/>
      <c r="AC39" s="293" t="s">
        <v>49</v>
      </c>
      <c r="AD39" s="293"/>
      <c r="AE39" s="293"/>
      <c r="AF39" s="293"/>
      <c r="AG39" s="293"/>
      <c r="AH39" s="293"/>
      <c r="AI39" s="293"/>
      <c r="AJ39" s="293"/>
      <c r="AK39" s="293"/>
      <c r="AL39" s="293"/>
      <c r="AM39" s="293"/>
      <c r="AN39" s="293"/>
      <c r="AO39" s="293"/>
      <c r="AP39" s="293"/>
      <c r="AQ39" s="293"/>
      <c r="AR39" s="293"/>
      <c r="AS39" s="293"/>
      <c r="AT39" s="293"/>
      <c r="AU39" s="293"/>
      <c r="AV39" s="293"/>
      <c r="AW39" s="293"/>
      <c r="AX39" s="293"/>
      <c r="AY39" s="293" t="s">
        <v>89</v>
      </c>
      <c r="AZ39" s="293"/>
      <c r="BA39" s="293"/>
      <c r="BB39" s="293"/>
      <c r="BC39" s="293"/>
      <c r="BD39" s="293" t="s">
        <v>497</v>
      </c>
      <c r="BE39" s="293"/>
      <c r="BF39" s="293"/>
      <c r="BG39" s="293"/>
      <c r="BH39" s="293"/>
      <c r="BI39" s="293"/>
      <c r="BJ39" s="293"/>
      <c r="BK39" s="293"/>
      <c r="BL39" s="293"/>
      <c r="BM39" s="293"/>
      <c r="BN39" s="293"/>
      <c r="BO39" s="293"/>
      <c r="BP39" s="293"/>
      <c r="BQ39" s="293"/>
      <c r="BR39" s="293"/>
    </row>
    <row r="40" spans="1:70" x14ac:dyDescent="0.15">
      <c r="A40" s="293"/>
      <c r="B40" s="292"/>
      <c r="C40" s="292"/>
      <c r="D40" s="292"/>
      <c r="E40" s="292" t="s">
        <v>533</v>
      </c>
      <c r="F40" s="292"/>
      <c r="G40" s="292"/>
      <c r="H40" s="292"/>
      <c r="I40" s="292"/>
      <c r="J40" s="293" t="s">
        <v>535</v>
      </c>
      <c r="K40" s="292"/>
      <c r="L40" s="292"/>
      <c r="M40" s="292"/>
      <c r="N40" s="292"/>
      <c r="O40" s="292"/>
      <c r="P40" s="292"/>
      <c r="Q40" s="292"/>
      <c r="R40" s="293"/>
      <c r="S40" s="293"/>
      <c r="T40" s="293"/>
      <c r="U40" s="293"/>
      <c r="V40" s="293"/>
      <c r="W40" s="293"/>
      <c r="X40" s="293" t="s">
        <v>536</v>
      </c>
      <c r="Y40" s="293"/>
      <c r="Z40" s="293"/>
      <c r="AA40" s="293"/>
      <c r="AB40" s="293"/>
      <c r="AC40" s="293" t="s">
        <v>52</v>
      </c>
      <c r="AD40" s="293"/>
      <c r="AE40" s="293"/>
      <c r="AF40" s="293"/>
      <c r="AG40" s="293"/>
      <c r="AH40" s="293"/>
      <c r="AI40" s="293"/>
      <c r="AJ40" s="293"/>
      <c r="AK40" s="293"/>
      <c r="AL40" s="293"/>
      <c r="AM40" s="293"/>
      <c r="AN40" s="293"/>
      <c r="AO40" s="293"/>
      <c r="AP40" s="293"/>
      <c r="AQ40" s="293"/>
      <c r="AR40" s="293"/>
      <c r="AS40" s="293"/>
      <c r="AT40" s="293"/>
      <c r="AU40" s="293"/>
      <c r="AV40" s="293"/>
      <c r="AW40" s="293"/>
      <c r="AX40" s="293"/>
      <c r="AY40" s="293" t="s">
        <v>90</v>
      </c>
      <c r="AZ40" s="293"/>
      <c r="BA40" s="293"/>
      <c r="BB40" s="293"/>
      <c r="BC40" s="293"/>
      <c r="BD40" s="293" t="s">
        <v>498</v>
      </c>
      <c r="BE40" s="293"/>
      <c r="BF40" s="293"/>
      <c r="BG40" s="293"/>
      <c r="BH40" s="293"/>
      <c r="BI40" s="293"/>
      <c r="BJ40" s="293"/>
      <c r="BK40" s="293"/>
      <c r="BL40" s="293"/>
      <c r="BM40" s="293"/>
      <c r="BN40" s="293"/>
      <c r="BO40" s="293"/>
      <c r="BP40" s="293"/>
      <c r="BQ40" s="293"/>
      <c r="BR40" s="293"/>
    </row>
    <row r="41" spans="1:70" x14ac:dyDescent="0.15">
      <c r="A41" s="293"/>
      <c r="B41" s="292"/>
      <c r="C41" s="292"/>
      <c r="D41" s="292"/>
      <c r="E41" s="292" t="s">
        <v>537</v>
      </c>
      <c r="F41" s="292"/>
      <c r="G41" s="292"/>
      <c r="H41" s="292"/>
      <c r="I41" s="292"/>
      <c r="J41" s="293" t="s">
        <v>88</v>
      </c>
      <c r="K41" s="292"/>
      <c r="L41" s="292"/>
      <c r="M41" s="292"/>
      <c r="N41" s="292"/>
      <c r="O41" s="292"/>
      <c r="P41" s="292"/>
      <c r="Q41" s="292"/>
      <c r="R41" s="293"/>
      <c r="S41" s="293"/>
      <c r="T41" s="293"/>
      <c r="U41" s="293"/>
      <c r="V41" s="293"/>
      <c r="W41" s="293"/>
      <c r="X41" s="293" t="s">
        <v>538</v>
      </c>
      <c r="Y41" s="293"/>
      <c r="Z41" s="293"/>
      <c r="AA41" s="293"/>
      <c r="AB41" s="293"/>
      <c r="AC41" s="293" t="s">
        <v>55</v>
      </c>
      <c r="AD41" s="293"/>
      <c r="AE41" s="293"/>
      <c r="AF41" s="293"/>
      <c r="AG41" s="293"/>
      <c r="AH41" s="293"/>
      <c r="AI41" s="293"/>
      <c r="AJ41" s="293"/>
      <c r="AK41" s="293"/>
      <c r="AL41" s="293"/>
      <c r="AM41" s="293"/>
      <c r="AN41" s="293"/>
      <c r="AO41" s="293"/>
      <c r="AP41" s="293"/>
      <c r="AQ41" s="293"/>
      <c r="AR41" s="293"/>
      <c r="AS41" s="293"/>
      <c r="AT41" s="293"/>
      <c r="AU41" s="293"/>
      <c r="AV41" s="293"/>
      <c r="AW41" s="293"/>
      <c r="AX41" s="293"/>
      <c r="AY41" s="293" t="s">
        <v>91</v>
      </c>
      <c r="AZ41" s="293"/>
      <c r="BA41" s="293"/>
      <c r="BB41" s="293"/>
      <c r="BC41" s="293"/>
      <c r="BD41" s="293" t="s">
        <v>499</v>
      </c>
      <c r="BE41" s="293"/>
      <c r="BF41" s="293"/>
      <c r="BG41" s="293"/>
      <c r="BH41" s="293"/>
      <c r="BI41" s="293"/>
      <c r="BJ41" s="293"/>
      <c r="BK41" s="293"/>
      <c r="BL41" s="293"/>
      <c r="BM41" s="293"/>
      <c r="BN41" s="293"/>
      <c r="BO41" s="293"/>
      <c r="BP41" s="293"/>
      <c r="BQ41" s="293"/>
      <c r="BR41" s="293"/>
    </row>
    <row r="42" spans="1:70" x14ac:dyDescent="0.15">
      <c r="A42" s="293"/>
      <c r="B42" s="294"/>
      <c r="C42" s="292"/>
      <c r="D42" s="292"/>
      <c r="E42" s="292" t="s">
        <v>539</v>
      </c>
      <c r="F42" s="292"/>
      <c r="G42" s="292"/>
      <c r="H42" s="292"/>
      <c r="I42" s="292"/>
      <c r="J42" s="293" t="s">
        <v>41</v>
      </c>
      <c r="K42" s="292"/>
      <c r="L42" s="292"/>
      <c r="M42" s="292"/>
      <c r="N42" s="292"/>
      <c r="O42" s="292"/>
      <c r="P42" s="292"/>
      <c r="Q42" s="292"/>
      <c r="R42" s="293"/>
      <c r="S42" s="293"/>
      <c r="T42" s="293"/>
      <c r="U42" s="293"/>
      <c r="V42" s="293"/>
      <c r="W42" s="293"/>
      <c r="X42" s="293" t="s">
        <v>540</v>
      </c>
      <c r="Y42" s="293"/>
      <c r="Z42" s="293"/>
      <c r="AA42" s="293"/>
      <c r="AB42" s="293"/>
      <c r="AC42" s="293" t="s">
        <v>58</v>
      </c>
      <c r="AD42" s="293"/>
      <c r="AE42" s="293"/>
      <c r="AF42" s="293"/>
      <c r="AG42" s="293"/>
      <c r="AH42" s="293"/>
      <c r="AI42" s="293"/>
      <c r="AJ42" s="293"/>
      <c r="AK42" s="293"/>
      <c r="AL42" s="293"/>
      <c r="AM42" s="293"/>
      <c r="AN42" s="293"/>
      <c r="AO42" s="293"/>
      <c r="AP42" s="293"/>
      <c r="AQ42" s="293"/>
      <c r="AR42" s="293"/>
      <c r="AS42" s="293"/>
      <c r="AT42" s="293"/>
      <c r="AU42" s="293"/>
      <c r="AV42" s="293"/>
      <c r="AW42" s="293"/>
      <c r="AX42" s="293"/>
      <c r="AY42" s="293"/>
      <c r="AZ42" s="293"/>
      <c r="BA42" s="293"/>
      <c r="BB42" s="293"/>
      <c r="BC42" s="293"/>
      <c r="BD42" s="293"/>
      <c r="BE42" s="293"/>
      <c r="BF42" s="293"/>
      <c r="BG42" s="293"/>
      <c r="BH42" s="293"/>
      <c r="BI42" s="293"/>
      <c r="BJ42" s="293"/>
      <c r="BK42" s="293"/>
      <c r="BL42" s="293"/>
      <c r="BM42" s="293"/>
      <c r="BN42" s="293"/>
      <c r="BO42" s="293"/>
      <c r="BP42" s="293"/>
      <c r="BQ42" s="293"/>
      <c r="BR42" s="293"/>
    </row>
    <row r="43" spans="1:70" x14ac:dyDescent="0.15">
      <c r="A43" s="293"/>
      <c r="B43" s="294"/>
      <c r="C43" s="292"/>
      <c r="D43" s="292"/>
      <c r="E43" s="292" t="s">
        <v>541</v>
      </c>
      <c r="F43" s="292"/>
      <c r="G43" s="292"/>
      <c r="H43" s="292"/>
      <c r="I43" s="292"/>
      <c r="J43" s="293" t="s">
        <v>44</v>
      </c>
      <c r="K43" s="292"/>
      <c r="L43" s="292"/>
      <c r="M43" s="292"/>
      <c r="N43" s="292"/>
      <c r="O43" s="292"/>
      <c r="P43" s="292"/>
      <c r="Q43" s="292"/>
      <c r="R43" s="293"/>
      <c r="S43" s="293"/>
      <c r="T43" s="293"/>
      <c r="U43" s="293"/>
      <c r="V43" s="293"/>
      <c r="W43" s="293"/>
      <c r="X43" s="293" t="s">
        <v>542</v>
      </c>
      <c r="Y43" s="293"/>
      <c r="Z43" s="293"/>
      <c r="AA43" s="293"/>
      <c r="AB43" s="293"/>
      <c r="AC43" s="293" t="s">
        <v>61</v>
      </c>
      <c r="AD43" s="293"/>
      <c r="AE43" s="293"/>
      <c r="AF43" s="293"/>
      <c r="AG43" s="293"/>
      <c r="AH43" s="293"/>
      <c r="AI43" s="293"/>
      <c r="AJ43" s="293"/>
      <c r="AK43" s="293"/>
      <c r="AL43" s="293"/>
      <c r="AM43" s="293"/>
      <c r="AN43" s="293"/>
      <c r="AO43" s="293"/>
      <c r="AP43" s="293"/>
      <c r="AQ43" s="293"/>
      <c r="AR43" s="293"/>
      <c r="AS43" s="293"/>
      <c r="AT43" s="293"/>
      <c r="AU43" s="293"/>
      <c r="AV43" s="293"/>
      <c r="AW43" s="293"/>
      <c r="AX43" s="293"/>
      <c r="AY43" s="293"/>
      <c r="AZ43" s="293"/>
      <c r="BA43" s="293"/>
      <c r="BB43" s="293"/>
      <c r="BC43" s="293"/>
      <c r="BD43" s="293"/>
      <c r="BE43" s="293"/>
      <c r="BF43" s="293"/>
      <c r="BG43" s="293"/>
      <c r="BH43" s="293"/>
      <c r="BI43" s="293"/>
      <c r="BJ43" s="293"/>
      <c r="BK43" s="293"/>
      <c r="BL43" s="293"/>
      <c r="BM43" s="293"/>
      <c r="BN43" s="293"/>
      <c r="BO43" s="293"/>
      <c r="BP43" s="293"/>
      <c r="BQ43" s="293"/>
      <c r="BR43" s="293"/>
    </row>
    <row r="44" spans="1:70" x14ac:dyDescent="0.15">
      <c r="A44" s="293"/>
      <c r="B44" s="293"/>
      <c r="C44" s="292"/>
      <c r="D44" s="292"/>
      <c r="E44" s="292" t="s">
        <v>543</v>
      </c>
      <c r="F44" s="292"/>
      <c r="G44" s="292"/>
      <c r="H44" s="292"/>
      <c r="I44" s="292"/>
      <c r="J44" s="293" t="s">
        <v>47</v>
      </c>
      <c r="K44" s="292"/>
      <c r="L44" s="292"/>
      <c r="M44" s="292"/>
      <c r="N44" s="292"/>
      <c r="O44" s="292"/>
      <c r="P44" s="292"/>
      <c r="Q44" s="292"/>
      <c r="R44" s="293"/>
      <c r="S44" s="293"/>
      <c r="T44" s="293"/>
      <c r="U44" s="293"/>
      <c r="V44" s="293"/>
      <c r="W44" s="293"/>
      <c r="X44" s="293" t="s">
        <v>544</v>
      </c>
      <c r="Y44" s="293"/>
      <c r="Z44" s="293"/>
      <c r="AA44" s="293"/>
      <c r="AB44" s="293"/>
      <c r="AC44" s="293" t="s">
        <v>63</v>
      </c>
      <c r="AD44" s="293"/>
      <c r="AE44" s="293"/>
      <c r="AF44" s="293"/>
      <c r="AG44" s="293"/>
      <c r="AH44" s="293"/>
      <c r="AI44" s="293"/>
      <c r="AJ44" s="293"/>
      <c r="AK44" s="293"/>
      <c r="AL44" s="293"/>
      <c r="AM44" s="293"/>
      <c r="AN44" s="293"/>
      <c r="AO44" s="293"/>
      <c r="AP44" s="293"/>
      <c r="AQ44" s="293"/>
      <c r="AR44" s="293"/>
      <c r="AS44" s="293"/>
      <c r="AT44" s="293"/>
      <c r="AU44" s="293"/>
      <c r="AV44" s="293"/>
      <c r="AW44" s="293"/>
      <c r="AX44" s="293"/>
      <c r="AY44" s="293"/>
      <c r="AZ44" s="293"/>
      <c r="BA44" s="293"/>
      <c r="BB44" s="293"/>
      <c r="BC44" s="293"/>
      <c r="BD44" s="293"/>
      <c r="BE44" s="293"/>
      <c r="BF44" s="293"/>
      <c r="BG44" s="293"/>
      <c r="BH44" s="293"/>
      <c r="BI44" s="293"/>
      <c r="BJ44" s="293"/>
      <c r="BK44" s="293"/>
      <c r="BL44" s="293"/>
      <c r="BM44" s="293"/>
      <c r="BN44" s="293"/>
      <c r="BO44" s="293"/>
      <c r="BP44" s="293"/>
      <c r="BQ44" s="293"/>
      <c r="BR44" s="293"/>
    </row>
    <row r="45" spans="1:70" x14ac:dyDescent="0.15">
      <c r="A45" s="293"/>
      <c r="B45" s="292"/>
      <c r="C45" s="292"/>
      <c r="D45" s="292"/>
      <c r="E45" s="292" t="s">
        <v>545</v>
      </c>
      <c r="F45" s="292"/>
      <c r="G45" s="292"/>
      <c r="H45" s="292"/>
      <c r="I45" s="292"/>
      <c r="J45" s="293" t="s">
        <v>50</v>
      </c>
      <c r="K45" s="292"/>
      <c r="L45" s="292"/>
      <c r="M45" s="292"/>
      <c r="N45" s="292"/>
      <c r="O45" s="292"/>
      <c r="P45" s="292"/>
      <c r="Q45" s="292"/>
      <c r="R45" s="293"/>
      <c r="S45" s="293"/>
      <c r="T45" s="293"/>
      <c r="U45" s="294"/>
      <c r="V45" s="293"/>
      <c r="W45" s="293"/>
      <c r="X45" s="293" t="s">
        <v>546</v>
      </c>
      <c r="Y45" s="293"/>
      <c r="Z45" s="293"/>
      <c r="AA45" s="293"/>
      <c r="AB45" s="293"/>
      <c r="AC45" s="293" t="s">
        <v>65</v>
      </c>
      <c r="AD45" s="293"/>
      <c r="AE45" s="293"/>
      <c r="AF45" s="293"/>
      <c r="AG45" s="293"/>
      <c r="AH45" s="293"/>
      <c r="AI45" s="293"/>
      <c r="AJ45" s="293"/>
      <c r="AK45" s="293"/>
      <c r="AL45" s="293"/>
      <c r="AM45" s="293"/>
      <c r="AN45" s="293"/>
      <c r="AO45" s="293"/>
      <c r="AP45" s="293"/>
      <c r="AQ45" s="293"/>
      <c r="AR45" s="293"/>
      <c r="AS45" s="293"/>
      <c r="AT45" s="293"/>
      <c r="AU45" s="293"/>
      <c r="AV45" s="293"/>
      <c r="AW45" s="293"/>
      <c r="AX45" s="293"/>
      <c r="AY45" s="293"/>
      <c r="AZ45" s="293"/>
      <c r="BA45" s="293"/>
      <c r="BB45" s="293"/>
      <c r="BC45" s="293"/>
      <c r="BD45" s="293"/>
      <c r="BE45" s="293"/>
      <c r="BF45" s="293"/>
      <c r="BG45" s="293"/>
      <c r="BH45" s="293"/>
      <c r="BI45" s="293"/>
      <c r="BJ45" s="293"/>
      <c r="BK45" s="293"/>
      <c r="BL45" s="293"/>
      <c r="BM45" s="293"/>
      <c r="BN45" s="293"/>
      <c r="BO45" s="293"/>
      <c r="BP45" s="293"/>
      <c r="BQ45" s="293"/>
      <c r="BR45" s="293"/>
    </row>
    <row r="46" spans="1:70" x14ac:dyDescent="0.15">
      <c r="A46" s="293"/>
      <c r="B46" s="292"/>
      <c r="C46" s="292"/>
      <c r="D46" s="292"/>
      <c r="E46" s="292" t="s">
        <v>620</v>
      </c>
      <c r="F46" s="292"/>
      <c r="G46" s="292"/>
      <c r="H46" s="292"/>
      <c r="I46" s="292"/>
      <c r="J46" s="293" t="s">
        <v>621</v>
      </c>
      <c r="K46" s="292"/>
      <c r="L46" s="292"/>
      <c r="M46" s="292"/>
      <c r="N46" s="292"/>
      <c r="O46" s="292"/>
      <c r="P46" s="292"/>
      <c r="Q46" s="292"/>
      <c r="R46" s="293"/>
      <c r="S46" s="293"/>
      <c r="T46" s="293"/>
      <c r="U46" s="294"/>
      <c r="V46" s="293"/>
      <c r="W46" s="293"/>
      <c r="X46" s="293" t="s">
        <v>547</v>
      </c>
      <c r="Y46" s="293"/>
      <c r="Z46" s="293"/>
      <c r="AA46" s="293"/>
      <c r="AB46" s="293"/>
      <c r="AC46" s="293" t="s">
        <v>69</v>
      </c>
      <c r="AD46" s="293"/>
      <c r="AE46" s="293"/>
      <c r="AF46" s="293"/>
      <c r="AG46" s="293"/>
      <c r="AH46" s="293"/>
      <c r="AI46" s="293"/>
      <c r="AJ46" s="293"/>
      <c r="AK46" s="293"/>
      <c r="AL46" s="293"/>
      <c r="AM46" s="293"/>
      <c r="AN46" s="293"/>
      <c r="AO46" s="293"/>
      <c r="AP46" s="293"/>
      <c r="AQ46" s="293"/>
      <c r="AR46" s="293"/>
      <c r="AS46" s="293"/>
      <c r="AT46" s="293"/>
      <c r="AU46" s="293"/>
      <c r="AV46" s="293"/>
      <c r="AW46" s="293"/>
      <c r="AX46" s="293"/>
      <c r="AY46" s="293"/>
      <c r="AZ46" s="293"/>
      <c r="BA46" s="293"/>
      <c r="BB46" s="293"/>
      <c r="BC46" s="293"/>
      <c r="BD46" s="293"/>
      <c r="BE46" s="293"/>
      <c r="BF46" s="293"/>
      <c r="BG46" s="293"/>
      <c r="BH46" s="293"/>
      <c r="BI46" s="293"/>
      <c r="BJ46" s="293"/>
      <c r="BK46" s="293"/>
      <c r="BL46" s="293"/>
      <c r="BM46" s="293"/>
      <c r="BN46" s="293"/>
      <c r="BO46" s="293"/>
      <c r="BP46" s="293"/>
      <c r="BQ46" s="293"/>
      <c r="BR46" s="293"/>
    </row>
    <row r="47" spans="1:70" x14ac:dyDescent="0.15">
      <c r="A47" s="293"/>
      <c r="B47" s="292"/>
      <c r="C47" s="292"/>
      <c r="D47" s="545" t="s">
        <v>53</v>
      </c>
      <c r="E47" s="546"/>
      <c r="F47" s="546"/>
      <c r="G47" s="546"/>
      <c r="H47" s="546"/>
      <c r="I47" s="547"/>
      <c r="J47" s="292"/>
      <c r="K47" s="292"/>
      <c r="L47" s="292"/>
      <c r="M47" s="292"/>
      <c r="N47" s="292"/>
      <c r="O47" s="292"/>
      <c r="P47" s="292"/>
      <c r="Q47" s="292"/>
      <c r="R47" s="293"/>
      <c r="S47" s="293"/>
      <c r="T47" s="293"/>
      <c r="U47" s="293"/>
      <c r="V47" s="293"/>
      <c r="W47" s="293"/>
      <c r="X47" s="293" t="s">
        <v>92</v>
      </c>
      <c r="Y47" s="293"/>
      <c r="Z47" s="293"/>
      <c r="AA47" s="293"/>
      <c r="AB47" s="293"/>
      <c r="AC47" s="293" t="s">
        <v>98</v>
      </c>
      <c r="AD47" s="293"/>
      <c r="AE47" s="293"/>
      <c r="AF47" s="293"/>
      <c r="AG47" s="293"/>
      <c r="AH47" s="293"/>
      <c r="AI47" s="293"/>
      <c r="AJ47" s="293"/>
      <c r="AK47" s="293"/>
      <c r="AL47" s="293"/>
      <c r="AM47" s="293"/>
      <c r="AN47" s="293"/>
      <c r="AO47" s="293"/>
      <c r="AP47" s="293"/>
      <c r="AQ47" s="293"/>
      <c r="AR47" s="293"/>
      <c r="AS47" s="293"/>
      <c r="AT47" s="293"/>
      <c r="AU47" s="293"/>
      <c r="AV47" s="293"/>
      <c r="AW47" s="293"/>
      <c r="AX47" s="293"/>
      <c r="AY47" s="293"/>
      <c r="AZ47" s="293"/>
      <c r="BA47" s="293"/>
      <c r="BB47" s="293"/>
      <c r="BC47" s="293"/>
      <c r="BD47" s="293"/>
      <c r="BE47" s="293"/>
      <c r="BF47" s="293"/>
      <c r="BG47" s="293"/>
      <c r="BH47" s="293"/>
      <c r="BI47" s="293"/>
      <c r="BJ47" s="293"/>
      <c r="BK47" s="293"/>
      <c r="BL47" s="293"/>
      <c r="BM47" s="293"/>
      <c r="BN47" s="293"/>
      <c r="BO47" s="293"/>
      <c r="BP47" s="293"/>
      <c r="BQ47" s="293"/>
      <c r="BR47" s="293"/>
    </row>
    <row r="48" spans="1:70" x14ac:dyDescent="0.15">
      <c r="A48" s="293"/>
      <c r="B48" s="292"/>
      <c r="C48" s="292"/>
      <c r="D48" s="292"/>
      <c r="E48" s="292" t="s">
        <v>548</v>
      </c>
      <c r="F48" s="292"/>
      <c r="G48" s="292"/>
      <c r="H48" s="292"/>
      <c r="I48" s="292"/>
      <c r="J48" s="293" t="s">
        <v>549</v>
      </c>
      <c r="K48" s="292"/>
      <c r="L48" s="292"/>
      <c r="M48" s="292"/>
      <c r="N48" s="292"/>
      <c r="O48" s="292"/>
      <c r="P48" s="292"/>
      <c r="Q48" s="292"/>
      <c r="R48" s="293"/>
      <c r="S48" s="293"/>
      <c r="T48" s="293"/>
      <c r="U48" s="293"/>
      <c r="V48" s="293"/>
      <c r="W48" s="293"/>
      <c r="X48" s="293" t="s">
        <v>93</v>
      </c>
      <c r="Y48" s="293"/>
      <c r="Z48" s="293"/>
      <c r="AA48" s="293"/>
      <c r="AB48" s="293"/>
      <c r="AC48" s="293" t="s">
        <v>99</v>
      </c>
      <c r="AD48" s="293"/>
      <c r="AE48" s="293"/>
      <c r="AF48" s="293"/>
      <c r="AG48" s="293"/>
      <c r="AH48" s="293"/>
      <c r="AI48" s="293"/>
      <c r="AJ48" s="293"/>
      <c r="AK48" s="293"/>
      <c r="AL48" s="293"/>
      <c r="AM48" s="293"/>
      <c r="AN48" s="293"/>
      <c r="AO48" s="293"/>
      <c r="AP48" s="293"/>
      <c r="AQ48" s="293"/>
      <c r="AR48" s="293"/>
      <c r="AS48" s="293"/>
      <c r="AT48" s="293"/>
      <c r="AU48" s="293"/>
      <c r="AV48" s="293"/>
      <c r="AW48" s="293"/>
      <c r="AX48" s="293"/>
      <c r="AY48" s="293"/>
      <c r="AZ48" s="293"/>
      <c r="BA48" s="293"/>
      <c r="BB48" s="293"/>
      <c r="BC48" s="293"/>
      <c r="BD48" s="293"/>
      <c r="BE48" s="293"/>
      <c r="BF48" s="293"/>
      <c r="BG48" s="293"/>
      <c r="BH48" s="293"/>
      <c r="BI48" s="293"/>
      <c r="BJ48" s="293"/>
      <c r="BK48" s="293"/>
      <c r="BL48" s="293"/>
      <c r="BM48" s="293"/>
      <c r="BN48" s="293"/>
      <c r="BO48" s="293"/>
      <c r="BP48" s="293"/>
      <c r="BQ48" s="293"/>
      <c r="BR48" s="293"/>
    </row>
    <row r="49" spans="1:70" x14ac:dyDescent="0.15">
      <c r="A49" s="293"/>
      <c r="B49" s="293"/>
      <c r="C49" s="292"/>
      <c r="D49" s="292"/>
      <c r="E49" s="292" t="s">
        <v>550</v>
      </c>
      <c r="F49" s="292"/>
      <c r="G49" s="292"/>
      <c r="H49" s="292"/>
      <c r="I49" s="292"/>
      <c r="J49" s="293" t="s">
        <v>59</v>
      </c>
      <c r="K49" s="292"/>
      <c r="L49" s="292"/>
      <c r="M49" s="292"/>
      <c r="N49" s="292"/>
      <c r="O49" s="292"/>
      <c r="P49" s="292"/>
      <c r="Q49" s="292"/>
      <c r="R49" s="293"/>
      <c r="S49" s="293"/>
      <c r="T49" s="293"/>
      <c r="U49" s="293"/>
      <c r="V49" s="293"/>
      <c r="W49" s="293"/>
      <c r="X49" s="293" t="s">
        <v>94</v>
      </c>
      <c r="Y49" s="293"/>
      <c r="Z49" s="293"/>
      <c r="AA49" s="293"/>
      <c r="AB49" s="293"/>
      <c r="AC49" s="293" t="s">
        <v>100</v>
      </c>
      <c r="AD49" s="293"/>
      <c r="AE49" s="293"/>
      <c r="AF49" s="293"/>
      <c r="AG49" s="293"/>
      <c r="AH49" s="293"/>
      <c r="AI49" s="293"/>
      <c r="AJ49" s="293"/>
      <c r="AK49" s="293"/>
      <c r="AL49" s="293"/>
      <c r="AM49" s="293"/>
      <c r="AN49" s="293"/>
      <c r="AO49" s="293"/>
      <c r="AP49" s="293"/>
      <c r="AQ49" s="293"/>
      <c r="AR49" s="293"/>
      <c r="AS49" s="293"/>
      <c r="AT49" s="293"/>
      <c r="AU49" s="293"/>
      <c r="AV49" s="293"/>
      <c r="AW49" s="293"/>
      <c r="AX49" s="293"/>
      <c r="AY49" s="293"/>
      <c r="AZ49" s="293"/>
      <c r="BA49" s="293"/>
      <c r="BB49" s="293"/>
      <c r="BC49" s="293"/>
      <c r="BD49" s="293"/>
      <c r="BE49" s="293"/>
      <c r="BF49" s="293"/>
      <c r="BG49" s="293"/>
      <c r="BH49" s="293"/>
      <c r="BI49" s="293"/>
      <c r="BJ49" s="293"/>
      <c r="BK49" s="293"/>
      <c r="BL49" s="293"/>
      <c r="BM49" s="293"/>
      <c r="BN49" s="293"/>
      <c r="BO49" s="293"/>
      <c r="BP49" s="293"/>
      <c r="BQ49" s="293"/>
      <c r="BR49" s="293"/>
    </row>
    <row r="50" spans="1:70" x14ac:dyDescent="0.15">
      <c r="A50" s="293"/>
      <c r="B50" s="292"/>
      <c r="C50" s="292"/>
      <c r="D50" s="292"/>
      <c r="E50" s="292" t="s">
        <v>551</v>
      </c>
      <c r="F50" s="292"/>
      <c r="G50" s="292"/>
      <c r="H50" s="292"/>
      <c r="I50" s="292"/>
      <c r="J50" s="293" t="s">
        <v>62</v>
      </c>
      <c r="K50" s="292"/>
      <c r="L50" s="292"/>
      <c r="M50" s="292"/>
      <c r="N50" s="292"/>
      <c r="O50" s="292"/>
      <c r="P50" s="292"/>
      <c r="Q50" s="292"/>
      <c r="R50" s="293"/>
      <c r="S50" s="293"/>
      <c r="T50" s="293"/>
      <c r="U50" s="294"/>
      <c r="V50" s="293"/>
      <c r="W50" s="293"/>
      <c r="X50" s="293" t="s">
        <v>94</v>
      </c>
      <c r="Y50" s="293"/>
      <c r="Z50" s="293"/>
      <c r="AA50" s="293"/>
      <c r="AB50" s="293"/>
      <c r="AC50" s="293" t="s">
        <v>101</v>
      </c>
      <c r="AD50" s="293"/>
      <c r="AE50" s="293"/>
      <c r="AF50" s="293"/>
      <c r="AG50" s="293"/>
      <c r="AH50" s="293"/>
      <c r="AI50" s="293"/>
      <c r="AJ50" s="293"/>
      <c r="AK50" s="293"/>
      <c r="AL50" s="293"/>
      <c r="AM50" s="293"/>
      <c r="AN50" s="293"/>
      <c r="AO50" s="293"/>
      <c r="AP50" s="293"/>
      <c r="AQ50" s="293"/>
      <c r="AR50" s="293"/>
      <c r="AS50" s="293"/>
      <c r="AT50" s="293"/>
      <c r="AU50" s="293"/>
      <c r="AV50" s="293"/>
      <c r="AW50" s="293"/>
      <c r="AX50" s="293"/>
      <c r="AY50" s="293"/>
      <c r="AZ50" s="293"/>
      <c r="BA50" s="293"/>
      <c r="BB50" s="293"/>
      <c r="BC50" s="293"/>
      <c r="BD50" s="293"/>
      <c r="BE50" s="293"/>
      <c r="BF50" s="293"/>
      <c r="BG50" s="293"/>
      <c r="BH50" s="293"/>
      <c r="BI50" s="293"/>
      <c r="BJ50" s="293"/>
      <c r="BK50" s="293"/>
      <c r="BL50" s="293"/>
      <c r="BM50" s="293"/>
      <c r="BN50" s="293"/>
      <c r="BO50" s="293"/>
      <c r="BP50" s="293"/>
      <c r="BQ50" s="293"/>
      <c r="BR50" s="293"/>
    </row>
    <row r="51" spans="1:70" x14ac:dyDescent="0.15">
      <c r="A51" s="293"/>
      <c r="B51" s="293"/>
      <c r="C51" s="292"/>
      <c r="D51" s="545" t="s">
        <v>64</v>
      </c>
      <c r="E51" s="546"/>
      <c r="F51" s="546"/>
      <c r="G51" s="546"/>
      <c r="H51" s="546"/>
      <c r="I51" s="547"/>
      <c r="J51" s="292"/>
      <c r="K51" s="293"/>
      <c r="L51" s="292"/>
      <c r="M51" s="292"/>
      <c r="N51" s="292"/>
      <c r="O51" s="292"/>
      <c r="P51" s="292"/>
      <c r="Q51" s="292"/>
      <c r="R51" s="293"/>
      <c r="S51" s="293"/>
      <c r="T51" s="293"/>
      <c r="U51" s="294"/>
      <c r="V51" s="293"/>
      <c r="W51" s="293"/>
      <c r="X51" s="293" t="s">
        <v>95</v>
      </c>
      <c r="Y51" s="293"/>
      <c r="Z51" s="293"/>
      <c r="AA51" s="293"/>
      <c r="AB51" s="293"/>
      <c r="AC51" s="293" t="s">
        <v>102</v>
      </c>
      <c r="AD51" s="293"/>
      <c r="AE51" s="293"/>
      <c r="AF51" s="293"/>
      <c r="AG51" s="293"/>
      <c r="AH51" s="293"/>
      <c r="AI51" s="293"/>
      <c r="AJ51" s="293"/>
      <c r="AK51" s="293"/>
      <c r="AL51" s="293"/>
      <c r="AM51" s="293"/>
      <c r="AN51" s="293"/>
      <c r="AO51" s="293"/>
      <c r="AP51" s="293"/>
      <c r="AQ51" s="293"/>
      <c r="AR51" s="293"/>
      <c r="AS51" s="293"/>
      <c r="AT51" s="293"/>
      <c r="AU51" s="293"/>
      <c r="AV51" s="293"/>
      <c r="AW51" s="293"/>
      <c r="AX51" s="293"/>
      <c r="AY51" s="293"/>
      <c r="AZ51" s="293"/>
      <c r="BA51" s="293"/>
      <c r="BB51" s="293"/>
      <c r="BC51" s="293"/>
      <c r="BD51" s="293"/>
      <c r="BE51" s="293"/>
      <c r="BF51" s="293"/>
      <c r="BG51" s="293"/>
      <c r="BH51" s="293"/>
      <c r="BI51" s="293"/>
      <c r="BJ51" s="293"/>
      <c r="BK51" s="293"/>
      <c r="BL51" s="293"/>
      <c r="BM51" s="293"/>
      <c r="BN51" s="293"/>
      <c r="BO51" s="293"/>
      <c r="BP51" s="293"/>
      <c r="BQ51" s="293"/>
      <c r="BR51" s="293"/>
    </row>
    <row r="52" spans="1:70" x14ac:dyDescent="0.15">
      <c r="A52" s="293"/>
      <c r="B52" s="292"/>
      <c r="C52" s="292"/>
      <c r="D52" s="292"/>
      <c r="E52" s="292" t="s">
        <v>552</v>
      </c>
      <c r="F52" s="292"/>
      <c r="G52" s="292"/>
      <c r="H52" s="292"/>
      <c r="I52" s="292"/>
      <c r="J52" s="293" t="s">
        <v>66</v>
      </c>
      <c r="K52" s="293"/>
      <c r="L52" s="292"/>
      <c r="M52" s="292"/>
      <c r="N52" s="292"/>
      <c r="O52" s="292"/>
      <c r="P52" s="292"/>
      <c r="Q52" s="292"/>
      <c r="R52" s="293"/>
      <c r="S52" s="293"/>
      <c r="T52" s="293"/>
      <c r="U52" s="293"/>
      <c r="V52" s="293"/>
      <c r="W52" s="293"/>
      <c r="X52" s="293" t="s">
        <v>96</v>
      </c>
      <c r="Y52" s="293"/>
      <c r="Z52" s="293"/>
      <c r="AA52" s="293"/>
      <c r="AB52" s="293"/>
      <c r="AC52" s="293" t="s">
        <v>103</v>
      </c>
      <c r="AD52" s="293"/>
      <c r="AE52" s="293"/>
      <c r="AF52" s="293"/>
      <c r="AG52" s="293"/>
      <c r="AH52" s="293"/>
      <c r="AI52" s="293"/>
      <c r="AJ52" s="293"/>
      <c r="AK52" s="293"/>
      <c r="AL52" s="293"/>
      <c r="AM52" s="293"/>
      <c r="AN52" s="293"/>
      <c r="AO52" s="293"/>
      <c r="AP52" s="293"/>
      <c r="AQ52" s="293"/>
      <c r="AR52" s="293"/>
      <c r="AS52" s="293"/>
      <c r="AT52" s="293"/>
      <c r="AU52" s="293"/>
      <c r="AV52" s="293"/>
      <c r="AW52" s="293"/>
      <c r="AX52" s="293"/>
      <c r="AY52" s="293"/>
      <c r="AZ52" s="293"/>
      <c r="BA52" s="293"/>
      <c r="BB52" s="293"/>
      <c r="BC52" s="293"/>
      <c r="BD52" s="293"/>
      <c r="BE52" s="293"/>
      <c r="BF52" s="293"/>
      <c r="BG52" s="293"/>
      <c r="BH52" s="293"/>
      <c r="BI52" s="293"/>
      <c r="BJ52" s="293"/>
      <c r="BK52" s="293"/>
      <c r="BL52" s="293"/>
      <c r="BM52" s="293"/>
      <c r="BN52" s="293"/>
      <c r="BO52" s="293"/>
      <c r="BP52" s="293"/>
      <c r="BQ52" s="293"/>
      <c r="BR52" s="293"/>
    </row>
    <row r="53" spans="1:70" x14ac:dyDescent="0.15">
      <c r="A53" s="293"/>
      <c r="B53" s="292"/>
      <c r="C53" s="292"/>
      <c r="D53" s="545" t="s">
        <v>70</v>
      </c>
      <c r="E53" s="546"/>
      <c r="F53" s="546"/>
      <c r="G53" s="546"/>
      <c r="H53" s="546"/>
      <c r="I53" s="547"/>
      <c r="J53" s="292"/>
      <c r="K53" s="293"/>
      <c r="L53" s="292"/>
      <c r="M53" s="292"/>
      <c r="N53" s="292"/>
      <c r="O53" s="292"/>
      <c r="P53" s="292"/>
      <c r="Q53" s="292"/>
      <c r="R53" s="293"/>
      <c r="S53" s="293"/>
      <c r="T53" s="293"/>
      <c r="U53" s="293"/>
      <c r="V53" s="293"/>
      <c r="W53" s="293"/>
      <c r="X53" s="293" t="s">
        <v>97</v>
      </c>
      <c r="Y53" s="293"/>
      <c r="Z53" s="293"/>
      <c r="AA53" s="293"/>
      <c r="AB53" s="293"/>
      <c r="AC53" s="293" t="s">
        <v>104</v>
      </c>
      <c r="AD53" s="293"/>
      <c r="AE53" s="293"/>
      <c r="AF53" s="293"/>
      <c r="AG53" s="293"/>
      <c r="AH53" s="293"/>
      <c r="AI53" s="293"/>
      <c r="AJ53" s="293"/>
      <c r="AK53" s="293"/>
      <c r="AL53" s="293"/>
      <c r="AM53" s="293"/>
      <c r="AN53" s="293"/>
      <c r="AO53" s="293"/>
      <c r="AP53" s="293"/>
      <c r="AQ53" s="293"/>
      <c r="AR53" s="293"/>
      <c r="AS53" s="293"/>
      <c r="AT53" s="293"/>
      <c r="AU53" s="293"/>
      <c r="AV53" s="293"/>
      <c r="AW53" s="293"/>
      <c r="AX53" s="293"/>
      <c r="AY53" s="293"/>
      <c r="AZ53" s="293"/>
      <c r="BA53" s="293"/>
      <c r="BB53" s="293"/>
      <c r="BC53" s="293"/>
      <c r="BD53" s="293"/>
      <c r="BE53" s="293"/>
      <c r="BF53" s="293"/>
      <c r="BG53" s="293"/>
      <c r="BH53" s="293"/>
      <c r="BI53" s="293"/>
      <c r="BJ53" s="293"/>
      <c r="BK53" s="293"/>
      <c r="BL53" s="293"/>
      <c r="BM53" s="293"/>
      <c r="BN53" s="293"/>
      <c r="BO53" s="293"/>
      <c r="BP53" s="293"/>
      <c r="BQ53" s="293"/>
      <c r="BR53" s="293"/>
    </row>
    <row r="54" spans="1:70" x14ac:dyDescent="0.15">
      <c r="A54" s="293"/>
      <c r="B54" s="292"/>
      <c r="C54" s="292"/>
      <c r="D54" s="292"/>
      <c r="E54" s="292" t="s">
        <v>553</v>
      </c>
      <c r="F54" s="292"/>
      <c r="G54" s="292"/>
      <c r="H54" s="292"/>
      <c r="I54" s="292"/>
      <c r="J54" s="293" t="s">
        <v>72</v>
      </c>
      <c r="K54" s="293"/>
      <c r="L54" s="292"/>
      <c r="M54" s="292"/>
      <c r="N54" s="292"/>
      <c r="O54" s="292"/>
      <c r="P54" s="292"/>
      <c r="Q54" s="292"/>
      <c r="R54" s="293"/>
      <c r="S54" s="293"/>
      <c r="T54" s="293"/>
      <c r="U54" s="293"/>
      <c r="V54" s="293"/>
      <c r="W54" s="293"/>
      <c r="X54" s="293" t="s">
        <v>97</v>
      </c>
      <c r="Y54" s="293"/>
      <c r="Z54" s="293"/>
      <c r="AA54" s="293"/>
      <c r="AB54" s="293"/>
      <c r="AC54" s="293" t="s">
        <v>105</v>
      </c>
      <c r="AD54" s="293"/>
      <c r="AE54" s="293"/>
      <c r="AF54" s="293"/>
      <c r="AG54" s="293"/>
      <c r="AH54" s="293"/>
      <c r="AI54" s="293"/>
      <c r="AJ54" s="293"/>
      <c r="AK54" s="293"/>
      <c r="AL54" s="293"/>
      <c r="AM54" s="293"/>
      <c r="AN54" s="293"/>
      <c r="AO54" s="293"/>
      <c r="AP54" s="293"/>
      <c r="AQ54" s="293"/>
      <c r="AR54" s="293"/>
      <c r="AS54" s="293"/>
      <c r="AT54" s="293"/>
      <c r="AU54" s="293"/>
      <c r="AV54" s="293"/>
      <c r="AW54" s="293"/>
      <c r="AX54" s="293"/>
      <c r="AY54" s="293"/>
      <c r="AZ54" s="293"/>
      <c r="BA54" s="293"/>
      <c r="BB54" s="293"/>
      <c r="BC54" s="293"/>
      <c r="BD54" s="293"/>
      <c r="BE54" s="293"/>
      <c r="BF54" s="293"/>
      <c r="BG54" s="293"/>
      <c r="BH54" s="293"/>
      <c r="BI54" s="293"/>
      <c r="BJ54" s="293"/>
      <c r="BK54" s="293"/>
      <c r="BL54" s="293"/>
      <c r="BM54" s="293"/>
      <c r="BN54" s="293"/>
      <c r="BO54" s="293"/>
      <c r="BP54" s="293"/>
      <c r="BQ54" s="293"/>
      <c r="BR54" s="293"/>
    </row>
    <row r="55" spans="1:70" x14ac:dyDescent="0.15">
      <c r="A55" s="293"/>
      <c r="B55" s="292"/>
      <c r="C55" s="292"/>
      <c r="D55" s="292"/>
      <c r="E55" s="292" t="s">
        <v>554</v>
      </c>
      <c r="F55" s="292"/>
      <c r="G55" s="292"/>
      <c r="H55" s="292"/>
      <c r="I55" s="292"/>
      <c r="J55" s="293" t="s">
        <v>74</v>
      </c>
      <c r="K55" s="293"/>
      <c r="L55" s="292"/>
      <c r="M55" s="292"/>
      <c r="N55" s="292"/>
      <c r="O55" s="292"/>
      <c r="P55" s="292"/>
      <c r="Q55" s="292"/>
      <c r="R55" s="293"/>
      <c r="S55" s="293"/>
      <c r="T55" s="293"/>
      <c r="U55" s="293"/>
      <c r="V55" s="293"/>
      <c r="W55" s="293"/>
      <c r="X55" s="293" t="s">
        <v>556</v>
      </c>
      <c r="Y55" s="293"/>
      <c r="Z55" s="293"/>
      <c r="AA55" s="293"/>
      <c r="AB55" s="293"/>
      <c r="AC55" s="293" t="s">
        <v>77</v>
      </c>
      <c r="AD55" s="293"/>
      <c r="AE55" s="293"/>
      <c r="AF55" s="293"/>
      <c r="AG55" s="293"/>
      <c r="AH55" s="293"/>
      <c r="AI55" s="293"/>
      <c r="AJ55" s="293"/>
      <c r="AK55" s="293"/>
      <c r="AL55" s="293"/>
      <c r="AM55" s="293"/>
      <c r="AN55" s="293"/>
      <c r="AO55" s="293"/>
      <c r="AP55" s="293"/>
      <c r="AQ55" s="293"/>
      <c r="AR55" s="293"/>
      <c r="AS55" s="293"/>
      <c r="AT55" s="293"/>
      <c r="AU55" s="293"/>
      <c r="AV55" s="293"/>
      <c r="AW55" s="293"/>
      <c r="AX55" s="293"/>
      <c r="AY55" s="293"/>
      <c r="AZ55" s="293"/>
      <c r="BA55" s="293"/>
      <c r="BB55" s="293"/>
      <c r="BC55" s="293"/>
      <c r="BD55" s="293"/>
      <c r="BE55" s="293"/>
      <c r="BF55" s="293"/>
      <c r="BG55" s="293"/>
      <c r="BH55" s="293"/>
      <c r="BI55" s="293"/>
      <c r="BJ55" s="293"/>
      <c r="BK55" s="293"/>
      <c r="BL55" s="293"/>
      <c r="BM55" s="293"/>
      <c r="BN55" s="293"/>
      <c r="BO55" s="293"/>
      <c r="BP55" s="293"/>
      <c r="BQ55" s="293"/>
      <c r="BR55" s="293"/>
    </row>
    <row r="56" spans="1:70" x14ac:dyDescent="0.15">
      <c r="A56" s="293"/>
      <c r="B56" s="292"/>
      <c r="C56" s="292"/>
      <c r="D56" s="292"/>
      <c r="E56" s="292" t="s">
        <v>555</v>
      </c>
      <c r="F56" s="292"/>
      <c r="G56" s="292"/>
      <c r="H56" s="292"/>
      <c r="I56" s="292"/>
      <c r="J56" s="293" t="s">
        <v>78</v>
      </c>
      <c r="K56" s="293"/>
      <c r="L56" s="292"/>
      <c r="M56" s="292"/>
      <c r="N56" s="292"/>
      <c r="O56" s="292"/>
      <c r="P56" s="292"/>
      <c r="Q56" s="292"/>
      <c r="R56" s="293"/>
      <c r="S56" s="293"/>
      <c r="T56" s="293"/>
      <c r="U56" s="293"/>
      <c r="V56" s="293"/>
      <c r="W56" s="293"/>
      <c r="X56" s="293" t="s">
        <v>558</v>
      </c>
      <c r="Y56" s="293"/>
      <c r="Z56" s="293"/>
      <c r="AA56" s="293"/>
      <c r="AB56" s="293"/>
      <c r="AC56" s="293" t="s">
        <v>79</v>
      </c>
      <c r="AD56" s="293"/>
      <c r="AE56" s="293"/>
      <c r="AF56" s="293"/>
      <c r="AG56" s="293"/>
      <c r="AH56" s="293"/>
      <c r="AI56" s="293"/>
      <c r="AJ56" s="293"/>
      <c r="AK56" s="293"/>
      <c r="AL56" s="293"/>
      <c r="AM56" s="293"/>
      <c r="AN56" s="293"/>
      <c r="AO56" s="293"/>
      <c r="AP56" s="293"/>
      <c r="AQ56" s="293"/>
      <c r="AR56" s="293"/>
      <c r="AS56" s="293"/>
      <c r="AT56" s="293"/>
      <c r="AU56" s="293"/>
      <c r="AV56" s="293"/>
      <c r="AW56" s="293"/>
      <c r="AX56" s="293"/>
      <c r="AY56" s="293"/>
      <c r="AZ56" s="293"/>
      <c r="BA56" s="293"/>
      <c r="BB56" s="293"/>
      <c r="BC56" s="293"/>
      <c r="BD56" s="293"/>
      <c r="BE56" s="293"/>
      <c r="BF56" s="293"/>
      <c r="BG56" s="293"/>
      <c r="BH56" s="293"/>
      <c r="BI56" s="293"/>
      <c r="BJ56" s="293"/>
      <c r="BK56" s="293"/>
      <c r="BL56" s="293"/>
      <c r="BM56" s="293"/>
      <c r="BN56" s="293"/>
      <c r="BO56" s="293"/>
      <c r="BP56" s="293"/>
      <c r="BQ56" s="293"/>
      <c r="BR56" s="293"/>
    </row>
    <row r="57" spans="1:70" x14ac:dyDescent="0.15">
      <c r="A57" s="293"/>
      <c r="B57" s="293"/>
      <c r="C57" s="292"/>
      <c r="D57" s="292"/>
      <c r="E57" s="292" t="s">
        <v>557</v>
      </c>
      <c r="F57" s="292"/>
      <c r="G57" s="292"/>
      <c r="H57" s="292"/>
      <c r="I57" s="292"/>
      <c r="J57" s="293" t="s">
        <v>80</v>
      </c>
      <c r="K57" s="293"/>
      <c r="L57" s="292"/>
      <c r="M57" s="293"/>
      <c r="N57" s="293"/>
      <c r="O57" s="293"/>
      <c r="P57" s="293"/>
      <c r="Q57" s="293"/>
      <c r="R57" s="293"/>
      <c r="S57" s="293"/>
      <c r="T57" s="293"/>
      <c r="U57" s="293"/>
      <c r="V57" s="293"/>
      <c r="W57" s="293"/>
      <c r="X57" s="293"/>
      <c r="Y57" s="293"/>
      <c r="Z57" s="293"/>
      <c r="AA57" s="293"/>
      <c r="AB57" s="293"/>
      <c r="AC57" s="293"/>
      <c r="AD57" s="293"/>
      <c r="AE57" s="293"/>
      <c r="AF57" s="293"/>
      <c r="AG57" s="293"/>
      <c r="AH57" s="293"/>
      <c r="AI57" s="293"/>
      <c r="AJ57" s="293"/>
      <c r="AK57" s="293"/>
      <c r="AL57" s="293"/>
      <c r="AM57" s="293"/>
      <c r="AN57" s="293"/>
      <c r="AO57" s="293"/>
      <c r="AP57" s="293"/>
      <c r="AQ57" s="293"/>
      <c r="AR57" s="293"/>
      <c r="AS57" s="293"/>
      <c r="AT57" s="293"/>
      <c r="AU57" s="293"/>
      <c r="AV57" s="293"/>
      <c r="AW57" s="293"/>
      <c r="AX57" s="293"/>
      <c r="AY57" s="293"/>
      <c r="AZ57" s="293"/>
      <c r="BA57" s="293"/>
      <c r="BB57" s="293"/>
      <c r="BC57" s="293"/>
      <c r="BD57" s="293"/>
      <c r="BE57" s="293"/>
      <c r="BF57" s="293"/>
      <c r="BG57" s="293"/>
      <c r="BH57" s="293"/>
      <c r="BI57" s="293"/>
      <c r="BJ57" s="293"/>
      <c r="BK57" s="293"/>
      <c r="BL57" s="293"/>
      <c r="BM57" s="293"/>
      <c r="BN57" s="293"/>
      <c r="BO57" s="293"/>
      <c r="BP57" s="293"/>
      <c r="BQ57" s="293"/>
      <c r="BR57" s="293"/>
    </row>
    <row r="58" spans="1:70" x14ac:dyDescent="0.15">
      <c r="A58" s="293"/>
      <c r="B58" s="292"/>
      <c r="C58" s="292"/>
      <c r="D58" s="292"/>
      <c r="E58" s="292" t="s">
        <v>559</v>
      </c>
      <c r="F58" s="292"/>
      <c r="G58" s="292"/>
      <c r="H58" s="292"/>
      <c r="I58" s="292"/>
      <c r="J58" s="293" t="s">
        <v>82</v>
      </c>
      <c r="K58" s="293"/>
      <c r="L58" s="292"/>
      <c r="M58" s="293"/>
      <c r="N58" s="293"/>
      <c r="O58" s="293"/>
      <c r="P58" s="293"/>
      <c r="Q58" s="293"/>
      <c r="R58" s="293"/>
      <c r="S58" s="293"/>
      <c r="T58" s="293"/>
      <c r="U58" s="294"/>
      <c r="V58" s="293"/>
      <c r="W58" s="293"/>
      <c r="X58" s="293"/>
      <c r="Y58" s="293"/>
      <c r="Z58" s="293"/>
      <c r="AA58" s="293"/>
      <c r="AB58" s="293"/>
      <c r="AC58" s="293"/>
      <c r="AD58" s="293"/>
      <c r="AE58" s="293"/>
      <c r="AF58" s="293"/>
      <c r="AG58" s="293"/>
      <c r="AH58" s="293"/>
      <c r="AI58" s="293"/>
      <c r="AJ58" s="293"/>
      <c r="AK58" s="293"/>
      <c r="AL58" s="293"/>
      <c r="AM58" s="293"/>
      <c r="AN58" s="293"/>
      <c r="AO58" s="293"/>
      <c r="AP58" s="293"/>
      <c r="AQ58" s="293"/>
      <c r="AR58" s="293"/>
      <c r="AS58" s="293"/>
      <c r="AT58" s="293"/>
      <c r="AU58" s="293"/>
      <c r="AV58" s="293"/>
      <c r="AW58" s="293"/>
      <c r="AX58" s="293"/>
      <c r="AY58" s="293"/>
      <c r="AZ58" s="293"/>
      <c r="BA58" s="293"/>
      <c r="BB58" s="293"/>
      <c r="BC58" s="293"/>
      <c r="BD58" s="293"/>
      <c r="BE58" s="293"/>
      <c r="BF58" s="293"/>
      <c r="BG58" s="293"/>
      <c r="BH58" s="293"/>
      <c r="BI58" s="293"/>
      <c r="BJ58" s="293"/>
      <c r="BK58" s="293"/>
      <c r="BL58" s="293"/>
      <c r="BM58" s="293"/>
      <c r="BN58" s="293"/>
      <c r="BO58" s="293"/>
      <c r="BP58" s="293"/>
      <c r="BQ58" s="293"/>
      <c r="BR58" s="293"/>
    </row>
    <row r="59" spans="1:70" x14ac:dyDescent="0.15">
      <c r="A59" s="293"/>
      <c r="B59" s="294"/>
      <c r="C59" s="292"/>
      <c r="D59" s="545" t="s">
        <v>126</v>
      </c>
      <c r="E59" s="546"/>
      <c r="F59" s="546"/>
      <c r="G59" s="546"/>
      <c r="H59" s="546"/>
      <c r="I59" s="547"/>
      <c r="J59" s="292"/>
      <c r="K59" s="293"/>
      <c r="L59" s="292"/>
      <c r="M59" s="293"/>
      <c r="N59" s="293"/>
      <c r="O59" s="293"/>
      <c r="P59" s="293"/>
      <c r="Q59" s="293"/>
      <c r="R59" s="293"/>
      <c r="S59" s="293"/>
      <c r="T59" s="293"/>
      <c r="U59" s="294"/>
      <c r="V59" s="293"/>
      <c r="W59" s="293"/>
      <c r="X59" s="293"/>
      <c r="Y59" s="293"/>
      <c r="Z59" s="293"/>
      <c r="AA59" s="293"/>
      <c r="AB59" s="293"/>
      <c r="AC59" s="293"/>
      <c r="AD59" s="293"/>
      <c r="AE59" s="293"/>
      <c r="AF59" s="293"/>
      <c r="AG59" s="293"/>
      <c r="AH59" s="293"/>
      <c r="AI59" s="293"/>
      <c r="AJ59" s="293"/>
      <c r="AK59" s="293"/>
      <c r="AL59" s="293"/>
      <c r="AM59" s="293"/>
      <c r="AN59" s="293"/>
      <c r="AO59" s="293"/>
      <c r="AP59" s="293"/>
      <c r="AQ59" s="293"/>
      <c r="AR59" s="293"/>
      <c r="AS59" s="293"/>
      <c r="AT59" s="293"/>
      <c r="AU59" s="293"/>
      <c r="AV59" s="293"/>
      <c r="AW59" s="293"/>
      <c r="AX59" s="293"/>
      <c r="AY59" s="293"/>
      <c r="AZ59" s="293"/>
      <c r="BA59" s="293"/>
      <c r="BB59" s="293"/>
      <c r="BC59" s="293"/>
      <c r="BD59" s="293"/>
      <c r="BE59" s="293"/>
      <c r="BF59" s="293"/>
      <c r="BG59" s="293"/>
      <c r="BH59" s="293"/>
      <c r="BI59" s="293"/>
      <c r="BJ59" s="293"/>
      <c r="BK59" s="293"/>
      <c r="BL59" s="293"/>
      <c r="BM59" s="293"/>
      <c r="BN59" s="293"/>
      <c r="BO59" s="293"/>
      <c r="BP59" s="293"/>
      <c r="BQ59" s="293"/>
      <c r="BR59" s="293"/>
    </row>
    <row r="60" spans="1:70" x14ac:dyDescent="0.15">
      <c r="A60" s="293"/>
      <c r="B60" s="293"/>
      <c r="C60" s="293"/>
      <c r="D60" s="292"/>
      <c r="E60" s="292" t="s">
        <v>560</v>
      </c>
      <c r="F60" s="292"/>
      <c r="G60" s="292"/>
      <c r="H60" s="292"/>
      <c r="I60" s="292"/>
      <c r="J60" s="293" t="s">
        <v>129</v>
      </c>
      <c r="K60" s="293"/>
      <c r="L60" s="293"/>
      <c r="M60" s="293"/>
      <c r="N60" s="293"/>
      <c r="O60" s="293"/>
      <c r="P60" s="293"/>
      <c r="Q60" s="293"/>
      <c r="R60" s="293"/>
      <c r="S60" s="293"/>
      <c r="T60" s="293"/>
      <c r="U60" s="293"/>
      <c r="V60" s="293"/>
      <c r="W60" s="293"/>
      <c r="X60" s="293"/>
      <c r="Y60" s="293"/>
      <c r="Z60" s="293"/>
      <c r="AA60" s="293"/>
      <c r="AB60" s="293"/>
      <c r="AC60" s="293"/>
      <c r="AD60" s="293"/>
      <c r="AE60" s="293"/>
      <c r="AF60" s="293"/>
      <c r="AG60" s="293"/>
      <c r="AH60" s="293"/>
      <c r="AI60" s="293"/>
      <c r="AJ60" s="293"/>
      <c r="AK60" s="293"/>
      <c r="AL60" s="293"/>
      <c r="AM60" s="293"/>
      <c r="AN60" s="293"/>
      <c r="AO60" s="293"/>
      <c r="AP60" s="293"/>
      <c r="AQ60" s="293"/>
      <c r="AR60" s="293"/>
      <c r="AS60" s="293"/>
      <c r="AT60" s="293"/>
      <c r="AU60" s="293"/>
      <c r="AV60" s="293"/>
      <c r="AW60" s="293"/>
      <c r="AX60" s="293"/>
      <c r="AY60" s="293"/>
      <c r="AZ60" s="293"/>
      <c r="BA60" s="293"/>
      <c r="BB60" s="293"/>
      <c r="BC60" s="293"/>
      <c r="BD60" s="293"/>
      <c r="BE60" s="293"/>
      <c r="BF60" s="293"/>
      <c r="BG60" s="293"/>
      <c r="BH60" s="293"/>
      <c r="BI60" s="293"/>
      <c r="BJ60" s="293"/>
      <c r="BK60" s="293"/>
      <c r="BL60" s="293"/>
      <c r="BM60" s="293"/>
      <c r="BN60" s="293"/>
      <c r="BO60" s="293"/>
      <c r="BP60" s="293"/>
      <c r="BQ60" s="293"/>
      <c r="BR60" s="293"/>
    </row>
    <row r="61" spans="1:70" x14ac:dyDescent="0.15">
      <c r="A61" s="293"/>
      <c r="B61" s="293"/>
      <c r="C61" s="293"/>
      <c r="D61" s="292"/>
      <c r="E61" s="292" t="s">
        <v>561</v>
      </c>
      <c r="F61" s="292"/>
      <c r="G61" s="292"/>
      <c r="H61" s="292"/>
      <c r="I61" s="292"/>
      <c r="J61" s="292" t="s">
        <v>132</v>
      </c>
      <c r="K61" s="293"/>
      <c r="L61" s="293"/>
      <c r="M61" s="293"/>
      <c r="N61" s="293"/>
      <c r="O61" s="293"/>
      <c r="P61" s="293"/>
      <c r="Q61" s="293"/>
      <c r="R61" s="293"/>
      <c r="S61" s="293"/>
      <c r="T61" s="293"/>
      <c r="U61" s="293"/>
      <c r="V61" s="293"/>
      <c r="W61" s="293"/>
      <c r="X61" s="293"/>
      <c r="Y61" s="293"/>
      <c r="Z61" s="293"/>
      <c r="AA61" s="293"/>
      <c r="AB61" s="293"/>
      <c r="AC61" s="293"/>
      <c r="AD61" s="293"/>
      <c r="AE61" s="293"/>
      <c r="AF61" s="293"/>
      <c r="AG61" s="293"/>
      <c r="AH61" s="293"/>
      <c r="AI61" s="293"/>
      <c r="AJ61" s="293"/>
      <c r="AK61" s="293"/>
      <c r="AL61" s="293"/>
      <c r="AM61" s="293"/>
      <c r="AN61" s="293"/>
      <c r="AO61" s="293"/>
      <c r="AP61" s="293"/>
      <c r="AQ61" s="293"/>
      <c r="AR61" s="288"/>
      <c r="AS61" s="293"/>
      <c r="AT61" s="293"/>
      <c r="AU61" s="293"/>
      <c r="AV61" s="293"/>
      <c r="AW61" s="293"/>
      <c r="AX61" s="293"/>
      <c r="AY61" s="293"/>
      <c r="AZ61" s="293"/>
      <c r="BA61" s="293"/>
      <c r="BB61" s="293"/>
      <c r="BC61" s="293"/>
      <c r="BD61" s="293"/>
      <c r="BE61" s="293"/>
      <c r="BF61" s="293"/>
      <c r="BG61" s="293"/>
      <c r="BH61" s="293"/>
      <c r="BI61" s="293"/>
      <c r="BJ61" s="293"/>
      <c r="BK61" s="293"/>
      <c r="BL61" s="293"/>
      <c r="BM61" s="293"/>
      <c r="BN61" s="293"/>
      <c r="BO61" s="293"/>
      <c r="BP61" s="293"/>
      <c r="BQ61" s="293"/>
      <c r="BR61" s="293"/>
    </row>
    <row r="62" spans="1:70" x14ac:dyDescent="0.15">
      <c r="A62" s="293"/>
      <c r="B62" s="293"/>
      <c r="C62" s="293"/>
      <c r="D62" s="293"/>
      <c r="E62" s="293"/>
      <c r="F62" s="293"/>
      <c r="G62" s="293"/>
      <c r="H62" s="293"/>
      <c r="I62" s="293"/>
      <c r="J62" s="293"/>
      <c r="K62" s="293"/>
      <c r="L62" s="293"/>
      <c r="M62" s="293"/>
      <c r="N62" s="293"/>
      <c r="O62" s="293"/>
      <c r="P62" s="293"/>
      <c r="Q62" s="293"/>
      <c r="R62" s="293"/>
      <c r="S62" s="293"/>
      <c r="T62" s="293"/>
      <c r="U62" s="293"/>
      <c r="V62" s="293"/>
      <c r="W62" s="293"/>
      <c r="X62" s="293"/>
      <c r="Y62" s="293"/>
      <c r="Z62" s="293"/>
      <c r="AA62" s="293"/>
      <c r="AB62" s="293"/>
      <c r="AC62" s="293"/>
      <c r="AD62" s="293"/>
      <c r="AE62" s="293"/>
      <c r="AF62" s="293"/>
      <c r="AG62" s="293"/>
      <c r="AH62" s="293"/>
      <c r="AI62" s="293"/>
      <c r="AJ62" s="293"/>
      <c r="AK62" s="293"/>
      <c r="AL62" s="293"/>
      <c r="AM62" s="293"/>
      <c r="AN62" s="293"/>
      <c r="AO62" s="293"/>
      <c r="AP62" s="293"/>
      <c r="AQ62" s="293"/>
      <c r="AR62" s="293"/>
      <c r="AS62" s="293"/>
      <c r="AT62" s="293"/>
      <c r="AU62" s="293"/>
      <c r="AV62" s="293"/>
      <c r="AW62" s="293"/>
      <c r="AX62" s="293"/>
      <c r="AY62" s="293"/>
      <c r="AZ62" s="293"/>
      <c r="BA62" s="293"/>
      <c r="BB62" s="293"/>
      <c r="BC62" s="293"/>
      <c r="BD62" s="293"/>
      <c r="BE62" s="293"/>
      <c r="BF62" s="293"/>
      <c r="BG62" s="293"/>
      <c r="BH62" s="293"/>
      <c r="BI62" s="293"/>
      <c r="BJ62" s="293"/>
      <c r="BK62" s="293"/>
      <c r="BL62" s="293"/>
      <c r="BM62" s="293"/>
      <c r="BN62" s="293"/>
      <c r="BO62" s="293"/>
      <c r="BP62" s="293"/>
      <c r="BQ62" s="293"/>
      <c r="BR62" s="293"/>
    </row>
    <row r="63" spans="1:70" x14ac:dyDescent="0.15">
      <c r="A63" s="293"/>
      <c r="B63" s="293"/>
      <c r="C63" s="293"/>
      <c r="D63" s="293"/>
      <c r="E63" s="293"/>
      <c r="F63" s="293"/>
      <c r="G63" s="293"/>
      <c r="H63" s="293"/>
      <c r="I63" s="293"/>
      <c r="J63" s="293"/>
      <c r="K63" s="293"/>
      <c r="L63" s="293"/>
      <c r="M63" s="293"/>
      <c r="N63" s="293"/>
      <c r="O63" s="293"/>
      <c r="P63" s="293"/>
      <c r="Q63" s="293"/>
      <c r="R63" s="293"/>
      <c r="S63" s="293"/>
      <c r="T63" s="293"/>
      <c r="U63" s="293"/>
      <c r="V63" s="293"/>
      <c r="W63" s="293"/>
      <c r="X63" s="293"/>
      <c r="Y63" s="293"/>
      <c r="Z63" s="293"/>
      <c r="AA63" s="293"/>
      <c r="AB63" s="293"/>
      <c r="AC63" s="293"/>
      <c r="AD63" s="293"/>
      <c r="AE63" s="293"/>
      <c r="AF63" s="293"/>
      <c r="AG63" s="293"/>
      <c r="AH63" s="293"/>
      <c r="AI63" s="293"/>
      <c r="AJ63" s="293"/>
      <c r="AK63" s="293"/>
      <c r="AL63" s="293"/>
      <c r="AM63" s="293"/>
      <c r="AN63" s="293"/>
      <c r="AO63" s="293"/>
      <c r="AP63" s="293"/>
      <c r="AQ63" s="293"/>
      <c r="AR63" s="293"/>
      <c r="AS63" s="293"/>
      <c r="AT63" s="293"/>
      <c r="AU63" s="293"/>
      <c r="AV63" s="293"/>
      <c r="AW63" s="293"/>
      <c r="AX63" s="293"/>
      <c r="AY63" s="293"/>
      <c r="AZ63" s="293"/>
      <c r="BA63" s="293"/>
      <c r="BB63" s="293"/>
      <c r="BC63" s="293"/>
      <c r="BD63" s="293"/>
      <c r="BE63" s="293"/>
      <c r="BF63" s="293"/>
      <c r="BG63" s="293"/>
      <c r="BH63" s="293"/>
      <c r="BI63" s="293"/>
      <c r="BJ63" s="293"/>
      <c r="BK63" s="293"/>
      <c r="BL63" s="293"/>
      <c r="BM63" s="293"/>
      <c r="BN63" s="293"/>
      <c r="BO63" s="293"/>
      <c r="BP63" s="293"/>
      <c r="BQ63" s="293"/>
      <c r="BR63" s="293"/>
    </row>
    <row r="64" spans="1:70" x14ac:dyDescent="0.15">
      <c r="A64" s="293"/>
      <c r="B64" s="293"/>
      <c r="C64" s="293"/>
      <c r="D64" s="293"/>
      <c r="E64" s="293"/>
      <c r="F64" s="293"/>
      <c r="G64" s="293"/>
      <c r="H64" s="293"/>
      <c r="I64" s="293"/>
      <c r="J64" s="293"/>
      <c r="K64" s="293"/>
      <c r="L64" s="293"/>
      <c r="M64" s="293"/>
      <c r="N64" s="293"/>
      <c r="O64" s="293"/>
      <c r="P64" s="293"/>
      <c r="Q64" s="293"/>
      <c r="R64" s="293"/>
      <c r="S64" s="293"/>
      <c r="T64" s="293"/>
      <c r="U64" s="293"/>
      <c r="V64" s="293"/>
      <c r="W64" s="293"/>
      <c r="X64" s="293"/>
      <c r="Y64" s="293"/>
      <c r="Z64" s="293"/>
      <c r="AA64" s="293"/>
      <c r="AB64" s="293"/>
      <c r="AC64" s="293"/>
      <c r="AD64" s="293"/>
      <c r="AE64" s="293"/>
      <c r="AF64" s="293"/>
      <c r="AG64" s="293"/>
      <c r="AH64" s="293"/>
      <c r="AI64" s="293"/>
      <c r="AJ64" s="293"/>
      <c r="AK64" s="293"/>
      <c r="AL64" s="293"/>
      <c r="AM64" s="293"/>
      <c r="AN64" s="293"/>
      <c r="AO64" s="293"/>
      <c r="AP64" s="293"/>
      <c r="AQ64" s="293"/>
      <c r="AR64" s="293"/>
      <c r="AS64" s="293"/>
      <c r="AT64" s="293"/>
      <c r="AU64" s="293"/>
      <c r="AV64" s="293"/>
      <c r="AW64" s="293"/>
      <c r="AX64" s="293"/>
      <c r="AY64" s="293"/>
      <c r="AZ64" s="293"/>
      <c r="BA64" s="293"/>
      <c r="BB64" s="293"/>
      <c r="BC64" s="293"/>
      <c r="BD64" s="293"/>
      <c r="BE64" s="293"/>
      <c r="BF64" s="293"/>
      <c r="BG64" s="293"/>
      <c r="BH64" s="293"/>
      <c r="BI64" s="293"/>
      <c r="BJ64" s="293"/>
      <c r="BK64" s="293"/>
      <c r="BL64" s="293"/>
      <c r="BM64" s="293"/>
      <c r="BN64" s="293"/>
      <c r="BO64" s="293"/>
      <c r="BP64" s="293"/>
      <c r="BQ64" s="293"/>
      <c r="BR64" s="293"/>
    </row>
    <row r="65" spans="1:70" x14ac:dyDescent="0.15">
      <c r="A65" s="293"/>
      <c r="B65" s="293"/>
      <c r="C65" s="293"/>
      <c r="D65" s="293"/>
      <c r="E65" s="293"/>
      <c r="F65" s="293"/>
      <c r="G65" s="293"/>
      <c r="H65" s="293"/>
      <c r="I65" s="293"/>
      <c r="J65" s="293"/>
      <c r="K65" s="293"/>
      <c r="L65" s="293"/>
      <c r="M65" s="293"/>
      <c r="N65" s="293"/>
      <c r="O65" s="293"/>
      <c r="P65" s="293"/>
      <c r="Q65" s="293"/>
      <c r="R65" s="293"/>
      <c r="S65" s="293"/>
      <c r="T65" s="293"/>
      <c r="U65" s="293"/>
      <c r="V65" s="293"/>
      <c r="W65" s="293"/>
      <c r="X65" s="293"/>
      <c r="Y65" s="293"/>
      <c r="Z65" s="293"/>
      <c r="AA65" s="293"/>
      <c r="AB65" s="293"/>
      <c r="AC65" s="293"/>
      <c r="AD65" s="293"/>
      <c r="AE65" s="293"/>
      <c r="AF65" s="293"/>
      <c r="AG65" s="293"/>
      <c r="AH65" s="293"/>
      <c r="AI65" s="293"/>
      <c r="AJ65" s="293"/>
      <c r="AK65" s="293"/>
      <c r="AL65" s="293"/>
      <c r="AM65" s="293"/>
      <c r="AN65" s="293"/>
      <c r="AO65" s="293"/>
      <c r="AP65" s="293"/>
      <c r="AQ65" s="293"/>
      <c r="AR65" s="293"/>
      <c r="AS65" s="293"/>
      <c r="AT65" s="293"/>
      <c r="AU65" s="293"/>
      <c r="AV65" s="293"/>
      <c r="AW65" s="293"/>
      <c r="AX65" s="293"/>
      <c r="AY65" s="293"/>
      <c r="AZ65" s="293"/>
      <c r="BA65" s="293"/>
      <c r="BB65" s="293"/>
      <c r="BC65" s="293"/>
      <c r="BD65" s="293"/>
      <c r="BE65" s="293"/>
      <c r="BF65" s="293"/>
      <c r="BG65" s="293"/>
      <c r="BH65" s="293"/>
      <c r="BI65" s="293"/>
      <c r="BJ65" s="293"/>
      <c r="BK65" s="293"/>
      <c r="BL65" s="293"/>
      <c r="BM65" s="293"/>
      <c r="BN65" s="293"/>
      <c r="BO65" s="293"/>
      <c r="BP65" s="293"/>
      <c r="BQ65" s="293"/>
      <c r="BR65" s="293"/>
    </row>
    <row r="66" spans="1:70" x14ac:dyDescent="0.15">
      <c r="A66" s="293"/>
      <c r="B66" s="293"/>
      <c r="C66" s="293"/>
      <c r="D66" s="293"/>
      <c r="E66" s="293"/>
      <c r="F66" s="293"/>
      <c r="G66" s="293"/>
      <c r="H66" s="293"/>
      <c r="I66" s="293"/>
      <c r="J66" s="293"/>
      <c r="K66" s="293"/>
      <c r="L66" s="293"/>
      <c r="M66" s="293"/>
      <c r="N66" s="293"/>
      <c r="O66" s="293"/>
      <c r="P66" s="293"/>
      <c r="Q66" s="293"/>
      <c r="R66" s="293"/>
      <c r="S66" s="293"/>
      <c r="T66" s="293"/>
      <c r="U66" s="293"/>
      <c r="V66" s="293"/>
      <c r="W66" s="293"/>
      <c r="X66" s="293"/>
      <c r="Y66" s="293"/>
      <c r="Z66" s="293"/>
      <c r="AA66" s="293"/>
      <c r="AB66" s="293"/>
      <c r="AC66" s="293"/>
      <c r="AD66" s="293"/>
      <c r="AE66" s="293"/>
      <c r="AF66" s="293"/>
      <c r="AG66" s="293"/>
      <c r="AH66" s="293"/>
      <c r="AI66" s="293"/>
      <c r="AJ66" s="293"/>
      <c r="AK66" s="293"/>
      <c r="AL66" s="293"/>
      <c r="AM66" s="293"/>
      <c r="AN66" s="293"/>
      <c r="AO66" s="293"/>
      <c r="AP66" s="293"/>
      <c r="AQ66" s="293"/>
      <c r="AR66" s="295"/>
      <c r="AS66" s="293"/>
      <c r="AT66" s="293"/>
      <c r="AU66" s="293"/>
      <c r="AV66" s="293"/>
      <c r="AW66" s="293"/>
      <c r="AX66" s="293"/>
      <c r="AY66" s="293"/>
      <c r="AZ66" s="293"/>
      <c r="BA66" s="293"/>
      <c r="BB66" s="293"/>
      <c r="BC66" s="293"/>
      <c r="BD66" s="293"/>
      <c r="BE66" s="293"/>
      <c r="BF66" s="293"/>
      <c r="BG66" s="293"/>
      <c r="BH66" s="293"/>
      <c r="BI66" s="293"/>
      <c r="BJ66" s="293"/>
      <c r="BK66" s="293"/>
      <c r="BL66" s="293"/>
      <c r="BM66" s="293"/>
      <c r="BN66" s="293"/>
      <c r="BO66" s="293"/>
      <c r="BP66" s="293"/>
      <c r="BQ66" s="293"/>
      <c r="BR66" s="293"/>
    </row>
    <row r="67" spans="1:70" x14ac:dyDescent="0.15">
      <c r="A67" s="293"/>
      <c r="B67" s="293"/>
      <c r="C67" s="293"/>
      <c r="D67" s="293"/>
      <c r="E67" s="293"/>
      <c r="F67" s="293"/>
      <c r="G67" s="293"/>
      <c r="H67" s="293"/>
      <c r="I67" s="293"/>
      <c r="J67" s="293"/>
      <c r="K67" s="293"/>
      <c r="L67" s="293"/>
      <c r="M67" s="293"/>
      <c r="N67" s="293"/>
      <c r="O67" s="293"/>
      <c r="P67" s="293"/>
      <c r="Q67" s="293"/>
      <c r="R67" s="293"/>
      <c r="S67" s="293"/>
      <c r="T67" s="293"/>
      <c r="U67" s="293"/>
      <c r="V67" s="293"/>
      <c r="W67" s="293"/>
      <c r="X67" s="293"/>
      <c r="Y67" s="293"/>
      <c r="Z67" s="293"/>
      <c r="AA67" s="293"/>
      <c r="AB67" s="293"/>
      <c r="AC67" s="293"/>
      <c r="AD67" s="293"/>
      <c r="AE67" s="293"/>
      <c r="AF67" s="293"/>
      <c r="AG67" s="293"/>
      <c r="AH67" s="293"/>
      <c r="AI67" s="293"/>
      <c r="AJ67" s="293"/>
      <c r="AK67" s="293"/>
      <c r="AL67" s="293"/>
      <c r="AM67" s="293"/>
      <c r="AN67" s="293"/>
      <c r="AO67" s="293"/>
      <c r="AP67" s="293"/>
      <c r="AQ67" s="293"/>
      <c r="AR67" s="293"/>
      <c r="AS67" s="293"/>
      <c r="AT67" s="293"/>
      <c r="AU67" s="293"/>
      <c r="AV67" s="293"/>
      <c r="AW67" s="293"/>
      <c r="AX67" s="293"/>
      <c r="AY67" s="293"/>
      <c r="AZ67" s="293"/>
      <c r="BA67" s="293"/>
      <c r="BB67" s="293"/>
      <c r="BC67" s="293"/>
      <c r="BD67" s="293"/>
      <c r="BE67" s="293"/>
      <c r="BF67" s="293"/>
      <c r="BG67" s="293"/>
      <c r="BH67" s="293"/>
      <c r="BI67" s="293"/>
      <c r="BJ67" s="293"/>
      <c r="BK67" s="293"/>
      <c r="BL67" s="293"/>
      <c r="BM67" s="293"/>
      <c r="BN67" s="293"/>
      <c r="BO67" s="293"/>
      <c r="BP67" s="293"/>
      <c r="BQ67" s="293"/>
      <c r="BR67" s="293"/>
    </row>
    <row r="68" spans="1:70" x14ac:dyDescent="0.15">
      <c r="A68" s="293"/>
      <c r="B68" s="293"/>
      <c r="C68" s="293"/>
      <c r="D68" s="293"/>
      <c r="E68" s="293"/>
      <c r="F68" s="293"/>
      <c r="G68" s="293"/>
      <c r="H68" s="293"/>
      <c r="I68" s="293"/>
      <c r="J68" s="293"/>
      <c r="K68" s="293"/>
      <c r="L68" s="293"/>
      <c r="M68" s="293"/>
      <c r="N68" s="293"/>
      <c r="O68" s="293"/>
      <c r="P68" s="293"/>
      <c r="Q68" s="293"/>
      <c r="R68" s="293"/>
      <c r="S68" s="293"/>
      <c r="T68" s="293"/>
      <c r="U68" s="293"/>
      <c r="V68" s="293"/>
      <c r="W68" s="293"/>
      <c r="X68" s="293"/>
      <c r="Y68" s="293"/>
      <c r="Z68" s="293"/>
      <c r="AA68" s="293"/>
      <c r="AB68" s="293"/>
      <c r="AC68" s="293"/>
      <c r="AD68" s="293"/>
      <c r="AE68" s="293"/>
      <c r="AF68" s="293"/>
      <c r="AG68" s="293"/>
      <c r="AH68" s="293"/>
      <c r="AI68" s="293"/>
      <c r="AJ68" s="293"/>
      <c r="AK68" s="293"/>
      <c r="AL68" s="293"/>
      <c r="AM68" s="293"/>
      <c r="AN68" s="293"/>
      <c r="AO68" s="293"/>
      <c r="AP68" s="293"/>
      <c r="AQ68" s="293"/>
      <c r="AR68" s="293"/>
      <c r="AS68" s="293"/>
      <c r="AT68" s="293"/>
      <c r="AU68" s="293"/>
      <c r="AV68" s="293"/>
      <c r="AW68" s="293"/>
      <c r="AX68" s="293"/>
      <c r="AY68" s="293"/>
      <c r="AZ68" s="293"/>
      <c r="BA68" s="293"/>
      <c r="BB68" s="293"/>
      <c r="BC68" s="293"/>
      <c r="BD68" s="293"/>
      <c r="BE68" s="293"/>
      <c r="BF68" s="293"/>
      <c r="BG68" s="293"/>
      <c r="BH68" s="293"/>
      <c r="BI68" s="293"/>
      <c r="BJ68" s="293"/>
      <c r="BK68" s="293"/>
      <c r="BL68" s="293"/>
      <c r="BM68" s="293"/>
      <c r="BN68" s="293"/>
      <c r="BO68" s="293"/>
      <c r="BP68" s="293"/>
      <c r="BQ68" s="293"/>
      <c r="BR68" s="293"/>
    </row>
    <row r="69" spans="1:70" x14ac:dyDescent="0.15">
      <c r="A69" s="293"/>
      <c r="B69" s="293"/>
      <c r="C69" s="293"/>
      <c r="D69" s="293"/>
      <c r="E69" s="293"/>
      <c r="F69" s="293"/>
      <c r="G69" s="293"/>
      <c r="H69" s="293"/>
      <c r="I69" s="293"/>
      <c r="J69" s="293"/>
      <c r="K69" s="293"/>
      <c r="L69" s="293"/>
      <c r="M69" s="293"/>
      <c r="N69" s="293"/>
      <c r="O69" s="293"/>
      <c r="P69" s="293"/>
      <c r="Q69" s="293"/>
      <c r="R69" s="293"/>
      <c r="S69" s="293"/>
      <c r="T69" s="293"/>
      <c r="U69" s="293"/>
      <c r="V69" s="293"/>
      <c r="W69" s="293"/>
      <c r="X69" s="293"/>
      <c r="Y69" s="293"/>
      <c r="Z69" s="293"/>
      <c r="AA69" s="293"/>
      <c r="AB69" s="293"/>
      <c r="AC69" s="293"/>
      <c r="AD69" s="293"/>
      <c r="AE69" s="293"/>
      <c r="AF69" s="293"/>
      <c r="AG69" s="293"/>
      <c r="AH69" s="293"/>
      <c r="AI69" s="293"/>
      <c r="AJ69" s="293"/>
      <c r="AK69" s="293"/>
      <c r="AL69" s="293"/>
      <c r="AM69" s="293"/>
      <c r="AN69" s="293"/>
      <c r="AO69" s="293"/>
      <c r="AP69" s="293"/>
      <c r="AQ69" s="293"/>
      <c r="AR69" s="293"/>
      <c r="AS69" s="293"/>
      <c r="AT69" s="293"/>
      <c r="AU69" s="293"/>
      <c r="AV69" s="293"/>
      <c r="AW69" s="293"/>
      <c r="AX69" s="293"/>
      <c r="AY69" s="293"/>
      <c r="AZ69" s="293"/>
      <c r="BA69" s="293"/>
      <c r="BB69" s="293"/>
      <c r="BC69" s="293"/>
      <c r="BD69" s="293"/>
      <c r="BE69" s="293"/>
      <c r="BF69" s="293"/>
      <c r="BG69" s="293"/>
      <c r="BH69" s="293"/>
      <c r="BI69" s="293"/>
      <c r="BJ69" s="293"/>
      <c r="BK69" s="293"/>
      <c r="BL69" s="293"/>
      <c r="BM69" s="293"/>
      <c r="BN69" s="293"/>
      <c r="BO69" s="293"/>
      <c r="BP69" s="293"/>
      <c r="BQ69" s="293"/>
      <c r="BR69" s="293"/>
    </row>
    <row r="70" spans="1:70" x14ac:dyDescent="0.15">
      <c r="A70" s="293"/>
      <c r="B70" s="293"/>
      <c r="C70" s="293"/>
      <c r="D70" s="293"/>
      <c r="E70" s="293"/>
      <c r="F70" s="293"/>
      <c r="G70" s="293"/>
      <c r="H70" s="293"/>
      <c r="I70" s="293"/>
      <c r="J70" s="293"/>
      <c r="K70" s="293"/>
      <c r="L70" s="293"/>
      <c r="M70" s="293"/>
      <c r="N70" s="293"/>
      <c r="O70" s="293"/>
      <c r="P70" s="293"/>
      <c r="Q70" s="293"/>
      <c r="R70" s="293"/>
      <c r="S70" s="293"/>
      <c r="T70" s="293"/>
      <c r="U70" s="293"/>
      <c r="V70" s="293"/>
      <c r="W70" s="293"/>
      <c r="X70" s="293"/>
      <c r="Y70" s="293"/>
      <c r="Z70" s="293"/>
      <c r="AA70" s="293"/>
      <c r="AB70" s="293"/>
      <c r="AC70" s="293"/>
      <c r="AD70" s="293"/>
      <c r="AE70" s="293"/>
      <c r="AF70" s="293"/>
      <c r="AG70" s="293"/>
      <c r="AH70" s="293"/>
      <c r="AI70" s="293"/>
      <c r="AJ70" s="293"/>
      <c r="AK70" s="293"/>
      <c r="AL70" s="293"/>
      <c r="AM70" s="293"/>
      <c r="AN70" s="293"/>
      <c r="AO70" s="293"/>
      <c r="AP70" s="293"/>
      <c r="AQ70" s="293"/>
      <c r="AR70" s="293"/>
      <c r="AS70" s="293"/>
      <c r="AT70" s="293"/>
      <c r="AU70" s="293"/>
      <c r="AV70" s="293"/>
      <c r="AW70" s="293"/>
      <c r="AX70" s="293"/>
      <c r="AY70" s="293"/>
      <c r="AZ70" s="293"/>
      <c r="BA70" s="293"/>
      <c r="BB70" s="293"/>
      <c r="BC70" s="293"/>
      <c r="BD70" s="293"/>
      <c r="BE70" s="293"/>
      <c r="BF70" s="293"/>
      <c r="BG70" s="293"/>
      <c r="BH70" s="293"/>
      <c r="BI70" s="293"/>
      <c r="BJ70" s="293"/>
      <c r="BK70" s="293"/>
      <c r="BL70" s="293"/>
      <c r="BM70" s="293"/>
      <c r="BN70" s="293"/>
      <c r="BO70" s="293"/>
      <c r="BP70" s="293"/>
      <c r="BQ70" s="293"/>
      <c r="BR70" s="293"/>
    </row>
    <row r="71" spans="1:70" x14ac:dyDescent="0.15">
      <c r="A71" s="293"/>
      <c r="B71" s="293"/>
      <c r="C71" s="293"/>
      <c r="D71" s="293"/>
      <c r="E71" s="293"/>
      <c r="F71" s="293"/>
      <c r="G71" s="293"/>
      <c r="H71" s="293"/>
      <c r="I71" s="293"/>
      <c r="J71" s="293"/>
      <c r="K71" s="293"/>
      <c r="L71" s="293"/>
      <c r="M71" s="293"/>
      <c r="N71" s="293"/>
      <c r="O71" s="293"/>
      <c r="P71" s="293"/>
      <c r="Q71" s="293"/>
      <c r="R71" s="293"/>
      <c r="S71" s="293"/>
      <c r="T71" s="293"/>
      <c r="U71" s="293"/>
      <c r="V71" s="293"/>
      <c r="W71" s="293"/>
      <c r="X71" s="293"/>
      <c r="Y71" s="293"/>
      <c r="Z71" s="293"/>
      <c r="AA71" s="293"/>
      <c r="AB71" s="293"/>
      <c r="AC71" s="293"/>
      <c r="AD71" s="293"/>
      <c r="AE71" s="293"/>
      <c r="AF71" s="293"/>
      <c r="AG71" s="293"/>
      <c r="AH71" s="293"/>
      <c r="AI71" s="293"/>
      <c r="AJ71" s="293"/>
      <c r="AK71" s="293"/>
      <c r="AL71" s="293"/>
      <c r="AM71" s="293"/>
      <c r="AN71" s="293"/>
      <c r="AO71" s="293"/>
      <c r="AP71" s="293"/>
      <c r="AQ71" s="293"/>
      <c r="AR71" s="293"/>
      <c r="AS71" s="293"/>
      <c r="AT71" s="293"/>
      <c r="AU71" s="293"/>
      <c r="AV71" s="293"/>
      <c r="AW71" s="293"/>
      <c r="AX71" s="293"/>
      <c r="AY71" s="293"/>
      <c r="AZ71" s="293"/>
      <c r="BA71" s="293"/>
      <c r="BB71" s="293"/>
      <c r="BC71" s="293"/>
      <c r="BD71" s="293"/>
      <c r="BE71" s="293"/>
      <c r="BF71" s="293"/>
      <c r="BG71" s="293"/>
      <c r="BH71" s="293"/>
      <c r="BI71" s="293"/>
      <c r="BJ71" s="293"/>
      <c r="BK71" s="293"/>
      <c r="BL71" s="293"/>
      <c r="BM71" s="293"/>
      <c r="BN71" s="293"/>
      <c r="BO71" s="293"/>
      <c r="BP71" s="293"/>
      <c r="BQ71" s="293"/>
      <c r="BR71" s="293"/>
    </row>
    <row r="72" spans="1:70" x14ac:dyDescent="0.15">
      <c r="A72" s="293"/>
      <c r="B72" s="293"/>
      <c r="C72" s="293"/>
      <c r="D72" s="293"/>
      <c r="E72" s="293"/>
      <c r="F72" s="293"/>
      <c r="G72" s="293"/>
      <c r="H72" s="293"/>
      <c r="I72" s="293"/>
      <c r="J72" s="293"/>
      <c r="K72" s="293"/>
      <c r="L72" s="293"/>
      <c r="M72" s="293"/>
      <c r="N72" s="293"/>
      <c r="O72" s="293"/>
      <c r="P72" s="293"/>
      <c r="Q72" s="293"/>
      <c r="R72" s="293"/>
      <c r="S72" s="293"/>
      <c r="T72" s="293"/>
      <c r="U72" s="293"/>
      <c r="V72" s="293"/>
      <c r="W72" s="293"/>
      <c r="X72" s="293"/>
      <c r="Y72" s="293"/>
      <c r="Z72" s="293"/>
      <c r="AA72" s="293"/>
      <c r="AB72" s="293"/>
      <c r="AC72" s="293"/>
      <c r="AD72" s="293"/>
      <c r="AE72" s="293"/>
      <c r="AF72" s="293"/>
      <c r="AG72" s="293"/>
      <c r="AH72" s="293"/>
      <c r="AI72" s="293"/>
      <c r="AJ72" s="293"/>
      <c r="AK72" s="293"/>
      <c r="AL72" s="293"/>
      <c r="AM72" s="293"/>
      <c r="AN72" s="293"/>
      <c r="AO72" s="293"/>
      <c r="AP72" s="293"/>
      <c r="AQ72" s="293"/>
      <c r="AR72" s="293"/>
      <c r="AS72" s="293"/>
      <c r="AT72" s="293"/>
      <c r="AU72" s="293"/>
      <c r="AV72" s="293"/>
      <c r="AW72" s="293"/>
      <c r="AX72" s="293"/>
      <c r="AY72" s="293"/>
      <c r="AZ72" s="293"/>
      <c r="BA72" s="293"/>
      <c r="BB72" s="293"/>
      <c r="BC72" s="293"/>
      <c r="BD72" s="293"/>
      <c r="BE72" s="293"/>
      <c r="BF72" s="293"/>
      <c r="BG72" s="293"/>
      <c r="BH72" s="293"/>
      <c r="BI72" s="293"/>
      <c r="BJ72" s="293"/>
      <c r="BK72" s="293"/>
      <c r="BL72" s="293"/>
      <c r="BM72" s="293"/>
      <c r="BN72" s="293"/>
      <c r="BO72" s="293"/>
      <c r="BP72" s="293"/>
      <c r="BQ72" s="293"/>
      <c r="BR72" s="293"/>
    </row>
    <row r="73" spans="1:70" x14ac:dyDescent="0.15">
      <c r="A73" s="293"/>
      <c r="B73" s="293"/>
      <c r="C73" s="293"/>
      <c r="D73" s="293"/>
      <c r="E73" s="293"/>
      <c r="F73" s="293"/>
      <c r="G73" s="293"/>
      <c r="H73" s="293"/>
      <c r="I73" s="293"/>
      <c r="J73" s="293"/>
      <c r="K73" s="293"/>
      <c r="L73" s="293"/>
      <c r="M73" s="293"/>
      <c r="N73" s="293"/>
      <c r="O73" s="293"/>
      <c r="P73" s="293"/>
      <c r="Q73" s="293"/>
      <c r="R73" s="293"/>
      <c r="S73" s="293"/>
      <c r="T73" s="293"/>
      <c r="U73" s="293"/>
      <c r="V73" s="293"/>
      <c r="W73" s="293"/>
      <c r="X73" s="293"/>
      <c r="Y73" s="293"/>
      <c r="Z73" s="293"/>
      <c r="AA73" s="293"/>
      <c r="AB73" s="293"/>
      <c r="AC73" s="293"/>
      <c r="AD73" s="293"/>
      <c r="AE73" s="293"/>
      <c r="AF73" s="293"/>
      <c r="AG73" s="293"/>
      <c r="AH73" s="293"/>
      <c r="AI73" s="293"/>
      <c r="AJ73" s="293"/>
      <c r="AK73" s="293"/>
      <c r="AL73" s="293"/>
      <c r="AM73" s="293"/>
      <c r="AN73" s="293"/>
      <c r="AO73" s="293"/>
      <c r="AP73" s="293"/>
      <c r="AQ73" s="293"/>
      <c r="AR73" s="293"/>
      <c r="AS73" s="293"/>
      <c r="AT73" s="293"/>
      <c r="AU73" s="293"/>
      <c r="AV73" s="293"/>
      <c r="AW73" s="293"/>
      <c r="AX73" s="293"/>
      <c r="AY73" s="293"/>
      <c r="AZ73" s="293"/>
      <c r="BA73" s="293"/>
      <c r="BB73" s="293"/>
      <c r="BC73" s="293"/>
      <c r="BD73" s="293"/>
      <c r="BE73" s="293"/>
      <c r="BF73" s="293"/>
      <c r="BG73" s="293"/>
      <c r="BH73" s="293"/>
      <c r="BI73" s="293"/>
      <c r="BJ73" s="293"/>
      <c r="BK73" s="293"/>
      <c r="BL73" s="293"/>
      <c r="BM73" s="293"/>
      <c r="BN73" s="293"/>
      <c r="BO73" s="293"/>
      <c r="BP73" s="293"/>
      <c r="BQ73" s="293"/>
      <c r="BR73" s="293"/>
    </row>
    <row r="74" spans="1:70" x14ac:dyDescent="0.15">
      <c r="A74" s="293"/>
      <c r="B74" s="293"/>
      <c r="C74" s="293"/>
      <c r="D74" s="293"/>
      <c r="E74" s="293"/>
      <c r="F74" s="293"/>
      <c r="G74" s="293"/>
      <c r="H74" s="293"/>
      <c r="I74" s="293"/>
      <c r="J74" s="293"/>
      <c r="K74" s="293"/>
      <c r="L74" s="293"/>
      <c r="M74" s="293"/>
      <c r="N74" s="293"/>
      <c r="O74" s="293"/>
      <c r="P74" s="293"/>
      <c r="Q74" s="293"/>
      <c r="R74" s="293"/>
      <c r="S74" s="293"/>
      <c r="T74" s="293"/>
      <c r="U74" s="293"/>
      <c r="V74" s="293"/>
      <c r="W74" s="293"/>
      <c r="X74" s="293"/>
      <c r="Y74" s="293"/>
      <c r="Z74" s="293"/>
      <c r="AA74" s="293"/>
      <c r="AB74" s="293"/>
      <c r="AC74" s="293"/>
      <c r="AD74" s="293"/>
      <c r="AE74" s="293"/>
      <c r="AF74" s="293"/>
      <c r="AG74" s="293"/>
      <c r="AH74" s="293"/>
      <c r="AI74" s="293"/>
      <c r="AJ74" s="293"/>
      <c r="AK74" s="293"/>
      <c r="AL74" s="293"/>
      <c r="AM74" s="293"/>
      <c r="AN74" s="293"/>
      <c r="AO74" s="293"/>
      <c r="AP74" s="293"/>
      <c r="AQ74" s="293"/>
      <c r="AR74" s="293"/>
      <c r="AS74" s="293"/>
      <c r="AT74" s="293"/>
      <c r="AU74" s="293"/>
      <c r="AV74" s="293"/>
      <c r="AW74" s="293"/>
      <c r="AX74" s="293"/>
      <c r="AY74" s="293"/>
      <c r="AZ74" s="293"/>
      <c r="BA74" s="293"/>
      <c r="BB74" s="293"/>
      <c r="BC74" s="293"/>
      <c r="BD74" s="293"/>
      <c r="BE74" s="293"/>
      <c r="BF74" s="293"/>
      <c r="BG74" s="293"/>
      <c r="BH74" s="293"/>
      <c r="BI74" s="293"/>
      <c r="BJ74" s="293"/>
      <c r="BK74" s="293"/>
      <c r="BL74" s="293"/>
      <c r="BM74" s="293"/>
      <c r="BN74" s="293"/>
      <c r="BO74" s="293"/>
      <c r="BP74" s="293"/>
      <c r="BQ74" s="293"/>
      <c r="BR74" s="293"/>
    </row>
    <row r="75" spans="1:70" x14ac:dyDescent="0.15">
      <c r="A75" s="293"/>
      <c r="B75" s="293"/>
      <c r="C75" s="293"/>
      <c r="D75" s="293"/>
      <c r="E75" s="293"/>
      <c r="F75" s="293"/>
      <c r="G75" s="293"/>
      <c r="H75" s="293"/>
      <c r="I75" s="293"/>
      <c r="J75" s="293"/>
      <c r="K75" s="293"/>
      <c r="L75" s="293"/>
      <c r="M75" s="293"/>
      <c r="N75" s="293"/>
      <c r="O75" s="293"/>
      <c r="P75" s="293"/>
      <c r="Q75" s="293"/>
      <c r="R75" s="293"/>
      <c r="S75" s="293"/>
      <c r="T75" s="293"/>
      <c r="U75" s="293"/>
    </row>
  </sheetData>
  <mergeCells count="53">
    <mergeCell ref="N21:T21"/>
    <mergeCell ref="N22:T22"/>
    <mergeCell ref="N15:T15"/>
    <mergeCell ref="N16:T16"/>
    <mergeCell ref="N17:T17"/>
    <mergeCell ref="N19:T19"/>
    <mergeCell ref="N20:T20"/>
    <mergeCell ref="N27:T27"/>
    <mergeCell ref="N23:T23"/>
    <mergeCell ref="N25:T25"/>
    <mergeCell ref="N24:T24"/>
    <mergeCell ref="N26:T26"/>
    <mergeCell ref="U27:BA27"/>
    <mergeCell ref="U21:BA21"/>
    <mergeCell ref="U22:BA22"/>
    <mergeCell ref="U23:BA23"/>
    <mergeCell ref="U24:BA24"/>
    <mergeCell ref="U25:BA25"/>
    <mergeCell ref="U26:BA26"/>
    <mergeCell ref="N9:T9"/>
    <mergeCell ref="N10:T10"/>
    <mergeCell ref="N11:T11"/>
    <mergeCell ref="N12:T12"/>
    <mergeCell ref="N18:T18"/>
    <mergeCell ref="N13:T13"/>
    <mergeCell ref="U10:BA10"/>
    <mergeCell ref="U14:BA14"/>
    <mergeCell ref="U15:BA15"/>
    <mergeCell ref="U16:BA16"/>
    <mergeCell ref="U11:BA11"/>
    <mergeCell ref="U12:BA12"/>
    <mergeCell ref="N4:X4"/>
    <mergeCell ref="N6:T6"/>
    <mergeCell ref="N7:T7"/>
    <mergeCell ref="N8:T8"/>
    <mergeCell ref="U6:BA6"/>
    <mergeCell ref="U7:BA7"/>
    <mergeCell ref="U17:BA17"/>
    <mergeCell ref="U18:BA18"/>
    <mergeCell ref="U8:BA8"/>
    <mergeCell ref="D59:I59"/>
    <mergeCell ref="W34:AG34"/>
    <mergeCell ref="AX34:BC34"/>
    <mergeCell ref="AX38:BC38"/>
    <mergeCell ref="D34:J34"/>
    <mergeCell ref="D53:I53"/>
    <mergeCell ref="D47:I47"/>
    <mergeCell ref="D51:I51"/>
    <mergeCell ref="U19:BA19"/>
    <mergeCell ref="U20:BA20"/>
    <mergeCell ref="U13:BA13"/>
    <mergeCell ref="N14:T14"/>
    <mergeCell ref="U9:BA9"/>
  </mergeCells>
  <phoneticPr fontId="23"/>
  <hyperlinks>
    <hyperlink ref="U7" location="'品質基準管理表（定性的観点）'!Print_Titles" display="品質基準管理表（定性的観点）" xr:uid="{00000000-0004-0000-0000-000000000000}"/>
    <hyperlink ref="U8" location="レビューチェックリスト!Print_Titles" display="レビューチェックリスト" xr:uid="{00000000-0004-0000-0000-000001000000}"/>
    <hyperlink ref="U9" location="レビュー指摘表!Print_Titles" display="レビュー指摘表" xr:uid="{00000000-0004-0000-0000-000002000000}"/>
    <hyperlink ref="U10" location="'レビュー状況管理表(統一）'!A1" display="レビュー状況管理表（統一）" xr:uid="{00000000-0004-0000-0000-000003000000}"/>
    <hyperlink ref="U11" location="'レビュー状況管理表(チームレビュー)'!Print_Titles" display="レビュー状況管理表（チームレビュー）" xr:uid="{00000000-0004-0000-0000-000004000000}"/>
    <hyperlink ref="U12" location="'レビュー状況管理表(プロジェクトレビュー)'!Print_Titles" display="レビュー状況管理表（プロジェクトレビュー）" xr:uid="{00000000-0004-0000-0000-000005000000}"/>
    <hyperlink ref="U13" location="'レビュー状況管理表(顧客レビュー)'!Print_Titles" display="レビュー状況管理表（顧客レビュー）" xr:uid="{00000000-0004-0000-0000-000006000000}"/>
    <hyperlink ref="U14" location="'設計書指摘分析図（サマリ）'!Print_Titles" display="設計書指摘分析図（サマリ）" xr:uid="{00000000-0004-0000-0000-000007000000}"/>
    <hyperlink ref="U15" location="'設計書指摘分析図（指摘現象-指摘原因）'!Print_Titles" display="設計書指摘分析図（指摘現象‐指摘原因）" xr:uid="{00000000-0004-0000-0000-000008000000}"/>
    <hyperlink ref="U16" location="'設計書指摘分析図（指摘現象-混入工程）'!Print_Titles" display="設計書指摘分析図（指摘現象‐混入工程）" xr:uid="{00000000-0004-0000-0000-000009000000}"/>
    <hyperlink ref="U17" location="'設計書指摘分析図（混入工程-指摘原因）'!Print_Titles" display="設計書指摘分析図（混入工程‐指摘原因）" xr:uid="{00000000-0004-0000-0000-00000A000000}"/>
    <hyperlink ref="U20" location="テスト状況管理表!A1" display="テスト状況管理表" xr:uid="{00000000-0004-0000-0000-00000B000000}"/>
    <hyperlink ref="U21" location="テスト詳細管理表!Print_Titles" display="テスト詳細管理表" xr:uid="{00000000-0004-0000-0000-00000C000000}"/>
    <hyperlink ref="U22" location="'テストエラー分析図（サマリ）'!Print_Titles" display="テストエラー分析図（サマリ）" xr:uid="{00000000-0004-0000-0000-00000D000000}"/>
    <hyperlink ref="U23" location="'テストエラー分析図（エラー現象‐エラー原因）'!A1" display="テストエラー分析図（エラー現象‐エラー原因）" xr:uid="{00000000-0004-0000-0000-00000E000000}"/>
    <hyperlink ref="U24" location="'テストエラー分析図（エラー現象‐摘出すべき工程）'!Print_Titles" display="テストエラー分析図（エラー現象‐摘出すべき工程）" xr:uid="{00000000-0004-0000-0000-00000F000000}"/>
    <hyperlink ref="U25" location="'テストエラー分析図（摘出すべき工程‐エラー原因）'!Print_Titles" display="テストエラー分析図（摘出すべき工程‐エラー原因）" xr:uid="{00000000-0004-0000-0000-000010000000}"/>
    <hyperlink ref="U27" location="'品質管理（分析サマリ）'!Print_Titles" display="品質管理（分析サマリ）" xr:uid="{00000000-0004-0000-0000-000011000000}"/>
    <hyperlink ref="U18" location="不具合管理票!A1" display="不具合管理票" xr:uid="{00000000-0004-0000-0000-000012000000}"/>
    <hyperlink ref="U19" location="'不具合管理 '!Print_Titles" display="不具合管理一覧表" xr:uid="{00000000-0004-0000-0000-000013000000}"/>
    <hyperlink ref="U6:AZ6" location="'品質基準管理票（定量的観点）'!A1" display="品質基準管理表（定量的観点）" xr:uid="{00000000-0004-0000-0000-000014000000}"/>
    <hyperlink ref="U7:AZ7" location="'品質基準管理票（定性的観点）'!A1" display="品質基準管理表（定性的観点）" xr:uid="{00000000-0004-0000-0000-000015000000}"/>
    <hyperlink ref="U8:AZ8" location="レビューチェックリスト!A1" display="レビューチェックリスト" xr:uid="{00000000-0004-0000-0000-000016000000}"/>
    <hyperlink ref="U9:AZ9" location="レビュー指摘表!A1" display="レビュー指摘表" xr:uid="{00000000-0004-0000-0000-000017000000}"/>
    <hyperlink ref="U11:AZ11" location="'レビュー状況管理表(チームレビュー)'!A1" display="レビュー状況管理表（チームレビュー）" xr:uid="{00000000-0004-0000-0000-000018000000}"/>
    <hyperlink ref="U12:AZ12" location="'レビュー状況管理表(プロジェクトレビュー)'!A1" display="レビュー状況管理表（プロジェクトレビュー）" xr:uid="{00000000-0004-0000-0000-000019000000}"/>
    <hyperlink ref="U13:AZ13" location="'レビュー状況管理表(顧客レビュー)'!A1" display="レビュー状況管理表（顧客レビュー）" xr:uid="{00000000-0004-0000-0000-00001A000000}"/>
    <hyperlink ref="U14:AZ14" location="'設計書指摘分析図（サマリ）'!A1" display="設計書指摘分析図（サマリ）" xr:uid="{00000000-0004-0000-0000-00001B000000}"/>
    <hyperlink ref="U15:AZ15" location="'設計書指摘分析図（指摘現象-指摘原因）'!A1" display="設計書指摘分析図（指摘現象‐指摘原因）" xr:uid="{00000000-0004-0000-0000-00001C000000}"/>
    <hyperlink ref="U16:AZ16" location="'設計書指摘分析図（指摘現象-混入工程）'!A1" display="設計書指摘分析図（指摘現象‐混入工程）" xr:uid="{00000000-0004-0000-0000-00001D000000}"/>
    <hyperlink ref="U17:AZ17" location="'設計書指摘分析図（混入工程-指摘原因）'!A1" display="設計書指摘分析図（混入工程‐指摘原因）" xr:uid="{00000000-0004-0000-0000-00001E000000}"/>
    <hyperlink ref="U19:AZ19" location="不具合管理!A1" display="不具合管理一覧表" xr:uid="{00000000-0004-0000-0000-00001F000000}"/>
    <hyperlink ref="U21:AZ21" location="テスト詳細管理表!A1" display="テスト詳細管理表" xr:uid="{00000000-0004-0000-0000-000020000000}"/>
    <hyperlink ref="U22:AZ22" location="'テストエラー分析図（サマリ）'!A1" display="テストエラー分析図（サマリ）" xr:uid="{00000000-0004-0000-0000-000021000000}"/>
    <hyperlink ref="U25:AZ25" location="'テストエラー分析図（摘出すべき工程‐エラー原因）'!A1" display="テストエラー分析図（摘出すべき工程‐エラー原因）" xr:uid="{00000000-0004-0000-0000-000022000000}"/>
    <hyperlink ref="U27:AZ27" location="'品質管理（分析サマリ）'!A1" display="品質管理（分析サマリ）" xr:uid="{00000000-0004-0000-0000-000023000000}"/>
    <hyperlink ref="U20:AZ20" location="テスト状況管理表!A1" display="テスト状況管理表" xr:uid="{00000000-0004-0000-0000-000024000000}"/>
    <hyperlink ref="N31:AG31" r:id="rId1" display="https://smfg.sharepoint.com/sites/jri/prjmng-std/JPAT/official/JPAT-PMOT.xls" xr:uid="{00000000-0004-0000-0000-000025000000}"/>
    <hyperlink ref="U24:AZ24" location="'テストエラー分析図（エラー現象‐摘出すべき工程）'!A1" display="テストエラー分析図（エラー現象‐摘出すべき工程）" xr:uid="{00000000-0004-0000-0000-000026000000}"/>
    <hyperlink ref="U26" location="'テストエラー分析図（摘出すべき工程‐エラー原因）'!Print_Titles" display="テストエラー分析図（摘出すべき工程‐エラー原因）" xr:uid="{00000000-0004-0000-0000-000027000000}"/>
    <hyperlink ref="U26:AZ26" location="'テストエラー分析図（混入工程-混入要因）'!A1" display="テストエラー分析図（混入工程‐混入要因）" xr:uid="{00000000-0004-0000-0000-000028000000}"/>
    <hyperlink ref="N31" r:id="rId2" xr:uid="{00000000-0004-0000-0000-000029000000}"/>
  </hyperlinks>
  <pageMargins left="0.43307086614173229" right="0.43307086614173229" top="0.98425196850393704" bottom="0.98425196850393704" header="0.51181102362204722" footer="0.51181102362204722"/>
  <pageSetup paperSize="9" scale="53" orientation="portrait" horizontalDpi="300" verticalDpi="300" r:id="rId3"/>
  <headerFooter alignWithMargins="0">
    <oddHeader>&amp;L＜2017.05.08版＞</oddHead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R52"/>
  <sheetViews>
    <sheetView zoomScale="85" zoomScaleNormal="85" zoomScaleSheetLayoutView="85" workbookViewId="0">
      <selection sqref="A1:F5"/>
    </sheetView>
  </sheetViews>
  <sheetFormatPr defaultColWidth="2.625" defaultRowHeight="13.5" x14ac:dyDescent="0.15"/>
  <cols>
    <col min="1" max="51" width="2.625" customWidth="1"/>
    <col min="52" max="52" width="3" customWidth="1"/>
  </cols>
  <sheetData>
    <row r="1" spans="1:70" ht="13.5" customHeight="1" x14ac:dyDescent="0.15">
      <c r="A1" s="554" t="s">
        <v>563</v>
      </c>
      <c r="B1" s="555"/>
      <c r="C1" s="555"/>
      <c r="D1" s="555"/>
      <c r="E1" s="555"/>
      <c r="F1" s="556"/>
      <c r="G1" s="554" t="s">
        <v>564</v>
      </c>
      <c r="H1" s="555"/>
      <c r="I1" s="555"/>
      <c r="J1" s="555"/>
      <c r="K1" s="555"/>
      <c r="L1" s="555"/>
      <c r="M1" s="555"/>
      <c r="N1" s="555"/>
      <c r="O1" s="555"/>
      <c r="P1" s="555"/>
      <c r="Q1" s="555"/>
      <c r="R1" s="555"/>
      <c r="S1" s="556"/>
      <c r="T1" s="563" t="s">
        <v>565</v>
      </c>
      <c r="U1" s="564"/>
      <c r="V1" s="564"/>
      <c r="W1" s="564"/>
      <c r="X1" s="564"/>
      <c r="Y1" s="564"/>
      <c r="Z1" s="564"/>
      <c r="AA1" s="564"/>
      <c r="AB1" s="564"/>
      <c r="AC1" s="564"/>
      <c r="AD1" s="564"/>
      <c r="AE1" s="564"/>
      <c r="AF1" s="564"/>
      <c r="AG1" s="564"/>
      <c r="AH1" s="564"/>
      <c r="AI1" s="564"/>
      <c r="AJ1" s="564"/>
      <c r="AK1" s="564"/>
      <c r="AL1" s="564"/>
      <c r="AM1" s="565"/>
      <c r="AN1" s="572" t="s">
        <v>305</v>
      </c>
      <c r="AO1" s="573"/>
      <c r="AP1" s="573"/>
      <c r="AQ1" s="573"/>
      <c r="AR1" s="574"/>
      <c r="AS1" s="572" t="s">
        <v>306</v>
      </c>
      <c r="AT1" s="573"/>
      <c r="AU1" s="573"/>
      <c r="AV1" s="573"/>
      <c r="AW1" s="574"/>
      <c r="AX1" s="572" t="s">
        <v>237</v>
      </c>
      <c r="AY1" s="573"/>
      <c r="AZ1" s="573"/>
      <c r="BA1" s="573"/>
      <c r="BB1" s="574"/>
      <c r="BC1" s="581" t="s">
        <v>566</v>
      </c>
      <c r="BD1" s="582"/>
      <c r="BE1" s="582"/>
      <c r="BF1" s="582"/>
      <c r="BG1" s="582"/>
      <c r="BH1" s="582"/>
      <c r="BI1" s="582"/>
      <c r="BJ1" s="582"/>
      <c r="BK1" s="582"/>
      <c r="BL1" s="582"/>
      <c r="BM1" s="582"/>
      <c r="BN1" s="582"/>
      <c r="BO1" s="582"/>
      <c r="BP1" s="582"/>
      <c r="BQ1" s="582"/>
      <c r="BR1" s="583"/>
    </row>
    <row r="2" spans="1:70" ht="13.5" customHeight="1" x14ac:dyDescent="0.15">
      <c r="A2" s="557"/>
      <c r="B2" s="558"/>
      <c r="C2" s="558"/>
      <c r="D2" s="558"/>
      <c r="E2" s="558"/>
      <c r="F2" s="559"/>
      <c r="G2" s="557"/>
      <c r="H2" s="558"/>
      <c r="I2" s="558"/>
      <c r="J2" s="558"/>
      <c r="K2" s="558"/>
      <c r="L2" s="558"/>
      <c r="M2" s="558"/>
      <c r="N2" s="558"/>
      <c r="O2" s="558"/>
      <c r="P2" s="558"/>
      <c r="Q2" s="558"/>
      <c r="R2" s="558"/>
      <c r="S2" s="559"/>
      <c r="T2" s="566"/>
      <c r="U2" s="567"/>
      <c r="V2" s="567"/>
      <c r="W2" s="567"/>
      <c r="X2" s="567"/>
      <c r="Y2" s="567"/>
      <c r="Z2" s="567"/>
      <c r="AA2" s="567"/>
      <c r="AB2" s="567"/>
      <c r="AC2" s="567"/>
      <c r="AD2" s="567"/>
      <c r="AE2" s="567"/>
      <c r="AF2" s="567"/>
      <c r="AG2" s="567"/>
      <c r="AH2" s="567"/>
      <c r="AI2" s="567"/>
      <c r="AJ2" s="567"/>
      <c r="AK2" s="567"/>
      <c r="AL2" s="567"/>
      <c r="AM2" s="568"/>
      <c r="AN2" s="572" t="s">
        <v>494</v>
      </c>
      <c r="AO2" s="573"/>
      <c r="AP2" s="573"/>
      <c r="AQ2" s="573"/>
      <c r="AR2" s="574"/>
      <c r="AS2" s="572" t="s">
        <v>494</v>
      </c>
      <c r="AT2" s="573"/>
      <c r="AU2" s="573"/>
      <c r="AV2" s="573"/>
      <c r="AW2" s="574"/>
      <c r="AX2" s="572" t="s">
        <v>494</v>
      </c>
      <c r="AY2" s="573"/>
      <c r="AZ2" s="573"/>
      <c r="BA2" s="573"/>
      <c r="BB2" s="574"/>
      <c r="BC2" s="581" t="s">
        <v>308</v>
      </c>
      <c r="BD2" s="582"/>
      <c r="BE2" s="582"/>
      <c r="BF2" s="582"/>
      <c r="BG2" s="582"/>
      <c r="BH2" s="583"/>
      <c r="BI2" s="572" t="s">
        <v>306</v>
      </c>
      <c r="BJ2" s="573"/>
      <c r="BK2" s="573"/>
      <c r="BL2" s="573"/>
      <c r="BM2" s="574"/>
      <c r="BN2" s="572" t="s">
        <v>617</v>
      </c>
      <c r="BO2" s="573"/>
      <c r="BP2" s="573"/>
      <c r="BQ2" s="573"/>
      <c r="BR2" s="574"/>
    </row>
    <row r="3" spans="1:70" ht="13.5" customHeight="1" x14ac:dyDescent="0.15">
      <c r="A3" s="557"/>
      <c r="B3" s="558"/>
      <c r="C3" s="558"/>
      <c r="D3" s="558"/>
      <c r="E3" s="558"/>
      <c r="F3" s="559"/>
      <c r="G3" s="557"/>
      <c r="H3" s="558"/>
      <c r="I3" s="558"/>
      <c r="J3" s="558"/>
      <c r="K3" s="558"/>
      <c r="L3" s="558"/>
      <c r="M3" s="558"/>
      <c r="N3" s="558"/>
      <c r="O3" s="558"/>
      <c r="P3" s="558"/>
      <c r="Q3" s="558"/>
      <c r="R3" s="558"/>
      <c r="S3" s="559"/>
      <c r="T3" s="566"/>
      <c r="U3" s="567"/>
      <c r="V3" s="567"/>
      <c r="W3" s="567"/>
      <c r="X3" s="567"/>
      <c r="Y3" s="567"/>
      <c r="Z3" s="567"/>
      <c r="AA3" s="567"/>
      <c r="AB3" s="567"/>
      <c r="AC3" s="567"/>
      <c r="AD3" s="567"/>
      <c r="AE3" s="567"/>
      <c r="AF3" s="567"/>
      <c r="AG3" s="567"/>
      <c r="AH3" s="567"/>
      <c r="AI3" s="567"/>
      <c r="AJ3" s="567"/>
      <c r="AK3" s="567"/>
      <c r="AL3" s="567"/>
      <c r="AM3" s="568"/>
      <c r="AN3" s="553"/>
      <c r="AO3" s="553"/>
      <c r="AP3" s="553"/>
      <c r="AQ3" s="553"/>
      <c r="AR3" s="553"/>
      <c r="AS3" s="553"/>
      <c r="AT3" s="553"/>
      <c r="AU3" s="553"/>
      <c r="AV3" s="553"/>
      <c r="AW3" s="553"/>
      <c r="AX3" s="553"/>
      <c r="AY3" s="553"/>
      <c r="AZ3" s="553"/>
      <c r="BA3" s="553"/>
      <c r="BB3" s="553"/>
      <c r="BC3" s="584"/>
      <c r="BD3" s="585"/>
      <c r="BE3" s="585"/>
      <c r="BF3" s="585"/>
      <c r="BG3" s="585"/>
      <c r="BH3" s="586"/>
      <c r="BI3" s="573" t="s">
        <v>495</v>
      </c>
      <c r="BJ3" s="573"/>
      <c r="BK3" s="573"/>
      <c r="BL3" s="573"/>
      <c r="BM3" s="574"/>
      <c r="BN3" s="572" t="s">
        <v>495</v>
      </c>
      <c r="BO3" s="573"/>
      <c r="BP3" s="573"/>
      <c r="BQ3" s="573"/>
      <c r="BR3" s="574"/>
    </row>
    <row r="4" spans="1:70" ht="13.5" customHeight="1" x14ac:dyDescent="0.15">
      <c r="A4" s="557"/>
      <c r="B4" s="558"/>
      <c r="C4" s="558"/>
      <c r="D4" s="558"/>
      <c r="E4" s="558"/>
      <c r="F4" s="559"/>
      <c r="G4" s="557"/>
      <c r="H4" s="558"/>
      <c r="I4" s="558"/>
      <c r="J4" s="558"/>
      <c r="K4" s="558"/>
      <c r="L4" s="558"/>
      <c r="M4" s="558"/>
      <c r="N4" s="558"/>
      <c r="O4" s="558"/>
      <c r="P4" s="558"/>
      <c r="Q4" s="558"/>
      <c r="R4" s="558"/>
      <c r="S4" s="559"/>
      <c r="T4" s="566"/>
      <c r="U4" s="567"/>
      <c r="V4" s="567"/>
      <c r="W4" s="567"/>
      <c r="X4" s="567"/>
      <c r="Y4" s="567"/>
      <c r="Z4" s="567"/>
      <c r="AA4" s="567"/>
      <c r="AB4" s="567"/>
      <c r="AC4" s="567"/>
      <c r="AD4" s="567"/>
      <c r="AE4" s="567"/>
      <c r="AF4" s="567"/>
      <c r="AG4" s="567"/>
      <c r="AH4" s="567"/>
      <c r="AI4" s="567"/>
      <c r="AJ4" s="567"/>
      <c r="AK4" s="567"/>
      <c r="AL4" s="567"/>
      <c r="AM4" s="568"/>
      <c r="AN4" s="553"/>
      <c r="AO4" s="553"/>
      <c r="AP4" s="553"/>
      <c r="AQ4" s="553"/>
      <c r="AR4" s="553"/>
      <c r="AS4" s="553"/>
      <c r="AT4" s="553"/>
      <c r="AU4" s="553"/>
      <c r="AV4" s="553"/>
      <c r="AW4" s="553"/>
      <c r="AX4" s="553"/>
      <c r="AY4" s="553"/>
      <c r="AZ4" s="553"/>
      <c r="BA4" s="553"/>
      <c r="BB4" s="553"/>
      <c r="BC4" s="587"/>
      <c r="BD4" s="588"/>
      <c r="BE4" s="588"/>
      <c r="BF4" s="588"/>
      <c r="BG4" s="588"/>
      <c r="BH4" s="589"/>
      <c r="BI4" s="575"/>
      <c r="BJ4" s="576"/>
      <c r="BK4" s="576"/>
      <c r="BL4" s="576"/>
      <c r="BM4" s="577"/>
      <c r="BN4" s="575"/>
      <c r="BO4" s="576"/>
      <c r="BP4" s="576"/>
      <c r="BQ4" s="576"/>
      <c r="BR4" s="577"/>
    </row>
    <row r="5" spans="1:70" ht="13.5" customHeight="1" x14ac:dyDescent="0.15">
      <c r="A5" s="560"/>
      <c r="B5" s="561"/>
      <c r="C5" s="561"/>
      <c r="D5" s="561"/>
      <c r="E5" s="561"/>
      <c r="F5" s="562"/>
      <c r="G5" s="560"/>
      <c r="H5" s="561"/>
      <c r="I5" s="561"/>
      <c r="J5" s="561"/>
      <c r="K5" s="561"/>
      <c r="L5" s="561"/>
      <c r="M5" s="561"/>
      <c r="N5" s="561"/>
      <c r="O5" s="561"/>
      <c r="P5" s="561"/>
      <c r="Q5" s="561"/>
      <c r="R5" s="561"/>
      <c r="S5" s="562"/>
      <c r="T5" s="569"/>
      <c r="U5" s="570"/>
      <c r="V5" s="570"/>
      <c r="W5" s="570"/>
      <c r="X5" s="570"/>
      <c r="Y5" s="570"/>
      <c r="Z5" s="570"/>
      <c r="AA5" s="570"/>
      <c r="AB5" s="570"/>
      <c r="AC5" s="570"/>
      <c r="AD5" s="570"/>
      <c r="AE5" s="570"/>
      <c r="AF5" s="570"/>
      <c r="AG5" s="570"/>
      <c r="AH5" s="570"/>
      <c r="AI5" s="570"/>
      <c r="AJ5" s="570"/>
      <c r="AK5" s="570"/>
      <c r="AL5" s="570"/>
      <c r="AM5" s="571"/>
      <c r="AN5" s="553"/>
      <c r="AO5" s="553"/>
      <c r="AP5" s="553"/>
      <c r="AQ5" s="553"/>
      <c r="AR5" s="553"/>
      <c r="AS5" s="553"/>
      <c r="AT5" s="553"/>
      <c r="AU5" s="553"/>
      <c r="AV5" s="553"/>
      <c r="AW5" s="553"/>
      <c r="AX5" s="553"/>
      <c r="AY5" s="553"/>
      <c r="AZ5" s="553"/>
      <c r="BA5" s="553"/>
      <c r="BB5" s="553"/>
      <c r="BC5" s="587"/>
      <c r="BD5" s="588"/>
      <c r="BE5" s="588"/>
      <c r="BF5" s="588"/>
      <c r="BG5" s="588"/>
      <c r="BH5" s="589"/>
      <c r="BI5" s="578"/>
      <c r="BJ5" s="579"/>
      <c r="BK5" s="579"/>
      <c r="BL5" s="579"/>
      <c r="BM5" s="580"/>
      <c r="BN5" s="578"/>
      <c r="BO5" s="579"/>
      <c r="BP5" s="579"/>
      <c r="BQ5" s="579"/>
      <c r="BR5" s="580"/>
    </row>
    <row r="6" spans="1:70" ht="13.5" customHeight="1" x14ac:dyDescent="0.15">
      <c r="A6" s="553" t="s">
        <v>465</v>
      </c>
      <c r="B6" s="553"/>
      <c r="C6" s="553"/>
      <c r="D6" s="553"/>
      <c r="E6" s="553"/>
      <c r="F6" s="553"/>
      <c r="G6" s="553"/>
      <c r="H6" s="553"/>
      <c r="I6" s="553"/>
      <c r="J6" s="553"/>
      <c r="K6" s="553"/>
      <c r="L6" s="553"/>
      <c r="M6" s="553"/>
      <c r="N6" s="553"/>
      <c r="O6" s="553"/>
      <c r="P6" s="553"/>
      <c r="Q6" s="553"/>
      <c r="R6" s="553"/>
      <c r="S6" s="553"/>
      <c r="T6" s="552" t="s">
        <v>466</v>
      </c>
      <c r="U6" s="552"/>
      <c r="V6" s="552"/>
      <c r="W6" s="552"/>
      <c r="X6" s="552"/>
      <c r="Y6" s="552"/>
      <c r="Z6" s="552"/>
      <c r="AA6" s="552"/>
      <c r="AB6" s="552"/>
      <c r="AC6" s="552"/>
      <c r="AD6" s="552"/>
      <c r="AE6" s="552"/>
      <c r="AF6" s="552"/>
      <c r="AG6" s="552"/>
      <c r="AH6" s="552"/>
      <c r="AI6" s="552"/>
      <c r="AJ6" s="552"/>
      <c r="AK6" s="552"/>
      <c r="AL6" s="552"/>
      <c r="AM6" s="552"/>
      <c r="AN6" s="553"/>
      <c r="AO6" s="553"/>
      <c r="AP6" s="553"/>
      <c r="AQ6" s="553"/>
      <c r="AR6" s="553"/>
      <c r="AS6" s="553"/>
      <c r="AT6" s="553"/>
      <c r="AU6" s="553"/>
      <c r="AV6" s="553"/>
      <c r="AW6" s="553"/>
      <c r="AX6" s="553"/>
      <c r="AY6" s="553"/>
      <c r="AZ6" s="553"/>
      <c r="BA6" s="553"/>
      <c r="BB6" s="553"/>
      <c r="BC6" s="587"/>
      <c r="BD6" s="588"/>
      <c r="BE6" s="588"/>
      <c r="BF6" s="588"/>
      <c r="BG6" s="588"/>
      <c r="BH6" s="589"/>
      <c r="BI6" s="578"/>
      <c r="BJ6" s="579"/>
      <c r="BK6" s="579"/>
      <c r="BL6" s="579"/>
      <c r="BM6" s="580"/>
      <c r="BN6" s="578"/>
      <c r="BO6" s="579"/>
      <c r="BP6" s="579"/>
      <c r="BQ6" s="579"/>
      <c r="BR6" s="580"/>
    </row>
    <row r="7" spans="1:70" x14ac:dyDescent="0.15">
      <c r="A7" s="553"/>
      <c r="B7" s="553"/>
      <c r="C7" s="553"/>
      <c r="D7" s="553"/>
      <c r="E7" s="553"/>
      <c r="F7" s="553"/>
      <c r="G7" s="553"/>
      <c r="H7" s="553"/>
      <c r="I7" s="553"/>
      <c r="J7" s="553"/>
      <c r="K7" s="553"/>
      <c r="L7" s="553"/>
      <c r="M7" s="553"/>
      <c r="N7" s="553"/>
      <c r="O7" s="553"/>
      <c r="P7" s="553"/>
      <c r="Q7" s="553"/>
      <c r="R7" s="553"/>
      <c r="S7" s="553"/>
      <c r="T7" s="552"/>
      <c r="U7" s="552"/>
      <c r="V7" s="552"/>
      <c r="W7" s="552"/>
      <c r="X7" s="552"/>
      <c r="Y7" s="552"/>
      <c r="Z7" s="552"/>
      <c r="AA7" s="552"/>
      <c r="AB7" s="552"/>
      <c r="AC7" s="552"/>
      <c r="AD7" s="552"/>
      <c r="AE7" s="552"/>
      <c r="AF7" s="552"/>
      <c r="AG7" s="552"/>
      <c r="AH7" s="552"/>
      <c r="AI7" s="552"/>
      <c r="AJ7" s="552"/>
      <c r="AK7" s="552"/>
      <c r="AL7" s="552"/>
      <c r="AM7" s="552"/>
      <c r="AN7" s="553"/>
      <c r="AO7" s="553"/>
      <c r="AP7" s="553"/>
      <c r="AQ7" s="553"/>
      <c r="AR7" s="553"/>
      <c r="AS7" s="553"/>
      <c r="AT7" s="553"/>
      <c r="AU7" s="553"/>
      <c r="AV7" s="553"/>
      <c r="AW7" s="553"/>
      <c r="AX7" s="553"/>
      <c r="AY7" s="553"/>
      <c r="AZ7" s="553"/>
      <c r="BA7" s="553"/>
      <c r="BB7" s="553"/>
      <c r="BC7" s="590"/>
      <c r="BD7" s="591"/>
      <c r="BE7" s="591"/>
      <c r="BF7" s="591"/>
      <c r="BG7" s="591"/>
      <c r="BH7" s="592"/>
      <c r="BI7" s="593"/>
      <c r="BJ7" s="594"/>
      <c r="BK7" s="594"/>
      <c r="BL7" s="594"/>
      <c r="BM7" s="595"/>
      <c r="BN7" s="593"/>
      <c r="BO7" s="594"/>
      <c r="BP7" s="594"/>
      <c r="BQ7" s="594"/>
      <c r="BR7" s="595"/>
    </row>
    <row r="8" spans="1:70" ht="13.5" customHeight="1" x14ac:dyDescent="0.15">
      <c r="A8" s="553" t="s">
        <v>310</v>
      </c>
      <c r="B8" s="553"/>
      <c r="C8" s="553"/>
      <c r="D8" s="553"/>
      <c r="E8" s="553"/>
      <c r="F8" s="553"/>
      <c r="G8" s="553"/>
      <c r="H8" s="553"/>
      <c r="I8" s="553"/>
      <c r="J8" s="553"/>
      <c r="K8" s="553"/>
      <c r="L8" s="553"/>
      <c r="M8" s="553"/>
      <c r="N8" s="553"/>
      <c r="O8" s="553"/>
      <c r="P8" s="553"/>
      <c r="Q8" s="553"/>
      <c r="R8" s="553"/>
      <c r="S8" s="553"/>
      <c r="T8" s="552" t="s">
        <v>311</v>
      </c>
      <c r="U8" s="552"/>
      <c r="V8" s="552"/>
      <c r="W8" s="552"/>
      <c r="X8" s="552"/>
      <c r="Y8" s="552"/>
      <c r="Z8" s="552"/>
      <c r="AA8" s="552"/>
      <c r="AB8" s="552"/>
      <c r="AC8" s="552"/>
      <c r="AD8" s="552"/>
      <c r="AE8" s="552"/>
      <c r="AF8" s="552"/>
      <c r="AG8" s="552"/>
      <c r="AH8" s="552"/>
      <c r="AI8" s="552"/>
      <c r="AJ8" s="552"/>
      <c r="AK8" s="552"/>
      <c r="AL8" s="552"/>
      <c r="AM8" s="552"/>
      <c r="AN8" s="552" t="s">
        <v>312</v>
      </c>
      <c r="AO8" s="552"/>
      <c r="AP8" s="552"/>
      <c r="AQ8" s="552"/>
      <c r="AR8" s="552"/>
      <c r="AS8" s="552"/>
      <c r="AT8" s="552"/>
      <c r="AU8" s="552"/>
      <c r="AV8" s="552"/>
      <c r="AW8" s="552"/>
      <c r="AX8" s="552"/>
      <c r="AY8" s="552"/>
      <c r="AZ8" s="552"/>
      <c r="BA8" s="552"/>
      <c r="BB8" s="552" t="s">
        <v>313</v>
      </c>
      <c r="BC8" s="552"/>
      <c r="BD8" s="552"/>
      <c r="BE8" s="552"/>
      <c r="BF8" s="552"/>
      <c r="BG8" s="552"/>
      <c r="BH8" s="552"/>
      <c r="BI8" s="552"/>
      <c r="BJ8" s="552"/>
      <c r="BK8" s="552"/>
      <c r="BL8" s="552"/>
      <c r="BM8" s="552"/>
      <c r="BN8" s="552"/>
      <c r="BO8" s="552"/>
      <c r="BP8" s="553" t="s">
        <v>567</v>
      </c>
      <c r="BQ8" s="553"/>
      <c r="BR8" s="553"/>
    </row>
    <row r="9" spans="1:70" ht="13.5" customHeight="1" x14ac:dyDescent="0.15">
      <c r="A9" s="553"/>
      <c r="B9" s="553"/>
      <c r="C9" s="553"/>
      <c r="D9" s="553"/>
      <c r="E9" s="553"/>
      <c r="F9" s="553"/>
      <c r="G9" s="553"/>
      <c r="H9" s="553"/>
      <c r="I9" s="553"/>
      <c r="J9" s="553"/>
      <c r="K9" s="553"/>
      <c r="L9" s="553"/>
      <c r="M9" s="553"/>
      <c r="N9" s="553"/>
      <c r="O9" s="553"/>
      <c r="P9" s="553"/>
      <c r="Q9" s="553"/>
      <c r="R9" s="553"/>
      <c r="S9" s="553"/>
      <c r="T9" s="552"/>
      <c r="U9" s="552"/>
      <c r="V9" s="552"/>
      <c r="W9" s="552"/>
      <c r="X9" s="552"/>
      <c r="Y9" s="552"/>
      <c r="Z9" s="552"/>
      <c r="AA9" s="552"/>
      <c r="AB9" s="552"/>
      <c r="AC9" s="552"/>
      <c r="AD9" s="552"/>
      <c r="AE9" s="552"/>
      <c r="AF9" s="552"/>
      <c r="AG9" s="552"/>
      <c r="AH9" s="552"/>
      <c r="AI9" s="552"/>
      <c r="AJ9" s="552"/>
      <c r="AK9" s="552"/>
      <c r="AL9" s="552"/>
      <c r="AM9" s="552"/>
      <c r="AN9" s="552" t="s">
        <v>568</v>
      </c>
      <c r="AO9" s="552"/>
      <c r="AP9" s="552"/>
      <c r="AQ9" s="552"/>
      <c r="AR9" s="552"/>
      <c r="AS9" s="552"/>
      <c r="AT9" s="552"/>
      <c r="AU9" s="553"/>
      <c r="AV9" s="553"/>
      <c r="AW9" s="553"/>
      <c r="AX9" s="553"/>
      <c r="AY9" s="553"/>
      <c r="AZ9" s="553"/>
      <c r="BA9" s="553"/>
      <c r="BB9" s="552" t="s">
        <v>315</v>
      </c>
      <c r="BC9" s="552"/>
      <c r="BD9" s="552"/>
      <c r="BE9" s="552"/>
      <c r="BF9" s="552"/>
      <c r="BG9" s="552"/>
      <c r="BH9" s="552"/>
      <c r="BI9" s="553"/>
      <c r="BJ9" s="553"/>
      <c r="BK9" s="553"/>
      <c r="BL9" s="553"/>
      <c r="BM9" s="553"/>
      <c r="BN9" s="553"/>
      <c r="BO9" s="553"/>
      <c r="BP9" s="596"/>
      <c r="BQ9" s="596"/>
      <c r="BR9" s="596"/>
    </row>
    <row r="10" spans="1:70" x14ac:dyDescent="0.15">
      <c r="A10" s="296"/>
      <c r="B10" s="296"/>
      <c r="C10" s="296"/>
      <c r="D10" s="296"/>
      <c r="E10" s="296"/>
      <c r="F10" s="296"/>
      <c r="G10" s="296"/>
      <c r="H10" s="296"/>
      <c r="I10" s="296"/>
      <c r="J10" s="296"/>
      <c r="K10" s="296"/>
      <c r="L10" s="296"/>
      <c r="M10" s="296"/>
      <c r="N10" s="296"/>
      <c r="O10" s="296"/>
      <c r="P10" s="296"/>
      <c r="Q10" s="296"/>
      <c r="R10" s="296"/>
      <c r="S10" s="296"/>
      <c r="T10" s="296"/>
      <c r="U10" s="296"/>
      <c r="V10" s="296"/>
      <c r="W10" s="296"/>
      <c r="X10" s="296"/>
      <c r="Y10" s="296"/>
      <c r="Z10" s="296"/>
      <c r="AA10" s="296"/>
      <c r="AB10" s="296"/>
      <c r="AC10" s="296"/>
      <c r="AD10" s="296"/>
      <c r="AE10" s="296"/>
      <c r="AF10" s="296"/>
      <c r="AG10" s="296"/>
      <c r="AH10" s="296"/>
      <c r="AI10" s="296"/>
      <c r="AJ10" s="296"/>
      <c r="AK10" s="296"/>
      <c r="AL10" s="296"/>
      <c r="AM10" s="296"/>
      <c r="AN10" s="296"/>
      <c r="AO10" s="296"/>
      <c r="AP10" s="296"/>
      <c r="AQ10" s="296"/>
      <c r="AR10" s="296"/>
      <c r="AS10" s="296"/>
      <c r="AT10" s="296"/>
      <c r="AU10" s="296"/>
      <c r="AV10" s="296"/>
      <c r="AW10" s="296"/>
      <c r="AX10" s="296"/>
      <c r="AY10" s="296"/>
      <c r="AZ10" s="296"/>
      <c r="BA10" s="296"/>
      <c r="BB10" s="296"/>
      <c r="BC10" s="296"/>
      <c r="BD10" s="296"/>
      <c r="BE10" s="296"/>
      <c r="BF10" s="296"/>
      <c r="BG10" s="296"/>
      <c r="BH10" s="296"/>
      <c r="BI10" s="296"/>
      <c r="BJ10" s="296"/>
      <c r="BK10" s="296"/>
      <c r="BL10" s="296"/>
      <c r="BM10" s="296"/>
      <c r="BN10" s="296"/>
      <c r="BO10" s="296"/>
      <c r="BP10" s="296"/>
      <c r="BQ10" s="296"/>
      <c r="BR10" s="296"/>
    </row>
    <row r="11" spans="1:70" x14ac:dyDescent="0.15">
      <c r="A11" s="609" t="s">
        <v>186</v>
      </c>
      <c r="B11" s="610"/>
      <c r="C11" s="610"/>
      <c r="D11" s="610"/>
      <c r="E11" s="610"/>
      <c r="F11" s="610"/>
      <c r="G11" s="611"/>
      <c r="H11" s="609" t="s">
        <v>569</v>
      </c>
      <c r="I11" s="610"/>
      <c r="J11" s="610"/>
      <c r="K11" s="610"/>
      <c r="L11" s="610"/>
      <c r="M11" s="610"/>
      <c r="N11" s="610"/>
      <c r="O11" s="611"/>
      <c r="P11" s="609" t="s">
        <v>187</v>
      </c>
      <c r="Q11" s="610"/>
      <c r="R11" s="610"/>
      <c r="S11" s="610"/>
      <c r="T11" s="610"/>
      <c r="U11" s="610"/>
      <c r="V11" s="611"/>
      <c r="W11" s="609" t="s">
        <v>188</v>
      </c>
      <c r="X11" s="610"/>
      <c r="Y11" s="610"/>
      <c r="Z11" s="610"/>
      <c r="AA11" s="610"/>
      <c r="AB11" s="610"/>
      <c r="AC11" s="610"/>
      <c r="AD11" s="610"/>
      <c r="AE11" s="610"/>
      <c r="AF11" s="610"/>
      <c r="AG11" s="610"/>
      <c r="AH11" s="610"/>
      <c r="AI11" s="610"/>
      <c r="AJ11" s="610"/>
      <c r="AK11" s="610"/>
      <c r="AL11" s="610"/>
      <c r="AM11" s="611"/>
      <c r="AN11" s="609" t="s">
        <v>189</v>
      </c>
      <c r="AO11" s="610"/>
      <c r="AP11" s="610"/>
      <c r="AQ11" s="610"/>
      <c r="AR11" s="610"/>
      <c r="AS11" s="610"/>
      <c r="AT11" s="611"/>
      <c r="AU11" s="609" t="s">
        <v>190</v>
      </c>
      <c r="AV11" s="610"/>
      <c r="AW11" s="610"/>
      <c r="AX11" s="610"/>
      <c r="AY11" s="610"/>
      <c r="AZ11" s="610"/>
      <c r="BA11" s="611"/>
      <c r="BB11" s="609" t="s">
        <v>191</v>
      </c>
      <c r="BC11" s="610"/>
      <c r="BD11" s="610"/>
      <c r="BE11" s="610"/>
      <c r="BF11" s="610"/>
      <c r="BG11" s="610"/>
      <c r="BH11" s="611"/>
      <c r="BI11" s="609" t="s">
        <v>192</v>
      </c>
      <c r="BJ11" s="610"/>
      <c r="BK11" s="610"/>
      <c r="BL11" s="610"/>
      <c r="BM11" s="610"/>
      <c r="BN11" s="610"/>
      <c r="BO11" s="610"/>
      <c r="BP11" s="610"/>
      <c r="BQ11" s="610"/>
      <c r="BR11" s="611"/>
    </row>
    <row r="12" spans="1:70" x14ac:dyDescent="0.15">
      <c r="A12" s="612"/>
      <c r="B12" s="613"/>
      <c r="C12" s="613"/>
      <c r="D12" s="613"/>
      <c r="E12" s="613"/>
      <c r="F12" s="613"/>
      <c r="G12" s="614"/>
      <c r="H12" s="612"/>
      <c r="I12" s="613"/>
      <c r="J12" s="613"/>
      <c r="K12" s="613"/>
      <c r="L12" s="613"/>
      <c r="M12" s="613"/>
      <c r="N12" s="613"/>
      <c r="O12" s="614"/>
      <c r="P12" s="612"/>
      <c r="Q12" s="613"/>
      <c r="R12" s="613"/>
      <c r="S12" s="613"/>
      <c r="T12" s="613"/>
      <c r="U12" s="613"/>
      <c r="V12" s="614"/>
      <c r="W12" s="612"/>
      <c r="X12" s="613"/>
      <c r="Y12" s="613"/>
      <c r="Z12" s="613"/>
      <c r="AA12" s="613"/>
      <c r="AB12" s="613"/>
      <c r="AC12" s="613"/>
      <c r="AD12" s="613"/>
      <c r="AE12" s="613"/>
      <c r="AF12" s="613"/>
      <c r="AG12" s="613"/>
      <c r="AH12" s="613"/>
      <c r="AI12" s="613"/>
      <c r="AJ12" s="613"/>
      <c r="AK12" s="613"/>
      <c r="AL12" s="613"/>
      <c r="AM12" s="614"/>
      <c r="AN12" s="612"/>
      <c r="AO12" s="613"/>
      <c r="AP12" s="613"/>
      <c r="AQ12" s="613"/>
      <c r="AR12" s="613"/>
      <c r="AS12" s="613"/>
      <c r="AT12" s="614"/>
      <c r="AU12" s="612"/>
      <c r="AV12" s="613"/>
      <c r="AW12" s="613"/>
      <c r="AX12" s="613"/>
      <c r="AY12" s="613"/>
      <c r="AZ12" s="613"/>
      <c r="BA12" s="614"/>
      <c r="BB12" s="612"/>
      <c r="BC12" s="613"/>
      <c r="BD12" s="613"/>
      <c r="BE12" s="613"/>
      <c r="BF12" s="613"/>
      <c r="BG12" s="613"/>
      <c r="BH12" s="614"/>
      <c r="BI12" s="612"/>
      <c r="BJ12" s="613"/>
      <c r="BK12" s="613"/>
      <c r="BL12" s="613"/>
      <c r="BM12" s="613"/>
      <c r="BN12" s="613"/>
      <c r="BO12" s="613"/>
      <c r="BP12" s="613"/>
      <c r="BQ12" s="613"/>
      <c r="BR12" s="614"/>
    </row>
    <row r="13" spans="1:70" x14ac:dyDescent="0.15">
      <c r="A13" s="603" t="s">
        <v>570</v>
      </c>
      <c r="B13" s="604"/>
      <c r="C13" s="604"/>
      <c r="D13" s="604"/>
      <c r="E13" s="604"/>
      <c r="F13" s="604"/>
      <c r="G13" s="605"/>
      <c r="H13" s="603" t="s">
        <v>571</v>
      </c>
      <c r="I13" s="604"/>
      <c r="J13" s="604"/>
      <c r="K13" s="604"/>
      <c r="L13" s="604"/>
      <c r="M13" s="604"/>
      <c r="N13" s="604"/>
      <c r="O13" s="605"/>
      <c r="P13" s="603" t="s">
        <v>572</v>
      </c>
      <c r="Q13" s="604"/>
      <c r="R13" s="604"/>
      <c r="S13" s="604"/>
      <c r="T13" s="604"/>
      <c r="U13" s="604"/>
      <c r="V13" s="605"/>
      <c r="W13" s="603" t="s">
        <v>573</v>
      </c>
      <c r="X13" s="604"/>
      <c r="Y13" s="604"/>
      <c r="Z13" s="604"/>
      <c r="AA13" s="604"/>
      <c r="AB13" s="604"/>
      <c r="AC13" s="604"/>
      <c r="AD13" s="604"/>
      <c r="AE13" s="604"/>
      <c r="AF13" s="604"/>
      <c r="AG13" s="604"/>
      <c r="AH13" s="604"/>
      <c r="AI13" s="604"/>
      <c r="AJ13" s="604"/>
      <c r="AK13" s="604"/>
      <c r="AL13" s="604"/>
      <c r="AM13" s="605"/>
      <c r="AN13" s="597"/>
      <c r="AO13" s="598"/>
      <c r="AP13" s="598"/>
      <c r="AQ13" s="598"/>
      <c r="AR13" s="598"/>
      <c r="AS13" s="598"/>
      <c r="AT13" s="599"/>
      <c r="AU13" s="597"/>
      <c r="AV13" s="598"/>
      <c r="AW13" s="598"/>
      <c r="AX13" s="598"/>
      <c r="AY13" s="598"/>
      <c r="AZ13" s="598"/>
      <c r="BA13" s="599"/>
      <c r="BB13" s="575"/>
      <c r="BC13" s="576"/>
      <c r="BD13" s="576"/>
      <c r="BE13" s="576"/>
      <c r="BF13" s="576"/>
      <c r="BG13" s="576"/>
      <c r="BH13" s="577"/>
      <c r="BI13" s="603" t="s">
        <v>574</v>
      </c>
      <c r="BJ13" s="604"/>
      <c r="BK13" s="604"/>
      <c r="BL13" s="604"/>
      <c r="BM13" s="604"/>
      <c r="BN13" s="604"/>
      <c r="BO13" s="604"/>
      <c r="BP13" s="604"/>
      <c r="BQ13" s="604"/>
      <c r="BR13" s="605"/>
    </row>
    <row r="14" spans="1:70" x14ac:dyDescent="0.15">
      <c r="A14" s="615"/>
      <c r="B14" s="616"/>
      <c r="C14" s="616"/>
      <c r="D14" s="616"/>
      <c r="E14" s="616"/>
      <c r="F14" s="616"/>
      <c r="G14" s="617"/>
      <c r="H14" s="615"/>
      <c r="I14" s="616"/>
      <c r="J14" s="616"/>
      <c r="K14" s="616"/>
      <c r="L14" s="616"/>
      <c r="M14" s="616"/>
      <c r="N14" s="616"/>
      <c r="O14" s="617"/>
      <c r="P14" s="606"/>
      <c r="Q14" s="607"/>
      <c r="R14" s="607"/>
      <c r="S14" s="607"/>
      <c r="T14" s="607"/>
      <c r="U14" s="607"/>
      <c r="V14" s="608"/>
      <c r="W14" s="606"/>
      <c r="X14" s="607"/>
      <c r="Y14" s="607"/>
      <c r="Z14" s="607"/>
      <c r="AA14" s="607"/>
      <c r="AB14" s="607"/>
      <c r="AC14" s="607"/>
      <c r="AD14" s="607"/>
      <c r="AE14" s="607"/>
      <c r="AF14" s="607"/>
      <c r="AG14" s="607"/>
      <c r="AH14" s="607"/>
      <c r="AI14" s="607"/>
      <c r="AJ14" s="607"/>
      <c r="AK14" s="607"/>
      <c r="AL14" s="607"/>
      <c r="AM14" s="608"/>
      <c r="AN14" s="600"/>
      <c r="AO14" s="601"/>
      <c r="AP14" s="601"/>
      <c r="AQ14" s="601"/>
      <c r="AR14" s="601"/>
      <c r="AS14" s="601"/>
      <c r="AT14" s="602"/>
      <c r="AU14" s="600"/>
      <c r="AV14" s="601"/>
      <c r="AW14" s="601"/>
      <c r="AX14" s="601"/>
      <c r="AY14" s="601"/>
      <c r="AZ14" s="601"/>
      <c r="BA14" s="602"/>
      <c r="BB14" s="578"/>
      <c r="BC14" s="579"/>
      <c r="BD14" s="579"/>
      <c r="BE14" s="579"/>
      <c r="BF14" s="579"/>
      <c r="BG14" s="579"/>
      <c r="BH14" s="580"/>
      <c r="BI14" s="606"/>
      <c r="BJ14" s="607"/>
      <c r="BK14" s="607"/>
      <c r="BL14" s="607"/>
      <c r="BM14" s="607"/>
      <c r="BN14" s="607"/>
      <c r="BO14" s="607"/>
      <c r="BP14" s="607"/>
      <c r="BQ14" s="607"/>
      <c r="BR14" s="608"/>
    </row>
    <row r="15" spans="1:70" x14ac:dyDescent="0.15">
      <c r="A15" s="615"/>
      <c r="B15" s="616"/>
      <c r="C15" s="616"/>
      <c r="D15" s="616"/>
      <c r="E15" s="616"/>
      <c r="F15" s="616"/>
      <c r="G15" s="617"/>
      <c r="H15" s="615"/>
      <c r="I15" s="616"/>
      <c r="J15" s="616"/>
      <c r="K15" s="616"/>
      <c r="L15" s="616"/>
      <c r="M15" s="616"/>
      <c r="N15" s="616"/>
      <c r="O15" s="617"/>
      <c r="P15" s="603" t="s">
        <v>575</v>
      </c>
      <c r="Q15" s="604"/>
      <c r="R15" s="604"/>
      <c r="S15" s="604"/>
      <c r="T15" s="604"/>
      <c r="U15" s="604"/>
      <c r="V15" s="605"/>
      <c r="W15" s="603" t="s">
        <v>576</v>
      </c>
      <c r="X15" s="604"/>
      <c r="Y15" s="604"/>
      <c r="Z15" s="604"/>
      <c r="AA15" s="604"/>
      <c r="AB15" s="604"/>
      <c r="AC15" s="604"/>
      <c r="AD15" s="604"/>
      <c r="AE15" s="604"/>
      <c r="AF15" s="604"/>
      <c r="AG15" s="604"/>
      <c r="AH15" s="604"/>
      <c r="AI15" s="604"/>
      <c r="AJ15" s="604"/>
      <c r="AK15" s="604"/>
      <c r="AL15" s="604"/>
      <c r="AM15" s="605"/>
      <c r="AN15" s="597"/>
      <c r="AO15" s="598"/>
      <c r="AP15" s="598"/>
      <c r="AQ15" s="598"/>
      <c r="AR15" s="598"/>
      <c r="AS15" s="598"/>
      <c r="AT15" s="599"/>
      <c r="AU15" s="597"/>
      <c r="AV15" s="598"/>
      <c r="AW15" s="598"/>
      <c r="AX15" s="598"/>
      <c r="AY15" s="598"/>
      <c r="AZ15" s="598"/>
      <c r="BA15" s="599"/>
      <c r="BB15" s="575"/>
      <c r="BC15" s="576"/>
      <c r="BD15" s="576"/>
      <c r="BE15" s="576"/>
      <c r="BF15" s="576"/>
      <c r="BG15" s="576"/>
      <c r="BH15" s="577"/>
      <c r="BI15" s="603" t="s">
        <v>574</v>
      </c>
      <c r="BJ15" s="604"/>
      <c r="BK15" s="604"/>
      <c r="BL15" s="604"/>
      <c r="BM15" s="604"/>
      <c r="BN15" s="604"/>
      <c r="BO15" s="604"/>
      <c r="BP15" s="604"/>
      <c r="BQ15" s="604"/>
      <c r="BR15" s="605"/>
    </row>
    <row r="16" spans="1:70" x14ac:dyDescent="0.15">
      <c r="A16" s="606"/>
      <c r="B16" s="607"/>
      <c r="C16" s="607"/>
      <c r="D16" s="607"/>
      <c r="E16" s="607"/>
      <c r="F16" s="607"/>
      <c r="G16" s="608"/>
      <c r="H16" s="606"/>
      <c r="I16" s="607"/>
      <c r="J16" s="607"/>
      <c r="K16" s="607"/>
      <c r="L16" s="607"/>
      <c r="M16" s="607"/>
      <c r="N16" s="607"/>
      <c r="O16" s="608"/>
      <c r="P16" s="606"/>
      <c r="Q16" s="607"/>
      <c r="R16" s="607"/>
      <c r="S16" s="607"/>
      <c r="T16" s="607"/>
      <c r="U16" s="607"/>
      <c r="V16" s="608"/>
      <c r="W16" s="606"/>
      <c r="X16" s="607"/>
      <c r="Y16" s="607"/>
      <c r="Z16" s="607"/>
      <c r="AA16" s="607"/>
      <c r="AB16" s="607"/>
      <c r="AC16" s="607"/>
      <c r="AD16" s="607"/>
      <c r="AE16" s="607"/>
      <c r="AF16" s="607"/>
      <c r="AG16" s="607"/>
      <c r="AH16" s="607"/>
      <c r="AI16" s="607"/>
      <c r="AJ16" s="607"/>
      <c r="AK16" s="607"/>
      <c r="AL16" s="607"/>
      <c r="AM16" s="608"/>
      <c r="AN16" s="600"/>
      <c r="AO16" s="601"/>
      <c r="AP16" s="601"/>
      <c r="AQ16" s="601"/>
      <c r="AR16" s="601"/>
      <c r="AS16" s="601"/>
      <c r="AT16" s="602"/>
      <c r="AU16" s="600"/>
      <c r="AV16" s="601"/>
      <c r="AW16" s="601"/>
      <c r="AX16" s="601"/>
      <c r="AY16" s="601"/>
      <c r="AZ16" s="601"/>
      <c r="BA16" s="602"/>
      <c r="BB16" s="578"/>
      <c r="BC16" s="579"/>
      <c r="BD16" s="579"/>
      <c r="BE16" s="579"/>
      <c r="BF16" s="579"/>
      <c r="BG16" s="579"/>
      <c r="BH16" s="580"/>
      <c r="BI16" s="606"/>
      <c r="BJ16" s="607"/>
      <c r="BK16" s="607"/>
      <c r="BL16" s="607"/>
      <c r="BM16" s="607"/>
      <c r="BN16" s="607"/>
      <c r="BO16" s="607"/>
      <c r="BP16" s="607"/>
      <c r="BQ16" s="607"/>
      <c r="BR16" s="608"/>
    </row>
    <row r="17" spans="1:70" x14ac:dyDescent="0.15">
      <c r="A17" s="603" t="s">
        <v>577</v>
      </c>
      <c r="B17" s="604"/>
      <c r="C17" s="604"/>
      <c r="D17" s="604"/>
      <c r="E17" s="604"/>
      <c r="F17" s="604"/>
      <c r="G17" s="605"/>
      <c r="H17" s="603" t="s">
        <v>193</v>
      </c>
      <c r="I17" s="604"/>
      <c r="J17" s="604"/>
      <c r="K17" s="604"/>
      <c r="L17" s="604"/>
      <c r="M17" s="604"/>
      <c r="N17" s="604"/>
      <c r="O17" s="605"/>
      <c r="P17" s="603" t="s">
        <v>572</v>
      </c>
      <c r="Q17" s="604"/>
      <c r="R17" s="604"/>
      <c r="S17" s="604"/>
      <c r="T17" s="604"/>
      <c r="U17" s="604"/>
      <c r="V17" s="605"/>
      <c r="W17" s="603" t="s">
        <v>194</v>
      </c>
      <c r="X17" s="604"/>
      <c r="Y17" s="604"/>
      <c r="Z17" s="604"/>
      <c r="AA17" s="604"/>
      <c r="AB17" s="604"/>
      <c r="AC17" s="604"/>
      <c r="AD17" s="604"/>
      <c r="AE17" s="604"/>
      <c r="AF17" s="604"/>
      <c r="AG17" s="604"/>
      <c r="AH17" s="604"/>
      <c r="AI17" s="604"/>
      <c r="AJ17" s="604"/>
      <c r="AK17" s="604"/>
      <c r="AL17" s="604"/>
      <c r="AM17" s="605"/>
      <c r="AN17" s="597">
        <v>6.4000000000000001E-2</v>
      </c>
      <c r="AO17" s="598"/>
      <c r="AP17" s="598"/>
      <c r="AQ17" s="598"/>
      <c r="AR17" s="598"/>
      <c r="AS17" s="598"/>
      <c r="AT17" s="599"/>
      <c r="AU17" s="597">
        <v>0.55000000000000004</v>
      </c>
      <c r="AV17" s="598"/>
      <c r="AW17" s="598"/>
      <c r="AX17" s="598"/>
      <c r="AY17" s="598"/>
      <c r="AZ17" s="598"/>
      <c r="BA17" s="599"/>
      <c r="BB17" s="575" t="s">
        <v>562</v>
      </c>
      <c r="BC17" s="576"/>
      <c r="BD17" s="576"/>
      <c r="BE17" s="576"/>
      <c r="BF17" s="576"/>
      <c r="BG17" s="576"/>
      <c r="BH17" s="577"/>
      <c r="BI17" s="603" t="s">
        <v>574</v>
      </c>
      <c r="BJ17" s="604"/>
      <c r="BK17" s="604"/>
      <c r="BL17" s="604"/>
      <c r="BM17" s="604"/>
      <c r="BN17" s="604"/>
      <c r="BO17" s="604"/>
      <c r="BP17" s="604"/>
      <c r="BQ17" s="604"/>
      <c r="BR17" s="605"/>
    </row>
    <row r="18" spans="1:70" x14ac:dyDescent="0.15">
      <c r="A18" s="615"/>
      <c r="B18" s="616"/>
      <c r="C18" s="616"/>
      <c r="D18" s="616"/>
      <c r="E18" s="616"/>
      <c r="F18" s="616"/>
      <c r="G18" s="617"/>
      <c r="H18" s="615"/>
      <c r="I18" s="616"/>
      <c r="J18" s="616"/>
      <c r="K18" s="616"/>
      <c r="L18" s="616"/>
      <c r="M18" s="616"/>
      <c r="N18" s="616"/>
      <c r="O18" s="617"/>
      <c r="P18" s="606"/>
      <c r="Q18" s="607"/>
      <c r="R18" s="607"/>
      <c r="S18" s="607"/>
      <c r="T18" s="607"/>
      <c r="U18" s="607"/>
      <c r="V18" s="608"/>
      <c r="W18" s="606"/>
      <c r="X18" s="607"/>
      <c r="Y18" s="607"/>
      <c r="Z18" s="607"/>
      <c r="AA18" s="607"/>
      <c r="AB18" s="607"/>
      <c r="AC18" s="607"/>
      <c r="AD18" s="607"/>
      <c r="AE18" s="607"/>
      <c r="AF18" s="607"/>
      <c r="AG18" s="607"/>
      <c r="AH18" s="607"/>
      <c r="AI18" s="607"/>
      <c r="AJ18" s="607"/>
      <c r="AK18" s="607"/>
      <c r="AL18" s="607"/>
      <c r="AM18" s="608"/>
      <c r="AN18" s="600"/>
      <c r="AO18" s="601"/>
      <c r="AP18" s="601"/>
      <c r="AQ18" s="601"/>
      <c r="AR18" s="601"/>
      <c r="AS18" s="601"/>
      <c r="AT18" s="602"/>
      <c r="AU18" s="600"/>
      <c r="AV18" s="601"/>
      <c r="AW18" s="601"/>
      <c r="AX18" s="601"/>
      <c r="AY18" s="601"/>
      <c r="AZ18" s="601"/>
      <c r="BA18" s="602"/>
      <c r="BB18" s="578"/>
      <c r="BC18" s="579"/>
      <c r="BD18" s="579"/>
      <c r="BE18" s="579"/>
      <c r="BF18" s="579"/>
      <c r="BG18" s="579"/>
      <c r="BH18" s="580"/>
      <c r="BI18" s="606"/>
      <c r="BJ18" s="607"/>
      <c r="BK18" s="607"/>
      <c r="BL18" s="607"/>
      <c r="BM18" s="607"/>
      <c r="BN18" s="607"/>
      <c r="BO18" s="607"/>
      <c r="BP18" s="607"/>
      <c r="BQ18" s="607"/>
      <c r="BR18" s="608"/>
    </row>
    <row r="19" spans="1:70" x14ac:dyDescent="0.15">
      <c r="A19" s="615"/>
      <c r="B19" s="616"/>
      <c r="C19" s="616"/>
      <c r="D19" s="616"/>
      <c r="E19" s="616"/>
      <c r="F19" s="616"/>
      <c r="G19" s="617"/>
      <c r="H19" s="615"/>
      <c r="I19" s="616"/>
      <c r="J19" s="616"/>
      <c r="K19" s="616"/>
      <c r="L19" s="616"/>
      <c r="M19" s="616"/>
      <c r="N19" s="616"/>
      <c r="O19" s="617"/>
      <c r="P19" s="603" t="s">
        <v>575</v>
      </c>
      <c r="Q19" s="604"/>
      <c r="R19" s="604"/>
      <c r="S19" s="604"/>
      <c r="T19" s="604"/>
      <c r="U19" s="604"/>
      <c r="V19" s="605"/>
      <c r="W19" s="603" t="s">
        <v>576</v>
      </c>
      <c r="X19" s="604"/>
      <c r="Y19" s="604"/>
      <c r="Z19" s="604"/>
      <c r="AA19" s="604"/>
      <c r="AB19" s="604"/>
      <c r="AC19" s="604"/>
      <c r="AD19" s="604"/>
      <c r="AE19" s="604"/>
      <c r="AF19" s="604"/>
      <c r="AG19" s="604"/>
      <c r="AH19" s="604"/>
      <c r="AI19" s="604"/>
      <c r="AJ19" s="604"/>
      <c r="AK19" s="604"/>
      <c r="AL19" s="604"/>
      <c r="AM19" s="605"/>
      <c r="AN19" s="597">
        <v>8.7999999999999995E-2</v>
      </c>
      <c r="AO19" s="598"/>
      <c r="AP19" s="598"/>
      <c r="AQ19" s="598"/>
      <c r="AR19" s="598"/>
      <c r="AS19" s="598"/>
      <c r="AT19" s="599"/>
      <c r="AU19" s="597">
        <v>0.48899999999999999</v>
      </c>
      <c r="AV19" s="598"/>
      <c r="AW19" s="598"/>
      <c r="AX19" s="598"/>
      <c r="AY19" s="598"/>
      <c r="AZ19" s="598"/>
      <c r="BA19" s="599"/>
      <c r="BB19" s="575" t="s">
        <v>562</v>
      </c>
      <c r="BC19" s="576"/>
      <c r="BD19" s="576"/>
      <c r="BE19" s="576"/>
      <c r="BF19" s="576"/>
      <c r="BG19" s="576"/>
      <c r="BH19" s="577"/>
      <c r="BI19" s="603" t="s">
        <v>574</v>
      </c>
      <c r="BJ19" s="604"/>
      <c r="BK19" s="604"/>
      <c r="BL19" s="604"/>
      <c r="BM19" s="604"/>
      <c r="BN19" s="604"/>
      <c r="BO19" s="604"/>
      <c r="BP19" s="604"/>
      <c r="BQ19" s="604"/>
      <c r="BR19" s="605"/>
    </row>
    <row r="20" spans="1:70" x14ac:dyDescent="0.15">
      <c r="A20" s="606"/>
      <c r="B20" s="607"/>
      <c r="C20" s="607"/>
      <c r="D20" s="607"/>
      <c r="E20" s="607"/>
      <c r="F20" s="607"/>
      <c r="G20" s="608"/>
      <c r="H20" s="606"/>
      <c r="I20" s="607"/>
      <c r="J20" s="607"/>
      <c r="K20" s="607"/>
      <c r="L20" s="607"/>
      <c r="M20" s="607"/>
      <c r="N20" s="607"/>
      <c r="O20" s="608"/>
      <c r="P20" s="606"/>
      <c r="Q20" s="607"/>
      <c r="R20" s="607"/>
      <c r="S20" s="607"/>
      <c r="T20" s="607"/>
      <c r="U20" s="607"/>
      <c r="V20" s="608"/>
      <c r="W20" s="606"/>
      <c r="X20" s="607"/>
      <c r="Y20" s="607"/>
      <c r="Z20" s="607"/>
      <c r="AA20" s="607"/>
      <c r="AB20" s="607"/>
      <c r="AC20" s="607"/>
      <c r="AD20" s="607"/>
      <c r="AE20" s="607"/>
      <c r="AF20" s="607"/>
      <c r="AG20" s="607"/>
      <c r="AH20" s="607"/>
      <c r="AI20" s="607"/>
      <c r="AJ20" s="607"/>
      <c r="AK20" s="607"/>
      <c r="AL20" s="607"/>
      <c r="AM20" s="608"/>
      <c r="AN20" s="600"/>
      <c r="AO20" s="601"/>
      <c r="AP20" s="601"/>
      <c r="AQ20" s="601"/>
      <c r="AR20" s="601"/>
      <c r="AS20" s="601"/>
      <c r="AT20" s="602"/>
      <c r="AU20" s="600"/>
      <c r="AV20" s="601"/>
      <c r="AW20" s="601"/>
      <c r="AX20" s="601"/>
      <c r="AY20" s="601"/>
      <c r="AZ20" s="601"/>
      <c r="BA20" s="602"/>
      <c r="BB20" s="578"/>
      <c r="BC20" s="579"/>
      <c r="BD20" s="579"/>
      <c r="BE20" s="579"/>
      <c r="BF20" s="579"/>
      <c r="BG20" s="579"/>
      <c r="BH20" s="580"/>
      <c r="BI20" s="606"/>
      <c r="BJ20" s="607"/>
      <c r="BK20" s="607"/>
      <c r="BL20" s="607"/>
      <c r="BM20" s="607"/>
      <c r="BN20" s="607"/>
      <c r="BO20" s="607"/>
      <c r="BP20" s="607"/>
      <c r="BQ20" s="607"/>
      <c r="BR20" s="608"/>
    </row>
    <row r="21" spans="1:70" x14ac:dyDescent="0.15">
      <c r="A21" s="603" t="s">
        <v>578</v>
      </c>
      <c r="B21" s="604"/>
      <c r="C21" s="604"/>
      <c r="D21" s="604"/>
      <c r="E21" s="604"/>
      <c r="F21" s="604"/>
      <c r="G21" s="605"/>
      <c r="H21" s="603" t="s">
        <v>195</v>
      </c>
      <c r="I21" s="604"/>
      <c r="J21" s="604"/>
      <c r="K21" s="604"/>
      <c r="L21" s="604"/>
      <c r="M21" s="604"/>
      <c r="N21" s="604"/>
      <c r="O21" s="605"/>
      <c r="P21" s="603" t="s">
        <v>572</v>
      </c>
      <c r="Q21" s="604"/>
      <c r="R21" s="604"/>
      <c r="S21" s="604"/>
      <c r="T21" s="604"/>
      <c r="U21" s="604"/>
      <c r="V21" s="605"/>
      <c r="W21" s="603" t="s">
        <v>196</v>
      </c>
      <c r="X21" s="604"/>
      <c r="Y21" s="604"/>
      <c r="Z21" s="604"/>
      <c r="AA21" s="604"/>
      <c r="AB21" s="604"/>
      <c r="AC21" s="604"/>
      <c r="AD21" s="604"/>
      <c r="AE21" s="604"/>
      <c r="AF21" s="604"/>
      <c r="AG21" s="604"/>
      <c r="AH21" s="604"/>
      <c r="AI21" s="604"/>
      <c r="AJ21" s="604"/>
      <c r="AK21" s="604"/>
      <c r="AL21" s="604"/>
      <c r="AM21" s="605"/>
      <c r="AN21" s="597"/>
      <c r="AO21" s="598"/>
      <c r="AP21" s="598"/>
      <c r="AQ21" s="598"/>
      <c r="AR21" s="598"/>
      <c r="AS21" s="598"/>
      <c r="AT21" s="599"/>
      <c r="AU21" s="597"/>
      <c r="AV21" s="598"/>
      <c r="AW21" s="598"/>
      <c r="AX21" s="598"/>
      <c r="AY21" s="598"/>
      <c r="AZ21" s="598"/>
      <c r="BA21" s="599"/>
      <c r="BB21" s="575" t="s">
        <v>562</v>
      </c>
      <c r="BC21" s="576"/>
      <c r="BD21" s="576"/>
      <c r="BE21" s="576"/>
      <c r="BF21" s="576"/>
      <c r="BG21" s="576"/>
      <c r="BH21" s="577"/>
      <c r="BI21" s="603" t="s">
        <v>574</v>
      </c>
      <c r="BJ21" s="604"/>
      <c r="BK21" s="604"/>
      <c r="BL21" s="604"/>
      <c r="BM21" s="604"/>
      <c r="BN21" s="604"/>
      <c r="BO21" s="604"/>
      <c r="BP21" s="604"/>
      <c r="BQ21" s="604"/>
      <c r="BR21" s="605"/>
    </row>
    <row r="22" spans="1:70" x14ac:dyDescent="0.15">
      <c r="A22" s="615"/>
      <c r="B22" s="616"/>
      <c r="C22" s="616"/>
      <c r="D22" s="616"/>
      <c r="E22" s="616"/>
      <c r="F22" s="616"/>
      <c r="G22" s="617"/>
      <c r="H22" s="615"/>
      <c r="I22" s="616"/>
      <c r="J22" s="616"/>
      <c r="K22" s="616"/>
      <c r="L22" s="616"/>
      <c r="M22" s="616"/>
      <c r="N22" s="616"/>
      <c r="O22" s="617"/>
      <c r="P22" s="606"/>
      <c r="Q22" s="607"/>
      <c r="R22" s="607"/>
      <c r="S22" s="607"/>
      <c r="T22" s="607"/>
      <c r="U22" s="607"/>
      <c r="V22" s="608"/>
      <c r="W22" s="606"/>
      <c r="X22" s="607"/>
      <c r="Y22" s="607"/>
      <c r="Z22" s="607"/>
      <c r="AA22" s="607"/>
      <c r="AB22" s="607"/>
      <c r="AC22" s="607"/>
      <c r="AD22" s="607"/>
      <c r="AE22" s="607"/>
      <c r="AF22" s="607"/>
      <c r="AG22" s="607"/>
      <c r="AH22" s="607"/>
      <c r="AI22" s="607"/>
      <c r="AJ22" s="607"/>
      <c r="AK22" s="607"/>
      <c r="AL22" s="607"/>
      <c r="AM22" s="608"/>
      <c r="AN22" s="600"/>
      <c r="AO22" s="601"/>
      <c r="AP22" s="601"/>
      <c r="AQ22" s="601"/>
      <c r="AR22" s="601"/>
      <c r="AS22" s="601"/>
      <c r="AT22" s="602"/>
      <c r="AU22" s="600"/>
      <c r="AV22" s="601"/>
      <c r="AW22" s="601"/>
      <c r="AX22" s="601"/>
      <c r="AY22" s="601"/>
      <c r="AZ22" s="601"/>
      <c r="BA22" s="602"/>
      <c r="BB22" s="578"/>
      <c r="BC22" s="579"/>
      <c r="BD22" s="579"/>
      <c r="BE22" s="579"/>
      <c r="BF22" s="579"/>
      <c r="BG22" s="579"/>
      <c r="BH22" s="580"/>
      <c r="BI22" s="606"/>
      <c r="BJ22" s="607"/>
      <c r="BK22" s="607"/>
      <c r="BL22" s="607"/>
      <c r="BM22" s="607"/>
      <c r="BN22" s="607"/>
      <c r="BO22" s="607"/>
      <c r="BP22" s="607"/>
      <c r="BQ22" s="607"/>
      <c r="BR22" s="608"/>
    </row>
    <row r="23" spans="1:70" x14ac:dyDescent="0.15">
      <c r="A23" s="615"/>
      <c r="B23" s="616"/>
      <c r="C23" s="616"/>
      <c r="D23" s="616"/>
      <c r="E23" s="616"/>
      <c r="F23" s="616"/>
      <c r="G23" s="617"/>
      <c r="H23" s="615"/>
      <c r="I23" s="616"/>
      <c r="J23" s="616"/>
      <c r="K23" s="616"/>
      <c r="L23" s="616"/>
      <c r="M23" s="616"/>
      <c r="N23" s="616"/>
      <c r="O23" s="617"/>
      <c r="P23" s="603" t="s">
        <v>575</v>
      </c>
      <c r="Q23" s="604"/>
      <c r="R23" s="604"/>
      <c r="S23" s="604"/>
      <c r="T23" s="604"/>
      <c r="U23" s="604"/>
      <c r="V23" s="605"/>
      <c r="W23" s="603" t="s">
        <v>576</v>
      </c>
      <c r="X23" s="604"/>
      <c r="Y23" s="604"/>
      <c r="Z23" s="604"/>
      <c r="AA23" s="604"/>
      <c r="AB23" s="604"/>
      <c r="AC23" s="604"/>
      <c r="AD23" s="604"/>
      <c r="AE23" s="604"/>
      <c r="AF23" s="604"/>
      <c r="AG23" s="604"/>
      <c r="AH23" s="604"/>
      <c r="AI23" s="604"/>
      <c r="AJ23" s="604"/>
      <c r="AK23" s="604"/>
      <c r="AL23" s="604"/>
      <c r="AM23" s="605"/>
      <c r="AN23" s="597"/>
      <c r="AO23" s="598"/>
      <c r="AP23" s="598"/>
      <c r="AQ23" s="598"/>
      <c r="AR23" s="598"/>
      <c r="AS23" s="598"/>
      <c r="AT23" s="599"/>
      <c r="AU23" s="597"/>
      <c r="AV23" s="598"/>
      <c r="AW23" s="598"/>
      <c r="AX23" s="598"/>
      <c r="AY23" s="598"/>
      <c r="AZ23" s="598"/>
      <c r="BA23" s="599"/>
      <c r="BB23" s="575" t="s">
        <v>562</v>
      </c>
      <c r="BC23" s="576"/>
      <c r="BD23" s="576"/>
      <c r="BE23" s="576"/>
      <c r="BF23" s="576"/>
      <c r="BG23" s="576"/>
      <c r="BH23" s="577"/>
      <c r="BI23" s="603" t="s">
        <v>574</v>
      </c>
      <c r="BJ23" s="604"/>
      <c r="BK23" s="604"/>
      <c r="BL23" s="604"/>
      <c r="BM23" s="604"/>
      <c r="BN23" s="604"/>
      <c r="BO23" s="604"/>
      <c r="BP23" s="604"/>
      <c r="BQ23" s="604"/>
      <c r="BR23" s="605"/>
    </row>
    <row r="24" spans="1:70" x14ac:dyDescent="0.15">
      <c r="A24" s="606"/>
      <c r="B24" s="607"/>
      <c r="C24" s="607"/>
      <c r="D24" s="607"/>
      <c r="E24" s="607"/>
      <c r="F24" s="607"/>
      <c r="G24" s="608"/>
      <c r="H24" s="606"/>
      <c r="I24" s="607"/>
      <c r="J24" s="607"/>
      <c r="K24" s="607"/>
      <c r="L24" s="607"/>
      <c r="M24" s="607"/>
      <c r="N24" s="607"/>
      <c r="O24" s="608"/>
      <c r="P24" s="606"/>
      <c r="Q24" s="607"/>
      <c r="R24" s="607"/>
      <c r="S24" s="607"/>
      <c r="T24" s="607"/>
      <c r="U24" s="607"/>
      <c r="V24" s="608"/>
      <c r="W24" s="606"/>
      <c r="X24" s="607"/>
      <c r="Y24" s="607"/>
      <c r="Z24" s="607"/>
      <c r="AA24" s="607"/>
      <c r="AB24" s="607"/>
      <c r="AC24" s="607"/>
      <c r="AD24" s="607"/>
      <c r="AE24" s="607"/>
      <c r="AF24" s="607"/>
      <c r="AG24" s="607"/>
      <c r="AH24" s="607"/>
      <c r="AI24" s="607"/>
      <c r="AJ24" s="607"/>
      <c r="AK24" s="607"/>
      <c r="AL24" s="607"/>
      <c r="AM24" s="608"/>
      <c r="AN24" s="600"/>
      <c r="AO24" s="601"/>
      <c r="AP24" s="601"/>
      <c r="AQ24" s="601"/>
      <c r="AR24" s="601"/>
      <c r="AS24" s="601"/>
      <c r="AT24" s="602"/>
      <c r="AU24" s="600"/>
      <c r="AV24" s="601"/>
      <c r="AW24" s="601"/>
      <c r="AX24" s="601"/>
      <c r="AY24" s="601"/>
      <c r="AZ24" s="601"/>
      <c r="BA24" s="602"/>
      <c r="BB24" s="578"/>
      <c r="BC24" s="579"/>
      <c r="BD24" s="579"/>
      <c r="BE24" s="579"/>
      <c r="BF24" s="579"/>
      <c r="BG24" s="579"/>
      <c r="BH24" s="580"/>
      <c r="BI24" s="606"/>
      <c r="BJ24" s="607"/>
      <c r="BK24" s="607"/>
      <c r="BL24" s="607"/>
      <c r="BM24" s="607"/>
      <c r="BN24" s="607"/>
      <c r="BO24" s="607"/>
      <c r="BP24" s="607"/>
      <c r="BQ24" s="607"/>
      <c r="BR24" s="608"/>
    </row>
    <row r="25" spans="1:70" x14ac:dyDescent="0.15">
      <c r="A25" s="603" t="s">
        <v>197</v>
      </c>
      <c r="B25" s="604"/>
      <c r="C25" s="604"/>
      <c r="D25" s="604"/>
      <c r="E25" s="604"/>
      <c r="F25" s="604"/>
      <c r="G25" s="605"/>
      <c r="H25" s="603" t="s">
        <v>198</v>
      </c>
      <c r="I25" s="604"/>
      <c r="J25" s="604"/>
      <c r="K25" s="604"/>
      <c r="L25" s="604"/>
      <c r="M25" s="604"/>
      <c r="N25" s="604"/>
      <c r="O25" s="605"/>
      <c r="P25" s="603" t="s">
        <v>572</v>
      </c>
      <c r="Q25" s="604"/>
      <c r="R25" s="604"/>
      <c r="S25" s="604"/>
      <c r="T25" s="604"/>
      <c r="U25" s="604"/>
      <c r="V25" s="605"/>
      <c r="W25" s="603" t="s">
        <v>199</v>
      </c>
      <c r="X25" s="604"/>
      <c r="Y25" s="604"/>
      <c r="Z25" s="604"/>
      <c r="AA25" s="604"/>
      <c r="AB25" s="604"/>
      <c r="AC25" s="604"/>
      <c r="AD25" s="604"/>
      <c r="AE25" s="604"/>
      <c r="AF25" s="604"/>
      <c r="AG25" s="604"/>
      <c r="AH25" s="604"/>
      <c r="AI25" s="604"/>
      <c r="AJ25" s="604"/>
      <c r="AK25" s="604"/>
      <c r="AL25" s="604"/>
      <c r="AM25" s="605"/>
      <c r="AN25" s="597"/>
      <c r="AO25" s="598"/>
      <c r="AP25" s="598"/>
      <c r="AQ25" s="598"/>
      <c r="AR25" s="598"/>
      <c r="AS25" s="598"/>
      <c r="AT25" s="599"/>
      <c r="AU25" s="597"/>
      <c r="AV25" s="598"/>
      <c r="AW25" s="598"/>
      <c r="AX25" s="598"/>
      <c r="AY25" s="598"/>
      <c r="AZ25" s="598"/>
      <c r="BA25" s="599"/>
      <c r="BB25" s="575"/>
      <c r="BC25" s="576"/>
      <c r="BD25" s="576"/>
      <c r="BE25" s="576"/>
      <c r="BF25" s="576"/>
      <c r="BG25" s="576"/>
      <c r="BH25" s="577"/>
      <c r="BI25" s="603" t="s">
        <v>574</v>
      </c>
      <c r="BJ25" s="604"/>
      <c r="BK25" s="604"/>
      <c r="BL25" s="604"/>
      <c r="BM25" s="604"/>
      <c r="BN25" s="604"/>
      <c r="BO25" s="604"/>
      <c r="BP25" s="604"/>
      <c r="BQ25" s="604"/>
      <c r="BR25" s="605"/>
    </row>
    <row r="26" spans="1:70" x14ac:dyDescent="0.15">
      <c r="A26" s="615"/>
      <c r="B26" s="616"/>
      <c r="C26" s="616"/>
      <c r="D26" s="616"/>
      <c r="E26" s="616"/>
      <c r="F26" s="616"/>
      <c r="G26" s="617"/>
      <c r="H26" s="615"/>
      <c r="I26" s="616"/>
      <c r="J26" s="616"/>
      <c r="K26" s="616"/>
      <c r="L26" s="616"/>
      <c r="M26" s="616"/>
      <c r="N26" s="616"/>
      <c r="O26" s="617"/>
      <c r="P26" s="606"/>
      <c r="Q26" s="607"/>
      <c r="R26" s="607"/>
      <c r="S26" s="607"/>
      <c r="T26" s="607"/>
      <c r="U26" s="607"/>
      <c r="V26" s="608"/>
      <c r="W26" s="606"/>
      <c r="X26" s="607"/>
      <c r="Y26" s="607"/>
      <c r="Z26" s="607"/>
      <c r="AA26" s="607"/>
      <c r="AB26" s="607"/>
      <c r="AC26" s="607"/>
      <c r="AD26" s="607"/>
      <c r="AE26" s="607"/>
      <c r="AF26" s="607"/>
      <c r="AG26" s="607"/>
      <c r="AH26" s="607"/>
      <c r="AI26" s="607"/>
      <c r="AJ26" s="607"/>
      <c r="AK26" s="607"/>
      <c r="AL26" s="607"/>
      <c r="AM26" s="608"/>
      <c r="AN26" s="600"/>
      <c r="AO26" s="601"/>
      <c r="AP26" s="601"/>
      <c r="AQ26" s="601"/>
      <c r="AR26" s="601"/>
      <c r="AS26" s="601"/>
      <c r="AT26" s="602"/>
      <c r="AU26" s="600"/>
      <c r="AV26" s="601"/>
      <c r="AW26" s="601"/>
      <c r="AX26" s="601"/>
      <c r="AY26" s="601"/>
      <c r="AZ26" s="601"/>
      <c r="BA26" s="602"/>
      <c r="BB26" s="578"/>
      <c r="BC26" s="579"/>
      <c r="BD26" s="579"/>
      <c r="BE26" s="579"/>
      <c r="BF26" s="579"/>
      <c r="BG26" s="579"/>
      <c r="BH26" s="580"/>
      <c r="BI26" s="606"/>
      <c r="BJ26" s="607"/>
      <c r="BK26" s="607"/>
      <c r="BL26" s="607"/>
      <c r="BM26" s="607"/>
      <c r="BN26" s="607"/>
      <c r="BO26" s="607"/>
      <c r="BP26" s="607"/>
      <c r="BQ26" s="607"/>
      <c r="BR26" s="608"/>
    </row>
    <row r="27" spans="1:70" x14ac:dyDescent="0.15">
      <c r="A27" s="615"/>
      <c r="B27" s="616"/>
      <c r="C27" s="616"/>
      <c r="D27" s="616"/>
      <c r="E27" s="616"/>
      <c r="F27" s="616"/>
      <c r="G27" s="617"/>
      <c r="H27" s="615"/>
      <c r="I27" s="616"/>
      <c r="J27" s="616"/>
      <c r="K27" s="616"/>
      <c r="L27" s="616"/>
      <c r="M27" s="616"/>
      <c r="N27" s="616"/>
      <c r="O27" s="617"/>
      <c r="P27" s="603" t="s">
        <v>575</v>
      </c>
      <c r="Q27" s="604"/>
      <c r="R27" s="604"/>
      <c r="S27" s="604"/>
      <c r="T27" s="604"/>
      <c r="U27" s="604"/>
      <c r="V27" s="605"/>
      <c r="W27" s="603" t="s">
        <v>576</v>
      </c>
      <c r="X27" s="604"/>
      <c r="Y27" s="604"/>
      <c r="Z27" s="604"/>
      <c r="AA27" s="604"/>
      <c r="AB27" s="604"/>
      <c r="AC27" s="604"/>
      <c r="AD27" s="604"/>
      <c r="AE27" s="604"/>
      <c r="AF27" s="604"/>
      <c r="AG27" s="604"/>
      <c r="AH27" s="604"/>
      <c r="AI27" s="604"/>
      <c r="AJ27" s="604"/>
      <c r="AK27" s="604"/>
      <c r="AL27" s="604"/>
      <c r="AM27" s="605"/>
      <c r="AN27" s="597"/>
      <c r="AO27" s="598"/>
      <c r="AP27" s="598"/>
      <c r="AQ27" s="598"/>
      <c r="AR27" s="598"/>
      <c r="AS27" s="598"/>
      <c r="AT27" s="599"/>
      <c r="AU27" s="597"/>
      <c r="AV27" s="598"/>
      <c r="AW27" s="598"/>
      <c r="AX27" s="598"/>
      <c r="AY27" s="598"/>
      <c r="AZ27" s="598"/>
      <c r="BA27" s="599"/>
      <c r="BB27" s="575"/>
      <c r="BC27" s="576"/>
      <c r="BD27" s="576"/>
      <c r="BE27" s="576"/>
      <c r="BF27" s="576"/>
      <c r="BG27" s="576"/>
      <c r="BH27" s="577"/>
      <c r="BI27" s="603" t="s">
        <v>574</v>
      </c>
      <c r="BJ27" s="604"/>
      <c r="BK27" s="604"/>
      <c r="BL27" s="604"/>
      <c r="BM27" s="604"/>
      <c r="BN27" s="604"/>
      <c r="BO27" s="604"/>
      <c r="BP27" s="604"/>
      <c r="BQ27" s="604"/>
      <c r="BR27" s="605"/>
    </row>
    <row r="28" spans="1:70" x14ac:dyDescent="0.15">
      <c r="A28" s="615"/>
      <c r="B28" s="616"/>
      <c r="C28" s="616"/>
      <c r="D28" s="616"/>
      <c r="E28" s="616"/>
      <c r="F28" s="616"/>
      <c r="G28" s="617"/>
      <c r="H28" s="606"/>
      <c r="I28" s="607"/>
      <c r="J28" s="607"/>
      <c r="K28" s="607"/>
      <c r="L28" s="607"/>
      <c r="M28" s="607"/>
      <c r="N28" s="607"/>
      <c r="O28" s="608"/>
      <c r="P28" s="606"/>
      <c r="Q28" s="607"/>
      <c r="R28" s="607"/>
      <c r="S28" s="607"/>
      <c r="T28" s="607"/>
      <c r="U28" s="607"/>
      <c r="V28" s="608"/>
      <c r="W28" s="606"/>
      <c r="X28" s="607"/>
      <c r="Y28" s="607"/>
      <c r="Z28" s="607"/>
      <c r="AA28" s="607"/>
      <c r="AB28" s="607"/>
      <c r="AC28" s="607"/>
      <c r="AD28" s="607"/>
      <c r="AE28" s="607"/>
      <c r="AF28" s="607"/>
      <c r="AG28" s="607"/>
      <c r="AH28" s="607"/>
      <c r="AI28" s="607"/>
      <c r="AJ28" s="607"/>
      <c r="AK28" s="607"/>
      <c r="AL28" s="607"/>
      <c r="AM28" s="608"/>
      <c r="AN28" s="600"/>
      <c r="AO28" s="601"/>
      <c r="AP28" s="601"/>
      <c r="AQ28" s="601"/>
      <c r="AR28" s="601"/>
      <c r="AS28" s="601"/>
      <c r="AT28" s="602"/>
      <c r="AU28" s="600"/>
      <c r="AV28" s="601"/>
      <c r="AW28" s="601"/>
      <c r="AX28" s="601"/>
      <c r="AY28" s="601"/>
      <c r="AZ28" s="601"/>
      <c r="BA28" s="602"/>
      <c r="BB28" s="578"/>
      <c r="BC28" s="579"/>
      <c r="BD28" s="579"/>
      <c r="BE28" s="579"/>
      <c r="BF28" s="579"/>
      <c r="BG28" s="579"/>
      <c r="BH28" s="580"/>
      <c r="BI28" s="606"/>
      <c r="BJ28" s="607"/>
      <c r="BK28" s="607"/>
      <c r="BL28" s="607"/>
      <c r="BM28" s="607"/>
      <c r="BN28" s="607"/>
      <c r="BO28" s="607"/>
      <c r="BP28" s="607"/>
      <c r="BQ28" s="607"/>
      <c r="BR28" s="608"/>
    </row>
    <row r="29" spans="1:70" x14ac:dyDescent="0.15">
      <c r="A29" s="615"/>
      <c r="B29" s="616"/>
      <c r="C29" s="616"/>
      <c r="D29" s="616"/>
      <c r="E29" s="616"/>
      <c r="F29" s="616"/>
      <c r="G29" s="617"/>
      <c r="H29" s="603" t="s">
        <v>579</v>
      </c>
      <c r="I29" s="604"/>
      <c r="J29" s="604"/>
      <c r="K29" s="604"/>
      <c r="L29" s="604"/>
      <c r="M29" s="604"/>
      <c r="N29" s="604"/>
      <c r="O29" s="605"/>
      <c r="P29" s="603" t="s">
        <v>395</v>
      </c>
      <c r="Q29" s="604"/>
      <c r="R29" s="604"/>
      <c r="S29" s="604"/>
      <c r="T29" s="604"/>
      <c r="U29" s="604"/>
      <c r="V29" s="605"/>
      <c r="W29" s="603" t="s">
        <v>580</v>
      </c>
      <c r="X29" s="604"/>
      <c r="Y29" s="604"/>
      <c r="Z29" s="604"/>
      <c r="AA29" s="604"/>
      <c r="AB29" s="604"/>
      <c r="AC29" s="604"/>
      <c r="AD29" s="604"/>
      <c r="AE29" s="604"/>
      <c r="AF29" s="604"/>
      <c r="AG29" s="604"/>
      <c r="AH29" s="604"/>
      <c r="AI29" s="604"/>
      <c r="AJ29" s="604"/>
      <c r="AK29" s="604"/>
      <c r="AL29" s="604"/>
      <c r="AM29" s="605"/>
      <c r="AN29" s="597"/>
      <c r="AO29" s="598"/>
      <c r="AP29" s="598"/>
      <c r="AQ29" s="598"/>
      <c r="AR29" s="598"/>
      <c r="AS29" s="598"/>
      <c r="AT29" s="599"/>
      <c r="AU29" s="597"/>
      <c r="AV29" s="598"/>
      <c r="AW29" s="598"/>
      <c r="AX29" s="598"/>
      <c r="AY29" s="598"/>
      <c r="AZ29" s="598"/>
      <c r="BA29" s="599"/>
      <c r="BB29" s="575"/>
      <c r="BC29" s="576"/>
      <c r="BD29" s="576"/>
      <c r="BE29" s="576"/>
      <c r="BF29" s="576"/>
      <c r="BG29" s="576"/>
      <c r="BH29" s="577"/>
      <c r="BI29" s="603" t="s">
        <v>581</v>
      </c>
      <c r="BJ29" s="604"/>
      <c r="BK29" s="604"/>
      <c r="BL29" s="604"/>
      <c r="BM29" s="604"/>
      <c r="BN29" s="604"/>
      <c r="BO29" s="604"/>
      <c r="BP29" s="604"/>
      <c r="BQ29" s="604"/>
      <c r="BR29" s="605"/>
    </row>
    <row r="30" spans="1:70" x14ac:dyDescent="0.15">
      <c r="A30" s="615"/>
      <c r="B30" s="616"/>
      <c r="C30" s="616"/>
      <c r="D30" s="616"/>
      <c r="E30" s="616"/>
      <c r="F30" s="616"/>
      <c r="G30" s="617"/>
      <c r="H30" s="615"/>
      <c r="I30" s="616"/>
      <c r="J30" s="616"/>
      <c r="K30" s="616"/>
      <c r="L30" s="616"/>
      <c r="M30" s="616"/>
      <c r="N30" s="616"/>
      <c r="O30" s="617"/>
      <c r="P30" s="606"/>
      <c r="Q30" s="607"/>
      <c r="R30" s="607"/>
      <c r="S30" s="607"/>
      <c r="T30" s="607"/>
      <c r="U30" s="607"/>
      <c r="V30" s="608"/>
      <c r="W30" s="606"/>
      <c r="X30" s="607"/>
      <c r="Y30" s="607"/>
      <c r="Z30" s="607"/>
      <c r="AA30" s="607"/>
      <c r="AB30" s="607"/>
      <c r="AC30" s="607"/>
      <c r="AD30" s="607"/>
      <c r="AE30" s="607"/>
      <c r="AF30" s="607"/>
      <c r="AG30" s="607"/>
      <c r="AH30" s="607"/>
      <c r="AI30" s="607"/>
      <c r="AJ30" s="607"/>
      <c r="AK30" s="607"/>
      <c r="AL30" s="607"/>
      <c r="AM30" s="608"/>
      <c r="AN30" s="600"/>
      <c r="AO30" s="601"/>
      <c r="AP30" s="601"/>
      <c r="AQ30" s="601"/>
      <c r="AR30" s="601"/>
      <c r="AS30" s="601"/>
      <c r="AT30" s="602"/>
      <c r="AU30" s="600"/>
      <c r="AV30" s="601"/>
      <c r="AW30" s="601"/>
      <c r="AX30" s="601"/>
      <c r="AY30" s="601"/>
      <c r="AZ30" s="601"/>
      <c r="BA30" s="602"/>
      <c r="BB30" s="578"/>
      <c r="BC30" s="579"/>
      <c r="BD30" s="579"/>
      <c r="BE30" s="579"/>
      <c r="BF30" s="579"/>
      <c r="BG30" s="579"/>
      <c r="BH30" s="580"/>
      <c r="BI30" s="606"/>
      <c r="BJ30" s="607"/>
      <c r="BK30" s="607"/>
      <c r="BL30" s="607"/>
      <c r="BM30" s="607"/>
      <c r="BN30" s="607"/>
      <c r="BO30" s="607"/>
      <c r="BP30" s="607"/>
      <c r="BQ30" s="607"/>
      <c r="BR30" s="608"/>
    </row>
    <row r="31" spans="1:70" x14ac:dyDescent="0.15">
      <c r="A31" s="615"/>
      <c r="B31" s="616"/>
      <c r="C31" s="616"/>
      <c r="D31" s="616"/>
      <c r="E31" s="616"/>
      <c r="F31" s="616"/>
      <c r="G31" s="617"/>
      <c r="H31" s="615"/>
      <c r="I31" s="616"/>
      <c r="J31" s="616"/>
      <c r="K31" s="616"/>
      <c r="L31" s="616"/>
      <c r="M31" s="616"/>
      <c r="N31" s="616"/>
      <c r="O31" s="617"/>
      <c r="P31" s="603" t="s">
        <v>396</v>
      </c>
      <c r="Q31" s="604"/>
      <c r="R31" s="604"/>
      <c r="S31" s="604"/>
      <c r="T31" s="604"/>
      <c r="U31" s="604"/>
      <c r="V31" s="605"/>
      <c r="W31" s="603" t="s">
        <v>582</v>
      </c>
      <c r="X31" s="604"/>
      <c r="Y31" s="604"/>
      <c r="Z31" s="604"/>
      <c r="AA31" s="604"/>
      <c r="AB31" s="604"/>
      <c r="AC31" s="604"/>
      <c r="AD31" s="604"/>
      <c r="AE31" s="604"/>
      <c r="AF31" s="604"/>
      <c r="AG31" s="604"/>
      <c r="AH31" s="604"/>
      <c r="AI31" s="604"/>
      <c r="AJ31" s="604"/>
      <c r="AK31" s="604"/>
      <c r="AL31" s="604"/>
      <c r="AM31" s="605"/>
      <c r="AN31" s="597"/>
      <c r="AO31" s="598"/>
      <c r="AP31" s="598"/>
      <c r="AQ31" s="598"/>
      <c r="AR31" s="598"/>
      <c r="AS31" s="598"/>
      <c r="AT31" s="599"/>
      <c r="AU31" s="597"/>
      <c r="AV31" s="598"/>
      <c r="AW31" s="598"/>
      <c r="AX31" s="598"/>
      <c r="AY31" s="598"/>
      <c r="AZ31" s="598"/>
      <c r="BA31" s="599"/>
      <c r="BB31" s="575"/>
      <c r="BC31" s="576"/>
      <c r="BD31" s="576"/>
      <c r="BE31" s="576"/>
      <c r="BF31" s="576"/>
      <c r="BG31" s="576"/>
      <c r="BH31" s="577"/>
      <c r="BI31" s="603" t="s">
        <v>581</v>
      </c>
      <c r="BJ31" s="604"/>
      <c r="BK31" s="604"/>
      <c r="BL31" s="604"/>
      <c r="BM31" s="604"/>
      <c r="BN31" s="604"/>
      <c r="BO31" s="604"/>
      <c r="BP31" s="604"/>
      <c r="BQ31" s="604"/>
      <c r="BR31" s="605"/>
    </row>
    <row r="32" spans="1:70" x14ac:dyDescent="0.15">
      <c r="A32" s="615"/>
      <c r="B32" s="616"/>
      <c r="C32" s="616"/>
      <c r="D32" s="616"/>
      <c r="E32" s="616"/>
      <c r="F32" s="616"/>
      <c r="G32" s="617"/>
      <c r="H32" s="606"/>
      <c r="I32" s="607"/>
      <c r="J32" s="607"/>
      <c r="K32" s="607"/>
      <c r="L32" s="607"/>
      <c r="M32" s="607"/>
      <c r="N32" s="607"/>
      <c r="O32" s="608"/>
      <c r="P32" s="606"/>
      <c r="Q32" s="607"/>
      <c r="R32" s="607"/>
      <c r="S32" s="607"/>
      <c r="T32" s="607"/>
      <c r="U32" s="607"/>
      <c r="V32" s="608"/>
      <c r="W32" s="606"/>
      <c r="X32" s="607"/>
      <c r="Y32" s="607"/>
      <c r="Z32" s="607"/>
      <c r="AA32" s="607"/>
      <c r="AB32" s="607"/>
      <c r="AC32" s="607"/>
      <c r="AD32" s="607"/>
      <c r="AE32" s="607"/>
      <c r="AF32" s="607"/>
      <c r="AG32" s="607"/>
      <c r="AH32" s="607"/>
      <c r="AI32" s="607"/>
      <c r="AJ32" s="607"/>
      <c r="AK32" s="607"/>
      <c r="AL32" s="607"/>
      <c r="AM32" s="608"/>
      <c r="AN32" s="600"/>
      <c r="AO32" s="601"/>
      <c r="AP32" s="601"/>
      <c r="AQ32" s="601"/>
      <c r="AR32" s="601"/>
      <c r="AS32" s="601"/>
      <c r="AT32" s="602"/>
      <c r="AU32" s="600"/>
      <c r="AV32" s="601"/>
      <c r="AW32" s="601"/>
      <c r="AX32" s="601"/>
      <c r="AY32" s="601"/>
      <c r="AZ32" s="601"/>
      <c r="BA32" s="602"/>
      <c r="BB32" s="578"/>
      <c r="BC32" s="579"/>
      <c r="BD32" s="579"/>
      <c r="BE32" s="579"/>
      <c r="BF32" s="579"/>
      <c r="BG32" s="579"/>
      <c r="BH32" s="580"/>
      <c r="BI32" s="606"/>
      <c r="BJ32" s="607"/>
      <c r="BK32" s="607"/>
      <c r="BL32" s="607"/>
      <c r="BM32" s="607"/>
      <c r="BN32" s="607"/>
      <c r="BO32" s="607"/>
      <c r="BP32" s="607"/>
      <c r="BQ32" s="607"/>
      <c r="BR32" s="608"/>
    </row>
    <row r="33" spans="1:70" x14ac:dyDescent="0.15">
      <c r="A33" s="603" t="s">
        <v>583</v>
      </c>
      <c r="B33" s="604"/>
      <c r="C33" s="604"/>
      <c r="D33" s="604"/>
      <c r="E33" s="604"/>
      <c r="F33" s="604"/>
      <c r="G33" s="605"/>
      <c r="H33" s="603" t="s">
        <v>200</v>
      </c>
      <c r="I33" s="604"/>
      <c r="J33" s="604"/>
      <c r="K33" s="604"/>
      <c r="L33" s="604"/>
      <c r="M33" s="604"/>
      <c r="N33" s="604"/>
      <c r="O33" s="605"/>
      <c r="P33" s="603" t="s">
        <v>572</v>
      </c>
      <c r="Q33" s="604"/>
      <c r="R33" s="604"/>
      <c r="S33" s="604"/>
      <c r="T33" s="604"/>
      <c r="U33" s="604"/>
      <c r="V33" s="605"/>
      <c r="W33" s="603" t="s">
        <v>199</v>
      </c>
      <c r="X33" s="604"/>
      <c r="Y33" s="604"/>
      <c r="Z33" s="604"/>
      <c r="AA33" s="604"/>
      <c r="AB33" s="604"/>
      <c r="AC33" s="604"/>
      <c r="AD33" s="604"/>
      <c r="AE33" s="604"/>
      <c r="AF33" s="604"/>
      <c r="AG33" s="604"/>
      <c r="AH33" s="604"/>
      <c r="AI33" s="604"/>
      <c r="AJ33" s="604"/>
      <c r="AK33" s="604"/>
      <c r="AL33" s="604"/>
      <c r="AM33" s="605"/>
      <c r="AN33" s="597"/>
      <c r="AO33" s="598"/>
      <c r="AP33" s="598"/>
      <c r="AQ33" s="598"/>
      <c r="AR33" s="598"/>
      <c r="AS33" s="598"/>
      <c r="AT33" s="599"/>
      <c r="AU33" s="597"/>
      <c r="AV33" s="598"/>
      <c r="AW33" s="598"/>
      <c r="AX33" s="598"/>
      <c r="AY33" s="598"/>
      <c r="AZ33" s="598"/>
      <c r="BA33" s="599"/>
      <c r="BB33" s="575" t="s">
        <v>562</v>
      </c>
      <c r="BC33" s="576"/>
      <c r="BD33" s="576"/>
      <c r="BE33" s="576"/>
      <c r="BF33" s="576"/>
      <c r="BG33" s="576"/>
      <c r="BH33" s="577"/>
      <c r="BI33" s="603" t="s">
        <v>574</v>
      </c>
      <c r="BJ33" s="604"/>
      <c r="BK33" s="604"/>
      <c r="BL33" s="604"/>
      <c r="BM33" s="604"/>
      <c r="BN33" s="604"/>
      <c r="BO33" s="604"/>
      <c r="BP33" s="604"/>
      <c r="BQ33" s="604"/>
      <c r="BR33" s="605"/>
    </row>
    <row r="34" spans="1:70" x14ac:dyDescent="0.15">
      <c r="A34" s="615"/>
      <c r="B34" s="616"/>
      <c r="C34" s="616"/>
      <c r="D34" s="616"/>
      <c r="E34" s="616"/>
      <c r="F34" s="616"/>
      <c r="G34" s="617"/>
      <c r="H34" s="615"/>
      <c r="I34" s="616"/>
      <c r="J34" s="616"/>
      <c r="K34" s="616"/>
      <c r="L34" s="616"/>
      <c r="M34" s="616"/>
      <c r="N34" s="616"/>
      <c r="O34" s="617"/>
      <c r="P34" s="606"/>
      <c r="Q34" s="607"/>
      <c r="R34" s="607"/>
      <c r="S34" s="607"/>
      <c r="T34" s="607"/>
      <c r="U34" s="607"/>
      <c r="V34" s="608"/>
      <c r="W34" s="606"/>
      <c r="X34" s="607"/>
      <c r="Y34" s="607"/>
      <c r="Z34" s="607"/>
      <c r="AA34" s="607"/>
      <c r="AB34" s="607"/>
      <c r="AC34" s="607"/>
      <c r="AD34" s="607"/>
      <c r="AE34" s="607"/>
      <c r="AF34" s="607"/>
      <c r="AG34" s="607"/>
      <c r="AH34" s="607"/>
      <c r="AI34" s="607"/>
      <c r="AJ34" s="607"/>
      <c r="AK34" s="607"/>
      <c r="AL34" s="607"/>
      <c r="AM34" s="608"/>
      <c r="AN34" s="600"/>
      <c r="AO34" s="601"/>
      <c r="AP34" s="601"/>
      <c r="AQ34" s="601"/>
      <c r="AR34" s="601"/>
      <c r="AS34" s="601"/>
      <c r="AT34" s="602"/>
      <c r="AU34" s="600"/>
      <c r="AV34" s="601"/>
      <c r="AW34" s="601"/>
      <c r="AX34" s="601"/>
      <c r="AY34" s="601"/>
      <c r="AZ34" s="601"/>
      <c r="BA34" s="602"/>
      <c r="BB34" s="578"/>
      <c r="BC34" s="579"/>
      <c r="BD34" s="579"/>
      <c r="BE34" s="579"/>
      <c r="BF34" s="579"/>
      <c r="BG34" s="579"/>
      <c r="BH34" s="580"/>
      <c r="BI34" s="606"/>
      <c r="BJ34" s="607"/>
      <c r="BK34" s="607"/>
      <c r="BL34" s="607"/>
      <c r="BM34" s="607"/>
      <c r="BN34" s="607"/>
      <c r="BO34" s="607"/>
      <c r="BP34" s="607"/>
      <c r="BQ34" s="607"/>
      <c r="BR34" s="608"/>
    </row>
    <row r="35" spans="1:70" x14ac:dyDescent="0.15">
      <c r="A35" s="615"/>
      <c r="B35" s="616"/>
      <c r="C35" s="616"/>
      <c r="D35" s="616"/>
      <c r="E35" s="616"/>
      <c r="F35" s="616"/>
      <c r="G35" s="617"/>
      <c r="H35" s="615"/>
      <c r="I35" s="616"/>
      <c r="J35" s="616"/>
      <c r="K35" s="616"/>
      <c r="L35" s="616"/>
      <c r="M35" s="616"/>
      <c r="N35" s="616"/>
      <c r="O35" s="617"/>
      <c r="P35" s="603" t="s">
        <v>575</v>
      </c>
      <c r="Q35" s="604"/>
      <c r="R35" s="604"/>
      <c r="S35" s="604"/>
      <c r="T35" s="604"/>
      <c r="U35" s="604"/>
      <c r="V35" s="605"/>
      <c r="W35" s="603" t="s">
        <v>576</v>
      </c>
      <c r="X35" s="604"/>
      <c r="Y35" s="604"/>
      <c r="Z35" s="604"/>
      <c r="AA35" s="604"/>
      <c r="AB35" s="604"/>
      <c r="AC35" s="604"/>
      <c r="AD35" s="604"/>
      <c r="AE35" s="604"/>
      <c r="AF35" s="604"/>
      <c r="AG35" s="604"/>
      <c r="AH35" s="604"/>
      <c r="AI35" s="604"/>
      <c r="AJ35" s="604"/>
      <c r="AK35" s="604"/>
      <c r="AL35" s="604"/>
      <c r="AM35" s="605"/>
      <c r="AN35" s="597"/>
      <c r="AO35" s="598"/>
      <c r="AP35" s="598"/>
      <c r="AQ35" s="598"/>
      <c r="AR35" s="598"/>
      <c r="AS35" s="598"/>
      <c r="AT35" s="599"/>
      <c r="AU35" s="597"/>
      <c r="AV35" s="598"/>
      <c r="AW35" s="598"/>
      <c r="AX35" s="598"/>
      <c r="AY35" s="598"/>
      <c r="AZ35" s="598"/>
      <c r="BA35" s="599"/>
      <c r="BB35" s="575" t="s">
        <v>562</v>
      </c>
      <c r="BC35" s="576"/>
      <c r="BD35" s="576"/>
      <c r="BE35" s="576"/>
      <c r="BF35" s="576"/>
      <c r="BG35" s="576"/>
      <c r="BH35" s="577"/>
      <c r="BI35" s="603" t="s">
        <v>574</v>
      </c>
      <c r="BJ35" s="604"/>
      <c r="BK35" s="604"/>
      <c r="BL35" s="604"/>
      <c r="BM35" s="604"/>
      <c r="BN35" s="604"/>
      <c r="BO35" s="604"/>
      <c r="BP35" s="604"/>
      <c r="BQ35" s="604"/>
      <c r="BR35" s="605"/>
    </row>
    <row r="36" spans="1:70" x14ac:dyDescent="0.15">
      <c r="A36" s="615"/>
      <c r="B36" s="616"/>
      <c r="C36" s="616"/>
      <c r="D36" s="616"/>
      <c r="E36" s="616"/>
      <c r="F36" s="616"/>
      <c r="G36" s="617"/>
      <c r="H36" s="606"/>
      <c r="I36" s="607"/>
      <c r="J36" s="607"/>
      <c r="K36" s="607"/>
      <c r="L36" s="607"/>
      <c r="M36" s="607"/>
      <c r="N36" s="607"/>
      <c r="O36" s="608"/>
      <c r="P36" s="606"/>
      <c r="Q36" s="607"/>
      <c r="R36" s="607"/>
      <c r="S36" s="607"/>
      <c r="T36" s="607"/>
      <c r="U36" s="607"/>
      <c r="V36" s="608"/>
      <c r="W36" s="606"/>
      <c r="X36" s="607"/>
      <c r="Y36" s="607"/>
      <c r="Z36" s="607"/>
      <c r="AA36" s="607"/>
      <c r="AB36" s="607"/>
      <c r="AC36" s="607"/>
      <c r="AD36" s="607"/>
      <c r="AE36" s="607"/>
      <c r="AF36" s="607"/>
      <c r="AG36" s="607"/>
      <c r="AH36" s="607"/>
      <c r="AI36" s="607"/>
      <c r="AJ36" s="607"/>
      <c r="AK36" s="607"/>
      <c r="AL36" s="607"/>
      <c r="AM36" s="608"/>
      <c r="AN36" s="600"/>
      <c r="AO36" s="601"/>
      <c r="AP36" s="601"/>
      <c r="AQ36" s="601"/>
      <c r="AR36" s="601"/>
      <c r="AS36" s="601"/>
      <c r="AT36" s="602"/>
      <c r="AU36" s="600"/>
      <c r="AV36" s="601"/>
      <c r="AW36" s="601"/>
      <c r="AX36" s="601"/>
      <c r="AY36" s="601"/>
      <c r="AZ36" s="601"/>
      <c r="BA36" s="602"/>
      <c r="BB36" s="578"/>
      <c r="BC36" s="579"/>
      <c r="BD36" s="579"/>
      <c r="BE36" s="579"/>
      <c r="BF36" s="579"/>
      <c r="BG36" s="579"/>
      <c r="BH36" s="580"/>
      <c r="BI36" s="606"/>
      <c r="BJ36" s="607"/>
      <c r="BK36" s="607"/>
      <c r="BL36" s="607"/>
      <c r="BM36" s="607"/>
      <c r="BN36" s="607"/>
      <c r="BO36" s="607"/>
      <c r="BP36" s="607"/>
      <c r="BQ36" s="607"/>
      <c r="BR36" s="608"/>
    </row>
    <row r="37" spans="1:70" x14ac:dyDescent="0.15">
      <c r="A37" s="615"/>
      <c r="B37" s="616"/>
      <c r="C37" s="616"/>
      <c r="D37" s="616"/>
      <c r="E37" s="616"/>
      <c r="F37" s="616"/>
      <c r="G37" s="617"/>
      <c r="H37" s="603" t="s">
        <v>288</v>
      </c>
      <c r="I37" s="604"/>
      <c r="J37" s="604"/>
      <c r="K37" s="604"/>
      <c r="L37" s="604"/>
      <c r="M37" s="604"/>
      <c r="N37" s="604"/>
      <c r="O37" s="605"/>
      <c r="P37" s="603" t="s">
        <v>395</v>
      </c>
      <c r="Q37" s="604"/>
      <c r="R37" s="604"/>
      <c r="S37" s="604"/>
      <c r="T37" s="604"/>
      <c r="U37" s="604"/>
      <c r="V37" s="605"/>
      <c r="W37" s="603" t="s">
        <v>580</v>
      </c>
      <c r="X37" s="604"/>
      <c r="Y37" s="604"/>
      <c r="Z37" s="604"/>
      <c r="AA37" s="604"/>
      <c r="AB37" s="604"/>
      <c r="AC37" s="604"/>
      <c r="AD37" s="604"/>
      <c r="AE37" s="604"/>
      <c r="AF37" s="604"/>
      <c r="AG37" s="604"/>
      <c r="AH37" s="604"/>
      <c r="AI37" s="604"/>
      <c r="AJ37" s="604"/>
      <c r="AK37" s="604"/>
      <c r="AL37" s="604"/>
      <c r="AM37" s="605"/>
      <c r="AN37" s="597"/>
      <c r="AO37" s="598"/>
      <c r="AP37" s="598"/>
      <c r="AQ37" s="598"/>
      <c r="AR37" s="598"/>
      <c r="AS37" s="598"/>
      <c r="AT37" s="599"/>
      <c r="AU37" s="597"/>
      <c r="AV37" s="598"/>
      <c r="AW37" s="598"/>
      <c r="AX37" s="598"/>
      <c r="AY37" s="598"/>
      <c r="AZ37" s="598"/>
      <c r="BA37" s="599"/>
      <c r="BB37" s="575" t="s">
        <v>562</v>
      </c>
      <c r="BC37" s="576"/>
      <c r="BD37" s="576"/>
      <c r="BE37" s="576"/>
      <c r="BF37" s="576"/>
      <c r="BG37" s="576"/>
      <c r="BH37" s="577"/>
      <c r="BI37" s="603" t="s">
        <v>581</v>
      </c>
      <c r="BJ37" s="604"/>
      <c r="BK37" s="604"/>
      <c r="BL37" s="604"/>
      <c r="BM37" s="604"/>
      <c r="BN37" s="604"/>
      <c r="BO37" s="604"/>
      <c r="BP37" s="604"/>
      <c r="BQ37" s="604"/>
      <c r="BR37" s="605"/>
    </row>
    <row r="38" spans="1:70" x14ac:dyDescent="0.15">
      <c r="A38" s="615"/>
      <c r="B38" s="616"/>
      <c r="C38" s="616"/>
      <c r="D38" s="616"/>
      <c r="E38" s="616"/>
      <c r="F38" s="616"/>
      <c r="G38" s="617"/>
      <c r="H38" s="615"/>
      <c r="I38" s="616"/>
      <c r="J38" s="616"/>
      <c r="K38" s="616"/>
      <c r="L38" s="616"/>
      <c r="M38" s="616"/>
      <c r="N38" s="616"/>
      <c r="O38" s="617"/>
      <c r="P38" s="606"/>
      <c r="Q38" s="607"/>
      <c r="R38" s="607"/>
      <c r="S38" s="607"/>
      <c r="T38" s="607"/>
      <c r="U38" s="607"/>
      <c r="V38" s="608"/>
      <c r="W38" s="606"/>
      <c r="X38" s="607"/>
      <c r="Y38" s="607"/>
      <c r="Z38" s="607"/>
      <c r="AA38" s="607"/>
      <c r="AB38" s="607"/>
      <c r="AC38" s="607"/>
      <c r="AD38" s="607"/>
      <c r="AE38" s="607"/>
      <c r="AF38" s="607"/>
      <c r="AG38" s="607"/>
      <c r="AH38" s="607"/>
      <c r="AI38" s="607"/>
      <c r="AJ38" s="607"/>
      <c r="AK38" s="607"/>
      <c r="AL38" s="607"/>
      <c r="AM38" s="608"/>
      <c r="AN38" s="600"/>
      <c r="AO38" s="601"/>
      <c r="AP38" s="601"/>
      <c r="AQ38" s="601"/>
      <c r="AR38" s="601"/>
      <c r="AS38" s="601"/>
      <c r="AT38" s="602"/>
      <c r="AU38" s="600"/>
      <c r="AV38" s="601"/>
      <c r="AW38" s="601"/>
      <c r="AX38" s="601"/>
      <c r="AY38" s="601"/>
      <c r="AZ38" s="601"/>
      <c r="BA38" s="602"/>
      <c r="BB38" s="578"/>
      <c r="BC38" s="579"/>
      <c r="BD38" s="579"/>
      <c r="BE38" s="579"/>
      <c r="BF38" s="579"/>
      <c r="BG38" s="579"/>
      <c r="BH38" s="580"/>
      <c r="BI38" s="606"/>
      <c r="BJ38" s="607"/>
      <c r="BK38" s="607"/>
      <c r="BL38" s="607"/>
      <c r="BM38" s="607"/>
      <c r="BN38" s="607"/>
      <c r="BO38" s="607"/>
      <c r="BP38" s="607"/>
      <c r="BQ38" s="607"/>
      <c r="BR38" s="608"/>
    </row>
    <row r="39" spans="1:70" x14ac:dyDescent="0.15">
      <c r="A39" s="615"/>
      <c r="B39" s="616"/>
      <c r="C39" s="616"/>
      <c r="D39" s="616"/>
      <c r="E39" s="616"/>
      <c r="F39" s="616"/>
      <c r="G39" s="617"/>
      <c r="H39" s="615"/>
      <c r="I39" s="616"/>
      <c r="J39" s="616"/>
      <c r="K39" s="616"/>
      <c r="L39" s="616"/>
      <c r="M39" s="616"/>
      <c r="N39" s="616"/>
      <c r="O39" s="617"/>
      <c r="P39" s="603" t="s">
        <v>396</v>
      </c>
      <c r="Q39" s="604"/>
      <c r="R39" s="604"/>
      <c r="S39" s="604"/>
      <c r="T39" s="604"/>
      <c r="U39" s="604"/>
      <c r="V39" s="605"/>
      <c r="W39" s="603" t="s">
        <v>582</v>
      </c>
      <c r="X39" s="604"/>
      <c r="Y39" s="604"/>
      <c r="Z39" s="604"/>
      <c r="AA39" s="604"/>
      <c r="AB39" s="604"/>
      <c r="AC39" s="604"/>
      <c r="AD39" s="604"/>
      <c r="AE39" s="604"/>
      <c r="AF39" s="604"/>
      <c r="AG39" s="604"/>
      <c r="AH39" s="604"/>
      <c r="AI39" s="604"/>
      <c r="AJ39" s="604"/>
      <c r="AK39" s="604"/>
      <c r="AL39" s="604"/>
      <c r="AM39" s="605"/>
      <c r="AN39" s="597"/>
      <c r="AO39" s="598"/>
      <c r="AP39" s="598"/>
      <c r="AQ39" s="598"/>
      <c r="AR39" s="598"/>
      <c r="AS39" s="598"/>
      <c r="AT39" s="599"/>
      <c r="AU39" s="597"/>
      <c r="AV39" s="598"/>
      <c r="AW39" s="598"/>
      <c r="AX39" s="598"/>
      <c r="AY39" s="598"/>
      <c r="AZ39" s="598"/>
      <c r="BA39" s="599"/>
      <c r="BB39" s="575" t="s">
        <v>562</v>
      </c>
      <c r="BC39" s="576"/>
      <c r="BD39" s="576"/>
      <c r="BE39" s="576"/>
      <c r="BF39" s="576"/>
      <c r="BG39" s="576"/>
      <c r="BH39" s="577"/>
      <c r="BI39" s="603" t="s">
        <v>581</v>
      </c>
      <c r="BJ39" s="604"/>
      <c r="BK39" s="604"/>
      <c r="BL39" s="604"/>
      <c r="BM39" s="604"/>
      <c r="BN39" s="604"/>
      <c r="BO39" s="604"/>
      <c r="BP39" s="604"/>
      <c r="BQ39" s="604"/>
      <c r="BR39" s="605"/>
    </row>
    <row r="40" spans="1:70" x14ac:dyDescent="0.15">
      <c r="A40" s="615"/>
      <c r="B40" s="616"/>
      <c r="C40" s="616"/>
      <c r="D40" s="616"/>
      <c r="E40" s="616"/>
      <c r="F40" s="616"/>
      <c r="G40" s="617"/>
      <c r="H40" s="606"/>
      <c r="I40" s="607"/>
      <c r="J40" s="607"/>
      <c r="K40" s="607"/>
      <c r="L40" s="607"/>
      <c r="M40" s="607"/>
      <c r="N40" s="607"/>
      <c r="O40" s="608"/>
      <c r="P40" s="606"/>
      <c r="Q40" s="607"/>
      <c r="R40" s="607"/>
      <c r="S40" s="607"/>
      <c r="T40" s="607"/>
      <c r="U40" s="607"/>
      <c r="V40" s="608"/>
      <c r="W40" s="606"/>
      <c r="X40" s="607"/>
      <c r="Y40" s="607"/>
      <c r="Z40" s="607"/>
      <c r="AA40" s="607"/>
      <c r="AB40" s="607"/>
      <c r="AC40" s="607"/>
      <c r="AD40" s="607"/>
      <c r="AE40" s="607"/>
      <c r="AF40" s="607"/>
      <c r="AG40" s="607"/>
      <c r="AH40" s="607"/>
      <c r="AI40" s="607"/>
      <c r="AJ40" s="607"/>
      <c r="AK40" s="607"/>
      <c r="AL40" s="607"/>
      <c r="AM40" s="608"/>
      <c r="AN40" s="600"/>
      <c r="AO40" s="601"/>
      <c r="AP40" s="601"/>
      <c r="AQ40" s="601"/>
      <c r="AR40" s="601"/>
      <c r="AS40" s="601"/>
      <c r="AT40" s="602"/>
      <c r="AU40" s="600"/>
      <c r="AV40" s="601"/>
      <c r="AW40" s="601"/>
      <c r="AX40" s="601"/>
      <c r="AY40" s="601"/>
      <c r="AZ40" s="601"/>
      <c r="BA40" s="602"/>
      <c r="BB40" s="578"/>
      <c r="BC40" s="579"/>
      <c r="BD40" s="579"/>
      <c r="BE40" s="579"/>
      <c r="BF40" s="579"/>
      <c r="BG40" s="579"/>
      <c r="BH40" s="580"/>
      <c r="BI40" s="606"/>
      <c r="BJ40" s="607"/>
      <c r="BK40" s="607"/>
      <c r="BL40" s="607"/>
      <c r="BM40" s="607"/>
      <c r="BN40" s="607"/>
      <c r="BO40" s="607"/>
      <c r="BP40" s="607"/>
      <c r="BQ40" s="607"/>
      <c r="BR40" s="608"/>
    </row>
    <row r="41" spans="1:70" x14ac:dyDescent="0.15">
      <c r="A41" s="603" t="s">
        <v>584</v>
      </c>
      <c r="B41" s="604"/>
      <c r="C41" s="604"/>
      <c r="D41" s="604"/>
      <c r="E41" s="604"/>
      <c r="F41" s="604"/>
      <c r="G41" s="605"/>
      <c r="H41" s="603" t="s">
        <v>201</v>
      </c>
      <c r="I41" s="604"/>
      <c r="J41" s="604"/>
      <c r="K41" s="604"/>
      <c r="L41" s="604"/>
      <c r="M41" s="604"/>
      <c r="N41" s="604"/>
      <c r="O41" s="605"/>
      <c r="P41" s="603" t="s">
        <v>572</v>
      </c>
      <c r="Q41" s="604"/>
      <c r="R41" s="604"/>
      <c r="S41" s="604"/>
      <c r="T41" s="604"/>
      <c r="U41" s="604"/>
      <c r="V41" s="605"/>
      <c r="W41" s="603" t="s">
        <v>202</v>
      </c>
      <c r="X41" s="604"/>
      <c r="Y41" s="604"/>
      <c r="Z41" s="604"/>
      <c r="AA41" s="604"/>
      <c r="AB41" s="604"/>
      <c r="AC41" s="604"/>
      <c r="AD41" s="604"/>
      <c r="AE41" s="604"/>
      <c r="AF41" s="604"/>
      <c r="AG41" s="604"/>
      <c r="AH41" s="604"/>
      <c r="AI41" s="604"/>
      <c r="AJ41" s="604"/>
      <c r="AK41" s="604"/>
      <c r="AL41" s="604"/>
      <c r="AM41" s="605"/>
      <c r="AN41" s="597"/>
      <c r="AO41" s="598"/>
      <c r="AP41" s="598"/>
      <c r="AQ41" s="598"/>
      <c r="AR41" s="598"/>
      <c r="AS41" s="598"/>
      <c r="AT41" s="599"/>
      <c r="AU41" s="597"/>
      <c r="AV41" s="598"/>
      <c r="AW41" s="598"/>
      <c r="AX41" s="598"/>
      <c r="AY41" s="598"/>
      <c r="AZ41" s="598"/>
      <c r="BA41" s="599"/>
      <c r="BB41" s="575" t="s">
        <v>562</v>
      </c>
      <c r="BC41" s="576"/>
      <c r="BD41" s="576"/>
      <c r="BE41" s="576"/>
      <c r="BF41" s="576"/>
      <c r="BG41" s="576"/>
      <c r="BH41" s="577"/>
      <c r="BI41" s="603" t="s">
        <v>574</v>
      </c>
      <c r="BJ41" s="604"/>
      <c r="BK41" s="604"/>
      <c r="BL41" s="604"/>
      <c r="BM41" s="604"/>
      <c r="BN41" s="604"/>
      <c r="BO41" s="604"/>
      <c r="BP41" s="604"/>
      <c r="BQ41" s="604"/>
      <c r="BR41" s="605"/>
    </row>
    <row r="42" spans="1:70" x14ac:dyDescent="0.15">
      <c r="A42" s="615"/>
      <c r="B42" s="616"/>
      <c r="C42" s="616"/>
      <c r="D42" s="616"/>
      <c r="E42" s="616"/>
      <c r="F42" s="616"/>
      <c r="G42" s="617"/>
      <c r="H42" s="615"/>
      <c r="I42" s="616"/>
      <c r="J42" s="616"/>
      <c r="K42" s="616"/>
      <c r="L42" s="616"/>
      <c r="M42" s="616"/>
      <c r="N42" s="616"/>
      <c r="O42" s="617"/>
      <c r="P42" s="606"/>
      <c r="Q42" s="607"/>
      <c r="R42" s="607"/>
      <c r="S42" s="607"/>
      <c r="T42" s="607"/>
      <c r="U42" s="607"/>
      <c r="V42" s="608"/>
      <c r="W42" s="606"/>
      <c r="X42" s="607"/>
      <c r="Y42" s="607"/>
      <c r="Z42" s="607"/>
      <c r="AA42" s="607"/>
      <c r="AB42" s="607"/>
      <c r="AC42" s="607"/>
      <c r="AD42" s="607"/>
      <c r="AE42" s="607"/>
      <c r="AF42" s="607"/>
      <c r="AG42" s="607"/>
      <c r="AH42" s="607"/>
      <c r="AI42" s="607"/>
      <c r="AJ42" s="607"/>
      <c r="AK42" s="607"/>
      <c r="AL42" s="607"/>
      <c r="AM42" s="608"/>
      <c r="AN42" s="600"/>
      <c r="AO42" s="601"/>
      <c r="AP42" s="601"/>
      <c r="AQ42" s="601"/>
      <c r="AR42" s="601"/>
      <c r="AS42" s="601"/>
      <c r="AT42" s="602"/>
      <c r="AU42" s="600"/>
      <c r="AV42" s="601"/>
      <c r="AW42" s="601"/>
      <c r="AX42" s="601"/>
      <c r="AY42" s="601"/>
      <c r="AZ42" s="601"/>
      <c r="BA42" s="602"/>
      <c r="BB42" s="578"/>
      <c r="BC42" s="579"/>
      <c r="BD42" s="579"/>
      <c r="BE42" s="579"/>
      <c r="BF42" s="579"/>
      <c r="BG42" s="579"/>
      <c r="BH42" s="580"/>
      <c r="BI42" s="606"/>
      <c r="BJ42" s="607"/>
      <c r="BK42" s="607"/>
      <c r="BL42" s="607"/>
      <c r="BM42" s="607"/>
      <c r="BN42" s="607"/>
      <c r="BO42" s="607"/>
      <c r="BP42" s="607"/>
      <c r="BQ42" s="607"/>
      <c r="BR42" s="608"/>
    </row>
    <row r="43" spans="1:70" x14ac:dyDescent="0.15">
      <c r="A43" s="615"/>
      <c r="B43" s="616"/>
      <c r="C43" s="616"/>
      <c r="D43" s="616"/>
      <c r="E43" s="616"/>
      <c r="F43" s="616"/>
      <c r="G43" s="617"/>
      <c r="H43" s="615"/>
      <c r="I43" s="616"/>
      <c r="J43" s="616"/>
      <c r="K43" s="616"/>
      <c r="L43" s="616"/>
      <c r="M43" s="616"/>
      <c r="N43" s="616"/>
      <c r="O43" s="617"/>
      <c r="P43" s="603" t="s">
        <v>575</v>
      </c>
      <c r="Q43" s="604"/>
      <c r="R43" s="604"/>
      <c r="S43" s="604"/>
      <c r="T43" s="604"/>
      <c r="U43" s="604"/>
      <c r="V43" s="605"/>
      <c r="W43" s="603" t="s">
        <v>576</v>
      </c>
      <c r="X43" s="604"/>
      <c r="Y43" s="604"/>
      <c r="Z43" s="604"/>
      <c r="AA43" s="604"/>
      <c r="AB43" s="604"/>
      <c r="AC43" s="604"/>
      <c r="AD43" s="604"/>
      <c r="AE43" s="604"/>
      <c r="AF43" s="604"/>
      <c r="AG43" s="604"/>
      <c r="AH43" s="604"/>
      <c r="AI43" s="604"/>
      <c r="AJ43" s="604"/>
      <c r="AK43" s="604"/>
      <c r="AL43" s="604"/>
      <c r="AM43" s="605"/>
      <c r="AN43" s="597"/>
      <c r="AO43" s="598"/>
      <c r="AP43" s="598"/>
      <c r="AQ43" s="598"/>
      <c r="AR43" s="598"/>
      <c r="AS43" s="598"/>
      <c r="AT43" s="599"/>
      <c r="AU43" s="597"/>
      <c r="AV43" s="598"/>
      <c r="AW43" s="598"/>
      <c r="AX43" s="598"/>
      <c r="AY43" s="598"/>
      <c r="AZ43" s="598"/>
      <c r="BA43" s="599"/>
      <c r="BB43" s="575" t="s">
        <v>562</v>
      </c>
      <c r="BC43" s="576"/>
      <c r="BD43" s="576"/>
      <c r="BE43" s="576"/>
      <c r="BF43" s="576"/>
      <c r="BG43" s="576"/>
      <c r="BH43" s="577"/>
      <c r="BI43" s="603" t="s">
        <v>574</v>
      </c>
      <c r="BJ43" s="604"/>
      <c r="BK43" s="604"/>
      <c r="BL43" s="604"/>
      <c r="BM43" s="604"/>
      <c r="BN43" s="604"/>
      <c r="BO43" s="604"/>
      <c r="BP43" s="604"/>
      <c r="BQ43" s="604"/>
      <c r="BR43" s="605"/>
    </row>
    <row r="44" spans="1:70" x14ac:dyDescent="0.15">
      <c r="A44" s="615"/>
      <c r="B44" s="616"/>
      <c r="C44" s="616"/>
      <c r="D44" s="616"/>
      <c r="E44" s="616"/>
      <c r="F44" s="616"/>
      <c r="G44" s="617"/>
      <c r="H44" s="606"/>
      <c r="I44" s="607"/>
      <c r="J44" s="607"/>
      <c r="K44" s="607"/>
      <c r="L44" s="607"/>
      <c r="M44" s="607"/>
      <c r="N44" s="607"/>
      <c r="O44" s="608"/>
      <c r="P44" s="606"/>
      <c r="Q44" s="607"/>
      <c r="R44" s="607"/>
      <c r="S44" s="607"/>
      <c r="T44" s="607"/>
      <c r="U44" s="607"/>
      <c r="V44" s="608"/>
      <c r="W44" s="606"/>
      <c r="X44" s="607"/>
      <c r="Y44" s="607"/>
      <c r="Z44" s="607"/>
      <c r="AA44" s="607"/>
      <c r="AB44" s="607"/>
      <c r="AC44" s="607"/>
      <c r="AD44" s="607"/>
      <c r="AE44" s="607"/>
      <c r="AF44" s="607"/>
      <c r="AG44" s="607"/>
      <c r="AH44" s="607"/>
      <c r="AI44" s="607"/>
      <c r="AJ44" s="607"/>
      <c r="AK44" s="607"/>
      <c r="AL44" s="607"/>
      <c r="AM44" s="608"/>
      <c r="AN44" s="600"/>
      <c r="AO44" s="601"/>
      <c r="AP44" s="601"/>
      <c r="AQ44" s="601"/>
      <c r="AR44" s="601"/>
      <c r="AS44" s="601"/>
      <c r="AT44" s="602"/>
      <c r="AU44" s="600"/>
      <c r="AV44" s="601"/>
      <c r="AW44" s="601"/>
      <c r="AX44" s="601"/>
      <c r="AY44" s="601"/>
      <c r="AZ44" s="601"/>
      <c r="BA44" s="602"/>
      <c r="BB44" s="578"/>
      <c r="BC44" s="579"/>
      <c r="BD44" s="579"/>
      <c r="BE44" s="579"/>
      <c r="BF44" s="579"/>
      <c r="BG44" s="579"/>
      <c r="BH44" s="580"/>
      <c r="BI44" s="606"/>
      <c r="BJ44" s="607"/>
      <c r="BK44" s="607"/>
      <c r="BL44" s="607"/>
      <c r="BM44" s="607"/>
      <c r="BN44" s="607"/>
      <c r="BO44" s="607"/>
      <c r="BP44" s="607"/>
      <c r="BQ44" s="607"/>
      <c r="BR44" s="608"/>
    </row>
    <row r="45" spans="1:70" x14ac:dyDescent="0.15">
      <c r="A45" s="615"/>
      <c r="B45" s="616"/>
      <c r="C45" s="616"/>
      <c r="D45" s="616"/>
      <c r="E45" s="616"/>
      <c r="F45" s="616"/>
      <c r="G45" s="617"/>
      <c r="H45" s="603" t="s">
        <v>585</v>
      </c>
      <c r="I45" s="604"/>
      <c r="J45" s="604"/>
      <c r="K45" s="604"/>
      <c r="L45" s="604"/>
      <c r="M45" s="604"/>
      <c r="N45" s="604"/>
      <c r="O45" s="605"/>
      <c r="P45" s="603" t="s">
        <v>395</v>
      </c>
      <c r="Q45" s="604"/>
      <c r="R45" s="604"/>
      <c r="S45" s="604"/>
      <c r="T45" s="604"/>
      <c r="U45" s="604"/>
      <c r="V45" s="605"/>
      <c r="W45" s="603" t="s">
        <v>586</v>
      </c>
      <c r="X45" s="604"/>
      <c r="Y45" s="604"/>
      <c r="Z45" s="604"/>
      <c r="AA45" s="604"/>
      <c r="AB45" s="604"/>
      <c r="AC45" s="604"/>
      <c r="AD45" s="604"/>
      <c r="AE45" s="604"/>
      <c r="AF45" s="604"/>
      <c r="AG45" s="604"/>
      <c r="AH45" s="604"/>
      <c r="AI45" s="604"/>
      <c r="AJ45" s="604"/>
      <c r="AK45" s="604"/>
      <c r="AL45" s="604"/>
      <c r="AM45" s="605"/>
      <c r="AN45" s="597">
        <v>4.0419999999999998</v>
      </c>
      <c r="AO45" s="598"/>
      <c r="AP45" s="598"/>
      <c r="AQ45" s="598"/>
      <c r="AR45" s="598"/>
      <c r="AS45" s="598"/>
      <c r="AT45" s="599"/>
      <c r="AU45" s="597">
        <v>33.165999999999997</v>
      </c>
      <c r="AV45" s="598"/>
      <c r="AW45" s="598"/>
      <c r="AX45" s="598"/>
      <c r="AY45" s="598"/>
      <c r="AZ45" s="598"/>
      <c r="BA45" s="599"/>
      <c r="BB45" s="575" t="s">
        <v>562</v>
      </c>
      <c r="BC45" s="576"/>
      <c r="BD45" s="576"/>
      <c r="BE45" s="576"/>
      <c r="BF45" s="576"/>
      <c r="BG45" s="576"/>
      <c r="BH45" s="577"/>
      <c r="BI45" s="603" t="s">
        <v>581</v>
      </c>
      <c r="BJ45" s="604"/>
      <c r="BK45" s="604"/>
      <c r="BL45" s="604"/>
      <c r="BM45" s="604"/>
      <c r="BN45" s="604"/>
      <c r="BO45" s="604"/>
      <c r="BP45" s="604"/>
      <c r="BQ45" s="604"/>
      <c r="BR45" s="605"/>
    </row>
    <row r="46" spans="1:70" x14ac:dyDescent="0.15">
      <c r="A46" s="615"/>
      <c r="B46" s="616"/>
      <c r="C46" s="616"/>
      <c r="D46" s="616"/>
      <c r="E46" s="616"/>
      <c r="F46" s="616"/>
      <c r="G46" s="617"/>
      <c r="H46" s="615"/>
      <c r="I46" s="616"/>
      <c r="J46" s="616"/>
      <c r="K46" s="616"/>
      <c r="L46" s="616"/>
      <c r="M46" s="616"/>
      <c r="N46" s="616"/>
      <c r="O46" s="617"/>
      <c r="P46" s="606"/>
      <c r="Q46" s="607"/>
      <c r="R46" s="607"/>
      <c r="S46" s="607"/>
      <c r="T46" s="607"/>
      <c r="U46" s="607"/>
      <c r="V46" s="608"/>
      <c r="W46" s="606"/>
      <c r="X46" s="607"/>
      <c r="Y46" s="607"/>
      <c r="Z46" s="607"/>
      <c r="AA46" s="607"/>
      <c r="AB46" s="607"/>
      <c r="AC46" s="607"/>
      <c r="AD46" s="607"/>
      <c r="AE46" s="607"/>
      <c r="AF46" s="607"/>
      <c r="AG46" s="607"/>
      <c r="AH46" s="607"/>
      <c r="AI46" s="607"/>
      <c r="AJ46" s="607"/>
      <c r="AK46" s="607"/>
      <c r="AL46" s="607"/>
      <c r="AM46" s="608"/>
      <c r="AN46" s="600"/>
      <c r="AO46" s="601"/>
      <c r="AP46" s="601"/>
      <c r="AQ46" s="601"/>
      <c r="AR46" s="601"/>
      <c r="AS46" s="601"/>
      <c r="AT46" s="602"/>
      <c r="AU46" s="600"/>
      <c r="AV46" s="601"/>
      <c r="AW46" s="601"/>
      <c r="AX46" s="601"/>
      <c r="AY46" s="601"/>
      <c r="AZ46" s="601"/>
      <c r="BA46" s="602"/>
      <c r="BB46" s="578"/>
      <c r="BC46" s="579"/>
      <c r="BD46" s="579"/>
      <c r="BE46" s="579"/>
      <c r="BF46" s="579"/>
      <c r="BG46" s="579"/>
      <c r="BH46" s="580"/>
      <c r="BI46" s="606"/>
      <c r="BJ46" s="607"/>
      <c r="BK46" s="607"/>
      <c r="BL46" s="607"/>
      <c r="BM46" s="607"/>
      <c r="BN46" s="607"/>
      <c r="BO46" s="607"/>
      <c r="BP46" s="607"/>
      <c r="BQ46" s="607"/>
      <c r="BR46" s="608"/>
    </row>
    <row r="47" spans="1:70" x14ac:dyDescent="0.15">
      <c r="A47" s="615"/>
      <c r="B47" s="616"/>
      <c r="C47" s="616"/>
      <c r="D47" s="616"/>
      <c r="E47" s="616"/>
      <c r="F47" s="616"/>
      <c r="G47" s="617"/>
      <c r="H47" s="615"/>
      <c r="I47" s="616"/>
      <c r="J47" s="616"/>
      <c r="K47" s="616"/>
      <c r="L47" s="616"/>
      <c r="M47" s="616"/>
      <c r="N47" s="616"/>
      <c r="O47" s="617"/>
      <c r="P47" s="603" t="s">
        <v>396</v>
      </c>
      <c r="Q47" s="604"/>
      <c r="R47" s="604"/>
      <c r="S47" s="604"/>
      <c r="T47" s="604"/>
      <c r="U47" s="604"/>
      <c r="V47" s="605"/>
      <c r="W47" s="603" t="s">
        <v>582</v>
      </c>
      <c r="X47" s="604"/>
      <c r="Y47" s="604"/>
      <c r="Z47" s="604"/>
      <c r="AA47" s="604"/>
      <c r="AB47" s="604"/>
      <c r="AC47" s="604"/>
      <c r="AD47" s="604"/>
      <c r="AE47" s="604"/>
      <c r="AF47" s="604"/>
      <c r="AG47" s="604"/>
      <c r="AH47" s="604"/>
      <c r="AI47" s="604"/>
      <c r="AJ47" s="604"/>
      <c r="AK47" s="604"/>
      <c r="AL47" s="604"/>
      <c r="AM47" s="605"/>
      <c r="AN47" s="597">
        <v>3.5999999999999997E-2</v>
      </c>
      <c r="AO47" s="598"/>
      <c r="AP47" s="598"/>
      <c r="AQ47" s="598"/>
      <c r="AR47" s="598"/>
      <c r="AS47" s="598"/>
      <c r="AT47" s="599"/>
      <c r="AU47" s="597">
        <v>0.76200000000000001</v>
      </c>
      <c r="AV47" s="598"/>
      <c r="AW47" s="598"/>
      <c r="AX47" s="598"/>
      <c r="AY47" s="598"/>
      <c r="AZ47" s="598"/>
      <c r="BA47" s="599"/>
      <c r="BB47" s="575" t="s">
        <v>562</v>
      </c>
      <c r="BC47" s="576"/>
      <c r="BD47" s="576"/>
      <c r="BE47" s="576"/>
      <c r="BF47" s="576"/>
      <c r="BG47" s="576"/>
      <c r="BH47" s="577"/>
      <c r="BI47" s="603" t="s">
        <v>581</v>
      </c>
      <c r="BJ47" s="604"/>
      <c r="BK47" s="604"/>
      <c r="BL47" s="604"/>
      <c r="BM47" s="604"/>
      <c r="BN47" s="604"/>
      <c r="BO47" s="604"/>
      <c r="BP47" s="604"/>
      <c r="BQ47" s="604"/>
      <c r="BR47" s="605"/>
    </row>
    <row r="48" spans="1:70" x14ac:dyDescent="0.15">
      <c r="A48" s="615"/>
      <c r="B48" s="616"/>
      <c r="C48" s="616"/>
      <c r="D48" s="616"/>
      <c r="E48" s="616"/>
      <c r="F48" s="616"/>
      <c r="G48" s="617"/>
      <c r="H48" s="606"/>
      <c r="I48" s="607"/>
      <c r="J48" s="607"/>
      <c r="K48" s="607"/>
      <c r="L48" s="607"/>
      <c r="M48" s="607"/>
      <c r="N48" s="607"/>
      <c r="O48" s="608"/>
      <c r="P48" s="606"/>
      <c r="Q48" s="607"/>
      <c r="R48" s="607"/>
      <c r="S48" s="607"/>
      <c r="T48" s="607"/>
      <c r="U48" s="607"/>
      <c r="V48" s="608"/>
      <c r="W48" s="606"/>
      <c r="X48" s="607"/>
      <c r="Y48" s="607"/>
      <c r="Z48" s="607"/>
      <c r="AA48" s="607"/>
      <c r="AB48" s="607"/>
      <c r="AC48" s="607"/>
      <c r="AD48" s="607"/>
      <c r="AE48" s="607"/>
      <c r="AF48" s="607"/>
      <c r="AG48" s="607"/>
      <c r="AH48" s="607"/>
      <c r="AI48" s="607"/>
      <c r="AJ48" s="607"/>
      <c r="AK48" s="607"/>
      <c r="AL48" s="607"/>
      <c r="AM48" s="608"/>
      <c r="AN48" s="600"/>
      <c r="AO48" s="601"/>
      <c r="AP48" s="601"/>
      <c r="AQ48" s="601"/>
      <c r="AR48" s="601"/>
      <c r="AS48" s="601"/>
      <c r="AT48" s="602"/>
      <c r="AU48" s="600"/>
      <c r="AV48" s="601"/>
      <c r="AW48" s="601"/>
      <c r="AX48" s="601"/>
      <c r="AY48" s="601"/>
      <c r="AZ48" s="601"/>
      <c r="BA48" s="602"/>
      <c r="BB48" s="578"/>
      <c r="BC48" s="579"/>
      <c r="BD48" s="579"/>
      <c r="BE48" s="579"/>
      <c r="BF48" s="579"/>
      <c r="BG48" s="579"/>
      <c r="BH48" s="580"/>
      <c r="BI48" s="606"/>
      <c r="BJ48" s="607"/>
      <c r="BK48" s="607"/>
      <c r="BL48" s="607"/>
      <c r="BM48" s="607"/>
      <c r="BN48" s="607"/>
      <c r="BO48" s="607"/>
      <c r="BP48" s="607"/>
      <c r="BQ48" s="607"/>
      <c r="BR48" s="608"/>
    </row>
    <row r="49" spans="1:70" x14ac:dyDescent="0.15">
      <c r="A49" s="603" t="s">
        <v>587</v>
      </c>
      <c r="B49" s="604"/>
      <c r="C49" s="604"/>
      <c r="D49" s="604"/>
      <c r="E49" s="604"/>
      <c r="F49" s="604"/>
      <c r="G49" s="605"/>
      <c r="H49" s="603" t="s">
        <v>203</v>
      </c>
      <c r="I49" s="604"/>
      <c r="J49" s="604"/>
      <c r="K49" s="604"/>
      <c r="L49" s="604"/>
      <c r="M49" s="604"/>
      <c r="N49" s="604"/>
      <c r="O49" s="605"/>
      <c r="P49" s="603" t="s">
        <v>572</v>
      </c>
      <c r="Q49" s="604"/>
      <c r="R49" s="604"/>
      <c r="S49" s="604"/>
      <c r="T49" s="604"/>
      <c r="U49" s="604"/>
      <c r="V49" s="605"/>
      <c r="W49" s="603" t="s">
        <v>194</v>
      </c>
      <c r="X49" s="604"/>
      <c r="Y49" s="604"/>
      <c r="Z49" s="604"/>
      <c r="AA49" s="604"/>
      <c r="AB49" s="604"/>
      <c r="AC49" s="604"/>
      <c r="AD49" s="604"/>
      <c r="AE49" s="604"/>
      <c r="AF49" s="604"/>
      <c r="AG49" s="604"/>
      <c r="AH49" s="604"/>
      <c r="AI49" s="604"/>
      <c r="AJ49" s="604"/>
      <c r="AK49" s="604"/>
      <c r="AL49" s="604"/>
      <c r="AM49" s="605"/>
      <c r="AN49" s="597"/>
      <c r="AO49" s="598"/>
      <c r="AP49" s="598"/>
      <c r="AQ49" s="598"/>
      <c r="AR49" s="598"/>
      <c r="AS49" s="598"/>
      <c r="AT49" s="599"/>
      <c r="AU49" s="597"/>
      <c r="AV49" s="598"/>
      <c r="AW49" s="598"/>
      <c r="AX49" s="598"/>
      <c r="AY49" s="598"/>
      <c r="AZ49" s="598"/>
      <c r="BA49" s="599"/>
      <c r="BB49" s="575"/>
      <c r="BC49" s="576"/>
      <c r="BD49" s="576"/>
      <c r="BE49" s="576"/>
      <c r="BF49" s="576"/>
      <c r="BG49" s="576"/>
      <c r="BH49" s="577"/>
      <c r="BI49" s="603" t="s">
        <v>574</v>
      </c>
      <c r="BJ49" s="604"/>
      <c r="BK49" s="604"/>
      <c r="BL49" s="604"/>
      <c r="BM49" s="604"/>
      <c r="BN49" s="604"/>
      <c r="BO49" s="604"/>
      <c r="BP49" s="604"/>
      <c r="BQ49" s="604"/>
      <c r="BR49" s="605"/>
    </row>
    <row r="50" spans="1:70" x14ac:dyDescent="0.15">
      <c r="A50" s="615"/>
      <c r="B50" s="616"/>
      <c r="C50" s="616"/>
      <c r="D50" s="616"/>
      <c r="E50" s="616"/>
      <c r="F50" s="616"/>
      <c r="G50" s="617"/>
      <c r="H50" s="615"/>
      <c r="I50" s="616"/>
      <c r="J50" s="616"/>
      <c r="K50" s="616"/>
      <c r="L50" s="616"/>
      <c r="M50" s="616"/>
      <c r="N50" s="616"/>
      <c r="O50" s="617"/>
      <c r="P50" s="606"/>
      <c r="Q50" s="607"/>
      <c r="R50" s="607"/>
      <c r="S50" s="607"/>
      <c r="T50" s="607"/>
      <c r="U50" s="607"/>
      <c r="V50" s="608"/>
      <c r="W50" s="606"/>
      <c r="X50" s="607"/>
      <c r="Y50" s="607"/>
      <c r="Z50" s="607"/>
      <c r="AA50" s="607"/>
      <c r="AB50" s="607"/>
      <c r="AC50" s="607"/>
      <c r="AD50" s="607"/>
      <c r="AE50" s="607"/>
      <c r="AF50" s="607"/>
      <c r="AG50" s="607"/>
      <c r="AH50" s="607"/>
      <c r="AI50" s="607"/>
      <c r="AJ50" s="607"/>
      <c r="AK50" s="607"/>
      <c r="AL50" s="607"/>
      <c r="AM50" s="608"/>
      <c r="AN50" s="600"/>
      <c r="AO50" s="601"/>
      <c r="AP50" s="601"/>
      <c r="AQ50" s="601"/>
      <c r="AR50" s="601"/>
      <c r="AS50" s="601"/>
      <c r="AT50" s="602"/>
      <c r="AU50" s="600"/>
      <c r="AV50" s="601"/>
      <c r="AW50" s="601"/>
      <c r="AX50" s="601"/>
      <c r="AY50" s="601"/>
      <c r="AZ50" s="601"/>
      <c r="BA50" s="602"/>
      <c r="BB50" s="578"/>
      <c r="BC50" s="579"/>
      <c r="BD50" s="579"/>
      <c r="BE50" s="579"/>
      <c r="BF50" s="579"/>
      <c r="BG50" s="579"/>
      <c r="BH50" s="580"/>
      <c r="BI50" s="606"/>
      <c r="BJ50" s="607"/>
      <c r="BK50" s="607"/>
      <c r="BL50" s="607"/>
      <c r="BM50" s="607"/>
      <c r="BN50" s="607"/>
      <c r="BO50" s="607"/>
      <c r="BP50" s="607"/>
      <c r="BQ50" s="607"/>
      <c r="BR50" s="608"/>
    </row>
    <row r="51" spans="1:70" x14ac:dyDescent="0.15">
      <c r="A51" s="615"/>
      <c r="B51" s="616"/>
      <c r="C51" s="616"/>
      <c r="D51" s="616"/>
      <c r="E51" s="616"/>
      <c r="F51" s="616"/>
      <c r="G51" s="617"/>
      <c r="H51" s="615"/>
      <c r="I51" s="616"/>
      <c r="J51" s="616"/>
      <c r="K51" s="616"/>
      <c r="L51" s="616"/>
      <c r="M51" s="616"/>
      <c r="N51" s="616"/>
      <c r="O51" s="617"/>
      <c r="P51" s="603" t="s">
        <v>575</v>
      </c>
      <c r="Q51" s="604"/>
      <c r="R51" s="604"/>
      <c r="S51" s="604"/>
      <c r="T51" s="604"/>
      <c r="U51" s="604"/>
      <c r="V51" s="605"/>
      <c r="W51" s="603" t="s">
        <v>576</v>
      </c>
      <c r="X51" s="604"/>
      <c r="Y51" s="604"/>
      <c r="Z51" s="604"/>
      <c r="AA51" s="604"/>
      <c r="AB51" s="604"/>
      <c r="AC51" s="604"/>
      <c r="AD51" s="604"/>
      <c r="AE51" s="604"/>
      <c r="AF51" s="604"/>
      <c r="AG51" s="604"/>
      <c r="AH51" s="604"/>
      <c r="AI51" s="604"/>
      <c r="AJ51" s="604"/>
      <c r="AK51" s="604"/>
      <c r="AL51" s="604"/>
      <c r="AM51" s="605"/>
      <c r="AN51" s="597"/>
      <c r="AO51" s="598"/>
      <c r="AP51" s="598"/>
      <c r="AQ51" s="598"/>
      <c r="AR51" s="598"/>
      <c r="AS51" s="598"/>
      <c r="AT51" s="599"/>
      <c r="AU51" s="597"/>
      <c r="AV51" s="598"/>
      <c r="AW51" s="598"/>
      <c r="AX51" s="598"/>
      <c r="AY51" s="598"/>
      <c r="AZ51" s="598"/>
      <c r="BA51" s="599"/>
      <c r="BB51" s="575"/>
      <c r="BC51" s="576"/>
      <c r="BD51" s="576"/>
      <c r="BE51" s="576"/>
      <c r="BF51" s="576"/>
      <c r="BG51" s="576"/>
      <c r="BH51" s="577"/>
      <c r="BI51" s="603" t="s">
        <v>574</v>
      </c>
      <c r="BJ51" s="604"/>
      <c r="BK51" s="604"/>
      <c r="BL51" s="604"/>
      <c r="BM51" s="604"/>
      <c r="BN51" s="604"/>
      <c r="BO51" s="604"/>
      <c r="BP51" s="604"/>
      <c r="BQ51" s="604"/>
      <c r="BR51" s="605"/>
    </row>
    <row r="52" spans="1:70" x14ac:dyDescent="0.15">
      <c r="A52" s="606"/>
      <c r="B52" s="607"/>
      <c r="C52" s="607"/>
      <c r="D52" s="607"/>
      <c r="E52" s="607"/>
      <c r="F52" s="607"/>
      <c r="G52" s="608"/>
      <c r="H52" s="606"/>
      <c r="I52" s="607"/>
      <c r="J52" s="607"/>
      <c r="K52" s="607"/>
      <c r="L52" s="607"/>
      <c r="M52" s="607"/>
      <c r="N52" s="607"/>
      <c r="O52" s="608"/>
      <c r="P52" s="606"/>
      <c r="Q52" s="607"/>
      <c r="R52" s="607"/>
      <c r="S52" s="607"/>
      <c r="T52" s="607"/>
      <c r="U52" s="607"/>
      <c r="V52" s="608"/>
      <c r="W52" s="606"/>
      <c r="X52" s="607"/>
      <c r="Y52" s="607"/>
      <c r="Z52" s="607"/>
      <c r="AA52" s="607"/>
      <c r="AB52" s="607"/>
      <c r="AC52" s="607"/>
      <c r="AD52" s="607"/>
      <c r="AE52" s="607"/>
      <c r="AF52" s="607"/>
      <c r="AG52" s="607"/>
      <c r="AH52" s="607"/>
      <c r="AI52" s="607"/>
      <c r="AJ52" s="607"/>
      <c r="AK52" s="607"/>
      <c r="AL52" s="607"/>
      <c r="AM52" s="608"/>
      <c r="AN52" s="600"/>
      <c r="AO52" s="601"/>
      <c r="AP52" s="601"/>
      <c r="AQ52" s="601"/>
      <c r="AR52" s="601"/>
      <c r="AS52" s="601"/>
      <c r="AT52" s="602"/>
      <c r="AU52" s="600"/>
      <c r="AV52" s="601"/>
      <c r="AW52" s="601"/>
      <c r="AX52" s="601"/>
      <c r="AY52" s="601"/>
      <c r="AZ52" s="601"/>
      <c r="BA52" s="602"/>
      <c r="BB52" s="593"/>
      <c r="BC52" s="594"/>
      <c r="BD52" s="594"/>
      <c r="BE52" s="594"/>
      <c r="BF52" s="594"/>
      <c r="BG52" s="594"/>
      <c r="BH52" s="595"/>
      <c r="BI52" s="606"/>
      <c r="BJ52" s="607"/>
      <c r="BK52" s="607"/>
      <c r="BL52" s="607"/>
      <c r="BM52" s="607"/>
      <c r="BN52" s="607"/>
      <c r="BO52" s="607"/>
      <c r="BP52" s="607"/>
      <c r="BQ52" s="607"/>
      <c r="BR52" s="608"/>
    </row>
  </sheetData>
  <mergeCells count="184">
    <mergeCell ref="H49:O52"/>
    <mergeCell ref="A13:G16"/>
    <mergeCell ref="A17:G20"/>
    <mergeCell ref="A21:G24"/>
    <mergeCell ref="A49:G52"/>
    <mergeCell ref="A25:G32"/>
    <mergeCell ref="A33:G40"/>
    <mergeCell ref="A41:G48"/>
    <mergeCell ref="H29:O32"/>
    <mergeCell ref="H33:O36"/>
    <mergeCell ref="H37:O40"/>
    <mergeCell ref="H41:O44"/>
    <mergeCell ref="H13:O16"/>
    <mergeCell ref="H17:O20"/>
    <mergeCell ref="H21:O24"/>
    <mergeCell ref="H25:O28"/>
    <mergeCell ref="H45:O48"/>
    <mergeCell ref="BI37:BR38"/>
    <mergeCell ref="BI39:BR40"/>
    <mergeCell ref="BI41:BR42"/>
    <mergeCell ref="BI43:BR44"/>
    <mergeCell ref="BI45:BR46"/>
    <mergeCell ref="BI47:BR48"/>
    <mergeCell ref="BI25:BR26"/>
    <mergeCell ref="BI27:BR28"/>
    <mergeCell ref="BI29:BR30"/>
    <mergeCell ref="BI31:BR32"/>
    <mergeCell ref="BI33:BR34"/>
    <mergeCell ref="BI35:BR36"/>
    <mergeCell ref="BI13:BR14"/>
    <mergeCell ref="BI15:BR16"/>
    <mergeCell ref="AN15:AT16"/>
    <mergeCell ref="AN17:AT18"/>
    <mergeCell ref="AN19:AT20"/>
    <mergeCell ref="P21:V22"/>
    <mergeCell ref="P23:V24"/>
    <mergeCell ref="AN21:AT22"/>
    <mergeCell ref="AN23:AT24"/>
    <mergeCell ref="AU13:BA14"/>
    <mergeCell ref="AU15:BA16"/>
    <mergeCell ref="AU17:BA18"/>
    <mergeCell ref="AU19:BA20"/>
    <mergeCell ref="AU21:BA22"/>
    <mergeCell ref="AU23:BA24"/>
    <mergeCell ref="W13:AM14"/>
    <mergeCell ref="W15:AM16"/>
    <mergeCell ref="W17:AM18"/>
    <mergeCell ref="W19:AM20"/>
    <mergeCell ref="W21:AM22"/>
    <mergeCell ref="W23:AM24"/>
    <mergeCell ref="BB13:BH14"/>
    <mergeCell ref="BB15:BH16"/>
    <mergeCell ref="BB17:BH18"/>
    <mergeCell ref="BI49:BR50"/>
    <mergeCell ref="BI51:BR52"/>
    <mergeCell ref="BB11:BH12"/>
    <mergeCell ref="BI11:BR12"/>
    <mergeCell ref="A11:G12"/>
    <mergeCell ref="H11:O12"/>
    <mergeCell ref="P11:V12"/>
    <mergeCell ref="W11:AM12"/>
    <mergeCell ref="AN11:AT12"/>
    <mergeCell ref="AU11:BA12"/>
    <mergeCell ref="AN13:AT14"/>
    <mergeCell ref="P47:V48"/>
    <mergeCell ref="P49:V50"/>
    <mergeCell ref="P51:V52"/>
    <mergeCell ref="P37:V38"/>
    <mergeCell ref="P39:V40"/>
    <mergeCell ref="P41:V42"/>
    <mergeCell ref="P43:V44"/>
    <mergeCell ref="BI17:BR18"/>
    <mergeCell ref="BI19:BR20"/>
    <mergeCell ref="BI21:BR22"/>
    <mergeCell ref="BI23:BR24"/>
    <mergeCell ref="P45:V46"/>
    <mergeCell ref="P29:V30"/>
    <mergeCell ref="P31:V32"/>
    <mergeCell ref="P33:V34"/>
    <mergeCell ref="P35:V36"/>
    <mergeCell ref="P25:V26"/>
    <mergeCell ref="P27:V28"/>
    <mergeCell ref="P13:V14"/>
    <mergeCell ref="P15:V16"/>
    <mergeCell ref="P17:V18"/>
    <mergeCell ref="P19:V20"/>
    <mergeCell ref="AU25:BA26"/>
    <mergeCell ref="W49:AM50"/>
    <mergeCell ref="W51:AM52"/>
    <mergeCell ref="W37:AM38"/>
    <mergeCell ref="W39:AM40"/>
    <mergeCell ref="W41:AM42"/>
    <mergeCell ref="W43:AM44"/>
    <mergeCell ref="W45:AM46"/>
    <mergeCell ref="W47:AM48"/>
    <mergeCell ref="W29:AM30"/>
    <mergeCell ref="W31:AM32"/>
    <mergeCell ref="W33:AM34"/>
    <mergeCell ref="W35:AM36"/>
    <mergeCell ref="W27:AM28"/>
    <mergeCell ref="AN27:AT28"/>
    <mergeCell ref="AU27:BA28"/>
    <mergeCell ref="AN29:AT30"/>
    <mergeCell ref="AU29:BA30"/>
    <mergeCell ref="AN39:AT40"/>
    <mergeCell ref="AU39:BA40"/>
    <mergeCell ref="AN25:AT26"/>
    <mergeCell ref="W25:AM26"/>
    <mergeCell ref="AN49:AT50"/>
    <mergeCell ref="AU49:BA50"/>
    <mergeCell ref="AN43:AT44"/>
    <mergeCell ref="AU43:BA44"/>
    <mergeCell ref="AN45:AT46"/>
    <mergeCell ref="AU45:BA46"/>
    <mergeCell ref="AN31:AT32"/>
    <mergeCell ref="AU31:BA32"/>
    <mergeCell ref="AN33:AT34"/>
    <mergeCell ref="AU33:BA34"/>
    <mergeCell ref="AN51:AT52"/>
    <mergeCell ref="AU51:BA52"/>
    <mergeCell ref="AN41:AT42"/>
    <mergeCell ref="AU41:BA42"/>
    <mergeCell ref="AN35:AT36"/>
    <mergeCell ref="AU35:BA36"/>
    <mergeCell ref="AN37:AT38"/>
    <mergeCell ref="AU37:BA38"/>
    <mergeCell ref="AN47:AT48"/>
    <mergeCell ref="AU47:BA48"/>
    <mergeCell ref="BB19:BH20"/>
    <mergeCell ref="BB21:BH22"/>
    <mergeCell ref="BB23:BH24"/>
    <mergeCell ref="BB25:BH26"/>
    <mergeCell ref="BB27:BH28"/>
    <mergeCell ref="BB49:BH50"/>
    <mergeCell ref="BB51:BH52"/>
    <mergeCell ref="BB37:BH38"/>
    <mergeCell ref="BB39:BH40"/>
    <mergeCell ref="BB41:BH42"/>
    <mergeCell ref="BB43:BH44"/>
    <mergeCell ref="AX1:BB1"/>
    <mergeCell ref="AN2:AR2"/>
    <mergeCell ref="AS2:AW2"/>
    <mergeCell ref="AX2:BB2"/>
    <mergeCell ref="BB45:BH46"/>
    <mergeCell ref="BB47:BH48"/>
    <mergeCell ref="BB29:BH30"/>
    <mergeCell ref="BB31:BH32"/>
    <mergeCell ref="BB33:BH34"/>
    <mergeCell ref="BB35:BH36"/>
    <mergeCell ref="BC1:BR1"/>
    <mergeCell ref="BI2:BM2"/>
    <mergeCell ref="BI3:BM3"/>
    <mergeCell ref="BN2:BR2"/>
    <mergeCell ref="BN3:BR3"/>
    <mergeCell ref="BC2:BH2"/>
    <mergeCell ref="BC3:BH7"/>
    <mergeCell ref="BI4:BM7"/>
    <mergeCell ref="BN4:BR7"/>
    <mergeCell ref="AX3:BB7"/>
    <mergeCell ref="BP8:BR8"/>
    <mergeCell ref="BP9:BR9"/>
    <mergeCell ref="BB8:BH8"/>
    <mergeCell ref="BI8:BO8"/>
    <mergeCell ref="A7:S7"/>
    <mergeCell ref="T6:AM6"/>
    <mergeCell ref="T7:AM7"/>
    <mergeCell ref="AS3:AW7"/>
    <mergeCell ref="A1:F5"/>
    <mergeCell ref="G1:S5"/>
    <mergeCell ref="T1:AM5"/>
    <mergeCell ref="A6:S6"/>
    <mergeCell ref="AN3:AR7"/>
    <mergeCell ref="AN1:AR1"/>
    <mergeCell ref="AS1:AW1"/>
    <mergeCell ref="BB9:BH9"/>
    <mergeCell ref="BI9:BO9"/>
    <mergeCell ref="A8:S8"/>
    <mergeCell ref="A9:S9"/>
    <mergeCell ref="T8:AM8"/>
    <mergeCell ref="T9:AM9"/>
    <mergeCell ref="AN8:AT8"/>
    <mergeCell ref="AN9:AT9"/>
    <mergeCell ref="AU8:BA8"/>
    <mergeCell ref="AU9:BA9"/>
  </mergeCells>
  <phoneticPr fontId="23"/>
  <dataValidations count="1">
    <dataValidation type="list" allowBlank="1" showInputMessage="1" showErrorMessage="1" sqref="BB13:BH52" xr:uid="{00000000-0002-0000-0100-000000000000}">
      <formula1>"　,○"</formula1>
    </dataValidation>
  </dataValidations>
  <pageMargins left="0.35433070866141736" right="0.39370078740157483" top="0.6692913385826772" bottom="0.47244094488188981" header="0.27559055118110237" footer="0.27559055118110237"/>
  <pageSetup paperSize="9" scale="77" fitToHeight="0" orientation="landscape" r:id="rId1"/>
  <headerFooter alignWithMargins="0">
    <oddHeader>&amp;L&amp;14【営業秘密】</oddHeader>
    <oddFooter>&amp;C&amp;P/&amp;N&amp;R（様式2010.04）</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BN48"/>
  <sheetViews>
    <sheetView zoomScale="85" zoomScaleNormal="85" zoomScaleSheetLayoutView="85" workbookViewId="0">
      <selection activeCell="A13" sqref="A13:H15"/>
    </sheetView>
  </sheetViews>
  <sheetFormatPr defaultColWidth="2.625" defaultRowHeight="13.5" x14ac:dyDescent="0.15"/>
  <cols>
    <col min="1" max="47" width="2.625" customWidth="1"/>
    <col min="48" max="48" width="3" customWidth="1"/>
  </cols>
  <sheetData>
    <row r="1" spans="1:66" x14ac:dyDescent="0.15">
      <c r="A1" s="554" t="s">
        <v>590</v>
      </c>
      <c r="B1" s="555"/>
      <c r="C1" s="555"/>
      <c r="D1" s="555"/>
      <c r="E1" s="555"/>
      <c r="F1" s="556"/>
      <c r="G1" s="554" t="s">
        <v>564</v>
      </c>
      <c r="H1" s="555"/>
      <c r="I1" s="555"/>
      <c r="J1" s="555"/>
      <c r="K1" s="555"/>
      <c r="L1" s="555"/>
      <c r="M1" s="555"/>
      <c r="N1" s="555"/>
      <c r="O1" s="555"/>
      <c r="P1" s="555"/>
      <c r="Q1" s="556"/>
      <c r="R1" s="563" t="s">
        <v>591</v>
      </c>
      <c r="S1" s="564"/>
      <c r="T1" s="564"/>
      <c r="U1" s="564"/>
      <c r="V1" s="564"/>
      <c r="W1" s="564"/>
      <c r="X1" s="564"/>
      <c r="Y1" s="564"/>
      <c r="Z1" s="564"/>
      <c r="AA1" s="564"/>
      <c r="AB1" s="564"/>
      <c r="AC1" s="564"/>
      <c r="AD1" s="564"/>
      <c r="AE1" s="564"/>
      <c r="AF1" s="564"/>
      <c r="AG1" s="564"/>
      <c r="AH1" s="564"/>
      <c r="AI1" s="565"/>
      <c r="AJ1" s="572" t="s">
        <v>305</v>
      </c>
      <c r="AK1" s="573"/>
      <c r="AL1" s="573"/>
      <c r="AM1" s="573"/>
      <c r="AN1" s="574"/>
      <c r="AO1" s="572" t="s">
        <v>306</v>
      </c>
      <c r="AP1" s="573"/>
      <c r="AQ1" s="573"/>
      <c r="AR1" s="573"/>
      <c r="AS1" s="574"/>
      <c r="AT1" s="572" t="s">
        <v>237</v>
      </c>
      <c r="AU1" s="573"/>
      <c r="AV1" s="573"/>
      <c r="AW1" s="573"/>
      <c r="AX1" s="574"/>
      <c r="AY1" s="581" t="s">
        <v>566</v>
      </c>
      <c r="AZ1" s="582"/>
      <c r="BA1" s="582"/>
      <c r="BB1" s="582"/>
      <c r="BC1" s="582"/>
      <c r="BD1" s="582"/>
      <c r="BE1" s="582"/>
      <c r="BF1" s="582"/>
      <c r="BG1" s="582"/>
      <c r="BH1" s="582"/>
      <c r="BI1" s="582"/>
      <c r="BJ1" s="582"/>
      <c r="BK1" s="582"/>
      <c r="BL1" s="582"/>
      <c r="BM1" s="582"/>
      <c r="BN1" s="583"/>
    </row>
    <row r="2" spans="1:66" x14ac:dyDescent="0.15">
      <c r="A2" s="557"/>
      <c r="B2" s="558"/>
      <c r="C2" s="558"/>
      <c r="D2" s="558"/>
      <c r="E2" s="558"/>
      <c r="F2" s="559"/>
      <c r="G2" s="557"/>
      <c r="H2" s="558"/>
      <c r="I2" s="558"/>
      <c r="J2" s="558"/>
      <c r="K2" s="558"/>
      <c r="L2" s="558"/>
      <c r="M2" s="558"/>
      <c r="N2" s="558"/>
      <c r="O2" s="558"/>
      <c r="P2" s="558"/>
      <c r="Q2" s="559"/>
      <c r="R2" s="566"/>
      <c r="S2" s="567"/>
      <c r="T2" s="567"/>
      <c r="U2" s="567"/>
      <c r="V2" s="567"/>
      <c r="W2" s="567"/>
      <c r="X2" s="567"/>
      <c r="Y2" s="567"/>
      <c r="Z2" s="567"/>
      <c r="AA2" s="567"/>
      <c r="AB2" s="567"/>
      <c r="AC2" s="567"/>
      <c r="AD2" s="567"/>
      <c r="AE2" s="567"/>
      <c r="AF2" s="567"/>
      <c r="AG2" s="567"/>
      <c r="AH2" s="567"/>
      <c r="AI2" s="568"/>
      <c r="AJ2" s="572" t="s">
        <v>494</v>
      </c>
      <c r="AK2" s="573"/>
      <c r="AL2" s="573"/>
      <c r="AM2" s="573"/>
      <c r="AN2" s="574"/>
      <c r="AO2" s="572" t="s">
        <v>494</v>
      </c>
      <c r="AP2" s="573"/>
      <c r="AQ2" s="573"/>
      <c r="AR2" s="573"/>
      <c r="AS2" s="574"/>
      <c r="AT2" s="572" t="s">
        <v>494</v>
      </c>
      <c r="AU2" s="573"/>
      <c r="AV2" s="573"/>
      <c r="AW2" s="573"/>
      <c r="AX2" s="574"/>
      <c r="AY2" s="581" t="s">
        <v>308</v>
      </c>
      <c r="AZ2" s="582"/>
      <c r="BA2" s="582"/>
      <c r="BB2" s="582"/>
      <c r="BC2" s="582"/>
      <c r="BD2" s="583"/>
      <c r="BE2" s="572" t="s">
        <v>306</v>
      </c>
      <c r="BF2" s="573"/>
      <c r="BG2" s="573"/>
      <c r="BH2" s="573"/>
      <c r="BI2" s="574"/>
      <c r="BJ2" s="572" t="s">
        <v>617</v>
      </c>
      <c r="BK2" s="573"/>
      <c r="BL2" s="573"/>
      <c r="BM2" s="573"/>
      <c r="BN2" s="574"/>
    </row>
    <row r="3" spans="1:66" x14ac:dyDescent="0.15">
      <c r="A3" s="557"/>
      <c r="B3" s="558"/>
      <c r="C3" s="558"/>
      <c r="D3" s="558"/>
      <c r="E3" s="558"/>
      <c r="F3" s="559"/>
      <c r="G3" s="557"/>
      <c r="H3" s="558"/>
      <c r="I3" s="558"/>
      <c r="J3" s="558"/>
      <c r="K3" s="558"/>
      <c r="L3" s="558"/>
      <c r="M3" s="558"/>
      <c r="N3" s="558"/>
      <c r="O3" s="558"/>
      <c r="P3" s="558"/>
      <c r="Q3" s="559"/>
      <c r="R3" s="566"/>
      <c r="S3" s="567"/>
      <c r="T3" s="567"/>
      <c r="U3" s="567"/>
      <c r="V3" s="567"/>
      <c r="W3" s="567"/>
      <c r="X3" s="567"/>
      <c r="Y3" s="567"/>
      <c r="Z3" s="567"/>
      <c r="AA3" s="567"/>
      <c r="AB3" s="567"/>
      <c r="AC3" s="567"/>
      <c r="AD3" s="567"/>
      <c r="AE3" s="567"/>
      <c r="AF3" s="567"/>
      <c r="AG3" s="567"/>
      <c r="AH3" s="567"/>
      <c r="AI3" s="568"/>
      <c r="AJ3" s="553"/>
      <c r="AK3" s="553"/>
      <c r="AL3" s="553"/>
      <c r="AM3" s="553"/>
      <c r="AN3" s="553"/>
      <c r="AO3" s="553"/>
      <c r="AP3" s="553"/>
      <c r="AQ3" s="553"/>
      <c r="AR3" s="553"/>
      <c r="AS3" s="553"/>
      <c r="AT3" s="553"/>
      <c r="AU3" s="553"/>
      <c r="AV3" s="553"/>
      <c r="AW3" s="553"/>
      <c r="AX3" s="553"/>
      <c r="AY3" s="584"/>
      <c r="AZ3" s="585"/>
      <c r="BA3" s="585"/>
      <c r="BB3" s="585"/>
      <c r="BC3" s="585"/>
      <c r="BD3" s="586"/>
      <c r="BE3" s="573" t="s">
        <v>495</v>
      </c>
      <c r="BF3" s="573"/>
      <c r="BG3" s="573"/>
      <c r="BH3" s="573"/>
      <c r="BI3" s="574"/>
      <c r="BJ3" s="572" t="s">
        <v>495</v>
      </c>
      <c r="BK3" s="573"/>
      <c r="BL3" s="573"/>
      <c r="BM3" s="573"/>
      <c r="BN3" s="574"/>
    </row>
    <row r="4" spans="1:66" x14ac:dyDescent="0.15">
      <c r="A4" s="557"/>
      <c r="B4" s="558"/>
      <c r="C4" s="558"/>
      <c r="D4" s="558"/>
      <c r="E4" s="558"/>
      <c r="F4" s="559"/>
      <c r="G4" s="557"/>
      <c r="H4" s="558"/>
      <c r="I4" s="558"/>
      <c r="J4" s="558"/>
      <c r="K4" s="558"/>
      <c r="L4" s="558"/>
      <c r="M4" s="558"/>
      <c r="N4" s="558"/>
      <c r="O4" s="558"/>
      <c r="P4" s="558"/>
      <c r="Q4" s="559"/>
      <c r="R4" s="566"/>
      <c r="S4" s="567"/>
      <c r="T4" s="567"/>
      <c r="U4" s="567"/>
      <c r="V4" s="567"/>
      <c r="W4" s="567"/>
      <c r="X4" s="567"/>
      <c r="Y4" s="567"/>
      <c r="Z4" s="567"/>
      <c r="AA4" s="567"/>
      <c r="AB4" s="567"/>
      <c r="AC4" s="567"/>
      <c r="AD4" s="567"/>
      <c r="AE4" s="567"/>
      <c r="AF4" s="567"/>
      <c r="AG4" s="567"/>
      <c r="AH4" s="567"/>
      <c r="AI4" s="568"/>
      <c r="AJ4" s="553"/>
      <c r="AK4" s="553"/>
      <c r="AL4" s="553"/>
      <c r="AM4" s="553"/>
      <c r="AN4" s="553"/>
      <c r="AO4" s="553"/>
      <c r="AP4" s="553"/>
      <c r="AQ4" s="553"/>
      <c r="AR4" s="553"/>
      <c r="AS4" s="553"/>
      <c r="AT4" s="553"/>
      <c r="AU4" s="553"/>
      <c r="AV4" s="553"/>
      <c r="AW4" s="553"/>
      <c r="AX4" s="553"/>
      <c r="AY4" s="587"/>
      <c r="AZ4" s="588"/>
      <c r="BA4" s="588"/>
      <c r="BB4" s="588"/>
      <c r="BC4" s="588"/>
      <c r="BD4" s="589"/>
      <c r="BE4" s="575"/>
      <c r="BF4" s="576"/>
      <c r="BG4" s="576"/>
      <c r="BH4" s="576"/>
      <c r="BI4" s="577"/>
      <c r="BJ4" s="575"/>
      <c r="BK4" s="576"/>
      <c r="BL4" s="576"/>
      <c r="BM4" s="576"/>
      <c r="BN4" s="577"/>
    </row>
    <row r="5" spans="1:66" x14ac:dyDescent="0.15">
      <c r="A5" s="560"/>
      <c r="B5" s="561"/>
      <c r="C5" s="561"/>
      <c r="D5" s="561"/>
      <c r="E5" s="561"/>
      <c r="F5" s="562"/>
      <c r="G5" s="560"/>
      <c r="H5" s="561"/>
      <c r="I5" s="561"/>
      <c r="J5" s="561"/>
      <c r="K5" s="561"/>
      <c r="L5" s="561"/>
      <c r="M5" s="561"/>
      <c r="N5" s="561"/>
      <c r="O5" s="561"/>
      <c r="P5" s="561"/>
      <c r="Q5" s="562"/>
      <c r="R5" s="569"/>
      <c r="S5" s="570"/>
      <c r="T5" s="570"/>
      <c r="U5" s="570"/>
      <c r="V5" s="570"/>
      <c r="W5" s="570"/>
      <c r="X5" s="570"/>
      <c r="Y5" s="570"/>
      <c r="Z5" s="570"/>
      <c r="AA5" s="570"/>
      <c r="AB5" s="570"/>
      <c r="AC5" s="570"/>
      <c r="AD5" s="570"/>
      <c r="AE5" s="570"/>
      <c r="AF5" s="570"/>
      <c r="AG5" s="570"/>
      <c r="AH5" s="570"/>
      <c r="AI5" s="571"/>
      <c r="AJ5" s="553"/>
      <c r="AK5" s="553"/>
      <c r="AL5" s="553"/>
      <c r="AM5" s="553"/>
      <c r="AN5" s="553"/>
      <c r="AO5" s="553"/>
      <c r="AP5" s="553"/>
      <c r="AQ5" s="553"/>
      <c r="AR5" s="553"/>
      <c r="AS5" s="553"/>
      <c r="AT5" s="553"/>
      <c r="AU5" s="553"/>
      <c r="AV5" s="553"/>
      <c r="AW5" s="553"/>
      <c r="AX5" s="553"/>
      <c r="AY5" s="587"/>
      <c r="AZ5" s="588"/>
      <c r="BA5" s="588"/>
      <c r="BB5" s="588"/>
      <c r="BC5" s="588"/>
      <c r="BD5" s="589"/>
      <c r="BE5" s="578"/>
      <c r="BF5" s="579"/>
      <c r="BG5" s="579"/>
      <c r="BH5" s="579"/>
      <c r="BI5" s="580"/>
      <c r="BJ5" s="578"/>
      <c r="BK5" s="579"/>
      <c r="BL5" s="579"/>
      <c r="BM5" s="579"/>
      <c r="BN5" s="580"/>
    </row>
    <row r="6" spans="1:66" x14ac:dyDescent="0.15">
      <c r="A6" s="553" t="s">
        <v>465</v>
      </c>
      <c r="B6" s="553"/>
      <c r="C6" s="553"/>
      <c r="D6" s="553"/>
      <c r="E6" s="553"/>
      <c r="F6" s="553"/>
      <c r="G6" s="553"/>
      <c r="H6" s="553"/>
      <c r="I6" s="553"/>
      <c r="J6" s="553"/>
      <c r="K6" s="553"/>
      <c r="L6" s="553"/>
      <c r="M6" s="553"/>
      <c r="N6" s="553"/>
      <c r="O6" s="553"/>
      <c r="P6" s="553"/>
      <c r="Q6" s="553"/>
      <c r="R6" s="552" t="s">
        <v>466</v>
      </c>
      <c r="S6" s="552"/>
      <c r="T6" s="552"/>
      <c r="U6" s="552"/>
      <c r="V6" s="552"/>
      <c r="W6" s="552"/>
      <c r="X6" s="552"/>
      <c r="Y6" s="552"/>
      <c r="Z6" s="552"/>
      <c r="AA6" s="552"/>
      <c r="AB6" s="552"/>
      <c r="AC6" s="552"/>
      <c r="AD6" s="552"/>
      <c r="AE6" s="552"/>
      <c r="AF6" s="552"/>
      <c r="AG6" s="552"/>
      <c r="AH6" s="552"/>
      <c r="AI6" s="552"/>
      <c r="AJ6" s="553"/>
      <c r="AK6" s="553"/>
      <c r="AL6" s="553"/>
      <c r="AM6" s="553"/>
      <c r="AN6" s="553"/>
      <c r="AO6" s="553"/>
      <c r="AP6" s="553"/>
      <c r="AQ6" s="553"/>
      <c r="AR6" s="553"/>
      <c r="AS6" s="553"/>
      <c r="AT6" s="553"/>
      <c r="AU6" s="553"/>
      <c r="AV6" s="553"/>
      <c r="AW6" s="553"/>
      <c r="AX6" s="553"/>
      <c r="AY6" s="587"/>
      <c r="AZ6" s="588"/>
      <c r="BA6" s="588"/>
      <c r="BB6" s="588"/>
      <c r="BC6" s="588"/>
      <c r="BD6" s="589"/>
      <c r="BE6" s="578"/>
      <c r="BF6" s="579"/>
      <c r="BG6" s="579"/>
      <c r="BH6" s="579"/>
      <c r="BI6" s="580"/>
      <c r="BJ6" s="578"/>
      <c r="BK6" s="579"/>
      <c r="BL6" s="579"/>
      <c r="BM6" s="579"/>
      <c r="BN6" s="580"/>
    </row>
    <row r="7" spans="1:66" x14ac:dyDescent="0.15">
      <c r="A7" s="553"/>
      <c r="B7" s="553"/>
      <c r="C7" s="553"/>
      <c r="D7" s="553"/>
      <c r="E7" s="553"/>
      <c r="F7" s="553"/>
      <c r="G7" s="553"/>
      <c r="H7" s="553"/>
      <c r="I7" s="553"/>
      <c r="J7" s="553"/>
      <c r="K7" s="553"/>
      <c r="L7" s="553"/>
      <c r="M7" s="553"/>
      <c r="N7" s="553"/>
      <c r="O7" s="553"/>
      <c r="P7" s="553"/>
      <c r="Q7" s="553"/>
      <c r="R7" s="552"/>
      <c r="S7" s="552"/>
      <c r="T7" s="552"/>
      <c r="U7" s="552"/>
      <c r="V7" s="552"/>
      <c r="W7" s="552"/>
      <c r="X7" s="552"/>
      <c r="Y7" s="552"/>
      <c r="Z7" s="552"/>
      <c r="AA7" s="552"/>
      <c r="AB7" s="552"/>
      <c r="AC7" s="552"/>
      <c r="AD7" s="552"/>
      <c r="AE7" s="552"/>
      <c r="AF7" s="552"/>
      <c r="AG7" s="552"/>
      <c r="AH7" s="552"/>
      <c r="AI7" s="552"/>
      <c r="AJ7" s="553"/>
      <c r="AK7" s="553"/>
      <c r="AL7" s="553"/>
      <c r="AM7" s="553"/>
      <c r="AN7" s="553"/>
      <c r="AO7" s="553"/>
      <c r="AP7" s="553"/>
      <c r="AQ7" s="553"/>
      <c r="AR7" s="553"/>
      <c r="AS7" s="553"/>
      <c r="AT7" s="553"/>
      <c r="AU7" s="553"/>
      <c r="AV7" s="553"/>
      <c r="AW7" s="553"/>
      <c r="AX7" s="553"/>
      <c r="AY7" s="590"/>
      <c r="AZ7" s="591"/>
      <c r="BA7" s="591"/>
      <c r="BB7" s="591"/>
      <c r="BC7" s="591"/>
      <c r="BD7" s="592"/>
      <c r="BE7" s="593"/>
      <c r="BF7" s="594"/>
      <c r="BG7" s="594"/>
      <c r="BH7" s="594"/>
      <c r="BI7" s="595"/>
      <c r="BJ7" s="593"/>
      <c r="BK7" s="594"/>
      <c r="BL7" s="594"/>
      <c r="BM7" s="594"/>
      <c r="BN7" s="595"/>
    </row>
    <row r="8" spans="1:66" x14ac:dyDescent="0.15">
      <c r="A8" s="553" t="s">
        <v>310</v>
      </c>
      <c r="B8" s="553"/>
      <c r="C8" s="553"/>
      <c r="D8" s="553"/>
      <c r="E8" s="553"/>
      <c r="F8" s="553"/>
      <c r="G8" s="553"/>
      <c r="H8" s="553"/>
      <c r="I8" s="553"/>
      <c r="J8" s="553"/>
      <c r="K8" s="553"/>
      <c r="L8" s="553"/>
      <c r="M8" s="553"/>
      <c r="N8" s="553"/>
      <c r="O8" s="553"/>
      <c r="P8" s="553"/>
      <c r="Q8" s="553"/>
      <c r="R8" s="552" t="s">
        <v>311</v>
      </c>
      <c r="S8" s="552"/>
      <c r="T8" s="552"/>
      <c r="U8" s="552"/>
      <c r="V8" s="552"/>
      <c r="W8" s="552"/>
      <c r="X8" s="552"/>
      <c r="Y8" s="552"/>
      <c r="Z8" s="552"/>
      <c r="AA8" s="552"/>
      <c r="AB8" s="552"/>
      <c r="AC8" s="552"/>
      <c r="AD8" s="552"/>
      <c r="AE8" s="552"/>
      <c r="AF8" s="552"/>
      <c r="AG8" s="552"/>
      <c r="AH8" s="552"/>
      <c r="AI8" s="552"/>
      <c r="AJ8" s="552" t="s">
        <v>312</v>
      </c>
      <c r="AK8" s="552"/>
      <c r="AL8" s="552"/>
      <c r="AM8" s="552"/>
      <c r="AN8" s="552"/>
      <c r="AO8" s="552"/>
      <c r="AP8" s="552"/>
      <c r="AQ8" s="552"/>
      <c r="AR8" s="552"/>
      <c r="AS8" s="552"/>
      <c r="AT8" s="552"/>
      <c r="AU8" s="552"/>
      <c r="AV8" s="552"/>
      <c r="AW8" s="552"/>
      <c r="AX8" s="552" t="s">
        <v>313</v>
      </c>
      <c r="AY8" s="552"/>
      <c r="AZ8" s="552"/>
      <c r="BA8" s="552"/>
      <c r="BB8" s="552"/>
      <c r="BC8" s="552"/>
      <c r="BD8" s="552"/>
      <c r="BE8" s="552"/>
      <c r="BF8" s="552"/>
      <c r="BG8" s="552"/>
      <c r="BH8" s="552"/>
      <c r="BI8" s="552"/>
      <c r="BJ8" s="552"/>
      <c r="BK8" s="552"/>
      <c r="BL8" s="553" t="s">
        <v>592</v>
      </c>
      <c r="BM8" s="553"/>
      <c r="BN8" s="553"/>
    </row>
    <row r="9" spans="1:66" x14ac:dyDescent="0.15">
      <c r="A9" s="553"/>
      <c r="B9" s="553"/>
      <c r="C9" s="553"/>
      <c r="D9" s="553"/>
      <c r="E9" s="553"/>
      <c r="F9" s="553"/>
      <c r="G9" s="553"/>
      <c r="H9" s="553"/>
      <c r="I9" s="553"/>
      <c r="J9" s="553"/>
      <c r="K9" s="553"/>
      <c r="L9" s="553"/>
      <c r="M9" s="553"/>
      <c r="N9" s="553"/>
      <c r="O9" s="553"/>
      <c r="P9" s="553"/>
      <c r="Q9" s="553"/>
      <c r="R9" s="552"/>
      <c r="S9" s="552"/>
      <c r="T9" s="552"/>
      <c r="U9" s="552"/>
      <c r="V9" s="552"/>
      <c r="W9" s="552"/>
      <c r="X9" s="552"/>
      <c r="Y9" s="552"/>
      <c r="Z9" s="552"/>
      <c r="AA9" s="552"/>
      <c r="AB9" s="552"/>
      <c r="AC9" s="552"/>
      <c r="AD9" s="552"/>
      <c r="AE9" s="552"/>
      <c r="AF9" s="552"/>
      <c r="AG9" s="552"/>
      <c r="AH9" s="552"/>
      <c r="AI9" s="552"/>
      <c r="AJ9" s="552" t="s">
        <v>568</v>
      </c>
      <c r="AK9" s="552"/>
      <c r="AL9" s="552"/>
      <c r="AM9" s="552"/>
      <c r="AN9" s="552"/>
      <c r="AO9" s="552"/>
      <c r="AP9" s="552"/>
      <c r="AQ9" s="553"/>
      <c r="AR9" s="553"/>
      <c r="AS9" s="553"/>
      <c r="AT9" s="553"/>
      <c r="AU9" s="553"/>
      <c r="AV9" s="553"/>
      <c r="AW9" s="553"/>
      <c r="AX9" s="552" t="s">
        <v>315</v>
      </c>
      <c r="AY9" s="552"/>
      <c r="AZ9" s="552"/>
      <c r="BA9" s="552"/>
      <c r="BB9" s="552"/>
      <c r="BC9" s="552"/>
      <c r="BD9" s="552"/>
      <c r="BE9" s="553"/>
      <c r="BF9" s="553"/>
      <c r="BG9" s="553"/>
      <c r="BH9" s="553"/>
      <c r="BI9" s="553"/>
      <c r="BJ9" s="553"/>
      <c r="BK9" s="553"/>
      <c r="BL9" s="596"/>
      <c r="BM9" s="596"/>
      <c r="BN9" s="596"/>
    </row>
    <row r="11" spans="1:66" x14ac:dyDescent="0.15">
      <c r="A11" s="609" t="s">
        <v>186</v>
      </c>
      <c r="B11" s="610"/>
      <c r="C11" s="610"/>
      <c r="D11" s="610"/>
      <c r="E11" s="610"/>
      <c r="F11" s="610"/>
      <c r="G11" s="610"/>
      <c r="H11" s="611"/>
      <c r="I11" s="609" t="s">
        <v>569</v>
      </c>
      <c r="J11" s="610"/>
      <c r="K11" s="610"/>
      <c r="L11" s="610"/>
      <c r="M11" s="610"/>
      <c r="N11" s="610"/>
      <c r="O11" s="610"/>
      <c r="P11" s="610"/>
      <c r="Q11" s="610"/>
      <c r="R11" s="610"/>
      <c r="S11" s="610"/>
      <c r="T11" s="611"/>
      <c r="U11" s="609" t="s">
        <v>204</v>
      </c>
      <c r="V11" s="610"/>
      <c r="W11" s="610"/>
      <c r="X11" s="610"/>
      <c r="Y11" s="610"/>
      <c r="Z11" s="610"/>
      <c r="AA11" s="610"/>
      <c r="AB11" s="610"/>
      <c r="AC11" s="610"/>
      <c r="AD11" s="610"/>
      <c r="AE11" s="610"/>
      <c r="AF11" s="610"/>
      <c r="AG11" s="610"/>
      <c r="AH11" s="610"/>
      <c r="AI11" s="610"/>
      <c r="AJ11" s="610"/>
      <c r="AK11" s="610"/>
      <c r="AL11" s="610"/>
      <c r="AM11" s="610"/>
      <c r="AN11" s="610"/>
      <c r="AO11" s="610"/>
      <c r="AP11" s="610"/>
      <c r="AQ11" s="610"/>
      <c r="AR11" s="610"/>
      <c r="AS11" s="610"/>
      <c r="AT11" s="610"/>
      <c r="AU11" s="610"/>
      <c r="AV11" s="610"/>
      <c r="AW11" s="610"/>
      <c r="AX11" s="610"/>
      <c r="AY11" s="610"/>
      <c r="AZ11" s="610"/>
      <c r="BA11" s="610"/>
      <c r="BB11" s="610"/>
      <c r="BC11" s="610"/>
      <c r="BD11" s="610"/>
      <c r="BE11" s="610"/>
      <c r="BF11" s="610"/>
      <c r="BG11" s="610"/>
      <c r="BH11" s="610"/>
      <c r="BI11" s="610"/>
      <c r="BJ11" s="610"/>
      <c r="BK11" s="610"/>
      <c r="BL11" s="610"/>
      <c r="BM11" s="610"/>
      <c r="BN11" s="611"/>
    </row>
    <row r="12" spans="1:66" x14ac:dyDescent="0.15">
      <c r="A12" s="612"/>
      <c r="B12" s="613"/>
      <c r="C12" s="613"/>
      <c r="D12" s="613"/>
      <c r="E12" s="613"/>
      <c r="F12" s="613"/>
      <c r="G12" s="613"/>
      <c r="H12" s="614"/>
      <c r="I12" s="612"/>
      <c r="J12" s="613"/>
      <c r="K12" s="613"/>
      <c r="L12" s="613"/>
      <c r="M12" s="613"/>
      <c r="N12" s="613"/>
      <c r="O12" s="613"/>
      <c r="P12" s="613"/>
      <c r="Q12" s="613"/>
      <c r="R12" s="613"/>
      <c r="S12" s="613"/>
      <c r="T12" s="614"/>
      <c r="U12" s="612"/>
      <c r="V12" s="613"/>
      <c r="W12" s="613"/>
      <c r="X12" s="613"/>
      <c r="Y12" s="613"/>
      <c r="Z12" s="613"/>
      <c r="AA12" s="613"/>
      <c r="AB12" s="613"/>
      <c r="AC12" s="613"/>
      <c r="AD12" s="613"/>
      <c r="AE12" s="613"/>
      <c r="AF12" s="613"/>
      <c r="AG12" s="613"/>
      <c r="AH12" s="613"/>
      <c r="AI12" s="613"/>
      <c r="AJ12" s="613"/>
      <c r="AK12" s="613"/>
      <c r="AL12" s="613"/>
      <c r="AM12" s="613"/>
      <c r="AN12" s="613"/>
      <c r="AO12" s="613"/>
      <c r="AP12" s="613"/>
      <c r="AQ12" s="613"/>
      <c r="AR12" s="613"/>
      <c r="AS12" s="613"/>
      <c r="AT12" s="613"/>
      <c r="AU12" s="613"/>
      <c r="AV12" s="613"/>
      <c r="AW12" s="613"/>
      <c r="AX12" s="613"/>
      <c r="AY12" s="613"/>
      <c r="AZ12" s="613"/>
      <c r="BA12" s="613"/>
      <c r="BB12" s="613"/>
      <c r="BC12" s="613"/>
      <c r="BD12" s="613"/>
      <c r="BE12" s="613"/>
      <c r="BF12" s="613"/>
      <c r="BG12" s="613"/>
      <c r="BH12" s="613"/>
      <c r="BI12" s="613"/>
      <c r="BJ12" s="613"/>
      <c r="BK12" s="613"/>
      <c r="BL12" s="613"/>
      <c r="BM12" s="613"/>
      <c r="BN12" s="614"/>
    </row>
    <row r="13" spans="1:66" x14ac:dyDescent="0.15">
      <c r="A13" s="618" t="s">
        <v>588</v>
      </c>
      <c r="B13" s="618"/>
      <c r="C13" s="618"/>
      <c r="D13" s="618"/>
      <c r="E13" s="618"/>
      <c r="F13" s="618"/>
      <c r="G13" s="618"/>
      <c r="H13" s="618"/>
      <c r="I13" s="618" t="s">
        <v>593</v>
      </c>
      <c r="J13" s="618"/>
      <c r="K13" s="618"/>
      <c r="L13" s="618"/>
      <c r="M13" s="618"/>
      <c r="N13" s="618"/>
      <c r="O13" s="618"/>
      <c r="P13" s="618"/>
      <c r="Q13" s="618"/>
      <c r="R13" s="618"/>
      <c r="S13" s="618"/>
      <c r="T13" s="618"/>
      <c r="U13" s="618" t="s">
        <v>594</v>
      </c>
      <c r="V13" s="618"/>
      <c r="W13" s="618"/>
      <c r="X13" s="618"/>
      <c r="Y13" s="618"/>
      <c r="Z13" s="618"/>
      <c r="AA13" s="618"/>
      <c r="AB13" s="618"/>
      <c r="AC13" s="618"/>
      <c r="AD13" s="618"/>
      <c r="AE13" s="618"/>
      <c r="AF13" s="618"/>
      <c r="AG13" s="618"/>
      <c r="AH13" s="618"/>
      <c r="AI13" s="618"/>
      <c r="AJ13" s="618"/>
      <c r="AK13" s="618"/>
      <c r="AL13" s="618"/>
      <c r="AM13" s="618"/>
      <c r="AN13" s="618"/>
      <c r="AO13" s="618"/>
      <c r="AP13" s="618"/>
      <c r="AQ13" s="618"/>
      <c r="AR13" s="618"/>
      <c r="AS13" s="618"/>
      <c r="AT13" s="618"/>
      <c r="AU13" s="618"/>
      <c r="AV13" s="618"/>
      <c r="AW13" s="618"/>
      <c r="AX13" s="618"/>
      <c r="AY13" s="618"/>
      <c r="AZ13" s="618"/>
      <c r="BA13" s="618"/>
      <c r="BB13" s="618"/>
      <c r="BC13" s="618"/>
      <c r="BD13" s="618"/>
      <c r="BE13" s="618"/>
      <c r="BF13" s="618"/>
      <c r="BG13" s="618"/>
      <c r="BH13" s="618"/>
      <c r="BI13" s="618"/>
      <c r="BJ13" s="618"/>
      <c r="BK13" s="618"/>
      <c r="BL13" s="618"/>
      <c r="BM13" s="618"/>
      <c r="BN13" s="618"/>
    </row>
    <row r="14" spans="1:66" x14ac:dyDescent="0.15">
      <c r="A14" s="618"/>
      <c r="B14" s="618"/>
      <c r="C14" s="618"/>
      <c r="D14" s="618"/>
      <c r="E14" s="618"/>
      <c r="F14" s="618"/>
      <c r="G14" s="618"/>
      <c r="H14" s="618"/>
      <c r="I14" s="618"/>
      <c r="J14" s="618"/>
      <c r="K14" s="618"/>
      <c r="L14" s="618"/>
      <c r="M14" s="618"/>
      <c r="N14" s="618"/>
      <c r="O14" s="618"/>
      <c r="P14" s="618"/>
      <c r="Q14" s="618"/>
      <c r="R14" s="618"/>
      <c r="S14" s="618"/>
      <c r="T14" s="618"/>
      <c r="U14" s="618"/>
      <c r="V14" s="618"/>
      <c r="W14" s="618"/>
      <c r="X14" s="618"/>
      <c r="Y14" s="618"/>
      <c r="Z14" s="618"/>
      <c r="AA14" s="618"/>
      <c r="AB14" s="618"/>
      <c r="AC14" s="618"/>
      <c r="AD14" s="618"/>
      <c r="AE14" s="618"/>
      <c r="AF14" s="618"/>
      <c r="AG14" s="618"/>
      <c r="AH14" s="618"/>
      <c r="AI14" s="618"/>
      <c r="AJ14" s="618"/>
      <c r="AK14" s="618"/>
      <c r="AL14" s="618"/>
      <c r="AM14" s="618"/>
      <c r="AN14" s="618"/>
      <c r="AO14" s="618"/>
      <c r="AP14" s="618"/>
      <c r="AQ14" s="618"/>
      <c r="AR14" s="618"/>
      <c r="AS14" s="618"/>
      <c r="AT14" s="618"/>
      <c r="AU14" s="618"/>
      <c r="AV14" s="618"/>
      <c r="AW14" s="618"/>
      <c r="AX14" s="618"/>
      <c r="AY14" s="618"/>
      <c r="AZ14" s="618"/>
      <c r="BA14" s="618"/>
      <c r="BB14" s="618"/>
      <c r="BC14" s="618"/>
      <c r="BD14" s="618"/>
      <c r="BE14" s="618"/>
      <c r="BF14" s="618"/>
      <c r="BG14" s="618"/>
      <c r="BH14" s="618"/>
      <c r="BI14" s="618"/>
      <c r="BJ14" s="618"/>
      <c r="BK14" s="618"/>
      <c r="BL14" s="618"/>
      <c r="BM14" s="618"/>
      <c r="BN14" s="618"/>
    </row>
    <row r="15" spans="1:66" x14ac:dyDescent="0.15">
      <c r="A15" s="618"/>
      <c r="B15" s="618"/>
      <c r="C15" s="618"/>
      <c r="D15" s="618"/>
      <c r="E15" s="618"/>
      <c r="F15" s="618"/>
      <c r="G15" s="618"/>
      <c r="H15" s="618"/>
      <c r="I15" s="618"/>
      <c r="J15" s="618"/>
      <c r="K15" s="618"/>
      <c r="L15" s="618"/>
      <c r="M15" s="618"/>
      <c r="N15" s="618"/>
      <c r="O15" s="618"/>
      <c r="P15" s="618"/>
      <c r="Q15" s="618"/>
      <c r="R15" s="618"/>
      <c r="S15" s="618"/>
      <c r="T15" s="618"/>
      <c r="U15" s="618"/>
      <c r="V15" s="618"/>
      <c r="W15" s="618"/>
      <c r="X15" s="618"/>
      <c r="Y15" s="618"/>
      <c r="Z15" s="618"/>
      <c r="AA15" s="618"/>
      <c r="AB15" s="618"/>
      <c r="AC15" s="618"/>
      <c r="AD15" s="618"/>
      <c r="AE15" s="618"/>
      <c r="AF15" s="618"/>
      <c r="AG15" s="618"/>
      <c r="AH15" s="618"/>
      <c r="AI15" s="618"/>
      <c r="AJ15" s="618"/>
      <c r="AK15" s="618"/>
      <c r="AL15" s="618"/>
      <c r="AM15" s="618"/>
      <c r="AN15" s="618"/>
      <c r="AO15" s="618"/>
      <c r="AP15" s="618"/>
      <c r="AQ15" s="618"/>
      <c r="AR15" s="618"/>
      <c r="AS15" s="618"/>
      <c r="AT15" s="618"/>
      <c r="AU15" s="618"/>
      <c r="AV15" s="618"/>
      <c r="AW15" s="618"/>
      <c r="AX15" s="618"/>
      <c r="AY15" s="618"/>
      <c r="AZ15" s="618"/>
      <c r="BA15" s="618"/>
      <c r="BB15" s="618"/>
      <c r="BC15" s="618"/>
      <c r="BD15" s="618"/>
      <c r="BE15" s="618"/>
      <c r="BF15" s="618"/>
      <c r="BG15" s="618"/>
      <c r="BH15" s="618"/>
      <c r="BI15" s="618"/>
      <c r="BJ15" s="618"/>
      <c r="BK15" s="618"/>
      <c r="BL15" s="618"/>
      <c r="BM15" s="618"/>
      <c r="BN15" s="618"/>
    </row>
    <row r="16" spans="1:66" ht="13.5" customHeight="1" x14ac:dyDescent="0.15">
      <c r="A16" s="618" t="s">
        <v>588</v>
      </c>
      <c r="B16" s="618"/>
      <c r="C16" s="618"/>
      <c r="D16" s="618"/>
      <c r="E16" s="618"/>
      <c r="F16" s="618"/>
      <c r="G16" s="618"/>
      <c r="H16" s="618"/>
      <c r="I16" s="618" t="s">
        <v>205</v>
      </c>
      <c r="J16" s="618"/>
      <c r="K16" s="618"/>
      <c r="L16" s="618"/>
      <c r="M16" s="618"/>
      <c r="N16" s="618"/>
      <c r="O16" s="618"/>
      <c r="P16" s="618"/>
      <c r="Q16" s="618"/>
      <c r="R16" s="618"/>
      <c r="S16" s="618"/>
      <c r="T16" s="618"/>
      <c r="U16" s="618" t="s">
        <v>595</v>
      </c>
      <c r="V16" s="618"/>
      <c r="W16" s="618"/>
      <c r="X16" s="618"/>
      <c r="Y16" s="618"/>
      <c r="Z16" s="618"/>
      <c r="AA16" s="618"/>
      <c r="AB16" s="618"/>
      <c r="AC16" s="618"/>
      <c r="AD16" s="618"/>
      <c r="AE16" s="618"/>
      <c r="AF16" s="618"/>
      <c r="AG16" s="618"/>
      <c r="AH16" s="618"/>
      <c r="AI16" s="618"/>
      <c r="AJ16" s="618"/>
      <c r="AK16" s="618"/>
      <c r="AL16" s="618"/>
      <c r="AM16" s="618"/>
      <c r="AN16" s="618"/>
      <c r="AO16" s="618"/>
      <c r="AP16" s="618"/>
      <c r="AQ16" s="618"/>
      <c r="AR16" s="618"/>
      <c r="AS16" s="618"/>
      <c r="AT16" s="618"/>
      <c r="AU16" s="618"/>
      <c r="AV16" s="618"/>
      <c r="AW16" s="618"/>
      <c r="AX16" s="618"/>
      <c r="AY16" s="618"/>
      <c r="AZ16" s="618"/>
      <c r="BA16" s="618"/>
      <c r="BB16" s="618"/>
      <c r="BC16" s="618"/>
      <c r="BD16" s="618"/>
      <c r="BE16" s="618"/>
      <c r="BF16" s="618"/>
      <c r="BG16" s="618"/>
      <c r="BH16" s="618"/>
      <c r="BI16" s="618"/>
      <c r="BJ16" s="618"/>
      <c r="BK16" s="618"/>
      <c r="BL16" s="618"/>
      <c r="BM16" s="618"/>
      <c r="BN16" s="618"/>
    </row>
    <row r="17" spans="1:66" x14ac:dyDescent="0.15">
      <c r="A17" s="618"/>
      <c r="B17" s="618"/>
      <c r="C17" s="618"/>
      <c r="D17" s="618"/>
      <c r="E17" s="618"/>
      <c r="F17" s="618"/>
      <c r="G17" s="618"/>
      <c r="H17" s="618"/>
      <c r="I17" s="618"/>
      <c r="J17" s="618"/>
      <c r="K17" s="618"/>
      <c r="L17" s="618"/>
      <c r="M17" s="618"/>
      <c r="N17" s="618"/>
      <c r="O17" s="618"/>
      <c r="P17" s="618"/>
      <c r="Q17" s="618"/>
      <c r="R17" s="618"/>
      <c r="S17" s="618"/>
      <c r="T17" s="618"/>
      <c r="U17" s="618"/>
      <c r="V17" s="618"/>
      <c r="W17" s="618"/>
      <c r="X17" s="618"/>
      <c r="Y17" s="618"/>
      <c r="Z17" s="618"/>
      <c r="AA17" s="618"/>
      <c r="AB17" s="618"/>
      <c r="AC17" s="618"/>
      <c r="AD17" s="618"/>
      <c r="AE17" s="618"/>
      <c r="AF17" s="618"/>
      <c r="AG17" s="618"/>
      <c r="AH17" s="618"/>
      <c r="AI17" s="618"/>
      <c r="AJ17" s="618"/>
      <c r="AK17" s="618"/>
      <c r="AL17" s="618"/>
      <c r="AM17" s="618"/>
      <c r="AN17" s="618"/>
      <c r="AO17" s="618"/>
      <c r="AP17" s="618"/>
      <c r="AQ17" s="618"/>
      <c r="AR17" s="618"/>
      <c r="AS17" s="618"/>
      <c r="AT17" s="618"/>
      <c r="AU17" s="618"/>
      <c r="AV17" s="618"/>
      <c r="AW17" s="618"/>
      <c r="AX17" s="618"/>
      <c r="AY17" s="618"/>
      <c r="AZ17" s="618"/>
      <c r="BA17" s="618"/>
      <c r="BB17" s="618"/>
      <c r="BC17" s="618"/>
      <c r="BD17" s="618"/>
      <c r="BE17" s="618"/>
      <c r="BF17" s="618"/>
      <c r="BG17" s="618"/>
      <c r="BH17" s="618"/>
      <c r="BI17" s="618"/>
      <c r="BJ17" s="618"/>
      <c r="BK17" s="618"/>
      <c r="BL17" s="618"/>
      <c r="BM17" s="618"/>
      <c r="BN17" s="618"/>
    </row>
    <row r="18" spans="1:66" x14ac:dyDescent="0.15">
      <c r="A18" s="618"/>
      <c r="B18" s="618"/>
      <c r="C18" s="618"/>
      <c r="D18" s="618"/>
      <c r="E18" s="618"/>
      <c r="F18" s="618"/>
      <c r="G18" s="618"/>
      <c r="H18" s="618"/>
      <c r="I18" s="618"/>
      <c r="J18" s="618"/>
      <c r="K18" s="618"/>
      <c r="L18" s="618"/>
      <c r="M18" s="618"/>
      <c r="N18" s="618"/>
      <c r="O18" s="618"/>
      <c r="P18" s="618"/>
      <c r="Q18" s="618"/>
      <c r="R18" s="618"/>
      <c r="S18" s="618"/>
      <c r="T18" s="618"/>
      <c r="U18" s="618"/>
      <c r="V18" s="618"/>
      <c r="W18" s="618"/>
      <c r="X18" s="618"/>
      <c r="Y18" s="618"/>
      <c r="Z18" s="618"/>
      <c r="AA18" s="618"/>
      <c r="AB18" s="618"/>
      <c r="AC18" s="618"/>
      <c r="AD18" s="618"/>
      <c r="AE18" s="618"/>
      <c r="AF18" s="618"/>
      <c r="AG18" s="618"/>
      <c r="AH18" s="618"/>
      <c r="AI18" s="618"/>
      <c r="AJ18" s="618"/>
      <c r="AK18" s="618"/>
      <c r="AL18" s="618"/>
      <c r="AM18" s="618"/>
      <c r="AN18" s="618"/>
      <c r="AO18" s="618"/>
      <c r="AP18" s="618"/>
      <c r="AQ18" s="618"/>
      <c r="AR18" s="618"/>
      <c r="AS18" s="618"/>
      <c r="AT18" s="618"/>
      <c r="AU18" s="618"/>
      <c r="AV18" s="618"/>
      <c r="AW18" s="618"/>
      <c r="AX18" s="618"/>
      <c r="AY18" s="618"/>
      <c r="AZ18" s="618"/>
      <c r="BA18" s="618"/>
      <c r="BB18" s="618"/>
      <c r="BC18" s="618"/>
      <c r="BD18" s="618"/>
      <c r="BE18" s="618"/>
      <c r="BF18" s="618"/>
      <c r="BG18" s="618"/>
      <c r="BH18" s="618"/>
      <c r="BI18" s="618"/>
      <c r="BJ18" s="618"/>
      <c r="BK18" s="618"/>
      <c r="BL18" s="618"/>
      <c r="BM18" s="618"/>
      <c r="BN18" s="618"/>
    </row>
    <row r="19" spans="1:66" ht="13.5" customHeight="1" x14ac:dyDescent="0.15">
      <c r="A19" s="618" t="s">
        <v>588</v>
      </c>
      <c r="B19" s="618"/>
      <c r="C19" s="618"/>
      <c r="D19" s="618"/>
      <c r="E19" s="618"/>
      <c r="F19" s="618"/>
      <c r="G19" s="618"/>
      <c r="H19" s="618"/>
      <c r="I19" s="618" t="s">
        <v>207</v>
      </c>
      <c r="J19" s="618"/>
      <c r="K19" s="618"/>
      <c r="L19" s="618"/>
      <c r="M19" s="618"/>
      <c r="N19" s="618"/>
      <c r="O19" s="618"/>
      <c r="P19" s="618"/>
      <c r="Q19" s="618"/>
      <c r="R19" s="618"/>
      <c r="S19" s="618"/>
      <c r="T19" s="618"/>
      <c r="U19" s="618" t="s">
        <v>596</v>
      </c>
      <c r="V19" s="618"/>
      <c r="W19" s="618"/>
      <c r="X19" s="618"/>
      <c r="Y19" s="618"/>
      <c r="Z19" s="618"/>
      <c r="AA19" s="618"/>
      <c r="AB19" s="618"/>
      <c r="AC19" s="618"/>
      <c r="AD19" s="618"/>
      <c r="AE19" s="618"/>
      <c r="AF19" s="618"/>
      <c r="AG19" s="618"/>
      <c r="AH19" s="618"/>
      <c r="AI19" s="618"/>
      <c r="AJ19" s="618"/>
      <c r="AK19" s="618"/>
      <c r="AL19" s="618"/>
      <c r="AM19" s="618"/>
      <c r="AN19" s="618"/>
      <c r="AO19" s="618"/>
      <c r="AP19" s="618"/>
      <c r="AQ19" s="618"/>
      <c r="AR19" s="618"/>
      <c r="AS19" s="618"/>
      <c r="AT19" s="618"/>
      <c r="AU19" s="618"/>
      <c r="AV19" s="618"/>
      <c r="AW19" s="618"/>
      <c r="AX19" s="618"/>
      <c r="AY19" s="618"/>
      <c r="AZ19" s="618"/>
      <c r="BA19" s="618"/>
      <c r="BB19" s="618"/>
      <c r="BC19" s="618"/>
      <c r="BD19" s="618"/>
      <c r="BE19" s="618"/>
      <c r="BF19" s="618"/>
      <c r="BG19" s="618"/>
      <c r="BH19" s="618"/>
      <c r="BI19" s="618"/>
      <c r="BJ19" s="618"/>
      <c r="BK19" s="618"/>
      <c r="BL19" s="618"/>
      <c r="BM19" s="618"/>
      <c r="BN19" s="618"/>
    </row>
    <row r="20" spans="1:66" x14ac:dyDescent="0.15">
      <c r="A20" s="618"/>
      <c r="B20" s="618"/>
      <c r="C20" s="618"/>
      <c r="D20" s="618"/>
      <c r="E20" s="618"/>
      <c r="F20" s="618"/>
      <c r="G20" s="618"/>
      <c r="H20" s="618"/>
      <c r="I20" s="618"/>
      <c r="J20" s="618"/>
      <c r="K20" s="618"/>
      <c r="L20" s="618"/>
      <c r="M20" s="618"/>
      <c r="N20" s="618"/>
      <c r="O20" s="618"/>
      <c r="P20" s="618"/>
      <c r="Q20" s="618"/>
      <c r="R20" s="618"/>
      <c r="S20" s="618"/>
      <c r="T20" s="618"/>
      <c r="U20" s="618"/>
      <c r="V20" s="618"/>
      <c r="W20" s="618"/>
      <c r="X20" s="618"/>
      <c r="Y20" s="618"/>
      <c r="Z20" s="618"/>
      <c r="AA20" s="618"/>
      <c r="AB20" s="618"/>
      <c r="AC20" s="618"/>
      <c r="AD20" s="618"/>
      <c r="AE20" s="618"/>
      <c r="AF20" s="618"/>
      <c r="AG20" s="618"/>
      <c r="AH20" s="618"/>
      <c r="AI20" s="618"/>
      <c r="AJ20" s="618"/>
      <c r="AK20" s="618"/>
      <c r="AL20" s="618"/>
      <c r="AM20" s="618"/>
      <c r="AN20" s="618"/>
      <c r="AO20" s="618"/>
      <c r="AP20" s="618"/>
      <c r="AQ20" s="618"/>
      <c r="AR20" s="618"/>
      <c r="AS20" s="618"/>
      <c r="AT20" s="618"/>
      <c r="AU20" s="618"/>
      <c r="AV20" s="618"/>
      <c r="AW20" s="618"/>
      <c r="AX20" s="618"/>
      <c r="AY20" s="618"/>
      <c r="AZ20" s="618"/>
      <c r="BA20" s="618"/>
      <c r="BB20" s="618"/>
      <c r="BC20" s="618"/>
      <c r="BD20" s="618"/>
      <c r="BE20" s="618"/>
      <c r="BF20" s="618"/>
      <c r="BG20" s="618"/>
      <c r="BH20" s="618"/>
      <c r="BI20" s="618"/>
      <c r="BJ20" s="618"/>
      <c r="BK20" s="618"/>
      <c r="BL20" s="618"/>
      <c r="BM20" s="618"/>
      <c r="BN20" s="618"/>
    </row>
    <row r="21" spans="1:66" x14ac:dyDescent="0.15">
      <c r="A21" s="618"/>
      <c r="B21" s="618"/>
      <c r="C21" s="618"/>
      <c r="D21" s="618"/>
      <c r="E21" s="618"/>
      <c r="F21" s="618"/>
      <c r="G21" s="618"/>
      <c r="H21" s="618"/>
      <c r="I21" s="618"/>
      <c r="J21" s="618"/>
      <c r="K21" s="618"/>
      <c r="L21" s="618"/>
      <c r="M21" s="618"/>
      <c r="N21" s="618"/>
      <c r="O21" s="618"/>
      <c r="P21" s="618"/>
      <c r="Q21" s="618"/>
      <c r="R21" s="618"/>
      <c r="S21" s="618"/>
      <c r="T21" s="618"/>
      <c r="U21" s="618"/>
      <c r="V21" s="618"/>
      <c r="W21" s="618"/>
      <c r="X21" s="618"/>
      <c r="Y21" s="618"/>
      <c r="Z21" s="618"/>
      <c r="AA21" s="618"/>
      <c r="AB21" s="618"/>
      <c r="AC21" s="618"/>
      <c r="AD21" s="618"/>
      <c r="AE21" s="618"/>
      <c r="AF21" s="618"/>
      <c r="AG21" s="618"/>
      <c r="AH21" s="618"/>
      <c r="AI21" s="618"/>
      <c r="AJ21" s="618"/>
      <c r="AK21" s="618"/>
      <c r="AL21" s="618"/>
      <c r="AM21" s="618"/>
      <c r="AN21" s="618"/>
      <c r="AO21" s="618"/>
      <c r="AP21" s="618"/>
      <c r="AQ21" s="618"/>
      <c r="AR21" s="618"/>
      <c r="AS21" s="618"/>
      <c r="AT21" s="618"/>
      <c r="AU21" s="618"/>
      <c r="AV21" s="618"/>
      <c r="AW21" s="618"/>
      <c r="AX21" s="618"/>
      <c r="AY21" s="618"/>
      <c r="AZ21" s="618"/>
      <c r="BA21" s="618"/>
      <c r="BB21" s="618"/>
      <c r="BC21" s="618"/>
      <c r="BD21" s="618"/>
      <c r="BE21" s="618"/>
      <c r="BF21" s="618"/>
      <c r="BG21" s="618"/>
      <c r="BH21" s="618"/>
      <c r="BI21" s="618"/>
      <c r="BJ21" s="618"/>
      <c r="BK21" s="618"/>
      <c r="BL21" s="618"/>
      <c r="BM21" s="618"/>
      <c r="BN21" s="618"/>
    </row>
    <row r="22" spans="1:66" ht="13.5" customHeight="1" x14ac:dyDescent="0.15">
      <c r="A22" s="618" t="s">
        <v>589</v>
      </c>
      <c r="B22" s="618"/>
      <c r="C22" s="618"/>
      <c r="D22" s="618"/>
      <c r="E22" s="618"/>
      <c r="F22" s="618"/>
      <c r="G22" s="618"/>
      <c r="H22" s="618"/>
      <c r="I22" s="618"/>
      <c r="J22" s="618"/>
      <c r="K22" s="618"/>
      <c r="L22" s="618"/>
      <c r="M22" s="618"/>
      <c r="N22" s="618"/>
      <c r="O22" s="618"/>
      <c r="P22" s="618"/>
      <c r="Q22" s="618"/>
      <c r="R22" s="618"/>
      <c r="S22" s="618"/>
      <c r="T22" s="618"/>
      <c r="U22" s="618"/>
      <c r="V22" s="618"/>
      <c r="W22" s="618"/>
      <c r="X22" s="618"/>
      <c r="Y22" s="618"/>
      <c r="Z22" s="618"/>
      <c r="AA22" s="618"/>
      <c r="AB22" s="618"/>
      <c r="AC22" s="618"/>
      <c r="AD22" s="618"/>
      <c r="AE22" s="618"/>
      <c r="AF22" s="618"/>
      <c r="AG22" s="618"/>
      <c r="AH22" s="618"/>
      <c r="AI22" s="618"/>
      <c r="AJ22" s="618"/>
      <c r="AK22" s="618"/>
      <c r="AL22" s="618"/>
      <c r="AM22" s="618"/>
      <c r="AN22" s="618"/>
      <c r="AO22" s="618"/>
      <c r="AP22" s="618"/>
      <c r="AQ22" s="618"/>
      <c r="AR22" s="618"/>
      <c r="AS22" s="618"/>
      <c r="AT22" s="618"/>
      <c r="AU22" s="618"/>
      <c r="AV22" s="618"/>
      <c r="AW22" s="618"/>
      <c r="AX22" s="618"/>
      <c r="AY22" s="618"/>
      <c r="AZ22" s="618"/>
      <c r="BA22" s="618"/>
      <c r="BB22" s="618"/>
      <c r="BC22" s="618"/>
      <c r="BD22" s="618"/>
      <c r="BE22" s="618"/>
      <c r="BF22" s="618"/>
      <c r="BG22" s="618"/>
      <c r="BH22" s="618"/>
      <c r="BI22" s="618"/>
      <c r="BJ22" s="618"/>
      <c r="BK22" s="618"/>
      <c r="BL22" s="618"/>
      <c r="BM22" s="618"/>
      <c r="BN22" s="618"/>
    </row>
    <row r="23" spans="1:66" x14ac:dyDescent="0.15">
      <c r="A23" s="618"/>
      <c r="B23" s="618"/>
      <c r="C23" s="618"/>
      <c r="D23" s="618"/>
      <c r="E23" s="618"/>
      <c r="F23" s="618"/>
      <c r="G23" s="618"/>
      <c r="H23" s="618"/>
      <c r="I23" s="618"/>
      <c r="J23" s="618"/>
      <c r="K23" s="618"/>
      <c r="L23" s="618"/>
      <c r="M23" s="618"/>
      <c r="N23" s="618"/>
      <c r="O23" s="618"/>
      <c r="P23" s="618"/>
      <c r="Q23" s="618"/>
      <c r="R23" s="618"/>
      <c r="S23" s="618"/>
      <c r="T23" s="618"/>
      <c r="U23" s="618"/>
      <c r="V23" s="618"/>
      <c r="W23" s="618"/>
      <c r="X23" s="618"/>
      <c r="Y23" s="618"/>
      <c r="Z23" s="618"/>
      <c r="AA23" s="618"/>
      <c r="AB23" s="618"/>
      <c r="AC23" s="618"/>
      <c r="AD23" s="618"/>
      <c r="AE23" s="618"/>
      <c r="AF23" s="618"/>
      <c r="AG23" s="618"/>
      <c r="AH23" s="618"/>
      <c r="AI23" s="618"/>
      <c r="AJ23" s="618"/>
      <c r="AK23" s="618"/>
      <c r="AL23" s="618"/>
      <c r="AM23" s="618"/>
      <c r="AN23" s="618"/>
      <c r="AO23" s="618"/>
      <c r="AP23" s="618"/>
      <c r="AQ23" s="618"/>
      <c r="AR23" s="618"/>
      <c r="AS23" s="618"/>
      <c r="AT23" s="618"/>
      <c r="AU23" s="618"/>
      <c r="AV23" s="618"/>
      <c r="AW23" s="618"/>
      <c r="AX23" s="618"/>
      <c r="AY23" s="618"/>
      <c r="AZ23" s="618"/>
      <c r="BA23" s="618"/>
      <c r="BB23" s="618"/>
      <c r="BC23" s="618"/>
      <c r="BD23" s="618"/>
      <c r="BE23" s="618"/>
      <c r="BF23" s="618"/>
      <c r="BG23" s="618"/>
      <c r="BH23" s="618"/>
      <c r="BI23" s="618"/>
      <c r="BJ23" s="618"/>
      <c r="BK23" s="618"/>
      <c r="BL23" s="618"/>
      <c r="BM23" s="618"/>
      <c r="BN23" s="618"/>
    </row>
    <row r="24" spans="1:66" x14ac:dyDescent="0.15">
      <c r="A24" s="618"/>
      <c r="B24" s="618"/>
      <c r="C24" s="618"/>
      <c r="D24" s="618"/>
      <c r="E24" s="618"/>
      <c r="F24" s="618"/>
      <c r="G24" s="618"/>
      <c r="H24" s="618"/>
      <c r="I24" s="618"/>
      <c r="J24" s="618"/>
      <c r="K24" s="618"/>
      <c r="L24" s="618"/>
      <c r="M24" s="618"/>
      <c r="N24" s="618"/>
      <c r="O24" s="618"/>
      <c r="P24" s="618"/>
      <c r="Q24" s="618"/>
      <c r="R24" s="618"/>
      <c r="S24" s="618"/>
      <c r="T24" s="618"/>
      <c r="U24" s="618"/>
      <c r="V24" s="618"/>
      <c r="W24" s="618"/>
      <c r="X24" s="618"/>
      <c r="Y24" s="618"/>
      <c r="Z24" s="618"/>
      <c r="AA24" s="618"/>
      <c r="AB24" s="618"/>
      <c r="AC24" s="618"/>
      <c r="AD24" s="618"/>
      <c r="AE24" s="618"/>
      <c r="AF24" s="618"/>
      <c r="AG24" s="618"/>
      <c r="AH24" s="618"/>
      <c r="AI24" s="618"/>
      <c r="AJ24" s="618"/>
      <c r="AK24" s="618"/>
      <c r="AL24" s="618"/>
      <c r="AM24" s="618"/>
      <c r="AN24" s="618"/>
      <c r="AO24" s="618"/>
      <c r="AP24" s="618"/>
      <c r="AQ24" s="618"/>
      <c r="AR24" s="618"/>
      <c r="AS24" s="618"/>
      <c r="AT24" s="618"/>
      <c r="AU24" s="618"/>
      <c r="AV24" s="618"/>
      <c r="AW24" s="618"/>
      <c r="AX24" s="618"/>
      <c r="AY24" s="618"/>
      <c r="AZ24" s="618"/>
      <c r="BA24" s="618"/>
      <c r="BB24" s="618"/>
      <c r="BC24" s="618"/>
      <c r="BD24" s="618"/>
      <c r="BE24" s="618"/>
      <c r="BF24" s="618"/>
      <c r="BG24" s="618"/>
      <c r="BH24" s="618"/>
      <c r="BI24" s="618"/>
      <c r="BJ24" s="618"/>
      <c r="BK24" s="618"/>
      <c r="BL24" s="618"/>
      <c r="BM24" s="618"/>
      <c r="BN24" s="618"/>
    </row>
    <row r="25" spans="1:66" ht="13.5" customHeight="1" x14ac:dyDescent="0.15">
      <c r="A25" s="618" t="s">
        <v>589</v>
      </c>
      <c r="B25" s="618"/>
      <c r="C25" s="618"/>
      <c r="D25" s="618"/>
      <c r="E25" s="618"/>
      <c r="F25" s="618"/>
      <c r="G25" s="618"/>
      <c r="H25" s="618"/>
      <c r="I25" s="618"/>
      <c r="J25" s="618"/>
      <c r="K25" s="618"/>
      <c r="L25" s="618"/>
      <c r="M25" s="618"/>
      <c r="N25" s="618"/>
      <c r="O25" s="618"/>
      <c r="P25" s="618"/>
      <c r="Q25" s="618"/>
      <c r="R25" s="618"/>
      <c r="S25" s="618"/>
      <c r="T25" s="618"/>
      <c r="U25" s="618"/>
      <c r="V25" s="618"/>
      <c r="W25" s="618"/>
      <c r="X25" s="618"/>
      <c r="Y25" s="618"/>
      <c r="Z25" s="618"/>
      <c r="AA25" s="618"/>
      <c r="AB25" s="618"/>
      <c r="AC25" s="618"/>
      <c r="AD25" s="618"/>
      <c r="AE25" s="618"/>
      <c r="AF25" s="618"/>
      <c r="AG25" s="618"/>
      <c r="AH25" s="618"/>
      <c r="AI25" s="618"/>
      <c r="AJ25" s="618"/>
      <c r="AK25" s="618"/>
      <c r="AL25" s="618"/>
      <c r="AM25" s="618"/>
      <c r="AN25" s="618"/>
      <c r="AO25" s="618"/>
      <c r="AP25" s="618"/>
      <c r="AQ25" s="618"/>
      <c r="AR25" s="618"/>
      <c r="AS25" s="618"/>
      <c r="AT25" s="618"/>
      <c r="AU25" s="618"/>
      <c r="AV25" s="618"/>
      <c r="AW25" s="618"/>
      <c r="AX25" s="618"/>
      <c r="AY25" s="618"/>
      <c r="AZ25" s="618"/>
      <c r="BA25" s="618"/>
      <c r="BB25" s="618"/>
      <c r="BC25" s="618"/>
      <c r="BD25" s="618"/>
      <c r="BE25" s="618"/>
      <c r="BF25" s="618"/>
      <c r="BG25" s="618"/>
      <c r="BH25" s="618"/>
      <c r="BI25" s="618"/>
      <c r="BJ25" s="618"/>
      <c r="BK25" s="618"/>
      <c r="BL25" s="618"/>
      <c r="BM25" s="618"/>
      <c r="BN25" s="618"/>
    </row>
    <row r="26" spans="1:66" x14ac:dyDescent="0.15">
      <c r="A26" s="618"/>
      <c r="B26" s="618"/>
      <c r="C26" s="618"/>
      <c r="D26" s="618"/>
      <c r="E26" s="618"/>
      <c r="F26" s="618"/>
      <c r="G26" s="618"/>
      <c r="H26" s="618"/>
      <c r="I26" s="618"/>
      <c r="J26" s="618"/>
      <c r="K26" s="618"/>
      <c r="L26" s="618"/>
      <c r="M26" s="618"/>
      <c r="N26" s="618"/>
      <c r="O26" s="618"/>
      <c r="P26" s="618"/>
      <c r="Q26" s="618"/>
      <c r="R26" s="618"/>
      <c r="S26" s="618"/>
      <c r="T26" s="618"/>
      <c r="U26" s="618"/>
      <c r="V26" s="618"/>
      <c r="W26" s="618"/>
      <c r="X26" s="618"/>
      <c r="Y26" s="618"/>
      <c r="Z26" s="618"/>
      <c r="AA26" s="618"/>
      <c r="AB26" s="618"/>
      <c r="AC26" s="618"/>
      <c r="AD26" s="618"/>
      <c r="AE26" s="618"/>
      <c r="AF26" s="618"/>
      <c r="AG26" s="618"/>
      <c r="AH26" s="618"/>
      <c r="AI26" s="618"/>
      <c r="AJ26" s="618"/>
      <c r="AK26" s="618"/>
      <c r="AL26" s="618"/>
      <c r="AM26" s="618"/>
      <c r="AN26" s="618"/>
      <c r="AO26" s="618"/>
      <c r="AP26" s="618"/>
      <c r="AQ26" s="618"/>
      <c r="AR26" s="618"/>
      <c r="AS26" s="618"/>
      <c r="AT26" s="618"/>
      <c r="AU26" s="618"/>
      <c r="AV26" s="618"/>
      <c r="AW26" s="618"/>
      <c r="AX26" s="618"/>
      <c r="AY26" s="618"/>
      <c r="AZ26" s="618"/>
      <c r="BA26" s="618"/>
      <c r="BB26" s="618"/>
      <c r="BC26" s="618"/>
      <c r="BD26" s="618"/>
      <c r="BE26" s="618"/>
      <c r="BF26" s="618"/>
      <c r="BG26" s="618"/>
      <c r="BH26" s="618"/>
      <c r="BI26" s="618"/>
      <c r="BJ26" s="618"/>
      <c r="BK26" s="618"/>
      <c r="BL26" s="618"/>
      <c r="BM26" s="618"/>
      <c r="BN26" s="618"/>
    </row>
    <row r="27" spans="1:66" x14ac:dyDescent="0.15">
      <c r="A27" s="618"/>
      <c r="B27" s="618"/>
      <c r="C27" s="618"/>
      <c r="D27" s="618"/>
      <c r="E27" s="618"/>
      <c r="F27" s="618"/>
      <c r="G27" s="618"/>
      <c r="H27" s="618"/>
      <c r="I27" s="618"/>
      <c r="J27" s="618"/>
      <c r="K27" s="618"/>
      <c r="L27" s="618"/>
      <c r="M27" s="618"/>
      <c r="N27" s="618"/>
      <c r="O27" s="618"/>
      <c r="P27" s="618"/>
      <c r="Q27" s="618"/>
      <c r="R27" s="618"/>
      <c r="S27" s="618"/>
      <c r="T27" s="618"/>
      <c r="U27" s="618"/>
      <c r="V27" s="618"/>
      <c r="W27" s="618"/>
      <c r="X27" s="618"/>
      <c r="Y27" s="618"/>
      <c r="Z27" s="618"/>
      <c r="AA27" s="618"/>
      <c r="AB27" s="618"/>
      <c r="AC27" s="618"/>
      <c r="AD27" s="618"/>
      <c r="AE27" s="618"/>
      <c r="AF27" s="618"/>
      <c r="AG27" s="618"/>
      <c r="AH27" s="618"/>
      <c r="AI27" s="618"/>
      <c r="AJ27" s="618"/>
      <c r="AK27" s="618"/>
      <c r="AL27" s="618"/>
      <c r="AM27" s="618"/>
      <c r="AN27" s="618"/>
      <c r="AO27" s="618"/>
      <c r="AP27" s="618"/>
      <c r="AQ27" s="618"/>
      <c r="AR27" s="618"/>
      <c r="AS27" s="618"/>
      <c r="AT27" s="618"/>
      <c r="AU27" s="618"/>
      <c r="AV27" s="618"/>
      <c r="AW27" s="618"/>
      <c r="AX27" s="618"/>
      <c r="AY27" s="618"/>
      <c r="AZ27" s="618"/>
      <c r="BA27" s="618"/>
      <c r="BB27" s="618"/>
      <c r="BC27" s="618"/>
      <c r="BD27" s="618"/>
      <c r="BE27" s="618"/>
      <c r="BF27" s="618"/>
      <c r="BG27" s="618"/>
      <c r="BH27" s="618"/>
      <c r="BI27" s="618"/>
      <c r="BJ27" s="618"/>
      <c r="BK27" s="618"/>
      <c r="BL27" s="618"/>
      <c r="BM27" s="618"/>
      <c r="BN27" s="618"/>
    </row>
    <row r="28" spans="1:66" ht="13.5" customHeight="1" x14ac:dyDescent="0.15">
      <c r="A28" s="618" t="s">
        <v>589</v>
      </c>
      <c r="B28" s="618"/>
      <c r="C28" s="618"/>
      <c r="D28" s="618"/>
      <c r="E28" s="618"/>
      <c r="F28" s="618"/>
      <c r="G28" s="618"/>
      <c r="H28" s="618"/>
      <c r="I28" s="618"/>
      <c r="J28" s="618"/>
      <c r="K28" s="618"/>
      <c r="L28" s="618"/>
      <c r="M28" s="618"/>
      <c r="N28" s="618"/>
      <c r="O28" s="618"/>
      <c r="P28" s="618"/>
      <c r="Q28" s="618"/>
      <c r="R28" s="618"/>
      <c r="S28" s="618"/>
      <c r="T28" s="618"/>
      <c r="U28" s="618"/>
      <c r="V28" s="618"/>
      <c r="W28" s="618"/>
      <c r="X28" s="618"/>
      <c r="Y28" s="618"/>
      <c r="Z28" s="618"/>
      <c r="AA28" s="618"/>
      <c r="AB28" s="618"/>
      <c r="AC28" s="618"/>
      <c r="AD28" s="618"/>
      <c r="AE28" s="618"/>
      <c r="AF28" s="618"/>
      <c r="AG28" s="618"/>
      <c r="AH28" s="618"/>
      <c r="AI28" s="618"/>
      <c r="AJ28" s="618"/>
      <c r="AK28" s="618"/>
      <c r="AL28" s="618"/>
      <c r="AM28" s="618"/>
      <c r="AN28" s="618"/>
      <c r="AO28" s="618"/>
      <c r="AP28" s="618"/>
      <c r="AQ28" s="618"/>
      <c r="AR28" s="618"/>
      <c r="AS28" s="618"/>
      <c r="AT28" s="618"/>
      <c r="AU28" s="618"/>
      <c r="AV28" s="618"/>
      <c r="AW28" s="618"/>
      <c r="AX28" s="618"/>
      <c r="AY28" s="618"/>
      <c r="AZ28" s="618"/>
      <c r="BA28" s="618"/>
      <c r="BB28" s="618"/>
      <c r="BC28" s="618"/>
      <c r="BD28" s="618"/>
      <c r="BE28" s="618"/>
      <c r="BF28" s="618"/>
      <c r="BG28" s="618"/>
      <c r="BH28" s="618"/>
      <c r="BI28" s="618"/>
      <c r="BJ28" s="618"/>
      <c r="BK28" s="618"/>
      <c r="BL28" s="618"/>
      <c r="BM28" s="618"/>
      <c r="BN28" s="618"/>
    </row>
    <row r="29" spans="1:66" x14ac:dyDescent="0.15">
      <c r="A29" s="618"/>
      <c r="B29" s="618"/>
      <c r="C29" s="618"/>
      <c r="D29" s="618"/>
      <c r="E29" s="618"/>
      <c r="F29" s="618"/>
      <c r="G29" s="618"/>
      <c r="H29" s="618"/>
      <c r="I29" s="618"/>
      <c r="J29" s="618"/>
      <c r="K29" s="618"/>
      <c r="L29" s="618"/>
      <c r="M29" s="618"/>
      <c r="N29" s="618"/>
      <c r="O29" s="618"/>
      <c r="P29" s="618"/>
      <c r="Q29" s="618"/>
      <c r="R29" s="618"/>
      <c r="S29" s="618"/>
      <c r="T29" s="618"/>
      <c r="U29" s="618"/>
      <c r="V29" s="618"/>
      <c r="W29" s="618"/>
      <c r="X29" s="618"/>
      <c r="Y29" s="618"/>
      <c r="Z29" s="618"/>
      <c r="AA29" s="618"/>
      <c r="AB29" s="618"/>
      <c r="AC29" s="618"/>
      <c r="AD29" s="618"/>
      <c r="AE29" s="618"/>
      <c r="AF29" s="618"/>
      <c r="AG29" s="618"/>
      <c r="AH29" s="618"/>
      <c r="AI29" s="618"/>
      <c r="AJ29" s="618"/>
      <c r="AK29" s="618"/>
      <c r="AL29" s="618"/>
      <c r="AM29" s="618"/>
      <c r="AN29" s="618"/>
      <c r="AO29" s="618"/>
      <c r="AP29" s="618"/>
      <c r="AQ29" s="618"/>
      <c r="AR29" s="618"/>
      <c r="AS29" s="618"/>
      <c r="AT29" s="618"/>
      <c r="AU29" s="618"/>
      <c r="AV29" s="618"/>
      <c r="AW29" s="618"/>
      <c r="AX29" s="618"/>
      <c r="AY29" s="618"/>
      <c r="AZ29" s="618"/>
      <c r="BA29" s="618"/>
      <c r="BB29" s="618"/>
      <c r="BC29" s="618"/>
      <c r="BD29" s="618"/>
      <c r="BE29" s="618"/>
      <c r="BF29" s="618"/>
      <c r="BG29" s="618"/>
      <c r="BH29" s="618"/>
      <c r="BI29" s="618"/>
      <c r="BJ29" s="618"/>
      <c r="BK29" s="618"/>
      <c r="BL29" s="618"/>
      <c r="BM29" s="618"/>
      <c r="BN29" s="618"/>
    </row>
    <row r="30" spans="1:66" x14ac:dyDescent="0.15">
      <c r="A30" s="618"/>
      <c r="B30" s="618"/>
      <c r="C30" s="618"/>
      <c r="D30" s="618"/>
      <c r="E30" s="618"/>
      <c r="F30" s="618"/>
      <c r="G30" s="618"/>
      <c r="H30" s="618"/>
      <c r="I30" s="618"/>
      <c r="J30" s="618"/>
      <c r="K30" s="618"/>
      <c r="L30" s="618"/>
      <c r="M30" s="618"/>
      <c r="N30" s="618"/>
      <c r="O30" s="618"/>
      <c r="P30" s="618"/>
      <c r="Q30" s="618"/>
      <c r="R30" s="618"/>
      <c r="S30" s="618"/>
      <c r="T30" s="618"/>
      <c r="U30" s="618"/>
      <c r="V30" s="618"/>
      <c r="W30" s="618"/>
      <c r="X30" s="618"/>
      <c r="Y30" s="618"/>
      <c r="Z30" s="618"/>
      <c r="AA30" s="618"/>
      <c r="AB30" s="618"/>
      <c r="AC30" s="618"/>
      <c r="AD30" s="618"/>
      <c r="AE30" s="618"/>
      <c r="AF30" s="618"/>
      <c r="AG30" s="618"/>
      <c r="AH30" s="618"/>
      <c r="AI30" s="618"/>
      <c r="AJ30" s="618"/>
      <c r="AK30" s="618"/>
      <c r="AL30" s="618"/>
      <c r="AM30" s="618"/>
      <c r="AN30" s="618"/>
      <c r="AO30" s="618"/>
      <c r="AP30" s="618"/>
      <c r="AQ30" s="618"/>
      <c r="AR30" s="618"/>
      <c r="AS30" s="618"/>
      <c r="AT30" s="618"/>
      <c r="AU30" s="618"/>
      <c r="AV30" s="618"/>
      <c r="AW30" s="618"/>
      <c r="AX30" s="618"/>
      <c r="AY30" s="618"/>
      <c r="AZ30" s="618"/>
      <c r="BA30" s="618"/>
      <c r="BB30" s="618"/>
      <c r="BC30" s="618"/>
      <c r="BD30" s="618"/>
      <c r="BE30" s="618"/>
      <c r="BF30" s="618"/>
      <c r="BG30" s="618"/>
      <c r="BH30" s="618"/>
      <c r="BI30" s="618"/>
      <c r="BJ30" s="618"/>
      <c r="BK30" s="618"/>
      <c r="BL30" s="618"/>
      <c r="BM30" s="618"/>
      <c r="BN30" s="618"/>
    </row>
    <row r="31" spans="1:66" ht="13.5" customHeight="1" x14ac:dyDescent="0.15">
      <c r="A31" s="618" t="s">
        <v>589</v>
      </c>
      <c r="B31" s="618"/>
      <c r="C31" s="618"/>
      <c r="D31" s="618"/>
      <c r="E31" s="618"/>
      <c r="F31" s="618"/>
      <c r="G31" s="618"/>
      <c r="H31" s="618"/>
      <c r="I31" s="618"/>
      <c r="J31" s="618"/>
      <c r="K31" s="618"/>
      <c r="L31" s="618"/>
      <c r="M31" s="618"/>
      <c r="N31" s="618"/>
      <c r="O31" s="618"/>
      <c r="P31" s="618"/>
      <c r="Q31" s="618"/>
      <c r="R31" s="618"/>
      <c r="S31" s="618"/>
      <c r="T31" s="618"/>
      <c r="U31" s="618"/>
      <c r="V31" s="618"/>
      <c r="W31" s="618"/>
      <c r="X31" s="618"/>
      <c r="Y31" s="618"/>
      <c r="Z31" s="618"/>
      <c r="AA31" s="618"/>
      <c r="AB31" s="618"/>
      <c r="AC31" s="618"/>
      <c r="AD31" s="618"/>
      <c r="AE31" s="618"/>
      <c r="AF31" s="618"/>
      <c r="AG31" s="618"/>
      <c r="AH31" s="618"/>
      <c r="AI31" s="618"/>
      <c r="AJ31" s="618"/>
      <c r="AK31" s="618"/>
      <c r="AL31" s="618"/>
      <c r="AM31" s="618"/>
      <c r="AN31" s="618"/>
      <c r="AO31" s="618"/>
      <c r="AP31" s="618"/>
      <c r="AQ31" s="618"/>
      <c r="AR31" s="618"/>
      <c r="AS31" s="618"/>
      <c r="AT31" s="618"/>
      <c r="AU31" s="618"/>
      <c r="AV31" s="618"/>
      <c r="AW31" s="618"/>
      <c r="AX31" s="618"/>
      <c r="AY31" s="618"/>
      <c r="AZ31" s="618"/>
      <c r="BA31" s="618"/>
      <c r="BB31" s="618"/>
      <c r="BC31" s="618"/>
      <c r="BD31" s="618"/>
      <c r="BE31" s="618"/>
      <c r="BF31" s="618"/>
      <c r="BG31" s="618"/>
      <c r="BH31" s="618"/>
      <c r="BI31" s="618"/>
      <c r="BJ31" s="618"/>
      <c r="BK31" s="618"/>
      <c r="BL31" s="618"/>
      <c r="BM31" s="618"/>
      <c r="BN31" s="618"/>
    </row>
    <row r="32" spans="1:66" x14ac:dyDescent="0.15">
      <c r="A32" s="618"/>
      <c r="B32" s="618"/>
      <c r="C32" s="618"/>
      <c r="D32" s="618"/>
      <c r="E32" s="618"/>
      <c r="F32" s="618"/>
      <c r="G32" s="618"/>
      <c r="H32" s="618"/>
      <c r="I32" s="618"/>
      <c r="J32" s="618"/>
      <c r="K32" s="618"/>
      <c r="L32" s="618"/>
      <c r="M32" s="618"/>
      <c r="N32" s="618"/>
      <c r="O32" s="618"/>
      <c r="P32" s="618"/>
      <c r="Q32" s="618"/>
      <c r="R32" s="618"/>
      <c r="S32" s="618"/>
      <c r="T32" s="618"/>
      <c r="U32" s="618"/>
      <c r="V32" s="618"/>
      <c r="W32" s="618"/>
      <c r="X32" s="618"/>
      <c r="Y32" s="618"/>
      <c r="Z32" s="618"/>
      <c r="AA32" s="618"/>
      <c r="AB32" s="618"/>
      <c r="AC32" s="618"/>
      <c r="AD32" s="618"/>
      <c r="AE32" s="618"/>
      <c r="AF32" s="618"/>
      <c r="AG32" s="618"/>
      <c r="AH32" s="618"/>
      <c r="AI32" s="618"/>
      <c r="AJ32" s="618"/>
      <c r="AK32" s="618"/>
      <c r="AL32" s="618"/>
      <c r="AM32" s="618"/>
      <c r="AN32" s="618"/>
      <c r="AO32" s="618"/>
      <c r="AP32" s="618"/>
      <c r="AQ32" s="618"/>
      <c r="AR32" s="618"/>
      <c r="AS32" s="618"/>
      <c r="AT32" s="618"/>
      <c r="AU32" s="618"/>
      <c r="AV32" s="618"/>
      <c r="AW32" s="618"/>
      <c r="AX32" s="618"/>
      <c r="AY32" s="618"/>
      <c r="AZ32" s="618"/>
      <c r="BA32" s="618"/>
      <c r="BB32" s="618"/>
      <c r="BC32" s="618"/>
      <c r="BD32" s="618"/>
      <c r="BE32" s="618"/>
      <c r="BF32" s="618"/>
      <c r="BG32" s="618"/>
      <c r="BH32" s="618"/>
      <c r="BI32" s="618"/>
      <c r="BJ32" s="618"/>
      <c r="BK32" s="618"/>
      <c r="BL32" s="618"/>
      <c r="BM32" s="618"/>
      <c r="BN32" s="618"/>
    </row>
    <row r="33" spans="1:66" x14ac:dyDescent="0.15">
      <c r="A33" s="618"/>
      <c r="B33" s="618"/>
      <c r="C33" s="618"/>
      <c r="D33" s="618"/>
      <c r="E33" s="618"/>
      <c r="F33" s="618"/>
      <c r="G33" s="618"/>
      <c r="H33" s="618"/>
      <c r="I33" s="618"/>
      <c r="J33" s="618"/>
      <c r="K33" s="618"/>
      <c r="L33" s="618"/>
      <c r="M33" s="618"/>
      <c r="N33" s="618"/>
      <c r="O33" s="618"/>
      <c r="P33" s="618"/>
      <c r="Q33" s="618"/>
      <c r="R33" s="618"/>
      <c r="S33" s="618"/>
      <c r="T33" s="618"/>
      <c r="U33" s="618"/>
      <c r="V33" s="618"/>
      <c r="W33" s="618"/>
      <c r="X33" s="618"/>
      <c r="Y33" s="618"/>
      <c r="Z33" s="618"/>
      <c r="AA33" s="618"/>
      <c r="AB33" s="618"/>
      <c r="AC33" s="618"/>
      <c r="AD33" s="618"/>
      <c r="AE33" s="618"/>
      <c r="AF33" s="618"/>
      <c r="AG33" s="618"/>
      <c r="AH33" s="618"/>
      <c r="AI33" s="618"/>
      <c r="AJ33" s="618"/>
      <c r="AK33" s="618"/>
      <c r="AL33" s="618"/>
      <c r="AM33" s="618"/>
      <c r="AN33" s="618"/>
      <c r="AO33" s="618"/>
      <c r="AP33" s="618"/>
      <c r="AQ33" s="618"/>
      <c r="AR33" s="618"/>
      <c r="AS33" s="618"/>
      <c r="AT33" s="618"/>
      <c r="AU33" s="618"/>
      <c r="AV33" s="618"/>
      <c r="AW33" s="618"/>
      <c r="AX33" s="618"/>
      <c r="AY33" s="618"/>
      <c r="AZ33" s="618"/>
      <c r="BA33" s="618"/>
      <c r="BB33" s="618"/>
      <c r="BC33" s="618"/>
      <c r="BD33" s="618"/>
      <c r="BE33" s="618"/>
      <c r="BF33" s="618"/>
      <c r="BG33" s="618"/>
      <c r="BH33" s="618"/>
      <c r="BI33" s="618"/>
      <c r="BJ33" s="618"/>
      <c r="BK33" s="618"/>
      <c r="BL33" s="618"/>
      <c r="BM33" s="618"/>
      <c r="BN33" s="618"/>
    </row>
    <row r="34" spans="1:66" ht="13.5" customHeight="1" x14ac:dyDescent="0.15">
      <c r="A34" s="618" t="s">
        <v>589</v>
      </c>
      <c r="B34" s="618"/>
      <c r="C34" s="618"/>
      <c r="D34" s="618"/>
      <c r="E34" s="618"/>
      <c r="F34" s="618"/>
      <c r="G34" s="618"/>
      <c r="H34" s="618"/>
      <c r="I34" s="618"/>
      <c r="J34" s="618"/>
      <c r="K34" s="618"/>
      <c r="L34" s="618"/>
      <c r="M34" s="618"/>
      <c r="N34" s="618"/>
      <c r="O34" s="618"/>
      <c r="P34" s="618"/>
      <c r="Q34" s="618"/>
      <c r="R34" s="618"/>
      <c r="S34" s="618"/>
      <c r="T34" s="618"/>
      <c r="U34" s="618"/>
      <c r="V34" s="618"/>
      <c r="W34" s="618"/>
      <c r="X34" s="618"/>
      <c r="Y34" s="618"/>
      <c r="Z34" s="618"/>
      <c r="AA34" s="618"/>
      <c r="AB34" s="618"/>
      <c r="AC34" s="618"/>
      <c r="AD34" s="618"/>
      <c r="AE34" s="618"/>
      <c r="AF34" s="618"/>
      <c r="AG34" s="618"/>
      <c r="AH34" s="618"/>
      <c r="AI34" s="618"/>
      <c r="AJ34" s="618"/>
      <c r="AK34" s="618"/>
      <c r="AL34" s="618"/>
      <c r="AM34" s="618"/>
      <c r="AN34" s="618"/>
      <c r="AO34" s="618"/>
      <c r="AP34" s="618"/>
      <c r="AQ34" s="618"/>
      <c r="AR34" s="618"/>
      <c r="AS34" s="618"/>
      <c r="AT34" s="618"/>
      <c r="AU34" s="618"/>
      <c r="AV34" s="618"/>
      <c r="AW34" s="618"/>
      <c r="AX34" s="618"/>
      <c r="AY34" s="618"/>
      <c r="AZ34" s="618"/>
      <c r="BA34" s="618"/>
      <c r="BB34" s="618"/>
      <c r="BC34" s="618"/>
      <c r="BD34" s="618"/>
      <c r="BE34" s="618"/>
      <c r="BF34" s="618"/>
      <c r="BG34" s="618"/>
      <c r="BH34" s="618"/>
      <c r="BI34" s="618"/>
      <c r="BJ34" s="618"/>
      <c r="BK34" s="618"/>
      <c r="BL34" s="618"/>
      <c r="BM34" s="618"/>
      <c r="BN34" s="618"/>
    </row>
    <row r="35" spans="1:66" x14ac:dyDescent="0.15">
      <c r="A35" s="618"/>
      <c r="B35" s="618"/>
      <c r="C35" s="618"/>
      <c r="D35" s="618"/>
      <c r="E35" s="618"/>
      <c r="F35" s="618"/>
      <c r="G35" s="618"/>
      <c r="H35" s="618"/>
      <c r="I35" s="618"/>
      <c r="J35" s="618"/>
      <c r="K35" s="618"/>
      <c r="L35" s="618"/>
      <c r="M35" s="618"/>
      <c r="N35" s="618"/>
      <c r="O35" s="618"/>
      <c r="P35" s="618"/>
      <c r="Q35" s="618"/>
      <c r="R35" s="618"/>
      <c r="S35" s="618"/>
      <c r="T35" s="618"/>
      <c r="U35" s="618"/>
      <c r="V35" s="618"/>
      <c r="W35" s="618"/>
      <c r="X35" s="618"/>
      <c r="Y35" s="618"/>
      <c r="Z35" s="618"/>
      <c r="AA35" s="618"/>
      <c r="AB35" s="618"/>
      <c r="AC35" s="618"/>
      <c r="AD35" s="618"/>
      <c r="AE35" s="618"/>
      <c r="AF35" s="618"/>
      <c r="AG35" s="618"/>
      <c r="AH35" s="618"/>
      <c r="AI35" s="618"/>
      <c r="AJ35" s="618"/>
      <c r="AK35" s="618"/>
      <c r="AL35" s="618"/>
      <c r="AM35" s="618"/>
      <c r="AN35" s="618"/>
      <c r="AO35" s="618"/>
      <c r="AP35" s="618"/>
      <c r="AQ35" s="618"/>
      <c r="AR35" s="618"/>
      <c r="AS35" s="618"/>
      <c r="AT35" s="618"/>
      <c r="AU35" s="618"/>
      <c r="AV35" s="618"/>
      <c r="AW35" s="618"/>
      <c r="AX35" s="618"/>
      <c r="AY35" s="618"/>
      <c r="AZ35" s="618"/>
      <c r="BA35" s="618"/>
      <c r="BB35" s="618"/>
      <c r="BC35" s="618"/>
      <c r="BD35" s="618"/>
      <c r="BE35" s="618"/>
      <c r="BF35" s="618"/>
      <c r="BG35" s="618"/>
      <c r="BH35" s="618"/>
      <c r="BI35" s="618"/>
      <c r="BJ35" s="618"/>
      <c r="BK35" s="618"/>
      <c r="BL35" s="618"/>
      <c r="BM35" s="618"/>
      <c r="BN35" s="618"/>
    </row>
    <row r="36" spans="1:66" x14ac:dyDescent="0.15">
      <c r="A36" s="618"/>
      <c r="B36" s="618"/>
      <c r="C36" s="618"/>
      <c r="D36" s="618"/>
      <c r="E36" s="618"/>
      <c r="F36" s="618"/>
      <c r="G36" s="618"/>
      <c r="H36" s="618"/>
      <c r="I36" s="618"/>
      <c r="J36" s="618"/>
      <c r="K36" s="618"/>
      <c r="L36" s="618"/>
      <c r="M36" s="618"/>
      <c r="N36" s="618"/>
      <c r="O36" s="618"/>
      <c r="P36" s="618"/>
      <c r="Q36" s="618"/>
      <c r="R36" s="618"/>
      <c r="S36" s="618"/>
      <c r="T36" s="618"/>
      <c r="U36" s="618"/>
      <c r="V36" s="618"/>
      <c r="W36" s="618"/>
      <c r="X36" s="618"/>
      <c r="Y36" s="618"/>
      <c r="Z36" s="618"/>
      <c r="AA36" s="618"/>
      <c r="AB36" s="618"/>
      <c r="AC36" s="618"/>
      <c r="AD36" s="618"/>
      <c r="AE36" s="618"/>
      <c r="AF36" s="618"/>
      <c r="AG36" s="618"/>
      <c r="AH36" s="618"/>
      <c r="AI36" s="618"/>
      <c r="AJ36" s="618"/>
      <c r="AK36" s="618"/>
      <c r="AL36" s="618"/>
      <c r="AM36" s="618"/>
      <c r="AN36" s="618"/>
      <c r="AO36" s="618"/>
      <c r="AP36" s="618"/>
      <c r="AQ36" s="618"/>
      <c r="AR36" s="618"/>
      <c r="AS36" s="618"/>
      <c r="AT36" s="618"/>
      <c r="AU36" s="618"/>
      <c r="AV36" s="618"/>
      <c r="AW36" s="618"/>
      <c r="AX36" s="618"/>
      <c r="AY36" s="618"/>
      <c r="AZ36" s="618"/>
      <c r="BA36" s="618"/>
      <c r="BB36" s="618"/>
      <c r="BC36" s="618"/>
      <c r="BD36" s="618"/>
      <c r="BE36" s="618"/>
      <c r="BF36" s="618"/>
      <c r="BG36" s="618"/>
      <c r="BH36" s="618"/>
      <c r="BI36" s="618"/>
      <c r="BJ36" s="618"/>
      <c r="BK36" s="618"/>
      <c r="BL36" s="618"/>
      <c r="BM36" s="618"/>
      <c r="BN36" s="618"/>
    </row>
    <row r="37" spans="1:66" x14ac:dyDescent="0.15">
      <c r="A37" s="618" t="s">
        <v>589</v>
      </c>
      <c r="B37" s="618"/>
      <c r="C37" s="618"/>
      <c r="D37" s="618"/>
      <c r="E37" s="618"/>
      <c r="F37" s="618"/>
      <c r="G37" s="618"/>
      <c r="H37" s="618"/>
      <c r="I37" s="618"/>
      <c r="J37" s="618"/>
      <c r="K37" s="618"/>
      <c r="L37" s="618"/>
      <c r="M37" s="618"/>
      <c r="N37" s="618"/>
      <c r="O37" s="618"/>
      <c r="P37" s="618"/>
      <c r="Q37" s="618"/>
      <c r="R37" s="618"/>
      <c r="S37" s="618"/>
      <c r="T37" s="618"/>
      <c r="U37" s="618"/>
      <c r="V37" s="618"/>
      <c r="W37" s="618"/>
      <c r="X37" s="618"/>
      <c r="Y37" s="618"/>
      <c r="Z37" s="618"/>
      <c r="AA37" s="618"/>
      <c r="AB37" s="618"/>
      <c r="AC37" s="618"/>
      <c r="AD37" s="618"/>
      <c r="AE37" s="618"/>
      <c r="AF37" s="618"/>
      <c r="AG37" s="618"/>
      <c r="AH37" s="618"/>
      <c r="AI37" s="618"/>
      <c r="AJ37" s="618"/>
      <c r="AK37" s="618"/>
      <c r="AL37" s="618"/>
      <c r="AM37" s="618"/>
      <c r="AN37" s="618"/>
      <c r="AO37" s="618"/>
      <c r="AP37" s="618"/>
      <c r="AQ37" s="618"/>
      <c r="AR37" s="618"/>
      <c r="AS37" s="618"/>
      <c r="AT37" s="618"/>
      <c r="AU37" s="618"/>
      <c r="AV37" s="618"/>
      <c r="AW37" s="618"/>
      <c r="AX37" s="618"/>
      <c r="AY37" s="618"/>
      <c r="AZ37" s="618"/>
      <c r="BA37" s="618"/>
      <c r="BB37" s="618"/>
      <c r="BC37" s="618"/>
      <c r="BD37" s="618"/>
      <c r="BE37" s="618"/>
      <c r="BF37" s="618"/>
      <c r="BG37" s="618"/>
      <c r="BH37" s="618"/>
      <c r="BI37" s="618"/>
      <c r="BJ37" s="618"/>
      <c r="BK37" s="618"/>
      <c r="BL37" s="618"/>
      <c r="BM37" s="618"/>
      <c r="BN37" s="618"/>
    </row>
    <row r="38" spans="1:66" x14ac:dyDescent="0.15">
      <c r="A38" s="618"/>
      <c r="B38" s="618"/>
      <c r="C38" s="618"/>
      <c r="D38" s="618"/>
      <c r="E38" s="618"/>
      <c r="F38" s="618"/>
      <c r="G38" s="618"/>
      <c r="H38" s="618"/>
      <c r="I38" s="618"/>
      <c r="J38" s="618"/>
      <c r="K38" s="618"/>
      <c r="L38" s="618"/>
      <c r="M38" s="618"/>
      <c r="N38" s="618"/>
      <c r="O38" s="618"/>
      <c r="P38" s="618"/>
      <c r="Q38" s="618"/>
      <c r="R38" s="618"/>
      <c r="S38" s="618"/>
      <c r="T38" s="618"/>
      <c r="U38" s="618"/>
      <c r="V38" s="618"/>
      <c r="W38" s="618"/>
      <c r="X38" s="618"/>
      <c r="Y38" s="618"/>
      <c r="Z38" s="618"/>
      <c r="AA38" s="618"/>
      <c r="AB38" s="618"/>
      <c r="AC38" s="618"/>
      <c r="AD38" s="618"/>
      <c r="AE38" s="618"/>
      <c r="AF38" s="618"/>
      <c r="AG38" s="618"/>
      <c r="AH38" s="618"/>
      <c r="AI38" s="618"/>
      <c r="AJ38" s="618"/>
      <c r="AK38" s="618"/>
      <c r="AL38" s="618"/>
      <c r="AM38" s="618"/>
      <c r="AN38" s="618"/>
      <c r="AO38" s="618"/>
      <c r="AP38" s="618"/>
      <c r="AQ38" s="618"/>
      <c r="AR38" s="618"/>
      <c r="AS38" s="618"/>
      <c r="AT38" s="618"/>
      <c r="AU38" s="618"/>
      <c r="AV38" s="618"/>
      <c r="AW38" s="618"/>
      <c r="AX38" s="618"/>
      <c r="AY38" s="618"/>
      <c r="AZ38" s="618"/>
      <c r="BA38" s="618"/>
      <c r="BB38" s="618"/>
      <c r="BC38" s="618"/>
      <c r="BD38" s="618"/>
      <c r="BE38" s="618"/>
      <c r="BF38" s="618"/>
      <c r="BG38" s="618"/>
      <c r="BH38" s="618"/>
      <c r="BI38" s="618"/>
      <c r="BJ38" s="618"/>
      <c r="BK38" s="618"/>
      <c r="BL38" s="618"/>
      <c r="BM38" s="618"/>
      <c r="BN38" s="618"/>
    </row>
    <row r="39" spans="1:66" x14ac:dyDescent="0.15">
      <c r="A39" s="618"/>
      <c r="B39" s="618"/>
      <c r="C39" s="618"/>
      <c r="D39" s="618"/>
      <c r="E39" s="618"/>
      <c r="F39" s="618"/>
      <c r="G39" s="618"/>
      <c r="H39" s="618"/>
      <c r="I39" s="618"/>
      <c r="J39" s="618"/>
      <c r="K39" s="618"/>
      <c r="L39" s="618"/>
      <c r="M39" s="618"/>
      <c r="N39" s="618"/>
      <c r="O39" s="618"/>
      <c r="P39" s="618"/>
      <c r="Q39" s="618"/>
      <c r="R39" s="618"/>
      <c r="S39" s="618"/>
      <c r="T39" s="618"/>
      <c r="U39" s="618"/>
      <c r="V39" s="618"/>
      <c r="W39" s="618"/>
      <c r="X39" s="618"/>
      <c r="Y39" s="618"/>
      <c r="Z39" s="618"/>
      <c r="AA39" s="618"/>
      <c r="AB39" s="618"/>
      <c r="AC39" s="618"/>
      <c r="AD39" s="618"/>
      <c r="AE39" s="618"/>
      <c r="AF39" s="618"/>
      <c r="AG39" s="618"/>
      <c r="AH39" s="618"/>
      <c r="AI39" s="618"/>
      <c r="AJ39" s="618"/>
      <c r="AK39" s="618"/>
      <c r="AL39" s="618"/>
      <c r="AM39" s="618"/>
      <c r="AN39" s="618"/>
      <c r="AO39" s="618"/>
      <c r="AP39" s="618"/>
      <c r="AQ39" s="618"/>
      <c r="AR39" s="618"/>
      <c r="AS39" s="618"/>
      <c r="AT39" s="618"/>
      <c r="AU39" s="618"/>
      <c r="AV39" s="618"/>
      <c r="AW39" s="618"/>
      <c r="AX39" s="618"/>
      <c r="AY39" s="618"/>
      <c r="AZ39" s="618"/>
      <c r="BA39" s="618"/>
      <c r="BB39" s="618"/>
      <c r="BC39" s="618"/>
      <c r="BD39" s="618"/>
      <c r="BE39" s="618"/>
      <c r="BF39" s="618"/>
      <c r="BG39" s="618"/>
      <c r="BH39" s="618"/>
      <c r="BI39" s="618"/>
      <c r="BJ39" s="618"/>
      <c r="BK39" s="618"/>
      <c r="BL39" s="618"/>
      <c r="BM39" s="618"/>
      <c r="BN39" s="618"/>
    </row>
    <row r="40" spans="1:66" x14ac:dyDescent="0.15">
      <c r="A40" s="618" t="s">
        <v>589</v>
      </c>
      <c r="B40" s="618"/>
      <c r="C40" s="618"/>
      <c r="D40" s="618"/>
      <c r="E40" s="618"/>
      <c r="F40" s="618"/>
      <c r="G40" s="618"/>
      <c r="H40" s="618"/>
      <c r="I40" s="618"/>
      <c r="J40" s="618"/>
      <c r="K40" s="618"/>
      <c r="L40" s="618"/>
      <c r="M40" s="618"/>
      <c r="N40" s="618"/>
      <c r="O40" s="618"/>
      <c r="P40" s="618"/>
      <c r="Q40" s="618"/>
      <c r="R40" s="618"/>
      <c r="S40" s="618"/>
      <c r="T40" s="618"/>
      <c r="U40" s="618"/>
      <c r="V40" s="618"/>
      <c r="W40" s="618"/>
      <c r="X40" s="618"/>
      <c r="Y40" s="618"/>
      <c r="Z40" s="618"/>
      <c r="AA40" s="618"/>
      <c r="AB40" s="618"/>
      <c r="AC40" s="618"/>
      <c r="AD40" s="618"/>
      <c r="AE40" s="618"/>
      <c r="AF40" s="618"/>
      <c r="AG40" s="618"/>
      <c r="AH40" s="618"/>
      <c r="AI40" s="618"/>
      <c r="AJ40" s="618"/>
      <c r="AK40" s="618"/>
      <c r="AL40" s="618"/>
      <c r="AM40" s="618"/>
      <c r="AN40" s="618"/>
      <c r="AO40" s="618"/>
      <c r="AP40" s="618"/>
      <c r="AQ40" s="618"/>
      <c r="AR40" s="618"/>
      <c r="AS40" s="618"/>
      <c r="AT40" s="618"/>
      <c r="AU40" s="618"/>
      <c r="AV40" s="618"/>
      <c r="AW40" s="618"/>
      <c r="AX40" s="618"/>
      <c r="AY40" s="618"/>
      <c r="AZ40" s="618"/>
      <c r="BA40" s="618"/>
      <c r="BB40" s="618"/>
      <c r="BC40" s="618"/>
      <c r="BD40" s="618"/>
      <c r="BE40" s="618"/>
      <c r="BF40" s="618"/>
      <c r="BG40" s="618"/>
      <c r="BH40" s="618"/>
      <c r="BI40" s="618"/>
      <c r="BJ40" s="618"/>
      <c r="BK40" s="618"/>
      <c r="BL40" s="618"/>
      <c r="BM40" s="618"/>
      <c r="BN40" s="618"/>
    </row>
    <row r="41" spans="1:66" x14ac:dyDescent="0.15">
      <c r="A41" s="618"/>
      <c r="B41" s="618"/>
      <c r="C41" s="618"/>
      <c r="D41" s="618"/>
      <c r="E41" s="618"/>
      <c r="F41" s="618"/>
      <c r="G41" s="618"/>
      <c r="H41" s="618"/>
      <c r="I41" s="618"/>
      <c r="J41" s="618"/>
      <c r="K41" s="618"/>
      <c r="L41" s="618"/>
      <c r="M41" s="618"/>
      <c r="N41" s="618"/>
      <c r="O41" s="618"/>
      <c r="P41" s="618"/>
      <c r="Q41" s="618"/>
      <c r="R41" s="618"/>
      <c r="S41" s="618"/>
      <c r="T41" s="618"/>
      <c r="U41" s="618"/>
      <c r="V41" s="618"/>
      <c r="W41" s="618"/>
      <c r="X41" s="618"/>
      <c r="Y41" s="618"/>
      <c r="Z41" s="618"/>
      <c r="AA41" s="618"/>
      <c r="AB41" s="618"/>
      <c r="AC41" s="618"/>
      <c r="AD41" s="618"/>
      <c r="AE41" s="618"/>
      <c r="AF41" s="618"/>
      <c r="AG41" s="618"/>
      <c r="AH41" s="618"/>
      <c r="AI41" s="618"/>
      <c r="AJ41" s="618"/>
      <c r="AK41" s="618"/>
      <c r="AL41" s="618"/>
      <c r="AM41" s="618"/>
      <c r="AN41" s="618"/>
      <c r="AO41" s="618"/>
      <c r="AP41" s="618"/>
      <c r="AQ41" s="618"/>
      <c r="AR41" s="618"/>
      <c r="AS41" s="618"/>
      <c r="AT41" s="618"/>
      <c r="AU41" s="618"/>
      <c r="AV41" s="618"/>
      <c r="AW41" s="618"/>
      <c r="AX41" s="618"/>
      <c r="AY41" s="618"/>
      <c r="AZ41" s="618"/>
      <c r="BA41" s="618"/>
      <c r="BB41" s="618"/>
      <c r="BC41" s="618"/>
      <c r="BD41" s="618"/>
      <c r="BE41" s="618"/>
      <c r="BF41" s="618"/>
      <c r="BG41" s="618"/>
      <c r="BH41" s="618"/>
      <c r="BI41" s="618"/>
      <c r="BJ41" s="618"/>
      <c r="BK41" s="618"/>
      <c r="BL41" s="618"/>
      <c r="BM41" s="618"/>
      <c r="BN41" s="618"/>
    </row>
    <row r="42" spans="1:66" x14ac:dyDescent="0.15">
      <c r="A42" s="618"/>
      <c r="B42" s="618"/>
      <c r="C42" s="618"/>
      <c r="D42" s="618"/>
      <c r="E42" s="618"/>
      <c r="F42" s="618"/>
      <c r="G42" s="618"/>
      <c r="H42" s="618"/>
      <c r="I42" s="618"/>
      <c r="J42" s="618"/>
      <c r="K42" s="618"/>
      <c r="L42" s="618"/>
      <c r="M42" s="618"/>
      <c r="N42" s="618"/>
      <c r="O42" s="618"/>
      <c r="P42" s="618"/>
      <c r="Q42" s="618"/>
      <c r="R42" s="618"/>
      <c r="S42" s="618"/>
      <c r="T42" s="618"/>
      <c r="U42" s="618"/>
      <c r="V42" s="618"/>
      <c r="W42" s="618"/>
      <c r="X42" s="618"/>
      <c r="Y42" s="618"/>
      <c r="Z42" s="618"/>
      <c r="AA42" s="618"/>
      <c r="AB42" s="618"/>
      <c r="AC42" s="618"/>
      <c r="AD42" s="618"/>
      <c r="AE42" s="618"/>
      <c r="AF42" s="618"/>
      <c r="AG42" s="618"/>
      <c r="AH42" s="618"/>
      <c r="AI42" s="618"/>
      <c r="AJ42" s="618"/>
      <c r="AK42" s="618"/>
      <c r="AL42" s="618"/>
      <c r="AM42" s="618"/>
      <c r="AN42" s="618"/>
      <c r="AO42" s="618"/>
      <c r="AP42" s="618"/>
      <c r="AQ42" s="618"/>
      <c r="AR42" s="618"/>
      <c r="AS42" s="618"/>
      <c r="AT42" s="618"/>
      <c r="AU42" s="618"/>
      <c r="AV42" s="618"/>
      <c r="AW42" s="618"/>
      <c r="AX42" s="618"/>
      <c r="AY42" s="618"/>
      <c r="AZ42" s="618"/>
      <c r="BA42" s="618"/>
      <c r="BB42" s="618"/>
      <c r="BC42" s="618"/>
      <c r="BD42" s="618"/>
      <c r="BE42" s="618"/>
      <c r="BF42" s="618"/>
      <c r="BG42" s="618"/>
      <c r="BH42" s="618"/>
      <c r="BI42" s="618"/>
      <c r="BJ42" s="618"/>
      <c r="BK42" s="618"/>
      <c r="BL42" s="618"/>
      <c r="BM42" s="618"/>
      <c r="BN42" s="618"/>
    </row>
    <row r="43" spans="1:66" x14ac:dyDescent="0.15">
      <c r="A43" s="618" t="s">
        <v>589</v>
      </c>
      <c r="B43" s="618"/>
      <c r="C43" s="618"/>
      <c r="D43" s="618"/>
      <c r="E43" s="618"/>
      <c r="F43" s="618"/>
      <c r="G43" s="618"/>
      <c r="H43" s="618"/>
      <c r="I43" s="618"/>
      <c r="J43" s="618"/>
      <c r="K43" s="618"/>
      <c r="L43" s="618"/>
      <c r="M43" s="618"/>
      <c r="N43" s="618"/>
      <c r="O43" s="618"/>
      <c r="P43" s="618"/>
      <c r="Q43" s="618"/>
      <c r="R43" s="618"/>
      <c r="S43" s="618"/>
      <c r="T43" s="618"/>
      <c r="U43" s="618"/>
      <c r="V43" s="618"/>
      <c r="W43" s="618"/>
      <c r="X43" s="618"/>
      <c r="Y43" s="618"/>
      <c r="Z43" s="618"/>
      <c r="AA43" s="618"/>
      <c r="AB43" s="618"/>
      <c r="AC43" s="618"/>
      <c r="AD43" s="618"/>
      <c r="AE43" s="618"/>
      <c r="AF43" s="618"/>
      <c r="AG43" s="618"/>
      <c r="AH43" s="618"/>
      <c r="AI43" s="618"/>
      <c r="AJ43" s="618"/>
      <c r="AK43" s="618"/>
      <c r="AL43" s="618"/>
      <c r="AM43" s="618"/>
      <c r="AN43" s="618"/>
      <c r="AO43" s="618"/>
      <c r="AP43" s="618"/>
      <c r="AQ43" s="618"/>
      <c r="AR43" s="618"/>
      <c r="AS43" s="618"/>
      <c r="AT43" s="618"/>
      <c r="AU43" s="618"/>
      <c r="AV43" s="618"/>
      <c r="AW43" s="618"/>
      <c r="AX43" s="618"/>
      <c r="AY43" s="618"/>
      <c r="AZ43" s="618"/>
      <c r="BA43" s="618"/>
      <c r="BB43" s="618"/>
      <c r="BC43" s="618"/>
      <c r="BD43" s="618"/>
      <c r="BE43" s="618"/>
      <c r="BF43" s="618"/>
      <c r="BG43" s="618"/>
      <c r="BH43" s="618"/>
      <c r="BI43" s="618"/>
      <c r="BJ43" s="618"/>
      <c r="BK43" s="618"/>
      <c r="BL43" s="618"/>
      <c r="BM43" s="618"/>
      <c r="BN43" s="618"/>
    </row>
    <row r="44" spans="1:66" x14ac:dyDescent="0.15">
      <c r="A44" s="618"/>
      <c r="B44" s="618"/>
      <c r="C44" s="618"/>
      <c r="D44" s="618"/>
      <c r="E44" s="618"/>
      <c r="F44" s="618"/>
      <c r="G44" s="618"/>
      <c r="H44" s="618"/>
      <c r="I44" s="618"/>
      <c r="J44" s="618"/>
      <c r="K44" s="618"/>
      <c r="L44" s="618"/>
      <c r="M44" s="618"/>
      <c r="N44" s="618"/>
      <c r="O44" s="618"/>
      <c r="P44" s="618"/>
      <c r="Q44" s="618"/>
      <c r="R44" s="618"/>
      <c r="S44" s="618"/>
      <c r="T44" s="618"/>
      <c r="U44" s="618"/>
      <c r="V44" s="618"/>
      <c r="W44" s="618"/>
      <c r="X44" s="618"/>
      <c r="Y44" s="618"/>
      <c r="Z44" s="618"/>
      <c r="AA44" s="618"/>
      <c r="AB44" s="618"/>
      <c r="AC44" s="618"/>
      <c r="AD44" s="618"/>
      <c r="AE44" s="618"/>
      <c r="AF44" s="618"/>
      <c r="AG44" s="618"/>
      <c r="AH44" s="618"/>
      <c r="AI44" s="618"/>
      <c r="AJ44" s="618"/>
      <c r="AK44" s="618"/>
      <c r="AL44" s="618"/>
      <c r="AM44" s="618"/>
      <c r="AN44" s="618"/>
      <c r="AO44" s="618"/>
      <c r="AP44" s="618"/>
      <c r="AQ44" s="618"/>
      <c r="AR44" s="618"/>
      <c r="AS44" s="618"/>
      <c r="AT44" s="618"/>
      <c r="AU44" s="618"/>
      <c r="AV44" s="618"/>
      <c r="AW44" s="618"/>
      <c r="AX44" s="618"/>
      <c r="AY44" s="618"/>
      <c r="AZ44" s="618"/>
      <c r="BA44" s="618"/>
      <c r="BB44" s="618"/>
      <c r="BC44" s="618"/>
      <c r="BD44" s="618"/>
      <c r="BE44" s="618"/>
      <c r="BF44" s="618"/>
      <c r="BG44" s="618"/>
      <c r="BH44" s="618"/>
      <c r="BI44" s="618"/>
      <c r="BJ44" s="618"/>
      <c r="BK44" s="618"/>
      <c r="BL44" s="618"/>
      <c r="BM44" s="618"/>
      <c r="BN44" s="618"/>
    </row>
    <row r="45" spans="1:66" x14ac:dyDescent="0.15">
      <c r="A45" s="618"/>
      <c r="B45" s="618"/>
      <c r="C45" s="618"/>
      <c r="D45" s="618"/>
      <c r="E45" s="618"/>
      <c r="F45" s="618"/>
      <c r="G45" s="618"/>
      <c r="H45" s="618"/>
      <c r="I45" s="618"/>
      <c r="J45" s="618"/>
      <c r="K45" s="618"/>
      <c r="L45" s="618"/>
      <c r="M45" s="618"/>
      <c r="N45" s="618"/>
      <c r="O45" s="618"/>
      <c r="P45" s="618"/>
      <c r="Q45" s="618"/>
      <c r="R45" s="618"/>
      <c r="S45" s="618"/>
      <c r="T45" s="618"/>
      <c r="U45" s="618"/>
      <c r="V45" s="618"/>
      <c r="W45" s="618"/>
      <c r="X45" s="618"/>
      <c r="Y45" s="618"/>
      <c r="Z45" s="618"/>
      <c r="AA45" s="618"/>
      <c r="AB45" s="618"/>
      <c r="AC45" s="618"/>
      <c r="AD45" s="618"/>
      <c r="AE45" s="618"/>
      <c r="AF45" s="618"/>
      <c r="AG45" s="618"/>
      <c r="AH45" s="618"/>
      <c r="AI45" s="618"/>
      <c r="AJ45" s="618"/>
      <c r="AK45" s="618"/>
      <c r="AL45" s="618"/>
      <c r="AM45" s="618"/>
      <c r="AN45" s="618"/>
      <c r="AO45" s="618"/>
      <c r="AP45" s="618"/>
      <c r="AQ45" s="618"/>
      <c r="AR45" s="618"/>
      <c r="AS45" s="618"/>
      <c r="AT45" s="618"/>
      <c r="AU45" s="618"/>
      <c r="AV45" s="618"/>
      <c r="AW45" s="618"/>
      <c r="AX45" s="618"/>
      <c r="AY45" s="618"/>
      <c r="AZ45" s="618"/>
      <c r="BA45" s="618"/>
      <c r="BB45" s="618"/>
      <c r="BC45" s="618"/>
      <c r="BD45" s="618"/>
      <c r="BE45" s="618"/>
      <c r="BF45" s="618"/>
      <c r="BG45" s="618"/>
      <c r="BH45" s="618"/>
      <c r="BI45" s="618"/>
      <c r="BJ45" s="618"/>
      <c r="BK45" s="618"/>
      <c r="BL45" s="618"/>
      <c r="BM45" s="618"/>
      <c r="BN45" s="618"/>
    </row>
    <row r="46" spans="1:66" x14ac:dyDescent="0.15">
      <c r="A46" s="618" t="s">
        <v>589</v>
      </c>
      <c r="B46" s="618"/>
      <c r="C46" s="618"/>
      <c r="D46" s="618"/>
      <c r="E46" s="618"/>
      <c r="F46" s="618"/>
      <c r="G46" s="618"/>
      <c r="H46" s="618"/>
      <c r="I46" s="618"/>
      <c r="J46" s="618"/>
      <c r="K46" s="618"/>
      <c r="L46" s="618"/>
      <c r="M46" s="618"/>
      <c r="N46" s="618"/>
      <c r="O46" s="618"/>
      <c r="P46" s="618"/>
      <c r="Q46" s="618"/>
      <c r="R46" s="618"/>
      <c r="S46" s="618"/>
      <c r="T46" s="618"/>
      <c r="U46" s="618"/>
      <c r="V46" s="618"/>
      <c r="W46" s="618"/>
      <c r="X46" s="618"/>
      <c r="Y46" s="618"/>
      <c r="Z46" s="618"/>
      <c r="AA46" s="618"/>
      <c r="AB46" s="618"/>
      <c r="AC46" s="618"/>
      <c r="AD46" s="618"/>
      <c r="AE46" s="618"/>
      <c r="AF46" s="618"/>
      <c r="AG46" s="618"/>
      <c r="AH46" s="618"/>
      <c r="AI46" s="618"/>
      <c r="AJ46" s="618"/>
      <c r="AK46" s="618"/>
      <c r="AL46" s="618"/>
      <c r="AM46" s="618"/>
      <c r="AN46" s="618"/>
      <c r="AO46" s="618"/>
      <c r="AP46" s="618"/>
      <c r="AQ46" s="618"/>
      <c r="AR46" s="618"/>
      <c r="AS46" s="618"/>
      <c r="AT46" s="618"/>
      <c r="AU46" s="618"/>
      <c r="AV46" s="618"/>
      <c r="AW46" s="618"/>
      <c r="AX46" s="618"/>
      <c r="AY46" s="618"/>
      <c r="AZ46" s="618"/>
      <c r="BA46" s="618"/>
      <c r="BB46" s="618"/>
      <c r="BC46" s="618"/>
      <c r="BD46" s="618"/>
      <c r="BE46" s="618"/>
      <c r="BF46" s="618"/>
      <c r="BG46" s="618"/>
      <c r="BH46" s="618"/>
      <c r="BI46" s="618"/>
      <c r="BJ46" s="618"/>
      <c r="BK46" s="618"/>
      <c r="BL46" s="618"/>
      <c r="BM46" s="618"/>
      <c r="BN46" s="618"/>
    </row>
    <row r="47" spans="1:66" x14ac:dyDescent="0.15">
      <c r="A47" s="618"/>
      <c r="B47" s="618"/>
      <c r="C47" s="618"/>
      <c r="D47" s="618"/>
      <c r="E47" s="618"/>
      <c r="F47" s="618"/>
      <c r="G47" s="618"/>
      <c r="H47" s="618"/>
      <c r="I47" s="618"/>
      <c r="J47" s="618"/>
      <c r="K47" s="618"/>
      <c r="L47" s="618"/>
      <c r="M47" s="618"/>
      <c r="N47" s="618"/>
      <c r="O47" s="618"/>
      <c r="P47" s="618"/>
      <c r="Q47" s="618"/>
      <c r="R47" s="618"/>
      <c r="S47" s="618"/>
      <c r="T47" s="618"/>
      <c r="U47" s="618"/>
      <c r="V47" s="618"/>
      <c r="W47" s="618"/>
      <c r="X47" s="618"/>
      <c r="Y47" s="618"/>
      <c r="Z47" s="618"/>
      <c r="AA47" s="618"/>
      <c r="AB47" s="618"/>
      <c r="AC47" s="618"/>
      <c r="AD47" s="618"/>
      <c r="AE47" s="618"/>
      <c r="AF47" s="618"/>
      <c r="AG47" s="618"/>
      <c r="AH47" s="618"/>
      <c r="AI47" s="618"/>
      <c r="AJ47" s="618"/>
      <c r="AK47" s="618"/>
      <c r="AL47" s="618"/>
      <c r="AM47" s="618"/>
      <c r="AN47" s="618"/>
      <c r="AO47" s="618"/>
      <c r="AP47" s="618"/>
      <c r="AQ47" s="618"/>
      <c r="AR47" s="618"/>
      <c r="AS47" s="618"/>
      <c r="AT47" s="618"/>
      <c r="AU47" s="618"/>
      <c r="AV47" s="618"/>
      <c r="AW47" s="618"/>
      <c r="AX47" s="618"/>
      <c r="AY47" s="618"/>
      <c r="AZ47" s="618"/>
      <c r="BA47" s="618"/>
      <c r="BB47" s="618"/>
      <c r="BC47" s="618"/>
      <c r="BD47" s="618"/>
      <c r="BE47" s="618"/>
      <c r="BF47" s="618"/>
      <c r="BG47" s="618"/>
      <c r="BH47" s="618"/>
      <c r="BI47" s="618"/>
      <c r="BJ47" s="618"/>
      <c r="BK47" s="618"/>
      <c r="BL47" s="618"/>
      <c r="BM47" s="618"/>
      <c r="BN47" s="618"/>
    </row>
    <row r="48" spans="1:66" x14ac:dyDescent="0.15">
      <c r="A48" s="618"/>
      <c r="B48" s="618"/>
      <c r="C48" s="618"/>
      <c r="D48" s="618"/>
      <c r="E48" s="618"/>
      <c r="F48" s="618"/>
      <c r="G48" s="618"/>
      <c r="H48" s="618"/>
      <c r="I48" s="618"/>
      <c r="J48" s="618"/>
      <c r="K48" s="618"/>
      <c r="L48" s="618"/>
      <c r="M48" s="618"/>
      <c r="N48" s="618"/>
      <c r="O48" s="618"/>
      <c r="P48" s="618"/>
      <c r="Q48" s="618"/>
      <c r="R48" s="618"/>
      <c r="S48" s="618"/>
      <c r="T48" s="618"/>
      <c r="U48" s="618"/>
      <c r="V48" s="618"/>
      <c r="W48" s="618"/>
      <c r="X48" s="618"/>
      <c r="Y48" s="618"/>
      <c r="Z48" s="618"/>
      <c r="AA48" s="618"/>
      <c r="AB48" s="618"/>
      <c r="AC48" s="618"/>
      <c r="AD48" s="618"/>
      <c r="AE48" s="618"/>
      <c r="AF48" s="618"/>
      <c r="AG48" s="618"/>
      <c r="AH48" s="618"/>
      <c r="AI48" s="618"/>
      <c r="AJ48" s="618"/>
      <c r="AK48" s="618"/>
      <c r="AL48" s="618"/>
      <c r="AM48" s="618"/>
      <c r="AN48" s="618"/>
      <c r="AO48" s="618"/>
      <c r="AP48" s="618"/>
      <c r="AQ48" s="618"/>
      <c r="AR48" s="618"/>
      <c r="AS48" s="618"/>
      <c r="AT48" s="618"/>
      <c r="AU48" s="618"/>
      <c r="AV48" s="618"/>
      <c r="AW48" s="618"/>
      <c r="AX48" s="618"/>
      <c r="AY48" s="618"/>
      <c r="AZ48" s="618"/>
      <c r="BA48" s="618"/>
      <c r="BB48" s="618"/>
      <c r="BC48" s="618"/>
      <c r="BD48" s="618"/>
      <c r="BE48" s="618"/>
      <c r="BF48" s="618"/>
      <c r="BG48" s="618"/>
      <c r="BH48" s="618"/>
      <c r="BI48" s="618"/>
      <c r="BJ48" s="618"/>
      <c r="BK48" s="618"/>
      <c r="BL48" s="618"/>
      <c r="BM48" s="618"/>
      <c r="BN48" s="618"/>
    </row>
  </sheetData>
  <mergeCells count="78">
    <mergeCell ref="A46:H48"/>
    <mergeCell ref="I46:T48"/>
    <mergeCell ref="U46:BN48"/>
    <mergeCell ref="A40:H42"/>
    <mergeCell ref="I40:T42"/>
    <mergeCell ref="U40:BN42"/>
    <mergeCell ref="A43:H45"/>
    <mergeCell ref="I43:T45"/>
    <mergeCell ref="U43:BN45"/>
    <mergeCell ref="U31:BN33"/>
    <mergeCell ref="A34:H36"/>
    <mergeCell ref="I34:T36"/>
    <mergeCell ref="U34:BN36"/>
    <mergeCell ref="A37:H39"/>
    <mergeCell ref="I37:T39"/>
    <mergeCell ref="U37:BN39"/>
    <mergeCell ref="I19:T21"/>
    <mergeCell ref="A19:H21"/>
    <mergeCell ref="A25:H27"/>
    <mergeCell ref="A31:H33"/>
    <mergeCell ref="I31:T33"/>
    <mergeCell ref="A28:H30"/>
    <mergeCell ref="I28:T30"/>
    <mergeCell ref="U28:BN30"/>
    <mergeCell ref="A9:Q9"/>
    <mergeCell ref="R9:AI9"/>
    <mergeCell ref="AJ9:AP9"/>
    <mergeCell ref="AQ9:AW9"/>
    <mergeCell ref="U19:BN21"/>
    <mergeCell ref="A22:H24"/>
    <mergeCell ref="I22:T24"/>
    <mergeCell ref="U22:BN24"/>
    <mergeCell ref="I16:T18"/>
    <mergeCell ref="U16:BN18"/>
    <mergeCell ref="A16:H18"/>
    <mergeCell ref="I25:T27"/>
    <mergeCell ref="U25:BN27"/>
    <mergeCell ref="U11:BN12"/>
    <mergeCell ref="A13:H15"/>
    <mergeCell ref="A8:Q8"/>
    <mergeCell ref="R8:AI8"/>
    <mergeCell ref="AJ8:AP8"/>
    <mergeCell ref="AQ8:AW8"/>
    <mergeCell ref="AX8:BD8"/>
    <mergeCell ref="I13:T15"/>
    <mergeCell ref="U13:BN15"/>
    <mergeCell ref="A11:H12"/>
    <mergeCell ref="I11:T12"/>
    <mergeCell ref="BE3:BI3"/>
    <mergeCell ref="BJ3:BN3"/>
    <mergeCell ref="BE4:BI7"/>
    <mergeCell ref="BJ4:BN7"/>
    <mergeCell ref="AX9:BD9"/>
    <mergeCell ref="BE9:BK9"/>
    <mergeCell ref="BL9:BN9"/>
    <mergeCell ref="AY3:BD7"/>
    <mergeCell ref="AT3:AX7"/>
    <mergeCell ref="BL8:BN8"/>
    <mergeCell ref="BE8:BK8"/>
    <mergeCell ref="AO3:AS7"/>
    <mergeCell ref="AT1:AX1"/>
    <mergeCell ref="AY1:BN1"/>
    <mergeCell ref="AJ2:AN2"/>
    <mergeCell ref="AO2:AS2"/>
    <mergeCell ref="AT2:AX2"/>
    <mergeCell ref="AY2:BD2"/>
    <mergeCell ref="BJ2:BN2"/>
    <mergeCell ref="BE2:BI2"/>
    <mergeCell ref="AJ1:AN1"/>
    <mergeCell ref="AO1:AS1"/>
    <mergeCell ref="A1:F5"/>
    <mergeCell ref="G1:Q5"/>
    <mergeCell ref="R1:AI5"/>
    <mergeCell ref="AJ3:AN7"/>
    <mergeCell ref="A6:Q6"/>
    <mergeCell ref="R6:AI6"/>
    <mergeCell ref="A7:Q7"/>
    <mergeCell ref="R7:AI7"/>
  </mergeCells>
  <phoneticPr fontId="23"/>
  <dataValidations count="1">
    <dataValidation type="list" allowBlank="1" showInputMessage="1" showErrorMessage="1" sqref="A13:H48" xr:uid="{00000000-0002-0000-0200-000000000000}">
      <formula1>"　,要件定義工程,基本設計工程,詳細設計工程,製造工程,結合テスト工程,システムテスト工程,移行／導入工程"</formula1>
    </dataValidation>
  </dataValidations>
  <pageMargins left="0.35433070866141736" right="0.39370078740157483" top="0.6692913385826772" bottom="0.47244094488188981" header="0.27559055118110237" footer="0.27559055118110237"/>
  <pageSetup paperSize="9" scale="82" fitToHeight="0" orientation="landscape" r:id="rId1"/>
  <headerFooter alignWithMargins="0">
    <oddHeader>&amp;L&amp;14【営業秘密】</oddHeader>
    <oddFooter>&amp;C&amp;P/&amp;N&amp;R（様式2010.04）</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BN58"/>
  <sheetViews>
    <sheetView zoomScale="85" zoomScaleNormal="85" zoomScaleSheetLayoutView="85" workbookViewId="0">
      <selection sqref="A1:F5"/>
    </sheetView>
  </sheetViews>
  <sheetFormatPr defaultColWidth="2.625" defaultRowHeight="13.5" x14ac:dyDescent="0.15"/>
  <cols>
    <col min="1" max="47" width="2.625" customWidth="1"/>
    <col min="48" max="48" width="3" customWidth="1"/>
  </cols>
  <sheetData>
    <row r="1" spans="1:66" x14ac:dyDescent="0.15">
      <c r="A1" s="554" t="s">
        <v>597</v>
      </c>
      <c r="B1" s="555"/>
      <c r="C1" s="555"/>
      <c r="D1" s="555"/>
      <c r="E1" s="555"/>
      <c r="F1" s="556"/>
      <c r="G1" s="554" t="s">
        <v>564</v>
      </c>
      <c r="H1" s="555"/>
      <c r="I1" s="555"/>
      <c r="J1" s="555"/>
      <c r="K1" s="555"/>
      <c r="L1" s="555"/>
      <c r="M1" s="555"/>
      <c r="N1" s="555"/>
      <c r="O1" s="555"/>
      <c r="P1" s="555"/>
      <c r="Q1" s="556"/>
      <c r="R1" s="563" t="s">
        <v>598</v>
      </c>
      <c r="S1" s="564"/>
      <c r="T1" s="564"/>
      <c r="U1" s="564"/>
      <c r="V1" s="564"/>
      <c r="W1" s="564"/>
      <c r="X1" s="564"/>
      <c r="Y1" s="564"/>
      <c r="Z1" s="564"/>
      <c r="AA1" s="564"/>
      <c r="AB1" s="564"/>
      <c r="AC1" s="564"/>
      <c r="AD1" s="564"/>
      <c r="AE1" s="564"/>
      <c r="AF1" s="564"/>
      <c r="AG1" s="564"/>
      <c r="AH1" s="564"/>
      <c r="AI1" s="565"/>
      <c r="AJ1" s="572" t="s">
        <v>305</v>
      </c>
      <c r="AK1" s="573"/>
      <c r="AL1" s="573"/>
      <c r="AM1" s="573"/>
      <c r="AN1" s="574"/>
      <c r="AO1" s="572" t="s">
        <v>306</v>
      </c>
      <c r="AP1" s="573"/>
      <c r="AQ1" s="573"/>
      <c r="AR1" s="573"/>
      <c r="AS1" s="574"/>
      <c r="AT1" s="572" t="s">
        <v>237</v>
      </c>
      <c r="AU1" s="573"/>
      <c r="AV1" s="573"/>
      <c r="AW1" s="573"/>
      <c r="AX1" s="574"/>
      <c r="AY1" s="581" t="s">
        <v>566</v>
      </c>
      <c r="AZ1" s="582"/>
      <c r="BA1" s="582"/>
      <c r="BB1" s="582"/>
      <c r="BC1" s="582"/>
      <c r="BD1" s="582"/>
      <c r="BE1" s="582"/>
      <c r="BF1" s="582"/>
      <c r="BG1" s="582"/>
      <c r="BH1" s="582"/>
      <c r="BI1" s="582"/>
      <c r="BJ1" s="582"/>
      <c r="BK1" s="582"/>
      <c r="BL1" s="582"/>
      <c r="BM1" s="582"/>
      <c r="BN1" s="583"/>
    </row>
    <row r="2" spans="1:66" x14ac:dyDescent="0.15">
      <c r="A2" s="557"/>
      <c r="B2" s="558"/>
      <c r="C2" s="558"/>
      <c r="D2" s="558"/>
      <c r="E2" s="558"/>
      <c r="F2" s="559"/>
      <c r="G2" s="557"/>
      <c r="H2" s="558"/>
      <c r="I2" s="558"/>
      <c r="J2" s="558"/>
      <c r="K2" s="558"/>
      <c r="L2" s="558"/>
      <c r="M2" s="558"/>
      <c r="N2" s="558"/>
      <c r="O2" s="558"/>
      <c r="P2" s="558"/>
      <c r="Q2" s="559"/>
      <c r="R2" s="566"/>
      <c r="S2" s="567"/>
      <c r="T2" s="567"/>
      <c r="U2" s="567"/>
      <c r="V2" s="567"/>
      <c r="W2" s="567"/>
      <c r="X2" s="567"/>
      <c r="Y2" s="567"/>
      <c r="Z2" s="567"/>
      <c r="AA2" s="567"/>
      <c r="AB2" s="567"/>
      <c r="AC2" s="567"/>
      <c r="AD2" s="567"/>
      <c r="AE2" s="567"/>
      <c r="AF2" s="567"/>
      <c r="AG2" s="567"/>
      <c r="AH2" s="567"/>
      <c r="AI2" s="568"/>
      <c r="AJ2" s="572" t="s">
        <v>494</v>
      </c>
      <c r="AK2" s="573"/>
      <c r="AL2" s="573"/>
      <c r="AM2" s="573"/>
      <c r="AN2" s="574"/>
      <c r="AO2" s="572" t="s">
        <v>494</v>
      </c>
      <c r="AP2" s="573"/>
      <c r="AQ2" s="573"/>
      <c r="AR2" s="573"/>
      <c r="AS2" s="574"/>
      <c r="AT2" s="572" t="s">
        <v>494</v>
      </c>
      <c r="AU2" s="573"/>
      <c r="AV2" s="573"/>
      <c r="AW2" s="573"/>
      <c r="AX2" s="574"/>
      <c r="AY2" s="581" t="s">
        <v>308</v>
      </c>
      <c r="AZ2" s="582"/>
      <c r="BA2" s="582"/>
      <c r="BB2" s="582"/>
      <c r="BC2" s="582"/>
      <c r="BD2" s="583"/>
      <c r="BE2" s="572" t="s">
        <v>306</v>
      </c>
      <c r="BF2" s="573"/>
      <c r="BG2" s="573"/>
      <c r="BH2" s="573"/>
      <c r="BI2" s="574"/>
      <c r="BJ2" s="572" t="s">
        <v>617</v>
      </c>
      <c r="BK2" s="573"/>
      <c r="BL2" s="573"/>
      <c r="BM2" s="573"/>
      <c r="BN2" s="574"/>
    </row>
    <row r="3" spans="1:66" x14ac:dyDescent="0.15">
      <c r="A3" s="557"/>
      <c r="B3" s="558"/>
      <c r="C3" s="558"/>
      <c r="D3" s="558"/>
      <c r="E3" s="558"/>
      <c r="F3" s="559"/>
      <c r="G3" s="557"/>
      <c r="H3" s="558"/>
      <c r="I3" s="558"/>
      <c r="J3" s="558"/>
      <c r="K3" s="558"/>
      <c r="L3" s="558"/>
      <c r="M3" s="558"/>
      <c r="N3" s="558"/>
      <c r="O3" s="558"/>
      <c r="P3" s="558"/>
      <c r="Q3" s="559"/>
      <c r="R3" s="566"/>
      <c r="S3" s="567"/>
      <c r="T3" s="567"/>
      <c r="U3" s="567"/>
      <c r="V3" s="567"/>
      <c r="W3" s="567"/>
      <c r="X3" s="567"/>
      <c r="Y3" s="567"/>
      <c r="Z3" s="567"/>
      <c r="AA3" s="567"/>
      <c r="AB3" s="567"/>
      <c r="AC3" s="567"/>
      <c r="AD3" s="567"/>
      <c r="AE3" s="567"/>
      <c r="AF3" s="567"/>
      <c r="AG3" s="567"/>
      <c r="AH3" s="567"/>
      <c r="AI3" s="568"/>
      <c r="AJ3" s="553"/>
      <c r="AK3" s="553"/>
      <c r="AL3" s="553"/>
      <c r="AM3" s="553"/>
      <c r="AN3" s="553"/>
      <c r="AO3" s="553"/>
      <c r="AP3" s="553"/>
      <c r="AQ3" s="553"/>
      <c r="AR3" s="553"/>
      <c r="AS3" s="553"/>
      <c r="AT3" s="553"/>
      <c r="AU3" s="553"/>
      <c r="AV3" s="553"/>
      <c r="AW3" s="553"/>
      <c r="AX3" s="553"/>
      <c r="AY3" s="596"/>
      <c r="AZ3" s="596"/>
      <c r="BA3" s="596"/>
      <c r="BB3" s="596"/>
      <c r="BC3" s="596"/>
      <c r="BD3" s="596"/>
      <c r="BE3" s="553" t="s">
        <v>495</v>
      </c>
      <c r="BF3" s="553"/>
      <c r="BG3" s="553"/>
      <c r="BH3" s="553"/>
      <c r="BI3" s="553"/>
      <c r="BJ3" s="553" t="s">
        <v>495</v>
      </c>
      <c r="BK3" s="553"/>
      <c r="BL3" s="553"/>
      <c r="BM3" s="553"/>
      <c r="BN3" s="553"/>
    </row>
    <row r="4" spans="1:66" x14ac:dyDescent="0.15">
      <c r="A4" s="557"/>
      <c r="B4" s="558"/>
      <c r="C4" s="558"/>
      <c r="D4" s="558"/>
      <c r="E4" s="558"/>
      <c r="F4" s="559"/>
      <c r="G4" s="557"/>
      <c r="H4" s="558"/>
      <c r="I4" s="558"/>
      <c r="J4" s="558"/>
      <c r="K4" s="558"/>
      <c r="L4" s="558"/>
      <c r="M4" s="558"/>
      <c r="N4" s="558"/>
      <c r="O4" s="558"/>
      <c r="P4" s="558"/>
      <c r="Q4" s="559"/>
      <c r="R4" s="566"/>
      <c r="S4" s="567"/>
      <c r="T4" s="567"/>
      <c r="U4" s="567"/>
      <c r="V4" s="567"/>
      <c r="W4" s="567"/>
      <c r="X4" s="567"/>
      <c r="Y4" s="567"/>
      <c r="Z4" s="567"/>
      <c r="AA4" s="567"/>
      <c r="AB4" s="567"/>
      <c r="AC4" s="567"/>
      <c r="AD4" s="567"/>
      <c r="AE4" s="567"/>
      <c r="AF4" s="567"/>
      <c r="AG4" s="567"/>
      <c r="AH4" s="567"/>
      <c r="AI4" s="568"/>
      <c r="AJ4" s="553"/>
      <c r="AK4" s="553"/>
      <c r="AL4" s="553"/>
      <c r="AM4" s="553"/>
      <c r="AN4" s="553"/>
      <c r="AO4" s="553"/>
      <c r="AP4" s="553"/>
      <c r="AQ4" s="553"/>
      <c r="AR4" s="553"/>
      <c r="AS4" s="553"/>
      <c r="AT4" s="553"/>
      <c r="AU4" s="553"/>
      <c r="AV4" s="553"/>
      <c r="AW4" s="553"/>
      <c r="AX4" s="553"/>
      <c r="AY4" s="596"/>
      <c r="AZ4" s="596"/>
      <c r="BA4" s="596"/>
      <c r="BB4" s="596"/>
      <c r="BC4" s="596"/>
      <c r="BD4" s="596"/>
      <c r="BE4" s="553"/>
      <c r="BF4" s="553"/>
      <c r="BG4" s="553"/>
      <c r="BH4" s="553"/>
      <c r="BI4" s="553"/>
      <c r="BJ4" s="553"/>
      <c r="BK4" s="553"/>
      <c r="BL4" s="553"/>
      <c r="BM4" s="553"/>
      <c r="BN4" s="553"/>
    </row>
    <row r="5" spans="1:66" x14ac:dyDescent="0.15">
      <c r="A5" s="560"/>
      <c r="B5" s="561"/>
      <c r="C5" s="561"/>
      <c r="D5" s="561"/>
      <c r="E5" s="561"/>
      <c r="F5" s="562"/>
      <c r="G5" s="560"/>
      <c r="H5" s="561"/>
      <c r="I5" s="561"/>
      <c r="J5" s="561"/>
      <c r="K5" s="561"/>
      <c r="L5" s="561"/>
      <c r="M5" s="561"/>
      <c r="N5" s="561"/>
      <c r="O5" s="561"/>
      <c r="P5" s="561"/>
      <c r="Q5" s="562"/>
      <c r="R5" s="569"/>
      <c r="S5" s="570"/>
      <c r="T5" s="570"/>
      <c r="U5" s="570"/>
      <c r="V5" s="570"/>
      <c r="W5" s="570"/>
      <c r="X5" s="570"/>
      <c r="Y5" s="570"/>
      <c r="Z5" s="570"/>
      <c r="AA5" s="570"/>
      <c r="AB5" s="570"/>
      <c r="AC5" s="570"/>
      <c r="AD5" s="570"/>
      <c r="AE5" s="570"/>
      <c r="AF5" s="570"/>
      <c r="AG5" s="570"/>
      <c r="AH5" s="570"/>
      <c r="AI5" s="571"/>
      <c r="AJ5" s="553"/>
      <c r="AK5" s="553"/>
      <c r="AL5" s="553"/>
      <c r="AM5" s="553"/>
      <c r="AN5" s="553"/>
      <c r="AO5" s="553"/>
      <c r="AP5" s="553"/>
      <c r="AQ5" s="553"/>
      <c r="AR5" s="553"/>
      <c r="AS5" s="553"/>
      <c r="AT5" s="553"/>
      <c r="AU5" s="553"/>
      <c r="AV5" s="553"/>
      <c r="AW5" s="553"/>
      <c r="AX5" s="553"/>
      <c r="AY5" s="596"/>
      <c r="AZ5" s="596"/>
      <c r="BA5" s="596"/>
      <c r="BB5" s="596"/>
      <c r="BC5" s="596"/>
      <c r="BD5" s="596"/>
      <c r="BE5" s="553"/>
      <c r="BF5" s="553"/>
      <c r="BG5" s="553"/>
      <c r="BH5" s="553"/>
      <c r="BI5" s="553"/>
      <c r="BJ5" s="553"/>
      <c r="BK5" s="553"/>
      <c r="BL5" s="553"/>
      <c r="BM5" s="553"/>
      <c r="BN5" s="553"/>
    </row>
    <row r="6" spans="1:66" x14ac:dyDescent="0.15">
      <c r="A6" s="553" t="s">
        <v>465</v>
      </c>
      <c r="B6" s="553"/>
      <c r="C6" s="553"/>
      <c r="D6" s="553"/>
      <c r="E6" s="553"/>
      <c r="F6" s="553"/>
      <c r="G6" s="553"/>
      <c r="H6" s="553"/>
      <c r="I6" s="553"/>
      <c r="J6" s="553"/>
      <c r="K6" s="553"/>
      <c r="L6" s="553"/>
      <c r="M6" s="553"/>
      <c r="N6" s="553"/>
      <c r="O6" s="553"/>
      <c r="P6" s="553"/>
      <c r="Q6" s="553"/>
      <c r="R6" s="552" t="s">
        <v>466</v>
      </c>
      <c r="S6" s="552"/>
      <c r="T6" s="552"/>
      <c r="U6" s="552"/>
      <c r="V6" s="552"/>
      <c r="W6" s="552"/>
      <c r="X6" s="552"/>
      <c r="Y6" s="552"/>
      <c r="Z6" s="552"/>
      <c r="AA6" s="552"/>
      <c r="AB6" s="552"/>
      <c r="AC6" s="552"/>
      <c r="AD6" s="552"/>
      <c r="AE6" s="552"/>
      <c r="AF6" s="552"/>
      <c r="AG6" s="552"/>
      <c r="AH6" s="552"/>
      <c r="AI6" s="552"/>
      <c r="AJ6" s="553"/>
      <c r="AK6" s="553"/>
      <c r="AL6" s="553"/>
      <c r="AM6" s="553"/>
      <c r="AN6" s="553"/>
      <c r="AO6" s="553"/>
      <c r="AP6" s="553"/>
      <c r="AQ6" s="553"/>
      <c r="AR6" s="553"/>
      <c r="AS6" s="553"/>
      <c r="AT6" s="553"/>
      <c r="AU6" s="553"/>
      <c r="AV6" s="553"/>
      <c r="AW6" s="553"/>
      <c r="AX6" s="553"/>
      <c r="AY6" s="596"/>
      <c r="AZ6" s="596"/>
      <c r="BA6" s="596"/>
      <c r="BB6" s="596"/>
      <c r="BC6" s="596"/>
      <c r="BD6" s="596"/>
      <c r="BE6" s="553"/>
      <c r="BF6" s="553"/>
      <c r="BG6" s="553"/>
      <c r="BH6" s="553"/>
      <c r="BI6" s="553"/>
      <c r="BJ6" s="553"/>
      <c r="BK6" s="553"/>
      <c r="BL6" s="553"/>
      <c r="BM6" s="553"/>
      <c r="BN6" s="553"/>
    </row>
    <row r="7" spans="1:66" x14ac:dyDescent="0.15">
      <c r="A7" s="553"/>
      <c r="B7" s="553"/>
      <c r="C7" s="553"/>
      <c r="D7" s="553"/>
      <c r="E7" s="553"/>
      <c r="F7" s="553"/>
      <c r="G7" s="553"/>
      <c r="H7" s="553"/>
      <c r="I7" s="553"/>
      <c r="J7" s="553"/>
      <c r="K7" s="553"/>
      <c r="L7" s="553"/>
      <c r="M7" s="553"/>
      <c r="N7" s="553"/>
      <c r="O7" s="553"/>
      <c r="P7" s="553"/>
      <c r="Q7" s="553"/>
      <c r="R7" s="552"/>
      <c r="S7" s="552"/>
      <c r="T7" s="552"/>
      <c r="U7" s="552"/>
      <c r="V7" s="552"/>
      <c r="W7" s="552"/>
      <c r="X7" s="552"/>
      <c r="Y7" s="552"/>
      <c r="Z7" s="552"/>
      <c r="AA7" s="552"/>
      <c r="AB7" s="552"/>
      <c r="AC7" s="552"/>
      <c r="AD7" s="552"/>
      <c r="AE7" s="552"/>
      <c r="AF7" s="552"/>
      <c r="AG7" s="552"/>
      <c r="AH7" s="552"/>
      <c r="AI7" s="552"/>
      <c r="AJ7" s="553"/>
      <c r="AK7" s="553"/>
      <c r="AL7" s="553"/>
      <c r="AM7" s="553"/>
      <c r="AN7" s="553"/>
      <c r="AO7" s="553"/>
      <c r="AP7" s="553"/>
      <c r="AQ7" s="553"/>
      <c r="AR7" s="553"/>
      <c r="AS7" s="553"/>
      <c r="AT7" s="553"/>
      <c r="AU7" s="553"/>
      <c r="AV7" s="553"/>
      <c r="AW7" s="553"/>
      <c r="AX7" s="553"/>
      <c r="AY7" s="596"/>
      <c r="AZ7" s="596"/>
      <c r="BA7" s="596"/>
      <c r="BB7" s="596"/>
      <c r="BC7" s="596"/>
      <c r="BD7" s="596"/>
      <c r="BE7" s="553"/>
      <c r="BF7" s="553"/>
      <c r="BG7" s="553"/>
      <c r="BH7" s="553"/>
      <c r="BI7" s="553"/>
      <c r="BJ7" s="553"/>
      <c r="BK7" s="553"/>
      <c r="BL7" s="553"/>
      <c r="BM7" s="553"/>
      <c r="BN7" s="553"/>
    </row>
    <row r="8" spans="1:66" ht="13.5" customHeight="1" x14ac:dyDescent="0.15">
      <c r="A8" s="553" t="s">
        <v>310</v>
      </c>
      <c r="B8" s="553"/>
      <c r="C8" s="553"/>
      <c r="D8" s="553"/>
      <c r="E8" s="553"/>
      <c r="F8" s="553"/>
      <c r="G8" s="553"/>
      <c r="H8" s="553"/>
      <c r="I8" s="553"/>
      <c r="J8" s="553"/>
      <c r="K8" s="553"/>
      <c r="L8" s="553"/>
      <c r="M8" s="553"/>
      <c r="N8" s="553"/>
      <c r="O8" s="553"/>
      <c r="P8" s="553"/>
      <c r="Q8" s="553"/>
      <c r="R8" s="552" t="s">
        <v>311</v>
      </c>
      <c r="S8" s="552"/>
      <c r="T8" s="552"/>
      <c r="U8" s="552"/>
      <c r="V8" s="552"/>
      <c r="W8" s="552"/>
      <c r="X8" s="552"/>
      <c r="Y8" s="552"/>
      <c r="Z8" s="552"/>
      <c r="AA8" s="552"/>
      <c r="AB8" s="552"/>
      <c r="AC8" s="552"/>
      <c r="AD8" s="552"/>
      <c r="AE8" s="552"/>
      <c r="AF8" s="552"/>
      <c r="AG8" s="552"/>
      <c r="AH8" s="552"/>
      <c r="AI8" s="552"/>
      <c r="AJ8" s="552" t="s">
        <v>312</v>
      </c>
      <c r="AK8" s="552"/>
      <c r="AL8" s="552"/>
      <c r="AM8" s="552"/>
      <c r="AN8" s="552"/>
      <c r="AO8" s="552"/>
      <c r="AP8" s="552"/>
      <c r="AQ8" s="552" t="s">
        <v>599</v>
      </c>
      <c r="AR8" s="552"/>
      <c r="AS8" s="552"/>
      <c r="AT8" s="552"/>
      <c r="AU8" s="552"/>
      <c r="AV8" s="552"/>
      <c r="AW8" s="552"/>
      <c r="AX8" s="297"/>
      <c r="AY8" s="297"/>
      <c r="AZ8" s="297"/>
      <c r="BA8" s="297"/>
      <c r="BB8" s="297"/>
      <c r="BC8" s="297"/>
      <c r="BD8" s="297"/>
      <c r="BE8" s="297"/>
      <c r="BF8" s="297"/>
      <c r="BG8" s="297"/>
      <c r="BH8" s="297"/>
      <c r="BI8" s="297"/>
      <c r="BJ8" s="297"/>
      <c r="BK8" s="297"/>
      <c r="BL8" s="1"/>
      <c r="BM8" s="1"/>
      <c r="BN8" s="1"/>
    </row>
    <row r="9" spans="1:66" ht="13.5" customHeight="1" x14ac:dyDescent="0.15">
      <c r="A9" s="553"/>
      <c r="B9" s="553"/>
      <c r="C9" s="553"/>
      <c r="D9" s="553"/>
      <c r="E9" s="553"/>
      <c r="F9" s="553"/>
      <c r="G9" s="553"/>
      <c r="H9" s="553"/>
      <c r="I9" s="553"/>
      <c r="J9" s="553"/>
      <c r="K9" s="553"/>
      <c r="L9" s="553"/>
      <c r="M9" s="553"/>
      <c r="N9" s="553"/>
      <c r="O9" s="553"/>
      <c r="P9" s="553"/>
      <c r="Q9" s="553"/>
      <c r="R9" s="552"/>
      <c r="S9" s="552"/>
      <c r="T9" s="552"/>
      <c r="U9" s="552"/>
      <c r="V9" s="552"/>
      <c r="W9" s="552"/>
      <c r="X9" s="552"/>
      <c r="Y9" s="552"/>
      <c r="Z9" s="552"/>
      <c r="AA9" s="552"/>
      <c r="AB9" s="552"/>
      <c r="AC9" s="552"/>
      <c r="AD9" s="552"/>
      <c r="AE9" s="552"/>
      <c r="AF9" s="552"/>
      <c r="AG9" s="552"/>
      <c r="AH9" s="552"/>
      <c r="AI9" s="552"/>
      <c r="AJ9" s="552"/>
      <c r="AK9" s="552"/>
      <c r="AL9" s="552"/>
      <c r="AM9" s="552"/>
      <c r="AN9" s="552"/>
      <c r="AO9" s="552"/>
      <c r="AP9" s="552"/>
      <c r="AQ9" s="553"/>
      <c r="AR9" s="553"/>
      <c r="AS9" s="553"/>
      <c r="AT9" s="553"/>
      <c r="AU9" s="553"/>
      <c r="AV9" s="553"/>
      <c r="AW9" s="553"/>
      <c r="AX9" s="297"/>
      <c r="AY9" s="297"/>
      <c r="AZ9" s="297"/>
      <c r="BA9" s="297"/>
      <c r="BB9" s="297"/>
      <c r="BC9" s="297"/>
      <c r="BD9" s="297"/>
      <c r="BE9" s="1"/>
      <c r="BF9" s="1"/>
      <c r="BG9" s="1"/>
      <c r="BH9" s="1"/>
      <c r="BI9" s="1"/>
      <c r="BJ9" s="1"/>
      <c r="BK9" s="1"/>
      <c r="BL9" s="298"/>
      <c r="BM9" s="298"/>
      <c r="BN9" s="298"/>
    </row>
    <row r="11" spans="1:66" x14ac:dyDescent="0.15">
      <c r="A11" s="609" t="s">
        <v>208</v>
      </c>
      <c r="B11" s="610"/>
      <c r="C11" s="610"/>
      <c r="D11" s="610"/>
      <c r="E11" s="610"/>
      <c r="F11" s="610"/>
      <c r="G11" s="610"/>
      <c r="H11" s="611"/>
      <c r="I11" s="575" t="s">
        <v>138</v>
      </c>
      <c r="J11" s="576"/>
      <c r="K11" s="576"/>
      <c r="L11" s="576"/>
      <c r="M11" s="576"/>
      <c r="N11" s="576"/>
      <c r="O11" s="576"/>
      <c r="P11" s="576"/>
      <c r="Q11" s="577"/>
      <c r="R11" s="609" t="s">
        <v>209</v>
      </c>
      <c r="S11" s="610"/>
      <c r="T11" s="610"/>
      <c r="U11" s="610"/>
      <c r="V11" s="610"/>
      <c r="W11" s="610"/>
      <c r="X11" s="610"/>
      <c r="Y11" s="611"/>
      <c r="Z11" s="575"/>
      <c r="AA11" s="576"/>
      <c r="AB11" s="576"/>
      <c r="AC11" s="576"/>
      <c r="AD11" s="576"/>
      <c r="AE11" s="576"/>
      <c r="AF11" s="576"/>
      <c r="AG11" s="576"/>
      <c r="AH11" s="576"/>
      <c r="AI11" s="576"/>
      <c r="AJ11" s="576"/>
      <c r="AK11" s="576"/>
      <c r="AL11" s="576"/>
      <c r="AM11" s="576"/>
      <c r="AN11" s="576"/>
      <c r="AO11" s="576"/>
      <c r="AP11" s="577"/>
      <c r="AQ11" s="609" t="s">
        <v>210</v>
      </c>
      <c r="AR11" s="610"/>
      <c r="AS11" s="610"/>
      <c r="AT11" s="610"/>
      <c r="AU11" s="610"/>
      <c r="AV11" s="610"/>
      <c r="AW11" s="610"/>
      <c r="AX11" s="611"/>
      <c r="AY11" s="623"/>
      <c r="AZ11" s="623"/>
      <c r="BA11" s="623"/>
      <c r="BB11" s="623"/>
      <c r="BC11" s="623"/>
      <c r="BD11" s="623"/>
      <c r="BE11" s="623"/>
      <c r="BF11" s="623"/>
      <c r="BG11" s="623"/>
      <c r="BH11" s="623"/>
      <c r="BI11" s="623"/>
      <c r="BJ11" s="623"/>
      <c r="BK11" s="623"/>
      <c r="BL11" s="623"/>
      <c r="BM11" s="623"/>
      <c r="BN11" s="623"/>
    </row>
    <row r="12" spans="1:66" x14ac:dyDescent="0.15">
      <c r="A12" s="612"/>
      <c r="B12" s="613"/>
      <c r="C12" s="613"/>
      <c r="D12" s="613"/>
      <c r="E12" s="613"/>
      <c r="F12" s="613"/>
      <c r="G12" s="613"/>
      <c r="H12" s="614"/>
      <c r="I12" s="593"/>
      <c r="J12" s="594"/>
      <c r="K12" s="594"/>
      <c r="L12" s="594"/>
      <c r="M12" s="594"/>
      <c r="N12" s="594"/>
      <c r="O12" s="594"/>
      <c r="P12" s="594"/>
      <c r="Q12" s="595"/>
      <c r="R12" s="612"/>
      <c r="S12" s="613"/>
      <c r="T12" s="613"/>
      <c r="U12" s="613"/>
      <c r="V12" s="613"/>
      <c r="W12" s="613"/>
      <c r="X12" s="613"/>
      <c r="Y12" s="614"/>
      <c r="Z12" s="593"/>
      <c r="AA12" s="594"/>
      <c r="AB12" s="594"/>
      <c r="AC12" s="594"/>
      <c r="AD12" s="594"/>
      <c r="AE12" s="594"/>
      <c r="AF12" s="594"/>
      <c r="AG12" s="594"/>
      <c r="AH12" s="594"/>
      <c r="AI12" s="594"/>
      <c r="AJ12" s="594"/>
      <c r="AK12" s="594"/>
      <c r="AL12" s="594"/>
      <c r="AM12" s="594"/>
      <c r="AN12" s="594"/>
      <c r="AO12" s="594"/>
      <c r="AP12" s="595"/>
      <c r="AQ12" s="612"/>
      <c r="AR12" s="613"/>
      <c r="AS12" s="613"/>
      <c r="AT12" s="613"/>
      <c r="AU12" s="613"/>
      <c r="AV12" s="613"/>
      <c r="AW12" s="613"/>
      <c r="AX12" s="614"/>
      <c r="AY12" s="623"/>
      <c r="AZ12" s="623"/>
      <c r="BA12" s="623"/>
      <c r="BB12" s="623"/>
      <c r="BC12" s="623"/>
      <c r="BD12" s="623"/>
      <c r="BE12" s="623"/>
      <c r="BF12" s="623"/>
      <c r="BG12" s="623"/>
      <c r="BH12" s="623"/>
      <c r="BI12" s="623"/>
      <c r="BJ12" s="623"/>
      <c r="BK12" s="623"/>
      <c r="BL12" s="623"/>
      <c r="BM12" s="623"/>
      <c r="BN12" s="623"/>
    </row>
    <row r="14" spans="1:66" x14ac:dyDescent="0.15">
      <c r="A14" s="624" t="s">
        <v>211</v>
      </c>
      <c r="B14" s="624"/>
      <c r="C14" s="624"/>
      <c r="D14" s="624"/>
      <c r="E14" s="624"/>
      <c r="F14" s="624"/>
      <c r="G14" s="624"/>
      <c r="H14" s="624"/>
      <c r="I14" s="624" t="s">
        <v>600</v>
      </c>
      <c r="J14" s="624"/>
      <c r="K14" s="624"/>
      <c r="L14" s="624"/>
      <c r="M14" s="624"/>
      <c r="N14" s="624"/>
      <c r="O14" s="624"/>
      <c r="P14" s="624"/>
      <c r="Q14" s="624"/>
      <c r="R14" s="624" t="s">
        <v>219</v>
      </c>
      <c r="S14" s="624"/>
      <c r="T14" s="624"/>
      <c r="U14" s="624"/>
      <c r="V14" s="624"/>
      <c r="W14" s="624"/>
      <c r="X14" s="624"/>
      <c r="Y14" s="624"/>
      <c r="Z14" s="624"/>
      <c r="AA14" s="624"/>
      <c r="AB14" s="624"/>
      <c r="AC14" s="624"/>
      <c r="AD14" s="624"/>
      <c r="AE14" s="624"/>
      <c r="AF14" s="624"/>
      <c r="AG14" s="624"/>
      <c r="AH14" s="624"/>
      <c r="AI14" s="624"/>
      <c r="AJ14" s="624"/>
      <c r="AK14" s="624"/>
      <c r="AL14" s="624"/>
      <c r="AM14" s="624"/>
      <c r="AN14" s="624"/>
      <c r="AO14" s="624"/>
      <c r="AP14" s="624"/>
    </row>
    <row r="15" spans="1:66" x14ac:dyDescent="0.15">
      <c r="A15" s="624"/>
      <c r="B15" s="624"/>
      <c r="C15" s="624"/>
      <c r="D15" s="624"/>
      <c r="E15" s="624"/>
      <c r="F15" s="624"/>
      <c r="G15" s="624"/>
      <c r="H15" s="624"/>
      <c r="I15" s="625"/>
      <c r="J15" s="625"/>
      <c r="K15" s="625"/>
      <c r="L15" s="625"/>
      <c r="M15" s="625"/>
      <c r="N15" s="625"/>
      <c r="O15" s="625"/>
      <c r="P15" s="625"/>
      <c r="Q15" s="625"/>
      <c r="R15" s="625"/>
      <c r="S15" s="625"/>
      <c r="T15" s="625"/>
      <c r="U15" s="625"/>
      <c r="V15" s="625"/>
      <c r="W15" s="625"/>
      <c r="X15" s="625"/>
      <c r="Y15" s="625"/>
      <c r="Z15" s="625"/>
      <c r="AA15" s="625"/>
      <c r="AB15" s="625"/>
      <c r="AC15" s="625"/>
      <c r="AD15" s="625"/>
      <c r="AE15" s="625"/>
      <c r="AF15" s="625"/>
      <c r="AG15" s="625"/>
      <c r="AH15" s="625"/>
      <c r="AI15" s="625"/>
      <c r="AJ15" s="625"/>
      <c r="AK15" s="625"/>
      <c r="AL15" s="625"/>
      <c r="AM15" s="625"/>
      <c r="AN15" s="625"/>
      <c r="AO15" s="625"/>
      <c r="AP15" s="625"/>
    </row>
    <row r="17" spans="1:66" x14ac:dyDescent="0.15">
      <c r="A17" s="609" t="s">
        <v>225</v>
      </c>
      <c r="B17" s="611"/>
      <c r="C17" s="609" t="s">
        <v>212</v>
      </c>
      <c r="D17" s="610"/>
      <c r="E17" s="610"/>
      <c r="F17" s="610"/>
      <c r="G17" s="610"/>
      <c r="H17" s="610"/>
      <c r="I17" s="610"/>
      <c r="J17" s="610"/>
      <c r="K17" s="610"/>
      <c r="L17" s="610"/>
      <c r="M17" s="610"/>
      <c r="N17" s="610"/>
      <c r="O17" s="610"/>
      <c r="P17" s="610"/>
      <c r="Q17" s="610"/>
      <c r="R17" s="610"/>
      <c r="S17" s="610"/>
      <c r="T17" s="610"/>
      <c r="U17" s="610"/>
      <c r="V17" s="610"/>
      <c r="W17" s="610"/>
      <c r="X17" s="610"/>
      <c r="Y17" s="610"/>
      <c r="Z17" s="610"/>
      <c r="AA17" s="610"/>
      <c r="AB17" s="610"/>
      <c r="AC17" s="610"/>
      <c r="AD17" s="610"/>
      <c r="AE17" s="610"/>
      <c r="AF17" s="610"/>
      <c r="AG17" s="610"/>
      <c r="AH17" s="610"/>
      <c r="AI17" s="610"/>
      <c r="AJ17" s="610"/>
      <c r="AK17" s="610"/>
      <c r="AL17" s="610"/>
      <c r="AM17" s="610"/>
      <c r="AN17" s="610"/>
      <c r="AO17" s="610"/>
      <c r="AP17" s="610"/>
      <c r="AQ17" s="610"/>
      <c r="AR17" s="610"/>
      <c r="AS17" s="610"/>
      <c r="AT17" s="610"/>
      <c r="AU17" s="610"/>
      <c r="AV17" s="610"/>
      <c r="AW17" s="610"/>
      <c r="AX17" s="610"/>
      <c r="AY17" s="610"/>
      <c r="AZ17" s="610"/>
      <c r="BA17" s="610"/>
      <c r="BB17" s="610"/>
      <c r="BC17" s="610"/>
      <c r="BD17" s="610"/>
      <c r="BE17" s="610"/>
      <c r="BF17" s="611"/>
      <c r="BG17" s="609" t="s">
        <v>237</v>
      </c>
      <c r="BH17" s="610"/>
      <c r="BI17" s="610"/>
      <c r="BJ17" s="611"/>
      <c r="BK17" s="609" t="s">
        <v>213</v>
      </c>
      <c r="BL17" s="610"/>
      <c r="BM17" s="610"/>
      <c r="BN17" s="611"/>
    </row>
    <row r="18" spans="1:66" x14ac:dyDescent="0.15">
      <c r="A18" s="612"/>
      <c r="B18" s="614"/>
      <c r="C18" s="612"/>
      <c r="D18" s="613"/>
      <c r="E18" s="613"/>
      <c r="F18" s="613"/>
      <c r="G18" s="613"/>
      <c r="H18" s="613"/>
      <c r="I18" s="613"/>
      <c r="J18" s="613"/>
      <c r="K18" s="613"/>
      <c r="L18" s="613"/>
      <c r="M18" s="613"/>
      <c r="N18" s="613"/>
      <c r="O18" s="613"/>
      <c r="P18" s="613"/>
      <c r="Q18" s="613"/>
      <c r="R18" s="613"/>
      <c r="S18" s="613"/>
      <c r="T18" s="613"/>
      <c r="U18" s="613"/>
      <c r="V18" s="613"/>
      <c r="W18" s="613"/>
      <c r="X18" s="613"/>
      <c r="Y18" s="613"/>
      <c r="Z18" s="613"/>
      <c r="AA18" s="613"/>
      <c r="AB18" s="613"/>
      <c r="AC18" s="613"/>
      <c r="AD18" s="613"/>
      <c r="AE18" s="613"/>
      <c r="AF18" s="613"/>
      <c r="AG18" s="613"/>
      <c r="AH18" s="613"/>
      <c r="AI18" s="613"/>
      <c r="AJ18" s="613"/>
      <c r="AK18" s="613"/>
      <c r="AL18" s="613"/>
      <c r="AM18" s="613"/>
      <c r="AN18" s="613"/>
      <c r="AO18" s="613"/>
      <c r="AP18" s="613"/>
      <c r="AQ18" s="613"/>
      <c r="AR18" s="613"/>
      <c r="AS18" s="613"/>
      <c r="AT18" s="613"/>
      <c r="AU18" s="613"/>
      <c r="AV18" s="613"/>
      <c r="AW18" s="613"/>
      <c r="AX18" s="613"/>
      <c r="AY18" s="613"/>
      <c r="AZ18" s="613"/>
      <c r="BA18" s="613"/>
      <c r="BB18" s="613"/>
      <c r="BC18" s="613"/>
      <c r="BD18" s="613"/>
      <c r="BE18" s="613"/>
      <c r="BF18" s="614"/>
      <c r="BG18" s="612"/>
      <c r="BH18" s="613"/>
      <c r="BI18" s="613"/>
      <c r="BJ18" s="614"/>
      <c r="BK18" s="612"/>
      <c r="BL18" s="613"/>
      <c r="BM18" s="613"/>
      <c r="BN18" s="614"/>
    </row>
    <row r="19" spans="1:66" x14ac:dyDescent="0.15">
      <c r="A19" s="619"/>
      <c r="B19" s="620"/>
      <c r="C19" s="603" t="s">
        <v>214</v>
      </c>
      <c r="D19" s="604"/>
      <c r="E19" s="604"/>
      <c r="F19" s="604"/>
      <c r="G19" s="604"/>
      <c r="H19" s="604"/>
      <c r="I19" s="604"/>
      <c r="J19" s="604"/>
      <c r="K19" s="604"/>
      <c r="L19" s="604"/>
      <c r="M19" s="604"/>
      <c r="N19" s="604"/>
      <c r="O19" s="604"/>
      <c r="P19" s="604"/>
      <c r="Q19" s="604"/>
      <c r="R19" s="604"/>
      <c r="S19" s="604"/>
      <c r="T19" s="604"/>
      <c r="U19" s="604"/>
      <c r="V19" s="604"/>
      <c r="W19" s="604"/>
      <c r="X19" s="604"/>
      <c r="Y19" s="604"/>
      <c r="Z19" s="604"/>
      <c r="AA19" s="604"/>
      <c r="AB19" s="604"/>
      <c r="AC19" s="604"/>
      <c r="AD19" s="604"/>
      <c r="AE19" s="604"/>
      <c r="AF19" s="604"/>
      <c r="AG19" s="604"/>
      <c r="AH19" s="604"/>
      <c r="AI19" s="604"/>
      <c r="AJ19" s="604"/>
      <c r="AK19" s="604"/>
      <c r="AL19" s="604"/>
      <c r="AM19" s="604"/>
      <c r="AN19" s="604"/>
      <c r="AO19" s="604"/>
      <c r="AP19" s="604"/>
      <c r="AQ19" s="604"/>
      <c r="AR19" s="604"/>
      <c r="AS19" s="604"/>
      <c r="AT19" s="604"/>
      <c r="AU19" s="604"/>
      <c r="AV19" s="604"/>
      <c r="AW19" s="604"/>
      <c r="AX19" s="604"/>
      <c r="AY19" s="604"/>
      <c r="AZ19" s="604"/>
      <c r="BA19" s="604"/>
      <c r="BB19" s="604"/>
      <c r="BC19" s="604"/>
      <c r="BD19" s="604"/>
      <c r="BE19" s="604"/>
      <c r="BF19" s="605"/>
      <c r="BG19" s="553" t="s">
        <v>140</v>
      </c>
      <c r="BH19" s="553"/>
      <c r="BI19" s="553"/>
      <c r="BJ19" s="553"/>
      <c r="BK19" s="553" t="s">
        <v>140</v>
      </c>
      <c r="BL19" s="553"/>
      <c r="BM19" s="553"/>
      <c r="BN19" s="553"/>
    </row>
    <row r="20" spans="1:66" x14ac:dyDescent="0.15">
      <c r="A20" s="621"/>
      <c r="B20" s="622"/>
      <c r="C20" s="606"/>
      <c r="D20" s="607"/>
      <c r="E20" s="607"/>
      <c r="F20" s="607"/>
      <c r="G20" s="607"/>
      <c r="H20" s="607"/>
      <c r="I20" s="607"/>
      <c r="J20" s="607"/>
      <c r="K20" s="607"/>
      <c r="L20" s="607"/>
      <c r="M20" s="607"/>
      <c r="N20" s="607"/>
      <c r="O20" s="607"/>
      <c r="P20" s="607"/>
      <c r="Q20" s="607"/>
      <c r="R20" s="607"/>
      <c r="S20" s="607"/>
      <c r="T20" s="607"/>
      <c r="U20" s="607"/>
      <c r="V20" s="607"/>
      <c r="W20" s="607"/>
      <c r="X20" s="607"/>
      <c r="Y20" s="607"/>
      <c r="Z20" s="607"/>
      <c r="AA20" s="607"/>
      <c r="AB20" s="607"/>
      <c r="AC20" s="607"/>
      <c r="AD20" s="607"/>
      <c r="AE20" s="607"/>
      <c r="AF20" s="607"/>
      <c r="AG20" s="607"/>
      <c r="AH20" s="607"/>
      <c r="AI20" s="607"/>
      <c r="AJ20" s="607"/>
      <c r="AK20" s="607"/>
      <c r="AL20" s="607"/>
      <c r="AM20" s="607"/>
      <c r="AN20" s="607"/>
      <c r="AO20" s="607"/>
      <c r="AP20" s="607"/>
      <c r="AQ20" s="607"/>
      <c r="AR20" s="607"/>
      <c r="AS20" s="607"/>
      <c r="AT20" s="607"/>
      <c r="AU20" s="607"/>
      <c r="AV20" s="607"/>
      <c r="AW20" s="607"/>
      <c r="AX20" s="607"/>
      <c r="AY20" s="607"/>
      <c r="AZ20" s="607"/>
      <c r="BA20" s="607"/>
      <c r="BB20" s="607"/>
      <c r="BC20" s="607"/>
      <c r="BD20" s="607"/>
      <c r="BE20" s="607"/>
      <c r="BF20" s="608"/>
      <c r="BG20" s="553"/>
      <c r="BH20" s="553"/>
      <c r="BI20" s="553"/>
      <c r="BJ20" s="553"/>
      <c r="BK20" s="553"/>
      <c r="BL20" s="553"/>
      <c r="BM20" s="553"/>
      <c r="BN20" s="553"/>
    </row>
    <row r="21" spans="1:66" x14ac:dyDescent="0.15">
      <c r="A21" s="619">
        <v>1</v>
      </c>
      <c r="B21" s="620"/>
      <c r="C21" s="603" t="s">
        <v>601</v>
      </c>
      <c r="D21" s="604"/>
      <c r="E21" s="604"/>
      <c r="F21" s="604"/>
      <c r="G21" s="604"/>
      <c r="H21" s="604"/>
      <c r="I21" s="604"/>
      <c r="J21" s="604"/>
      <c r="K21" s="604"/>
      <c r="L21" s="604"/>
      <c r="M21" s="604"/>
      <c r="N21" s="604"/>
      <c r="O21" s="604"/>
      <c r="P21" s="604"/>
      <c r="Q21" s="604"/>
      <c r="R21" s="604"/>
      <c r="S21" s="604"/>
      <c r="T21" s="604"/>
      <c r="U21" s="604"/>
      <c r="V21" s="604"/>
      <c r="W21" s="604"/>
      <c r="X21" s="604"/>
      <c r="Y21" s="604"/>
      <c r="Z21" s="604"/>
      <c r="AA21" s="604"/>
      <c r="AB21" s="604"/>
      <c r="AC21" s="604"/>
      <c r="AD21" s="604"/>
      <c r="AE21" s="604"/>
      <c r="AF21" s="604"/>
      <c r="AG21" s="604"/>
      <c r="AH21" s="604"/>
      <c r="AI21" s="604"/>
      <c r="AJ21" s="604"/>
      <c r="AK21" s="604"/>
      <c r="AL21" s="604"/>
      <c r="AM21" s="604"/>
      <c r="AN21" s="604"/>
      <c r="AO21" s="604"/>
      <c r="AP21" s="604"/>
      <c r="AQ21" s="604"/>
      <c r="AR21" s="604"/>
      <c r="AS21" s="604"/>
      <c r="AT21" s="604"/>
      <c r="AU21" s="604"/>
      <c r="AV21" s="604"/>
      <c r="AW21" s="604"/>
      <c r="AX21" s="604"/>
      <c r="AY21" s="604"/>
      <c r="AZ21" s="604"/>
      <c r="BA21" s="604"/>
      <c r="BB21" s="604"/>
      <c r="BC21" s="604"/>
      <c r="BD21" s="604"/>
      <c r="BE21" s="604"/>
      <c r="BF21" s="605"/>
      <c r="BG21" s="553" t="s">
        <v>140</v>
      </c>
      <c r="BH21" s="553"/>
      <c r="BI21" s="553"/>
      <c r="BJ21" s="553"/>
      <c r="BK21" s="553" t="s">
        <v>140</v>
      </c>
      <c r="BL21" s="553"/>
      <c r="BM21" s="553"/>
      <c r="BN21" s="553"/>
    </row>
    <row r="22" spans="1:66" x14ac:dyDescent="0.15">
      <c r="A22" s="621"/>
      <c r="B22" s="622"/>
      <c r="C22" s="606"/>
      <c r="D22" s="607"/>
      <c r="E22" s="607"/>
      <c r="F22" s="607"/>
      <c r="G22" s="607"/>
      <c r="H22" s="607"/>
      <c r="I22" s="607"/>
      <c r="J22" s="607"/>
      <c r="K22" s="607"/>
      <c r="L22" s="607"/>
      <c r="M22" s="607"/>
      <c r="N22" s="607"/>
      <c r="O22" s="607"/>
      <c r="P22" s="607"/>
      <c r="Q22" s="607"/>
      <c r="R22" s="607"/>
      <c r="S22" s="607"/>
      <c r="T22" s="607"/>
      <c r="U22" s="607"/>
      <c r="V22" s="607"/>
      <c r="W22" s="607"/>
      <c r="X22" s="607"/>
      <c r="Y22" s="607"/>
      <c r="Z22" s="607"/>
      <c r="AA22" s="607"/>
      <c r="AB22" s="607"/>
      <c r="AC22" s="607"/>
      <c r="AD22" s="607"/>
      <c r="AE22" s="607"/>
      <c r="AF22" s="607"/>
      <c r="AG22" s="607"/>
      <c r="AH22" s="607"/>
      <c r="AI22" s="607"/>
      <c r="AJ22" s="607"/>
      <c r="AK22" s="607"/>
      <c r="AL22" s="607"/>
      <c r="AM22" s="607"/>
      <c r="AN22" s="607"/>
      <c r="AO22" s="607"/>
      <c r="AP22" s="607"/>
      <c r="AQ22" s="607"/>
      <c r="AR22" s="607"/>
      <c r="AS22" s="607"/>
      <c r="AT22" s="607"/>
      <c r="AU22" s="607"/>
      <c r="AV22" s="607"/>
      <c r="AW22" s="607"/>
      <c r="AX22" s="607"/>
      <c r="AY22" s="607"/>
      <c r="AZ22" s="607"/>
      <c r="BA22" s="607"/>
      <c r="BB22" s="607"/>
      <c r="BC22" s="607"/>
      <c r="BD22" s="607"/>
      <c r="BE22" s="607"/>
      <c r="BF22" s="608"/>
      <c r="BG22" s="553"/>
      <c r="BH22" s="553"/>
      <c r="BI22" s="553"/>
      <c r="BJ22" s="553"/>
      <c r="BK22" s="553"/>
      <c r="BL22" s="553"/>
      <c r="BM22" s="553"/>
      <c r="BN22" s="553"/>
    </row>
    <row r="23" spans="1:66" x14ac:dyDescent="0.15">
      <c r="A23" s="619">
        <v>2</v>
      </c>
      <c r="B23" s="620"/>
      <c r="C23" s="603" t="s">
        <v>602</v>
      </c>
      <c r="D23" s="604"/>
      <c r="E23" s="604"/>
      <c r="F23" s="604"/>
      <c r="G23" s="604"/>
      <c r="H23" s="604"/>
      <c r="I23" s="604"/>
      <c r="J23" s="604"/>
      <c r="K23" s="604"/>
      <c r="L23" s="604"/>
      <c r="M23" s="604"/>
      <c r="N23" s="604"/>
      <c r="O23" s="604"/>
      <c r="P23" s="604"/>
      <c r="Q23" s="604"/>
      <c r="R23" s="604"/>
      <c r="S23" s="604"/>
      <c r="T23" s="604"/>
      <c r="U23" s="604"/>
      <c r="V23" s="604"/>
      <c r="W23" s="604"/>
      <c r="X23" s="604"/>
      <c r="Y23" s="604"/>
      <c r="Z23" s="604"/>
      <c r="AA23" s="604"/>
      <c r="AB23" s="604"/>
      <c r="AC23" s="604"/>
      <c r="AD23" s="604"/>
      <c r="AE23" s="604"/>
      <c r="AF23" s="604"/>
      <c r="AG23" s="604"/>
      <c r="AH23" s="604"/>
      <c r="AI23" s="604"/>
      <c r="AJ23" s="604"/>
      <c r="AK23" s="604"/>
      <c r="AL23" s="604"/>
      <c r="AM23" s="604"/>
      <c r="AN23" s="604"/>
      <c r="AO23" s="604"/>
      <c r="AP23" s="604"/>
      <c r="AQ23" s="604"/>
      <c r="AR23" s="604"/>
      <c r="AS23" s="604"/>
      <c r="AT23" s="604"/>
      <c r="AU23" s="604"/>
      <c r="AV23" s="604"/>
      <c r="AW23" s="604"/>
      <c r="AX23" s="604"/>
      <c r="AY23" s="604"/>
      <c r="AZ23" s="604"/>
      <c r="BA23" s="604"/>
      <c r="BB23" s="604"/>
      <c r="BC23" s="604"/>
      <c r="BD23" s="604"/>
      <c r="BE23" s="604"/>
      <c r="BF23" s="605"/>
      <c r="BG23" s="553" t="s">
        <v>140</v>
      </c>
      <c r="BH23" s="553"/>
      <c r="BI23" s="553"/>
      <c r="BJ23" s="553"/>
      <c r="BK23" s="553" t="s">
        <v>140</v>
      </c>
      <c r="BL23" s="553"/>
      <c r="BM23" s="553"/>
      <c r="BN23" s="553"/>
    </row>
    <row r="24" spans="1:66" x14ac:dyDescent="0.15">
      <c r="A24" s="621"/>
      <c r="B24" s="622"/>
      <c r="C24" s="606"/>
      <c r="D24" s="607"/>
      <c r="E24" s="607"/>
      <c r="F24" s="607"/>
      <c r="G24" s="607"/>
      <c r="H24" s="607"/>
      <c r="I24" s="607"/>
      <c r="J24" s="607"/>
      <c r="K24" s="607"/>
      <c r="L24" s="607"/>
      <c r="M24" s="607"/>
      <c r="N24" s="607"/>
      <c r="O24" s="607"/>
      <c r="P24" s="607"/>
      <c r="Q24" s="607"/>
      <c r="R24" s="607"/>
      <c r="S24" s="607"/>
      <c r="T24" s="607"/>
      <c r="U24" s="607"/>
      <c r="V24" s="607"/>
      <c r="W24" s="607"/>
      <c r="X24" s="607"/>
      <c r="Y24" s="607"/>
      <c r="Z24" s="607"/>
      <c r="AA24" s="607"/>
      <c r="AB24" s="607"/>
      <c r="AC24" s="607"/>
      <c r="AD24" s="607"/>
      <c r="AE24" s="607"/>
      <c r="AF24" s="607"/>
      <c r="AG24" s="607"/>
      <c r="AH24" s="607"/>
      <c r="AI24" s="607"/>
      <c r="AJ24" s="607"/>
      <c r="AK24" s="607"/>
      <c r="AL24" s="607"/>
      <c r="AM24" s="607"/>
      <c r="AN24" s="607"/>
      <c r="AO24" s="607"/>
      <c r="AP24" s="607"/>
      <c r="AQ24" s="607"/>
      <c r="AR24" s="607"/>
      <c r="AS24" s="607"/>
      <c r="AT24" s="607"/>
      <c r="AU24" s="607"/>
      <c r="AV24" s="607"/>
      <c r="AW24" s="607"/>
      <c r="AX24" s="607"/>
      <c r="AY24" s="607"/>
      <c r="AZ24" s="607"/>
      <c r="BA24" s="607"/>
      <c r="BB24" s="607"/>
      <c r="BC24" s="607"/>
      <c r="BD24" s="607"/>
      <c r="BE24" s="607"/>
      <c r="BF24" s="608"/>
      <c r="BG24" s="553"/>
      <c r="BH24" s="553"/>
      <c r="BI24" s="553"/>
      <c r="BJ24" s="553"/>
      <c r="BK24" s="553"/>
      <c r="BL24" s="553"/>
      <c r="BM24" s="553"/>
      <c r="BN24" s="553"/>
    </row>
    <row r="25" spans="1:66" x14ac:dyDescent="0.15">
      <c r="A25" s="619">
        <v>3</v>
      </c>
      <c r="B25" s="620"/>
      <c r="C25" s="603" t="s">
        <v>603</v>
      </c>
      <c r="D25" s="604"/>
      <c r="E25" s="604"/>
      <c r="F25" s="604"/>
      <c r="G25" s="604"/>
      <c r="H25" s="604"/>
      <c r="I25" s="604"/>
      <c r="J25" s="604"/>
      <c r="K25" s="604"/>
      <c r="L25" s="604"/>
      <c r="M25" s="604"/>
      <c r="N25" s="604"/>
      <c r="O25" s="604"/>
      <c r="P25" s="604"/>
      <c r="Q25" s="604"/>
      <c r="R25" s="604"/>
      <c r="S25" s="604"/>
      <c r="T25" s="604"/>
      <c r="U25" s="604"/>
      <c r="V25" s="604"/>
      <c r="W25" s="604"/>
      <c r="X25" s="604"/>
      <c r="Y25" s="604"/>
      <c r="Z25" s="604"/>
      <c r="AA25" s="604"/>
      <c r="AB25" s="604"/>
      <c r="AC25" s="604"/>
      <c r="AD25" s="604"/>
      <c r="AE25" s="604"/>
      <c r="AF25" s="604"/>
      <c r="AG25" s="604"/>
      <c r="AH25" s="604"/>
      <c r="AI25" s="604"/>
      <c r="AJ25" s="604"/>
      <c r="AK25" s="604"/>
      <c r="AL25" s="604"/>
      <c r="AM25" s="604"/>
      <c r="AN25" s="604"/>
      <c r="AO25" s="604"/>
      <c r="AP25" s="604"/>
      <c r="AQ25" s="604"/>
      <c r="AR25" s="604"/>
      <c r="AS25" s="604"/>
      <c r="AT25" s="604"/>
      <c r="AU25" s="604"/>
      <c r="AV25" s="604"/>
      <c r="AW25" s="604"/>
      <c r="AX25" s="604"/>
      <c r="AY25" s="604"/>
      <c r="AZ25" s="604"/>
      <c r="BA25" s="604"/>
      <c r="BB25" s="604"/>
      <c r="BC25" s="604"/>
      <c r="BD25" s="604"/>
      <c r="BE25" s="604"/>
      <c r="BF25" s="605"/>
      <c r="BG25" s="553" t="s">
        <v>140</v>
      </c>
      <c r="BH25" s="553"/>
      <c r="BI25" s="553"/>
      <c r="BJ25" s="553"/>
      <c r="BK25" s="553" t="s">
        <v>140</v>
      </c>
      <c r="BL25" s="553"/>
      <c r="BM25" s="553"/>
      <c r="BN25" s="553"/>
    </row>
    <row r="26" spans="1:66" x14ac:dyDescent="0.15">
      <c r="A26" s="621"/>
      <c r="B26" s="622"/>
      <c r="C26" s="606"/>
      <c r="D26" s="607"/>
      <c r="E26" s="607"/>
      <c r="F26" s="607"/>
      <c r="G26" s="607"/>
      <c r="H26" s="607"/>
      <c r="I26" s="607"/>
      <c r="J26" s="607"/>
      <c r="K26" s="607"/>
      <c r="L26" s="607"/>
      <c r="M26" s="607"/>
      <c r="N26" s="607"/>
      <c r="O26" s="607"/>
      <c r="P26" s="607"/>
      <c r="Q26" s="607"/>
      <c r="R26" s="607"/>
      <c r="S26" s="607"/>
      <c r="T26" s="607"/>
      <c r="U26" s="607"/>
      <c r="V26" s="607"/>
      <c r="W26" s="607"/>
      <c r="X26" s="607"/>
      <c r="Y26" s="607"/>
      <c r="Z26" s="607"/>
      <c r="AA26" s="607"/>
      <c r="AB26" s="607"/>
      <c r="AC26" s="607"/>
      <c r="AD26" s="607"/>
      <c r="AE26" s="607"/>
      <c r="AF26" s="607"/>
      <c r="AG26" s="607"/>
      <c r="AH26" s="607"/>
      <c r="AI26" s="607"/>
      <c r="AJ26" s="607"/>
      <c r="AK26" s="607"/>
      <c r="AL26" s="607"/>
      <c r="AM26" s="607"/>
      <c r="AN26" s="607"/>
      <c r="AO26" s="607"/>
      <c r="AP26" s="607"/>
      <c r="AQ26" s="607"/>
      <c r="AR26" s="607"/>
      <c r="AS26" s="607"/>
      <c r="AT26" s="607"/>
      <c r="AU26" s="607"/>
      <c r="AV26" s="607"/>
      <c r="AW26" s="607"/>
      <c r="AX26" s="607"/>
      <c r="AY26" s="607"/>
      <c r="AZ26" s="607"/>
      <c r="BA26" s="607"/>
      <c r="BB26" s="607"/>
      <c r="BC26" s="607"/>
      <c r="BD26" s="607"/>
      <c r="BE26" s="607"/>
      <c r="BF26" s="608"/>
      <c r="BG26" s="553"/>
      <c r="BH26" s="553"/>
      <c r="BI26" s="553"/>
      <c r="BJ26" s="553"/>
      <c r="BK26" s="553"/>
      <c r="BL26" s="553"/>
      <c r="BM26" s="553"/>
      <c r="BN26" s="553"/>
    </row>
    <row r="27" spans="1:66" x14ac:dyDescent="0.15">
      <c r="A27" s="619">
        <v>4</v>
      </c>
      <c r="B27" s="620"/>
      <c r="C27" s="603" t="s">
        <v>604</v>
      </c>
      <c r="D27" s="604"/>
      <c r="E27" s="604"/>
      <c r="F27" s="604"/>
      <c r="G27" s="604"/>
      <c r="H27" s="604"/>
      <c r="I27" s="604"/>
      <c r="J27" s="604"/>
      <c r="K27" s="604"/>
      <c r="L27" s="604"/>
      <c r="M27" s="604"/>
      <c r="N27" s="604"/>
      <c r="O27" s="604"/>
      <c r="P27" s="604"/>
      <c r="Q27" s="604"/>
      <c r="R27" s="604"/>
      <c r="S27" s="604"/>
      <c r="T27" s="604"/>
      <c r="U27" s="604"/>
      <c r="V27" s="604"/>
      <c r="W27" s="604"/>
      <c r="X27" s="604"/>
      <c r="Y27" s="604"/>
      <c r="Z27" s="604"/>
      <c r="AA27" s="604"/>
      <c r="AB27" s="604"/>
      <c r="AC27" s="604"/>
      <c r="AD27" s="604"/>
      <c r="AE27" s="604"/>
      <c r="AF27" s="604"/>
      <c r="AG27" s="604"/>
      <c r="AH27" s="604"/>
      <c r="AI27" s="604"/>
      <c r="AJ27" s="604"/>
      <c r="AK27" s="604"/>
      <c r="AL27" s="604"/>
      <c r="AM27" s="604"/>
      <c r="AN27" s="604"/>
      <c r="AO27" s="604"/>
      <c r="AP27" s="604"/>
      <c r="AQ27" s="604"/>
      <c r="AR27" s="604"/>
      <c r="AS27" s="604"/>
      <c r="AT27" s="604"/>
      <c r="AU27" s="604"/>
      <c r="AV27" s="604"/>
      <c r="AW27" s="604"/>
      <c r="AX27" s="604"/>
      <c r="AY27" s="604"/>
      <c r="AZ27" s="604"/>
      <c r="BA27" s="604"/>
      <c r="BB27" s="604"/>
      <c r="BC27" s="604"/>
      <c r="BD27" s="604"/>
      <c r="BE27" s="604"/>
      <c r="BF27" s="605"/>
      <c r="BG27" s="553" t="s">
        <v>140</v>
      </c>
      <c r="BH27" s="553"/>
      <c r="BI27" s="553"/>
      <c r="BJ27" s="553"/>
      <c r="BK27" s="553" t="s">
        <v>140</v>
      </c>
      <c r="BL27" s="553"/>
      <c r="BM27" s="553"/>
      <c r="BN27" s="553"/>
    </row>
    <row r="28" spans="1:66" x14ac:dyDescent="0.15">
      <c r="A28" s="621"/>
      <c r="B28" s="622"/>
      <c r="C28" s="606"/>
      <c r="D28" s="607"/>
      <c r="E28" s="607"/>
      <c r="F28" s="607"/>
      <c r="G28" s="607"/>
      <c r="H28" s="607"/>
      <c r="I28" s="607"/>
      <c r="J28" s="607"/>
      <c r="K28" s="607"/>
      <c r="L28" s="607"/>
      <c r="M28" s="607"/>
      <c r="N28" s="607"/>
      <c r="O28" s="607"/>
      <c r="P28" s="607"/>
      <c r="Q28" s="607"/>
      <c r="R28" s="607"/>
      <c r="S28" s="607"/>
      <c r="T28" s="607"/>
      <c r="U28" s="607"/>
      <c r="V28" s="607"/>
      <c r="W28" s="607"/>
      <c r="X28" s="607"/>
      <c r="Y28" s="607"/>
      <c r="Z28" s="607"/>
      <c r="AA28" s="607"/>
      <c r="AB28" s="607"/>
      <c r="AC28" s="607"/>
      <c r="AD28" s="607"/>
      <c r="AE28" s="607"/>
      <c r="AF28" s="607"/>
      <c r="AG28" s="607"/>
      <c r="AH28" s="607"/>
      <c r="AI28" s="607"/>
      <c r="AJ28" s="607"/>
      <c r="AK28" s="607"/>
      <c r="AL28" s="607"/>
      <c r="AM28" s="607"/>
      <c r="AN28" s="607"/>
      <c r="AO28" s="607"/>
      <c r="AP28" s="607"/>
      <c r="AQ28" s="607"/>
      <c r="AR28" s="607"/>
      <c r="AS28" s="607"/>
      <c r="AT28" s="607"/>
      <c r="AU28" s="607"/>
      <c r="AV28" s="607"/>
      <c r="AW28" s="607"/>
      <c r="AX28" s="607"/>
      <c r="AY28" s="607"/>
      <c r="AZ28" s="607"/>
      <c r="BA28" s="607"/>
      <c r="BB28" s="607"/>
      <c r="BC28" s="607"/>
      <c r="BD28" s="607"/>
      <c r="BE28" s="607"/>
      <c r="BF28" s="608"/>
      <c r="BG28" s="553"/>
      <c r="BH28" s="553"/>
      <c r="BI28" s="553"/>
      <c r="BJ28" s="553"/>
      <c r="BK28" s="553"/>
      <c r="BL28" s="553"/>
      <c r="BM28" s="553"/>
      <c r="BN28" s="553"/>
    </row>
    <row r="29" spans="1:66" x14ac:dyDescent="0.15">
      <c r="A29" s="619">
        <v>5</v>
      </c>
      <c r="B29" s="620"/>
      <c r="C29" s="603" t="s">
        <v>605</v>
      </c>
      <c r="D29" s="604"/>
      <c r="E29" s="604"/>
      <c r="F29" s="604"/>
      <c r="G29" s="604"/>
      <c r="H29" s="604"/>
      <c r="I29" s="604"/>
      <c r="J29" s="604"/>
      <c r="K29" s="604"/>
      <c r="L29" s="604"/>
      <c r="M29" s="604"/>
      <c r="N29" s="604"/>
      <c r="O29" s="604"/>
      <c r="P29" s="604"/>
      <c r="Q29" s="604"/>
      <c r="R29" s="604"/>
      <c r="S29" s="604"/>
      <c r="T29" s="604"/>
      <c r="U29" s="604"/>
      <c r="V29" s="604"/>
      <c r="W29" s="604"/>
      <c r="X29" s="604"/>
      <c r="Y29" s="604"/>
      <c r="Z29" s="604"/>
      <c r="AA29" s="604"/>
      <c r="AB29" s="604"/>
      <c r="AC29" s="604"/>
      <c r="AD29" s="604"/>
      <c r="AE29" s="604"/>
      <c r="AF29" s="604"/>
      <c r="AG29" s="604"/>
      <c r="AH29" s="604"/>
      <c r="AI29" s="604"/>
      <c r="AJ29" s="604"/>
      <c r="AK29" s="604"/>
      <c r="AL29" s="604"/>
      <c r="AM29" s="604"/>
      <c r="AN29" s="604"/>
      <c r="AO29" s="604"/>
      <c r="AP29" s="604"/>
      <c r="AQ29" s="604"/>
      <c r="AR29" s="604"/>
      <c r="AS29" s="604"/>
      <c r="AT29" s="604"/>
      <c r="AU29" s="604"/>
      <c r="AV29" s="604"/>
      <c r="AW29" s="604"/>
      <c r="AX29" s="604"/>
      <c r="AY29" s="604"/>
      <c r="AZ29" s="604"/>
      <c r="BA29" s="604"/>
      <c r="BB29" s="604"/>
      <c r="BC29" s="604"/>
      <c r="BD29" s="604"/>
      <c r="BE29" s="604"/>
      <c r="BF29" s="605"/>
      <c r="BG29" s="553" t="s">
        <v>140</v>
      </c>
      <c r="BH29" s="553"/>
      <c r="BI29" s="553"/>
      <c r="BJ29" s="553"/>
      <c r="BK29" s="553" t="s">
        <v>140</v>
      </c>
      <c r="BL29" s="553"/>
      <c r="BM29" s="553"/>
      <c r="BN29" s="553"/>
    </row>
    <row r="30" spans="1:66" x14ac:dyDescent="0.15">
      <c r="A30" s="621"/>
      <c r="B30" s="622"/>
      <c r="C30" s="606"/>
      <c r="D30" s="607"/>
      <c r="E30" s="607"/>
      <c r="F30" s="607"/>
      <c r="G30" s="607"/>
      <c r="H30" s="607"/>
      <c r="I30" s="607"/>
      <c r="J30" s="607"/>
      <c r="K30" s="607"/>
      <c r="L30" s="607"/>
      <c r="M30" s="607"/>
      <c r="N30" s="607"/>
      <c r="O30" s="607"/>
      <c r="P30" s="607"/>
      <c r="Q30" s="607"/>
      <c r="R30" s="607"/>
      <c r="S30" s="607"/>
      <c r="T30" s="607"/>
      <c r="U30" s="607"/>
      <c r="V30" s="607"/>
      <c r="W30" s="607"/>
      <c r="X30" s="607"/>
      <c r="Y30" s="607"/>
      <c r="Z30" s="607"/>
      <c r="AA30" s="607"/>
      <c r="AB30" s="607"/>
      <c r="AC30" s="607"/>
      <c r="AD30" s="607"/>
      <c r="AE30" s="607"/>
      <c r="AF30" s="607"/>
      <c r="AG30" s="607"/>
      <c r="AH30" s="607"/>
      <c r="AI30" s="607"/>
      <c r="AJ30" s="607"/>
      <c r="AK30" s="607"/>
      <c r="AL30" s="607"/>
      <c r="AM30" s="607"/>
      <c r="AN30" s="607"/>
      <c r="AO30" s="607"/>
      <c r="AP30" s="607"/>
      <c r="AQ30" s="607"/>
      <c r="AR30" s="607"/>
      <c r="AS30" s="607"/>
      <c r="AT30" s="607"/>
      <c r="AU30" s="607"/>
      <c r="AV30" s="607"/>
      <c r="AW30" s="607"/>
      <c r="AX30" s="607"/>
      <c r="AY30" s="607"/>
      <c r="AZ30" s="607"/>
      <c r="BA30" s="607"/>
      <c r="BB30" s="607"/>
      <c r="BC30" s="607"/>
      <c r="BD30" s="607"/>
      <c r="BE30" s="607"/>
      <c r="BF30" s="608"/>
      <c r="BG30" s="553"/>
      <c r="BH30" s="553"/>
      <c r="BI30" s="553"/>
      <c r="BJ30" s="553"/>
      <c r="BK30" s="553"/>
      <c r="BL30" s="553"/>
      <c r="BM30" s="553"/>
      <c r="BN30" s="553"/>
    </row>
    <row r="31" spans="1:66" x14ac:dyDescent="0.15">
      <c r="A31" s="619">
        <v>6</v>
      </c>
      <c r="B31" s="620"/>
      <c r="C31" s="603" t="s">
        <v>606</v>
      </c>
      <c r="D31" s="604"/>
      <c r="E31" s="604"/>
      <c r="F31" s="604"/>
      <c r="G31" s="604"/>
      <c r="H31" s="604"/>
      <c r="I31" s="604"/>
      <c r="J31" s="604"/>
      <c r="K31" s="604"/>
      <c r="L31" s="604"/>
      <c r="M31" s="604"/>
      <c r="N31" s="604"/>
      <c r="O31" s="604"/>
      <c r="P31" s="604"/>
      <c r="Q31" s="604"/>
      <c r="R31" s="604"/>
      <c r="S31" s="604"/>
      <c r="T31" s="604"/>
      <c r="U31" s="604"/>
      <c r="V31" s="604"/>
      <c r="W31" s="604"/>
      <c r="X31" s="604"/>
      <c r="Y31" s="604"/>
      <c r="Z31" s="604"/>
      <c r="AA31" s="604"/>
      <c r="AB31" s="604"/>
      <c r="AC31" s="604"/>
      <c r="AD31" s="604"/>
      <c r="AE31" s="604"/>
      <c r="AF31" s="604"/>
      <c r="AG31" s="604"/>
      <c r="AH31" s="604"/>
      <c r="AI31" s="604"/>
      <c r="AJ31" s="604"/>
      <c r="AK31" s="604"/>
      <c r="AL31" s="604"/>
      <c r="AM31" s="604"/>
      <c r="AN31" s="604"/>
      <c r="AO31" s="604"/>
      <c r="AP31" s="604"/>
      <c r="AQ31" s="604"/>
      <c r="AR31" s="604"/>
      <c r="AS31" s="604"/>
      <c r="AT31" s="604"/>
      <c r="AU31" s="604"/>
      <c r="AV31" s="604"/>
      <c r="AW31" s="604"/>
      <c r="AX31" s="604"/>
      <c r="AY31" s="604"/>
      <c r="AZ31" s="604"/>
      <c r="BA31" s="604"/>
      <c r="BB31" s="604"/>
      <c r="BC31" s="604"/>
      <c r="BD31" s="604"/>
      <c r="BE31" s="604"/>
      <c r="BF31" s="605"/>
      <c r="BG31" s="553" t="s">
        <v>140</v>
      </c>
      <c r="BH31" s="553"/>
      <c r="BI31" s="553"/>
      <c r="BJ31" s="553"/>
      <c r="BK31" s="553" t="s">
        <v>140</v>
      </c>
      <c r="BL31" s="553"/>
      <c r="BM31" s="553"/>
      <c r="BN31" s="553"/>
    </row>
    <row r="32" spans="1:66" x14ac:dyDescent="0.15">
      <c r="A32" s="621"/>
      <c r="B32" s="622"/>
      <c r="C32" s="606"/>
      <c r="D32" s="607"/>
      <c r="E32" s="607"/>
      <c r="F32" s="607"/>
      <c r="G32" s="607"/>
      <c r="H32" s="607"/>
      <c r="I32" s="607"/>
      <c r="J32" s="607"/>
      <c r="K32" s="607"/>
      <c r="L32" s="607"/>
      <c r="M32" s="607"/>
      <c r="N32" s="607"/>
      <c r="O32" s="607"/>
      <c r="P32" s="607"/>
      <c r="Q32" s="607"/>
      <c r="R32" s="607"/>
      <c r="S32" s="607"/>
      <c r="T32" s="607"/>
      <c r="U32" s="607"/>
      <c r="V32" s="607"/>
      <c r="W32" s="607"/>
      <c r="X32" s="607"/>
      <c r="Y32" s="607"/>
      <c r="Z32" s="607"/>
      <c r="AA32" s="607"/>
      <c r="AB32" s="607"/>
      <c r="AC32" s="607"/>
      <c r="AD32" s="607"/>
      <c r="AE32" s="607"/>
      <c r="AF32" s="607"/>
      <c r="AG32" s="607"/>
      <c r="AH32" s="607"/>
      <c r="AI32" s="607"/>
      <c r="AJ32" s="607"/>
      <c r="AK32" s="607"/>
      <c r="AL32" s="607"/>
      <c r="AM32" s="607"/>
      <c r="AN32" s="607"/>
      <c r="AO32" s="607"/>
      <c r="AP32" s="607"/>
      <c r="AQ32" s="607"/>
      <c r="AR32" s="607"/>
      <c r="AS32" s="607"/>
      <c r="AT32" s="607"/>
      <c r="AU32" s="607"/>
      <c r="AV32" s="607"/>
      <c r="AW32" s="607"/>
      <c r="AX32" s="607"/>
      <c r="AY32" s="607"/>
      <c r="AZ32" s="607"/>
      <c r="BA32" s="607"/>
      <c r="BB32" s="607"/>
      <c r="BC32" s="607"/>
      <c r="BD32" s="607"/>
      <c r="BE32" s="607"/>
      <c r="BF32" s="608"/>
      <c r="BG32" s="553"/>
      <c r="BH32" s="553"/>
      <c r="BI32" s="553"/>
      <c r="BJ32" s="553"/>
      <c r="BK32" s="553"/>
      <c r="BL32" s="553"/>
      <c r="BM32" s="553"/>
      <c r="BN32" s="553"/>
    </row>
    <row r="33" spans="1:66" x14ac:dyDescent="0.15">
      <c r="A33" s="619">
        <v>7</v>
      </c>
      <c r="B33" s="620"/>
      <c r="C33" s="603" t="s">
        <v>607</v>
      </c>
      <c r="D33" s="604"/>
      <c r="E33" s="604"/>
      <c r="F33" s="604"/>
      <c r="G33" s="604"/>
      <c r="H33" s="604"/>
      <c r="I33" s="604"/>
      <c r="J33" s="604"/>
      <c r="K33" s="604"/>
      <c r="L33" s="604"/>
      <c r="M33" s="604"/>
      <c r="N33" s="604"/>
      <c r="O33" s="604"/>
      <c r="P33" s="604"/>
      <c r="Q33" s="604"/>
      <c r="R33" s="604"/>
      <c r="S33" s="604"/>
      <c r="T33" s="604"/>
      <c r="U33" s="604"/>
      <c r="V33" s="604"/>
      <c r="W33" s="604"/>
      <c r="X33" s="604"/>
      <c r="Y33" s="604"/>
      <c r="Z33" s="604"/>
      <c r="AA33" s="604"/>
      <c r="AB33" s="604"/>
      <c r="AC33" s="604"/>
      <c r="AD33" s="604"/>
      <c r="AE33" s="604"/>
      <c r="AF33" s="604"/>
      <c r="AG33" s="604"/>
      <c r="AH33" s="604"/>
      <c r="AI33" s="604"/>
      <c r="AJ33" s="604"/>
      <c r="AK33" s="604"/>
      <c r="AL33" s="604"/>
      <c r="AM33" s="604"/>
      <c r="AN33" s="604"/>
      <c r="AO33" s="604"/>
      <c r="AP33" s="604"/>
      <c r="AQ33" s="604"/>
      <c r="AR33" s="604"/>
      <c r="AS33" s="604"/>
      <c r="AT33" s="604"/>
      <c r="AU33" s="604"/>
      <c r="AV33" s="604"/>
      <c r="AW33" s="604"/>
      <c r="AX33" s="604"/>
      <c r="AY33" s="604"/>
      <c r="AZ33" s="604"/>
      <c r="BA33" s="604"/>
      <c r="BB33" s="604"/>
      <c r="BC33" s="604"/>
      <c r="BD33" s="604"/>
      <c r="BE33" s="604"/>
      <c r="BF33" s="605"/>
      <c r="BG33" s="553" t="s">
        <v>140</v>
      </c>
      <c r="BH33" s="553"/>
      <c r="BI33" s="553"/>
      <c r="BJ33" s="553"/>
      <c r="BK33" s="553" t="s">
        <v>140</v>
      </c>
      <c r="BL33" s="553"/>
      <c r="BM33" s="553"/>
      <c r="BN33" s="553"/>
    </row>
    <row r="34" spans="1:66" x14ac:dyDescent="0.15">
      <c r="A34" s="621"/>
      <c r="B34" s="622"/>
      <c r="C34" s="606"/>
      <c r="D34" s="607"/>
      <c r="E34" s="607"/>
      <c r="F34" s="607"/>
      <c r="G34" s="607"/>
      <c r="H34" s="607"/>
      <c r="I34" s="607"/>
      <c r="J34" s="607"/>
      <c r="K34" s="607"/>
      <c r="L34" s="607"/>
      <c r="M34" s="607"/>
      <c r="N34" s="607"/>
      <c r="O34" s="607"/>
      <c r="P34" s="607"/>
      <c r="Q34" s="607"/>
      <c r="R34" s="607"/>
      <c r="S34" s="607"/>
      <c r="T34" s="607"/>
      <c r="U34" s="607"/>
      <c r="V34" s="607"/>
      <c r="W34" s="607"/>
      <c r="X34" s="607"/>
      <c r="Y34" s="607"/>
      <c r="Z34" s="607"/>
      <c r="AA34" s="607"/>
      <c r="AB34" s="607"/>
      <c r="AC34" s="607"/>
      <c r="AD34" s="607"/>
      <c r="AE34" s="607"/>
      <c r="AF34" s="607"/>
      <c r="AG34" s="607"/>
      <c r="AH34" s="607"/>
      <c r="AI34" s="607"/>
      <c r="AJ34" s="607"/>
      <c r="AK34" s="607"/>
      <c r="AL34" s="607"/>
      <c r="AM34" s="607"/>
      <c r="AN34" s="607"/>
      <c r="AO34" s="607"/>
      <c r="AP34" s="607"/>
      <c r="AQ34" s="607"/>
      <c r="AR34" s="607"/>
      <c r="AS34" s="607"/>
      <c r="AT34" s="607"/>
      <c r="AU34" s="607"/>
      <c r="AV34" s="607"/>
      <c r="AW34" s="607"/>
      <c r="AX34" s="607"/>
      <c r="AY34" s="607"/>
      <c r="AZ34" s="607"/>
      <c r="BA34" s="607"/>
      <c r="BB34" s="607"/>
      <c r="BC34" s="607"/>
      <c r="BD34" s="607"/>
      <c r="BE34" s="607"/>
      <c r="BF34" s="608"/>
      <c r="BG34" s="553"/>
      <c r="BH34" s="553"/>
      <c r="BI34" s="553"/>
      <c r="BJ34" s="553"/>
      <c r="BK34" s="553"/>
      <c r="BL34" s="553"/>
      <c r="BM34" s="553"/>
      <c r="BN34" s="553"/>
    </row>
    <row r="35" spans="1:66" x14ac:dyDescent="0.15">
      <c r="A35" s="619">
        <v>8</v>
      </c>
      <c r="B35" s="620"/>
      <c r="C35" s="603" t="s">
        <v>608</v>
      </c>
      <c r="D35" s="604"/>
      <c r="E35" s="604"/>
      <c r="F35" s="604"/>
      <c r="G35" s="604"/>
      <c r="H35" s="604"/>
      <c r="I35" s="604"/>
      <c r="J35" s="604"/>
      <c r="K35" s="604"/>
      <c r="L35" s="604"/>
      <c r="M35" s="604"/>
      <c r="N35" s="604"/>
      <c r="O35" s="604"/>
      <c r="P35" s="604"/>
      <c r="Q35" s="604"/>
      <c r="R35" s="604"/>
      <c r="S35" s="604"/>
      <c r="T35" s="604"/>
      <c r="U35" s="604"/>
      <c r="V35" s="604"/>
      <c r="W35" s="604"/>
      <c r="X35" s="604"/>
      <c r="Y35" s="604"/>
      <c r="Z35" s="604"/>
      <c r="AA35" s="604"/>
      <c r="AB35" s="604"/>
      <c r="AC35" s="604"/>
      <c r="AD35" s="604"/>
      <c r="AE35" s="604"/>
      <c r="AF35" s="604"/>
      <c r="AG35" s="604"/>
      <c r="AH35" s="604"/>
      <c r="AI35" s="604"/>
      <c r="AJ35" s="604"/>
      <c r="AK35" s="604"/>
      <c r="AL35" s="604"/>
      <c r="AM35" s="604"/>
      <c r="AN35" s="604"/>
      <c r="AO35" s="604"/>
      <c r="AP35" s="604"/>
      <c r="AQ35" s="604"/>
      <c r="AR35" s="604"/>
      <c r="AS35" s="604"/>
      <c r="AT35" s="604"/>
      <c r="AU35" s="604"/>
      <c r="AV35" s="604"/>
      <c r="AW35" s="604"/>
      <c r="AX35" s="604"/>
      <c r="AY35" s="604"/>
      <c r="AZ35" s="604"/>
      <c r="BA35" s="604"/>
      <c r="BB35" s="604"/>
      <c r="BC35" s="604"/>
      <c r="BD35" s="604"/>
      <c r="BE35" s="604"/>
      <c r="BF35" s="605"/>
      <c r="BG35" s="553" t="s">
        <v>140</v>
      </c>
      <c r="BH35" s="553"/>
      <c r="BI35" s="553"/>
      <c r="BJ35" s="553"/>
      <c r="BK35" s="553" t="s">
        <v>140</v>
      </c>
      <c r="BL35" s="553"/>
      <c r="BM35" s="553"/>
      <c r="BN35" s="553"/>
    </row>
    <row r="36" spans="1:66" x14ac:dyDescent="0.15">
      <c r="A36" s="621"/>
      <c r="B36" s="622"/>
      <c r="C36" s="606"/>
      <c r="D36" s="607"/>
      <c r="E36" s="607"/>
      <c r="F36" s="607"/>
      <c r="G36" s="607"/>
      <c r="H36" s="607"/>
      <c r="I36" s="607"/>
      <c r="J36" s="607"/>
      <c r="K36" s="607"/>
      <c r="L36" s="607"/>
      <c r="M36" s="607"/>
      <c r="N36" s="607"/>
      <c r="O36" s="607"/>
      <c r="P36" s="607"/>
      <c r="Q36" s="607"/>
      <c r="R36" s="607"/>
      <c r="S36" s="607"/>
      <c r="T36" s="607"/>
      <c r="U36" s="607"/>
      <c r="V36" s="607"/>
      <c r="W36" s="607"/>
      <c r="X36" s="607"/>
      <c r="Y36" s="607"/>
      <c r="Z36" s="607"/>
      <c r="AA36" s="607"/>
      <c r="AB36" s="607"/>
      <c r="AC36" s="607"/>
      <c r="AD36" s="607"/>
      <c r="AE36" s="607"/>
      <c r="AF36" s="607"/>
      <c r="AG36" s="607"/>
      <c r="AH36" s="607"/>
      <c r="AI36" s="607"/>
      <c r="AJ36" s="607"/>
      <c r="AK36" s="607"/>
      <c r="AL36" s="607"/>
      <c r="AM36" s="607"/>
      <c r="AN36" s="607"/>
      <c r="AO36" s="607"/>
      <c r="AP36" s="607"/>
      <c r="AQ36" s="607"/>
      <c r="AR36" s="607"/>
      <c r="AS36" s="607"/>
      <c r="AT36" s="607"/>
      <c r="AU36" s="607"/>
      <c r="AV36" s="607"/>
      <c r="AW36" s="607"/>
      <c r="AX36" s="607"/>
      <c r="AY36" s="607"/>
      <c r="AZ36" s="607"/>
      <c r="BA36" s="607"/>
      <c r="BB36" s="607"/>
      <c r="BC36" s="607"/>
      <c r="BD36" s="607"/>
      <c r="BE36" s="607"/>
      <c r="BF36" s="608"/>
      <c r="BG36" s="553"/>
      <c r="BH36" s="553"/>
      <c r="BI36" s="553"/>
      <c r="BJ36" s="553"/>
      <c r="BK36" s="553"/>
      <c r="BL36" s="553"/>
      <c r="BM36" s="553"/>
      <c r="BN36" s="553"/>
    </row>
    <row r="37" spans="1:66" x14ac:dyDescent="0.15">
      <c r="A37" s="619">
        <v>9</v>
      </c>
      <c r="B37" s="620"/>
      <c r="C37" s="603" t="s">
        <v>609</v>
      </c>
      <c r="D37" s="604"/>
      <c r="E37" s="604"/>
      <c r="F37" s="604"/>
      <c r="G37" s="604"/>
      <c r="H37" s="604"/>
      <c r="I37" s="604"/>
      <c r="J37" s="604"/>
      <c r="K37" s="604"/>
      <c r="L37" s="604"/>
      <c r="M37" s="604"/>
      <c r="N37" s="604"/>
      <c r="O37" s="604"/>
      <c r="P37" s="604"/>
      <c r="Q37" s="604"/>
      <c r="R37" s="604"/>
      <c r="S37" s="604"/>
      <c r="T37" s="604"/>
      <c r="U37" s="604"/>
      <c r="V37" s="604"/>
      <c r="W37" s="604"/>
      <c r="X37" s="604"/>
      <c r="Y37" s="604"/>
      <c r="Z37" s="604"/>
      <c r="AA37" s="604"/>
      <c r="AB37" s="604"/>
      <c r="AC37" s="604"/>
      <c r="AD37" s="604"/>
      <c r="AE37" s="604"/>
      <c r="AF37" s="604"/>
      <c r="AG37" s="604"/>
      <c r="AH37" s="604"/>
      <c r="AI37" s="604"/>
      <c r="AJ37" s="604"/>
      <c r="AK37" s="604"/>
      <c r="AL37" s="604"/>
      <c r="AM37" s="604"/>
      <c r="AN37" s="604"/>
      <c r="AO37" s="604"/>
      <c r="AP37" s="604"/>
      <c r="AQ37" s="604"/>
      <c r="AR37" s="604"/>
      <c r="AS37" s="604"/>
      <c r="AT37" s="604"/>
      <c r="AU37" s="604"/>
      <c r="AV37" s="604"/>
      <c r="AW37" s="604"/>
      <c r="AX37" s="604"/>
      <c r="AY37" s="604"/>
      <c r="AZ37" s="604"/>
      <c r="BA37" s="604"/>
      <c r="BB37" s="604"/>
      <c r="BC37" s="604"/>
      <c r="BD37" s="604"/>
      <c r="BE37" s="604"/>
      <c r="BF37" s="605"/>
      <c r="BG37" s="553" t="s">
        <v>140</v>
      </c>
      <c r="BH37" s="553"/>
      <c r="BI37" s="553"/>
      <c r="BJ37" s="553"/>
      <c r="BK37" s="553" t="s">
        <v>140</v>
      </c>
      <c r="BL37" s="553"/>
      <c r="BM37" s="553"/>
      <c r="BN37" s="553"/>
    </row>
    <row r="38" spans="1:66" x14ac:dyDescent="0.15">
      <c r="A38" s="621"/>
      <c r="B38" s="622"/>
      <c r="C38" s="606"/>
      <c r="D38" s="607"/>
      <c r="E38" s="607"/>
      <c r="F38" s="607"/>
      <c r="G38" s="607"/>
      <c r="H38" s="607"/>
      <c r="I38" s="607"/>
      <c r="J38" s="607"/>
      <c r="K38" s="607"/>
      <c r="L38" s="607"/>
      <c r="M38" s="607"/>
      <c r="N38" s="607"/>
      <c r="O38" s="607"/>
      <c r="P38" s="607"/>
      <c r="Q38" s="607"/>
      <c r="R38" s="607"/>
      <c r="S38" s="607"/>
      <c r="T38" s="607"/>
      <c r="U38" s="607"/>
      <c r="V38" s="607"/>
      <c r="W38" s="607"/>
      <c r="X38" s="607"/>
      <c r="Y38" s="607"/>
      <c r="Z38" s="607"/>
      <c r="AA38" s="607"/>
      <c r="AB38" s="607"/>
      <c r="AC38" s="607"/>
      <c r="AD38" s="607"/>
      <c r="AE38" s="607"/>
      <c r="AF38" s="607"/>
      <c r="AG38" s="607"/>
      <c r="AH38" s="607"/>
      <c r="AI38" s="607"/>
      <c r="AJ38" s="607"/>
      <c r="AK38" s="607"/>
      <c r="AL38" s="607"/>
      <c r="AM38" s="607"/>
      <c r="AN38" s="607"/>
      <c r="AO38" s="607"/>
      <c r="AP38" s="607"/>
      <c r="AQ38" s="607"/>
      <c r="AR38" s="607"/>
      <c r="AS38" s="607"/>
      <c r="AT38" s="607"/>
      <c r="AU38" s="607"/>
      <c r="AV38" s="607"/>
      <c r="AW38" s="607"/>
      <c r="AX38" s="607"/>
      <c r="AY38" s="607"/>
      <c r="AZ38" s="607"/>
      <c r="BA38" s="607"/>
      <c r="BB38" s="607"/>
      <c r="BC38" s="607"/>
      <c r="BD38" s="607"/>
      <c r="BE38" s="607"/>
      <c r="BF38" s="608"/>
      <c r="BG38" s="553"/>
      <c r="BH38" s="553"/>
      <c r="BI38" s="553"/>
      <c r="BJ38" s="553"/>
      <c r="BK38" s="553"/>
      <c r="BL38" s="553"/>
      <c r="BM38" s="553"/>
      <c r="BN38" s="553"/>
    </row>
    <row r="39" spans="1:66" x14ac:dyDescent="0.15">
      <c r="A39" s="619"/>
      <c r="B39" s="620"/>
      <c r="C39" s="603"/>
      <c r="D39" s="604"/>
      <c r="E39" s="604"/>
      <c r="F39" s="604"/>
      <c r="G39" s="604"/>
      <c r="H39" s="604"/>
      <c r="I39" s="604"/>
      <c r="J39" s="604"/>
      <c r="K39" s="604"/>
      <c r="L39" s="604"/>
      <c r="M39" s="604"/>
      <c r="N39" s="604"/>
      <c r="O39" s="604"/>
      <c r="P39" s="604"/>
      <c r="Q39" s="604"/>
      <c r="R39" s="604"/>
      <c r="S39" s="604"/>
      <c r="T39" s="604"/>
      <c r="U39" s="604"/>
      <c r="V39" s="604"/>
      <c r="W39" s="604"/>
      <c r="X39" s="604"/>
      <c r="Y39" s="604"/>
      <c r="Z39" s="604"/>
      <c r="AA39" s="604"/>
      <c r="AB39" s="604"/>
      <c r="AC39" s="604"/>
      <c r="AD39" s="604"/>
      <c r="AE39" s="604"/>
      <c r="AF39" s="604"/>
      <c r="AG39" s="604"/>
      <c r="AH39" s="604"/>
      <c r="AI39" s="604"/>
      <c r="AJ39" s="604"/>
      <c r="AK39" s="604"/>
      <c r="AL39" s="604"/>
      <c r="AM39" s="604"/>
      <c r="AN39" s="604"/>
      <c r="AO39" s="604"/>
      <c r="AP39" s="604"/>
      <c r="AQ39" s="604"/>
      <c r="AR39" s="604"/>
      <c r="AS39" s="604"/>
      <c r="AT39" s="604"/>
      <c r="AU39" s="604"/>
      <c r="AV39" s="604"/>
      <c r="AW39" s="604"/>
      <c r="AX39" s="604"/>
      <c r="AY39" s="604"/>
      <c r="AZ39" s="604"/>
      <c r="BA39" s="604"/>
      <c r="BB39" s="604"/>
      <c r="BC39" s="604"/>
      <c r="BD39" s="604"/>
      <c r="BE39" s="604"/>
      <c r="BF39" s="605"/>
      <c r="BG39" s="553" t="s">
        <v>140</v>
      </c>
      <c r="BH39" s="553"/>
      <c r="BI39" s="553"/>
      <c r="BJ39" s="553"/>
      <c r="BK39" s="553" t="s">
        <v>140</v>
      </c>
      <c r="BL39" s="553"/>
      <c r="BM39" s="553"/>
      <c r="BN39" s="553"/>
    </row>
    <row r="40" spans="1:66" x14ac:dyDescent="0.15">
      <c r="A40" s="621"/>
      <c r="B40" s="622"/>
      <c r="C40" s="606"/>
      <c r="D40" s="607"/>
      <c r="E40" s="607"/>
      <c r="F40" s="607"/>
      <c r="G40" s="607"/>
      <c r="H40" s="607"/>
      <c r="I40" s="607"/>
      <c r="J40" s="607"/>
      <c r="K40" s="607"/>
      <c r="L40" s="607"/>
      <c r="M40" s="607"/>
      <c r="N40" s="607"/>
      <c r="O40" s="607"/>
      <c r="P40" s="607"/>
      <c r="Q40" s="607"/>
      <c r="R40" s="607"/>
      <c r="S40" s="607"/>
      <c r="T40" s="607"/>
      <c r="U40" s="607"/>
      <c r="V40" s="607"/>
      <c r="W40" s="607"/>
      <c r="X40" s="607"/>
      <c r="Y40" s="607"/>
      <c r="Z40" s="607"/>
      <c r="AA40" s="607"/>
      <c r="AB40" s="607"/>
      <c r="AC40" s="607"/>
      <c r="AD40" s="607"/>
      <c r="AE40" s="607"/>
      <c r="AF40" s="607"/>
      <c r="AG40" s="607"/>
      <c r="AH40" s="607"/>
      <c r="AI40" s="607"/>
      <c r="AJ40" s="607"/>
      <c r="AK40" s="607"/>
      <c r="AL40" s="607"/>
      <c r="AM40" s="607"/>
      <c r="AN40" s="607"/>
      <c r="AO40" s="607"/>
      <c r="AP40" s="607"/>
      <c r="AQ40" s="607"/>
      <c r="AR40" s="607"/>
      <c r="AS40" s="607"/>
      <c r="AT40" s="607"/>
      <c r="AU40" s="607"/>
      <c r="AV40" s="607"/>
      <c r="AW40" s="607"/>
      <c r="AX40" s="607"/>
      <c r="AY40" s="607"/>
      <c r="AZ40" s="607"/>
      <c r="BA40" s="607"/>
      <c r="BB40" s="607"/>
      <c r="BC40" s="607"/>
      <c r="BD40" s="607"/>
      <c r="BE40" s="607"/>
      <c r="BF40" s="608"/>
      <c r="BG40" s="553"/>
      <c r="BH40" s="553"/>
      <c r="BI40" s="553"/>
      <c r="BJ40" s="553"/>
      <c r="BK40" s="553"/>
      <c r="BL40" s="553"/>
      <c r="BM40" s="553"/>
      <c r="BN40" s="553"/>
    </row>
    <row r="41" spans="1:66" x14ac:dyDescent="0.15">
      <c r="A41" s="619"/>
      <c r="B41" s="620"/>
      <c r="C41" s="603" t="s">
        <v>610</v>
      </c>
      <c r="D41" s="604"/>
      <c r="E41" s="604"/>
      <c r="F41" s="604"/>
      <c r="G41" s="604"/>
      <c r="H41" s="604"/>
      <c r="I41" s="604"/>
      <c r="J41" s="604"/>
      <c r="K41" s="604"/>
      <c r="L41" s="604"/>
      <c r="M41" s="604"/>
      <c r="N41" s="604"/>
      <c r="O41" s="604"/>
      <c r="P41" s="604"/>
      <c r="Q41" s="604"/>
      <c r="R41" s="604"/>
      <c r="S41" s="604"/>
      <c r="T41" s="604"/>
      <c r="U41" s="604"/>
      <c r="V41" s="604"/>
      <c r="W41" s="604"/>
      <c r="X41" s="604"/>
      <c r="Y41" s="604"/>
      <c r="Z41" s="604"/>
      <c r="AA41" s="604"/>
      <c r="AB41" s="604"/>
      <c r="AC41" s="604"/>
      <c r="AD41" s="604"/>
      <c r="AE41" s="604"/>
      <c r="AF41" s="604"/>
      <c r="AG41" s="604"/>
      <c r="AH41" s="604"/>
      <c r="AI41" s="604"/>
      <c r="AJ41" s="604"/>
      <c r="AK41" s="604"/>
      <c r="AL41" s="604"/>
      <c r="AM41" s="604"/>
      <c r="AN41" s="604"/>
      <c r="AO41" s="604"/>
      <c r="AP41" s="604"/>
      <c r="AQ41" s="604"/>
      <c r="AR41" s="604"/>
      <c r="AS41" s="604"/>
      <c r="AT41" s="604"/>
      <c r="AU41" s="604"/>
      <c r="AV41" s="604"/>
      <c r="AW41" s="604"/>
      <c r="AX41" s="604"/>
      <c r="AY41" s="604"/>
      <c r="AZ41" s="604"/>
      <c r="BA41" s="604"/>
      <c r="BB41" s="604"/>
      <c r="BC41" s="604"/>
      <c r="BD41" s="604"/>
      <c r="BE41" s="604"/>
      <c r="BF41" s="605"/>
      <c r="BG41" s="553" t="s">
        <v>140</v>
      </c>
      <c r="BH41" s="553"/>
      <c r="BI41" s="553"/>
      <c r="BJ41" s="553"/>
      <c r="BK41" s="553" t="s">
        <v>140</v>
      </c>
      <c r="BL41" s="553"/>
      <c r="BM41" s="553"/>
      <c r="BN41" s="553"/>
    </row>
    <row r="42" spans="1:66" x14ac:dyDescent="0.15">
      <c r="A42" s="621"/>
      <c r="B42" s="622"/>
      <c r="C42" s="606"/>
      <c r="D42" s="607"/>
      <c r="E42" s="607"/>
      <c r="F42" s="607"/>
      <c r="G42" s="607"/>
      <c r="H42" s="607"/>
      <c r="I42" s="607"/>
      <c r="J42" s="607"/>
      <c r="K42" s="607"/>
      <c r="L42" s="607"/>
      <c r="M42" s="607"/>
      <c r="N42" s="607"/>
      <c r="O42" s="607"/>
      <c r="P42" s="607"/>
      <c r="Q42" s="607"/>
      <c r="R42" s="607"/>
      <c r="S42" s="607"/>
      <c r="T42" s="607"/>
      <c r="U42" s="607"/>
      <c r="V42" s="607"/>
      <c r="W42" s="607"/>
      <c r="X42" s="607"/>
      <c r="Y42" s="607"/>
      <c r="Z42" s="607"/>
      <c r="AA42" s="607"/>
      <c r="AB42" s="607"/>
      <c r="AC42" s="607"/>
      <c r="AD42" s="607"/>
      <c r="AE42" s="607"/>
      <c r="AF42" s="607"/>
      <c r="AG42" s="607"/>
      <c r="AH42" s="607"/>
      <c r="AI42" s="607"/>
      <c r="AJ42" s="607"/>
      <c r="AK42" s="607"/>
      <c r="AL42" s="607"/>
      <c r="AM42" s="607"/>
      <c r="AN42" s="607"/>
      <c r="AO42" s="607"/>
      <c r="AP42" s="607"/>
      <c r="AQ42" s="607"/>
      <c r="AR42" s="607"/>
      <c r="AS42" s="607"/>
      <c r="AT42" s="607"/>
      <c r="AU42" s="607"/>
      <c r="AV42" s="607"/>
      <c r="AW42" s="607"/>
      <c r="AX42" s="607"/>
      <c r="AY42" s="607"/>
      <c r="AZ42" s="607"/>
      <c r="BA42" s="607"/>
      <c r="BB42" s="607"/>
      <c r="BC42" s="607"/>
      <c r="BD42" s="607"/>
      <c r="BE42" s="607"/>
      <c r="BF42" s="608"/>
      <c r="BG42" s="553"/>
      <c r="BH42" s="553"/>
      <c r="BI42" s="553"/>
      <c r="BJ42" s="553"/>
      <c r="BK42" s="553"/>
      <c r="BL42" s="553"/>
      <c r="BM42" s="553"/>
      <c r="BN42" s="553"/>
    </row>
    <row r="43" spans="1:66" x14ac:dyDescent="0.15">
      <c r="A43" s="619">
        <v>10</v>
      </c>
      <c r="B43" s="620"/>
      <c r="C43" s="603" t="s">
        <v>611</v>
      </c>
      <c r="D43" s="604"/>
      <c r="E43" s="604"/>
      <c r="F43" s="604"/>
      <c r="G43" s="604"/>
      <c r="H43" s="604"/>
      <c r="I43" s="604"/>
      <c r="J43" s="604"/>
      <c r="K43" s="604"/>
      <c r="L43" s="604"/>
      <c r="M43" s="604"/>
      <c r="N43" s="604"/>
      <c r="O43" s="604"/>
      <c r="P43" s="604"/>
      <c r="Q43" s="604"/>
      <c r="R43" s="604"/>
      <c r="S43" s="604"/>
      <c r="T43" s="604"/>
      <c r="U43" s="604"/>
      <c r="V43" s="604"/>
      <c r="W43" s="604"/>
      <c r="X43" s="604"/>
      <c r="Y43" s="604"/>
      <c r="Z43" s="604"/>
      <c r="AA43" s="604"/>
      <c r="AB43" s="604"/>
      <c r="AC43" s="604"/>
      <c r="AD43" s="604"/>
      <c r="AE43" s="604"/>
      <c r="AF43" s="604"/>
      <c r="AG43" s="604"/>
      <c r="AH43" s="604"/>
      <c r="AI43" s="604"/>
      <c r="AJ43" s="604"/>
      <c r="AK43" s="604"/>
      <c r="AL43" s="604"/>
      <c r="AM43" s="604"/>
      <c r="AN43" s="604"/>
      <c r="AO43" s="604"/>
      <c r="AP43" s="604"/>
      <c r="AQ43" s="604"/>
      <c r="AR43" s="604"/>
      <c r="AS43" s="604"/>
      <c r="AT43" s="604"/>
      <c r="AU43" s="604"/>
      <c r="AV43" s="604"/>
      <c r="AW43" s="604"/>
      <c r="AX43" s="604"/>
      <c r="AY43" s="604"/>
      <c r="AZ43" s="604"/>
      <c r="BA43" s="604"/>
      <c r="BB43" s="604"/>
      <c r="BC43" s="604"/>
      <c r="BD43" s="604"/>
      <c r="BE43" s="604"/>
      <c r="BF43" s="605"/>
      <c r="BG43" s="553" t="s">
        <v>140</v>
      </c>
      <c r="BH43" s="553"/>
      <c r="BI43" s="553"/>
      <c r="BJ43" s="553"/>
      <c r="BK43" s="553" t="s">
        <v>140</v>
      </c>
      <c r="BL43" s="553"/>
      <c r="BM43" s="553"/>
      <c r="BN43" s="553"/>
    </row>
    <row r="44" spans="1:66" x14ac:dyDescent="0.15">
      <c r="A44" s="621"/>
      <c r="B44" s="622"/>
      <c r="C44" s="606"/>
      <c r="D44" s="607"/>
      <c r="E44" s="607"/>
      <c r="F44" s="607"/>
      <c r="G44" s="607"/>
      <c r="H44" s="607"/>
      <c r="I44" s="607"/>
      <c r="J44" s="607"/>
      <c r="K44" s="607"/>
      <c r="L44" s="607"/>
      <c r="M44" s="607"/>
      <c r="N44" s="607"/>
      <c r="O44" s="607"/>
      <c r="P44" s="607"/>
      <c r="Q44" s="607"/>
      <c r="R44" s="607"/>
      <c r="S44" s="607"/>
      <c r="T44" s="607"/>
      <c r="U44" s="607"/>
      <c r="V44" s="607"/>
      <c r="W44" s="607"/>
      <c r="X44" s="607"/>
      <c r="Y44" s="607"/>
      <c r="Z44" s="607"/>
      <c r="AA44" s="607"/>
      <c r="AB44" s="607"/>
      <c r="AC44" s="607"/>
      <c r="AD44" s="607"/>
      <c r="AE44" s="607"/>
      <c r="AF44" s="607"/>
      <c r="AG44" s="607"/>
      <c r="AH44" s="607"/>
      <c r="AI44" s="607"/>
      <c r="AJ44" s="607"/>
      <c r="AK44" s="607"/>
      <c r="AL44" s="607"/>
      <c r="AM44" s="607"/>
      <c r="AN44" s="607"/>
      <c r="AO44" s="607"/>
      <c r="AP44" s="607"/>
      <c r="AQ44" s="607"/>
      <c r="AR44" s="607"/>
      <c r="AS44" s="607"/>
      <c r="AT44" s="607"/>
      <c r="AU44" s="607"/>
      <c r="AV44" s="607"/>
      <c r="AW44" s="607"/>
      <c r="AX44" s="607"/>
      <c r="AY44" s="607"/>
      <c r="AZ44" s="607"/>
      <c r="BA44" s="607"/>
      <c r="BB44" s="607"/>
      <c r="BC44" s="607"/>
      <c r="BD44" s="607"/>
      <c r="BE44" s="607"/>
      <c r="BF44" s="608"/>
      <c r="BG44" s="553"/>
      <c r="BH44" s="553"/>
      <c r="BI44" s="553"/>
      <c r="BJ44" s="553"/>
      <c r="BK44" s="553"/>
      <c r="BL44" s="553"/>
      <c r="BM44" s="553"/>
      <c r="BN44" s="553"/>
    </row>
    <row r="45" spans="1:66" x14ac:dyDescent="0.15">
      <c r="A45" s="619">
        <v>11</v>
      </c>
      <c r="B45" s="620"/>
      <c r="C45" s="603" t="s">
        <v>612</v>
      </c>
      <c r="D45" s="604"/>
      <c r="E45" s="604"/>
      <c r="F45" s="604"/>
      <c r="G45" s="604"/>
      <c r="H45" s="604"/>
      <c r="I45" s="604"/>
      <c r="J45" s="604"/>
      <c r="K45" s="604"/>
      <c r="L45" s="604"/>
      <c r="M45" s="604"/>
      <c r="N45" s="604"/>
      <c r="O45" s="604"/>
      <c r="P45" s="604"/>
      <c r="Q45" s="604"/>
      <c r="R45" s="604"/>
      <c r="S45" s="604"/>
      <c r="T45" s="604"/>
      <c r="U45" s="604"/>
      <c r="V45" s="604"/>
      <c r="W45" s="604"/>
      <c r="X45" s="604"/>
      <c r="Y45" s="604"/>
      <c r="Z45" s="604"/>
      <c r="AA45" s="604"/>
      <c r="AB45" s="604"/>
      <c r="AC45" s="604"/>
      <c r="AD45" s="604"/>
      <c r="AE45" s="604"/>
      <c r="AF45" s="604"/>
      <c r="AG45" s="604"/>
      <c r="AH45" s="604"/>
      <c r="AI45" s="604"/>
      <c r="AJ45" s="604"/>
      <c r="AK45" s="604"/>
      <c r="AL45" s="604"/>
      <c r="AM45" s="604"/>
      <c r="AN45" s="604"/>
      <c r="AO45" s="604"/>
      <c r="AP45" s="604"/>
      <c r="AQ45" s="604"/>
      <c r="AR45" s="604"/>
      <c r="AS45" s="604"/>
      <c r="AT45" s="604"/>
      <c r="AU45" s="604"/>
      <c r="AV45" s="604"/>
      <c r="AW45" s="604"/>
      <c r="AX45" s="604"/>
      <c r="AY45" s="604"/>
      <c r="AZ45" s="604"/>
      <c r="BA45" s="604"/>
      <c r="BB45" s="604"/>
      <c r="BC45" s="604"/>
      <c r="BD45" s="604"/>
      <c r="BE45" s="604"/>
      <c r="BF45" s="605"/>
      <c r="BG45" s="553" t="s">
        <v>140</v>
      </c>
      <c r="BH45" s="553"/>
      <c r="BI45" s="553"/>
      <c r="BJ45" s="553"/>
      <c r="BK45" s="553" t="s">
        <v>140</v>
      </c>
      <c r="BL45" s="553"/>
      <c r="BM45" s="553"/>
      <c r="BN45" s="553"/>
    </row>
    <row r="46" spans="1:66" x14ac:dyDescent="0.15">
      <c r="A46" s="621"/>
      <c r="B46" s="622"/>
      <c r="C46" s="606"/>
      <c r="D46" s="607"/>
      <c r="E46" s="607"/>
      <c r="F46" s="607"/>
      <c r="G46" s="607"/>
      <c r="H46" s="607"/>
      <c r="I46" s="607"/>
      <c r="J46" s="607"/>
      <c r="K46" s="607"/>
      <c r="L46" s="607"/>
      <c r="M46" s="607"/>
      <c r="N46" s="607"/>
      <c r="O46" s="607"/>
      <c r="P46" s="607"/>
      <c r="Q46" s="607"/>
      <c r="R46" s="607"/>
      <c r="S46" s="607"/>
      <c r="T46" s="607"/>
      <c r="U46" s="607"/>
      <c r="V46" s="607"/>
      <c r="W46" s="607"/>
      <c r="X46" s="607"/>
      <c r="Y46" s="607"/>
      <c r="Z46" s="607"/>
      <c r="AA46" s="607"/>
      <c r="AB46" s="607"/>
      <c r="AC46" s="607"/>
      <c r="AD46" s="607"/>
      <c r="AE46" s="607"/>
      <c r="AF46" s="607"/>
      <c r="AG46" s="607"/>
      <c r="AH46" s="607"/>
      <c r="AI46" s="607"/>
      <c r="AJ46" s="607"/>
      <c r="AK46" s="607"/>
      <c r="AL46" s="607"/>
      <c r="AM46" s="607"/>
      <c r="AN46" s="607"/>
      <c r="AO46" s="607"/>
      <c r="AP46" s="607"/>
      <c r="AQ46" s="607"/>
      <c r="AR46" s="607"/>
      <c r="AS46" s="607"/>
      <c r="AT46" s="607"/>
      <c r="AU46" s="607"/>
      <c r="AV46" s="607"/>
      <c r="AW46" s="607"/>
      <c r="AX46" s="607"/>
      <c r="AY46" s="607"/>
      <c r="AZ46" s="607"/>
      <c r="BA46" s="607"/>
      <c r="BB46" s="607"/>
      <c r="BC46" s="607"/>
      <c r="BD46" s="607"/>
      <c r="BE46" s="607"/>
      <c r="BF46" s="608"/>
      <c r="BG46" s="553"/>
      <c r="BH46" s="553"/>
      <c r="BI46" s="553"/>
      <c r="BJ46" s="553"/>
      <c r="BK46" s="553"/>
      <c r="BL46" s="553"/>
      <c r="BM46" s="553"/>
      <c r="BN46" s="553"/>
    </row>
    <row r="47" spans="1:66" x14ac:dyDescent="0.15">
      <c r="A47" s="619">
        <v>12</v>
      </c>
      <c r="B47" s="620"/>
      <c r="C47" s="603" t="s">
        <v>613</v>
      </c>
      <c r="D47" s="604"/>
      <c r="E47" s="604"/>
      <c r="F47" s="604"/>
      <c r="G47" s="604"/>
      <c r="H47" s="604"/>
      <c r="I47" s="604"/>
      <c r="J47" s="604"/>
      <c r="K47" s="604"/>
      <c r="L47" s="604"/>
      <c r="M47" s="604"/>
      <c r="N47" s="604"/>
      <c r="O47" s="604"/>
      <c r="P47" s="604"/>
      <c r="Q47" s="604"/>
      <c r="R47" s="604"/>
      <c r="S47" s="604"/>
      <c r="T47" s="604"/>
      <c r="U47" s="604"/>
      <c r="V47" s="604"/>
      <c r="W47" s="604"/>
      <c r="X47" s="604"/>
      <c r="Y47" s="604"/>
      <c r="Z47" s="604"/>
      <c r="AA47" s="604"/>
      <c r="AB47" s="604"/>
      <c r="AC47" s="604"/>
      <c r="AD47" s="604"/>
      <c r="AE47" s="604"/>
      <c r="AF47" s="604"/>
      <c r="AG47" s="604"/>
      <c r="AH47" s="604"/>
      <c r="AI47" s="604"/>
      <c r="AJ47" s="604"/>
      <c r="AK47" s="604"/>
      <c r="AL47" s="604"/>
      <c r="AM47" s="604"/>
      <c r="AN47" s="604"/>
      <c r="AO47" s="604"/>
      <c r="AP47" s="604"/>
      <c r="AQ47" s="604"/>
      <c r="AR47" s="604"/>
      <c r="AS47" s="604"/>
      <c r="AT47" s="604"/>
      <c r="AU47" s="604"/>
      <c r="AV47" s="604"/>
      <c r="AW47" s="604"/>
      <c r="AX47" s="604"/>
      <c r="AY47" s="604"/>
      <c r="AZ47" s="604"/>
      <c r="BA47" s="604"/>
      <c r="BB47" s="604"/>
      <c r="BC47" s="604"/>
      <c r="BD47" s="604"/>
      <c r="BE47" s="604"/>
      <c r="BF47" s="605"/>
      <c r="BG47" s="553" t="s">
        <v>140</v>
      </c>
      <c r="BH47" s="553"/>
      <c r="BI47" s="553"/>
      <c r="BJ47" s="553"/>
      <c r="BK47" s="553" t="s">
        <v>140</v>
      </c>
      <c r="BL47" s="553"/>
      <c r="BM47" s="553"/>
      <c r="BN47" s="553"/>
    </row>
    <row r="48" spans="1:66" x14ac:dyDescent="0.15">
      <c r="A48" s="621"/>
      <c r="B48" s="622"/>
      <c r="C48" s="606"/>
      <c r="D48" s="607"/>
      <c r="E48" s="607"/>
      <c r="F48" s="607"/>
      <c r="G48" s="607"/>
      <c r="H48" s="607"/>
      <c r="I48" s="607"/>
      <c r="J48" s="607"/>
      <c r="K48" s="607"/>
      <c r="L48" s="607"/>
      <c r="M48" s="607"/>
      <c r="N48" s="607"/>
      <c r="O48" s="607"/>
      <c r="P48" s="607"/>
      <c r="Q48" s="607"/>
      <c r="R48" s="607"/>
      <c r="S48" s="607"/>
      <c r="T48" s="607"/>
      <c r="U48" s="607"/>
      <c r="V48" s="607"/>
      <c r="W48" s="607"/>
      <c r="X48" s="607"/>
      <c r="Y48" s="607"/>
      <c r="Z48" s="607"/>
      <c r="AA48" s="607"/>
      <c r="AB48" s="607"/>
      <c r="AC48" s="607"/>
      <c r="AD48" s="607"/>
      <c r="AE48" s="607"/>
      <c r="AF48" s="607"/>
      <c r="AG48" s="607"/>
      <c r="AH48" s="607"/>
      <c r="AI48" s="607"/>
      <c r="AJ48" s="607"/>
      <c r="AK48" s="607"/>
      <c r="AL48" s="607"/>
      <c r="AM48" s="607"/>
      <c r="AN48" s="607"/>
      <c r="AO48" s="607"/>
      <c r="AP48" s="607"/>
      <c r="AQ48" s="607"/>
      <c r="AR48" s="607"/>
      <c r="AS48" s="607"/>
      <c r="AT48" s="607"/>
      <c r="AU48" s="607"/>
      <c r="AV48" s="607"/>
      <c r="AW48" s="607"/>
      <c r="AX48" s="607"/>
      <c r="AY48" s="607"/>
      <c r="AZ48" s="607"/>
      <c r="BA48" s="607"/>
      <c r="BB48" s="607"/>
      <c r="BC48" s="607"/>
      <c r="BD48" s="607"/>
      <c r="BE48" s="607"/>
      <c r="BF48" s="608"/>
      <c r="BG48" s="553"/>
      <c r="BH48" s="553"/>
      <c r="BI48" s="553"/>
      <c r="BJ48" s="553"/>
      <c r="BK48" s="553"/>
      <c r="BL48" s="553"/>
      <c r="BM48" s="553"/>
      <c r="BN48" s="553"/>
    </row>
    <row r="49" spans="1:66" x14ac:dyDescent="0.15">
      <c r="A49" s="619">
        <v>13</v>
      </c>
      <c r="B49" s="620"/>
      <c r="C49" s="603" t="s">
        <v>614</v>
      </c>
      <c r="D49" s="604"/>
      <c r="E49" s="604"/>
      <c r="F49" s="604"/>
      <c r="G49" s="604"/>
      <c r="H49" s="604"/>
      <c r="I49" s="604"/>
      <c r="J49" s="604"/>
      <c r="K49" s="604"/>
      <c r="L49" s="604"/>
      <c r="M49" s="604"/>
      <c r="N49" s="604"/>
      <c r="O49" s="604"/>
      <c r="P49" s="604"/>
      <c r="Q49" s="604"/>
      <c r="R49" s="604"/>
      <c r="S49" s="604"/>
      <c r="T49" s="604"/>
      <c r="U49" s="604"/>
      <c r="V49" s="604"/>
      <c r="W49" s="604"/>
      <c r="X49" s="604"/>
      <c r="Y49" s="604"/>
      <c r="Z49" s="604"/>
      <c r="AA49" s="604"/>
      <c r="AB49" s="604"/>
      <c r="AC49" s="604"/>
      <c r="AD49" s="604"/>
      <c r="AE49" s="604"/>
      <c r="AF49" s="604"/>
      <c r="AG49" s="604"/>
      <c r="AH49" s="604"/>
      <c r="AI49" s="604"/>
      <c r="AJ49" s="604"/>
      <c r="AK49" s="604"/>
      <c r="AL49" s="604"/>
      <c r="AM49" s="604"/>
      <c r="AN49" s="604"/>
      <c r="AO49" s="604"/>
      <c r="AP49" s="604"/>
      <c r="AQ49" s="604"/>
      <c r="AR49" s="604"/>
      <c r="AS49" s="604"/>
      <c r="AT49" s="604"/>
      <c r="AU49" s="604"/>
      <c r="AV49" s="604"/>
      <c r="AW49" s="604"/>
      <c r="AX49" s="604"/>
      <c r="AY49" s="604"/>
      <c r="AZ49" s="604"/>
      <c r="BA49" s="604"/>
      <c r="BB49" s="604"/>
      <c r="BC49" s="604"/>
      <c r="BD49" s="604"/>
      <c r="BE49" s="604"/>
      <c r="BF49" s="605"/>
      <c r="BG49" s="553" t="s">
        <v>140</v>
      </c>
      <c r="BH49" s="553"/>
      <c r="BI49" s="553"/>
      <c r="BJ49" s="553"/>
      <c r="BK49" s="553" t="s">
        <v>140</v>
      </c>
      <c r="BL49" s="553"/>
      <c r="BM49" s="553"/>
      <c r="BN49" s="553"/>
    </row>
    <row r="50" spans="1:66" x14ac:dyDescent="0.15">
      <c r="A50" s="621"/>
      <c r="B50" s="622"/>
      <c r="C50" s="606"/>
      <c r="D50" s="607"/>
      <c r="E50" s="607"/>
      <c r="F50" s="607"/>
      <c r="G50" s="607"/>
      <c r="H50" s="607"/>
      <c r="I50" s="607"/>
      <c r="J50" s="607"/>
      <c r="K50" s="607"/>
      <c r="L50" s="607"/>
      <c r="M50" s="607"/>
      <c r="N50" s="607"/>
      <c r="O50" s="607"/>
      <c r="P50" s="607"/>
      <c r="Q50" s="607"/>
      <c r="R50" s="607"/>
      <c r="S50" s="607"/>
      <c r="T50" s="607"/>
      <c r="U50" s="607"/>
      <c r="V50" s="607"/>
      <c r="W50" s="607"/>
      <c r="X50" s="607"/>
      <c r="Y50" s="607"/>
      <c r="Z50" s="607"/>
      <c r="AA50" s="607"/>
      <c r="AB50" s="607"/>
      <c r="AC50" s="607"/>
      <c r="AD50" s="607"/>
      <c r="AE50" s="607"/>
      <c r="AF50" s="607"/>
      <c r="AG50" s="607"/>
      <c r="AH50" s="607"/>
      <c r="AI50" s="607"/>
      <c r="AJ50" s="607"/>
      <c r="AK50" s="607"/>
      <c r="AL50" s="607"/>
      <c r="AM50" s="607"/>
      <c r="AN50" s="607"/>
      <c r="AO50" s="607"/>
      <c r="AP50" s="607"/>
      <c r="AQ50" s="607"/>
      <c r="AR50" s="607"/>
      <c r="AS50" s="607"/>
      <c r="AT50" s="607"/>
      <c r="AU50" s="607"/>
      <c r="AV50" s="607"/>
      <c r="AW50" s="607"/>
      <c r="AX50" s="607"/>
      <c r="AY50" s="607"/>
      <c r="AZ50" s="607"/>
      <c r="BA50" s="607"/>
      <c r="BB50" s="607"/>
      <c r="BC50" s="607"/>
      <c r="BD50" s="607"/>
      <c r="BE50" s="607"/>
      <c r="BF50" s="608"/>
      <c r="BG50" s="553"/>
      <c r="BH50" s="553"/>
      <c r="BI50" s="553"/>
      <c r="BJ50" s="553"/>
      <c r="BK50" s="553"/>
      <c r="BL50" s="553"/>
      <c r="BM50" s="553"/>
      <c r="BN50" s="553"/>
    </row>
    <row r="51" spans="1:66" x14ac:dyDescent="0.15">
      <c r="A51" s="619">
        <v>14</v>
      </c>
      <c r="B51" s="620"/>
      <c r="C51" s="603" t="s">
        <v>615</v>
      </c>
      <c r="D51" s="604"/>
      <c r="E51" s="604"/>
      <c r="F51" s="604"/>
      <c r="G51" s="604"/>
      <c r="H51" s="604"/>
      <c r="I51" s="604"/>
      <c r="J51" s="604"/>
      <c r="K51" s="604"/>
      <c r="L51" s="604"/>
      <c r="M51" s="604"/>
      <c r="N51" s="604"/>
      <c r="O51" s="604"/>
      <c r="P51" s="604"/>
      <c r="Q51" s="604"/>
      <c r="R51" s="604"/>
      <c r="S51" s="604"/>
      <c r="T51" s="604"/>
      <c r="U51" s="604"/>
      <c r="V51" s="604"/>
      <c r="W51" s="604"/>
      <c r="X51" s="604"/>
      <c r="Y51" s="604"/>
      <c r="Z51" s="604"/>
      <c r="AA51" s="604"/>
      <c r="AB51" s="604"/>
      <c r="AC51" s="604"/>
      <c r="AD51" s="604"/>
      <c r="AE51" s="604"/>
      <c r="AF51" s="604"/>
      <c r="AG51" s="604"/>
      <c r="AH51" s="604"/>
      <c r="AI51" s="604"/>
      <c r="AJ51" s="604"/>
      <c r="AK51" s="604"/>
      <c r="AL51" s="604"/>
      <c r="AM51" s="604"/>
      <c r="AN51" s="604"/>
      <c r="AO51" s="604"/>
      <c r="AP51" s="604"/>
      <c r="AQ51" s="604"/>
      <c r="AR51" s="604"/>
      <c r="AS51" s="604"/>
      <c r="AT51" s="604"/>
      <c r="AU51" s="604"/>
      <c r="AV51" s="604"/>
      <c r="AW51" s="604"/>
      <c r="AX51" s="604"/>
      <c r="AY51" s="604"/>
      <c r="AZ51" s="604"/>
      <c r="BA51" s="604"/>
      <c r="BB51" s="604"/>
      <c r="BC51" s="604"/>
      <c r="BD51" s="604"/>
      <c r="BE51" s="604"/>
      <c r="BF51" s="605"/>
      <c r="BG51" s="553" t="s">
        <v>140</v>
      </c>
      <c r="BH51" s="553"/>
      <c r="BI51" s="553"/>
      <c r="BJ51" s="553"/>
      <c r="BK51" s="553" t="s">
        <v>140</v>
      </c>
      <c r="BL51" s="553"/>
      <c r="BM51" s="553"/>
      <c r="BN51" s="553"/>
    </row>
    <row r="52" spans="1:66" x14ac:dyDescent="0.15">
      <c r="A52" s="621"/>
      <c r="B52" s="622"/>
      <c r="C52" s="606"/>
      <c r="D52" s="607"/>
      <c r="E52" s="607"/>
      <c r="F52" s="607"/>
      <c r="G52" s="607"/>
      <c r="H52" s="607"/>
      <c r="I52" s="607"/>
      <c r="J52" s="607"/>
      <c r="K52" s="607"/>
      <c r="L52" s="607"/>
      <c r="M52" s="607"/>
      <c r="N52" s="607"/>
      <c r="O52" s="607"/>
      <c r="P52" s="607"/>
      <c r="Q52" s="607"/>
      <c r="R52" s="607"/>
      <c r="S52" s="607"/>
      <c r="T52" s="607"/>
      <c r="U52" s="607"/>
      <c r="V52" s="607"/>
      <c r="W52" s="607"/>
      <c r="X52" s="607"/>
      <c r="Y52" s="607"/>
      <c r="Z52" s="607"/>
      <c r="AA52" s="607"/>
      <c r="AB52" s="607"/>
      <c r="AC52" s="607"/>
      <c r="AD52" s="607"/>
      <c r="AE52" s="607"/>
      <c r="AF52" s="607"/>
      <c r="AG52" s="607"/>
      <c r="AH52" s="607"/>
      <c r="AI52" s="607"/>
      <c r="AJ52" s="607"/>
      <c r="AK52" s="607"/>
      <c r="AL52" s="607"/>
      <c r="AM52" s="607"/>
      <c r="AN52" s="607"/>
      <c r="AO52" s="607"/>
      <c r="AP52" s="607"/>
      <c r="AQ52" s="607"/>
      <c r="AR52" s="607"/>
      <c r="AS52" s="607"/>
      <c r="AT52" s="607"/>
      <c r="AU52" s="607"/>
      <c r="AV52" s="607"/>
      <c r="AW52" s="607"/>
      <c r="AX52" s="607"/>
      <c r="AY52" s="607"/>
      <c r="AZ52" s="607"/>
      <c r="BA52" s="607"/>
      <c r="BB52" s="607"/>
      <c r="BC52" s="607"/>
      <c r="BD52" s="607"/>
      <c r="BE52" s="607"/>
      <c r="BF52" s="608"/>
      <c r="BG52" s="553"/>
      <c r="BH52" s="553"/>
      <c r="BI52" s="553"/>
      <c r="BJ52" s="553"/>
      <c r="BK52" s="553"/>
      <c r="BL52" s="553"/>
      <c r="BM52" s="553"/>
      <c r="BN52" s="553"/>
    </row>
    <row r="53" spans="1:66" x14ac:dyDescent="0.15">
      <c r="A53" s="619">
        <v>15</v>
      </c>
      <c r="B53" s="620"/>
      <c r="C53" s="603" t="s">
        <v>616</v>
      </c>
      <c r="D53" s="604"/>
      <c r="E53" s="604"/>
      <c r="F53" s="604"/>
      <c r="G53" s="604"/>
      <c r="H53" s="604"/>
      <c r="I53" s="604"/>
      <c r="J53" s="604"/>
      <c r="K53" s="604"/>
      <c r="L53" s="604"/>
      <c r="M53" s="604"/>
      <c r="N53" s="604"/>
      <c r="O53" s="604"/>
      <c r="P53" s="604"/>
      <c r="Q53" s="604"/>
      <c r="R53" s="604"/>
      <c r="S53" s="604"/>
      <c r="T53" s="604"/>
      <c r="U53" s="604"/>
      <c r="V53" s="604"/>
      <c r="W53" s="604"/>
      <c r="X53" s="604"/>
      <c r="Y53" s="604"/>
      <c r="Z53" s="604"/>
      <c r="AA53" s="604"/>
      <c r="AB53" s="604"/>
      <c r="AC53" s="604"/>
      <c r="AD53" s="604"/>
      <c r="AE53" s="604"/>
      <c r="AF53" s="604"/>
      <c r="AG53" s="604"/>
      <c r="AH53" s="604"/>
      <c r="AI53" s="604"/>
      <c r="AJ53" s="604"/>
      <c r="AK53" s="604"/>
      <c r="AL53" s="604"/>
      <c r="AM53" s="604"/>
      <c r="AN53" s="604"/>
      <c r="AO53" s="604"/>
      <c r="AP53" s="604"/>
      <c r="AQ53" s="604"/>
      <c r="AR53" s="604"/>
      <c r="AS53" s="604"/>
      <c r="AT53" s="604"/>
      <c r="AU53" s="604"/>
      <c r="AV53" s="604"/>
      <c r="AW53" s="604"/>
      <c r="AX53" s="604"/>
      <c r="AY53" s="604"/>
      <c r="AZ53" s="604"/>
      <c r="BA53" s="604"/>
      <c r="BB53" s="604"/>
      <c r="BC53" s="604"/>
      <c r="BD53" s="604"/>
      <c r="BE53" s="604"/>
      <c r="BF53" s="605"/>
      <c r="BG53" s="553" t="s">
        <v>140</v>
      </c>
      <c r="BH53" s="553"/>
      <c r="BI53" s="553"/>
      <c r="BJ53" s="553"/>
      <c r="BK53" s="553" t="s">
        <v>140</v>
      </c>
      <c r="BL53" s="553"/>
      <c r="BM53" s="553"/>
      <c r="BN53" s="553"/>
    </row>
    <row r="54" spans="1:66" x14ac:dyDescent="0.15">
      <c r="A54" s="621"/>
      <c r="B54" s="622"/>
      <c r="C54" s="606"/>
      <c r="D54" s="607"/>
      <c r="E54" s="607"/>
      <c r="F54" s="607"/>
      <c r="G54" s="607"/>
      <c r="H54" s="607"/>
      <c r="I54" s="607"/>
      <c r="J54" s="607"/>
      <c r="K54" s="607"/>
      <c r="L54" s="607"/>
      <c r="M54" s="607"/>
      <c r="N54" s="607"/>
      <c r="O54" s="607"/>
      <c r="P54" s="607"/>
      <c r="Q54" s="607"/>
      <c r="R54" s="607"/>
      <c r="S54" s="607"/>
      <c r="T54" s="607"/>
      <c r="U54" s="607"/>
      <c r="V54" s="607"/>
      <c r="W54" s="607"/>
      <c r="X54" s="607"/>
      <c r="Y54" s="607"/>
      <c r="Z54" s="607"/>
      <c r="AA54" s="607"/>
      <c r="AB54" s="607"/>
      <c r="AC54" s="607"/>
      <c r="AD54" s="607"/>
      <c r="AE54" s="607"/>
      <c r="AF54" s="607"/>
      <c r="AG54" s="607"/>
      <c r="AH54" s="607"/>
      <c r="AI54" s="607"/>
      <c r="AJ54" s="607"/>
      <c r="AK54" s="607"/>
      <c r="AL54" s="607"/>
      <c r="AM54" s="607"/>
      <c r="AN54" s="607"/>
      <c r="AO54" s="607"/>
      <c r="AP54" s="607"/>
      <c r="AQ54" s="607"/>
      <c r="AR54" s="607"/>
      <c r="AS54" s="607"/>
      <c r="AT54" s="607"/>
      <c r="AU54" s="607"/>
      <c r="AV54" s="607"/>
      <c r="AW54" s="607"/>
      <c r="AX54" s="607"/>
      <c r="AY54" s="607"/>
      <c r="AZ54" s="607"/>
      <c r="BA54" s="607"/>
      <c r="BB54" s="607"/>
      <c r="BC54" s="607"/>
      <c r="BD54" s="607"/>
      <c r="BE54" s="607"/>
      <c r="BF54" s="608"/>
      <c r="BG54" s="553"/>
      <c r="BH54" s="553"/>
      <c r="BI54" s="553"/>
      <c r="BJ54" s="553"/>
      <c r="BK54" s="553"/>
      <c r="BL54" s="553"/>
      <c r="BM54" s="553"/>
      <c r="BN54" s="553"/>
    </row>
    <row r="55" spans="1:66" x14ac:dyDescent="0.15">
      <c r="A55" s="619"/>
      <c r="B55" s="620"/>
      <c r="C55" s="603"/>
      <c r="D55" s="604"/>
      <c r="E55" s="604"/>
      <c r="F55" s="604"/>
      <c r="G55" s="604"/>
      <c r="H55" s="604"/>
      <c r="I55" s="604"/>
      <c r="J55" s="604"/>
      <c r="K55" s="604"/>
      <c r="L55" s="604"/>
      <c r="M55" s="604"/>
      <c r="N55" s="604"/>
      <c r="O55" s="604"/>
      <c r="P55" s="604"/>
      <c r="Q55" s="604"/>
      <c r="R55" s="604"/>
      <c r="S55" s="604"/>
      <c r="T55" s="604"/>
      <c r="U55" s="604"/>
      <c r="V55" s="604"/>
      <c r="W55" s="604"/>
      <c r="X55" s="604"/>
      <c r="Y55" s="604"/>
      <c r="Z55" s="604"/>
      <c r="AA55" s="604"/>
      <c r="AB55" s="604"/>
      <c r="AC55" s="604"/>
      <c r="AD55" s="604"/>
      <c r="AE55" s="604"/>
      <c r="AF55" s="604"/>
      <c r="AG55" s="604"/>
      <c r="AH55" s="604"/>
      <c r="AI55" s="604"/>
      <c r="AJ55" s="604"/>
      <c r="AK55" s="604"/>
      <c r="AL55" s="604"/>
      <c r="AM55" s="604"/>
      <c r="AN55" s="604"/>
      <c r="AO55" s="604"/>
      <c r="AP55" s="604"/>
      <c r="AQ55" s="604"/>
      <c r="AR55" s="604"/>
      <c r="AS55" s="604"/>
      <c r="AT55" s="604"/>
      <c r="AU55" s="604"/>
      <c r="AV55" s="604"/>
      <c r="AW55" s="604"/>
      <c r="AX55" s="604"/>
      <c r="AY55" s="604"/>
      <c r="AZ55" s="604"/>
      <c r="BA55" s="604"/>
      <c r="BB55" s="604"/>
      <c r="BC55" s="604"/>
      <c r="BD55" s="604"/>
      <c r="BE55" s="604"/>
      <c r="BF55" s="605"/>
      <c r="BG55" s="553" t="s">
        <v>140</v>
      </c>
      <c r="BH55" s="553"/>
      <c r="BI55" s="553"/>
      <c r="BJ55" s="553"/>
      <c r="BK55" s="553" t="s">
        <v>140</v>
      </c>
      <c r="BL55" s="553"/>
      <c r="BM55" s="553"/>
      <c r="BN55" s="553"/>
    </row>
    <row r="56" spans="1:66" x14ac:dyDescent="0.15">
      <c r="A56" s="621"/>
      <c r="B56" s="622"/>
      <c r="C56" s="606"/>
      <c r="D56" s="607"/>
      <c r="E56" s="607"/>
      <c r="F56" s="607"/>
      <c r="G56" s="607"/>
      <c r="H56" s="607"/>
      <c r="I56" s="607"/>
      <c r="J56" s="607"/>
      <c r="K56" s="607"/>
      <c r="L56" s="607"/>
      <c r="M56" s="607"/>
      <c r="N56" s="607"/>
      <c r="O56" s="607"/>
      <c r="P56" s="607"/>
      <c r="Q56" s="607"/>
      <c r="R56" s="607"/>
      <c r="S56" s="607"/>
      <c r="T56" s="607"/>
      <c r="U56" s="607"/>
      <c r="V56" s="607"/>
      <c r="W56" s="607"/>
      <c r="X56" s="607"/>
      <c r="Y56" s="607"/>
      <c r="Z56" s="607"/>
      <c r="AA56" s="607"/>
      <c r="AB56" s="607"/>
      <c r="AC56" s="607"/>
      <c r="AD56" s="607"/>
      <c r="AE56" s="607"/>
      <c r="AF56" s="607"/>
      <c r="AG56" s="607"/>
      <c r="AH56" s="607"/>
      <c r="AI56" s="607"/>
      <c r="AJ56" s="607"/>
      <c r="AK56" s="607"/>
      <c r="AL56" s="607"/>
      <c r="AM56" s="607"/>
      <c r="AN56" s="607"/>
      <c r="AO56" s="607"/>
      <c r="AP56" s="607"/>
      <c r="AQ56" s="607"/>
      <c r="AR56" s="607"/>
      <c r="AS56" s="607"/>
      <c r="AT56" s="607"/>
      <c r="AU56" s="607"/>
      <c r="AV56" s="607"/>
      <c r="AW56" s="607"/>
      <c r="AX56" s="607"/>
      <c r="AY56" s="607"/>
      <c r="AZ56" s="607"/>
      <c r="BA56" s="607"/>
      <c r="BB56" s="607"/>
      <c r="BC56" s="607"/>
      <c r="BD56" s="607"/>
      <c r="BE56" s="607"/>
      <c r="BF56" s="608"/>
      <c r="BG56" s="553"/>
      <c r="BH56" s="553"/>
      <c r="BI56" s="553"/>
      <c r="BJ56" s="553"/>
      <c r="BK56" s="553"/>
      <c r="BL56" s="553"/>
      <c r="BM56" s="553"/>
      <c r="BN56" s="553"/>
    </row>
    <row r="57" spans="1:66" x14ac:dyDescent="0.15">
      <c r="A57" s="619"/>
      <c r="B57" s="620"/>
      <c r="C57" s="603"/>
      <c r="D57" s="604"/>
      <c r="E57" s="604"/>
      <c r="F57" s="604"/>
      <c r="G57" s="604"/>
      <c r="H57" s="604"/>
      <c r="I57" s="604"/>
      <c r="J57" s="604"/>
      <c r="K57" s="604"/>
      <c r="L57" s="604"/>
      <c r="M57" s="604"/>
      <c r="N57" s="604"/>
      <c r="O57" s="604"/>
      <c r="P57" s="604"/>
      <c r="Q57" s="604"/>
      <c r="R57" s="604"/>
      <c r="S57" s="604"/>
      <c r="T57" s="604"/>
      <c r="U57" s="604"/>
      <c r="V57" s="604"/>
      <c r="W57" s="604"/>
      <c r="X57" s="604"/>
      <c r="Y57" s="604"/>
      <c r="Z57" s="604"/>
      <c r="AA57" s="604"/>
      <c r="AB57" s="604"/>
      <c r="AC57" s="604"/>
      <c r="AD57" s="604"/>
      <c r="AE57" s="604"/>
      <c r="AF57" s="604"/>
      <c r="AG57" s="604"/>
      <c r="AH57" s="604"/>
      <c r="AI57" s="604"/>
      <c r="AJ57" s="604"/>
      <c r="AK57" s="604"/>
      <c r="AL57" s="604"/>
      <c r="AM57" s="604"/>
      <c r="AN57" s="604"/>
      <c r="AO57" s="604"/>
      <c r="AP57" s="604"/>
      <c r="AQ57" s="604"/>
      <c r="AR57" s="604"/>
      <c r="AS57" s="604"/>
      <c r="AT57" s="604"/>
      <c r="AU57" s="604"/>
      <c r="AV57" s="604"/>
      <c r="AW57" s="604"/>
      <c r="AX57" s="604"/>
      <c r="AY57" s="604"/>
      <c r="AZ57" s="604"/>
      <c r="BA57" s="604"/>
      <c r="BB57" s="604"/>
      <c r="BC57" s="604"/>
      <c r="BD57" s="604"/>
      <c r="BE57" s="604"/>
      <c r="BF57" s="605"/>
      <c r="BG57" s="553" t="s">
        <v>140</v>
      </c>
      <c r="BH57" s="553"/>
      <c r="BI57" s="553"/>
      <c r="BJ57" s="553"/>
      <c r="BK57" s="553" t="s">
        <v>140</v>
      </c>
      <c r="BL57" s="553"/>
      <c r="BM57" s="553"/>
      <c r="BN57" s="553"/>
    </row>
    <row r="58" spans="1:66" x14ac:dyDescent="0.15">
      <c r="A58" s="621"/>
      <c r="B58" s="622"/>
      <c r="C58" s="606"/>
      <c r="D58" s="607"/>
      <c r="E58" s="607"/>
      <c r="F58" s="607"/>
      <c r="G58" s="607"/>
      <c r="H58" s="607"/>
      <c r="I58" s="607"/>
      <c r="J58" s="607"/>
      <c r="K58" s="607"/>
      <c r="L58" s="607"/>
      <c r="M58" s="607"/>
      <c r="N58" s="607"/>
      <c r="O58" s="607"/>
      <c r="P58" s="607"/>
      <c r="Q58" s="607"/>
      <c r="R58" s="607"/>
      <c r="S58" s="607"/>
      <c r="T58" s="607"/>
      <c r="U58" s="607"/>
      <c r="V58" s="607"/>
      <c r="W58" s="607"/>
      <c r="X58" s="607"/>
      <c r="Y58" s="607"/>
      <c r="Z58" s="607"/>
      <c r="AA58" s="607"/>
      <c r="AB58" s="607"/>
      <c r="AC58" s="607"/>
      <c r="AD58" s="607"/>
      <c r="AE58" s="607"/>
      <c r="AF58" s="607"/>
      <c r="AG58" s="607"/>
      <c r="AH58" s="607"/>
      <c r="AI58" s="607"/>
      <c r="AJ58" s="607"/>
      <c r="AK58" s="607"/>
      <c r="AL58" s="607"/>
      <c r="AM58" s="607"/>
      <c r="AN58" s="607"/>
      <c r="AO58" s="607"/>
      <c r="AP58" s="607"/>
      <c r="AQ58" s="607"/>
      <c r="AR58" s="607"/>
      <c r="AS58" s="607"/>
      <c r="AT58" s="607"/>
      <c r="AU58" s="607"/>
      <c r="AV58" s="607"/>
      <c r="AW58" s="607"/>
      <c r="AX58" s="607"/>
      <c r="AY58" s="607"/>
      <c r="AZ58" s="607"/>
      <c r="BA58" s="607"/>
      <c r="BB58" s="607"/>
      <c r="BC58" s="607"/>
      <c r="BD58" s="607"/>
      <c r="BE58" s="607"/>
      <c r="BF58" s="608"/>
      <c r="BG58" s="553"/>
      <c r="BH58" s="553"/>
      <c r="BI58" s="553"/>
      <c r="BJ58" s="553"/>
      <c r="BK58" s="553"/>
      <c r="BL58" s="553"/>
      <c r="BM58" s="553"/>
      <c r="BN58" s="553"/>
    </row>
  </sheetData>
  <mergeCells count="128">
    <mergeCell ref="A47:B48"/>
    <mergeCell ref="C47:BF48"/>
    <mergeCell ref="BG47:BJ48"/>
    <mergeCell ref="BK47:BN48"/>
    <mergeCell ref="A49:B50"/>
    <mergeCell ref="C49:BF50"/>
    <mergeCell ref="BG49:BJ50"/>
    <mergeCell ref="BK49:BN50"/>
    <mergeCell ref="A43:B44"/>
    <mergeCell ref="C43:BF44"/>
    <mergeCell ref="BG43:BJ44"/>
    <mergeCell ref="BK43:BN44"/>
    <mergeCell ref="A45:B46"/>
    <mergeCell ref="C45:BF46"/>
    <mergeCell ref="BG45:BJ46"/>
    <mergeCell ref="BK45:BN46"/>
    <mergeCell ref="A39:B40"/>
    <mergeCell ref="C39:BF40"/>
    <mergeCell ref="BG39:BJ40"/>
    <mergeCell ref="BK39:BN40"/>
    <mergeCell ref="A41:B42"/>
    <mergeCell ref="C41:BF42"/>
    <mergeCell ref="BG41:BJ42"/>
    <mergeCell ref="BK41:BN42"/>
    <mergeCell ref="A35:B36"/>
    <mergeCell ref="C35:BF36"/>
    <mergeCell ref="BG35:BJ36"/>
    <mergeCell ref="BK35:BN36"/>
    <mergeCell ref="A37:B38"/>
    <mergeCell ref="C37:BF38"/>
    <mergeCell ref="BG37:BJ38"/>
    <mergeCell ref="BK37:BN38"/>
    <mergeCell ref="A31:B32"/>
    <mergeCell ref="C31:BF32"/>
    <mergeCell ref="BG31:BJ32"/>
    <mergeCell ref="BK31:BN32"/>
    <mergeCell ref="A33:B34"/>
    <mergeCell ref="C33:BF34"/>
    <mergeCell ref="BG33:BJ34"/>
    <mergeCell ref="BK33:BN34"/>
    <mergeCell ref="A27:B28"/>
    <mergeCell ref="C27:BF28"/>
    <mergeCell ref="BG27:BJ28"/>
    <mergeCell ref="BK27:BN28"/>
    <mergeCell ref="A29:B30"/>
    <mergeCell ref="C29:BF30"/>
    <mergeCell ref="BG29:BJ30"/>
    <mergeCell ref="BK29:BN30"/>
    <mergeCell ref="A23:B24"/>
    <mergeCell ref="C23:BF24"/>
    <mergeCell ref="BG23:BJ24"/>
    <mergeCell ref="BK23:BN24"/>
    <mergeCell ref="A25:B26"/>
    <mergeCell ref="C25:BF26"/>
    <mergeCell ref="BG25:BJ26"/>
    <mergeCell ref="BK25:BN26"/>
    <mergeCell ref="A11:H12"/>
    <mergeCell ref="I11:Q12"/>
    <mergeCell ref="R11:Y12"/>
    <mergeCell ref="A14:H15"/>
    <mergeCell ref="I14:Q14"/>
    <mergeCell ref="R14:AP14"/>
    <mergeCell ref="I15:Q15"/>
    <mergeCell ref="R15:AP15"/>
    <mergeCell ref="BG21:BJ22"/>
    <mergeCell ref="BK21:BN22"/>
    <mergeCell ref="BG19:BJ20"/>
    <mergeCell ref="BK19:BN20"/>
    <mergeCell ref="AY1:BN1"/>
    <mergeCell ref="BK17:BN18"/>
    <mergeCell ref="BG17:BJ18"/>
    <mergeCell ref="C17:BF18"/>
    <mergeCell ref="Z11:AP12"/>
    <mergeCell ref="AQ11:AX12"/>
    <mergeCell ref="AY11:BN12"/>
    <mergeCell ref="AO3:AS7"/>
    <mergeCell ref="AT3:AX7"/>
    <mergeCell ref="A1:F5"/>
    <mergeCell ref="BE4:BI7"/>
    <mergeCell ref="AJ2:AN2"/>
    <mergeCell ref="AO2:AS2"/>
    <mergeCell ref="AT2:AX2"/>
    <mergeCell ref="G1:Q5"/>
    <mergeCell ref="R1:AI5"/>
    <mergeCell ref="AJ1:AN1"/>
    <mergeCell ref="AO1:AS1"/>
    <mergeCell ref="AT1:AX1"/>
    <mergeCell ref="AJ3:AN7"/>
    <mergeCell ref="AY2:BD2"/>
    <mergeCell ref="BJ2:BN2"/>
    <mergeCell ref="BE2:BI2"/>
    <mergeCell ref="BE3:BI3"/>
    <mergeCell ref="BJ3:BN3"/>
    <mergeCell ref="BJ4:BN7"/>
    <mergeCell ref="R9:AI9"/>
    <mergeCell ref="A51:B52"/>
    <mergeCell ref="C51:BF52"/>
    <mergeCell ref="C21:BF22"/>
    <mergeCell ref="AJ9:AP9"/>
    <mergeCell ref="AQ9:AW9"/>
    <mergeCell ref="A19:B20"/>
    <mergeCell ref="C19:BF20"/>
    <mergeCell ref="A21:B22"/>
    <mergeCell ref="A17:B18"/>
    <mergeCell ref="BG51:BJ52"/>
    <mergeCell ref="BK51:BN52"/>
    <mergeCell ref="R8:AI8"/>
    <mergeCell ref="R6:AI6"/>
    <mergeCell ref="A7:Q7"/>
    <mergeCell ref="R7:AI7"/>
    <mergeCell ref="A6:Q6"/>
    <mergeCell ref="AQ8:AW8"/>
    <mergeCell ref="AY3:BD7"/>
    <mergeCell ref="AJ8:AP8"/>
    <mergeCell ref="A9:Q9"/>
    <mergeCell ref="A8:Q8"/>
    <mergeCell ref="A53:B54"/>
    <mergeCell ref="C53:BF54"/>
    <mergeCell ref="BG53:BJ54"/>
    <mergeCell ref="BK53:BN54"/>
    <mergeCell ref="A57:B58"/>
    <mergeCell ref="C57:BF58"/>
    <mergeCell ref="BG57:BJ58"/>
    <mergeCell ref="BK57:BN58"/>
    <mergeCell ref="A55:B56"/>
    <mergeCell ref="C55:BF56"/>
    <mergeCell ref="BG55:BJ56"/>
    <mergeCell ref="BK55:BN56"/>
  </mergeCells>
  <phoneticPr fontId="23"/>
  <dataValidations count="3">
    <dataValidation type="list" allowBlank="1" showInputMessage="1" showErrorMessage="1" sqref="BG19:BN58" xr:uid="{00000000-0002-0000-0300-000000000000}">
      <formula1>"□,■"</formula1>
    </dataValidation>
    <dataValidation type="list" allowBlank="1" showInputMessage="1" showErrorMessage="1" sqref="I11:Q12" xr:uid="{00000000-0002-0000-0300-000001000000}">
      <formula1>"　,企画支援,要件定義,基本設計,詳細設計,製造,結合テスト,システムテスト,移行/導入"</formula1>
    </dataValidation>
    <dataValidation type="list" allowBlank="1" showInputMessage="1" showErrorMessage="1" sqref="AY11:BN12" xr:uid="{00000000-0002-0000-0300-000002000000}">
      <formula1>"　,チームレビュー,プロジェクトレビュー,顧客レビュー"</formula1>
    </dataValidation>
  </dataValidations>
  <pageMargins left="0.35433070866141736" right="0.39370078740157483" top="0.6692913385826772" bottom="0.47244094488188981" header="0.27559055118110237" footer="0.27559055118110237"/>
  <pageSetup paperSize="9" scale="82" fitToHeight="0" orientation="landscape" r:id="rId1"/>
  <headerFooter alignWithMargins="0">
    <oddHeader>&amp;L&amp;14【営業秘密】</oddHeader>
    <oddFooter>&amp;C&amp;P/&amp;N&amp;R（様式2010.04）</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CI37"/>
  <sheetViews>
    <sheetView tabSelected="1" zoomScale="90" zoomScaleNormal="90" zoomScaleSheetLayoutView="85" workbookViewId="0">
      <selection activeCell="Z23" sqref="Z23:AL23"/>
    </sheetView>
  </sheetViews>
  <sheetFormatPr defaultColWidth="2.625" defaultRowHeight="13.5" x14ac:dyDescent="0.15"/>
  <cols>
    <col min="1" max="1" width="9" customWidth="1"/>
    <col min="2" max="87" width="2.625" customWidth="1"/>
  </cols>
  <sheetData>
    <row r="1" spans="1:87" x14ac:dyDescent="0.15">
      <c r="A1" s="699" t="s">
        <v>0</v>
      </c>
      <c r="B1" s="700"/>
      <c r="C1" s="700"/>
      <c r="D1" s="700"/>
      <c r="E1" s="700"/>
      <c r="F1" s="700"/>
      <c r="G1" s="700"/>
      <c r="H1" s="700"/>
      <c r="I1" s="700"/>
      <c r="J1" s="700"/>
      <c r="K1" s="699" t="s">
        <v>235</v>
      </c>
      <c r="L1" s="700"/>
      <c r="M1" s="700"/>
      <c r="N1" s="700"/>
      <c r="O1" s="700"/>
      <c r="P1" s="700"/>
      <c r="Q1" s="700"/>
      <c r="R1" s="700"/>
      <c r="S1" s="700"/>
      <c r="T1" s="700"/>
      <c r="U1" s="700"/>
      <c r="V1" s="700"/>
      <c r="W1" s="700"/>
      <c r="X1" s="700"/>
      <c r="Y1" s="700"/>
      <c r="Z1" s="700"/>
      <c r="AA1" s="700"/>
      <c r="AB1" s="700"/>
      <c r="AC1" s="700"/>
      <c r="AD1" s="700"/>
      <c r="AE1" s="700"/>
      <c r="AF1" s="700"/>
      <c r="AG1" s="700"/>
      <c r="AH1" s="700"/>
      <c r="AI1" s="700"/>
      <c r="AJ1" s="700"/>
      <c r="AK1" s="700"/>
      <c r="AL1" s="700"/>
      <c r="AM1" s="700"/>
      <c r="AN1" s="700"/>
      <c r="AO1" s="700"/>
      <c r="AP1" s="700"/>
      <c r="AQ1" s="700"/>
      <c r="AR1" s="700"/>
      <c r="AS1" s="700"/>
      <c r="AT1" s="700"/>
      <c r="AU1" s="700"/>
      <c r="AV1" s="700"/>
      <c r="AW1" s="700"/>
      <c r="AX1" s="700"/>
      <c r="AY1" s="700"/>
      <c r="AZ1" s="700"/>
      <c r="BA1" s="700"/>
      <c r="BB1" s="700"/>
      <c r="BC1" s="700"/>
      <c r="BD1" s="703"/>
      <c r="BE1" s="623" t="s">
        <v>305</v>
      </c>
      <c r="BF1" s="623"/>
      <c r="BG1" s="623"/>
      <c r="BH1" s="623"/>
      <c r="BI1" s="623"/>
      <c r="BJ1" s="623" t="s">
        <v>306</v>
      </c>
      <c r="BK1" s="623"/>
      <c r="BL1" s="623"/>
      <c r="BM1" s="623"/>
      <c r="BN1" s="623"/>
      <c r="BO1" s="623" t="s">
        <v>237</v>
      </c>
      <c r="BP1" s="623"/>
      <c r="BQ1" s="623"/>
      <c r="BR1" s="623"/>
      <c r="BS1" s="623"/>
      <c r="BT1" s="623" t="s">
        <v>566</v>
      </c>
      <c r="BU1" s="623"/>
      <c r="BV1" s="623"/>
      <c r="BW1" s="623"/>
      <c r="BX1" s="623"/>
      <c r="BY1" s="623"/>
      <c r="BZ1" s="623"/>
      <c r="CA1" s="623"/>
      <c r="CB1" s="623"/>
      <c r="CC1" s="623"/>
      <c r="CD1" s="623"/>
      <c r="CE1" s="623"/>
      <c r="CF1" s="623"/>
      <c r="CG1" s="623"/>
      <c r="CH1" s="623"/>
      <c r="CI1" s="623"/>
    </row>
    <row r="2" spans="1:87" x14ac:dyDescent="0.15">
      <c r="A2" s="701"/>
      <c r="B2" s="702"/>
      <c r="C2" s="702"/>
      <c r="D2" s="702"/>
      <c r="E2" s="702"/>
      <c r="F2" s="702"/>
      <c r="G2" s="702"/>
      <c r="H2" s="702"/>
      <c r="I2" s="702"/>
      <c r="J2" s="702"/>
      <c r="K2" s="701"/>
      <c r="L2" s="702"/>
      <c r="M2" s="702"/>
      <c r="N2" s="702"/>
      <c r="O2" s="702"/>
      <c r="P2" s="702"/>
      <c r="Q2" s="702"/>
      <c r="R2" s="702"/>
      <c r="S2" s="702"/>
      <c r="T2" s="702"/>
      <c r="U2" s="702"/>
      <c r="V2" s="702"/>
      <c r="W2" s="702"/>
      <c r="X2" s="702"/>
      <c r="Y2" s="702"/>
      <c r="Z2" s="702"/>
      <c r="AA2" s="702"/>
      <c r="AB2" s="702"/>
      <c r="AC2" s="702"/>
      <c r="AD2" s="702"/>
      <c r="AE2" s="702"/>
      <c r="AF2" s="702"/>
      <c r="AG2" s="702"/>
      <c r="AH2" s="702"/>
      <c r="AI2" s="702"/>
      <c r="AJ2" s="702"/>
      <c r="AK2" s="702"/>
      <c r="AL2" s="702"/>
      <c r="AM2" s="702"/>
      <c r="AN2" s="702"/>
      <c r="AO2" s="702"/>
      <c r="AP2" s="702"/>
      <c r="AQ2" s="702"/>
      <c r="AR2" s="702"/>
      <c r="AS2" s="702"/>
      <c r="AT2" s="702"/>
      <c r="AU2" s="702"/>
      <c r="AV2" s="702"/>
      <c r="AW2" s="702"/>
      <c r="AX2" s="702"/>
      <c r="AY2" s="702"/>
      <c r="AZ2" s="702"/>
      <c r="BA2" s="702"/>
      <c r="BB2" s="702"/>
      <c r="BC2" s="702"/>
      <c r="BD2" s="704"/>
      <c r="BE2" s="623" t="s">
        <v>494</v>
      </c>
      <c r="BF2" s="623"/>
      <c r="BG2" s="623"/>
      <c r="BH2" s="623"/>
      <c r="BI2" s="623"/>
      <c r="BJ2" s="623" t="s">
        <v>494</v>
      </c>
      <c r="BK2" s="623"/>
      <c r="BL2" s="623"/>
      <c r="BM2" s="623"/>
      <c r="BN2" s="623"/>
      <c r="BO2" s="623" t="s">
        <v>494</v>
      </c>
      <c r="BP2" s="623"/>
      <c r="BQ2" s="623"/>
      <c r="BR2" s="623"/>
      <c r="BS2" s="623"/>
      <c r="BT2" s="623" t="s">
        <v>308</v>
      </c>
      <c r="BU2" s="623"/>
      <c r="BV2" s="623"/>
      <c r="BW2" s="623"/>
      <c r="BX2" s="623"/>
      <c r="BY2" s="623"/>
      <c r="BZ2" s="623" t="s">
        <v>306</v>
      </c>
      <c r="CA2" s="623"/>
      <c r="CB2" s="623"/>
      <c r="CC2" s="623"/>
      <c r="CD2" s="623"/>
      <c r="CE2" s="623" t="s">
        <v>237</v>
      </c>
      <c r="CF2" s="623"/>
      <c r="CG2" s="623"/>
      <c r="CH2" s="623"/>
      <c r="CI2" s="623"/>
    </row>
    <row r="3" spans="1:87" x14ac:dyDescent="0.15">
      <c r="A3" s="701"/>
      <c r="B3" s="702"/>
      <c r="C3" s="702"/>
      <c r="D3" s="702"/>
      <c r="E3" s="702"/>
      <c r="F3" s="702"/>
      <c r="G3" s="702"/>
      <c r="H3" s="702"/>
      <c r="I3" s="702"/>
      <c r="J3" s="702"/>
      <c r="K3" s="701"/>
      <c r="L3" s="702"/>
      <c r="M3" s="702"/>
      <c r="N3" s="702"/>
      <c r="O3" s="702"/>
      <c r="P3" s="702"/>
      <c r="Q3" s="702"/>
      <c r="R3" s="702"/>
      <c r="S3" s="702"/>
      <c r="T3" s="702"/>
      <c r="U3" s="702"/>
      <c r="V3" s="702"/>
      <c r="W3" s="702"/>
      <c r="X3" s="702"/>
      <c r="Y3" s="702"/>
      <c r="Z3" s="702"/>
      <c r="AA3" s="702"/>
      <c r="AB3" s="702"/>
      <c r="AC3" s="702"/>
      <c r="AD3" s="702"/>
      <c r="AE3" s="702"/>
      <c r="AF3" s="702"/>
      <c r="AG3" s="702"/>
      <c r="AH3" s="702"/>
      <c r="AI3" s="702"/>
      <c r="AJ3" s="702"/>
      <c r="AK3" s="702"/>
      <c r="AL3" s="702"/>
      <c r="AM3" s="702"/>
      <c r="AN3" s="702"/>
      <c r="AO3" s="702"/>
      <c r="AP3" s="702"/>
      <c r="AQ3" s="702"/>
      <c r="AR3" s="702"/>
      <c r="AS3" s="702"/>
      <c r="AT3" s="702"/>
      <c r="AU3" s="702"/>
      <c r="AV3" s="702"/>
      <c r="AW3" s="702"/>
      <c r="AX3" s="702"/>
      <c r="AY3" s="702"/>
      <c r="AZ3" s="702"/>
      <c r="BA3" s="702"/>
      <c r="BB3" s="702"/>
      <c r="BC3" s="702"/>
      <c r="BD3" s="704"/>
      <c r="BE3" s="553"/>
      <c r="BF3" s="553"/>
      <c r="BG3" s="553"/>
      <c r="BH3" s="553"/>
      <c r="BI3" s="553"/>
      <c r="BJ3" s="553"/>
      <c r="BK3" s="553"/>
      <c r="BL3" s="553"/>
      <c r="BM3" s="553"/>
      <c r="BN3" s="553"/>
      <c r="BO3" s="553"/>
      <c r="BP3" s="553"/>
      <c r="BQ3" s="553"/>
      <c r="BR3" s="553"/>
      <c r="BS3" s="553"/>
      <c r="BT3" s="553"/>
      <c r="BU3" s="553"/>
      <c r="BV3" s="553"/>
      <c r="BW3" s="553"/>
      <c r="BX3" s="553"/>
      <c r="BY3" s="553"/>
      <c r="BZ3" s="623" t="s">
        <v>495</v>
      </c>
      <c r="CA3" s="623"/>
      <c r="CB3" s="623"/>
      <c r="CC3" s="623"/>
      <c r="CD3" s="623"/>
      <c r="CE3" s="623" t="s">
        <v>495</v>
      </c>
      <c r="CF3" s="623"/>
      <c r="CG3" s="623"/>
      <c r="CH3" s="623"/>
      <c r="CI3" s="623"/>
    </row>
    <row r="4" spans="1:87" x14ac:dyDescent="0.15">
      <c r="A4" s="701"/>
      <c r="B4" s="702"/>
      <c r="C4" s="702"/>
      <c r="D4" s="702"/>
      <c r="E4" s="702"/>
      <c r="F4" s="702"/>
      <c r="G4" s="702"/>
      <c r="H4" s="702"/>
      <c r="I4" s="702"/>
      <c r="J4" s="702"/>
      <c r="K4" s="701"/>
      <c r="L4" s="702"/>
      <c r="M4" s="702"/>
      <c r="N4" s="702"/>
      <c r="O4" s="702"/>
      <c r="P4" s="702"/>
      <c r="Q4" s="702"/>
      <c r="R4" s="702"/>
      <c r="S4" s="702"/>
      <c r="T4" s="702"/>
      <c r="U4" s="702"/>
      <c r="V4" s="702"/>
      <c r="W4" s="702"/>
      <c r="X4" s="702"/>
      <c r="Y4" s="702"/>
      <c r="Z4" s="702"/>
      <c r="AA4" s="702"/>
      <c r="AB4" s="702"/>
      <c r="AC4" s="702"/>
      <c r="AD4" s="702"/>
      <c r="AE4" s="702"/>
      <c r="AF4" s="702"/>
      <c r="AG4" s="702"/>
      <c r="AH4" s="702"/>
      <c r="AI4" s="702"/>
      <c r="AJ4" s="702"/>
      <c r="AK4" s="702"/>
      <c r="AL4" s="702"/>
      <c r="AM4" s="702"/>
      <c r="AN4" s="702"/>
      <c r="AO4" s="702"/>
      <c r="AP4" s="702"/>
      <c r="AQ4" s="702"/>
      <c r="AR4" s="702"/>
      <c r="AS4" s="702"/>
      <c r="AT4" s="702"/>
      <c r="AU4" s="702"/>
      <c r="AV4" s="702"/>
      <c r="AW4" s="702"/>
      <c r="AX4" s="702"/>
      <c r="AY4" s="702"/>
      <c r="AZ4" s="702"/>
      <c r="BA4" s="702"/>
      <c r="BB4" s="702"/>
      <c r="BC4" s="702"/>
      <c r="BD4" s="704"/>
      <c r="BE4" s="553"/>
      <c r="BF4" s="553"/>
      <c r="BG4" s="553"/>
      <c r="BH4" s="553"/>
      <c r="BI4" s="553"/>
      <c r="BJ4" s="553"/>
      <c r="BK4" s="553"/>
      <c r="BL4" s="553"/>
      <c r="BM4" s="553"/>
      <c r="BN4" s="553"/>
      <c r="BO4" s="553"/>
      <c r="BP4" s="553"/>
      <c r="BQ4" s="553"/>
      <c r="BR4" s="553"/>
      <c r="BS4" s="553"/>
      <c r="BT4" s="553"/>
      <c r="BU4" s="553"/>
      <c r="BV4" s="553"/>
      <c r="BW4" s="553"/>
      <c r="BX4" s="553"/>
      <c r="BY4" s="553"/>
      <c r="BZ4" s="553"/>
      <c r="CA4" s="553"/>
      <c r="CB4" s="553"/>
      <c r="CC4" s="553"/>
      <c r="CD4" s="553"/>
      <c r="CE4" s="553"/>
      <c r="CF4" s="553"/>
      <c r="CG4" s="553"/>
      <c r="CH4" s="553"/>
      <c r="CI4" s="553"/>
    </row>
    <row r="5" spans="1:87" x14ac:dyDescent="0.15">
      <c r="A5" s="572" t="s">
        <v>465</v>
      </c>
      <c r="B5" s="573"/>
      <c r="C5" s="573"/>
      <c r="D5" s="573"/>
      <c r="E5" s="573"/>
      <c r="F5" s="573"/>
      <c r="G5" s="573"/>
      <c r="H5" s="573"/>
      <c r="I5" s="573"/>
      <c r="J5" s="573"/>
      <c r="K5" s="573"/>
      <c r="L5" s="573"/>
      <c r="M5" s="573"/>
      <c r="N5" s="573"/>
      <c r="O5" s="573"/>
      <c r="P5" s="573"/>
      <c r="Q5" s="573"/>
      <c r="R5" s="573"/>
      <c r="S5" s="573"/>
      <c r="T5" s="573"/>
      <c r="U5" s="573"/>
      <c r="V5" s="573"/>
      <c r="W5" s="574"/>
      <c r="X5" s="572" t="s">
        <v>466</v>
      </c>
      <c r="Y5" s="573"/>
      <c r="Z5" s="573"/>
      <c r="AA5" s="573"/>
      <c r="AB5" s="573"/>
      <c r="AC5" s="573"/>
      <c r="AD5" s="573"/>
      <c r="AE5" s="573"/>
      <c r="AF5" s="573"/>
      <c r="AG5" s="573"/>
      <c r="AH5" s="573"/>
      <c r="AI5" s="573"/>
      <c r="AJ5" s="573"/>
      <c r="AK5" s="573"/>
      <c r="AL5" s="573"/>
      <c r="AM5" s="573"/>
      <c r="AN5" s="573"/>
      <c r="AO5" s="573"/>
      <c r="AP5" s="573"/>
      <c r="AQ5" s="573"/>
      <c r="AR5" s="573"/>
      <c r="AS5" s="573"/>
      <c r="AT5" s="573"/>
      <c r="AU5" s="573"/>
      <c r="AV5" s="573"/>
      <c r="AW5" s="573"/>
      <c r="AX5" s="573"/>
      <c r="AY5" s="573"/>
      <c r="AZ5" s="573"/>
      <c r="BA5" s="573"/>
      <c r="BB5" s="573"/>
      <c r="BC5" s="573"/>
      <c r="BD5" s="574"/>
      <c r="BE5" s="574"/>
      <c r="BF5" s="553"/>
      <c r="BG5" s="553"/>
      <c r="BH5" s="553"/>
      <c r="BI5" s="553"/>
      <c r="BJ5" s="553"/>
      <c r="BK5" s="553"/>
      <c r="BL5" s="553"/>
      <c r="BM5" s="553"/>
      <c r="BN5" s="553"/>
      <c r="BO5" s="553"/>
      <c r="BP5" s="553"/>
      <c r="BQ5" s="553"/>
      <c r="BR5" s="553"/>
      <c r="BS5" s="553"/>
      <c r="BT5" s="553"/>
      <c r="BU5" s="553"/>
      <c r="BV5" s="553"/>
      <c r="BW5" s="553"/>
      <c r="BX5" s="553"/>
      <c r="BY5" s="553"/>
      <c r="BZ5" s="553"/>
      <c r="CA5" s="553"/>
      <c r="CB5" s="553"/>
      <c r="CC5" s="553"/>
      <c r="CD5" s="553"/>
      <c r="CE5" s="553"/>
      <c r="CF5" s="553"/>
      <c r="CG5" s="553"/>
      <c r="CH5" s="553"/>
      <c r="CI5" s="553"/>
    </row>
    <row r="6" spans="1:87" x14ac:dyDescent="0.15">
      <c r="A6" s="572"/>
      <c r="B6" s="573"/>
      <c r="C6" s="573"/>
      <c r="D6" s="573"/>
      <c r="E6" s="573"/>
      <c r="F6" s="573"/>
      <c r="G6" s="573"/>
      <c r="H6" s="573"/>
      <c r="I6" s="573"/>
      <c r="J6" s="573"/>
      <c r="K6" s="573"/>
      <c r="L6" s="573"/>
      <c r="M6" s="573"/>
      <c r="N6" s="573"/>
      <c r="O6" s="573"/>
      <c r="P6" s="573"/>
      <c r="Q6" s="573"/>
      <c r="R6" s="573"/>
      <c r="S6" s="573"/>
      <c r="T6" s="573"/>
      <c r="U6" s="573"/>
      <c r="V6" s="573"/>
      <c r="W6" s="574"/>
      <c r="X6" s="572"/>
      <c r="Y6" s="573"/>
      <c r="Z6" s="573"/>
      <c r="AA6" s="573"/>
      <c r="AB6" s="573"/>
      <c r="AC6" s="573"/>
      <c r="AD6" s="573"/>
      <c r="AE6" s="573"/>
      <c r="AF6" s="573"/>
      <c r="AG6" s="573"/>
      <c r="AH6" s="573"/>
      <c r="AI6" s="573"/>
      <c r="AJ6" s="573"/>
      <c r="AK6" s="573"/>
      <c r="AL6" s="573"/>
      <c r="AM6" s="573"/>
      <c r="AN6" s="573"/>
      <c r="AO6" s="573"/>
      <c r="AP6" s="573"/>
      <c r="AQ6" s="573"/>
      <c r="AR6" s="573"/>
      <c r="AS6" s="573"/>
      <c r="AT6" s="573"/>
      <c r="AU6" s="573"/>
      <c r="AV6" s="573"/>
      <c r="AW6" s="573"/>
      <c r="AX6" s="573"/>
      <c r="AY6" s="573"/>
      <c r="AZ6" s="573"/>
      <c r="BA6" s="573"/>
      <c r="BB6" s="573"/>
      <c r="BC6" s="573"/>
      <c r="BD6" s="574"/>
      <c r="BE6" s="574"/>
      <c r="BF6" s="553"/>
      <c r="BG6" s="553"/>
      <c r="BH6" s="553"/>
      <c r="BI6" s="553"/>
      <c r="BJ6" s="553"/>
      <c r="BK6" s="553"/>
      <c r="BL6" s="553"/>
      <c r="BM6" s="553"/>
      <c r="BN6" s="553"/>
      <c r="BO6" s="553"/>
      <c r="BP6" s="553"/>
      <c r="BQ6" s="553"/>
      <c r="BR6" s="553"/>
      <c r="BS6" s="553"/>
      <c r="BT6" s="553"/>
      <c r="BU6" s="553"/>
      <c r="BV6" s="553"/>
      <c r="BW6" s="553"/>
      <c r="BX6" s="553"/>
      <c r="BY6" s="553"/>
      <c r="BZ6" s="553"/>
      <c r="CA6" s="553"/>
      <c r="CB6" s="553"/>
      <c r="CC6" s="553"/>
      <c r="CD6" s="553"/>
      <c r="CE6" s="553"/>
      <c r="CF6" s="553"/>
      <c r="CG6" s="553"/>
      <c r="CH6" s="553"/>
      <c r="CI6" s="553"/>
    </row>
    <row r="7" spans="1:87" x14ac:dyDescent="0.15">
      <c r="A7" s="572" t="s">
        <v>310</v>
      </c>
      <c r="B7" s="573"/>
      <c r="C7" s="573"/>
      <c r="D7" s="573"/>
      <c r="E7" s="573"/>
      <c r="F7" s="573"/>
      <c r="G7" s="573"/>
      <c r="H7" s="573"/>
      <c r="I7" s="573"/>
      <c r="J7" s="573"/>
      <c r="K7" s="573"/>
      <c r="L7" s="573"/>
      <c r="M7" s="573"/>
      <c r="N7" s="573"/>
      <c r="O7" s="573"/>
      <c r="P7" s="573"/>
      <c r="Q7" s="573"/>
      <c r="R7" s="573"/>
      <c r="S7" s="573"/>
      <c r="T7" s="573"/>
      <c r="U7" s="573"/>
      <c r="V7" s="573"/>
      <c r="W7" s="574"/>
      <c r="X7" s="572" t="s">
        <v>311</v>
      </c>
      <c r="Y7" s="573"/>
      <c r="Z7" s="573"/>
      <c r="AA7" s="573"/>
      <c r="AB7" s="573"/>
      <c r="AC7" s="573"/>
      <c r="AD7" s="573"/>
      <c r="AE7" s="573"/>
      <c r="AF7" s="573"/>
      <c r="AG7" s="573"/>
      <c r="AH7" s="573"/>
      <c r="AI7" s="573"/>
      <c r="AJ7" s="573"/>
      <c r="AK7" s="573"/>
      <c r="AL7" s="574"/>
      <c r="AM7" s="572" t="s">
        <v>1</v>
      </c>
      <c r="AN7" s="573"/>
      <c r="AO7" s="573"/>
      <c r="AP7" s="573"/>
      <c r="AQ7" s="573"/>
      <c r="AR7" s="573"/>
      <c r="AS7" s="573"/>
      <c r="AT7" s="573"/>
      <c r="AU7" s="574"/>
      <c r="AV7" s="572" t="s">
        <v>314</v>
      </c>
      <c r="AW7" s="573"/>
      <c r="AX7" s="573"/>
      <c r="AY7" s="573"/>
      <c r="AZ7" s="573"/>
      <c r="BA7" s="573"/>
      <c r="BB7" s="573"/>
      <c r="BC7" s="573"/>
      <c r="BD7" s="574"/>
      <c r="BE7" s="553"/>
      <c r="BF7" s="553"/>
      <c r="BG7" s="553"/>
      <c r="BH7" s="553"/>
      <c r="BI7" s="553"/>
      <c r="BJ7" s="553"/>
      <c r="BK7" s="553"/>
      <c r="BL7" s="553"/>
      <c r="BM7" s="553"/>
      <c r="BN7" s="553"/>
      <c r="BO7" s="553"/>
      <c r="BP7" s="553"/>
      <c r="BQ7" s="553"/>
      <c r="BR7" s="553"/>
      <c r="BS7" s="553"/>
      <c r="BT7" s="553"/>
      <c r="BU7" s="553"/>
      <c r="BV7" s="553"/>
      <c r="BW7" s="553"/>
      <c r="BX7" s="553"/>
      <c r="BY7" s="553"/>
      <c r="BZ7" s="553"/>
      <c r="CA7" s="553"/>
      <c r="CB7" s="553"/>
      <c r="CC7" s="553"/>
      <c r="CD7" s="553"/>
      <c r="CE7" s="553"/>
      <c r="CF7" s="553"/>
      <c r="CG7" s="553"/>
      <c r="CH7" s="553"/>
      <c r="CI7" s="553"/>
    </row>
    <row r="8" spans="1:87" x14ac:dyDescent="0.15">
      <c r="A8" s="572"/>
      <c r="B8" s="573"/>
      <c r="C8" s="573"/>
      <c r="D8" s="573"/>
      <c r="E8" s="573"/>
      <c r="F8" s="573"/>
      <c r="G8" s="573"/>
      <c r="H8" s="573"/>
      <c r="I8" s="573"/>
      <c r="J8" s="573"/>
      <c r="K8" s="573"/>
      <c r="L8" s="573"/>
      <c r="M8" s="573"/>
      <c r="N8" s="573"/>
      <c r="O8" s="573"/>
      <c r="P8" s="573"/>
      <c r="Q8" s="573"/>
      <c r="R8" s="573"/>
      <c r="S8" s="573"/>
      <c r="T8" s="573"/>
      <c r="U8" s="573"/>
      <c r="V8" s="573"/>
      <c r="W8" s="574"/>
      <c r="X8" s="572"/>
      <c r="Y8" s="573"/>
      <c r="Z8" s="573"/>
      <c r="AA8" s="573"/>
      <c r="AB8" s="573"/>
      <c r="AC8" s="573"/>
      <c r="AD8" s="573"/>
      <c r="AE8" s="573"/>
      <c r="AF8" s="573"/>
      <c r="AG8" s="573"/>
      <c r="AH8" s="573"/>
      <c r="AI8" s="573"/>
      <c r="AJ8" s="573"/>
      <c r="AK8" s="573"/>
      <c r="AL8" s="574"/>
      <c r="AM8" s="683">
        <v>43486</v>
      </c>
      <c r="AN8" s="684"/>
      <c r="AO8" s="684"/>
      <c r="AP8" s="684"/>
      <c r="AQ8" s="684"/>
      <c r="AR8" s="684"/>
      <c r="AS8" s="684"/>
      <c r="AT8" s="684"/>
      <c r="AU8" s="685"/>
      <c r="AV8" s="572" t="s">
        <v>797</v>
      </c>
      <c r="AW8" s="573"/>
      <c r="AX8" s="573"/>
      <c r="AY8" s="573"/>
      <c r="AZ8" s="573"/>
      <c r="BA8" s="573"/>
      <c r="BB8" s="573"/>
      <c r="BC8" s="573"/>
      <c r="BD8" s="574"/>
      <c r="BE8" s="553"/>
      <c r="BF8" s="553"/>
      <c r="BG8" s="553"/>
      <c r="BH8" s="553"/>
      <c r="BI8" s="553"/>
      <c r="BJ8" s="553"/>
      <c r="BK8" s="553"/>
      <c r="BL8" s="553"/>
      <c r="BM8" s="553"/>
      <c r="BN8" s="553"/>
      <c r="BO8" s="553"/>
      <c r="BP8" s="553"/>
      <c r="BQ8" s="553"/>
      <c r="BR8" s="553"/>
      <c r="BS8" s="553"/>
      <c r="BT8" s="553"/>
      <c r="BU8" s="553"/>
      <c r="BV8" s="553"/>
      <c r="BW8" s="553"/>
      <c r="BX8" s="553"/>
      <c r="BY8" s="553"/>
      <c r="BZ8" s="553"/>
      <c r="CA8" s="553"/>
      <c r="CB8" s="553"/>
      <c r="CC8" s="553"/>
      <c r="CD8" s="553"/>
      <c r="CE8" s="553"/>
      <c r="CF8" s="553"/>
      <c r="CG8" s="553"/>
      <c r="CH8" s="553"/>
      <c r="CI8" s="553"/>
    </row>
    <row r="10" spans="1:87" ht="13.5" customHeight="1" x14ac:dyDescent="0.15">
      <c r="A10" s="624" t="s">
        <v>208</v>
      </c>
      <c r="B10" s="624"/>
      <c r="C10" s="624"/>
      <c r="D10" s="624"/>
      <c r="E10" s="624"/>
      <c r="F10" s="624"/>
      <c r="G10" s="624"/>
      <c r="H10" s="624"/>
      <c r="I10" s="624"/>
      <c r="J10" s="624"/>
      <c r="K10" s="624" t="s">
        <v>209</v>
      </c>
      <c r="L10" s="624"/>
      <c r="M10" s="624"/>
      <c r="N10" s="624"/>
      <c r="O10" s="624"/>
      <c r="P10" s="624"/>
      <c r="Q10" s="624"/>
      <c r="R10" s="624"/>
      <c r="S10" s="624"/>
      <c r="T10" s="624"/>
      <c r="U10" s="624"/>
      <c r="V10" s="624" t="s">
        <v>210</v>
      </c>
      <c r="W10" s="624"/>
      <c r="X10" s="624"/>
      <c r="Y10" s="624"/>
      <c r="Z10" s="624"/>
      <c r="AA10" s="624"/>
      <c r="AB10" s="624"/>
      <c r="AC10" s="624"/>
      <c r="AD10" s="624"/>
      <c r="AE10" s="624"/>
      <c r="AF10" s="624"/>
      <c r="AG10" s="624"/>
      <c r="AH10" s="624"/>
      <c r="AI10" s="624"/>
      <c r="AJ10" s="624"/>
      <c r="AK10" s="624"/>
      <c r="AL10" s="624"/>
      <c r="AM10" s="299"/>
      <c r="AN10" s="299"/>
      <c r="AO10" s="299"/>
      <c r="AP10" s="299"/>
      <c r="AQ10" s="299"/>
      <c r="AR10" s="299"/>
      <c r="AS10" s="299"/>
      <c r="AT10" s="299"/>
      <c r="AU10" s="299"/>
      <c r="AV10" s="299"/>
      <c r="AW10" s="693" t="s">
        <v>215</v>
      </c>
      <c r="AX10" s="693"/>
      <c r="AY10" s="693"/>
      <c r="AZ10" s="693"/>
      <c r="BA10" s="693"/>
      <c r="BB10" s="693"/>
      <c r="BC10" s="693"/>
      <c r="BD10" s="693"/>
      <c r="BE10" s="693"/>
      <c r="BF10" s="693"/>
      <c r="BG10" s="693"/>
      <c r="BH10" s="693"/>
      <c r="BI10" s="694" t="s">
        <v>216</v>
      </c>
      <c r="BJ10" s="695"/>
      <c r="BK10" s="695"/>
      <c r="BL10" s="695"/>
      <c r="BM10" s="695"/>
      <c r="BN10" s="695"/>
      <c r="BO10" s="695"/>
      <c r="BP10" s="695"/>
      <c r="BQ10" s="695"/>
      <c r="BR10" s="695"/>
      <c r="BS10" s="695"/>
      <c r="BT10" s="695"/>
      <c r="BU10" s="695"/>
      <c r="BV10" s="695"/>
      <c r="BW10" s="695"/>
      <c r="BX10" s="695"/>
      <c r="BY10" s="695"/>
      <c r="BZ10" s="695"/>
      <c r="CA10" s="695"/>
      <c r="CB10" s="695"/>
      <c r="CC10" s="695"/>
      <c r="CD10" s="695"/>
      <c r="CE10" s="695"/>
      <c r="CF10" s="695"/>
      <c r="CG10" s="695"/>
      <c r="CH10" s="695"/>
      <c r="CI10" s="696"/>
    </row>
    <row r="11" spans="1:87" x14ac:dyDescent="0.15">
      <c r="A11" s="624"/>
      <c r="B11" s="624"/>
      <c r="C11" s="624"/>
      <c r="D11" s="624"/>
      <c r="E11" s="624"/>
      <c r="F11" s="624"/>
      <c r="G11" s="624"/>
      <c r="H11" s="624"/>
      <c r="I11" s="624"/>
      <c r="J11" s="624"/>
      <c r="K11" s="624"/>
      <c r="L11" s="624"/>
      <c r="M11" s="624"/>
      <c r="N11" s="624"/>
      <c r="O11" s="624"/>
      <c r="P11" s="624"/>
      <c r="Q11" s="624"/>
      <c r="R11" s="624"/>
      <c r="S11" s="624"/>
      <c r="T11" s="624"/>
      <c r="U11" s="624"/>
      <c r="V11" s="624"/>
      <c r="W11" s="624"/>
      <c r="X11" s="624"/>
      <c r="Y11" s="624"/>
      <c r="Z11" s="624"/>
      <c r="AA11" s="624"/>
      <c r="AB11" s="624"/>
      <c r="AC11" s="624"/>
      <c r="AD11" s="624"/>
      <c r="AE11" s="624"/>
      <c r="AF11" s="624"/>
      <c r="AG11" s="624"/>
      <c r="AH11" s="624"/>
      <c r="AI11" s="624"/>
      <c r="AJ11" s="624"/>
      <c r="AK11" s="624"/>
      <c r="AL11" s="624"/>
      <c r="AM11" s="299"/>
      <c r="AN11" s="299"/>
      <c r="AO11" s="299"/>
      <c r="AP11" s="299"/>
      <c r="AQ11" s="299"/>
      <c r="AR11" s="299"/>
      <c r="AS11" s="299"/>
      <c r="AT11" s="299"/>
      <c r="AU11" s="299"/>
      <c r="AV11" s="299"/>
      <c r="AW11" s="697" t="s">
        <v>140</v>
      </c>
      <c r="AX11" s="698"/>
      <c r="AY11" s="698"/>
      <c r="AZ11" s="698"/>
      <c r="BA11" s="649" t="s">
        <v>217</v>
      </c>
      <c r="BB11" s="649"/>
      <c r="BC11" s="649"/>
      <c r="BD11" s="649"/>
      <c r="BE11" s="649"/>
      <c r="BF11" s="649"/>
      <c r="BG11" s="649"/>
      <c r="BH11" s="650"/>
      <c r="BI11" s="603"/>
      <c r="BJ11" s="604"/>
      <c r="BK11" s="604"/>
      <c r="BL11" s="604"/>
      <c r="BM11" s="604"/>
      <c r="BN11" s="604"/>
      <c r="BO11" s="604"/>
      <c r="BP11" s="604"/>
      <c r="BQ11" s="604"/>
      <c r="BR11" s="604"/>
      <c r="BS11" s="604"/>
      <c r="BT11" s="604"/>
      <c r="BU11" s="604"/>
      <c r="BV11" s="604"/>
      <c r="BW11" s="604"/>
      <c r="BX11" s="604"/>
      <c r="BY11" s="604"/>
      <c r="BZ11" s="604"/>
      <c r="CA11" s="604"/>
      <c r="CB11" s="604"/>
      <c r="CC11" s="604"/>
      <c r="CD11" s="604"/>
      <c r="CE11" s="604"/>
      <c r="CF11" s="604"/>
      <c r="CG11" s="604"/>
      <c r="CH11" s="604"/>
      <c r="CI11" s="605"/>
    </row>
    <row r="12" spans="1:87" ht="13.5" customHeight="1" x14ac:dyDescent="0.15">
      <c r="A12" s="553" t="s">
        <v>138</v>
      </c>
      <c r="B12" s="553"/>
      <c r="C12" s="553"/>
      <c r="D12" s="553"/>
      <c r="E12" s="553"/>
      <c r="F12" s="553"/>
      <c r="G12" s="553"/>
      <c r="H12" s="553"/>
      <c r="I12" s="553"/>
      <c r="J12" s="553"/>
      <c r="K12" s="553"/>
      <c r="L12" s="553"/>
      <c r="M12" s="553"/>
      <c r="N12" s="553"/>
      <c r="O12" s="553"/>
      <c r="P12" s="553"/>
      <c r="Q12" s="553"/>
      <c r="R12" s="553"/>
      <c r="S12" s="553"/>
      <c r="T12" s="553"/>
      <c r="U12" s="553"/>
      <c r="V12" s="553" t="s">
        <v>761</v>
      </c>
      <c r="W12" s="553"/>
      <c r="X12" s="553"/>
      <c r="Y12" s="553"/>
      <c r="Z12" s="553"/>
      <c r="AA12" s="553"/>
      <c r="AB12" s="553"/>
      <c r="AC12" s="553"/>
      <c r="AD12" s="553"/>
      <c r="AE12" s="553"/>
      <c r="AF12" s="553"/>
      <c r="AG12" s="553"/>
      <c r="AH12" s="553"/>
      <c r="AI12" s="553"/>
      <c r="AJ12" s="553"/>
      <c r="AK12" s="553"/>
      <c r="AL12" s="553"/>
      <c r="AM12" s="299"/>
      <c r="AN12" s="299"/>
      <c r="AO12" s="299"/>
      <c r="AP12" s="299"/>
      <c r="AQ12" s="299"/>
      <c r="AR12" s="299"/>
      <c r="AS12" s="299"/>
      <c r="AT12" s="299"/>
      <c r="AU12" s="299"/>
      <c r="AV12" s="299"/>
      <c r="AW12" s="681" t="s">
        <v>140</v>
      </c>
      <c r="AX12" s="682"/>
      <c r="AY12" s="682"/>
      <c r="AZ12" s="682"/>
      <c r="BA12" s="651" t="s">
        <v>2</v>
      </c>
      <c r="BB12" s="651"/>
      <c r="BC12" s="651"/>
      <c r="BD12" s="651"/>
      <c r="BE12" s="651"/>
      <c r="BF12" s="651"/>
      <c r="BG12" s="651"/>
      <c r="BH12" s="652"/>
      <c r="BI12" s="615"/>
      <c r="BJ12" s="616"/>
      <c r="BK12" s="616"/>
      <c r="BL12" s="616"/>
      <c r="BM12" s="616"/>
      <c r="BN12" s="616"/>
      <c r="BO12" s="616"/>
      <c r="BP12" s="616"/>
      <c r="BQ12" s="616"/>
      <c r="BR12" s="616"/>
      <c r="BS12" s="616"/>
      <c r="BT12" s="616"/>
      <c r="BU12" s="616"/>
      <c r="BV12" s="616"/>
      <c r="BW12" s="616"/>
      <c r="BX12" s="616"/>
      <c r="BY12" s="616"/>
      <c r="BZ12" s="616"/>
      <c r="CA12" s="616"/>
      <c r="CB12" s="616"/>
      <c r="CC12" s="616"/>
      <c r="CD12" s="616"/>
      <c r="CE12" s="616"/>
      <c r="CF12" s="616"/>
      <c r="CG12" s="616"/>
      <c r="CH12" s="616"/>
      <c r="CI12" s="617"/>
    </row>
    <row r="13" spans="1:87" x14ac:dyDescent="0.15">
      <c r="A13" s="553"/>
      <c r="B13" s="553"/>
      <c r="C13" s="553"/>
      <c r="D13" s="553"/>
      <c r="E13" s="553"/>
      <c r="F13" s="553"/>
      <c r="G13" s="553"/>
      <c r="H13" s="553"/>
      <c r="I13" s="553"/>
      <c r="J13" s="553"/>
      <c r="K13" s="553"/>
      <c r="L13" s="553"/>
      <c r="M13" s="553"/>
      <c r="N13" s="553"/>
      <c r="O13" s="553"/>
      <c r="P13" s="553"/>
      <c r="Q13" s="553"/>
      <c r="R13" s="553"/>
      <c r="S13" s="553"/>
      <c r="T13" s="553"/>
      <c r="U13" s="553"/>
      <c r="V13" s="553"/>
      <c r="W13" s="553"/>
      <c r="X13" s="553"/>
      <c r="Y13" s="553"/>
      <c r="Z13" s="553"/>
      <c r="AA13" s="553"/>
      <c r="AB13" s="553"/>
      <c r="AC13" s="553"/>
      <c r="AD13" s="553"/>
      <c r="AE13" s="553"/>
      <c r="AF13" s="553"/>
      <c r="AG13" s="553"/>
      <c r="AH13" s="553"/>
      <c r="AI13" s="553"/>
      <c r="AJ13" s="553"/>
      <c r="AK13" s="553"/>
      <c r="AL13" s="553"/>
      <c r="AM13" s="299"/>
      <c r="AN13" s="299"/>
      <c r="AO13" s="299"/>
      <c r="AP13" s="299"/>
      <c r="AQ13" s="299"/>
      <c r="AR13" s="299"/>
      <c r="AS13" s="299"/>
      <c r="AT13" s="299"/>
      <c r="AU13" s="299"/>
      <c r="AV13" s="299"/>
      <c r="AW13" s="655" t="s">
        <v>140</v>
      </c>
      <c r="AX13" s="656"/>
      <c r="AY13" s="656"/>
      <c r="AZ13" s="656"/>
      <c r="BA13" s="653" t="s">
        <v>218</v>
      </c>
      <c r="BB13" s="653"/>
      <c r="BC13" s="653"/>
      <c r="BD13" s="653"/>
      <c r="BE13" s="653"/>
      <c r="BF13" s="653"/>
      <c r="BG13" s="653"/>
      <c r="BH13" s="654"/>
      <c r="BI13" s="606"/>
      <c r="BJ13" s="607"/>
      <c r="BK13" s="607"/>
      <c r="BL13" s="607"/>
      <c r="BM13" s="607"/>
      <c r="BN13" s="607"/>
      <c r="BO13" s="607"/>
      <c r="BP13" s="607"/>
      <c r="BQ13" s="607"/>
      <c r="BR13" s="607"/>
      <c r="BS13" s="607"/>
      <c r="BT13" s="607"/>
      <c r="BU13" s="607"/>
      <c r="BV13" s="607"/>
      <c r="BW13" s="607"/>
      <c r="BX13" s="607"/>
      <c r="BY13" s="607"/>
      <c r="BZ13" s="607"/>
      <c r="CA13" s="607"/>
      <c r="CB13" s="607"/>
      <c r="CC13" s="607"/>
      <c r="CD13" s="607"/>
      <c r="CE13" s="607"/>
      <c r="CF13" s="607"/>
      <c r="CG13" s="607"/>
      <c r="CH13" s="607"/>
      <c r="CI13" s="608"/>
    </row>
    <row r="14" spans="1:87" x14ac:dyDescent="0.15">
      <c r="BB14" s="300" t="s">
        <v>3</v>
      </c>
      <c r="BC14" s="300"/>
    </row>
    <row r="15" spans="1:87" x14ac:dyDescent="0.15">
      <c r="A15" s="609" t="s">
        <v>211</v>
      </c>
      <c r="B15" s="610"/>
      <c r="C15" s="610"/>
      <c r="D15" s="610"/>
      <c r="E15" s="610"/>
      <c r="F15" s="610"/>
      <c r="G15" s="610"/>
      <c r="H15" s="610"/>
      <c r="I15" s="610"/>
      <c r="J15" s="611"/>
      <c r="K15" s="638" t="s">
        <v>600</v>
      </c>
      <c r="L15" s="638"/>
      <c r="M15" s="638"/>
      <c r="N15" s="638"/>
      <c r="O15" s="637"/>
      <c r="P15" s="637"/>
      <c r="Q15" s="637"/>
      <c r="R15" s="637"/>
      <c r="S15" s="637"/>
      <c r="T15" s="637"/>
      <c r="U15" s="637"/>
      <c r="V15" s="624" t="s">
        <v>219</v>
      </c>
      <c r="W15" s="624"/>
      <c r="X15" s="624"/>
      <c r="Y15" s="624"/>
      <c r="Z15" s="624"/>
      <c r="AA15" s="624"/>
      <c r="AB15" s="624"/>
      <c r="AC15" s="624"/>
      <c r="AD15" s="624"/>
      <c r="AE15" s="624"/>
      <c r="AF15" s="624"/>
      <c r="AG15" s="624"/>
      <c r="AH15" s="624"/>
      <c r="AI15" s="624"/>
      <c r="AJ15" s="624"/>
      <c r="AK15" s="624"/>
      <c r="AL15" s="624"/>
      <c r="AM15" s="637" t="s">
        <v>4</v>
      </c>
      <c r="AN15" s="637"/>
      <c r="AO15" s="637"/>
      <c r="AP15" s="637"/>
      <c r="AQ15" s="637" t="s">
        <v>220</v>
      </c>
      <c r="AR15" s="637"/>
      <c r="AS15" s="637"/>
      <c r="AT15" s="637"/>
      <c r="AU15" s="637"/>
      <c r="AV15" s="637" t="s">
        <v>213</v>
      </c>
      <c r="AW15" s="637"/>
      <c r="AX15" s="637"/>
      <c r="AY15" s="637"/>
      <c r="AZ15" s="637"/>
      <c r="BA15" s="637"/>
      <c r="BB15" s="637"/>
      <c r="BC15" s="637"/>
      <c r="BD15" s="637"/>
      <c r="BE15" s="637"/>
      <c r="BF15" s="637"/>
      <c r="BG15" s="637"/>
      <c r="BH15" s="637"/>
      <c r="BI15" s="637"/>
      <c r="BJ15" s="637"/>
      <c r="BK15" s="637" t="s">
        <v>221</v>
      </c>
      <c r="BL15" s="637"/>
      <c r="BM15" s="637"/>
      <c r="BN15" s="637"/>
      <c r="BO15" s="637"/>
      <c r="BP15" s="637" t="s">
        <v>5</v>
      </c>
      <c r="BQ15" s="637"/>
      <c r="BR15" s="637"/>
      <c r="BS15" s="637"/>
      <c r="BT15" s="637"/>
      <c r="BU15" s="637" t="s">
        <v>222</v>
      </c>
      <c r="BV15" s="637"/>
      <c r="BW15" s="637"/>
      <c r="BX15" s="637"/>
      <c r="BY15" s="637"/>
      <c r="BZ15" s="637" t="s">
        <v>223</v>
      </c>
      <c r="CA15" s="637"/>
      <c r="CB15" s="637"/>
      <c r="CC15" s="637"/>
      <c r="CD15" s="637"/>
      <c r="CE15" s="692" t="s">
        <v>224</v>
      </c>
      <c r="CF15" s="692"/>
      <c r="CG15" s="692"/>
      <c r="CH15" s="692"/>
      <c r="CI15" s="692"/>
    </row>
    <row r="16" spans="1:87" ht="45" customHeight="1" x14ac:dyDescent="0.15">
      <c r="A16" s="639"/>
      <c r="B16" s="640"/>
      <c r="C16" s="640"/>
      <c r="D16" s="640"/>
      <c r="E16" s="640"/>
      <c r="F16" s="640"/>
      <c r="G16" s="640"/>
      <c r="H16" s="640"/>
      <c r="I16" s="640"/>
      <c r="J16" s="641"/>
      <c r="K16" s="553" t="s">
        <v>796</v>
      </c>
      <c r="L16" s="553"/>
      <c r="M16" s="553"/>
      <c r="N16" s="553"/>
      <c r="O16" s="553"/>
      <c r="P16" s="553"/>
      <c r="Q16" s="553"/>
      <c r="R16" s="553"/>
      <c r="S16" s="553"/>
      <c r="T16" s="553"/>
      <c r="U16" s="553"/>
      <c r="V16" s="626" t="s">
        <v>762</v>
      </c>
      <c r="W16" s="626"/>
      <c r="X16" s="626"/>
      <c r="Y16" s="626"/>
      <c r="Z16" s="626"/>
      <c r="AA16" s="626"/>
      <c r="AB16" s="626"/>
      <c r="AC16" s="626"/>
      <c r="AD16" s="626"/>
      <c r="AE16" s="626"/>
      <c r="AF16" s="626"/>
      <c r="AG16" s="626"/>
      <c r="AH16" s="626"/>
      <c r="AI16" s="626"/>
      <c r="AJ16" s="626"/>
      <c r="AK16" s="626"/>
      <c r="AL16" s="626"/>
      <c r="AM16" s="575" t="s">
        <v>793</v>
      </c>
      <c r="AN16" s="576"/>
      <c r="AO16" s="576"/>
      <c r="AP16" s="577"/>
      <c r="AQ16" s="669" t="s">
        <v>795</v>
      </c>
      <c r="AR16" s="670"/>
      <c r="AS16" s="670"/>
      <c r="AT16" s="670"/>
      <c r="AU16" s="671"/>
      <c r="AV16" s="625" t="s">
        <v>794</v>
      </c>
      <c r="AW16" s="625"/>
      <c r="AX16" s="625"/>
      <c r="AY16" s="625"/>
      <c r="AZ16" s="625"/>
      <c r="BA16" s="625"/>
      <c r="BB16" s="625"/>
      <c r="BC16" s="625"/>
      <c r="BD16" s="625"/>
      <c r="BE16" s="625"/>
      <c r="BF16" s="625"/>
      <c r="BG16" s="625"/>
      <c r="BH16" s="625"/>
      <c r="BI16" s="625"/>
      <c r="BJ16" s="625"/>
      <c r="BK16" s="643">
        <v>1</v>
      </c>
      <c r="BL16" s="644"/>
      <c r="BM16" s="644"/>
      <c r="BN16" s="644"/>
      <c r="BO16" s="645"/>
      <c r="BP16" s="657">
        <v>43486</v>
      </c>
      <c r="BQ16" s="658"/>
      <c r="BR16" s="658"/>
      <c r="BS16" s="658"/>
      <c r="BT16" s="659"/>
      <c r="BU16" s="675">
        <v>8</v>
      </c>
      <c r="BV16" s="676"/>
      <c r="BW16" s="676"/>
      <c r="BX16" s="676"/>
      <c r="BY16" s="677"/>
      <c r="BZ16" s="686">
        <v>1</v>
      </c>
      <c r="CA16" s="687"/>
      <c r="CB16" s="687"/>
      <c r="CC16" s="687"/>
      <c r="CD16" s="688"/>
      <c r="CE16" s="663">
        <f>BU16*BZ16</f>
        <v>8</v>
      </c>
      <c r="CF16" s="664"/>
      <c r="CG16" s="664"/>
      <c r="CH16" s="664"/>
      <c r="CI16" s="665"/>
    </row>
    <row r="17" spans="1:87" ht="45" customHeight="1" x14ac:dyDescent="0.15">
      <c r="A17" s="612"/>
      <c r="B17" s="613"/>
      <c r="C17" s="613"/>
      <c r="D17" s="613"/>
      <c r="E17" s="613"/>
      <c r="F17" s="613"/>
      <c r="G17" s="613"/>
      <c r="H17" s="613"/>
      <c r="I17" s="613"/>
      <c r="J17" s="614"/>
      <c r="K17" s="553"/>
      <c r="L17" s="553"/>
      <c r="M17" s="553"/>
      <c r="N17" s="553"/>
      <c r="O17" s="553"/>
      <c r="P17" s="553"/>
      <c r="Q17" s="553"/>
      <c r="R17" s="553"/>
      <c r="S17" s="553"/>
      <c r="T17" s="553"/>
      <c r="U17" s="553"/>
      <c r="V17" s="626"/>
      <c r="W17" s="626"/>
      <c r="X17" s="626"/>
      <c r="Y17" s="626"/>
      <c r="Z17" s="626"/>
      <c r="AA17" s="626"/>
      <c r="AB17" s="626"/>
      <c r="AC17" s="626"/>
      <c r="AD17" s="626"/>
      <c r="AE17" s="626"/>
      <c r="AF17" s="626"/>
      <c r="AG17" s="626"/>
      <c r="AH17" s="626"/>
      <c r="AI17" s="626"/>
      <c r="AJ17" s="626"/>
      <c r="AK17" s="626"/>
      <c r="AL17" s="626"/>
      <c r="AM17" s="593"/>
      <c r="AN17" s="594"/>
      <c r="AO17" s="594"/>
      <c r="AP17" s="595"/>
      <c r="AQ17" s="672"/>
      <c r="AR17" s="673"/>
      <c r="AS17" s="673"/>
      <c r="AT17" s="673"/>
      <c r="AU17" s="674"/>
      <c r="AV17" s="625"/>
      <c r="AW17" s="625"/>
      <c r="AX17" s="625"/>
      <c r="AY17" s="625"/>
      <c r="AZ17" s="625"/>
      <c r="BA17" s="625"/>
      <c r="BB17" s="625"/>
      <c r="BC17" s="625"/>
      <c r="BD17" s="625"/>
      <c r="BE17" s="625"/>
      <c r="BF17" s="625"/>
      <c r="BG17" s="625"/>
      <c r="BH17" s="625"/>
      <c r="BI17" s="625"/>
      <c r="BJ17" s="625"/>
      <c r="BK17" s="646"/>
      <c r="BL17" s="647"/>
      <c r="BM17" s="647"/>
      <c r="BN17" s="647"/>
      <c r="BO17" s="648"/>
      <c r="BP17" s="660"/>
      <c r="BQ17" s="661"/>
      <c r="BR17" s="661"/>
      <c r="BS17" s="661"/>
      <c r="BT17" s="662"/>
      <c r="BU17" s="678"/>
      <c r="BV17" s="679"/>
      <c r="BW17" s="679"/>
      <c r="BX17" s="679"/>
      <c r="BY17" s="680"/>
      <c r="BZ17" s="689"/>
      <c r="CA17" s="690"/>
      <c r="CB17" s="690"/>
      <c r="CC17" s="690"/>
      <c r="CD17" s="691"/>
      <c r="CE17" s="666"/>
      <c r="CF17" s="667"/>
      <c r="CG17" s="667"/>
      <c r="CH17" s="667"/>
      <c r="CI17" s="668"/>
    </row>
    <row r="19" spans="1:87" x14ac:dyDescent="0.15">
      <c r="A19" s="624" t="s">
        <v>225</v>
      </c>
      <c r="B19" s="624" t="s">
        <v>226</v>
      </c>
      <c r="C19" s="624"/>
      <c r="D19" s="624"/>
      <c r="E19" s="624"/>
      <c r="F19" s="624"/>
      <c r="G19" s="624"/>
      <c r="H19" s="624"/>
      <c r="I19" s="624"/>
      <c r="J19" s="624"/>
      <c r="K19" s="609" t="s">
        <v>227</v>
      </c>
      <c r="L19" s="610"/>
      <c r="M19" s="610"/>
      <c r="N19" s="610"/>
      <c r="O19" s="610"/>
      <c r="P19" s="610"/>
      <c r="Q19" s="610"/>
      <c r="R19" s="610"/>
      <c r="S19" s="610"/>
      <c r="T19" s="610"/>
      <c r="U19" s="611"/>
      <c r="V19" s="609" t="s">
        <v>228</v>
      </c>
      <c r="W19" s="610"/>
      <c r="X19" s="610"/>
      <c r="Y19" s="611"/>
      <c r="Z19" s="609" t="s">
        <v>6</v>
      </c>
      <c r="AA19" s="610"/>
      <c r="AB19" s="610"/>
      <c r="AC19" s="610"/>
      <c r="AD19" s="610"/>
      <c r="AE19" s="610"/>
      <c r="AF19" s="610"/>
      <c r="AG19" s="610"/>
      <c r="AH19" s="610"/>
      <c r="AI19" s="610"/>
      <c r="AJ19" s="610"/>
      <c r="AK19" s="610"/>
      <c r="AL19" s="611"/>
      <c r="AM19" s="609" t="s">
        <v>7</v>
      </c>
      <c r="AN19" s="610"/>
      <c r="AO19" s="610"/>
      <c r="AP19" s="611"/>
      <c r="AQ19" s="609" t="s">
        <v>229</v>
      </c>
      <c r="AR19" s="610"/>
      <c r="AS19" s="610"/>
      <c r="AT19" s="610"/>
      <c r="AU19" s="611"/>
      <c r="AV19" s="609" t="s">
        <v>230</v>
      </c>
      <c r="AW19" s="610"/>
      <c r="AX19" s="610"/>
      <c r="AY19" s="610"/>
      <c r="AZ19" s="611"/>
      <c r="BA19" s="609" t="s">
        <v>231</v>
      </c>
      <c r="BB19" s="610"/>
      <c r="BC19" s="610"/>
      <c r="BD19" s="611"/>
      <c r="BE19" s="609" t="s">
        <v>232</v>
      </c>
      <c r="BF19" s="610"/>
      <c r="BG19" s="610"/>
      <c r="BH19" s="610"/>
      <c r="BI19" s="610"/>
      <c r="BJ19" s="611"/>
      <c r="BK19" s="609" t="s">
        <v>233</v>
      </c>
      <c r="BL19" s="610"/>
      <c r="BM19" s="610"/>
      <c r="BN19" s="610"/>
      <c r="BO19" s="611"/>
      <c r="BP19" s="609" t="s">
        <v>359</v>
      </c>
      <c r="BQ19" s="610"/>
      <c r="BR19" s="610"/>
      <c r="BS19" s="610"/>
      <c r="BT19" s="611"/>
      <c r="BU19" s="609" t="s">
        <v>8</v>
      </c>
      <c r="BV19" s="610"/>
      <c r="BW19" s="610"/>
      <c r="BX19" s="610"/>
      <c r="BY19" s="611"/>
      <c r="BZ19" s="609" t="s">
        <v>352</v>
      </c>
      <c r="CA19" s="610"/>
      <c r="CB19" s="610"/>
      <c r="CC19" s="610"/>
      <c r="CD19" s="611"/>
      <c r="CE19" s="609" t="s">
        <v>9</v>
      </c>
      <c r="CF19" s="610"/>
      <c r="CG19" s="610"/>
      <c r="CH19" s="610"/>
      <c r="CI19" s="611"/>
    </row>
    <row r="20" spans="1:87" x14ac:dyDescent="0.15">
      <c r="A20" s="624"/>
      <c r="B20" s="624"/>
      <c r="C20" s="624"/>
      <c r="D20" s="624"/>
      <c r="E20" s="624"/>
      <c r="F20" s="624"/>
      <c r="G20" s="624"/>
      <c r="H20" s="624"/>
      <c r="I20" s="624"/>
      <c r="J20" s="624"/>
      <c r="K20" s="612"/>
      <c r="L20" s="613"/>
      <c r="M20" s="613"/>
      <c r="N20" s="613"/>
      <c r="O20" s="613"/>
      <c r="P20" s="613"/>
      <c r="Q20" s="613"/>
      <c r="R20" s="613"/>
      <c r="S20" s="613"/>
      <c r="T20" s="613"/>
      <c r="U20" s="614"/>
      <c r="V20" s="612"/>
      <c r="W20" s="613"/>
      <c r="X20" s="613"/>
      <c r="Y20" s="614"/>
      <c r="Z20" s="612"/>
      <c r="AA20" s="613"/>
      <c r="AB20" s="613"/>
      <c r="AC20" s="613"/>
      <c r="AD20" s="613"/>
      <c r="AE20" s="613"/>
      <c r="AF20" s="613"/>
      <c r="AG20" s="613"/>
      <c r="AH20" s="613"/>
      <c r="AI20" s="613"/>
      <c r="AJ20" s="613"/>
      <c r="AK20" s="613"/>
      <c r="AL20" s="614"/>
      <c r="AM20" s="612"/>
      <c r="AN20" s="613"/>
      <c r="AO20" s="613"/>
      <c r="AP20" s="614"/>
      <c r="AQ20" s="612"/>
      <c r="AR20" s="613"/>
      <c r="AS20" s="613"/>
      <c r="AT20" s="613"/>
      <c r="AU20" s="614"/>
      <c r="AV20" s="612"/>
      <c r="AW20" s="613"/>
      <c r="AX20" s="613"/>
      <c r="AY20" s="613"/>
      <c r="AZ20" s="614"/>
      <c r="BA20" s="612"/>
      <c r="BB20" s="613"/>
      <c r="BC20" s="613"/>
      <c r="BD20" s="614"/>
      <c r="BE20" s="612"/>
      <c r="BF20" s="613"/>
      <c r="BG20" s="613"/>
      <c r="BH20" s="613"/>
      <c r="BI20" s="613"/>
      <c r="BJ20" s="614"/>
      <c r="BK20" s="612"/>
      <c r="BL20" s="613"/>
      <c r="BM20" s="613"/>
      <c r="BN20" s="613"/>
      <c r="BO20" s="614"/>
      <c r="BP20" s="612"/>
      <c r="BQ20" s="613"/>
      <c r="BR20" s="613"/>
      <c r="BS20" s="613"/>
      <c r="BT20" s="614"/>
      <c r="BU20" s="612"/>
      <c r="BV20" s="613"/>
      <c r="BW20" s="613"/>
      <c r="BX20" s="613"/>
      <c r="BY20" s="614"/>
      <c r="BZ20" s="612"/>
      <c r="CA20" s="613"/>
      <c r="CB20" s="613"/>
      <c r="CC20" s="613"/>
      <c r="CD20" s="614"/>
      <c r="CE20" s="612"/>
      <c r="CF20" s="613"/>
      <c r="CG20" s="613"/>
      <c r="CH20" s="613"/>
      <c r="CI20" s="614"/>
    </row>
    <row r="21" spans="1:87" ht="99" customHeight="1" x14ac:dyDescent="0.15">
      <c r="A21" s="539">
        <v>1</v>
      </c>
      <c r="B21" s="625" t="s">
        <v>763</v>
      </c>
      <c r="C21" s="625"/>
      <c r="D21" s="625"/>
      <c r="E21" s="625"/>
      <c r="F21" s="625"/>
      <c r="G21" s="625"/>
      <c r="H21" s="625"/>
      <c r="I21" s="625"/>
      <c r="J21" s="625"/>
      <c r="K21" s="625" t="s">
        <v>764</v>
      </c>
      <c r="L21" s="625"/>
      <c r="M21" s="625"/>
      <c r="N21" s="625"/>
      <c r="O21" s="625"/>
      <c r="P21" s="625"/>
      <c r="Q21" s="625"/>
      <c r="R21" s="625"/>
      <c r="S21" s="625"/>
      <c r="T21" s="625"/>
      <c r="U21" s="625"/>
      <c r="V21" s="625" t="s">
        <v>765</v>
      </c>
      <c r="W21" s="625"/>
      <c r="X21" s="625"/>
      <c r="Y21" s="625"/>
      <c r="Z21" s="625" t="s">
        <v>788</v>
      </c>
      <c r="AA21" s="625"/>
      <c r="AB21" s="625"/>
      <c r="AC21" s="625"/>
      <c r="AD21" s="625"/>
      <c r="AE21" s="625"/>
      <c r="AF21" s="625"/>
      <c r="AG21" s="625"/>
      <c r="AH21" s="625"/>
      <c r="AI21" s="625"/>
      <c r="AJ21" s="625"/>
      <c r="AK21" s="625"/>
      <c r="AL21" s="625"/>
      <c r="AM21" s="629" t="s">
        <v>775</v>
      </c>
      <c r="AN21" s="629"/>
      <c r="AO21" s="629"/>
      <c r="AP21" s="629"/>
      <c r="AQ21" s="625" t="s">
        <v>776</v>
      </c>
      <c r="AR21" s="625"/>
      <c r="AS21" s="625"/>
      <c r="AT21" s="625"/>
      <c r="AU21" s="625"/>
      <c r="AV21" s="625" t="s">
        <v>780</v>
      </c>
      <c r="AW21" s="625"/>
      <c r="AX21" s="625"/>
      <c r="AY21" s="625"/>
      <c r="AZ21" s="625"/>
      <c r="BA21" s="553" t="s">
        <v>782</v>
      </c>
      <c r="BB21" s="553"/>
      <c r="BC21" s="553"/>
      <c r="BD21" s="553"/>
      <c r="BE21" s="625" t="s">
        <v>784</v>
      </c>
      <c r="BF21" s="625"/>
      <c r="BG21" s="625"/>
      <c r="BH21" s="625"/>
      <c r="BI21" s="625"/>
      <c r="BJ21" s="625"/>
      <c r="BK21" s="630" t="s">
        <v>138</v>
      </c>
      <c r="BL21" s="630"/>
      <c r="BM21" s="630"/>
      <c r="BN21" s="630"/>
      <c r="BO21" s="630"/>
      <c r="BP21" s="631">
        <v>43500</v>
      </c>
      <c r="BQ21" s="631"/>
      <c r="BR21" s="631"/>
      <c r="BS21" s="631"/>
      <c r="BT21" s="631"/>
      <c r="BU21" s="630" t="s">
        <v>799</v>
      </c>
      <c r="BV21" s="630"/>
      <c r="BW21" s="630"/>
      <c r="BX21" s="630"/>
      <c r="BY21" s="630"/>
      <c r="BZ21" s="552"/>
      <c r="CA21" s="552"/>
      <c r="CB21" s="552"/>
      <c r="CC21" s="552"/>
      <c r="CD21" s="552"/>
      <c r="CE21" s="625"/>
      <c r="CF21" s="625"/>
      <c r="CG21" s="625"/>
      <c r="CH21" s="625"/>
      <c r="CI21" s="625"/>
    </row>
    <row r="22" spans="1:87" ht="70.5" customHeight="1" x14ac:dyDescent="0.15">
      <c r="A22" s="539">
        <v>2</v>
      </c>
      <c r="B22" s="625" t="s">
        <v>766</v>
      </c>
      <c r="C22" s="625"/>
      <c r="D22" s="625"/>
      <c r="E22" s="625"/>
      <c r="F22" s="625"/>
      <c r="G22" s="625"/>
      <c r="H22" s="625"/>
      <c r="I22" s="625"/>
      <c r="J22" s="625"/>
      <c r="K22" s="625" t="s">
        <v>768</v>
      </c>
      <c r="L22" s="625"/>
      <c r="M22" s="625"/>
      <c r="N22" s="625"/>
      <c r="O22" s="625"/>
      <c r="P22" s="625"/>
      <c r="Q22" s="625"/>
      <c r="R22" s="625"/>
      <c r="S22" s="625"/>
      <c r="T22" s="625"/>
      <c r="U22" s="625"/>
      <c r="V22" s="625" t="s">
        <v>767</v>
      </c>
      <c r="W22" s="625"/>
      <c r="X22" s="625"/>
      <c r="Y22" s="625"/>
      <c r="Z22" s="632" t="s">
        <v>789</v>
      </c>
      <c r="AA22" s="633"/>
      <c r="AB22" s="633"/>
      <c r="AC22" s="633"/>
      <c r="AD22" s="633"/>
      <c r="AE22" s="633"/>
      <c r="AF22" s="633"/>
      <c r="AG22" s="633"/>
      <c r="AH22" s="633"/>
      <c r="AI22" s="633"/>
      <c r="AJ22" s="633"/>
      <c r="AK22" s="633"/>
      <c r="AL22" s="634"/>
      <c r="AM22" s="629" t="s">
        <v>775</v>
      </c>
      <c r="AN22" s="629"/>
      <c r="AO22" s="629"/>
      <c r="AP22" s="629"/>
      <c r="AQ22" s="625" t="s">
        <v>776</v>
      </c>
      <c r="AR22" s="625"/>
      <c r="AS22" s="625"/>
      <c r="AT22" s="625"/>
      <c r="AU22" s="625"/>
      <c r="AV22" s="625" t="s">
        <v>779</v>
      </c>
      <c r="AW22" s="625"/>
      <c r="AX22" s="625"/>
      <c r="AY22" s="625"/>
      <c r="AZ22" s="625"/>
      <c r="BA22" s="553" t="s">
        <v>782</v>
      </c>
      <c r="BB22" s="553"/>
      <c r="BC22" s="553"/>
      <c r="BD22" s="553"/>
      <c r="BE22" s="625" t="s">
        <v>784</v>
      </c>
      <c r="BF22" s="625"/>
      <c r="BG22" s="625"/>
      <c r="BH22" s="625"/>
      <c r="BI22" s="625"/>
      <c r="BJ22" s="625"/>
      <c r="BK22" s="630" t="s">
        <v>138</v>
      </c>
      <c r="BL22" s="630"/>
      <c r="BM22" s="630"/>
      <c r="BN22" s="630"/>
      <c r="BO22" s="630"/>
      <c r="BP22" s="631">
        <v>43502</v>
      </c>
      <c r="BQ22" s="631"/>
      <c r="BR22" s="631"/>
      <c r="BS22" s="631"/>
      <c r="BT22" s="631"/>
      <c r="BU22" s="630" t="s">
        <v>799</v>
      </c>
      <c r="BV22" s="630"/>
      <c r="BW22" s="630"/>
      <c r="BX22" s="630"/>
      <c r="BY22" s="630"/>
      <c r="BZ22" s="552"/>
      <c r="CA22" s="552"/>
      <c r="CB22" s="552"/>
      <c r="CC22" s="552"/>
      <c r="CD22" s="552"/>
      <c r="CE22" s="625"/>
      <c r="CF22" s="625"/>
      <c r="CG22" s="625"/>
      <c r="CH22" s="625"/>
      <c r="CI22" s="625"/>
    </row>
    <row r="23" spans="1:87" ht="45" customHeight="1" x14ac:dyDescent="0.15">
      <c r="A23" s="539">
        <v>3</v>
      </c>
      <c r="B23" s="625" t="s">
        <v>769</v>
      </c>
      <c r="C23" s="625"/>
      <c r="D23" s="625"/>
      <c r="E23" s="625"/>
      <c r="F23" s="625"/>
      <c r="G23" s="625"/>
      <c r="H23" s="625"/>
      <c r="I23" s="625"/>
      <c r="J23" s="625"/>
      <c r="K23" s="625" t="s">
        <v>770</v>
      </c>
      <c r="L23" s="625"/>
      <c r="M23" s="625"/>
      <c r="N23" s="625"/>
      <c r="O23" s="625"/>
      <c r="P23" s="625"/>
      <c r="Q23" s="625"/>
      <c r="R23" s="625"/>
      <c r="S23" s="625"/>
      <c r="T23" s="625"/>
      <c r="U23" s="625"/>
      <c r="V23" s="625" t="s">
        <v>765</v>
      </c>
      <c r="W23" s="625"/>
      <c r="X23" s="625"/>
      <c r="Y23" s="625"/>
      <c r="Z23" s="625" t="s">
        <v>790</v>
      </c>
      <c r="AA23" s="625"/>
      <c r="AB23" s="625"/>
      <c r="AC23" s="625"/>
      <c r="AD23" s="625"/>
      <c r="AE23" s="625"/>
      <c r="AF23" s="625"/>
      <c r="AG23" s="625"/>
      <c r="AH23" s="625"/>
      <c r="AI23" s="625"/>
      <c r="AJ23" s="625"/>
      <c r="AK23" s="625"/>
      <c r="AL23" s="625"/>
      <c r="AM23" s="629" t="s">
        <v>775</v>
      </c>
      <c r="AN23" s="629"/>
      <c r="AO23" s="629"/>
      <c r="AP23" s="629"/>
      <c r="AQ23" s="625" t="s">
        <v>776</v>
      </c>
      <c r="AR23" s="625"/>
      <c r="AS23" s="625"/>
      <c r="AT23" s="625"/>
      <c r="AU23" s="625"/>
      <c r="AV23" s="625" t="s">
        <v>781</v>
      </c>
      <c r="AW23" s="625"/>
      <c r="AX23" s="625"/>
      <c r="AY23" s="625"/>
      <c r="AZ23" s="625"/>
      <c r="BA23" s="553" t="s">
        <v>782</v>
      </c>
      <c r="BB23" s="553"/>
      <c r="BC23" s="553"/>
      <c r="BD23" s="553"/>
      <c r="BE23" s="625" t="s">
        <v>785</v>
      </c>
      <c r="BF23" s="625"/>
      <c r="BG23" s="625"/>
      <c r="BH23" s="625"/>
      <c r="BI23" s="625"/>
      <c r="BJ23" s="625"/>
      <c r="BK23" s="630" t="s">
        <v>138</v>
      </c>
      <c r="BL23" s="630"/>
      <c r="BM23" s="630"/>
      <c r="BN23" s="630"/>
      <c r="BO23" s="630"/>
      <c r="BP23" s="631">
        <v>43500</v>
      </c>
      <c r="BQ23" s="631"/>
      <c r="BR23" s="631"/>
      <c r="BS23" s="631"/>
      <c r="BT23" s="631"/>
      <c r="BU23" s="630" t="s">
        <v>799</v>
      </c>
      <c r="BV23" s="630"/>
      <c r="BW23" s="630"/>
      <c r="BX23" s="630"/>
      <c r="BY23" s="630"/>
      <c r="BZ23" s="552"/>
      <c r="CA23" s="552"/>
      <c r="CB23" s="552"/>
      <c r="CC23" s="552"/>
      <c r="CD23" s="552"/>
      <c r="CE23" s="625"/>
      <c r="CF23" s="625"/>
      <c r="CG23" s="625"/>
      <c r="CH23" s="625"/>
      <c r="CI23" s="625"/>
    </row>
    <row r="24" spans="1:87" ht="84.75" customHeight="1" x14ac:dyDescent="0.15">
      <c r="A24" s="541">
        <v>4</v>
      </c>
      <c r="B24" s="625" t="s">
        <v>769</v>
      </c>
      <c r="C24" s="625"/>
      <c r="D24" s="625"/>
      <c r="E24" s="625"/>
      <c r="F24" s="625"/>
      <c r="G24" s="625"/>
      <c r="H24" s="625"/>
      <c r="I24" s="625"/>
      <c r="J24" s="625"/>
      <c r="K24" s="625" t="s">
        <v>771</v>
      </c>
      <c r="L24" s="625"/>
      <c r="M24" s="625"/>
      <c r="N24" s="625"/>
      <c r="O24" s="625"/>
      <c r="P24" s="625"/>
      <c r="Q24" s="625"/>
      <c r="R24" s="625"/>
      <c r="S24" s="625"/>
      <c r="T24" s="625"/>
      <c r="U24" s="625"/>
      <c r="V24" s="625" t="s">
        <v>767</v>
      </c>
      <c r="W24" s="625"/>
      <c r="X24" s="625"/>
      <c r="Y24" s="625"/>
      <c r="Z24" s="625" t="s">
        <v>791</v>
      </c>
      <c r="AA24" s="625"/>
      <c r="AB24" s="625"/>
      <c r="AC24" s="625"/>
      <c r="AD24" s="625"/>
      <c r="AE24" s="625"/>
      <c r="AF24" s="625"/>
      <c r="AG24" s="625"/>
      <c r="AH24" s="625"/>
      <c r="AI24" s="625"/>
      <c r="AJ24" s="625"/>
      <c r="AK24" s="625"/>
      <c r="AL24" s="625"/>
      <c r="AM24" s="629" t="s">
        <v>775</v>
      </c>
      <c r="AN24" s="629"/>
      <c r="AO24" s="629"/>
      <c r="AP24" s="629"/>
      <c r="AQ24" s="625" t="s">
        <v>776</v>
      </c>
      <c r="AR24" s="625"/>
      <c r="AS24" s="625"/>
      <c r="AT24" s="625"/>
      <c r="AU24" s="625"/>
      <c r="AV24" s="625" t="s">
        <v>779</v>
      </c>
      <c r="AW24" s="625"/>
      <c r="AX24" s="625"/>
      <c r="AY24" s="625"/>
      <c r="AZ24" s="625"/>
      <c r="BA24" s="553" t="s">
        <v>782</v>
      </c>
      <c r="BB24" s="553"/>
      <c r="BC24" s="553"/>
      <c r="BD24" s="553"/>
      <c r="BE24" s="625" t="s">
        <v>784</v>
      </c>
      <c r="BF24" s="625"/>
      <c r="BG24" s="625"/>
      <c r="BH24" s="625"/>
      <c r="BI24" s="625"/>
      <c r="BJ24" s="625"/>
      <c r="BK24" s="630" t="s">
        <v>138</v>
      </c>
      <c r="BL24" s="630"/>
      <c r="BM24" s="630"/>
      <c r="BN24" s="630"/>
      <c r="BO24" s="630"/>
      <c r="BP24" s="631">
        <v>43500</v>
      </c>
      <c r="BQ24" s="631"/>
      <c r="BR24" s="631"/>
      <c r="BS24" s="631"/>
      <c r="BT24" s="631"/>
      <c r="BU24" s="630" t="s">
        <v>799</v>
      </c>
      <c r="BV24" s="630"/>
      <c r="BW24" s="630"/>
      <c r="BX24" s="630"/>
      <c r="BY24" s="630"/>
      <c r="BZ24" s="552"/>
      <c r="CA24" s="552"/>
      <c r="CB24" s="552"/>
      <c r="CC24" s="552"/>
      <c r="CD24" s="552"/>
      <c r="CE24" s="625"/>
      <c r="CF24" s="625"/>
      <c r="CG24" s="625"/>
      <c r="CH24" s="625"/>
      <c r="CI24" s="625"/>
    </row>
    <row r="25" spans="1:87" ht="66.75" customHeight="1" x14ac:dyDescent="0.15">
      <c r="A25" s="541">
        <v>5</v>
      </c>
      <c r="B25" s="625" t="s">
        <v>772</v>
      </c>
      <c r="C25" s="625"/>
      <c r="D25" s="625"/>
      <c r="E25" s="625"/>
      <c r="F25" s="625"/>
      <c r="G25" s="625"/>
      <c r="H25" s="625"/>
      <c r="I25" s="625"/>
      <c r="J25" s="625"/>
      <c r="K25" s="625" t="s">
        <v>787</v>
      </c>
      <c r="L25" s="625"/>
      <c r="M25" s="625"/>
      <c r="N25" s="625"/>
      <c r="O25" s="625"/>
      <c r="P25" s="625"/>
      <c r="Q25" s="625"/>
      <c r="R25" s="625"/>
      <c r="S25" s="625"/>
      <c r="T25" s="625"/>
      <c r="U25" s="625"/>
      <c r="V25" s="625" t="s">
        <v>767</v>
      </c>
      <c r="W25" s="625"/>
      <c r="X25" s="625"/>
      <c r="Y25" s="625"/>
      <c r="Z25" s="627" t="s">
        <v>792</v>
      </c>
      <c r="AA25" s="627"/>
      <c r="AB25" s="627"/>
      <c r="AC25" s="627"/>
      <c r="AD25" s="627"/>
      <c r="AE25" s="627"/>
      <c r="AF25" s="627"/>
      <c r="AG25" s="627"/>
      <c r="AH25" s="627"/>
      <c r="AI25" s="627"/>
      <c r="AJ25" s="627"/>
      <c r="AK25" s="627"/>
      <c r="AL25" s="627"/>
      <c r="AM25" s="629" t="s">
        <v>775</v>
      </c>
      <c r="AN25" s="629"/>
      <c r="AO25" s="629"/>
      <c r="AP25" s="629"/>
      <c r="AQ25" s="625" t="s">
        <v>777</v>
      </c>
      <c r="AR25" s="625"/>
      <c r="AS25" s="625"/>
      <c r="AT25" s="625"/>
      <c r="AU25" s="625"/>
      <c r="AV25" s="625" t="s">
        <v>778</v>
      </c>
      <c r="AW25" s="625"/>
      <c r="AX25" s="625"/>
      <c r="AY25" s="625"/>
      <c r="AZ25" s="625"/>
      <c r="BA25" s="553" t="s">
        <v>783</v>
      </c>
      <c r="BB25" s="553"/>
      <c r="BC25" s="553"/>
      <c r="BD25" s="553"/>
      <c r="BE25" s="625" t="s">
        <v>786</v>
      </c>
      <c r="BF25" s="625"/>
      <c r="BG25" s="625"/>
      <c r="BH25" s="625"/>
      <c r="BI25" s="625"/>
      <c r="BJ25" s="625"/>
      <c r="BK25" s="630" t="s">
        <v>798</v>
      </c>
      <c r="BL25" s="630"/>
      <c r="BM25" s="630"/>
      <c r="BN25" s="630"/>
      <c r="BO25" s="630"/>
      <c r="BP25" s="631">
        <v>43500</v>
      </c>
      <c r="BQ25" s="631"/>
      <c r="BR25" s="631"/>
      <c r="BS25" s="631"/>
      <c r="BT25" s="631"/>
      <c r="BU25" s="630" t="s">
        <v>799</v>
      </c>
      <c r="BV25" s="630"/>
      <c r="BW25" s="630"/>
      <c r="BX25" s="630"/>
      <c r="BY25" s="630"/>
      <c r="BZ25" s="552"/>
      <c r="CA25" s="552"/>
      <c r="CB25" s="552"/>
      <c r="CC25" s="552"/>
      <c r="CD25" s="552"/>
      <c r="CE25" s="625"/>
      <c r="CF25" s="625"/>
      <c r="CG25" s="625"/>
      <c r="CH25" s="625"/>
      <c r="CI25" s="625"/>
    </row>
    <row r="26" spans="1:87" ht="99.75" customHeight="1" x14ac:dyDescent="0.15">
      <c r="A26" s="541">
        <f>A25+1</f>
        <v>6</v>
      </c>
      <c r="B26" s="625" t="s">
        <v>773</v>
      </c>
      <c r="C26" s="625"/>
      <c r="D26" s="625"/>
      <c r="E26" s="625"/>
      <c r="F26" s="625"/>
      <c r="G26" s="625"/>
      <c r="H26" s="625"/>
      <c r="I26" s="625"/>
      <c r="J26" s="625"/>
      <c r="K26" s="625" t="s">
        <v>774</v>
      </c>
      <c r="L26" s="625"/>
      <c r="M26" s="625"/>
      <c r="N26" s="625"/>
      <c r="O26" s="625"/>
      <c r="P26" s="625"/>
      <c r="Q26" s="625"/>
      <c r="R26" s="625"/>
      <c r="S26" s="625"/>
      <c r="T26" s="625"/>
      <c r="U26" s="625"/>
      <c r="V26" s="625" t="s">
        <v>765</v>
      </c>
      <c r="W26" s="625"/>
      <c r="X26" s="625"/>
      <c r="Y26" s="625"/>
      <c r="Z26" s="626" t="s">
        <v>800</v>
      </c>
      <c r="AA26" s="626"/>
      <c r="AB26" s="626"/>
      <c r="AC26" s="626"/>
      <c r="AD26" s="626"/>
      <c r="AE26" s="626"/>
      <c r="AF26" s="626"/>
      <c r="AG26" s="626"/>
      <c r="AH26" s="626"/>
      <c r="AI26" s="626"/>
      <c r="AJ26" s="626"/>
      <c r="AK26" s="626"/>
      <c r="AL26" s="626"/>
      <c r="AM26" s="629" t="s">
        <v>775</v>
      </c>
      <c r="AN26" s="629"/>
      <c r="AO26" s="629"/>
      <c r="AP26" s="629"/>
      <c r="AQ26" s="625" t="s">
        <v>776</v>
      </c>
      <c r="AR26" s="625"/>
      <c r="AS26" s="625"/>
      <c r="AT26" s="625"/>
      <c r="AU26" s="625"/>
      <c r="AV26" s="625" t="s">
        <v>779</v>
      </c>
      <c r="AW26" s="625"/>
      <c r="AX26" s="625"/>
      <c r="AY26" s="625"/>
      <c r="AZ26" s="625"/>
      <c r="BA26" s="553" t="s">
        <v>782</v>
      </c>
      <c r="BB26" s="553"/>
      <c r="BC26" s="553"/>
      <c r="BD26" s="553"/>
      <c r="BE26" s="625" t="s">
        <v>784</v>
      </c>
      <c r="BF26" s="625"/>
      <c r="BG26" s="625"/>
      <c r="BH26" s="625"/>
      <c r="BI26" s="625"/>
      <c r="BJ26" s="625"/>
      <c r="BK26" s="625" t="s">
        <v>138</v>
      </c>
      <c r="BL26" s="625"/>
      <c r="BM26" s="625"/>
      <c r="BN26" s="625"/>
      <c r="BO26" s="625"/>
      <c r="BP26" s="628">
        <v>43567</v>
      </c>
      <c r="BQ26" s="628"/>
      <c r="BR26" s="628"/>
      <c r="BS26" s="628"/>
      <c r="BT26" s="628"/>
      <c r="BU26" s="627" t="s">
        <v>801</v>
      </c>
      <c r="BV26" s="627"/>
      <c r="BW26" s="627"/>
      <c r="BX26" s="627"/>
      <c r="BY26" s="627"/>
      <c r="BZ26" s="552"/>
      <c r="CA26" s="552"/>
      <c r="CB26" s="552"/>
      <c r="CC26" s="552"/>
      <c r="CD26" s="552"/>
      <c r="CE26" s="625"/>
      <c r="CF26" s="625"/>
      <c r="CG26" s="625"/>
      <c r="CH26" s="625"/>
      <c r="CI26" s="625"/>
    </row>
    <row r="27" spans="1:87" ht="45" customHeight="1" x14ac:dyDescent="0.15">
      <c r="A27" s="541">
        <f t="shared" ref="A27:A32" si="0">A26+1</f>
        <v>7</v>
      </c>
      <c r="B27" s="625"/>
      <c r="C27" s="625"/>
      <c r="D27" s="625"/>
      <c r="E27" s="625"/>
      <c r="F27" s="625"/>
      <c r="G27" s="625"/>
      <c r="H27" s="625"/>
      <c r="I27" s="625"/>
      <c r="J27" s="625"/>
      <c r="K27" s="625"/>
      <c r="L27" s="625"/>
      <c r="M27" s="625"/>
      <c r="N27" s="625"/>
      <c r="O27" s="625"/>
      <c r="P27" s="625"/>
      <c r="Q27" s="625"/>
      <c r="R27" s="625"/>
      <c r="S27" s="625"/>
      <c r="T27" s="625"/>
      <c r="U27" s="625"/>
      <c r="V27" s="625"/>
      <c r="W27" s="625"/>
      <c r="X27" s="625"/>
      <c r="Y27" s="625"/>
      <c r="Z27" s="627"/>
      <c r="AA27" s="627"/>
      <c r="AB27" s="627"/>
      <c r="AC27" s="627"/>
      <c r="AD27" s="627"/>
      <c r="AE27" s="627"/>
      <c r="AF27" s="627"/>
      <c r="AG27" s="627"/>
      <c r="AH27" s="627"/>
      <c r="AI27" s="627"/>
      <c r="AJ27" s="627"/>
      <c r="AK27" s="627"/>
      <c r="AL27" s="627"/>
      <c r="AM27" s="629"/>
      <c r="AN27" s="629"/>
      <c r="AO27" s="629"/>
      <c r="AP27" s="629"/>
      <c r="AQ27" s="625"/>
      <c r="AR27" s="625"/>
      <c r="AS27" s="625"/>
      <c r="AT27" s="625"/>
      <c r="AU27" s="625"/>
      <c r="AV27" s="625"/>
      <c r="AW27" s="625"/>
      <c r="AX27" s="625"/>
      <c r="AY27" s="625"/>
      <c r="AZ27" s="625"/>
      <c r="BA27" s="553"/>
      <c r="BB27" s="553"/>
      <c r="BC27" s="553"/>
      <c r="BD27" s="553"/>
      <c r="BE27" s="625"/>
      <c r="BF27" s="625"/>
      <c r="BG27" s="625"/>
      <c r="BH27" s="625"/>
      <c r="BI27" s="625"/>
      <c r="BJ27" s="625"/>
      <c r="BK27" s="625"/>
      <c r="BL27" s="625"/>
      <c r="BM27" s="625"/>
      <c r="BN27" s="625"/>
      <c r="BO27" s="625"/>
      <c r="BP27" s="628"/>
      <c r="BQ27" s="628"/>
      <c r="BR27" s="628"/>
      <c r="BS27" s="628"/>
      <c r="BT27" s="628"/>
      <c r="BU27" s="627"/>
      <c r="BV27" s="627"/>
      <c r="BW27" s="627"/>
      <c r="BX27" s="627"/>
      <c r="BY27" s="627"/>
      <c r="BZ27" s="552"/>
      <c r="CA27" s="552"/>
      <c r="CB27" s="552"/>
      <c r="CC27" s="552"/>
      <c r="CD27" s="552"/>
      <c r="CE27" s="625"/>
      <c r="CF27" s="625"/>
      <c r="CG27" s="625"/>
      <c r="CH27" s="625"/>
      <c r="CI27" s="625"/>
    </row>
    <row r="28" spans="1:87" ht="45" customHeight="1" x14ac:dyDescent="0.15">
      <c r="A28" s="541">
        <f t="shared" si="0"/>
        <v>8</v>
      </c>
      <c r="B28" s="625"/>
      <c r="C28" s="625"/>
      <c r="D28" s="625"/>
      <c r="E28" s="625"/>
      <c r="F28" s="625"/>
      <c r="G28" s="625"/>
      <c r="H28" s="625"/>
      <c r="I28" s="625"/>
      <c r="J28" s="625"/>
      <c r="K28" s="625"/>
      <c r="L28" s="625"/>
      <c r="M28" s="625"/>
      <c r="N28" s="625"/>
      <c r="O28" s="625"/>
      <c r="P28" s="625"/>
      <c r="Q28" s="625"/>
      <c r="R28" s="625"/>
      <c r="S28" s="625"/>
      <c r="T28" s="625"/>
      <c r="U28" s="625"/>
      <c r="V28" s="625"/>
      <c r="W28" s="625"/>
      <c r="X28" s="625"/>
      <c r="Y28" s="625"/>
      <c r="Z28" s="625"/>
      <c r="AA28" s="627"/>
      <c r="AB28" s="627"/>
      <c r="AC28" s="627"/>
      <c r="AD28" s="627"/>
      <c r="AE28" s="627"/>
      <c r="AF28" s="627"/>
      <c r="AG28" s="627"/>
      <c r="AH28" s="627"/>
      <c r="AI28" s="627"/>
      <c r="AJ28" s="627"/>
      <c r="AK28" s="627"/>
      <c r="AL28" s="627"/>
      <c r="AM28" s="629"/>
      <c r="AN28" s="629"/>
      <c r="AO28" s="629"/>
      <c r="AP28" s="629"/>
      <c r="AQ28" s="625"/>
      <c r="AR28" s="625"/>
      <c r="AS28" s="625"/>
      <c r="AT28" s="625"/>
      <c r="AU28" s="625"/>
      <c r="AV28" s="625"/>
      <c r="AW28" s="625"/>
      <c r="AX28" s="625"/>
      <c r="AY28" s="625"/>
      <c r="AZ28" s="625"/>
      <c r="BA28" s="553"/>
      <c r="BB28" s="553"/>
      <c r="BC28" s="553"/>
      <c r="BD28" s="553"/>
      <c r="BE28" s="625"/>
      <c r="BF28" s="625"/>
      <c r="BG28" s="625"/>
      <c r="BH28" s="625"/>
      <c r="BI28" s="625"/>
      <c r="BJ28" s="625"/>
      <c r="BK28" s="625"/>
      <c r="BL28" s="625"/>
      <c r="BM28" s="625"/>
      <c r="BN28" s="625"/>
      <c r="BO28" s="625"/>
      <c r="BP28" s="628"/>
      <c r="BQ28" s="628"/>
      <c r="BR28" s="628"/>
      <c r="BS28" s="628"/>
      <c r="BT28" s="628"/>
      <c r="BU28" s="627"/>
      <c r="BV28" s="627"/>
      <c r="BW28" s="627"/>
      <c r="BX28" s="627"/>
      <c r="BY28" s="627"/>
      <c r="BZ28" s="552"/>
      <c r="CA28" s="552"/>
      <c r="CB28" s="552"/>
      <c r="CC28" s="552"/>
      <c r="CD28" s="552"/>
      <c r="CE28" s="625"/>
      <c r="CF28" s="625"/>
      <c r="CG28" s="625"/>
      <c r="CH28" s="625"/>
      <c r="CI28" s="625"/>
    </row>
    <row r="29" spans="1:87" ht="154.5" customHeight="1" x14ac:dyDescent="0.15">
      <c r="A29" s="541">
        <f t="shared" si="0"/>
        <v>9</v>
      </c>
      <c r="B29" s="625"/>
      <c r="C29" s="625"/>
      <c r="D29" s="625"/>
      <c r="E29" s="625"/>
      <c r="F29" s="625"/>
      <c r="G29" s="625"/>
      <c r="H29" s="625"/>
      <c r="I29" s="625"/>
      <c r="J29" s="625"/>
      <c r="K29" s="625"/>
      <c r="L29" s="625"/>
      <c r="M29" s="625"/>
      <c r="N29" s="625"/>
      <c r="O29" s="625"/>
      <c r="P29" s="625"/>
      <c r="Q29" s="625"/>
      <c r="R29" s="625"/>
      <c r="S29" s="625"/>
      <c r="T29" s="625"/>
      <c r="U29" s="625"/>
      <c r="V29" s="625"/>
      <c r="W29" s="625"/>
      <c r="X29" s="625"/>
      <c r="Y29" s="625"/>
      <c r="Z29" s="625"/>
      <c r="AA29" s="627"/>
      <c r="AB29" s="627"/>
      <c r="AC29" s="627"/>
      <c r="AD29" s="627"/>
      <c r="AE29" s="627"/>
      <c r="AF29" s="627"/>
      <c r="AG29" s="627"/>
      <c r="AH29" s="627"/>
      <c r="AI29" s="627"/>
      <c r="AJ29" s="627"/>
      <c r="AK29" s="627"/>
      <c r="AL29" s="627"/>
      <c r="AM29" s="629"/>
      <c r="AN29" s="629"/>
      <c r="AO29" s="629"/>
      <c r="AP29" s="629"/>
      <c r="AQ29" s="625"/>
      <c r="AR29" s="625"/>
      <c r="AS29" s="625"/>
      <c r="AT29" s="625"/>
      <c r="AU29" s="625"/>
      <c r="AV29" s="625"/>
      <c r="AW29" s="625"/>
      <c r="AX29" s="625"/>
      <c r="AY29" s="625"/>
      <c r="AZ29" s="625"/>
      <c r="BA29" s="553"/>
      <c r="BB29" s="553"/>
      <c r="BC29" s="553"/>
      <c r="BD29" s="553"/>
      <c r="BE29" s="625"/>
      <c r="BF29" s="625"/>
      <c r="BG29" s="625"/>
      <c r="BH29" s="625"/>
      <c r="BI29" s="625"/>
      <c r="BJ29" s="625"/>
      <c r="BK29" s="625"/>
      <c r="BL29" s="625"/>
      <c r="BM29" s="625"/>
      <c r="BN29" s="625"/>
      <c r="BO29" s="625"/>
      <c r="BP29" s="628"/>
      <c r="BQ29" s="628"/>
      <c r="BR29" s="628"/>
      <c r="BS29" s="628"/>
      <c r="BT29" s="628"/>
      <c r="BU29" s="627"/>
      <c r="BV29" s="627"/>
      <c r="BW29" s="627"/>
      <c r="BX29" s="627"/>
      <c r="BY29" s="627"/>
      <c r="BZ29" s="552"/>
      <c r="CA29" s="552"/>
      <c r="CB29" s="552"/>
      <c r="CC29" s="552"/>
      <c r="CD29" s="552"/>
      <c r="CE29" s="625"/>
      <c r="CF29" s="625"/>
      <c r="CG29" s="625"/>
      <c r="CH29" s="625"/>
      <c r="CI29" s="625"/>
    </row>
    <row r="30" spans="1:87" ht="45" customHeight="1" x14ac:dyDescent="0.15">
      <c r="A30" s="541">
        <f t="shared" si="0"/>
        <v>10</v>
      </c>
      <c r="B30" s="625"/>
      <c r="C30" s="625"/>
      <c r="D30" s="625"/>
      <c r="E30" s="625"/>
      <c r="F30" s="625"/>
      <c r="G30" s="625"/>
      <c r="H30" s="625"/>
      <c r="I30" s="625"/>
      <c r="J30" s="625"/>
      <c r="K30" s="625"/>
      <c r="L30" s="625"/>
      <c r="M30" s="625"/>
      <c r="N30" s="625"/>
      <c r="O30" s="625"/>
      <c r="P30" s="625"/>
      <c r="Q30" s="625"/>
      <c r="R30" s="625"/>
      <c r="S30" s="625"/>
      <c r="T30" s="625"/>
      <c r="U30" s="625"/>
      <c r="V30" s="625"/>
      <c r="W30" s="625"/>
      <c r="X30" s="625"/>
      <c r="Y30" s="625"/>
      <c r="Z30" s="625"/>
      <c r="AA30" s="625"/>
      <c r="AB30" s="625"/>
      <c r="AC30" s="625"/>
      <c r="AD30" s="625"/>
      <c r="AE30" s="625"/>
      <c r="AF30" s="625"/>
      <c r="AG30" s="625"/>
      <c r="AH30" s="625"/>
      <c r="AI30" s="625"/>
      <c r="AJ30" s="625"/>
      <c r="AK30" s="625"/>
      <c r="AL30" s="625"/>
      <c r="AM30" s="629"/>
      <c r="AN30" s="629"/>
      <c r="AO30" s="629"/>
      <c r="AP30" s="629"/>
      <c r="AQ30" s="625"/>
      <c r="AR30" s="625"/>
      <c r="AS30" s="625"/>
      <c r="AT30" s="625"/>
      <c r="AU30" s="625"/>
      <c r="AV30" s="625"/>
      <c r="AW30" s="625"/>
      <c r="AX30" s="625"/>
      <c r="AY30" s="625"/>
      <c r="AZ30" s="625"/>
      <c r="BA30" s="553"/>
      <c r="BB30" s="553"/>
      <c r="BC30" s="553"/>
      <c r="BD30" s="553"/>
      <c r="BE30" s="625"/>
      <c r="BF30" s="625"/>
      <c r="BG30" s="625"/>
      <c r="BH30" s="625"/>
      <c r="BI30" s="625"/>
      <c r="BJ30" s="625"/>
      <c r="BK30" s="625"/>
      <c r="BL30" s="625"/>
      <c r="BM30" s="625"/>
      <c r="BN30" s="625"/>
      <c r="BO30" s="625"/>
      <c r="BP30" s="628"/>
      <c r="BQ30" s="628"/>
      <c r="BR30" s="628"/>
      <c r="BS30" s="628"/>
      <c r="BT30" s="628"/>
      <c r="BU30" s="627"/>
      <c r="BV30" s="627"/>
      <c r="BW30" s="627"/>
      <c r="BX30" s="627"/>
      <c r="BY30" s="627"/>
      <c r="BZ30" s="552"/>
      <c r="CA30" s="552"/>
      <c r="CB30" s="552"/>
      <c r="CC30" s="552"/>
      <c r="CD30" s="552"/>
      <c r="CE30" s="625"/>
      <c r="CF30" s="625"/>
      <c r="CG30" s="625"/>
      <c r="CH30" s="625"/>
      <c r="CI30" s="625"/>
    </row>
    <row r="31" spans="1:87" ht="45" customHeight="1" x14ac:dyDescent="0.15">
      <c r="A31" s="541">
        <f t="shared" si="0"/>
        <v>11</v>
      </c>
      <c r="B31" s="642"/>
      <c r="C31" s="642"/>
      <c r="D31" s="642"/>
      <c r="E31" s="642"/>
      <c r="F31" s="642"/>
      <c r="G31" s="642"/>
      <c r="H31" s="642"/>
      <c r="I31" s="642"/>
      <c r="J31" s="642"/>
      <c r="K31" s="625"/>
      <c r="L31" s="625"/>
      <c r="M31" s="625"/>
      <c r="N31" s="625"/>
      <c r="O31" s="625"/>
      <c r="P31" s="625"/>
      <c r="Q31" s="625"/>
      <c r="R31" s="625"/>
      <c r="S31" s="625"/>
      <c r="T31" s="625"/>
      <c r="U31" s="625"/>
      <c r="V31" s="625"/>
      <c r="W31" s="625"/>
      <c r="X31" s="625"/>
      <c r="Y31" s="625"/>
      <c r="Z31" s="625"/>
      <c r="AA31" s="625"/>
      <c r="AB31" s="625"/>
      <c r="AC31" s="625"/>
      <c r="AD31" s="625"/>
      <c r="AE31" s="625"/>
      <c r="AF31" s="625"/>
      <c r="AG31" s="625"/>
      <c r="AH31" s="625"/>
      <c r="AI31" s="625"/>
      <c r="AJ31" s="625"/>
      <c r="AK31" s="625"/>
      <c r="AL31" s="625"/>
      <c r="AM31" s="629"/>
      <c r="AN31" s="629"/>
      <c r="AO31" s="629"/>
      <c r="AP31" s="629"/>
      <c r="AQ31" s="625"/>
      <c r="AR31" s="625"/>
      <c r="AS31" s="625"/>
      <c r="AT31" s="625"/>
      <c r="AU31" s="625"/>
      <c r="AV31" s="625"/>
      <c r="AW31" s="625"/>
      <c r="AX31" s="625"/>
      <c r="AY31" s="625"/>
      <c r="AZ31" s="625"/>
      <c r="BA31" s="553"/>
      <c r="BB31" s="553"/>
      <c r="BC31" s="553"/>
      <c r="BD31" s="553"/>
      <c r="BE31" s="625"/>
      <c r="BF31" s="625"/>
      <c r="BG31" s="625"/>
      <c r="BH31" s="625"/>
      <c r="BI31" s="625"/>
      <c r="BJ31" s="625"/>
      <c r="BK31" s="625"/>
      <c r="BL31" s="625"/>
      <c r="BM31" s="625"/>
      <c r="BN31" s="625"/>
      <c r="BO31" s="625"/>
      <c r="BP31" s="628"/>
      <c r="BQ31" s="628"/>
      <c r="BR31" s="628"/>
      <c r="BS31" s="628"/>
      <c r="BT31" s="628"/>
      <c r="BU31" s="627"/>
      <c r="BV31" s="627"/>
      <c r="BW31" s="627"/>
      <c r="BX31" s="627"/>
      <c r="BY31" s="627"/>
      <c r="BZ31" s="552"/>
      <c r="CA31" s="552"/>
      <c r="CB31" s="552"/>
      <c r="CC31" s="552"/>
      <c r="CD31" s="552"/>
      <c r="CE31" s="625"/>
      <c r="CF31" s="625"/>
      <c r="CG31" s="625"/>
      <c r="CH31" s="625"/>
      <c r="CI31" s="625"/>
    </row>
    <row r="32" spans="1:87" ht="45" customHeight="1" x14ac:dyDescent="0.15">
      <c r="A32" s="541">
        <f t="shared" si="0"/>
        <v>12</v>
      </c>
      <c r="B32" s="626"/>
      <c r="C32" s="626"/>
      <c r="D32" s="626"/>
      <c r="E32" s="626"/>
      <c r="F32" s="626"/>
      <c r="G32" s="626"/>
      <c r="H32" s="626"/>
      <c r="I32" s="626"/>
      <c r="J32" s="626"/>
      <c r="K32" s="626"/>
      <c r="L32" s="626"/>
      <c r="M32" s="626"/>
      <c r="N32" s="626"/>
      <c r="O32" s="626"/>
      <c r="P32" s="626"/>
      <c r="Q32" s="626"/>
      <c r="R32" s="626"/>
      <c r="S32" s="626"/>
      <c r="T32" s="626"/>
      <c r="U32" s="626"/>
      <c r="V32" s="626"/>
      <c r="W32" s="626"/>
      <c r="X32" s="626"/>
      <c r="Y32" s="626"/>
      <c r="Z32" s="625"/>
      <c r="AA32" s="625"/>
      <c r="AB32" s="625"/>
      <c r="AC32" s="625"/>
      <c r="AD32" s="625"/>
      <c r="AE32" s="625"/>
      <c r="AF32" s="625"/>
      <c r="AG32" s="625"/>
      <c r="AH32" s="625"/>
      <c r="AI32" s="625"/>
      <c r="AJ32" s="625"/>
      <c r="AK32" s="625"/>
      <c r="AL32" s="625"/>
      <c r="AM32" s="635"/>
      <c r="AN32" s="635"/>
      <c r="AO32" s="635"/>
      <c r="AP32" s="635"/>
      <c r="AQ32" s="626"/>
      <c r="AR32" s="626"/>
      <c r="AS32" s="626"/>
      <c r="AT32" s="626"/>
      <c r="AU32" s="626"/>
      <c r="AV32" s="626"/>
      <c r="AW32" s="626"/>
      <c r="AX32" s="626"/>
      <c r="AY32" s="626"/>
      <c r="AZ32" s="626"/>
      <c r="BA32" s="636"/>
      <c r="BB32" s="636"/>
      <c r="BC32" s="636"/>
      <c r="BD32" s="636"/>
      <c r="BE32" s="626"/>
      <c r="BF32" s="626"/>
      <c r="BG32" s="626"/>
      <c r="BH32" s="626"/>
      <c r="BI32" s="626"/>
      <c r="BJ32" s="626"/>
      <c r="BK32" s="626"/>
      <c r="BL32" s="626"/>
      <c r="BM32" s="626"/>
      <c r="BN32" s="626"/>
      <c r="BO32" s="626"/>
      <c r="BP32" s="628"/>
      <c r="BQ32" s="628"/>
      <c r="BR32" s="628"/>
      <c r="BS32" s="628"/>
      <c r="BT32" s="628"/>
      <c r="BU32" s="627"/>
      <c r="BV32" s="627"/>
      <c r="BW32" s="627"/>
      <c r="BX32" s="627"/>
      <c r="BY32" s="627"/>
      <c r="BZ32" s="552"/>
      <c r="CA32" s="552"/>
      <c r="CB32" s="552"/>
      <c r="CC32" s="552"/>
      <c r="CD32" s="552"/>
      <c r="CE32" s="625"/>
      <c r="CF32" s="625"/>
      <c r="CG32" s="625"/>
      <c r="CH32" s="625"/>
      <c r="CI32" s="625"/>
    </row>
    <row r="33" spans="1:87" ht="45" customHeight="1" x14ac:dyDescent="0.15">
      <c r="A33" s="540">
        <v>6</v>
      </c>
      <c r="B33" s="625"/>
      <c r="C33" s="625"/>
      <c r="D33" s="625"/>
      <c r="E33" s="625"/>
      <c r="F33" s="625"/>
      <c r="G33" s="625"/>
      <c r="H33" s="625"/>
      <c r="I33" s="625"/>
      <c r="J33" s="625"/>
      <c r="K33" s="626"/>
      <c r="L33" s="626"/>
      <c r="M33" s="626"/>
      <c r="N33" s="626"/>
      <c r="O33" s="626"/>
      <c r="P33" s="626"/>
      <c r="Q33" s="626"/>
      <c r="R33" s="626"/>
      <c r="S33" s="626"/>
      <c r="T33" s="626"/>
      <c r="U33" s="626"/>
      <c r="V33" s="625"/>
      <c r="W33" s="625"/>
      <c r="X33" s="625"/>
      <c r="Y33" s="625"/>
      <c r="Z33" s="625"/>
      <c r="AA33" s="625"/>
      <c r="AB33" s="625"/>
      <c r="AC33" s="625"/>
      <c r="AD33" s="625"/>
      <c r="AE33" s="625"/>
      <c r="AF33" s="625"/>
      <c r="AG33" s="625"/>
      <c r="AH33" s="625"/>
      <c r="AI33" s="625"/>
      <c r="AJ33" s="625"/>
      <c r="AK33" s="625"/>
      <c r="AL33" s="625"/>
      <c r="AM33" s="553"/>
      <c r="AN33" s="553"/>
      <c r="AO33" s="553"/>
      <c r="AP33" s="553"/>
      <c r="AQ33" s="625"/>
      <c r="AR33" s="625"/>
      <c r="AS33" s="625"/>
      <c r="AT33" s="625"/>
      <c r="AU33" s="625"/>
      <c r="AV33" s="625"/>
      <c r="AW33" s="625"/>
      <c r="AX33" s="625"/>
      <c r="AY33" s="625"/>
      <c r="AZ33" s="625"/>
      <c r="BA33" s="553"/>
      <c r="BB33" s="553"/>
      <c r="BC33" s="553"/>
      <c r="BD33" s="553"/>
      <c r="BE33" s="625"/>
      <c r="BF33" s="625"/>
      <c r="BG33" s="625"/>
      <c r="BH33" s="625"/>
      <c r="BI33" s="625"/>
      <c r="BJ33" s="625"/>
      <c r="BK33" s="625"/>
      <c r="BL33" s="625"/>
      <c r="BM33" s="625"/>
      <c r="BN33" s="625"/>
      <c r="BO33" s="625"/>
      <c r="BP33" s="628"/>
      <c r="BQ33" s="628"/>
      <c r="BR33" s="628"/>
      <c r="BS33" s="628"/>
      <c r="BT33" s="628"/>
      <c r="BU33" s="627"/>
      <c r="BV33" s="627"/>
      <c r="BW33" s="627"/>
      <c r="BX33" s="627"/>
      <c r="BY33" s="627"/>
      <c r="BZ33" s="552"/>
      <c r="CA33" s="552"/>
      <c r="CB33" s="552"/>
      <c r="CC33" s="552"/>
      <c r="CD33" s="552"/>
      <c r="CE33" s="625"/>
      <c r="CF33" s="625"/>
      <c r="CG33" s="625"/>
      <c r="CH33" s="625"/>
      <c r="CI33" s="625"/>
    </row>
    <row r="34" spans="1:87" ht="75" customHeight="1" x14ac:dyDescent="0.15">
      <c r="A34" s="540">
        <f>A33+1</f>
        <v>7</v>
      </c>
      <c r="B34" s="625"/>
      <c r="C34" s="625"/>
      <c r="D34" s="625"/>
      <c r="E34" s="625"/>
      <c r="F34" s="625"/>
      <c r="G34" s="625"/>
      <c r="H34" s="625"/>
      <c r="I34" s="625"/>
      <c r="J34" s="625"/>
      <c r="K34" s="626"/>
      <c r="L34" s="626"/>
      <c r="M34" s="626"/>
      <c r="N34" s="626"/>
      <c r="O34" s="626"/>
      <c r="P34" s="626"/>
      <c r="Q34" s="626"/>
      <c r="R34" s="626"/>
      <c r="S34" s="626"/>
      <c r="T34" s="626"/>
      <c r="U34" s="626"/>
      <c r="V34" s="625"/>
      <c r="W34" s="625"/>
      <c r="X34" s="625"/>
      <c r="Y34" s="625"/>
      <c r="Z34" s="625"/>
      <c r="AA34" s="625"/>
      <c r="AB34" s="625"/>
      <c r="AC34" s="625"/>
      <c r="AD34" s="625"/>
      <c r="AE34" s="625"/>
      <c r="AF34" s="625"/>
      <c r="AG34" s="625"/>
      <c r="AH34" s="625"/>
      <c r="AI34" s="625"/>
      <c r="AJ34" s="625"/>
      <c r="AK34" s="625"/>
      <c r="AL34" s="625"/>
      <c r="AM34" s="553"/>
      <c r="AN34" s="553"/>
      <c r="AO34" s="553"/>
      <c r="AP34" s="553"/>
      <c r="AQ34" s="625"/>
      <c r="AR34" s="625"/>
      <c r="AS34" s="625"/>
      <c r="AT34" s="625"/>
      <c r="AU34" s="625"/>
      <c r="AV34" s="625"/>
      <c r="AW34" s="625"/>
      <c r="AX34" s="625"/>
      <c r="AY34" s="625"/>
      <c r="AZ34" s="625"/>
      <c r="BA34" s="553"/>
      <c r="BB34" s="553"/>
      <c r="BC34" s="553"/>
      <c r="BD34" s="553"/>
      <c r="BE34" s="625"/>
      <c r="BF34" s="625"/>
      <c r="BG34" s="625"/>
      <c r="BH34" s="625"/>
      <c r="BI34" s="625"/>
      <c r="BJ34" s="625"/>
      <c r="BK34" s="625"/>
      <c r="BL34" s="625"/>
      <c r="BM34" s="625"/>
      <c r="BN34" s="625"/>
      <c r="BO34" s="625"/>
      <c r="BP34" s="628"/>
      <c r="BQ34" s="628"/>
      <c r="BR34" s="628"/>
      <c r="BS34" s="628"/>
      <c r="BT34" s="628"/>
      <c r="BU34" s="627"/>
      <c r="BV34" s="627"/>
      <c r="BW34" s="627"/>
      <c r="BX34" s="627"/>
      <c r="BY34" s="627"/>
      <c r="BZ34" s="552"/>
      <c r="CA34" s="552"/>
      <c r="CB34" s="552"/>
      <c r="CC34" s="552"/>
      <c r="CD34" s="552"/>
      <c r="CE34" s="625"/>
      <c r="CF34" s="625"/>
      <c r="CG34" s="625"/>
      <c r="CH34" s="625"/>
      <c r="CI34" s="625"/>
    </row>
    <row r="35" spans="1:87" ht="45" customHeight="1" x14ac:dyDescent="0.15">
      <c r="A35" s="540">
        <f t="shared" ref="A35:A36" si="1">A34+1</f>
        <v>8</v>
      </c>
      <c r="B35" s="625"/>
      <c r="C35" s="625"/>
      <c r="D35" s="625"/>
      <c r="E35" s="625"/>
      <c r="F35" s="625"/>
      <c r="G35" s="625"/>
      <c r="H35" s="625"/>
      <c r="I35" s="625"/>
      <c r="J35" s="625"/>
      <c r="K35" s="625"/>
      <c r="L35" s="625"/>
      <c r="M35" s="625"/>
      <c r="N35" s="625"/>
      <c r="O35" s="625"/>
      <c r="P35" s="625"/>
      <c r="Q35" s="625"/>
      <c r="R35" s="625"/>
      <c r="S35" s="625"/>
      <c r="T35" s="625"/>
      <c r="U35" s="625"/>
      <c r="V35" s="625"/>
      <c r="W35" s="625"/>
      <c r="X35" s="625"/>
      <c r="Y35" s="625"/>
      <c r="Z35" s="625"/>
      <c r="AA35" s="625"/>
      <c r="AB35" s="625"/>
      <c r="AC35" s="625"/>
      <c r="AD35" s="625"/>
      <c r="AE35" s="625"/>
      <c r="AF35" s="625"/>
      <c r="AG35" s="625"/>
      <c r="AH35" s="625"/>
      <c r="AI35" s="625"/>
      <c r="AJ35" s="625"/>
      <c r="AK35" s="625"/>
      <c r="AL35" s="625"/>
      <c r="AM35" s="553"/>
      <c r="AN35" s="553"/>
      <c r="AO35" s="553"/>
      <c r="AP35" s="553"/>
      <c r="AQ35" s="625"/>
      <c r="AR35" s="625"/>
      <c r="AS35" s="625"/>
      <c r="AT35" s="625"/>
      <c r="AU35" s="625"/>
      <c r="AV35" s="625"/>
      <c r="AW35" s="625"/>
      <c r="AX35" s="625"/>
      <c r="AY35" s="625"/>
      <c r="AZ35" s="625"/>
      <c r="BA35" s="553"/>
      <c r="BB35" s="553"/>
      <c r="BC35" s="553"/>
      <c r="BD35" s="553"/>
      <c r="BE35" s="625"/>
      <c r="BF35" s="625"/>
      <c r="BG35" s="625"/>
      <c r="BH35" s="625"/>
      <c r="BI35" s="625"/>
      <c r="BJ35" s="625"/>
      <c r="BK35" s="625"/>
      <c r="BL35" s="625"/>
      <c r="BM35" s="625"/>
      <c r="BN35" s="625"/>
      <c r="BO35" s="625"/>
      <c r="BP35" s="628"/>
      <c r="BQ35" s="628"/>
      <c r="BR35" s="628"/>
      <c r="BS35" s="628"/>
      <c r="BT35" s="628"/>
      <c r="BU35" s="627"/>
      <c r="BV35" s="627"/>
      <c r="BW35" s="627"/>
      <c r="BX35" s="627"/>
      <c r="BY35" s="627"/>
      <c r="BZ35" s="552"/>
      <c r="CA35" s="552"/>
      <c r="CB35" s="552"/>
      <c r="CC35" s="552"/>
      <c r="CD35" s="552"/>
      <c r="CE35" s="625"/>
      <c r="CF35" s="625"/>
      <c r="CG35" s="625"/>
      <c r="CH35" s="625"/>
      <c r="CI35" s="625"/>
    </row>
    <row r="36" spans="1:87" ht="143.25" customHeight="1" x14ac:dyDescent="0.15">
      <c r="A36" s="540">
        <f t="shared" si="1"/>
        <v>9</v>
      </c>
      <c r="B36" s="625"/>
      <c r="C36" s="625"/>
      <c r="D36" s="625"/>
      <c r="E36" s="625"/>
      <c r="F36" s="625"/>
      <c r="G36" s="625"/>
      <c r="H36" s="625"/>
      <c r="I36" s="625"/>
      <c r="J36" s="625"/>
      <c r="K36" s="625"/>
      <c r="L36" s="625"/>
      <c r="M36" s="625"/>
      <c r="N36" s="625"/>
      <c r="O36" s="625"/>
      <c r="P36" s="625"/>
      <c r="Q36" s="625"/>
      <c r="R36" s="625"/>
      <c r="S36" s="625"/>
      <c r="T36" s="625"/>
      <c r="U36" s="625"/>
      <c r="V36" s="625"/>
      <c r="W36" s="625"/>
      <c r="X36" s="625"/>
      <c r="Y36" s="625"/>
      <c r="Z36" s="625"/>
      <c r="AA36" s="625"/>
      <c r="AB36" s="625"/>
      <c r="AC36" s="625"/>
      <c r="AD36" s="625"/>
      <c r="AE36" s="625"/>
      <c r="AF36" s="625"/>
      <c r="AG36" s="625"/>
      <c r="AH36" s="625"/>
      <c r="AI36" s="625"/>
      <c r="AJ36" s="625"/>
      <c r="AK36" s="625"/>
      <c r="AL36" s="625"/>
      <c r="AM36" s="553"/>
      <c r="AN36" s="553"/>
      <c r="AO36" s="553"/>
      <c r="AP36" s="553"/>
      <c r="AQ36" s="625"/>
      <c r="AR36" s="625"/>
      <c r="AS36" s="625"/>
      <c r="AT36" s="625"/>
      <c r="AU36" s="625"/>
      <c r="AV36" s="625"/>
      <c r="AW36" s="625"/>
      <c r="AX36" s="625"/>
      <c r="AY36" s="625"/>
      <c r="AZ36" s="625"/>
      <c r="BA36" s="553"/>
      <c r="BB36" s="553"/>
      <c r="BC36" s="553"/>
      <c r="BD36" s="553"/>
      <c r="BE36" s="625"/>
      <c r="BF36" s="625"/>
      <c r="BG36" s="625"/>
      <c r="BH36" s="625"/>
      <c r="BI36" s="625"/>
      <c r="BJ36" s="625"/>
      <c r="BK36" s="625"/>
      <c r="BL36" s="625"/>
      <c r="BM36" s="625"/>
      <c r="BN36" s="625"/>
      <c r="BO36" s="625"/>
      <c r="BP36" s="628"/>
      <c r="BQ36" s="628"/>
      <c r="BR36" s="628"/>
      <c r="BS36" s="628"/>
      <c r="BT36" s="628"/>
      <c r="BU36" s="627"/>
      <c r="BV36" s="627"/>
      <c r="BW36" s="627"/>
      <c r="BX36" s="627"/>
      <c r="BY36" s="627"/>
      <c r="BZ36" s="552"/>
      <c r="CA36" s="552"/>
      <c r="CB36" s="552"/>
      <c r="CC36" s="552"/>
      <c r="CD36" s="552"/>
      <c r="CE36" s="625"/>
      <c r="CF36" s="625"/>
      <c r="CG36" s="625"/>
      <c r="CH36" s="625"/>
      <c r="CI36" s="625"/>
    </row>
    <row r="37" spans="1:87" ht="45" customHeight="1" x14ac:dyDescent="0.15">
      <c r="A37" s="540"/>
      <c r="B37" s="625"/>
      <c r="C37" s="625"/>
      <c r="D37" s="625"/>
      <c r="E37" s="625"/>
      <c r="F37" s="625"/>
      <c r="G37" s="625"/>
      <c r="H37" s="625"/>
      <c r="I37" s="625"/>
      <c r="J37" s="625"/>
      <c r="K37" s="625"/>
      <c r="L37" s="625"/>
      <c r="M37" s="625"/>
      <c r="N37" s="625"/>
      <c r="O37" s="625"/>
      <c r="P37" s="625"/>
      <c r="Q37" s="625"/>
      <c r="R37" s="625"/>
      <c r="S37" s="625"/>
      <c r="T37" s="625"/>
      <c r="U37" s="625"/>
      <c r="V37" s="625"/>
      <c r="W37" s="625"/>
      <c r="X37" s="625"/>
      <c r="Y37" s="625"/>
      <c r="Z37" s="625"/>
      <c r="AA37" s="625"/>
      <c r="AB37" s="625"/>
      <c r="AC37" s="625"/>
      <c r="AD37" s="625"/>
      <c r="AE37" s="625"/>
      <c r="AF37" s="625"/>
      <c r="AG37" s="625"/>
      <c r="AH37" s="625"/>
      <c r="AI37" s="625"/>
      <c r="AJ37" s="625"/>
      <c r="AK37" s="625"/>
      <c r="AL37" s="625"/>
      <c r="AM37" s="553"/>
      <c r="AN37" s="553"/>
      <c r="AO37" s="553"/>
      <c r="AP37" s="553"/>
      <c r="AQ37" s="625"/>
      <c r="AR37" s="625"/>
      <c r="AS37" s="625"/>
      <c r="AT37" s="625"/>
      <c r="AU37" s="625"/>
      <c r="AV37" s="625"/>
      <c r="AW37" s="625"/>
      <c r="AX37" s="625"/>
      <c r="AY37" s="625"/>
      <c r="AZ37" s="625"/>
      <c r="BA37" s="553"/>
      <c r="BB37" s="553"/>
      <c r="BC37" s="553"/>
      <c r="BD37" s="553"/>
      <c r="BE37" s="625"/>
      <c r="BF37" s="625"/>
      <c r="BG37" s="625"/>
      <c r="BH37" s="625"/>
      <c r="BI37" s="625"/>
      <c r="BJ37" s="625"/>
      <c r="BK37" s="625"/>
      <c r="BL37" s="625"/>
      <c r="BM37" s="625"/>
      <c r="BN37" s="625"/>
      <c r="BO37" s="625"/>
      <c r="BP37" s="552"/>
      <c r="BQ37" s="552"/>
      <c r="BR37" s="552"/>
      <c r="BS37" s="552"/>
      <c r="BT37" s="552"/>
      <c r="BU37" s="625"/>
      <c r="BV37" s="625"/>
      <c r="BW37" s="625"/>
      <c r="BX37" s="625"/>
      <c r="BY37" s="625"/>
      <c r="BZ37" s="552"/>
      <c r="CA37" s="552"/>
      <c r="CB37" s="552"/>
      <c r="CC37" s="552"/>
      <c r="CD37" s="552"/>
      <c r="CE37" s="625"/>
      <c r="CF37" s="625"/>
      <c r="CG37" s="625"/>
      <c r="CH37" s="625"/>
      <c r="CI37" s="625"/>
    </row>
  </sheetData>
  <mergeCells count="321">
    <mergeCell ref="BK29:BO29"/>
    <mergeCell ref="BP29:BT29"/>
    <mergeCell ref="BU29:BY29"/>
    <mergeCell ref="BZ29:CD29"/>
    <mergeCell ref="CE29:CI29"/>
    <mergeCell ref="B30:J30"/>
    <mergeCell ref="K30:U30"/>
    <mergeCell ref="V30:Y30"/>
    <mergeCell ref="Z30:AL30"/>
    <mergeCell ref="AM30:AP30"/>
    <mergeCell ref="AQ30:AU30"/>
    <mergeCell ref="AV30:AZ30"/>
    <mergeCell ref="BA30:BD30"/>
    <mergeCell ref="BE30:BJ30"/>
    <mergeCell ref="BK30:BO30"/>
    <mergeCell ref="BP30:BT30"/>
    <mergeCell ref="BU30:BY30"/>
    <mergeCell ref="BZ30:CD30"/>
    <mergeCell ref="CE30:CI30"/>
    <mergeCell ref="B29:J29"/>
    <mergeCell ref="K29:U29"/>
    <mergeCell ref="V29:Y29"/>
    <mergeCell ref="Z29:AL29"/>
    <mergeCell ref="AM29:AP29"/>
    <mergeCell ref="AQ29:AU29"/>
    <mergeCell ref="AV29:AZ29"/>
    <mergeCell ref="BA29:BD29"/>
    <mergeCell ref="BE29:BJ29"/>
    <mergeCell ref="BZ27:CD27"/>
    <mergeCell ref="CE27:CI27"/>
    <mergeCell ref="B28:J28"/>
    <mergeCell ref="K28:U28"/>
    <mergeCell ref="V28:Y28"/>
    <mergeCell ref="Z28:AL28"/>
    <mergeCell ref="AM28:AP28"/>
    <mergeCell ref="AQ28:AU28"/>
    <mergeCell ref="AV28:AZ28"/>
    <mergeCell ref="BA28:BD28"/>
    <mergeCell ref="BE28:BJ28"/>
    <mergeCell ref="BK28:BO28"/>
    <mergeCell ref="BP28:BT28"/>
    <mergeCell ref="BU28:BY28"/>
    <mergeCell ref="BZ28:CD28"/>
    <mergeCell ref="CE28:CI28"/>
    <mergeCell ref="B27:J27"/>
    <mergeCell ref="K27:U27"/>
    <mergeCell ref="V27:Y27"/>
    <mergeCell ref="Z27:AL27"/>
    <mergeCell ref="AM27:AP27"/>
    <mergeCell ref="AQ27:AU27"/>
    <mergeCell ref="AV27:AZ27"/>
    <mergeCell ref="BA27:BD27"/>
    <mergeCell ref="BE27:BJ27"/>
    <mergeCell ref="B24:J24"/>
    <mergeCell ref="K24:U24"/>
    <mergeCell ref="V24:Y24"/>
    <mergeCell ref="Z24:AL24"/>
    <mergeCell ref="AM24:AP24"/>
    <mergeCell ref="AQ24:AU24"/>
    <mergeCell ref="AV24:AZ24"/>
    <mergeCell ref="BA24:BD24"/>
    <mergeCell ref="BE24:BJ24"/>
    <mergeCell ref="A6:W6"/>
    <mergeCell ref="X6:BD6"/>
    <mergeCell ref="BZ33:CD33"/>
    <mergeCell ref="BE36:BJ36"/>
    <mergeCell ref="BK36:BO36"/>
    <mergeCell ref="BP36:BT36"/>
    <mergeCell ref="BU36:BY36"/>
    <mergeCell ref="BZ36:CD36"/>
    <mergeCell ref="CE36:CI36"/>
    <mergeCell ref="B36:J36"/>
    <mergeCell ref="B33:J33"/>
    <mergeCell ref="K33:U33"/>
    <mergeCell ref="Z33:AL33"/>
    <mergeCell ref="AM33:AP33"/>
    <mergeCell ref="AQ33:AU33"/>
    <mergeCell ref="K36:U36"/>
    <mergeCell ref="V36:Y36"/>
    <mergeCell ref="Z36:AL36"/>
    <mergeCell ref="AM36:AP36"/>
    <mergeCell ref="AQ36:AU36"/>
    <mergeCell ref="AV36:AZ36"/>
    <mergeCell ref="BA36:BD36"/>
    <mergeCell ref="B25:J25"/>
    <mergeCell ref="K25:U25"/>
    <mergeCell ref="A7:W7"/>
    <mergeCell ref="A8:W8"/>
    <mergeCell ref="X7:AL7"/>
    <mergeCell ref="X8:AL8"/>
    <mergeCell ref="BZ16:CD17"/>
    <mergeCell ref="CE15:CI15"/>
    <mergeCell ref="BZ15:CD15"/>
    <mergeCell ref="BU15:BY15"/>
    <mergeCell ref="BP15:BT15"/>
    <mergeCell ref="BK15:BO15"/>
    <mergeCell ref="AV7:BD7"/>
    <mergeCell ref="AV8:BD8"/>
    <mergeCell ref="BE3:BI8"/>
    <mergeCell ref="K10:U11"/>
    <mergeCell ref="V10:AL11"/>
    <mergeCell ref="AW10:BH10"/>
    <mergeCell ref="BI10:CI10"/>
    <mergeCell ref="AW11:AZ11"/>
    <mergeCell ref="A10:J11"/>
    <mergeCell ref="A12:J13"/>
    <mergeCell ref="A1:J4"/>
    <mergeCell ref="K1:BD4"/>
    <mergeCell ref="A5:W5"/>
    <mergeCell ref="X5:BD5"/>
    <mergeCell ref="BT1:CI1"/>
    <mergeCell ref="BJ1:BN1"/>
    <mergeCell ref="BO1:BS1"/>
    <mergeCell ref="BJ2:BN2"/>
    <mergeCell ref="BO2:BS2"/>
    <mergeCell ref="BT2:BY2"/>
    <mergeCell ref="BZ4:CD8"/>
    <mergeCell ref="AW12:AZ12"/>
    <mergeCell ref="AM8:AU8"/>
    <mergeCell ref="BE1:BI1"/>
    <mergeCell ref="BE2:BI2"/>
    <mergeCell ref="CE4:CI8"/>
    <mergeCell ref="BT3:BY8"/>
    <mergeCell ref="CE2:CI2"/>
    <mergeCell ref="CE3:CI3"/>
    <mergeCell ref="BZ2:CD2"/>
    <mergeCell ref="BZ3:CD3"/>
    <mergeCell ref="BO3:BS8"/>
    <mergeCell ref="BJ3:BN8"/>
    <mergeCell ref="AM7:AU7"/>
    <mergeCell ref="BP19:BT20"/>
    <mergeCell ref="BU19:BY20"/>
    <mergeCell ref="BZ19:CD20"/>
    <mergeCell ref="CE19:CI20"/>
    <mergeCell ref="BK19:BO20"/>
    <mergeCell ref="AQ19:AU20"/>
    <mergeCell ref="BA19:BD20"/>
    <mergeCell ref="AV19:AZ20"/>
    <mergeCell ref="AQ16:AU17"/>
    <mergeCell ref="AV16:BJ17"/>
    <mergeCell ref="BE19:BJ20"/>
    <mergeCell ref="BU16:BY17"/>
    <mergeCell ref="AQ15:AU15"/>
    <mergeCell ref="BK16:BO17"/>
    <mergeCell ref="BI11:CI13"/>
    <mergeCell ref="BA11:BH11"/>
    <mergeCell ref="BA12:BH12"/>
    <mergeCell ref="BA13:BH13"/>
    <mergeCell ref="AW13:AZ13"/>
    <mergeCell ref="AV15:BJ15"/>
    <mergeCell ref="BP16:BT17"/>
    <mergeCell ref="CE16:CI17"/>
    <mergeCell ref="AM15:AP15"/>
    <mergeCell ref="V15:AL15"/>
    <mergeCell ref="K15:U15"/>
    <mergeCell ref="K16:U17"/>
    <mergeCell ref="V16:AL17"/>
    <mergeCell ref="A15:J17"/>
    <mergeCell ref="B35:J35"/>
    <mergeCell ref="K35:U35"/>
    <mergeCell ref="V35:Y35"/>
    <mergeCell ref="AM19:AP20"/>
    <mergeCell ref="Z35:AL35"/>
    <mergeCell ref="AM35:AP35"/>
    <mergeCell ref="K23:U23"/>
    <mergeCell ref="K22:U22"/>
    <mergeCell ref="AM16:AP17"/>
    <mergeCell ref="B31:J31"/>
    <mergeCell ref="K31:U31"/>
    <mergeCell ref="V31:Y31"/>
    <mergeCell ref="V25:Y25"/>
    <mergeCell ref="Z25:AL25"/>
    <mergeCell ref="AM25:AP25"/>
    <mergeCell ref="B26:J26"/>
    <mergeCell ref="K26:U26"/>
    <mergeCell ref="V26:Y26"/>
    <mergeCell ref="K12:U13"/>
    <mergeCell ref="V12:AL13"/>
    <mergeCell ref="A19:A20"/>
    <mergeCell ref="B19:J20"/>
    <mergeCell ref="K19:U20"/>
    <mergeCell ref="V19:Y20"/>
    <mergeCell ref="Z19:AL20"/>
    <mergeCell ref="V23:Y23"/>
    <mergeCell ref="B21:J21"/>
    <mergeCell ref="K21:U21"/>
    <mergeCell ref="B22:J22"/>
    <mergeCell ref="AV34:AZ34"/>
    <mergeCell ref="BU34:BY34"/>
    <mergeCell ref="BE34:BJ34"/>
    <mergeCell ref="BK34:BO34"/>
    <mergeCell ref="BP34:BT34"/>
    <mergeCell ref="BZ21:CD21"/>
    <mergeCell ref="CE35:CI35"/>
    <mergeCell ref="BA35:BD35"/>
    <mergeCell ref="BE35:BJ35"/>
    <mergeCell ref="BK35:BO35"/>
    <mergeCell ref="BP35:BT35"/>
    <mergeCell ref="AV25:AZ25"/>
    <mergeCell ref="BA25:BD25"/>
    <mergeCell ref="BE25:BJ25"/>
    <mergeCell ref="BK25:BO25"/>
    <mergeCell ref="BP25:BT25"/>
    <mergeCell ref="BU25:BY25"/>
    <mergeCell ref="BZ25:CD25"/>
    <mergeCell ref="CE25:CI25"/>
    <mergeCell ref="AV26:AZ26"/>
    <mergeCell ref="BA26:BD26"/>
    <mergeCell ref="BE26:BJ26"/>
    <mergeCell ref="BK26:BO26"/>
    <mergeCell ref="BP26:BT26"/>
    <mergeCell ref="B32:J32"/>
    <mergeCell ref="K32:U32"/>
    <mergeCell ref="V32:Y32"/>
    <mergeCell ref="Z32:AL32"/>
    <mergeCell ref="AM32:AP32"/>
    <mergeCell ref="AQ32:AU32"/>
    <mergeCell ref="AV32:AZ32"/>
    <mergeCell ref="BA32:BD32"/>
    <mergeCell ref="BA33:BD33"/>
    <mergeCell ref="V33:Y33"/>
    <mergeCell ref="BP22:BT22"/>
    <mergeCell ref="BU22:BY22"/>
    <mergeCell ref="BZ22:CD22"/>
    <mergeCell ref="CE22:CI22"/>
    <mergeCell ref="B23:J23"/>
    <mergeCell ref="Z23:AL23"/>
    <mergeCell ref="AM23:AP23"/>
    <mergeCell ref="AQ23:AU23"/>
    <mergeCell ref="AV23:AZ23"/>
    <mergeCell ref="BA23:BD23"/>
    <mergeCell ref="BE23:BJ23"/>
    <mergeCell ref="BK23:BO23"/>
    <mergeCell ref="CE23:CI23"/>
    <mergeCell ref="V22:Y22"/>
    <mergeCell ref="Z22:AL22"/>
    <mergeCell ref="AM22:AP22"/>
    <mergeCell ref="BP23:BT23"/>
    <mergeCell ref="BU23:BY23"/>
    <mergeCell ref="BZ23:CD23"/>
    <mergeCell ref="CE21:CI21"/>
    <mergeCell ref="BU31:BY31"/>
    <mergeCell ref="BZ31:CD31"/>
    <mergeCell ref="CE31:CI31"/>
    <mergeCell ref="V21:Y21"/>
    <mergeCell ref="Z21:AL21"/>
    <mergeCell ref="AM21:AP21"/>
    <mergeCell ref="AQ21:AU21"/>
    <mergeCell ref="AV21:AZ21"/>
    <mergeCell ref="BA21:BD21"/>
    <mergeCell ref="BE31:BJ31"/>
    <mergeCell ref="BK31:BO31"/>
    <mergeCell ref="BP31:BT31"/>
    <mergeCell ref="AQ31:AU31"/>
    <mergeCell ref="AV31:AZ31"/>
    <mergeCell ref="BA31:BD31"/>
    <mergeCell ref="BE21:BJ21"/>
    <mergeCell ref="BK21:BO21"/>
    <mergeCell ref="BP21:BT21"/>
    <mergeCell ref="BU21:BY21"/>
    <mergeCell ref="AQ25:AU25"/>
    <mergeCell ref="Z26:AL26"/>
    <mergeCell ref="AM26:AP26"/>
    <mergeCell ref="AQ26:AU26"/>
    <mergeCell ref="Z31:AL31"/>
    <mergeCell ref="AM31:AP31"/>
    <mergeCell ref="BE32:BJ32"/>
    <mergeCell ref="BK32:BO32"/>
    <mergeCell ref="BP32:BT32"/>
    <mergeCell ref="BU32:BY32"/>
    <mergeCell ref="BZ32:CD32"/>
    <mergeCell ref="CE32:CI32"/>
    <mergeCell ref="AQ22:AU22"/>
    <mergeCell ref="BA22:BD22"/>
    <mergeCell ref="BE22:BJ22"/>
    <mergeCell ref="BK22:BO22"/>
    <mergeCell ref="AV22:AZ22"/>
    <mergeCell ref="BU26:BY26"/>
    <mergeCell ref="BZ26:CD26"/>
    <mergeCell ref="CE26:CI26"/>
    <mergeCell ref="BK24:BO24"/>
    <mergeCell ref="BP24:BT24"/>
    <mergeCell ref="BU24:BY24"/>
    <mergeCell ref="BZ24:CD24"/>
    <mergeCell ref="CE24:CI24"/>
    <mergeCell ref="BK27:BO27"/>
    <mergeCell ref="BP27:BT27"/>
    <mergeCell ref="BU27:BY27"/>
    <mergeCell ref="BK37:BO37"/>
    <mergeCell ref="BP37:BT37"/>
    <mergeCell ref="BU37:BY37"/>
    <mergeCell ref="BZ37:CD37"/>
    <mergeCell ref="CE37:CI37"/>
    <mergeCell ref="CE33:CI33"/>
    <mergeCell ref="BZ34:CD34"/>
    <mergeCell ref="CE34:CI34"/>
    <mergeCell ref="B34:J34"/>
    <mergeCell ref="K34:U34"/>
    <mergeCell ref="V34:Y34"/>
    <mergeCell ref="Z34:AL34"/>
    <mergeCell ref="AM34:AP34"/>
    <mergeCell ref="AQ35:AU35"/>
    <mergeCell ref="AV35:AZ35"/>
    <mergeCell ref="AV33:AZ33"/>
    <mergeCell ref="BU35:BY35"/>
    <mergeCell ref="BZ35:CD35"/>
    <mergeCell ref="BE33:BJ33"/>
    <mergeCell ref="BK33:BO33"/>
    <mergeCell ref="BA34:BD34"/>
    <mergeCell ref="BP33:BT33"/>
    <mergeCell ref="BU33:BY33"/>
    <mergeCell ref="AQ34:AU34"/>
    <mergeCell ref="B37:J37"/>
    <mergeCell ref="K37:U37"/>
    <mergeCell ref="V37:Y37"/>
    <mergeCell ref="Z37:AL37"/>
    <mergeCell ref="AM37:AP37"/>
    <mergeCell ref="AQ37:AU37"/>
    <mergeCell ref="AV37:AZ37"/>
    <mergeCell ref="BA37:BD37"/>
    <mergeCell ref="BE37:BJ37"/>
  </mergeCells>
  <phoneticPr fontId="23"/>
  <dataValidations count="11">
    <dataValidation type="list" allowBlank="1" showInputMessage="1" showErrorMessage="1" sqref="AW11:AW13" xr:uid="{00000000-0002-0000-0400-000000000000}">
      <formula1>"□,■"</formula1>
    </dataValidation>
    <dataValidation type="list" allowBlank="1" showInputMessage="1" showErrorMessage="1" sqref="AQ12:AV13" xr:uid="{00000000-0002-0000-0400-000001000000}">
      <formula1>"　,チームレビュー,プロジェクトレビュー,顧客レビュー,工程完了レビュー"</formula1>
    </dataValidation>
    <dataValidation type="list" allowBlank="1" showInputMessage="1" showErrorMessage="1" sqref="A12" xr:uid="{00000000-0002-0000-0400-000002000000}">
      <formula1>"　,企画支援,要件定義,基本設計,詳細設計,製造,結合テスト,システムテスト,移行／導入"</formula1>
    </dataValidation>
    <dataValidation type="list" allowBlank="1" showInputMessage="1" showErrorMessage="1" sqref="AM16:AP17" xr:uid="{00000000-0002-0000-0400-000003000000}">
      <formula1>"　,新規,改定"</formula1>
    </dataValidation>
    <dataValidation type="list" allowBlank="1" showInputMessage="1" showErrorMessage="1" sqref="V12:AL13" xr:uid="{00000000-0002-0000-0400-000004000000}">
      <formula1>"　,チームレビュー,プロジェクトレビュー,顧客レビュー"</formula1>
    </dataValidation>
    <dataValidation type="list" allowBlank="1" showInputMessage="1" showErrorMessage="1" sqref="AM21:AP37" xr:uid="{00000000-0002-0000-0400-000005000000}">
      <formula1>"　,要,否"</formula1>
    </dataValidation>
    <dataValidation type="list" allowBlank="1" showInputMessage="1" showErrorMessage="1" sqref="BA21:BD37" xr:uid="{00000000-0002-0000-0400-000006000000}">
      <formula1>"　,高,中,低"</formula1>
    </dataValidation>
    <dataValidation type="list" allowBlank="1" showInputMessage="1" showErrorMessage="1" sqref="AQ21:AU37" xr:uid="{00000000-0002-0000-0400-000007000000}">
      <formula1>"　,設計,ドキュメント化,要求仕様の変更"</formula1>
    </dataValidation>
    <dataValidation type="list" allowBlank="1" showInputMessage="1" showErrorMessage="1" sqref="AV21:AZ37" xr:uid="{00000000-0002-0000-0400-000008000000}">
      <formula1>"　,設計漏れ,設計誤り,説明内容不明確,標準違反,再利用誤り,表現上の記述不良,設計の改善,非指摘扱い"</formula1>
    </dataValidation>
    <dataValidation type="list" allowBlank="1" showInputMessage="1" showErrorMessage="1" sqref="BE21:BJ37" xr:uid="{00000000-0002-0000-0400-000009000000}">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BK21:BO37" xr:uid="{00000000-0002-0000-0400-00000A000000}">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60" fitToHeight="0" orientation="landscape" r:id="rId1"/>
  <headerFooter alignWithMargins="0">
    <oddHeader>&amp;L&amp;14【営業秘密】</oddHeader>
    <oddFooter>&amp;C&amp;P/&amp;N&amp;R（様式2010.04）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CA43"/>
  <sheetViews>
    <sheetView view="pageBreakPreview" topLeftCell="G1" zoomScale="85" zoomScaleNormal="85" zoomScaleSheetLayoutView="85" workbookViewId="0">
      <selection activeCell="AH64" sqref="AH64"/>
    </sheetView>
  </sheetViews>
  <sheetFormatPr defaultColWidth="2.625" defaultRowHeight="13.5" x14ac:dyDescent="0.15"/>
  <cols>
    <col min="1" max="57" width="2.625" customWidth="1"/>
    <col min="58" max="58" width="3" customWidth="1"/>
  </cols>
  <sheetData>
    <row r="1" spans="1:79" x14ac:dyDescent="0.15">
      <c r="A1" s="717" t="s">
        <v>505</v>
      </c>
      <c r="B1" s="717"/>
      <c r="C1" s="717"/>
      <c r="D1" s="717"/>
      <c r="E1" s="717"/>
      <c r="F1" s="717"/>
      <c r="G1" s="717"/>
      <c r="H1" s="717"/>
      <c r="I1" s="718" t="s">
        <v>137</v>
      </c>
      <c r="J1" s="718"/>
      <c r="K1" s="718"/>
      <c r="L1" s="718"/>
      <c r="M1" s="718"/>
      <c r="N1" s="718"/>
      <c r="O1" s="718"/>
      <c r="P1" s="718"/>
      <c r="Q1" s="718"/>
      <c r="R1" s="718"/>
      <c r="S1" s="718"/>
      <c r="T1" s="718"/>
      <c r="U1" s="718"/>
      <c r="V1" s="718"/>
      <c r="W1" s="718"/>
      <c r="X1" s="718"/>
      <c r="Y1" s="718"/>
      <c r="Z1" s="718"/>
      <c r="AA1" s="718"/>
      <c r="AB1" s="718"/>
      <c r="AC1" s="718"/>
      <c r="AD1" s="718"/>
      <c r="AE1" s="718"/>
      <c r="AF1" s="718"/>
      <c r="AG1" s="718"/>
      <c r="AH1" s="718"/>
      <c r="AI1" s="718"/>
      <c r="AJ1" s="718"/>
      <c r="AK1" s="718"/>
      <c r="AL1" s="718"/>
      <c r="AM1" s="718"/>
      <c r="AN1" s="718"/>
      <c r="AO1" s="718"/>
      <c r="AP1" s="718"/>
      <c r="AQ1" s="553" t="s">
        <v>305</v>
      </c>
      <c r="AR1" s="553"/>
      <c r="AS1" s="553"/>
      <c r="AT1" s="553"/>
      <c r="AU1" s="553"/>
      <c r="AV1" s="553"/>
      <c r="AW1" s="553" t="s">
        <v>306</v>
      </c>
      <c r="AX1" s="553"/>
      <c r="AY1" s="553"/>
      <c r="AZ1" s="553"/>
      <c r="BA1" s="553"/>
      <c r="BB1" s="553"/>
      <c r="BC1" s="553" t="s">
        <v>237</v>
      </c>
      <c r="BD1" s="553"/>
      <c r="BE1" s="553"/>
      <c r="BF1" s="553"/>
      <c r="BG1" s="553"/>
      <c r="BH1" s="553"/>
      <c r="BI1" s="553" t="s">
        <v>566</v>
      </c>
      <c r="BJ1" s="553"/>
      <c r="BK1" s="553"/>
      <c r="BL1" s="553"/>
      <c r="BM1" s="553"/>
      <c r="BN1" s="553"/>
      <c r="BO1" s="553"/>
      <c r="BP1" s="553"/>
      <c r="BQ1" s="553"/>
      <c r="BR1" s="553"/>
      <c r="BS1" s="553"/>
      <c r="BT1" s="553"/>
      <c r="BU1" s="553"/>
      <c r="BV1" s="553"/>
      <c r="BW1" s="553"/>
      <c r="BX1" s="553"/>
      <c r="BY1" s="553"/>
      <c r="BZ1" s="553"/>
      <c r="CA1" s="553"/>
    </row>
    <row r="2" spans="1:79" x14ac:dyDescent="0.15">
      <c r="A2" s="717"/>
      <c r="B2" s="717"/>
      <c r="C2" s="717"/>
      <c r="D2" s="717"/>
      <c r="E2" s="717"/>
      <c r="F2" s="717"/>
      <c r="G2" s="717"/>
      <c r="H2" s="717"/>
      <c r="I2" s="718"/>
      <c r="J2" s="718"/>
      <c r="K2" s="718"/>
      <c r="L2" s="718"/>
      <c r="M2" s="718"/>
      <c r="N2" s="718"/>
      <c r="O2" s="718"/>
      <c r="P2" s="718"/>
      <c r="Q2" s="718"/>
      <c r="R2" s="718"/>
      <c r="S2" s="718"/>
      <c r="T2" s="718"/>
      <c r="U2" s="718"/>
      <c r="V2" s="718"/>
      <c r="W2" s="718"/>
      <c r="X2" s="718"/>
      <c r="Y2" s="718"/>
      <c r="Z2" s="718"/>
      <c r="AA2" s="718"/>
      <c r="AB2" s="718"/>
      <c r="AC2" s="718"/>
      <c r="AD2" s="718"/>
      <c r="AE2" s="718"/>
      <c r="AF2" s="718"/>
      <c r="AG2" s="718"/>
      <c r="AH2" s="718"/>
      <c r="AI2" s="718"/>
      <c r="AJ2" s="718"/>
      <c r="AK2" s="718"/>
      <c r="AL2" s="718"/>
      <c r="AM2" s="718"/>
      <c r="AN2" s="718"/>
      <c r="AO2" s="718"/>
      <c r="AP2" s="718"/>
      <c r="AQ2" s="553" t="s">
        <v>494</v>
      </c>
      <c r="AR2" s="553"/>
      <c r="AS2" s="553"/>
      <c r="AT2" s="553"/>
      <c r="AU2" s="553"/>
      <c r="AV2" s="553"/>
      <c r="AW2" s="553" t="s">
        <v>494</v>
      </c>
      <c r="AX2" s="553"/>
      <c r="AY2" s="553"/>
      <c r="AZ2" s="553"/>
      <c r="BA2" s="553"/>
      <c r="BB2" s="553"/>
      <c r="BC2" s="553" t="s">
        <v>494</v>
      </c>
      <c r="BD2" s="553"/>
      <c r="BE2" s="553"/>
      <c r="BF2" s="553"/>
      <c r="BG2" s="553"/>
      <c r="BH2" s="553"/>
      <c r="BI2" s="553" t="s">
        <v>308</v>
      </c>
      <c r="BJ2" s="553"/>
      <c r="BK2" s="553"/>
      <c r="BL2" s="553"/>
      <c r="BM2" s="553"/>
      <c r="BN2" s="553"/>
      <c r="BO2" s="553"/>
      <c r="BP2" s="553" t="s">
        <v>306</v>
      </c>
      <c r="BQ2" s="553"/>
      <c r="BR2" s="553"/>
      <c r="BS2" s="553"/>
      <c r="BT2" s="553"/>
      <c r="BU2" s="553"/>
      <c r="BV2" s="553" t="s">
        <v>237</v>
      </c>
      <c r="BW2" s="553"/>
      <c r="BX2" s="553"/>
      <c r="BY2" s="553"/>
      <c r="BZ2" s="553"/>
      <c r="CA2" s="553"/>
    </row>
    <row r="3" spans="1:79" x14ac:dyDescent="0.15">
      <c r="A3" s="717"/>
      <c r="B3" s="717"/>
      <c r="C3" s="717"/>
      <c r="D3" s="717"/>
      <c r="E3" s="717"/>
      <c r="F3" s="717"/>
      <c r="G3" s="717"/>
      <c r="H3" s="717"/>
      <c r="I3" s="718"/>
      <c r="J3" s="718"/>
      <c r="K3" s="718"/>
      <c r="L3" s="718"/>
      <c r="M3" s="718"/>
      <c r="N3" s="718"/>
      <c r="O3" s="718"/>
      <c r="P3" s="718"/>
      <c r="Q3" s="718"/>
      <c r="R3" s="718"/>
      <c r="S3" s="718"/>
      <c r="T3" s="718"/>
      <c r="U3" s="718"/>
      <c r="V3" s="718"/>
      <c r="W3" s="718"/>
      <c r="X3" s="718"/>
      <c r="Y3" s="718"/>
      <c r="Z3" s="718"/>
      <c r="AA3" s="718"/>
      <c r="AB3" s="718"/>
      <c r="AC3" s="718"/>
      <c r="AD3" s="718"/>
      <c r="AE3" s="718"/>
      <c r="AF3" s="718"/>
      <c r="AG3" s="718"/>
      <c r="AH3" s="718"/>
      <c r="AI3" s="718"/>
      <c r="AJ3" s="718"/>
      <c r="AK3" s="718"/>
      <c r="AL3" s="718"/>
      <c r="AM3" s="718"/>
      <c r="AN3" s="718"/>
      <c r="AO3" s="718"/>
      <c r="AP3" s="718"/>
      <c r="AQ3" s="553"/>
      <c r="AR3" s="553"/>
      <c r="AS3" s="553"/>
      <c r="AT3" s="553"/>
      <c r="AU3" s="553"/>
      <c r="AV3" s="553"/>
      <c r="AW3" s="553"/>
      <c r="AX3" s="553"/>
      <c r="AY3" s="553"/>
      <c r="AZ3" s="553"/>
      <c r="BA3" s="553"/>
      <c r="BB3" s="553"/>
      <c r="BC3" s="553"/>
      <c r="BD3" s="553"/>
      <c r="BE3" s="553"/>
      <c r="BF3" s="553"/>
      <c r="BG3" s="553"/>
      <c r="BH3" s="553"/>
      <c r="BI3" s="553"/>
      <c r="BJ3" s="553"/>
      <c r="BK3" s="553"/>
      <c r="BL3" s="553"/>
      <c r="BM3" s="553"/>
      <c r="BN3" s="553"/>
      <c r="BO3" s="553"/>
      <c r="BP3" s="553" t="s">
        <v>495</v>
      </c>
      <c r="BQ3" s="553"/>
      <c r="BR3" s="553"/>
      <c r="BS3" s="553"/>
      <c r="BT3" s="553"/>
      <c r="BU3" s="553"/>
      <c r="BV3" s="553" t="s">
        <v>495</v>
      </c>
      <c r="BW3" s="553"/>
      <c r="BX3" s="553"/>
      <c r="BY3" s="553"/>
      <c r="BZ3" s="553"/>
      <c r="CA3" s="553"/>
    </row>
    <row r="4" spans="1:79" x14ac:dyDescent="0.15">
      <c r="A4" s="717"/>
      <c r="B4" s="717"/>
      <c r="C4" s="717"/>
      <c r="D4" s="717"/>
      <c r="E4" s="717"/>
      <c r="F4" s="717"/>
      <c r="G4" s="717"/>
      <c r="H4" s="717"/>
      <c r="I4" s="718"/>
      <c r="J4" s="718"/>
      <c r="K4" s="718"/>
      <c r="L4" s="718"/>
      <c r="M4" s="718"/>
      <c r="N4" s="718"/>
      <c r="O4" s="718"/>
      <c r="P4" s="718"/>
      <c r="Q4" s="718"/>
      <c r="R4" s="718"/>
      <c r="S4" s="718"/>
      <c r="T4" s="718"/>
      <c r="U4" s="718"/>
      <c r="V4" s="718"/>
      <c r="W4" s="718"/>
      <c r="X4" s="718"/>
      <c r="Y4" s="718"/>
      <c r="Z4" s="718"/>
      <c r="AA4" s="718"/>
      <c r="AB4" s="718"/>
      <c r="AC4" s="718"/>
      <c r="AD4" s="718"/>
      <c r="AE4" s="718"/>
      <c r="AF4" s="718"/>
      <c r="AG4" s="718"/>
      <c r="AH4" s="718"/>
      <c r="AI4" s="718"/>
      <c r="AJ4" s="718"/>
      <c r="AK4" s="718"/>
      <c r="AL4" s="718"/>
      <c r="AM4" s="718"/>
      <c r="AN4" s="718"/>
      <c r="AO4" s="718"/>
      <c r="AP4" s="718"/>
      <c r="AQ4" s="553"/>
      <c r="AR4" s="553"/>
      <c r="AS4" s="553"/>
      <c r="AT4" s="553"/>
      <c r="AU4" s="553"/>
      <c r="AV4" s="553"/>
      <c r="AW4" s="553"/>
      <c r="AX4" s="553"/>
      <c r="AY4" s="553"/>
      <c r="AZ4" s="553"/>
      <c r="BA4" s="553"/>
      <c r="BB4" s="553"/>
      <c r="BC4" s="553"/>
      <c r="BD4" s="553"/>
      <c r="BE4" s="553"/>
      <c r="BF4" s="553"/>
      <c r="BG4" s="553"/>
      <c r="BH4" s="553"/>
      <c r="BI4" s="553"/>
      <c r="BJ4" s="553"/>
      <c r="BK4" s="553"/>
      <c r="BL4" s="553"/>
      <c r="BM4" s="553"/>
      <c r="BN4" s="553"/>
      <c r="BO4" s="553"/>
      <c r="BP4" s="553"/>
      <c r="BQ4" s="553"/>
      <c r="BR4" s="553"/>
      <c r="BS4" s="553"/>
      <c r="BT4" s="553"/>
      <c r="BU4" s="553"/>
      <c r="BV4" s="553"/>
      <c r="BW4" s="553"/>
      <c r="BX4" s="553"/>
      <c r="BY4" s="553"/>
      <c r="BZ4" s="553"/>
      <c r="CA4" s="553"/>
    </row>
    <row r="5" spans="1:79" x14ac:dyDescent="0.15">
      <c r="A5" s="717"/>
      <c r="B5" s="717"/>
      <c r="C5" s="717"/>
      <c r="D5" s="717"/>
      <c r="E5" s="717"/>
      <c r="F5" s="717"/>
      <c r="G5" s="717"/>
      <c r="H5" s="717"/>
      <c r="I5" s="718"/>
      <c r="J5" s="718"/>
      <c r="K5" s="718"/>
      <c r="L5" s="718"/>
      <c r="M5" s="718"/>
      <c r="N5" s="718"/>
      <c r="O5" s="718"/>
      <c r="P5" s="718"/>
      <c r="Q5" s="718"/>
      <c r="R5" s="718"/>
      <c r="S5" s="718"/>
      <c r="T5" s="718"/>
      <c r="U5" s="718"/>
      <c r="V5" s="718"/>
      <c r="W5" s="718"/>
      <c r="X5" s="718"/>
      <c r="Y5" s="718"/>
      <c r="Z5" s="718"/>
      <c r="AA5" s="718"/>
      <c r="AB5" s="718"/>
      <c r="AC5" s="718"/>
      <c r="AD5" s="718"/>
      <c r="AE5" s="718"/>
      <c r="AF5" s="718"/>
      <c r="AG5" s="718"/>
      <c r="AH5" s="718"/>
      <c r="AI5" s="718"/>
      <c r="AJ5" s="718"/>
      <c r="AK5" s="718"/>
      <c r="AL5" s="718"/>
      <c r="AM5" s="718"/>
      <c r="AN5" s="718"/>
      <c r="AO5" s="718"/>
      <c r="AP5" s="718"/>
      <c r="AQ5" s="553"/>
      <c r="AR5" s="553"/>
      <c r="AS5" s="553"/>
      <c r="AT5" s="553"/>
      <c r="AU5" s="553"/>
      <c r="AV5" s="553"/>
      <c r="AW5" s="553"/>
      <c r="AX5" s="553"/>
      <c r="AY5" s="553"/>
      <c r="AZ5" s="553"/>
      <c r="BA5" s="553"/>
      <c r="BB5" s="553"/>
      <c r="BC5" s="553"/>
      <c r="BD5" s="553"/>
      <c r="BE5" s="553"/>
      <c r="BF5" s="553"/>
      <c r="BG5" s="553"/>
      <c r="BH5" s="553"/>
      <c r="BI5" s="553"/>
      <c r="BJ5" s="553"/>
      <c r="BK5" s="553"/>
      <c r="BL5" s="553"/>
      <c r="BM5" s="553"/>
      <c r="BN5" s="553"/>
      <c r="BO5" s="553"/>
      <c r="BP5" s="553"/>
      <c r="BQ5" s="553"/>
      <c r="BR5" s="553"/>
      <c r="BS5" s="553"/>
      <c r="BT5" s="553"/>
      <c r="BU5" s="553"/>
      <c r="BV5" s="553"/>
      <c r="BW5" s="553"/>
      <c r="BX5" s="553"/>
      <c r="BY5" s="553"/>
      <c r="BZ5" s="553"/>
      <c r="CA5" s="553"/>
    </row>
    <row r="6" spans="1:79" x14ac:dyDescent="0.15">
      <c r="A6" s="623" t="s">
        <v>465</v>
      </c>
      <c r="B6" s="623"/>
      <c r="C6" s="623"/>
      <c r="D6" s="623"/>
      <c r="E6" s="623"/>
      <c r="F6" s="623"/>
      <c r="G6" s="623"/>
      <c r="H6" s="623"/>
      <c r="I6" s="623"/>
      <c r="J6" s="623"/>
      <c r="K6" s="623"/>
      <c r="L6" s="623"/>
      <c r="M6" s="623"/>
      <c r="N6" s="623"/>
      <c r="O6" s="623"/>
      <c r="P6" s="623"/>
      <c r="Q6" s="623"/>
      <c r="R6" s="623"/>
      <c r="S6" s="623"/>
      <c r="T6" s="623"/>
      <c r="U6" s="623"/>
      <c r="V6" s="623" t="s">
        <v>466</v>
      </c>
      <c r="W6" s="623"/>
      <c r="X6" s="623"/>
      <c r="Y6" s="623"/>
      <c r="Z6" s="623"/>
      <c r="AA6" s="623"/>
      <c r="AB6" s="623"/>
      <c r="AC6" s="623"/>
      <c r="AD6" s="623"/>
      <c r="AE6" s="623"/>
      <c r="AF6" s="623"/>
      <c r="AG6" s="623"/>
      <c r="AH6" s="623"/>
      <c r="AI6" s="623"/>
      <c r="AJ6" s="623"/>
      <c r="AK6" s="623"/>
      <c r="AL6" s="623"/>
      <c r="AM6" s="623"/>
      <c r="AN6" s="623"/>
      <c r="AO6" s="623"/>
      <c r="AP6" s="623"/>
      <c r="AQ6" s="553"/>
      <c r="AR6" s="553"/>
      <c r="AS6" s="553"/>
      <c r="AT6" s="553"/>
      <c r="AU6" s="553"/>
      <c r="AV6" s="553"/>
      <c r="AW6" s="553"/>
      <c r="AX6" s="553"/>
      <c r="AY6" s="553"/>
      <c r="AZ6" s="553"/>
      <c r="BA6" s="553"/>
      <c r="BB6" s="553"/>
      <c r="BC6" s="553"/>
      <c r="BD6" s="553"/>
      <c r="BE6" s="553"/>
      <c r="BF6" s="553"/>
      <c r="BG6" s="553"/>
      <c r="BH6" s="553"/>
      <c r="BI6" s="553"/>
      <c r="BJ6" s="553"/>
      <c r="BK6" s="553"/>
      <c r="BL6" s="553"/>
      <c r="BM6" s="553"/>
      <c r="BN6" s="553"/>
      <c r="BO6" s="553"/>
      <c r="BP6" s="553"/>
      <c r="BQ6" s="553"/>
      <c r="BR6" s="553"/>
      <c r="BS6" s="553"/>
      <c r="BT6" s="553"/>
      <c r="BU6" s="553"/>
      <c r="BV6" s="553"/>
      <c r="BW6" s="553"/>
      <c r="BX6" s="553"/>
      <c r="BY6" s="553"/>
      <c r="BZ6" s="553"/>
      <c r="CA6" s="553"/>
    </row>
    <row r="7" spans="1:79" x14ac:dyDescent="0.15">
      <c r="A7" s="623"/>
      <c r="B7" s="623"/>
      <c r="C7" s="623"/>
      <c r="D7" s="623"/>
      <c r="E7" s="623"/>
      <c r="F7" s="623"/>
      <c r="G7" s="623"/>
      <c r="H7" s="623"/>
      <c r="I7" s="623"/>
      <c r="J7" s="623"/>
      <c r="K7" s="623"/>
      <c r="L7" s="623"/>
      <c r="M7" s="623"/>
      <c r="N7" s="623"/>
      <c r="O7" s="623"/>
      <c r="P7" s="623"/>
      <c r="Q7" s="623"/>
      <c r="R7" s="623"/>
      <c r="S7" s="623"/>
      <c r="T7" s="623"/>
      <c r="U7" s="623"/>
      <c r="V7" s="623"/>
      <c r="W7" s="623"/>
      <c r="X7" s="623"/>
      <c r="Y7" s="623"/>
      <c r="Z7" s="623"/>
      <c r="AA7" s="623"/>
      <c r="AB7" s="623"/>
      <c r="AC7" s="623"/>
      <c r="AD7" s="623"/>
      <c r="AE7" s="623"/>
      <c r="AF7" s="623"/>
      <c r="AG7" s="623"/>
      <c r="AH7" s="623"/>
      <c r="AI7" s="623"/>
      <c r="AJ7" s="623"/>
      <c r="AK7" s="623"/>
      <c r="AL7" s="623"/>
      <c r="AM7" s="623"/>
      <c r="AN7" s="623"/>
      <c r="AO7" s="623"/>
      <c r="AP7" s="623"/>
      <c r="AQ7" s="553"/>
      <c r="AR7" s="553"/>
      <c r="AS7" s="553"/>
      <c r="AT7" s="553"/>
      <c r="AU7" s="553"/>
      <c r="AV7" s="553"/>
      <c r="AW7" s="553"/>
      <c r="AX7" s="553"/>
      <c r="AY7" s="553"/>
      <c r="AZ7" s="553"/>
      <c r="BA7" s="553"/>
      <c r="BB7" s="553"/>
      <c r="BC7" s="553"/>
      <c r="BD7" s="553"/>
      <c r="BE7" s="553"/>
      <c r="BF7" s="553"/>
      <c r="BG7" s="553"/>
      <c r="BH7" s="553"/>
      <c r="BI7" s="553"/>
      <c r="BJ7" s="553"/>
      <c r="BK7" s="553"/>
      <c r="BL7" s="553"/>
      <c r="BM7" s="553"/>
      <c r="BN7" s="553"/>
      <c r="BO7" s="553"/>
      <c r="BP7" s="553"/>
      <c r="BQ7" s="553"/>
      <c r="BR7" s="553"/>
      <c r="BS7" s="553"/>
      <c r="BT7" s="553"/>
      <c r="BU7" s="553"/>
      <c r="BV7" s="553"/>
      <c r="BW7" s="553"/>
      <c r="BX7" s="553"/>
      <c r="BY7" s="553"/>
      <c r="BZ7" s="553"/>
      <c r="CA7" s="553"/>
    </row>
    <row r="8" spans="1:79" x14ac:dyDescent="0.15">
      <c r="A8" s="623" t="s">
        <v>310</v>
      </c>
      <c r="B8" s="623"/>
      <c r="C8" s="623"/>
      <c r="D8" s="623"/>
      <c r="E8" s="623"/>
      <c r="F8" s="623"/>
      <c r="G8" s="623"/>
      <c r="H8" s="623"/>
      <c r="I8" s="623"/>
      <c r="J8" s="623"/>
      <c r="K8" s="623"/>
      <c r="L8" s="623"/>
      <c r="M8" s="623"/>
      <c r="N8" s="623"/>
      <c r="O8" s="623"/>
      <c r="P8" s="623"/>
      <c r="Q8" s="623"/>
      <c r="R8" s="623"/>
      <c r="S8" s="623"/>
      <c r="T8" s="623"/>
      <c r="U8" s="623"/>
      <c r="V8" s="623" t="s">
        <v>311</v>
      </c>
      <c r="W8" s="623"/>
      <c r="X8" s="623"/>
      <c r="Y8" s="623"/>
      <c r="Z8" s="623"/>
      <c r="AA8" s="623"/>
      <c r="AB8" s="623"/>
      <c r="AC8" s="623"/>
      <c r="AD8" s="623"/>
      <c r="AE8" s="623"/>
      <c r="AF8" s="623"/>
      <c r="AG8" s="623"/>
      <c r="AH8" s="623"/>
      <c r="AI8" s="623"/>
      <c r="AJ8" s="623"/>
      <c r="AK8" s="623"/>
      <c r="AL8" s="623"/>
      <c r="AM8" s="623"/>
      <c r="AN8" s="623"/>
      <c r="AO8" s="623"/>
      <c r="AP8" s="623"/>
      <c r="AQ8" s="623" t="s">
        <v>312</v>
      </c>
      <c r="AR8" s="623"/>
      <c r="AS8" s="623"/>
      <c r="AT8" s="623"/>
      <c r="AU8" s="623"/>
      <c r="AV8" s="623"/>
      <c r="AW8" s="721"/>
      <c r="AX8" s="721"/>
      <c r="AY8" s="721"/>
      <c r="AZ8" s="721"/>
      <c r="BA8" s="721"/>
      <c r="BB8" s="721"/>
      <c r="BC8" s="721"/>
      <c r="BD8" s="721"/>
      <c r="BE8" s="721"/>
      <c r="BF8" s="721"/>
      <c r="BG8" s="623" t="s">
        <v>313</v>
      </c>
      <c r="BH8" s="623"/>
      <c r="BI8" s="623"/>
      <c r="BJ8" s="623"/>
      <c r="BK8" s="623"/>
      <c r="BL8" s="623"/>
      <c r="BM8" s="721"/>
      <c r="BN8" s="721"/>
      <c r="BO8" s="721"/>
      <c r="BP8" s="721"/>
      <c r="BQ8" s="721"/>
      <c r="BR8" s="721"/>
      <c r="BS8" s="721"/>
      <c r="BT8" s="721"/>
      <c r="BU8" s="721"/>
      <c r="BV8" s="721"/>
      <c r="BW8" s="623" t="s">
        <v>11</v>
      </c>
      <c r="BX8" s="623"/>
      <c r="BY8" s="623"/>
      <c r="BZ8" s="623"/>
      <c r="CA8" s="623"/>
    </row>
    <row r="9" spans="1:79" x14ac:dyDescent="0.15">
      <c r="A9" s="623"/>
      <c r="B9" s="623"/>
      <c r="C9" s="623"/>
      <c r="D9" s="623"/>
      <c r="E9" s="623"/>
      <c r="F9" s="623"/>
      <c r="G9" s="623"/>
      <c r="H9" s="623"/>
      <c r="I9" s="623"/>
      <c r="J9" s="623"/>
      <c r="K9" s="623"/>
      <c r="L9" s="623"/>
      <c r="M9" s="623"/>
      <c r="N9" s="623"/>
      <c r="O9" s="623"/>
      <c r="P9" s="623"/>
      <c r="Q9" s="623"/>
      <c r="R9" s="623"/>
      <c r="S9" s="623"/>
      <c r="T9" s="623"/>
      <c r="U9" s="623"/>
      <c r="V9" s="623"/>
      <c r="W9" s="623"/>
      <c r="X9" s="623"/>
      <c r="Y9" s="623"/>
      <c r="Z9" s="623"/>
      <c r="AA9" s="623"/>
      <c r="AB9" s="623"/>
      <c r="AC9" s="623"/>
      <c r="AD9" s="623"/>
      <c r="AE9" s="623"/>
      <c r="AF9" s="623"/>
      <c r="AG9" s="623"/>
      <c r="AH9" s="623"/>
      <c r="AI9" s="623"/>
      <c r="AJ9" s="623"/>
      <c r="AK9" s="623"/>
      <c r="AL9" s="623"/>
      <c r="AM9" s="623"/>
      <c r="AN9" s="623"/>
      <c r="AO9" s="623"/>
      <c r="AP9" s="623"/>
      <c r="AQ9" s="623" t="s">
        <v>314</v>
      </c>
      <c r="AR9" s="623"/>
      <c r="AS9" s="623"/>
      <c r="AT9" s="623"/>
      <c r="AU9" s="623"/>
      <c r="AV9" s="623"/>
      <c r="AW9" s="623"/>
      <c r="AX9" s="623"/>
      <c r="AY9" s="623"/>
      <c r="AZ9" s="623"/>
      <c r="BA9" s="623"/>
      <c r="BB9" s="623"/>
      <c r="BC9" s="623"/>
      <c r="BD9" s="623"/>
      <c r="BE9" s="623"/>
      <c r="BF9" s="623"/>
      <c r="BG9" s="623" t="s">
        <v>315</v>
      </c>
      <c r="BH9" s="623"/>
      <c r="BI9" s="623"/>
      <c r="BJ9" s="623"/>
      <c r="BK9" s="623"/>
      <c r="BL9" s="623"/>
      <c r="BM9" s="623"/>
      <c r="BN9" s="623"/>
      <c r="BO9" s="623"/>
      <c r="BP9" s="623"/>
      <c r="BQ9" s="623"/>
      <c r="BR9" s="623"/>
      <c r="BS9" s="623"/>
      <c r="BT9" s="623"/>
      <c r="BU9" s="623"/>
      <c r="BV9" s="623"/>
      <c r="BW9" s="720"/>
      <c r="BX9" s="720"/>
      <c r="BY9" s="720"/>
      <c r="BZ9" s="720"/>
      <c r="CA9" s="720"/>
    </row>
    <row r="11" spans="1:79" x14ac:dyDescent="0.15">
      <c r="A11" s="624" t="s">
        <v>208</v>
      </c>
      <c r="B11" s="624"/>
      <c r="C11" s="624"/>
      <c r="D11" s="624"/>
      <c r="E11" s="624"/>
      <c r="F11" s="624"/>
      <c r="G11" s="624"/>
      <c r="H11" s="624"/>
      <c r="I11" s="575" t="s">
        <v>10</v>
      </c>
      <c r="J11" s="576"/>
      <c r="K11" s="576"/>
      <c r="L11" s="576"/>
      <c r="M11" s="576"/>
      <c r="N11" s="576"/>
      <c r="O11" s="576"/>
      <c r="P11" s="576"/>
      <c r="Q11" s="576"/>
      <c r="R11" s="576"/>
      <c r="S11" s="576"/>
      <c r="T11" s="576"/>
      <c r="U11" s="577"/>
      <c r="AJ11" s="722" t="s">
        <v>712</v>
      </c>
      <c r="AK11" s="723"/>
      <c r="AL11" s="723"/>
      <c r="AM11" s="724"/>
      <c r="AN11" s="725"/>
      <c r="AO11" s="725"/>
      <c r="AP11" s="725"/>
      <c r="AQ11" s="725"/>
      <c r="AR11" s="725"/>
      <c r="AS11" s="725"/>
      <c r="AT11" s="725"/>
      <c r="AU11" s="725"/>
      <c r="AV11" s="725"/>
      <c r="AW11" s="725"/>
      <c r="AX11" s="725"/>
      <c r="AY11" s="725"/>
      <c r="AZ11" s="725"/>
      <c r="BA11" s="725"/>
      <c r="BB11" s="725"/>
      <c r="BC11" s="725"/>
      <c r="BD11" s="725"/>
      <c r="BE11" s="725"/>
      <c r="BF11" s="725"/>
      <c r="BG11" s="725"/>
      <c r="BH11" s="725"/>
      <c r="BI11" s="725"/>
      <c r="BJ11" s="725"/>
      <c r="BK11" s="725"/>
      <c r="BL11" s="725"/>
      <c r="BM11" s="725"/>
      <c r="BN11" s="725"/>
      <c r="BO11" s="725"/>
      <c r="BP11" s="725"/>
      <c r="BQ11" s="725"/>
      <c r="BR11" s="725"/>
      <c r="BS11" s="725"/>
      <c r="BT11" s="725"/>
      <c r="BU11" s="725"/>
      <c r="BV11" s="725"/>
      <c r="BW11" s="725"/>
      <c r="BX11" s="725"/>
      <c r="BY11" s="725"/>
      <c r="BZ11" s="725"/>
      <c r="CA11" s="725"/>
    </row>
    <row r="12" spans="1:79" x14ac:dyDescent="0.15">
      <c r="A12" s="624"/>
      <c r="B12" s="624"/>
      <c r="C12" s="624"/>
      <c r="D12" s="624"/>
      <c r="E12" s="624"/>
      <c r="F12" s="624"/>
      <c r="G12" s="624"/>
      <c r="H12" s="624"/>
      <c r="I12" s="593"/>
      <c r="J12" s="594"/>
      <c r="K12" s="594"/>
      <c r="L12" s="594"/>
      <c r="M12" s="594"/>
      <c r="N12" s="594"/>
      <c r="O12" s="594"/>
      <c r="P12" s="594"/>
      <c r="Q12" s="594"/>
      <c r="R12" s="594"/>
      <c r="S12" s="594"/>
      <c r="T12" s="594"/>
      <c r="U12" s="595"/>
      <c r="AJ12" s="723"/>
      <c r="AK12" s="723"/>
      <c r="AL12" s="723"/>
      <c r="AM12" s="725"/>
      <c r="AN12" s="725"/>
      <c r="AO12" s="725"/>
      <c r="AP12" s="725"/>
      <c r="AQ12" s="725"/>
      <c r="AR12" s="725"/>
      <c r="AS12" s="725"/>
      <c r="AT12" s="725"/>
      <c r="AU12" s="725"/>
      <c r="AV12" s="725"/>
      <c r="AW12" s="725"/>
      <c r="AX12" s="725"/>
      <c r="AY12" s="725"/>
      <c r="AZ12" s="725"/>
      <c r="BA12" s="725"/>
      <c r="BB12" s="725"/>
      <c r="BC12" s="725"/>
      <c r="BD12" s="725"/>
      <c r="BE12" s="725"/>
      <c r="BF12" s="725"/>
      <c r="BG12" s="725"/>
      <c r="BH12" s="725"/>
      <c r="BI12" s="725"/>
      <c r="BJ12" s="725"/>
      <c r="BK12" s="725"/>
      <c r="BL12" s="725"/>
      <c r="BM12" s="725"/>
      <c r="BN12" s="725"/>
      <c r="BO12" s="725"/>
      <c r="BP12" s="725"/>
      <c r="BQ12" s="725"/>
      <c r="BR12" s="725"/>
      <c r="BS12" s="725"/>
      <c r="BT12" s="725"/>
      <c r="BU12" s="725"/>
      <c r="BV12" s="725"/>
      <c r="BW12" s="725"/>
      <c r="BX12" s="725"/>
      <c r="BY12" s="725"/>
      <c r="BZ12" s="725"/>
      <c r="CA12" s="725"/>
    </row>
    <row r="13" spans="1:79" x14ac:dyDescent="0.15">
      <c r="AJ13" s="723"/>
      <c r="AK13" s="723"/>
      <c r="AL13" s="723"/>
      <c r="AM13" s="725"/>
      <c r="AN13" s="725"/>
      <c r="AO13" s="725"/>
      <c r="AP13" s="725"/>
      <c r="AQ13" s="725"/>
      <c r="AR13" s="725"/>
      <c r="AS13" s="725"/>
      <c r="AT13" s="725"/>
      <c r="AU13" s="725"/>
      <c r="AV13" s="725"/>
      <c r="AW13" s="725"/>
      <c r="AX13" s="725"/>
      <c r="AY13" s="725"/>
      <c r="AZ13" s="725"/>
      <c r="BA13" s="725"/>
      <c r="BB13" s="725"/>
      <c r="BC13" s="725"/>
      <c r="BD13" s="725"/>
      <c r="BE13" s="725"/>
      <c r="BF13" s="725"/>
      <c r="BG13" s="725"/>
      <c r="BH13" s="725"/>
      <c r="BI13" s="725"/>
      <c r="BJ13" s="725"/>
      <c r="BK13" s="725"/>
      <c r="BL13" s="725"/>
      <c r="BM13" s="725"/>
      <c r="BN13" s="725"/>
      <c r="BO13" s="725"/>
      <c r="BP13" s="725"/>
      <c r="BQ13" s="725"/>
      <c r="BR13" s="725"/>
      <c r="BS13" s="725"/>
      <c r="BT13" s="725"/>
      <c r="BU13" s="725"/>
      <c r="BV13" s="725"/>
      <c r="BW13" s="725"/>
      <c r="BX13" s="725"/>
      <c r="BY13" s="725"/>
      <c r="BZ13" s="725"/>
      <c r="CA13" s="725"/>
    </row>
    <row r="14" spans="1:79" x14ac:dyDescent="0.15">
      <c r="A14" t="s">
        <v>12</v>
      </c>
      <c r="AJ14" s="723"/>
      <c r="AK14" s="723"/>
      <c r="AL14" s="723"/>
      <c r="AM14" s="725"/>
      <c r="AN14" s="725"/>
      <c r="AO14" s="725"/>
      <c r="AP14" s="725"/>
      <c r="AQ14" s="725"/>
      <c r="AR14" s="725"/>
      <c r="AS14" s="725"/>
      <c r="AT14" s="725"/>
      <c r="AU14" s="725"/>
      <c r="AV14" s="725"/>
      <c r="AW14" s="725"/>
      <c r="AX14" s="725"/>
      <c r="AY14" s="725"/>
      <c r="AZ14" s="725"/>
      <c r="BA14" s="725"/>
      <c r="BB14" s="725"/>
      <c r="BC14" s="725"/>
      <c r="BD14" s="725"/>
      <c r="BE14" s="725"/>
      <c r="BF14" s="725"/>
      <c r="BG14" s="725"/>
      <c r="BH14" s="725"/>
      <c r="BI14" s="725"/>
      <c r="BJ14" s="725"/>
      <c r="BK14" s="725"/>
      <c r="BL14" s="725"/>
      <c r="BM14" s="725"/>
      <c r="BN14" s="725"/>
      <c r="BO14" s="725"/>
      <c r="BP14" s="725"/>
      <c r="BQ14" s="725"/>
      <c r="BR14" s="725"/>
      <c r="BS14" s="725"/>
      <c r="BT14" s="725"/>
      <c r="BU14" s="725"/>
      <c r="BV14" s="725"/>
      <c r="BW14" s="725"/>
      <c r="BX14" s="725"/>
      <c r="BY14" s="725"/>
      <c r="BZ14" s="725"/>
      <c r="CA14" s="725"/>
    </row>
    <row r="15" spans="1:79" x14ac:dyDescent="0.15">
      <c r="A15" s="637" t="s">
        <v>210</v>
      </c>
      <c r="B15" s="637"/>
      <c r="C15" s="637"/>
      <c r="D15" s="637"/>
      <c r="E15" s="637"/>
      <c r="F15" s="637"/>
      <c r="G15" s="637"/>
      <c r="H15" s="637"/>
      <c r="I15" s="637" t="s">
        <v>13</v>
      </c>
      <c r="J15" s="637"/>
      <c r="K15" s="637"/>
      <c r="L15" s="637"/>
      <c r="M15" s="637"/>
      <c r="N15" s="637"/>
      <c r="O15" s="637"/>
      <c r="P15" s="637"/>
      <c r="Q15" s="637"/>
      <c r="R15" s="637"/>
      <c r="S15" s="637"/>
      <c r="T15" s="637"/>
      <c r="U15" s="637"/>
      <c r="V15" s="637" t="s">
        <v>254</v>
      </c>
      <c r="W15" s="637"/>
      <c r="X15" s="637"/>
      <c r="Y15" s="637"/>
      <c r="Z15" s="637"/>
      <c r="AA15" s="637"/>
      <c r="AB15" s="637"/>
      <c r="AC15" s="637"/>
      <c r="AD15" s="637"/>
      <c r="AE15" s="637"/>
      <c r="AF15" s="637"/>
      <c r="AG15" s="637"/>
      <c r="AH15" s="637"/>
      <c r="AJ15" s="723"/>
      <c r="AK15" s="723"/>
      <c r="AL15" s="723"/>
      <c r="AM15" s="725"/>
      <c r="AN15" s="725"/>
      <c r="AO15" s="725"/>
      <c r="AP15" s="725"/>
      <c r="AQ15" s="725"/>
      <c r="AR15" s="725"/>
      <c r="AS15" s="725"/>
      <c r="AT15" s="725"/>
      <c r="AU15" s="725"/>
      <c r="AV15" s="725"/>
      <c r="AW15" s="725"/>
      <c r="AX15" s="725"/>
      <c r="AY15" s="725"/>
      <c r="AZ15" s="725"/>
      <c r="BA15" s="725"/>
      <c r="BB15" s="725"/>
      <c r="BC15" s="725"/>
      <c r="BD15" s="725"/>
      <c r="BE15" s="725"/>
      <c r="BF15" s="725"/>
      <c r="BG15" s="725"/>
      <c r="BH15" s="725"/>
      <c r="BI15" s="725"/>
      <c r="BJ15" s="725"/>
      <c r="BK15" s="725"/>
      <c r="BL15" s="725"/>
      <c r="BM15" s="725"/>
      <c r="BN15" s="725"/>
      <c r="BO15" s="725"/>
      <c r="BP15" s="725"/>
      <c r="BQ15" s="725"/>
      <c r="BR15" s="725"/>
      <c r="BS15" s="725"/>
      <c r="BT15" s="725"/>
      <c r="BU15" s="725"/>
      <c r="BV15" s="725"/>
      <c r="BW15" s="725"/>
      <c r="BX15" s="725"/>
      <c r="BY15" s="725"/>
      <c r="BZ15" s="725"/>
      <c r="CA15" s="725"/>
    </row>
    <row r="16" spans="1:79" x14ac:dyDescent="0.15">
      <c r="A16" s="708" t="s">
        <v>255</v>
      </c>
      <c r="B16" s="708"/>
      <c r="C16" s="708"/>
      <c r="D16" s="708"/>
      <c r="E16" s="708"/>
      <c r="F16" s="708"/>
      <c r="G16" s="708"/>
      <c r="H16" s="708"/>
      <c r="I16" s="719">
        <v>0.2</v>
      </c>
      <c r="J16" s="719"/>
      <c r="K16" s="719"/>
      <c r="L16" s="719"/>
      <c r="M16" s="719"/>
      <c r="N16" s="719"/>
      <c r="O16" s="719"/>
      <c r="P16" s="719"/>
      <c r="Q16" s="719"/>
      <c r="R16" s="719"/>
      <c r="S16" s="719"/>
      <c r="T16" s="719"/>
      <c r="U16" s="719"/>
      <c r="V16" s="719" t="s">
        <v>256</v>
      </c>
      <c r="W16" s="719"/>
      <c r="X16" s="719"/>
      <c r="Y16" s="719"/>
      <c r="Z16" s="719"/>
      <c r="AA16" s="719"/>
      <c r="AB16" s="719"/>
      <c r="AC16" s="719"/>
      <c r="AD16" s="719"/>
      <c r="AE16" s="719"/>
      <c r="AF16" s="719"/>
      <c r="AG16" s="719"/>
      <c r="AH16" s="719"/>
      <c r="AJ16" s="723"/>
      <c r="AK16" s="723"/>
      <c r="AL16" s="723"/>
      <c r="AM16" s="725"/>
      <c r="AN16" s="725"/>
      <c r="AO16" s="725"/>
      <c r="AP16" s="725"/>
      <c r="AQ16" s="725"/>
      <c r="AR16" s="725"/>
      <c r="AS16" s="725"/>
      <c r="AT16" s="725"/>
      <c r="AU16" s="725"/>
      <c r="AV16" s="725"/>
      <c r="AW16" s="725"/>
      <c r="AX16" s="725"/>
      <c r="AY16" s="725"/>
      <c r="AZ16" s="725"/>
      <c r="BA16" s="725"/>
      <c r="BB16" s="725"/>
      <c r="BC16" s="725"/>
      <c r="BD16" s="725"/>
      <c r="BE16" s="725"/>
      <c r="BF16" s="725"/>
      <c r="BG16" s="725"/>
      <c r="BH16" s="725"/>
      <c r="BI16" s="725"/>
      <c r="BJ16" s="725"/>
      <c r="BK16" s="725"/>
      <c r="BL16" s="725"/>
      <c r="BM16" s="725"/>
      <c r="BN16" s="725"/>
      <c r="BO16" s="725"/>
      <c r="BP16" s="725"/>
      <c r="BQ16" s="725"/>
      <c r="BR16" s="725"/>
      <c r="BS16" s="725"/>
      <c r="BT16" s="725"/>
      <c r="BU16" s="725"/>
      <c r="BV16" s="725"/>
      <c r="BW16" s="725"/>
      <c r="BX16" s="725"/>
      <c r="BY16" s="725"/>
      <c r="BZ16" s="725"/>
      <c r="CA16" s="725"/>
    </row>
    <row r="17" spans="1:79" x14ac:dyDescent="0.15">
      <c r="A17" s="708" t="s">
        <v>257</v>
      </c>
      <c r="B17" s="708"/>
      <c r="C17" s="708"/>
      <c r="D17" s="708"/>
      <c r="E17" s="708"/>
      <c r="F17" s="708"/>
      <c r="G17" s="708"/>
      <c r="H17" s="708"/>
      <c r="I17" s="719">
        <v>0.15</v>
      </c>
      <c r="J17" s="719"/>
      <c r="K17" s="719"/>
      <c r="L17" s="719"/>
      <c r="M17" s="719"/>
      <c r="N17" s="719"/>
      <c r="O17" s="719"/>
      <c r="P17" s="719"/>
      <c r="Q17" s="719"/>
      <c r="R17" s="719"/>
      <c r="S17" s="719"/>
      <c r="T17" s="719"/>
      <c r="U17" s="719"/>
      <c r="V17" s="719" t="s">
        <v>258</v>
      </c>
      <c r="W17" s="719"/>
      <c r="X17" s="719"/>
      <c r="Y17" s="719"/>
      <c r="Z17" s="719"/>
      <c r="AA17" s="719"/>
      <c r="AB17" s="719"/>
      <c r="AC17" s="719"/>
      <c r="AD17" s="719"/>
      <c r="AE17" s="719"/>
      <c r="AF17" s="719"/>
      <c r="AG17" s="719"/>
      <c r="AH17" s="719"/>
      <c r="AJ17" s="723"/>
      <c r="AK17" s="723"/>
      <c r="AL17" s="723"/>
      <c r="AM17" s="725"/>
      <c r="AN17" s="725"/>
      <c r="AO17" s="725"/>
      <c r="AP17" s="725"/>
      <c r="AQ17" s="725"/>
      <c r="AR17" s="725"/>
      <c r="AS17" s="725"/>
      <c r="AT17" s="725"/>
      <c r="AU17" s="725"/>
      <c r="AV17" s="725"/>
      <c r="AW17" s="725"/>
      <c r="AX17" s="725"/>
      <c r="AY17" s="725"/>
      <c r="AZ17" s="725"/>
      <c r="BA17" s="725"/>
      <c r="BB17" s="725"/>
      <c r="BC17" s="725"/>
      <c r="BD17" s="725"/>
      <c r="BE17" s="725"/>
      <c r="BF17" s="725"/>
      <c r="BG17" s="725"/>
      <c r="BH17" s="725"/>
      <c r="BI17" s="725"/>
      <c r="BJ17" s="725"/>
      <c r="BK17" s="725"/>
      <c r="BL17" s="725"/>
      <c r="BM17" s="725"/>
      <c r="BN17" s="725"/>
      <c r="BO17" s="725"/>
      <c r="BP17" s="725"/>
      <c r="BQ17" s="725"/>
      <c r="BR17" s="725"/>
      <c r="BS17" s="725"/>
      <c r="BT17" s="725"/>
      <c r="BU17" s="725"/>
      <c r="BV17" s="725"/>
      <c r="BW17" s="725"/>
      <c r="BX17" s="725"/>
      <c r="BY17" s="725"/>
      <c r="BZ17" s="725"/>
      <c r="CA17" s="725"/>
    </row>
    <row r="18" spans="1:79" x14ac:dyDescent="0.15">
      <c r="A18" s="708" t="s">
        <v>259</v>
      </c>
      <c r="B18" s="708"/>
      <c r="C18" s="708"/>
      <c r="D18" s="708"/>
      <c r="E18" s="708"/>
      <c r="F18" s="708"/>
      <c r="G18" s="708"/>
      <c r="H18" s="708"/>
      <c r="I18" s="719">
        <v>0.1</v>
      </c>
      <c r="J18" s="719"/>
      <c r="K18" s="719"/>
      <c r="L18" s="719"/>
      <c r="M18" s="719"/>
      <c r="N18" s="719"/>
      <c r="O18" s="719"/>
      <c r="P18" s="719"/>
      <c r="Q18" s="719"/>
      <c r="R18" s="719"/>
      <c r="S18" s="719"/>
      <c r="T18" s="719"/>
      <c r="U18" s="719"/>
      <c r="V18" s="719" t="s">
        <v>260</v>
      </c>
      <c r="W18" s="719"/>
      <c r="X18" s="719"/>
      <c r="Y18" s="719"/>
      <c r="Z18" s="719"/>
      <c r="AA18" s="719"/>
      <c r="AB18" s="719"/>
      <c r="AC18" s="719"/>
      <c r="AD18" s="719"/>
      <c r="AE18" s="719"/>
      <c r="AF18" s="719"/>
      <c r="AG18" s="719"/>
      <c r="AH18" s="719"/>
      <c r="AJ18" s="723"/>
      <c r="AK18" s="723"/>
      <c r="AL18" s="723"/>
      <c r="AM18" s="725"/>
      <c r="AN18" s="725"/>
      <c r="AO18" s="725"/>
      <c r="AP18" s="725"/>
      <c r="AQ18" s="725"/>
      <c r="AR18" s="725"/>
      <c r="AS18" s="725"/>
      <c r="AT18" s="725"/>
      <c r="AU18" s="725"/>
      <c r="AV18" s="725"/>
      <c r="AW18" s="725"/>
      <c r="AX18" s="725"/>
      <c r="AY18" s="725"/>
      <c r="AZ18" s="725"/>
      <c r="BA18" s="725"/>
      <c r="BB18" s="725"/>
      <c r="BC18" s="725"/>
      <c r="BD18" s="725"/>
      <c r="BE18" s="725"/>
      <c r="BF18" s="725"/>
      <c r="BG18" s="725"/>
      <c r="BH18" s="725"/>
      <c r="BI18" s="725"/>
      <c r="BJ18" s="725"/>
      <c r="BK18" s="725"/>
      <c r="BL18" s="725"/>
      <c r="BM18" s="725"/>
      <c r="BN18" s="725"/>
      <c r="BO18" s="725"/>
      <c r="BP18" s="725"/>
      <c r="BQ18" s="725"/>
      <c r="BR18" s="725"/>
      <c r="BS18" s="725"/>
      <c r="BT18" s="725"/>
      <c r="BU18" s="725"/>
      <c r="BV18" s="725"/>
      <c r="BW18" s="725"/>
      <c r="BX18" s="725"/>
      <c r="BY18" s="725"/>
      <c r="BZ18" s="725"/>
      <c r="CA18" s="725"/>
    </row>
    <row r="20" spans="1:79" x14ac:dyDescent="0.15">
      <c r="A20" t="s">
        <v>261</v>
      </c>
    </row>
    <row r="21" spans="1:79" x14ac:dyDescent="0.15">
      <c r="A21" s="715" t="s">
        <v>211</v>
      </c>
      <c r="B21" s="716"/>
      <c r="C21" s="716"/>
      <c r="D21" s="716"/>
      <c r="E21" s="716"/>
      <c r="F21" s="716"/>
      <c r="G21" s="716"/>
      <c r="H21" s="716"/>
      <c r="I21" s="716"/>
      <c r="J21" s="716"/>
      <c r="K21" s="716"/>
      <c r="L21" s="716"/>
      <c r="M21" s="638"/>
      <c r="N21" s="715" t="s">
        <v>262</v>
      </c>
      <c r="O21" s="716"/>
      <c r="P21" s="716"/>
      <c r="Q21" s="716"/>
      <c r="R21" s="716"/>
      <c r="S21" s="716"/>
      <c r="T21" s="716"/>
      <c r="U21" s="716"/>
      <c r="V21" s="716"/>
      <c r="W21" s="716"/>
      <c r="X21" s="716"/>
      <c r="Y21" s="716"/>
      <c r="Z21" s="716"/>
      <c r="AA21" s="716"/>
      <c r="AB21" s="716"/>
      <c r="AC21" s="716"/>
      <c r="AD21" s="716"/>
      <c r="AE21" s="716"/>
      <c r="AF21" s="716"/>
      <c r="AG21" s="716"/>
      <c r="AH21" s="716"/>
      <c r="AI21" s="638"/>
      <c r="AJ21" s="715" t="s">
        <v>263</v>
      </c>
      <c r="AK21" s="716"/>
      <c r="AL21" s="716"/>
      <c r="AM21" s="716"/>
      <c r="AN21" s="716"/>
      <c r="AO21" s="716"/>
      <c r="AP21" s="716"/>
      <c r="AQ21" s="716"/>
      <c r="AR21" s="716"/>
      <c r="AS21" s="716"/>
      <c r="AT21" s="716"/>
      <c r="AU21" s="716"/>
      <c r="AV21" s="716"/>
      <c r="AW21" s="716"/>
      <c r="AX21" s="716"/>
      <c r="AY21" s="716"/>
      <c r="AZ21" s="716"/>
      <c r="BA21" s="716"/>
      <c r="BB21" s="716"/>
      <c r="BC21" s="716"/>
      <c r="BD21" s="716"/>
      <c r="BE21" s="638"/>
      <c r="BF21" s="715" t="s">
        <v>259</v>
      </c>
      <c r="BG21" s="716"/>
      <c r="BH21" s="716"/>
      <c r="BI21" s="716"/>
      <c r="BJ21" s="716"/>
      <c r="BK21" s="716"/>
      <c r="BL21" s="716"/>
      <c r="BM21" s="716"/>
      <c r="BN21" s="716"/>
      <c r="BO21" s="716"/>
      <c r="BP21" s="716"/>
      <c r="BQ21" s="716"/>
      <c r="BR21" s="716"/>
      <c r="BS21" s="716"/>
      <c r="BT21" s="716"/>
      <c r="BU21" s="716"/>
      <c r="BV21" s="716"/>
      <c r="BW21" s="716"/>
      <c r="BX21" s="716"/>
      <c r="BY21" s="716"/>
      <c r="BZ21" s="716"/>
      <c r="CA21" s="638"/>
    </row>
    <row r="22" spans="1:79" x14ac:dyDescent="0.15">
      <c r="A22" s="709" t="s">
        <v>219</v>
      </c>
      <c r="B22" s="710"/>
      <c r="C22" s="710"/>
      <c r="D22" s="710"/>
      <c r="E22" s="710"/>
      <c r="F22" s="710"/>
      <c r="G22" s="710"/>
      <c r="H22" s="711"/>
      <c r="I22" s="709" t="s">
        <v>220</v>
      </c>
      <c r="J22" s="710"/>
      <c r="K22" s="710"/>
      <c r="L22" s="710"/>
      <c r="M22" s="711"/>
      <c r="N22" s="709" t="s">
        <v>14</v>
      </c>
      <c r="O22" s="710"/>
      <c r="P22" s="710"/>
      <c r="Q22" s="710"/>
      <c r="R22" s="711"/>
      <c r="S22" s="709" t="s">
        <v>15</v>
      </c>
      <c r="T22" s="710"/>
      <c r="U22" s="710"/>
      <c r="V22" s="710"/>
      <c r="W22" s="710"/>
      <c r="X22" s="710"/>
      <c r="Y22" s="711"/>
      <c r="Z22" s="709" t="s">
        <v>264</v>
      </c>
      <c r="AA22" s="710"/>
      <c r="AB22" s="710"/>
      <c r="AC22" s="711"/>
      <c r="AD22" s="709" t="s">
        <v>16</v>
      </c>
      <c r="AE22" s="710"/>
      <c r="AF22" s="710"/>
      <c r="AG22" s="710"/>
      <c r="AH22" s="710"/>
      <c r="AI22" s="711"/>
      <c r="AJ22" s="709" t="s">
        <v>14</v>
      </c>
      <c r="AK22" s="710"/>
      <c r="AL22" s="710"/>
      <c r="AM22" s="710"/>
      <c r="AN22" s="711"/>
      <c r="AO22" s="709" t="s">
        <v>15</v>
      </c>
      <c r="AP22" s="710"/>
      <c r="AQ22" s="710"/>
      <c r="AR22" s="710"/>
      <c r="AS22" s="710"/>
      <c r="AT22" s="710"/>
      <c r="AU22" s="711"/>
      <c r="AV22" s="709" t="s">
        <v>264</v>
      </c>
      <c r="AW22" s="710"/>
      <c r="AX22" s="710"/>
      <c r="AY22" s="711"/>
      <c r="AZ22" s="709" t="s">
        <v>16</v>
      </c>
      <c r="BA22" s="710"/>
      <c r="BB22" s="710"/>
      <c r="BC22" s="710"/>
      <c r="BD22" s="710"/>
      <c r="BE22" s="711"/>
      <c r="BF22" s="709" t="s">
        <v>14</v>
      </c>
      <c r="BG22" s="710"/>
      <c r="BH22" s="710"/>
      <c r="BI22" s="710"/>
      <c r="BJ22" s="711"/>
      <c r="BK22" s="709" t="s">
        <v>15</v>
      </c>
      <c r="BL22" s="710"/>
      <c r="BM22" s="710"/>
      <c r="BN22" s="710"/>
      <c r="BO22" s="710"/>
      <c r="BP22" s="710"/>
      <c r="BQ22" s="711"/>
      <c r="BR22" s="709" t="s">
        <v>264</v>
      </c>
      <c r="BS22" s="710"/>
      <c r="BT22" s="710"/>
      <c r="BU22" s="711"/>
      <c r="BV22" s="709" t="s">
        <v>16</v>
      </c>
      <c r="BW22" s="710"/>
      <c r="BX22" s="710"/>
      <c r="BY22" s="710"/>
      <c r="BZ22" s="710"/>
      <c r="CA22" s="711"/>
    </row>
    <row r="23" spans="1:79" x14ac:dyDescent="0.15">
      <c r="A23" s="712"/>
      <c r="B23" s="713"/>
      <c r="C23" s="713"/>
      <c r="D23" s="713"/>
      <c r="E23" s="713"/>
      <c r="F23" s="713"/>
      <c r="G23" s="713"/>
      <c r="H23" s="714"/>
      <c r="I23" s="712"/>
      <c r="J23" s="713"/>
      <c r="K23" s="713"/>
      <c r="L23" s="713"/>
      <c r="M23" s="714"/>
      <c r="N23" s="712"/>
      <c r="O23" s="713"/>
      <c r="P23" s="713"/>
      <c r="Q23" s="713"/>
      <c r="R23" s="714"/>
      <c r="S23" s="712"/>
      <c r="T23" s="713"/>
      <c r="U23" s="713"/>
      <c r="V23" s="713"/>
      <c r="W23" s="713"/>
      <c r="X23" s="713"/>
      <c r="Y23" s="714"/>
      <c r="Z23" s="712"/>
      <c r="AA23" s="713"/>
      <c r="AB23" s="713"/>
      <c r="AC23" s="714"/>
      <c r="AD23" s="712"/>
      <c r="AE23" s="713"/>
      <c r="AF23" s="713"/>
      <c r="AG23" s="713"/>
      <c r="AH23" s="713"/>
      <c r="AI23" s="714"/>
      <c r="AJ23" s="712"/>
      <c r="AK23" s="713"/>
      <c r="AL23" s="713"/>
      <c r="AM23" s="713"/>
      <c r="AN23" s="714"/>
      <c r="AO23" s="712"/>
      <c r="AP23" s="713"/>
      <c r="AQ23" s="713"/>
      <c r="AR23" s="713"/>
      <c r="AS23" s="713"/>
      <c r="AT23" s="713"/>
      <c r="AU23" s="714"/>
      <c r="AV23" s="712"/>
      <c r="AW23" s="713"/>
      <c r="AX23" s="713"/>
      <c r="AY23" s="714"/>
      <c r="AZ23" s="712"/>
      <c r="BA23" s="713"/>
      <c r="BB23" s="713"/>
      <c r="BC23" s="713"/>
      <c r="BD23" s="713"/>
      <c r="BE23" s="714"/>
      <c r="BF23" s="712"/>
      <c r="BG23" s="713"/>
      <c r="BH23" s="713"/>
      <c r="BI23" s="713"/>
      <c r="BJ23" s="714"/>
      <c r="BK23" s="712"/>
      <c r="BL23" s="713"/>
      <c r="BM23" s="713"/>
      <c r="BN23" s="713"/>
      <c r="BO23" s="713"/>
      <c r="BP23" s="713"/>
      <c r="BQ23" s="714"/>
      <c r="BR23" s="712"/>
      <c r="BS23" s="713"/>
      <c r="BT23" s="713"/>
      <c r="BU23" s="714"/>
      <c r="BV23" s="712"/>
      <c r="BW23" s="713"/>
      <c r="BX23" s="713"/>
      <c r="BY23" s="713"/>
      <c r="BZ23" s="713"/>
      <c r="CA23" s="714"/>
    </row>
    <row r="24" spans="1:79" x14ac:dyDescent="0.15">
      <c r="A24" s="618" t="s">
        <v>17</v>
      </c>
      <c r="B24" s="618"/>
      <c r="C24" s="618"/>
      <c r="D24" s="618"/>
      <c r="E24" s="618"/>
      <c r="F24" s="618"/>
      <c r="G24" s="618"/>
      <c r="H24" s="618"/>
      <c r="I24" s="705">
        <v>20</v>
      </c>
      <c r="J24" s="705"/>
      <c r="K24" s="705"/>
      <c r="L24" s="705"/>
      <c r="M24" s="705"/>
      <c r="N24" s="706">
        <v>5</v>
      </c>
      <c r="O24" s="706"/>
      <c r="P24" s="706"/>
      <c r="Q24" s="706"/>
      <c r="R24" s="706"/>
      <c r="S24" s="707">
        <f>IF(AND(I24&lt;&gt;"",N24&lt;&gt;""),N24/I24,"")</f>
        <v>0.25</v>
      </c>
      <c r="T24" s="707"/>
      <c r="U24" s="707"/>
      <c r="V24" s="707"/>
      <c r="W24" s="707"/>
      <c r="X24" s="707"/>
      <c r="Y24" s="707"/>
      <c r="Z24" s="705">
        <v>11</v>
      </c>
      <c r="AA24" s="705"/>
      <c r="AB24" s="705"/>
      <c r="AC24" s="705"/>
      <c r="AD24" s="707">
        <f>IF(AND(I24&lt;&gt;"",Z24&lt;&gt;""),Z24/I24,"")</f>
        <v>0.55000000000000004</v>
      </c>
      <c r="AE24" s="707"/>
      <c r="AF24" s="707"/>
      <c r="AG24" s="707"/>
      <c r="AH24" s="707"/>
      <c r="AI24" s="707"/>
      <c r="AJ24" s="706">
        <v>3</v>
      </c>
      <c r="AK24" s="706"/>
      <c r="AL24" s="706"/>
      <c r="AM24" s="706"/>
      <c r="AN24" s="706"/>
      <c r="AO24" s="707">
        <f>IF(AND(I24&lt;&gt;"",AJ24&lt;&gt;""),AJ24/I24,"")</f>
        <v>0.15</v>
      </c>
      <c r="AP24" s="707"/>
      <c r="AQ24" s="707"/>
      <c r="AR24" s="707"/>
      <c r="AS24" s="707"/>
      <c r="AT24" s="707"/>
      <c r="AU24" s="707"/>
      <c r="AV24" s="705">
        <v>6</v>
      </c>
      <c r="AW24" s="705"/>
      <c r="AX24" s="705"/>
      <c r="AY24" s="705"/>
      <c r="AZ24" s="707">
        <f>IF(AND(I24&lt;&gt;"",AV24&lt;&gt;""),AV24/I24,"")</f>
        <v>0.3</v>
      </c>
      <c r="BA24" s="707"/>
      <c r="BB24" s="707"/>
      <c r="BC24" s="707"/>
      <c r="BD24" s="707"/>
      <c r="BE24" s="707"/>
      <c r="BF24" s="706">
        <v>2</v>
      </c>
      <c r="BG24" s="706"/>
      <c r="BH24" s="706"/>
      <c r="BI24" s="706"/>
      <c r="BJ24" s="706"/>
      <c r="BK24" s="707">
        <f>IF(AND(I24&lt;&gt;"",BF24&lt;&gt;""),BF24/I24,"")</f>
        <v>0.1</v>
      </c>
      <c r="BL24" s="707"/>
      <c r="BM24" s="707"/>
      <c r="BN24" s="707"/>
      <c r="BO24" s="707"/>
      <c r="BP24" s="707"/>
      <c r="BQ24" s="707"/>
      <c r="BR24" s="705">
        <v>3</v>
      </c>
      <c r="BS24" s="705"/>
      <c r="BT24" s="705"/>
      <c r="BU24" s="705"/>
      <c r="BV24" s="707">
        <f>IF(AND(I24&lt;&gt;"",BR24&lt;&gt;""),BR24/I24,"")</f>
        <v>0.15</v>
      </c>
      <c r="BW24" s="707"/>
      <c r="BX24" s="707"/>
      <c r="BY24" s="707"/>
      <c r="BZ24" s="707"/>
      <c r="CA24" s="707"/>
    </row>
    <row r="25" spans="1:79" x14ac:dyDescent="0.15">
      <c r="A25" s="618"/>
      <c r="B25" s="618"/>
      <c r="C25" s="618"/>
      <c r="D25" s="618"/>
      <c r="E25" s="618"/>
      <c r="F25" s="618"/>
      <c r="G25" s="618"/>
      <c r="H25" s="618"/>
      <c r="I25" s="705"/>
      <c r="J25" s="705"/>
      <c r="K25" s="705"/>
      <c r="L25" s="705"/>
      <c r="M25" s="705"/>
      <c r="N25" s="706"/>
      <c r="O25" s="706"/>
      <c r="P25" s="706"/>
      <c r="Q25" s="706"/>
      <c r="R25" s="706"/>
      <c r="S25" s="707"/>
      <c r="T25" s="707"/>
      <c r="U25" s="707"/>
      <c r="V25" s="707"/>
      <c r="W25" s="707"/>
      <c r="X25" s="707"/>
      <c r="Y25" s="707"/>
      <c r="Z25" s="705"/>
      <c r="AA25" s="705"/>
      <c r="AB25" s="705"/>
      <c r="AC25" s="705"/>
      <c r="AD25" s="707"/>
      <c r="AE25" s="707"/>
      <c r="AF25" s="707"/>
      <c r="AG25" s="707"/>
      <c r="AH25" s="707"/>
      <c r="AI25" s="707"/>
      <c r="AJ25" s="706"/>
      <c r="AK25" s="706"/>
      <c r="AL25" s="706"/>
      <c r="AM25" s="706"/>
      <c r="AN25" s="706"/>
      <c r="AO25" s="707"/>
      <c r="AP25" s="707"/>
      <c r="AQ25" s="707"/>
      <c r="AR25" s="707"/>
      <c r="AS25" s="707"/>
      <c r="AT25" s="707"/>
      <c r="AU25" s="707"/>
      <c r="AV25" s="705"/>
      <c r="AW25" s="705"/>
      <c r="AX25" s="705"/>
      <c r="AY25" s="705"/>
      <c r="AZ25" s="707"/>
      <c r="BA25" s="707"/>
      <c r="BB25" s="707"/>
      <c r="BC25" s="707"/>
      <c r="BD25" s="707"/>
      <c r="BE25" s="707"/>
      <c r="BF25" s="706"/>
      <c r="BG25" s="706"/>
      <c r="BH25" s="706"/>
      <c r="BI25" s="706"/>
      <c r="BJ25" s="706"/>
      <c r="BK25" s="707"/>
      <c r="BL25" s="707"/>
      <c r="BM25" s="707"/>
      <c r="BN25" s="707"/>
      <c r="BO25" s="707"/>
      <c r="BP25" s="707"/>
      <c r="BQ25" s="707"/>
      <c r="BR25" s="705"/>
      <c r="BS25" s="705"/>
      <c r="BT25" s="705"/>
      <c r="BU25" s="705"/>
      <c r="BV25" s="707"/>
      <c r="BW25" s="707"/>
      <c r="BX25" s="707"/>
      <c r="BY25" s="707"/>
      <c r="BZ25" s="707"/>
      <c r="CA25" s="707"/>
    </row>
    <row r="26" spans="1:79" x14ac:dyDescent="0.15">
      <c r="A26" s="618" t="s">
        <v>18</v>
      </c>
      <c r="B26" s="618"/>
      <c r="C26" s="618"/>
      <c r="D26" s="618"/>
      <c r="E26" s="618"/>
      <c r="F26" s="618"/>
      <c r="G26" s="618"/>
      <c r="H26" s="618"/>
      <c r="I26" s="705">
        <v>30</v>
      </c>
      <c r="J26" s="705"/>
      <c r="K26" s="705"/>
      <c r="L26" s="705"/>
      <c r="M26" s="705"/>
      <c r="N26" s="706">
        <v>13</v>
      </c>
      <c r="O26" s="706"/>
      <c r="P26" s="706"/>
      <c r="Q26" s="706"/>
      <c r="R26" s="706"/>
      <c r="S26" s="707">
        <f>IF(AND(I26&lt;&gt;"",N26&lt;&gt;""),N26/I26,"")</f>
        <v>0.43333333333333335</v>
      </c>
      <c r="T26" s="707"/>
      <c r="U26" s="707"/>
      <c r="V26" s="707"/>
      <c r="W26" s="707"/>
      <c r="X26" s="707"/>
      <c r="Y26" s="707"/>
      <c r="Z26" s="705">
        <v>15</v>
      </c>
      <c r="AA26" s="705"/>
      <c r="AB26" s="705"/>
      <c r="AC26" s="705"/>
      <c r="AD26" s="707">
        <f>IF(AND(I26&lt;&gt;"",Z26&lt;&gt;""),Z26/I26,"")</f>
        <v>0.5</v>
      </c>
      <c r="AE26" s="707"/>
      <c r="AF26" s="707"/>
      <c r="AG26" s="707"/>
      <c r="AH26" s="707"/>
      <c r="AI26" s="707"/>
      <c r="AJ26" s="706">
        <v>6</v>
      </c>
      <c r="AK26" s="706"/>
      <c r="AL26" s="706"/>
      <c r="AM26" s="706"/>
      <c r="AN26" s="706"/>
      <c r="AO26" s="707">
        <f>IF(AND(I26&lt;&gt;"",AJ26&lt;&gt;""),AJ26/I26,"")</f>
        <v>0.2</v>
      </c>
      <c r="AP26" s="707"/>
      <c r="AQ26" s="707"/>
      <c r="AR26" s="707"/>
      <c r="AS26" s="707"/>
      <c r="AT26" s="707"/>
      <c r="AU26" s="707"/>
      <c r="AV26" s="705">
        <v>6</v>
      </c>
      <c r="AW26" s="705"/>
      <c r="AX26" s="705"/>
      <c r="AY26" s="705"/>
      <c r="AZ26" s="707">
        <f>IF(AND(I26&lt;&gt;"",AV26&lt;&gt;""),AV26/I26,"")</f>
        <v>0.2</v>
      </c>
      <c r="BA26" s="707"/>
      <c r="BB26" s="707"/>
      <c r="BC26" s="707"/>
      <c r="BD26" s="707"/>
      <c r="BE26" s="707"/>
      <c r="BF26" s="706">
        <v>3</v>
      </c>
      <c r="BG26" s="706"/>
      <c r="BH26" s="706"/>
      <c r="BI26" s="706"/>
      <c r="BJ26" s="706"/>
      <c r="BK26" s="707">
        <f>IF(AND(I26&lt;&gt;"",BF26&lt;&gt;""),BF26/I26,"")</f>
        <v>0.1</v>
      </c>
      <c r="BL26" s="707"/>
      <c r="BM26" s="707"/>
      <c r="BN26" s="707"/>
      <c r="BO26" s="707"/>
      <c r="BP26" s="707"/>
      <c r="BQ26" s="707"/>
      <c r="BR26" s="705">
        <v>3</v>
      </c>
      <c r="BS26" s="705"/>
      <c r="BT26" s="705"/>
      <c r="BU26" s="705"/>
      <c r="BV26" s="707">
        <f>IF(AND(I26&lt;&gt;"",BR26&lt;&gt;""),BR26/I26,"")</f>
        <v>0.1</v>
      </c>
      <c r="BW26" s="707"/>
      <c r="BX26" s="707"/>
      <c r="BY26" s="707"/>
      <c r="BZ26" s="707"/>
      <c r="CA26" s="707"/>
    </row>
    <row r="27" spans="1:79" x14ac:dyDescent="0.15">
      <c r="A27" s="618"/>
      <c r="B27" s="618"/>
      <c r="C27" s="618"/>
      <c r="D27" s="618"/>
      <c r="E27" s="618"/>
      <c r="F27" s="618"/>
      <c r="G27" s="618"/>
      <c r="H27" s="618"/>
      <c r="I27" s="705"/>
      <c r="J27" s="705"/>
      <c r="K27" s="705"/>
      <c r="L27" s="705"/>
      <c r="M27" s="705"/>
      <c r="N27" s="706"/>
      <c r="O27" s="706"/>
      <c r="P27" s="706"/>
      <c r="Q27" s="706"/>
      <c r="R27" s="706"/>
      <c r="S27" s="707"/>
      <c r="T27" s="707"/>
      <c r="U27" s="707"/>
      <c r="V27" s="707"/>
      <c r="W27" s="707"/>
      <c r="X27" s="707"/>
      <c r="Y27" s="707"/>
      <c r="Z27" s="705"/>
      <c r="AA27" s="705"/>
      <c r="AB27" s="705"/>
      <c r="AC27" s="705"/>
      <c r="AD27" s="707"/>
      <c r="AE27" s="707"/>
      <c r="AF27" s="707"/>
      <c r="AG27" s="707"/>
      <c r="AH27" s="707"/>
      <c r="AI27" s="707"/>
      <c r="AJ27" s="706"/>
      <c r="AK27" s="706"/>
      <c r="AL27" s="706"/>
      <c r="AM27" s="706"/>
      <c r="AN27" s="706"/>
      <c r="AO27" s="707"/>
      <c r="AP27" s="707"/>
      <c r="AQ27" s="707"/>
      <c r="AR27" s="707"/>
      <c r="AS27" s="707"/>
      <c r="AT27" s="707"/>
      <c r="AU27" s="707"/>
      <c r="AV27" s="705"/>
      <c r="AW27" s="705"/>
      <c r="AX27" s="705"/>
      <c r="AY27" s="705"/>
      <c r="AZ27" s="707"/>
      <c r="BA27" s="707"/>
      <c r="BB27" s="707"/>
      <c r="BC27" s="707"/>
      <c r="BD27" s="707"/>
      <c r="BE27" s="707"/>
      <c r="BF27" s="706"/>
      <c r="BG27" s="706"/>
      <c r="BH27" s="706"/>
      <c r="BI27" s="706"/>
      <c r="BJ27" s="706"/>
      <c r="BK27" s="707"/>
      <c r="BL27" s="707"/>
      <c r="BM27" s="707"/>
      <c r="BN27" s="707"/>
      <c r="BO27" s="707"/>
      <c r="BP27" s="707"/>
      <c r="BQ27" s="707"/>
      <c r="BR27" s="705"/>
      <c r="BS27" s="705"/>
      <c r="BT27" s="705"/>
      <c r="BU27" s="705"/>
      <c r="BV27" s="707"/>
      <c r="BW27" s="707"/>
      <c r="BX27" s="707"/>
      <c r="BY27" s="707"/>
      <c r="BZ27" s="707"/>
      <c r="CA27" s="707"/>
    </row>
    <row r="28" spans="1:79" x14ac:dyDescent="0.15">
      <c r="A28" s="618" t="s">
        <v>19</v>
      </c>
      <c r="B28" s="618"/>
      <c r="C28" s="618"/>
      <c r="D28" s="618"/>
      <c r="E28" s="618"/>
      <c r="F28" s="618"/>
      <c r="G28" s="618"/>
      <c r="H28" s="618"/>
      <c r="I28" s="705">
        <v>15</v>
      </c>
      <c r="J28" s="705"/>
      <c r="K28" s="705"/>
      <c r="L28" s="705"/>
      <c r="M28" s="705"/>
      <c r="N28" s="706">
        <v>5</v>
      </c>
      <c r="O28" s="706"/>
      <c r="P28" s="706"/>
      <c r="Q28" s="706"/>
      <c r="R28" s="706"/>
      <c r="S28" s="707">
        <f>IF(AND(I28&lt;&gt;"",N28&lt;&gt;""),N28/I28,"")</f>
        <v>0.33333333333333331</v>
      </c>
      <c r="T28" s="707"/>
      <c r="U28" s="707"/>
      <c r="V28" s="707"/>
      <c r="W28" s="707"/>
      <c r="X28" s="707"/>
      <c r="Y28" s="707"/>
      <c r="Z28" s="705">
        <v>6</v>
      </c>
      <c r="AA28" s="705"/>
      <c r="AB28" s="705"/>
      <c r="AC28" s="705"/>
      <c r="AD28" s="707">
        <f>IF(AND(I28&lt;&gt;"",Z28&lt;&gt;""),Z28/I28,"")</f>
        <v>0.4</v>
      </c>
      <c r="AE28" s="707"/>
      <c r="AF28" s="707"/>
      <c r="AG28" s="707"/>
      <c r="AH28" s="707"/>
      <c r="AI28" s="707"/>
      <c r="AJ28" s="706">
        <v>3</v>
      </c>
      <c r="AK28" s="706"/>
      <c r="AL28" s="706"/>
      <c r="AM28" s="706"/>
      <c r="AN28" s="706"/>
      <c r="AO28" s="707">
        <f>IF(AND(I28&lt;&gt;"",AJ28&lt;&gt;""),AJ28/I28,"")</f>
        <v>0.2</v>
      </c>
      <c r="AP28" s="707"/>
      <c r="AQ28" s="707"/>
      <c r="AR28" s="707"/>
      <c r="AS28" s="707"/>
      <c r="AT28" s="707"/>
      <c r="AU28" s="707"/>
      <c r="AV28" s="705">
        <v>3</v>
      </c>
      <c r="AW28" s="705"/>
      <c r="AX28" s="705"/>
      <c r="AY28" s="705"/>
      <c r="AZ28" s="707">
        <f>IF(AND(I28&lt;&gt;"",AV28&lt;&gt;""),AV28/I28,"")</f>
        <v>0.2</v>
      </c>
      <c r="BA28" s="707"/>
      <c r="BB28" s="707"/>
      <c r="BC28" s="707"/>
      <c r="BD28" s="707"/>
      <c r="BE28" s="707"/>
      <c r="BF28" s="706">
        <v>2</v>
      </c>
      <c r="BG28" s="706"/>
      <c r="BH28" s="706"/>
      <c r="BI28" s="706"/>
      <c r="BJ28" s="706"/>
      <c r="BK28" s="707">
        <f>IF(AND(I28&lt;&gt;"",BF28&lt;&gt;""),BF28/I28,"")</f>
        <v>0.13333333333333333</v>
      </c>
      <c r="BL28" s="707"/>
      <c r="BM28" s="707"/>
      <c r="BN28" s="707"/>
      <c r="BO28" s="707"/>
      <c r="BP28" s="707"/>
      <c r="BQ28" s="707"/>
      <c r="BR28" s="705">
        <v>2</v>
      </c>
      <c r="BS28" s="705"/>
      <c r="BT28" s="705"/>
      <c r="BU28" s="705"/>
      <c r="BV28" s="707">
        <f>IF(AND(I28&lt;&gt;"",BR28&lt;&gt;""),BR28/I28,"")</f>
        <v>0.13333333333333333</v>
      </c>
      <c r="BW28" s="707"/>
      <c r="BX28" s="707"/>
      <c r="BY28" s="707"/>
      <c r="BZ28" s="707"/>
      <c r="CA28" s="707"/>
    </row>
    <row r="29" spans="1:79" x14ac:dyDescent="0.15">
      <c r="A29" s="618"/>
      <c r="B29" s="618"/>
      <c r="C29" s="618"/>
      <c r="D29" s="618"/>
      <c r="E29" s="618"/>
      <c r="F29" s="618"/>
      <c r="G29" s="618"/>
      <c r="H29" s="618"/>
      <c r="I29" s="705"/>
      <c r="J29" s="705"/>
      <c r="K29" s="705"/>
      <c r="L29" s="705"/>
      <c r="M29" s="705"/>
      <c r="N29" s="706"/>
      <c r="O29" s="706"/>
      <c r="P29" s="706"/>
      <c r="Q29" s="706"/>
      <c r="R29" s="706"/>
      <c r="S29" s="707"/>
      <c r="T29" s="707"/>
      <c r="U29" s="707"/>
      <c r="V29" s="707"/>
      <c r="W29" s="707"/>
      <c r="X29" s="707"/>
      <c r="Y29" s="707"/>
      <c r="Z29" s="705"/>
      <c r="AA29" s="705"/>
      <c r="AB29" s="705"/>
      <c r="AC29" s="705"/>
      <c r="AD29" s="707"/>
      <c r="AE29" s="707"/>
      <c r="AF29" s="707"/>
      <c r="AG29" s="707"/>
      <c r="AH29" s="707"/>
      <c r="AI29" s="707"/>
      <c r="AJ29" s="706"/>
      <c r="AK29" s="706"/>
      <c r="AL29" s="706"/>
      <c r="AM29" s="706"/>
      <c r="AN29" s="706"/>
      <c r="AO29" s="707"/>
      <c r="AP29" s="707"/>
      <c r="AQ29" s="707"/>
      <c r="AR29" s="707"/>
      <c r="AS29" s="707"/>
      <c r="AT29" s="707"/>
      <c r="AU29" s="707"/>
      <c r="AV29" s="705"/>
      <c r="AW29" s="705"/>
      <c r="AX29" s="705"/>
      <c r="AY29" s="705"/>
      <c r="AZ29" s="707"/>
      <c r="BA29" s="707"/>
      <c r="BB29" s="707"/>
      <c r="BC29" s="707"/>
      <c r="BD29" s="707"/>
      <c r="BE29" s="707"/>
      <c r="BF29" s="706"/>
      <c r="BG29" s="706"/>
      <c r="BH29" s="706"/>
      <c r="BI29" s="706"/>
      <c r="BJ29" s="706"/>
      <c r="BK29" s="707"/>
      <c r="BL29" s="707"/>
      <c r="BM29" s="707"/>
      <c r="BN29" s="707"/>
      <c r="BO29" s="707"/>
      <c r="BP29" s="707"/>
      <c r="BQ29" s="707"/>
      <c r="BR29" s="705"/>
      <c r="BS29" s="705"/>
      <c r="BT29" s="705"/>
      <c r="BU29" s="705"/>
      <c r="BV29" s="707"/>
      <c r="BW29" s="707"/>
      <c r="BX29" s="707"/>
      <c r="BY29" s="707"/>
      <c r="BZ29" s="707"/>
      <c r="CA29" s="707"/>
    </row>
    <row r="30" spans="1:79" x14ac:dyDescent="0.15">
      <c r="A30" s="618" t="s">
        <v>20</v>
      </c>
      <c r="B30" s="618"/>
      <c r="C30" s="618"/>
      <c r="D30" s="618"/>
      <c r="E30" s="618"/>
      <c r="F30" s="618"/>
      <c r="G30" s="618"/>
      <c r="H30" s="618"/>
      <c r="I30" s="705">
        <v>40</v>
      </c>
      <c r="J30" s="705"/>
      <c r="K30" s="705"/>
      <c r="L30" s="705"/>
      <c r="M30" s="705"/>
      <c r="N30" s="706">
        <v>10</v>
      </c>
      <c r="O30" s="706"/>
      <c r="P30" s="706"/>
      <c r="Q30" s="706"/>
      <c r="R30" s="706"/>
      <c r="S30" s="707">
        <f>IF(AND(I30&lt;&gt;"",N30&lt;&gt;""),N30/I30,"")</f>
        <v>0.25</v>
      </c>
      <c r="T30" s="707"/>
      <c r="U30" s="707"/>
      <c r="V30" s="707"/>
      <c r="W30" s="707"/>
      <c r="X30" s="707"/>
      <c r="Y30" s="707"/>
      <c r="Z30" s="705">
        <v>16</v>
      </c>
      <c r="AA30" s="705"/>
      <c r="AB30" s="705"/>
      <c r="AC30" s="705"/>
      <c r="AD30" s="707">
        <f>IF(AND(I30&lt;&gt;"",Z30&lt;&gt;""),Z30/I30,"")</f>
        <v>0.4</v>
      </c>
      <c r="AE30" s="707"/>
      <c r="AF30" s="707"/>
      <c r="AG30" s="707"/>
      <c r="AH30" s="707"/>
      <c r="AI30" s="707"/>
      <c r="AJ30" s="706">
        <v>10</v>
      </c>
      <c r="AK30" s="706"/>
      <c r="AL30" s="706"/>
      <c r="AM30" s="706"/>
      <c r="AN30" s="706"/>
      <c r="AO30" s="707">
        <f>IF(AND(I30&lt;&gt;"",AJ30&lt;&gt;""),AJ30/I30,"")</f>
        <v>0.25</v>
      </c>
      <c r="AP30" s="707"/>
      <c r="AQ30" s="707"/>
      <c r="AR30" s="707"/>
      <c r="AS30" s="707"/>
      <c r="AT30" s="707"/>
      <c r="AU30" s="707"/>
      <c r="AV30" s="705">
        <v>7</v>
      </c>
      <c r="AW30" s="705"/>
      <c r="AX30" s="705"/>
      <c r="AY30" s="705"/>
      <c r="AZ30" s="707">
        <f>IF(AND(I30&lt;&gt;"",AV30&lt;&gt;""),AV30/I30,"")</f>
        <v>0.17499999999999999</v>
      </c>
      <c r="BA30" s="707"/>
      <c r="BB30" s="707"/>
      <c r="BC30" s="707"/>
      <c r="BD30" s="707"/>
      <c r="BE30" s="707"/>
      <c r="BF30" s="706">
        <v>4</v>
      </c>
      <c r="BG30" s="706"/>
      <c r="BH30" s="706"/>
      <c r="BI30" s="706"/>
      <c r="BJ30" s="706"/>
      <c r="BK30" s="707">
        <f>IF(AND(I30&lt;&gt;"",BF30&lt;&gt;""),BF30/I30,"")</f>
        <v>0.1</v>
      </c>
      <c r="BL30" s="707"/>
      <c r="BM30" s="707"/>
      <c r="BN30" s="707"/>
      <c r="BO30" s="707"/>
      <c r="BP30" s="707"/>
      <c r="BQ30" s="707"/>
      <c r="BR30" s="705">
        <v>5</v>
      </c>
      <c r="BS30" s="705"/>
      <c r="BT30" s="705"/>
      <c r="BU30" s="705"/>
      <c r="BV30" s="707">
        <f>IF(AND(I30&lt;&gt;"",BR30&lt;&gt;""),BR30/I30,"")</f>
        <v>0.125</v>
      </c>
      <c r="BW30" s="707"/>
      <c r="BX30" s="707"/>
      <c r="BY30" s="707"/>
      <c r="BZ30" s="707"/>
      <c r="CA30" s="707"/>
    </row>
    <row r="31" spans="1:79" x14ac:dyDescent="0.15">
      <c r="A31" s="618"/>
      <c r="B31" s="618"/>
      <c r="C31" s="618"/>
      <c r="D31" s="618"/>
      <c r="E31" s="618"/>
      <c r="F31" s="618"/>
      <c r="G31" s="618"/>
      <c r="H31" s="618"/>
      <c r="I31" s="705"/>
      <c r="J31" s="705"/>
      <c r="K31" s="705"/>
      <c r="L31" s="705"/>
      <c r="M31" s="705"/>
      <c r="N31" s="706"/>
      <c r="O31" s="706"/>
      <c r="P31" s="706"/>
      <c r="Q31" s="706"/>
      <c r="R31" s="706"/>
      <c r="S31" s="707"/>
      <c r="T31" s="707"/>
      <c r="U31" s="707"/>
      <c r="V31" s="707"/>
      <c r="W31" s="707"/>
      <c r="X31" s="707"/>
      <c r="Y31" s="707"/>
      <c r="Z31" s="705"/>
      <c r="AA31" s="705"/>
      <c r="AB31" s="705"/>
      <c r="AC31" s="705"/>
      <c r="AD31" s="707"/>
      <c r="AE31" s="707"/>
      <c r="AF31" s="707"/>
      <c r="AG31" s="707"/>
      <c r="AH31" s="707"/>
      <c r="AI31" s="707"/>
      <c r="AJ31" s="706"/>
      <c r="AK31" s="706"/>
      <c r="AL31" s="706"/>
      <c r="AM31" s="706"/>
      <c r="AN31" s="706"/>
      <c r="AO31" s="707"/>
      <c r="AP31" s="707"/>
      <c r="AQ31" s="707"/>
      <c r="AR31" s="707"/>
      <c r="AS31" s="707"/>
      <c r="AT31" s="707"/>
      <c r="AU31" s="707"/>
      <c r="AV31" s="705"/>
      <c r="AW31" s="705"/>
      <c r="AX31" s="705"/>
      <c r="AY31" s="705"/>
      <c r="AZ31" s="707"/>
      <c r="BA31" s="707"/>
      <c r="BB31" s="707"/>
      <c r="BC31" s="707"/>
      <c r="BD31" s="707"/>
      <c r="BE31" s="707"/>
      <c r="BF31" s="706"/>
      <c r="BG31" s="706"/>
      <c r="BH31" s="706"/>
      <c r="BI31" s="706"/>
      <c r="BJ31" s="706"/>
      <c r="BK31" s="707"/>
      <c r="BL31" s="707"/>
      <c r="BM31" s="707"/>
      <c r="BN31" s="707"/>
      <c r="BO31" s="707"/>
      <c r="BP31" s="707"/>
      <c r="BQ31" s="707"/>
      <c r="BR31" s="705"/>
      <c r="BS31" s="705"/>
      <c r="BT31" s="705"/>
      <c r="BU31" s="705"/>
      <c r="BV31" s="707"/>
      <c r="BW31" s="707"/>
      <c r="BX31" s="707"/>
      <c r="BY31" s="707"/>
      <c r="BZ31" s="707"/>
      <c r="CA31" s="707"/>
    </row>
    <row r="32" spans="1:79" x14ac:dyDescent="0.15">
      <c r="A32" s="618"/>
      <c r="B32" s="618"/>
      <c r="C32" s="618"/>
      <c r="D32" s="618"/>
      <c r="E32" s="618"/>
      <c r="F32" s="618"/>
      <c r="G32" s="618"/>
      <c r="H32" s="618"/>
      <c r="I32" s="705"/>
      <c r="J32" s="705"/>
      <c r="K32" s="705"/>
      <c r="L32" s="705"/>
      <c r="M32" s="705"/>
      <c r="N32" s="706"/>
      <c r="O32" s="706"/>
      <c r="P32" s="706"/>
      <c r="Q32" s="706"/>
      <c r="R32" s="706"/>
      <c r="S32" s="707" t="str">
        <f>IF(AND(I32&lt;&gt;"",N32&lt;&gt;""),N32/I32,"")</f>
        <v/>
      </c>
      <c r="T32" s="707"/>
      <c r="U32" s="707"/>
      <c r="V32" s="707"/>
      <c r="W32" s="707"/>
      <c r="X32" s="707"/>
      <c r="Y32" s="707"/>
      <c r="Z32" s="705"/>
      <c r="AA32" s="705"/>
      <c r="AB32" s="705"/>
      <c r="AC32" s="705"/>
      <c r="AD32" s="707" t="str">
        <f>IF(AND(I32&lt;&gt;"",Z32&lt;&gt;""),Z32/I32,"")</f>
        <v/>
      </c>
      <c r="AE32" s="707"/>
      <c r="AF32" s="707"/>
      <c r="AG32" s="707"/>
      <c r="AH32" s="707"/>
      <c r="AI32" s="707"/>
      <c r="AJ32" s="706"/>
      <c r="AK32" s="706"/>
      <c r="AL32" s="706"/>
      <c r="AM32" s="706"/>
      <c r="AN32" s="706"/>
      <c r="AO32" s="707" t="str">
        <f>IF(AND(I32&lt;&gt;"",AJ32&lt;&gt;""),AJ32/I32,"")</f>
        <v/>
      </c>
      <c r="AP32" s="707"/>
      <c r="AQ32" s="707"/>
      <c r="AR32" s="707"/>
      <c r="AS32" s="707"/>
      <c r="AT32" s="707"/>
      <c r="AU32" s="707"/>
      <c r="AV32" s="705"/>
      <c r="AW32" s="705"/>
      <c r="AX32" s="705"/>
      <c r="AY32" s="705"/>
      <c r="AZ32" s="707" t="str">
        <f>IF(AND(I32&lt;&gt;"",AV32&lt;&gt;""),AV32/I32,"")</f>
        <v/>
      </c>
      <c r="BA32" s="707"/>
      <c r="BB32" s="707"/>
      <c r="BC32" s="707"/>
      <c r="BD32" s="707"/>
      <c r="BE32" s="707"/>
      <c r="BF32" s="706"/>
      <c r="BG32" s="706"/>
      <c r="BH32" s="706"/>
      <c r="BI32" s="706"/>
      <c r="BJ32" s="706"/>
      <c r="BK32" s="707" t="str">
        <f>IF(AND(I32&lt;&gt;"",BF32&lt;&gt;""),BF32/I32,"")</f>
        <v/>
      </c>
      <c r="BL32" s="707"/>
      <c r="BM32" s="707"/>
      <c r="BN32" s="707"/>
      <c r="BO32" s="707"/>
      <c r="BP32" s="707"/>
      <c r="BQ32" s="707"/>
      <c r="BR32" s="705"/>
      <c r="BS32" s="705"/>
      <c r="BT32" s="705"/>
      <c r="BU32" s="705"/>
      <c r="BV32" s="707" t="str">
        <f>IF(AND(I32&lt;&gt;"",BR32&lt;&gt;""),BR32/I32,"")</f>
        <v/>
      </c>
      <c r="BW32" s="707"/>
      <c r="BX32" s="707"/>
      <c r="BY32" s="707"/>
      <c r="BZ32" s="707"/>
      <c r="CA32" s="707"/>
    </row>
    <row r="33" spans="1:79" x14ac:dyDescent="0.15">
      <c r="A33" s="618"/>
      <c r="B33" s="618"/>
      <c r="C33" s="618"/>
      <c r="D33" s="618"/>
      <c r="E33" s="618"/>
      <c r="F33" s="618"/>
      <c r="G33" s="618"/>
      <c r="H33" s="618"/>
      <c r="I33" s="705"/>
      <c r="J33" s="705"/>
      <c r="K33" s="705"/>
      <c r="L33" s="705"/>
      <c r="M33" s="705"/>
      <c r="N33" s="706"/>
      <c r="O33" s="706"/>
      <c r="P33" s="706"/>
      <c r="Q33" s="706"/>
      <c r="R33" s="706"/>
      <c r="S33" s="707"/>
      <c r="T33" s="707"/>
      <c r="U33" s="707"/>
      <c r="V33" s="707"/>
      <c r="W33" s="707"/>
      <c r="X33" s="707"/>
      <c r="Y33" s="707"/>
      <c r="Z33" s="705"/>
      <c r="AA33" s="705"/>
      <c r="AB33" s="705"/>
      <c r="AC33" s="705"/>
      <c r="AD33" s="707"/>
      <c r="AE33" s="707"/>
      <c r="AF33" s="707"/>
      <c r="AG33" s="707"/>
      <c r="AH33" s="707"/>
      <c r="AI33" s="707"/>
      <c r="AJ33" s="706"/>
      <c r="AK33" s="706"/>
      <c r="AL33" s="706"/>
      <c r="AM33" s="706"/>
      <c r="AN33" s="706"/>
      <c r="AO33" s="707"/>
      <c r="AP33" s="707"/>
      <c r="AQ33" s="707"/>
      <c r="AR33" s="707"/>
      <c r="AS33" s="707"/>
      <c r="AT33" s="707"/>
      <c r="AU33" s="707"/>
      <c r="AV33" s="705"/>
      <c r="AW33" s="705"/>
      <c r="AX33" s="705"/>
      <c r="AY33" s="705"/>
      <c r="AZ33" s="707"/>
      <c r="BA33" s="707"/>
      <c r="BB33" s="707"/>
      <c r="BC33" s="707"/>
      <c r="BD33" s="707"/>
      <c r="BE33" s="707"/>
      <c r="BF33" s="706"/>
      <c r="BG33" s="706"/>
      <c r="BH33" s="706"/>
      <c r="BI33" s="706"/>
      <c r="BJ33" s="706"/>
      <c r="BK33" s="707"/>
      <c r="BL33" s="707"/>
      <c r="BM33" s="707"/>
      <c r="BN33" s="707"/>
      <c r="BO33" s="707"/>
      <c r="BP33" s="707"/>
      <c r="BQ33" s="707"/>
      <c r="BR33" s="705"/>
      <c r="BS33" s="705"/>
      <c r="BT33" s="705"/>
      <c r="BU33" s="705"/>
      <c r="BV33" s="707"/>
      <c r="BW33" s="707"/>
      <c r="BX33" s="707"/>
      <c r="BY33" s="707"/>
      <c r="BZ33" s="707"/>
      <c r="CA33" s="707"/>
    </row>
    <row r="34" spans="1:79" x14ac:dyDescent="0.15">
      <c r="A34" s="618"/>
      <c r="B34" s="618"/>
      <c r="C34" s="618"/>
      <c r="D34" s="618"/>
      <c r="E34" s="618"/>
      <c r="F34" s="618"/>
      <c r="G34" s="618"/>
      <c r="H34" s="618"/>
      <c r="I34" s="705"/>
      <c r="J34" s="705"/>
      <c r="K34" s="705"/>
      <c r="L34" s="705"/>
      <c r="M34" s="705"/>
      <c r="N34" s="706"/>
      <c r="O34" s="706"/>
      <c r="P34" s="706"/>
      <c r="Q34" s="706"/>
      <c r="R34" s="706"/>
      <c r="S34" s="707" t="str">
        <f>IF(AND(I34&lt;&gt;"",N34&lt;&gt;""),N34/I34,"")</f>
        <v/>
      </c>
      <c r="T34" s="707"/>
      <c r="U34" s="707"/>
      <c r="V34" s="707"/>
      <c r="W34" s="707"/>
      <c r="X34" s="707"/>
      <c r="Y34" s="707"/>
      <c r="Z34" s="705"/>
      <c r="AA34" s="705"/>
      <c r="AB34" s="705"/>
      <c r="AC34" s="705"/>
      <c r="AD34" s="707" t="str">
        <f>IF(AND(I34&lt;&gt;"",Z34&lt;&gt;""),Z34/I34,"")</f>
        <v/>
      </c>
      <c r="AE34" s="707"/>
      <c r="AF34" s="707"/>
      <c r="AG34" s="707"/>
      <c r="AH34" s="707"/>
      <c r="AI34" s="707"/>
      <c r="AJ34" s="706"/>
      <c r="AK34" s="706"/>
      <c r="AL34" s="706"/>
      <c r="AM34" s="706"/>
      <c r="AN34" s="706"/>
      <c r="AO34" s="707" t="str">
        <f>IF(AND(I34&lt;&gt;"",AJ34&lt;&gt;""),AJ34/I34,"")</f>
        <v/>
      </c>
      <c r="AP34" s="707"/>
      <c r="AQ34" s="707"/>
      <c r="AR34" s="707"/>
      <c r="AS34" s="707"/>
      <c r="AT34" s="707"/>
      <c r="AU34" s="707"/>
      <c r="AV34" s="705"/>
      <c r="AW34" s="705"/>
      <c r="AX34" s="705"/>
      <c r="AY34" s="705"/>
      <c r="AZ34" s="707" t="str">
        <f>IF(AND(I34&lt;&gt;"",AV34&lt;&gt;""),AV34/I34,"")</f>
        <v/>
      </c>
      <c r="BA34" s="707"/>
      <c r="BB34" s="707"/>
      <c r="BC34" s="707"/>
      <c r="BD34" s="707"/>
      <c r="BE34" s="707"/>
      <c r="BF34" s="706"/>
      <c r="BG34" s="706"/>
      <c r="BH34" s="706"/>
      <c r="BI34" s="706"/>
      <c r="BJ34" s="706"/>
      <c r="BK34" s="707" t="str">
        <f>IF(AND(I34&lt;&gt;"",BF34&lt;&gt;""),BF34/I34,"")</f>
        <v/>
      </c>
      <c r="BL34" s="707"/>
      <c r="BM34" s="707"/>
      <c r="BN34" s="707"/>
      <c r="BO34" s="707"/>
      <c r="BP34" s="707"/>
      <c r="BQ34" s="707"/>
      <c r="BR34" s="705"/>
      <c r="BS34" s="705"/>
      <c r="BT34" s="705"/>
      <c r="BU34" s="705"/>
      <c r="BV34" s="707" t="str">
        <f>IF(AND(I34&lt;&gt;"",BR34&lt;&gt;""),BR34/I34,"")</f>
        <v/>
      </c>
      <c r="BW34" s="707"/>
      <c r="BX34" s="707"/>
      <c r="BY34" s="707"/>
      <c r="BZ34" s="707"/>
      <c r="CA34" s="707"/>
    </row>
    <row r="35" spans="1:79" x14ac:dyDescent="0.15">
      <c r="A35" s="618"/>
      <c r="B35" s="618"/>
      <c r="C35" s="618"/>
      <c r="D35" s="618"/>
      <c r="E35" s="618"/>
      <c r="F35" s="618"/>
      <c r="G35" s="618"/>
      <c r="H35" s="618"/>
      <c r="I35" s="705"/>
      <c r="J35" s="705"/>
      <c r="K35" s="705"/>
      <c r="L35" s="705"/>
      <c r="M35" s="705"/>
      <c r="N35" s="706"/>
      <c r="O35" s="706"/>
      <c r="P35" s="706"/>
      <c r="Q35" s="706"/>
      <c r="R35" s="706"/>
      <c r="S35" s="707"/>
      <c r="T35" s="707"/>
      <c r="U35" s="707"/>
      <c r="V35" s="707"/>
      <c r="W35" s="707"/>
      <c r="X35" s="707"/>
      <c r="Y35" s="707"/>
      <c r="Z35" s="705"/>
      <c r="AA35" s="705"/>
      <c r="AB35" s="705"/>
      <c r="AC35" s="705"/>
      <c r="AD35" s="707"/>
      <c r="AE35" s="707"/>
      <c r="AF35" s="707"/>
      <c r="AG35" s="707"/>
      <c r="AH35" s="707"/>
      <c r="AI35" s="707"/>
      <c r="AJ35" s="706"/>
      <c r="AK35" s="706"/>
      <c r="AL35" s="706"/>
      <c r="AM35" s="706"/>
      <c r="AN35" s="706"/>
      <c r="AO35" s="707"/>
      <c r="AP35" s="707"/>
      <c r="AQ35" s="707"/>
      <c r="AR35" s="707"/>
      <c r="AS35" s="707"/>
      <c r="AT35" s="707"/>
      <c r="AU35" s="707"/>
      <c r="AV35" s="705"/>
      <c r="AW35" s="705"/>
      <c r="AX35" s="705"/>
      <c r="AY35" s="705"/>
      <c r="AZ35" s="707"/>
      <c r="BA35" s="707"/>
      <c r="BB35" s="707"/>
      <c r="BC35" s="707"/>
      <c r="BD35" s="707"/>
      <c r="BE35" s="707"/>
      <c r="BF35" s="706"/>
      <c r="BG35" s="706"/>
      <c r="BH35" s="706"/>
      <c r="BI35" s="706"/>
      <c r="BJ35" s="706"/>
      <c r="BK35" s="707"/>
      <c r="BL35" s="707"/>
      <c r="BM35" s="707"/>
      <c r="BN35" s="707"/>
      <c r="BO35" s="707"/>
      <c r="BP35" s="707"/>
      <c r="BQ35" s="707"/>
      <c r="BR35" s="705"/>
      <c r="BS35" s="705"/>
      <c r="BT35" s="705"/>
      <c r="BU35" s="705"/>
      <c r="BV35" s="707"/>
      <c r="BW35" s="707"/>
      <c r="BX35" s="707"/>
      <c r="BY35" s="707"/>
      <c r="BZ35" s="707"/>
      <c r="CA35" s="707"/>
    </row>
    <row r="36" spans="1:79" x14ac:dyDescent="0.15">
      <c r="A36" s="618"/>
      <c r="B36" s="618"/>
      <c r="C36" s="618"/>
      <c r="D36" s="618"/>
      <c r="E36" s="618"/>
      <c r="F36" s="618"/>
      <c r="G36" s="618"/>
      <c r="H36" s="618"/>
      <c r="I36" s="705"/>
      <c r="J36" s="705"/>
      <c r="K36" s="705"/>
      <c r="L36" s="705"/>
      <c r="M36" s="705"/>
      <c r="N36" s="706"/>
      <c r="O36" s="706"/>
      <c r="P36" s="706"/>
      <c r="Q36" s="706"/>
      <c r="R36" s="706"/>
      <c r="S36" s="707" t="str">
        <f>IF(AND(I36&lt;&gt;"",N36&lt;&gt;""),N36/I36,"")</f>
        <v/>
      </c>
      <c r="T36" s="707"/>
      <c r="U36" s="707"/>
      <c r="V36" s="707"/>
      <c r="W36" s="707"/>
      <c r="X36" s="707"/>
      <c r="Y36" s="707"/>
      <c r="Z36" s="705"/>
      <c r="AA36" s="705"/>
      <c r="AB36" s="705"/>
      <c r="AC36" s="705"/>
      <c r="AD36" s="707" t="str">
        <f>IF(AND(I36&lt;&gt;"",Z36&lt;&gt;""),Z36/I36,"")</f>
        <v/>
      </c>
      <c r="AE36" s="707"/>
      <c r="AF36" s="707"/>
      <c r="AG36" s="707"/>
      <c r="AH36" s="707"/>
      <c r="AI36" s="707"/>
      <c r="AJ36" s="706"/>
      <c r="AK36" s="706"/>
      <c r="AL36" s="706"/>
      <c r="AM36" s="706"/>
      <c r="AN36" s="706"/>
      <c r="AO36" s="707" t="str">
        <f>IF(AND(I36&lt;&gt;"",AJ36&lt;&gt;""),AJ36/I36,"")</f>
        <v/>
      </c>
      <c r="AP36" s="707"/>
      <c r="AQ36" s="707"/>
      <c r="AR36" s="707"/>
      <c r="AS36" s="707"/>
      <c r="AT36" s="707"/>
      <c r="AU36" s="707"/>
      <c r="AV36" s="705"/>
      <c r="AW36" s="705"/>
      <c r="AX36" s="705"/>
      <c r="AY36" s="705"/>
      <c r="AZ36" s="707" t="str">
        <f>IF(AND(I36&lt;&gt;"",AV36&lt;&gt;""),AV36/I36,"")</f>
        <v/>
      </c>
      <c r="BA36" s="707"/>
      <c r="BB36" s="707"/>
      <c r="BC36" s="707"/>
      <c r="BD36" s="707"/>
      <c r="BE36" s="707"/>
      <c r="BF36" s="706"/>
      <c r="BG36" s="706"/>
      <c r="BH36" s="706"/>
      <c r="BI36" s="706"/>
      <c r="BJ36" s="706"/>
      <c r="BK36" s="707" t="str">
        <f>IF(AND(I36&lt;&gt;"",BF36&lt;&gt;""),BF36/I36,"")</f>
        <v/>
      </c>
      <c r="BL36" s="707"/>
      <c r="BM36" s="707"/>
      <c r="BN36" s="707"/>
      <c r="BO36" s="707"/>
      <c r="BP36" s="707"/>
      <c r="BQ36" s="707"/>
      <c r="BR36" s="705"/>
      <c r="BS36" s="705"/>
      <c r="BT36" s="705"/>
      <c r="BU36" s="705"/>
      <c r="BV36" s="707" t="str">
        <f>IF(AND(I36&lt;&gt;"",BR36&lt;&gt;""),BR36/I36,"")</f>
        <v/>
      </c>
      <c r="BW36" s="707"/>
      <c r="BX36" s="707"/>
      <c r="BY36" s="707"/>
      <c r="BZ36" s="707"/>
      <c r="CA36" s="707"/>
    </row>
    <row r="37" spans="1:79" x14ac:dyDescent="0.15">
      <c r="A37" s="618"/>
      <c r="B37" s="618"/>
      <c r="C37" s="618"/>
      <c r="D37" s="618"/>
      <c r="E37" s="618"/>
      <c r="F37" s="618"/>
      <c r="G37" s="618"/>
      <c r="H37" s="618"/>
      <c r="I37" s="705"/>
      <c r="J37" s="705"/>
      <c r="K37" s="705"/>
      <c r="L37" s="705"/>
      <c r="M37" s="705"/>
      <c r="N37" s="706"/>
      <c r="O37" s="706"/>
      <c r="P37" s="706"/>
      <c r="Q37" s="706"/>
      <c r="R37" s="706"/>
      <c r="S37" s="707"/>
      <c r="T37" s="707"/>
      <c r="U37" s="707"/>
      <c r="V37" s="707"/>
      <c r="W37" s="707"/>
      <c r="X37" s="707"/>
      <c r="Y37" s="707"/>
      <c r="Z37" s="705"/>
      <c r="AA37" s="705"/>
      <c r="AB37" s="705"/>
      <c r="AC37" s="705"/>
      <c r="AD37" s="707"/>
      <c r="AE37" s="707"/>
      <c r="AF37" s="707"/>
      <c r="AG37" s="707"/>
      <c r="AH37" s="707"/>
      <c r="AI37" s="707"/>
      <c r="AJ37" s="706"/>
      <c r="AK37" s="706"/>
      <c r="AL37" s="706"/>
      <c r="AM37" s="706"/>
      <c r="AN37" s="706"/>
      <c r="AO37" s="707"/>
      <c r="AP37" s="707"/>
      <c r="AQ37" s="707"/>
      <c r="AR37" s="707"/>
      <c r="AS37" s="707"/>
      <c r="AT37" s="707"/>
      <c r="AU37" s="707"/>
      <c r="AV37" s="705"/>
      <c r="AW37" s="705"/>
      <c r="AX37" s="705"/>
      <c r="AY37" s="705"/>
      <c r="AZ37" s="707"/>
      <c r="BA37" s="707"/>
      <c r="BB37" s="707"/>
      <c r="BC37" s="707"/>
      <c r="BD37" s="707"/>
      <c r="BE37" s="707"/>
      <c r="BF37" s="706"/>
      <c r="BG37" s="706"/>
      <c r="BH37" s="706"/>
      <c r="BI37" s="706"/>
      <c r="BJ37" s="706"/>
      <c r="BK37" s="707"/>
      <c r="BL37" s="707"/>
      <c r="BM37" s="707"/>
      <c r="BN37" s="707"/>
      <c r="BO37" s="707"/>
      <c r="BP37" s="707"/>
      <c r="BQ37" s="707"/>
      <c r="BR37" s="705"/>
      <c r="BS37" s="705"/>
      <c r="BT37" s="705"/>
      <c r="BU37" s="705"/>
      <c r="BV37" s="707"/>
      <c r="BW37" s="707"/>
      <c r="BX37" s="707"/>
      <c r="BY37" s="707"/>
      <c r="BZ37" s="707"/>
      <c r="CA37" s="707"/>
    </row>
    <row r="38" spans="1:79" x14ac:dyDescent="0.15">
      <c r="A38" s="618"/>
      <c r="B38" s="618"/>
      <c r="C38" s="618"/>
      <c r="D38" s="618"/>
      <c r="E38" s="618"/>
      <c r="F38" s="618"/>
      <c r="G38" s="618"/>
      <c r="H38" s="618"/>
      <c r="I38" s="705"/>
      <c r="J38" s="705"/>
      <c r="K38" s="705"/>
      <c r="L38" s="705"/>
      <c r="M38" s="705"/>
      <c r="N38" s="706"/>
      <c r="O38" s="706"/>
      <c r="P38" s="706"/>
      <c r="Q38" s="706"/>
      <c r="R38" s="706"/>
      <c r="S38" s="707" t="str">
        <f>IF(AND(I38&lt;&gt;"",N38&lt;&gt;""),N38/I38,"")</f>
        <v/>
      </c>
      <c r="T38" s="707"/>
      <c r="U38" s="707"/>
      <c r="V38" s="707"/>
      <c r="W38" s="707"/>
      <c r="X38" s="707"/>
      <c r="Y38" s="707"/>
      <c r="Z38" s="705"/>
      <c r="AA38" s="705"/>
      <c r="AB38" s="705"/>
      <c r="AC38" s="705"/>
      <c r="AD38" s="707" t="str">
        <f>IF(AND(I38&lt;&gt;"",Z38&lt;&gt;""),Z38/I38,"")</f>
        <v/>
      </c>
      <c r="AE38" s="707"/>
      <c r="AF38" s="707"/>
      <c r="AG38" s="707"/>
      <c r="AH38" s="707"/>
      <c r="AI38" s="707"/>
      <c r="AJ38" s="706"/>
      <c r="AK38" s="706"/>
      <c r="AL38" s="706"/>
      <c r="AM38" s="706"/>
      <c r="AN38" s="706"/>
      <c r="AO38" s="707" t="str">
        <f>IF(AND(I38&lt;&gt;"",AJ38&lt;&gt;""),AJ38/I38,"")</f>
        <v/>
      </c>
      <c r="AP38" s="707"/>
      <c r="AQ38" s="707"/>
      <c r="AR38" s="707"/>
      <c r="AS38" s="707"/>
      <c r="AT38" s="707"/>
      <c r="AU38" s="707"/>
      <c r="AV38" s="705"/>
      <c r="AW38" s="705"/>
      <c r="AX38" s="705"/>
      <c r="AY38" s="705"/>
      <c r="AZ38" s="707" t="str">
        <f>IF(AND(I38&lt;&gt;"",AV38&lt;&gt;""),AV38/I38,"")</f>
        <v/>
      </c>
      <c r="BA38" s="707"/>
      <c r="BB38" s="707"/>
      <c r="BC38" s="707"/>
      <c r="BD38" s="707"/>
      <c r="BE38" s="707"/>
      <c r="BF38" s="706"/>
      <c r="BG38" s="706"/>
      <c r="BH38" s="706"/>
      <c r="BI38" s="706"/>
      <c r="BJ38" s="706"/>
      <c r="BK38" s="707" t="str">
        <f>IF(AND(I38&lt;&gt;"",BF38&lt;&gt;""),BF38/I38,"")</f>
        <v/>
      </c>
      <c r="BL38" s="707"/>
      <c r="BM38" s="707"/>
      <c r="BN38" s="707"/>
      <c r="BO38" s="707"/>
      <c r="BP38" s="707"/>
      <c r="BQ38" s="707"/>
      <c r="BR38" s="705"/>
      <c r="BS38" s="705"/>
      <c r="BT38" s="705"/>
      <c r="BU38" s="705"/>
      <c r="BV38" s="707" t="str">
        <f>IF(AND(I38&lt;&gt;"",BR38&lt;&gt;""),BR38/I38,"")</f>
        <v/>
      </c>
      <c r="BW38" s="707"/>
      <c r="BX38" s="707"/>
      <c r="BY38" s="707"/>
      <c r="BZ38" s="707"/>
      <c r="CA38" s="707"/>
    </row>
    <row r="39" spans="1:79" x14ac:dyDescent="0.15">
      <c r="A39" s="618"/>
      <c r="B39" s="618"/>
      <c r="C39" s="618"/>
      <c r="D39" s="618"/>
      <c r="E39" s="618"/>
      <c r="F39" s="618"/>
      <c r="G39" s="618"/>
      <c r="H39" s="618"/>
      <c r="I39" s="705"/>
      <c r="J39" s="705"/>
      <c r="K39" s="705"/>
      <c r="L39" s="705"/>
      <c r="M39" s="705"/>
      <c r="N39" s="706"/>
      <c r="O39" s="706"/>
      <c r="P39" s="706"/>
      <c r="Q39" s="706"/>
      <c r="R39" s="706"/>
      <c r="S39" s="707"/>
      <c r="T39" s="707"/>
      <c r="U39" s="707"/>
      <c r="V39" s="707"/>
      <c r="W39" s="707"/>
      <c r="X39" s="707"/>
      <c r="Y39" s="707"/>
      <c r="Z39" s="705"/>
      <c r="AA39" s="705"/>
      <c r="AB39" s="705"/>
      <c r="AC39" s="705"/>
      <c r="AD39" s="707"/>
      <c r="AE39" s="707"/>
      <c r="AF39" s="707"/>
      <c r="AG39" s="707"/>
      <c r="AH39" s="707"/>
      <c r="AI39" s="707"/>
      <c r="AJ39" s="706"/>
      <c r="AK39" s="706"/>
      <c r="AL39" s="706"/>
      <c r="AM39" s="706"/>
      <c r="AN39" s="706"/>
      <c r="AO39" s="707"/>
      <c r="AP39" s="707"/>
      <c r="AQ39" s="707"/>
      <c r="AR39" s="707"/>
      <c r="AS39" s="707"/>
      <c r="AT39" s="707"/>
      <c r="AU39" s="707"/>
      <c r="AV39" s="705"/>
      <c r="AW39" s="705"/>
      <c r="AX39" s="705"/>
      <c r="AY39" s="705"/>
      <c r="AZ39" s="707"/>
      <c r="BA39" s="707"/>
      <c r="BB39" s="707"/>
      <c r="BC39" s="707"/>
      <c r="BD39" s="707"/>
      <c r="BE39" s="707"/>
      <c r="BF39" s="706"/>
      <c r="BG39" s="706"/>
      <c r="BH39" s="706"/>
      <c r="BI39" s="706"/>
      <c r="BJ39" s="706"/>
      <c r="BK39" s="707"/>
      <c r="BL39" s="707"/>
      <c r="BM39" s="707"/>
      <c r="BN39" s="707"/>
      <c r="BO39" s="707"/>
      <c r="BP39" s="707"/>
      <c r="BQ39" s="707"/>
      <c r="BR39" s="705"/>
      <c r="BS39" s="705"/>
      <c r="BT39" s="705"/>
      <c r="BU39" s="705"/>
      <c r="BV39" s="707"/>
      <c r="BW39" s="707"/>
      <c r="BX39" s="707"/>
      <c r="BY39" s="707"/>
      <c r="BZ39" s="707"/>
      <c r="CA39" s="707"/>
    </row>
    <row r="40" spans="1:79" x14ac:dyDescent="0.15">
      <c r="A40" s="618"/>
      <c r="B40" s="618"/>
      <c r="C40" s="618"/>
      <c r="D40" s="618"/>
      <c r="E40" s="618"/>
      <c r="F40" s="618"/>
      <c r="G40" s="618"/>
      <c r="H40" s="618"/>
      <c r="I40" s="705"/>
      <c r="J40" s="705"/>
      <c r="K40" s="705"/>
      <c r="L40" s="705"/>
      <c r="M40" s="705"/>
      <c r="N40" s="706"/>
      <c r="O40" s="706"/>
      <c r="P40" s="706"/>
      <c r="Q40" s="706"/>
      <c r="R40" s="706"/>
      <c r="S40" s="707" t="str">
        <f>IF(AND(I40&lt;&gt;"",N40&lt;&gt;""),N40/I40,"")</f>
        <v/>
      </c>
      <c r="T40" s="707"/>
      <c r="U40" s="707"/>
      <c r="V40" s="707"/>
      <c r="W40" s="707"/>
      <c r="X40" s="707"/>
      <c r="Y40" s="707"/>
      <c r="Z40" s="705"/>
      <c r="AA40" s="705"/>
      <c r="AB40" s="705"/>
      <c r="AC40" s="705"/>
      <c r="AD40" s="707" t="str">
        <f>IF(AND(I40&lt;&gt;"",Z40&lt;&gt;""),Z40/I40,"")</f>
        <v/>
      </c>
      <c r="AE40" s="707"/>
      <c r="AF40" s="707"/>
      <c r="AG40" s="707"/>
      <c r="AH40" s="707"/>
      <c r="AI40" s="707"/>
      <c r="AJ40" s="706"/>
      <c r="AK40" s="706"/>
      <c r="AL40" s="706"/>
      <c r="AM40" s="706"/>
      <c r="AN40" s="706"/>
      <c r="AO40" s="707" t="str">
        <f>IF(AND(I40&lt;&gt;"",AJ40&lt;&gt;""),AJ40/I40,"")</f>
        <v/>
      </c>
      <c r="AP40" s="707"/>
      <c r="AQ40" s="707"/>
      <c r="AR40" s="707"/>
      <c r="AS40" s="707"/>
      <c r="AT40" s="707"/>
      <c r="AU40" s="707"/>
      <c r="AV40" s="705"/>
      <c r="AW40" s="705"/>
      <c r="AX40" s="705"/>
      <c r="AY40" s="705"/>
      <c r="AZ40" s="707" t="str">
        <f>IF(AND(I40&lt;&gt;"",AV40&lt;&gt;""),AV40/I40,"")</f>
        <v/>
      </c>
      <c r="BA40" s="707"/>
      <c r="BB40" s="707"/>
      <c r="BC40" s="707"/>
      <c r="BD40" s="707"/>
      <c r="BE40" s="707"/>
      <c r="BF40" s="706"/>
      <c r="BG40" s="706"/>
      <c r="BH40" s="706"/>
      <c r="BI40" s="706"/>
      <c r="BJ40" s="706"/>
      <c r="BK40" s="707" t="str">
        <f>IF(AND(I40&lt;&gt;"",BF40&lt;&gt;""),BF40/I40,"")</f>
        <v/>
      </c>
      <c r="BL40" s="707"/>
      <c r="BM40" s="707"/>
      <c r="BN40" s="707"/>
      <c r="BO40" s="707"/>
      <c r="BP40" s="707"/>
      <c r="BQ40" s="707"/>
      <c r="BR40" s="705"/>
      <c r="BS40" s="705"/>
      <c r="BT40" s="705"/>
      <c r="BU40" s="705"/>
      <c r="BV40" s="707" t="str">
        <f>IF(AND(I40&lt;&gt;"",BR40&lt;&gt;""),BR40/I40,"")</f>
        <v/>
      </c>
      <c r="BW40" s="707"/>
      <c r="BX40" s="707"/>
      <c r="BY40" s="707"/>
      <c r="BZ40" s="707"/>
      <c r="CA40" s="707"/>
    </row>
    <row r="41" spans="1:79" x14ac:dyDescent="0.15">
      <c r="A41" s="618"/>
      <c r="B41" s="618"/>
      <c r="C41" s="618"/>
      <c r="D41" s="618"/>
      <c r="E41" s="618"/>
      <c r="F41" s="618"/>
      <c r="G41" s="618"/>
      <c r="H41" s="618"/>
      <c r="I41" s="705"/>
      <c r="J41" s="705"/>
      <c r="K41" s="705"/>
      <c r="L41" s="705"/>
      <c r="M41" s="705"/>
      <c r="N41" s="706"/>
      <c r="O41" s="706"/>
      <c r="P41" s="706"/>
      <c r="Q41" s="706"/>
      <c r="R41" s="706"/>
      <c r="S41" s="707"/>
      <c r="T41" s="707"/>
      <c r="U41" s="707"/>
      <c r="V41" s="707"/>
      <c r="W41" s="707"/>
      <c r="X41" s="707"/>
      <c r="Y41" s="707"/>
      <c r="Z41" s="705"/>
      <c r="AA41" s="705"/>
      <c r="AB41" s="705"/>
      <c r="AC41" s="705"/>
      <c r="AD41" s="707"/>
      <c r="AE41" s="707"/>
      <c r="AF41" s="707"/>
      <c r="AG41" s="707"/>
      <c r="AH41" s="707"/>
      <c r="AI41" s="707"/>
      <c r="AJ41" s="706"/>
      <c r="AK41" s="706"/>
      <c r="AL41" s="706"/>
      <c r="AM41" s="706"/>
      <c r="AN41" s="706"/>
      <c r="AO41" s="707"/>
      <c r="AP41" s="707"/>
      <c r="AQ41" s="707"/>
      <c r="AR41" s="707"/>
      <c r="AS41" s="707"/>
      <c r="AT41" s="707"/>
      <c r="AU41" s="707"/>
      <c r="AV41" s="705"/>
      <c r="AW41" s="705"/>
      <c r="AX41" s="705"/>
      <c r="AY41" s="705"/>
      <c r="AZ41" s="707"/>
      <c r="BA41" s="707"/>
      <c r="BB41" s="707"/>
      <c r="BC41" s="707"/>
      <c r="BD41" s="707"/>
      <c r="BE41" s="707"/>
      <c r="BF41" s="706"/>
      <c r="BG41" s="706"/>
      <c r="BH41" s="706"/>
      <c r="BI41" s="706"/>
      <c r="BJ41" s="706"/>
      <c r="BK41" s="707"/>
      <c r="BL41" s="707"/>
      <c r="BM41" s="707"/>
      <c r="BN41" s="707"/>
      <c r="BO41" s="707"/>
      <c r="BP41" s="707"/>
      <c r="BQ41" s="707"/>
      <c r="BR41" s="705"/>
      <c r="BS41" s="705"/>
      <c r="BT41" s="705"/>
      <c r="BU41" s="705"/>
      <c r="BV41" s="707"/>
      <c r="BW41" s="707"/>
      <c r="BX41" s="707"/>
      <c r="BY41" s="707"/>
      <c r="BZ41" s="707"/>
      <c r="CA41" s="707"/>
    </row>
    <row r="42" spans="1:79" x14ac:dyDescent="0.15">
      <c r="A42" s="618"/>
      <c r="B42" s="618"/>
      <c r="C42" s="618"/>
      <c r="D42" s="618"/>
      <c r="E42" s="618"/>
      <c r="F42" s="618"/>
      <c r="G42" s="618"/>
      <c r="H42" s="618"/>
      <c r="I42" s="705"/>
      <c r="J42" s="705"/>
      <c r="K42" s="705"/>
      <c r="L42" s="705"/>
      <c r="M42" s="705"/>
      <c r="N42" s="706"/>
      <c r="O42" s="706"/>
      <c r="P42" s="706"/>
      <c r="Q42" s="706"/>
      <c r="R42" s="706"/>
      <c r="S42" s="707" t="str">
        <f>IF(AND(I42&lt;&gt;"",N42&lt;&gt;""),N42/I42,"")</f>
        <v/>
      </c>
      <c r="T42" s="707"/>
      <c r="U42" s="707"/>
      <c r="V42" s="707"/>
      <c r="W42" s="707"/>
      <c r="X42" s="707"/>
      <c r="Y42" s="707"/>
      <c r="Z42" s="705"/>
      <c r="AA42" s="705"/>
      <c r="AB42" s="705"/>
      <c r="AC42" s="705"/>
      <c r="AD42" s="707" t="str">
        <f>IF(AND(I42&lt;&gt;"",Z42&lt;&gt;""),Z42/I42,"")</f>
        <v/>
      </c>
      <c r="AE42" s="707"/>
      <c r="AF42" s="707"/>
      <c r="AG42" s="707"/>
      <c r="AH42" s="707"/>
      <c r="AI42" s="707"/>
      <c r="AJ42" s="706"/>
      <c r="AK42" s="706"/>
      <c r="AL42" s="706"/>
      <c r="AM42" s="706"/>
      <c r="AN42" s="706"/>
      <c r="AO42" s="707" t="str">
        <f>IF(AND(I42&lt;&gt;"",AJ42&lt;&gt;""),AJ42/I42,"")</f>
        <v/>
      </c>
      <c r="AP42" s="707"/>
      <c r="AQ42" s="707"/>
      <c r="AR42" s="707"/>
      <c r="AS42" s="707"/>
      <c r="AT42" s="707"/>
      <c r="AU42" s="707"/>
      <c r="AV42" s="705"/>
      <c r="AW42" s="705"/>
      <c r="AX42" s="705"/>
      <c r="AY42" s="705"/>
      <c r="AZ42" s="707" t="str">
        <f>IF(AND(I42&lt;&gt;"",AV42&lt;&gt;""),AV42/I42,"")</f>
        <v/>
      </c>
      <c r="BA42" s="707"/>
      <c r="BB42" s="707"/>
      <c r="BC42" s="707"/>
      <c r="BD42" s="707"/>
      <c r="BE42" s="707"/>
      <c r="BF42" s="706"/>
      <c r="BG42" s="706"/>
      <c r="BH42" s="706"/>
      <c r="BI42" s="706"/>
      <c r="BJ42" s="706"/>
      <c r="BK42" s="707" t="str">
        <f>IF(AND(I42&lt;&gt;"",BF42&lt;&gt;""),BF42/I42,"")</f>
        <v/>
      </c>
      <c r="BL42" s="707"/>
      <c r="BM42" s="707"/>
      <c r="BN42" s="707"/>
      <c r="BO42" s="707"/>
      <c r="BP42" s="707"/>
      <c r="BQ42" s="707"/>
      <c r="BR42" s="705"/>
      <c r="BS42" s="705"/>
      <c r="BT42" s="705"/>
      <c r="BU42" s="705"/>
      <c r="BV42" s="707" t="str">
        <f>IF(AND(I42&lt;&gt;"",BR42&lt;&gt;""),BR42/I42,"")</f>
        <v/>
      </c>
      <c r="BW42" s="707"/>
      <c r="BX42" s="707"/>
      <c r="BY42" s="707"/>
      <c r="BZ42" s="707"/>
      <c r="CA42" s="707"/>
    </row>
    <row r="43" spans="1:79" x14ac:dyDescent="0.15">
      <c r="A43" s="618"/>
      <c r="B43" s="618"/>
      <c r="C43" s="618"/>
      <c r="D43" s="618"/>
      <c r="E43" s="618"/>
      <c r="F43" s="618"/>
      <c r="G43" s="618"/>
      <c r="H43" s="618"/>
      <c r="I43" s="705"/>
      <c r="J43" s="705"/>
      <c r="K43" s="705"/>
      <c r="L43" s="705"/>
      <c r="M43" s="705"/>
      <c r="N43" s="706"/>
      <c r="O43" s="706"/>
      <c r="P43" s="706"/>
      <c r="Q43" s="706"/>
      <c r="R43" s="706"/>
      <c r="S43" s="707"/>
      <c r="T43" s="707"/>
      <c r="U43" s="707"/>
      <c r="V43" s="707"/>
      <c r="W43" s="707"/>
      <c r="X43" s="707"/>
      <c r="Y43" s="707"/>
      <c r="Z43" s="705"/>
      <c r="AA43" s="705"/>
      <c r="AB43" s="705"/>
      <c r="AC43" s="705"/>
      <c r="AD43" s="707"/>
      <c r="AE43" s="707"/>
      <c r="AF43" s="707"/>
      <c r="AG43" s="707"/>
      <c r="AH43" s="707"/>
      <c r="AI43" s="707"/>
      <c r="AJ43" s="706"/>
      <c r="AK43" s="706"/>
      <c r="AL43" s="706"/>
      <c r="AM43" s="706"/>
      <c r="AN43" s="706"/>
      <c r="AO43" s="707"/>
      <c r="AP43" s="707"/>
      <c r="AQ43" s="707"/>
      <c r="AR43" s="707"/>
      <c r="AS43" s="707"/>
      <c r="AT43" s="707"/>
      <c r="AU43" s="707"/>
      <c r="AV43" s="705"/>
      <c r="AW43" s="705"/>
      <c r="AX43" s="705"/>
      <c r="AY43" s="705"/>
      <c r="AZ43" s="707"/>
      <c r="BA43" s="707"/>
      <c r="BB43" s="707"/>
      <c r="BC43" s="707"/>
      <c r="BD43" s="707"/>
      <c r="BE43" s="707"/>
      <c r="BF43" s="706"/>
      <c r="BG43" s="706"/>
      <c r="BH43" s="706"/>
      <c r="BI43" s="706"/>
      <c r="BJ43" s="706"/>
      <c r="BK43" s="707"/>
      <c r="BL43" s="707"/>
      <c r="BM43" s="707"/>
      <c r="BN43" s="707"/>
      <c r="BO43" s="707"/>
      <c r="BP43" s="707"/>
      <c r="BQ43" s="707"/>
      <c r="BR43" s="705"/>
      <c r="BS43" s="705"/>
      <c r="BT43" s="705"/>
      <c r="BU43" s="705"/>
      <c r="BV43" s="707"/>
      <c r="BW43" s="707"/>
      <c r="BX43" s="707"/>
      <c r="BY43" s="707"/>
      <c r="BZ43" s="707"/>
      <c r="CA43" s="707"/>
    </row>
  </sheetData>
  <mergeCells count="212">
    <mergeCell ref="BV42:CA43"/>
    <mergeCell ref="AO42:AU43"/>
    <mergeCell ref="AV42:AY43"/>
    <mergeCell ref="AZ42:BE43"/>
    <mergeCell ref="BF42:BJ43"/>
    <mergeCell ref="AJ11:AL18"/>
    <mergeCell ref="AM11:CA18"/>
    <mergeCell ref="BV40:CA41"/>
    <mergeCell ref="AJ42:AN43"/>
    <mergeCell ref="BK42:BQ43"/>
    <mergeCell ref="BK38:BQ39"/>
    <mergeCell ref="BR38:BU39"/>
    <mergeCell ref="BV38:CA39"/>
    <mergeCell ref="BR36:BU37"/>
    <mergeCell ref="BV36:CA37"/>
    <mergeCell ref="BK32:BQ33"/>
    <mergeCell ref="BR32:BU33"/>
    <mergeCell ref="BV32:CA33"/>
    <mergeCell ref="BF30:BJ31"/>
    <mergeCell ref="BK30:BQ31"/>
    <mergeCell ref="BR30:BU31"/>
    <mergeCell ref="BV30:CA31"/>
    <mergeCell ref="BR28:BU29"/>
    <mergeCell ref="BV28:CA29"/>
    <mergeCell ref="A42:H43"/>
    <mergeCell ref="I42:M43"/>
    <mergeCell ref="N42:R43"/>
    <mergeCell ref="S42:Y43"/>
    <mergeCell ref="Z42:AC43"/>
    <mergeCell ref="AD42:AI43"/>
    <mergeCell ref="BR42:BU43"/>
    <mergeCell ref="AO40:AU41"/>
    <mergeCell ref="AV40:AY41"/>
    <mergeCell ref="AZ40:BE41"/>
    <mergeCell ref="BF40:BJ41"/>
    <mergeCell ref="BK40:BQ41"/>
    <mergeCell ref="BR40:BU41"/>
    <mergeCell ref="A40:H41"/>
    <mergeCell ref="I40:M41"/>
    <mergeCell ref="N40:R41"/>
    <mergeCell ref="S40:Y41"/>
    <mergeCell ref="Z40:AC41"/>
    <mergeCell ref="AD40:AI41"/>
    <mergeCell ref="AJ40:AN41"/>
    <mergeCell ref="AD38:AI39"/>
    <mergeCell ref="AJ38:AN39"/>
    <mergeCell ref="AO38:AU39"/>
    <mergeCell ref="AV38:AY39"/>
    <mergeCell ref="AZ38:BE39"/>
    <mergeCell ref="BF38:BJ39"/>
    <mergeCell ref="AZ36:BE37"/>
    <mergeCell ref="BF36:BJ37"/>
    <mergeCell ref="BK36:BQ37"/>
    <mergeCell ref="AZ32:BE33"/>
    <mergeCell ref="BF32:BJ33"/>
    <mergeCell ref="A38:H39"/>
    <mergeCell ref="I38:M39"/>
    <mergeCell ref="N38:R39"/>
    <mergeCell ref="S38:Y39"/>
    <mergeCell ref="Z38:AC39"/>
    <mergeCell ref="BV34:CA35"/>
    <mergeCell ref="A36:H37"/>
    <mergeCell ref="I36:M37"/>
    <mergeCell ref="N36:R37"/>
    <mergeCell ref="S36:Y37"/>
    <mergeCell ref="Z36:AC37"/>
    <mergeCell ref="AD36:AI37"/>
    <mergeCell ref="AJ36:AN37"/>
    <mergeCell ref="AO36:AU37"/>
    <mergeCell ref="AV36:AY37"/>
    <mergeCell ref="AO34:AU35"/>
    <mergeCell ref="AV34:AY35"/>
    <mergeCell ref="AZ34:BE35"/>
    <mergeCell ref="BF34:BJ35"/>
    <mergeCell ref="BK34:BQ35"/>
    <mergeCell ref="BR34:BU35"/>
    <mergeCell ref="A34:H35"/>
    <mergeCell ref="A32:H33"/>
    <mergeCell ref="I32:M33"/>
    <mergeCell ref="N32:R33"/>
    <mergeCell ref="S32:Y33"/>
    <mergeCell ref="Z32:AC33"/>
    <mergeCell ref="AD32:AI33"/>
    <mergeCell ref="AV26:AY27"/>
    <mergeCell ref="S34:Y35"/>
    <mergeCell ref="Z34:AC35"/>
    <mergeCell ref="AD34:AI35"/>
    <mergeCell ref="AJ34:AN35"/>
    <mergeCell ref="AJ32:AN33"/>
    <mergeCell ref="AO32:AU33"/>
    <mergeCell ref="AV32:AY33"/>
    <mergeCell ref="I34:M35"/>
    <mergeCell ref="N34:R35"/>
    <mergeCell ref="BF28:BJ29"/>
    <mergeCell ref="BK28:BQ29"/>
    <mergeCell ref="A30:H31"/>
    <mergeCell ref="I30:M31"/>
    <mergeCell ref="N30:R31"/>
    <mergeCell ref="S30:Y31"/>
    <mergeCell ref="Z30:AC31"/>
    <mergeCell ref="AD30:AI31"/>
    <mergeCell ref="AJ30:AN31"/>
    <mergeCell ref="AO30:AU31"/>
    <mergeCell ref="AJ28:AN29"/>
    <mergeCell ref="AO28:AU29"/>
    <mergeCell ref="AV28:AY29"/>
    <mergeCell ref="AZ28:BE29"/>
    <mergeCell ref="AZ30:BE31"/>
    <mergeCell ref="A28:H29"/>
    <mergeCell ref="I28:M29"/>
    <mergeCell ref="N28:R29"/>
    <mergeCell ref="S28:Y29"/>
    <mergeCell ref="Z28:AC29"/>
    <mergeCell ref="AD28:AI29"/>
    <mergeCell ref="AV30:AY31"/>
    <mergeCell ref="AZ26:BE27"/>
    <mergeCell ref="BF26:BJ27"/>
    <mergeCell ref="BK26:BQ27"/>
    <mergeCell ref="BR26:BU27"/>
    <mergeCell ref="BV26:CA27"/>
    <mergeCell ref="AV24:AY25"/>
    <mergeCell ref="AZ24:BE25"/>
    <mergeCell ref="A26:H27"/>
    <mergeCell ref="I26:M27"/>
    <mergeCell ref="N26:R27"/>
    <mergeCell ref="S26:Y27"/>
    <mergeCell ref="Z26:AC27"/>
    <mergeCell ref="AD26:AI27"/>
    <mergeCell ref="AJ26:AN27"/>
    <mergeCell ref="AO26:AU27"/>
    <mergeCell ref="Z24:AC25"/>
    <mergeCell ref="AD24:AI25"/>
    <mergeCell ref="AJ24:AN25"/>
    <mergeCell ref="AO24:AU25"/>
    <mergeCell ref="BW8:CA8"/>
    <mergeCell ref="BW9:CA9"/>
    <mergeCell ref="AQ8:AV8"/>
    <mergeCell ref="BV22:CA23"/>
    <mergeCell ref="BF24:BJ25"/>
    <mergeCell ref="BK24:BQ25"/>
    <mergeCell ref="BR24:BU25"/>
    <mergeCell ref="BV24:CA25"/>
    <mergeCell ref="BF21:CA21"/>
    <mergeCell ref="BG8:BL8"/>
    <mergeCell ref="BG9:BL9"/>
    <mergeCell ref="AW8:BF8"/>
    <mergeCell ref="AW9:BF9"/>
    <mergeCell ref="BM8:BV8"/>
    <mergeCell ref="BM9:BV9"/>
    <mergeCell ref="BK22:BQ23"/>
    <mergeCell ref="BR22:BU23"/>
    <mergeCell ref="A1:H5"/>
    <mergeCell ref="I1:AP5"/>
    <mergeCell ref="A6:U6"/>
    <mergeCell ref="V6:AP6"/>
    <mergeCell ref="A7:U7"/>
    <mergeCell ref="V7:AP7"/>
    <mergeCell ref="AO22:AU23"/>
    <mergeCell ref="I22:M23"/>
    <mergeCell ref="N22:R23"/>
    <mergeCell ref="S22:Y23"/>
    <mergeCell ref="Z22:AC23"/>
    <mergeCell ref="AD22:AI23"/>
    <mergeCell ref="A15:H15"/>
    <mergeCell ref="I15:U15"/>
    <mergeCell ref="I16:U16"/>
    <mergeCell ref="I17:U17"/>
    <mergeCell ref="I18:U18"/>
    <mergeCell ref="V16:AH16"/>
    <mergeCell ref="V17:AH17"/>
    <mergeCell ref="V18:AH18"/>
    <mergeCell ref="A8:U8"/>
    <mergeCell ref="V8:AP8"/>
    <mergeCell ref="A9:U9"/>
    <mergeCell ref="V9:AP9"/>
    <mergeCell ref="AW1:BB1"/>
    <mergeCell ref="AW2:BB2"/>
    <mergeCell ref="AQ1:AV1"/>
    <mergeCell ref="AQ2:AV2"/>
    <mergeCell ref="AW3:BB7"/>
    <mergeCell ref="AJ21:BE21"/>
    <mergeCell ref="AV22:AY23"/>
    <mergeCell ref="BC3:BH7"/>
    <mergeCell ref="AQ9:AV9"/>
    <mergeCell ref="AZ22:BE23"/>
    <mergeCell ref="BF22:BJ23"/>
    <mergeCell ref="AJ22:AN23"/>
    <mergeCell ref="BI1:CA1"/>
    <mergeCell ref="BI2:BO2"/>
    <mergeCell ref="BP2:BU2"/>
    <mergeCell ref="BP3:BU3"/>
    <mergeCell ref="BV2:CA2"/>
    <mergeCell ref="BV3:CA3"/>
    <mergeCell ref="BC1:BH1"/>
    <mergeCell ref="BC2:BH2"/>
    <mergeCell ref="AQ3:AV7"/>
    <mergeCell ref="BP4:BU7"/>
    <mergeCell ref="BV4:CA7"/>
    <mergeCell ref="BI3:BO7"/>
    <mergeCell ref="A11:H12"/>
    <mergeCell ref="I11:U12"/>
    <mergeCell ref="A24:H25"/>
    <mergeCell ref="I24:M25"/>
    <mergeCell ref="N24:R25"/>
    <mergeCell ref="S24:Y25"/>
    <mergeCell ref="V15:AH15"/>
    <mergeCell ref="A16:H16"/>
    <mergeCell ref="A17:H17"/>
    <mergeCell ref="A18:H18"/>
    <mergeCell ref="A22:H23"/>
    <mergeCell ref="A21:M21"/>
    <mergeCell ref="N21:AI21"/>
  </mergeCells>
  <phoneticPr fontId="23"/>
  <dataValidations disablePrompts="1" count="1">
    <dataValidation type="list" allowBlank="1" showInputMessage="1" showErrorMessage="1" sqref="I11:U12" xr:uid="{00000000-0002-0000-0500-000000000000}">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68" fitToHeight="0" orientation="landscape" r:id="rId1"/>
  <headerFooter alignWithMargins="0">
    <oddHeader>&amp;L&amp;14【営業秘密】</oddHeader>
    <oddFooter>&amp;C&amp;P/&amp;N&amp;R（様式2014.03）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BF40"/>
  <sheetViews>
    <sheetView view="pageBreakPreview" zoomScale="85" zoomScaleNormal="85" zoomScaleSheetLayoutView="85" workbookViewId="0">
      <selection activeCell="AC12" sqref="AC12"/>
    </sheetView>
  </sheetViews>
  <sheetFormatPr defaultColWidth="2.625" defaultRowHeight="13.5" x14ac:dyDescent="0.15"/>
  <cols>
    <col min="1" max="1" width="9" customWidth="1"/>
  </cols>
  <sheetData>
    <row r="1" spans="1:58" ht="13.5" customHeight="1" x14ac:dyDescent="0.15">
      <c r="A1" s="717" t="s">
        <v>21</v>
      </c>
      <c r="B1" s="717"/>
      <c r="C1" s="717"/>
      <c r="D1" s="717"/>
      <c r="E1" s="717"/>
      <c r="F1" s="717"/>
      <c r="G1" s="717"/>
      <c r="H1" s="717"/>
      <c r="I1" s="717"/>
      <c r="J1" s="717"/>
      <c r="K1" s="717" t="s">
        <v>22</v>
      </c>
      <c r="L1" s="717"/>
      <c r="M1" s="717"/>
      <c r="N1" s="717"/>
      <c r="O1" s="717"/>
      <c r="P1" s="717"/>
      <c r="Q1" s="717"/>
      <c r="R1" s="717"/>
      <c r="S1" s="717"/>
      <c r="T1" s="717"/>
      <c r="U1" s="717"/>
      <c r="V1" s="717"/>
      <c r="W1" s="717"/>
      <c r="X1" s="717"/>
      <c r="Y1" s="717"/>
      <c r="Z1" s="717"/>
      <c r="AA1" s="717"/>
      <c r="AB1" s="572" t="s">
        <v>305</v>
      </c>
      <c r="AC1" s="573"/>
      <c r="AD1" s="573"/>
      <c r="AE1" s="573"/>
      <c r="AF1" s="574"/>
      <c r="AG1" s="572" t="s">
        <v>306</v>
      </c>
      <c r="AH1" s="573"/>
      <c r="AI1" s="573"/>
      <c r="AJ1" s="573"/>
      <c r="AK1" s="574"/>
      <c r="AL1" s="572" t="s">
        <v>237</v>
      </c>
      <c r="AM1" s="573"/>
      <c r="AN1" s="573"/>
      <c r="AO1" s="573"/>
      <c r="AP1" s="574"/>
      <c r="AQ1" s="581" t="s">
        <v>566</v>
      </c>
      <c r="AR1" s="582"/>
      <c r="AS1" s="582"/>
      <c r="AT1" s="582"/>
      <c r="AU1" s="582"/>
      <c r="AV1" s="582"/>
      <c r="AW1" s="582"/>
      <c r="AX1" s="582"/>
      <c r="AY1" s="582"/>
      <c r="AZ1" s="582"/>
      <c r="BA1" s="582"/>
      <c r="BB1" s="582"/>
      <c r="BC1" s="582"/>
      <c r="BD1" s="582"/>
      <c r="BE1" s="582"/>
      <c r="BF1" s="583"/>
    </row>
    <row r="2" spans="1:58" ht="13.5" customHeight="1" x14ac:dyDescent="0.15">
      <c r="A2" s="717"/>
      <c r="B2" s="717"/>
      <c r="C2" s="717"/>
      <c r="D2" s="717"/>
      <c r="E2" s="717"/>
      <c r="F2" s="717"/>
      <c r="G2" s="717"/>
      <c r="H2" s="717"/>
      <c r="I2" s="717"/>
      <c r="J2" s="717"/>
      <c r="K2" s="717"/>
      <c r="L2" s="717"/>
      <c r="M2" s="717"/>
      <c r="N2" s="717"/>
      <c r="O2" s="717"/>
      <c r="P2" s="717"/>
      <c r="Q2" s="717"/>
      <c r="R2" s="717"/>
      <c r="S2" s="717"/>
      <c r="T2" s="717"/>
      <c r="U2" s="717"/>
      <c r="V2" s="717"/>
      <c r="W2" s="717"/>
      <c r="X2" s="717"/>
      <c r="Y2" s="717"/>
      <c r="Z2" s="717"/>
      <c r="AA2" s="717"/>
      <c r="AB2" s="572" t="s">
        <v>494</v>
      </c>
      <c r="AC2" s="573"/>
      <c r="AD2" s="573"/>
      <c r="AE2" s="573"/>
      <c r="AF2" s="574"/>
      <c r="AG2" s="572" t="s">
        <v>494</v>
      </c>
      <c r="AH2" s="573"/>
      <c r="AI2" s="573"/>
      <c r="AJ2" s="573"/>
      <c r="AK2" s="574"/>
      <c r="AL2" s="572" t="s">
        <v>494</v>
      </c>
      <c r="AM2" s="573"/>
      <c r="AN2" s="573"/>
      <c r="AO2" s="573"/>
      <c r="AP2" s="574"/>
      <c r="AQ2" s="581" t="s">
        <v>308</v>
      </c>
      <c r="AR2" s="582"/>
      <c r="AS2" s="582"/>
      <c r="AT2" s="582"/>
      <c r="AU2" s="582"/>
      <c r="AV2" s="583"/>
      <c r="AW2" s="572" t="s">
        <v>306</v>
      </c>
      <c r="AX2" s="573"/>
      <c r="AY2" s="573"/>
      <c r="AZ2" s="573"/>
      <c r="BA2" s="574"/>
      <c r="BB2" s="572" t="s">
        <v>618</v>
      </c>
      <c r="BC2" s="573"/>
      <c r="BD2" s="573"/>
      <c r="BE2" s="573"/>
      <c r="BF2" s="574"/>
    </row>
    <row r="3" spans="1:58" ht="13.5" customHeight="1" x14ac:dyDescent="0.15">
      <c r="A3" s="717"/>
      <c r="B3" s="717"/>
      <c r="C3" s="717"/>
      <c r="D3" s="717"/>
      <c r="E3" s="717"/>
      <c r="F3" s="717"/>
      <c r="G3" s="717"/>
      <c r="H3" s="717"/>
      <c r="I3" s="717"/>
      <c r="J3" s="717"/>
      <c r="K3" s="717"/>
      <c r="L3" s="717"/>
      <c r="M3" s="717"/>
      <c r="N3" s="717"/>
      <c r="O3" s="717"/>
      <c r="P3" s="717"/>
      <c r="Q3" s="717"/>
      <c r="R3" s="717"/>
      <c r="S3" s="717"/>
      <c r="T3" s="717"/>
      <c r="U3" s="717"/>
      <c r="V3" s="717"/>
      <c r="W3" s="717"/>
      <c r="X3" s="717"/>
      <c r="Y3" s="717"/>
      <c r="Z3" s="717"/>
      <c r="AA3" s="717"/>
      <c r="AB3" s="553"/>
      <c r="AC3" s="553"/>
      <c r="AD3" s="553"/>
      <c r="AE3" s="553"/>
      <c r="AF3" s="553"/>
      <c r="AG3" s="553"/>
      <c r="AH3" s="553"/>
      <c r="AI3" s="553"/>
      <c r="AJ3" s="553"/>
      <c r="AK3" s="553"/>
      <c r="AL3" s="553"/>
      <c r="AM3" s="553"/>
      <c r="AN3" s="553"/>
      <c r="AO3" s="553"/>
      <c r="AP3" s="553"/>
      <c r="AQ3" s="584"/>
      <c r="AR3" s="585"/>
      <c r="AS3" s="585"/>
      <c r="AT3" s="585"/>
      <c r="AU3" s="585"/>
      <c r="AV3" s="586"/>
      <c r="AW3" s="573" t="s">
        <v>495</v>
      </c>
      <c r="AX3" s="573"/>
      <c r="AY3" s="573"/>
      <c r="AZ3" s="573"/>
      <c r="BA3" s="574"/>
      <c r="BB3" s="572" t="s">
        <v>495</v>
      </c>
      <c r="BC3" s="573"/>
      <c r="BD3" s="573"/>
      <c r="BE3" s="573"/>
      <c r="BF3" s="574"/>
    </row>
    <row r="4" spans="1:58" ht="13.5" customHeight="1" x14ac:dyDescent="0.15">
      <c r="A4" s="717"/>
      <c r="B4" s="717"/>
      <c r="C4" s="717"/>
      <c r="D4" s="717"/>
      <c r="E4" s="717"/>
      <c r="F4" s="717"/>
      <c r="G4" s="717"/>
      <c r="H4" s="717"/>
      <c r="I4" s="717"/>
      <c r="J4" s="717"/>
      <c r="K4" s="717"/>
      <c r="L4" s="717"/>
      <c r="M4" s="717"/>
      <c r="N4" s="717"/>
      <c r="O4" s="717"/>
      <c r="P4" s="717"/>
      <c r="Q4" s="717"/>
      <c r="R4" s="717"/>
      <c r="S4" s="717"/>
      <c r="T4" s="717"/>
      <c r="U4" s="717"/>
      <c r="V4" s="717"/>
      <c r="W4" s="717"/>
      <c r="X4" s="717"/>
      <c r="Y4" s="717"/>
      <c r="Z4" s="717"/>
      <c r="AA4" s="717"/>
      <c r="AB4" s="553"/>
      <c r="AC4" s="553"/>
      <c r="AD4" s="553"/>
      <c r="AE4" s="553"/>
      <c r="AF4" s="553"/>
      <c r="AG4" s="553"/>
      <c r="AH4" s="553"/>
      <c r="AI4" s="553"/>
      <c r="AJ4" s="553"/>
      <c r="AK4" s="553"/>
      <c r="AL4" s="553"/>
      <c r="AM4" s="553"/>
      <c r="AN4" s="553"/>
      <c r="AO4" s="553"/>
      <c r="AP4" s="553"/>
      <c r="AQ4" s="587"/>
      <c r="AR4" s="588"/>
      <c r="AS4" s="588"/>
      <c r="AT4" s="588"/>
      <c r="AU4" s="588"/>
      <c r="AV4" s="589"/>
      <c r="AW4" s="578"/>
      <c r="AX4" s="579"/>
      <c r="AY4" s="579"/>
      <c r="AZ4" s="579"/>
      <c r="BA4" s="580"/>
      <c r="BB4" s="578"/>
      <c r="BC4" s="579"/>
      <c r="BD4" s="579"/>
      <c r="BE4" s="579"/>
      <c r="BF4" s="580"/>
    </row>
    <row r="5" spans="1:58" ht="13.5" customHeight="1" x14ac:dyDescent="0.15">
      <c r="A5" s="553" t="s">
        <v>465</v>
      </c>
      <c r="B5" s="553"/>
      <c r="C5" s="553"/>
      <c r="D5" s="553"/>
      <c r="E5" s="553"/>
      <c r="F5" s="553"/>
      <c r="G5" s="553"/>
      <c r="H5" s="553"/>
      <c r="I5" s="553"/>
      <c r="J5" s="553"/>
      <c r="K5" s="553"/>
      <c r="L5" s="553"/>
      <c r="M5" s="553"/>
      <c r="N5" s="553"/>
      <c r="O5" s="552" t="s">
        <v>466</v>
      </c>
      <c r="P5" s="552"/>
      <c r="Q5" s="552"/>
      <c r="R5" s="552"/>
      <c r="S5" s="552"/>
      <c r="T5" s="552"/>
      <c r="U5" s="552"/>
      <c r="V5" s="552"/>
      <c r="W5" s="552"/>
      <c r="X5" s="552"/>
      <c r="Y5" s="552"/>
      <c r="Z5" s="552"/>
      <c r="AA5" s="552"/>
      <c r="AB5" s="553"/>
      <c r="AC5" s="553"/>
      <c r="AD5" s="553"/>
      <c r="AE5" s="553"/>
      <c r="AF5" s="553"/>
      <c r="AG5" s="553"/>
      <c r="AH5" s="553"/>
      <c r="AI5" s="553"/>
      <c r="AJ5" s="553"/>
      <c r="AK5" s="553"/>
      <c r="AL5" s="553"/>
      <c r="AM5" s="553"/>
      <c r="AN5" s="553"/>
      <c r="AO5" s="553"/>
      <c r="AP5" s="553"/>
      <c r="AQ5" s="587"/>
      <c r="AR5" s="588"/>
      <c r="AS5" s="588"/>
      <c r="AT5" s="588"/>
      <c r="AU5" s="588"/>
      <c r="AV5" s="589"/>
      <c r="AW5" s="578"/>
      <c r="AX5" s="579"/>
      <c r="AY5" s="579"/>
      <c r="AZ5" s="579"/>
      <c r="BA5" s="580"/>
      <c r="BB5" s="578"/>
      <c r="BC5" s="579"/>
      <c r="BD5" s="579"/>
      <c r="BE5" s="579"/>
      <c r="BF5" s="580"/>
    </row>
    <row r="6" spans="1:58" x14ac:dyDescent="0.15">
      <c r="A6" s="553"/>
      <c r="B6" s="553"/>
      <c r="C6" s="553"/>
      <c r="D6" s="553"/>
      <c r="E6" s="553"/>
      <c r="F6" s="553"/>
      <c r="G6" s="553"/>
      <c r="H6" s="553"/>
      <c r="I6" s="553"/>
      <c r="J6" s="553"/>
      <c r="K6" s="553"/>
      <c r="L6" s="553"/>
      <c r="M6" s="553"/>
      <c r="N6" s="553"/>
      <c r="O6" s="552"/>
      <c r="P6" s="552"/>
      <c r="Q6" s="552"/>
      <c r="R6" s="552"/>
      <c r="S6" s="552"/>
      <c r="T6" s="552"/>
      <c r="U6" s="552"/>
      <c r="V6" s="552"/>
      <c r="W6" s="552"/>
      <c r="X6" s="552"/>
      <c r="Y6" s="552"/>
      <c r="Z6" s="552"/>
      <c r="AA6" s="552"/>
      <c r="AB6" s="553"/>
      <c r="AC6" s="553"/>
      <c r="AD6" s="553"/>
      <c r="AE6" s="553"/>
      <c r="AF6" s="553"/>
      <c r="AG6" s="553"/>
      <c r="AH6" s="553"/>
      <c r="AI6" s="553"/>
      <c r="AJ6" s="553"/>
      <c r="AK6" s="553"/>
      <c r="AL6" s="553"/>
      <c r="AM6" s="553"/>
      <c r="AN6" s="553"/>
      <c r="AO6" s="553"/>
      <c r="AP6" s="553"/>
      <c r="AQ6" s="590"/>
      <c r="AR6" s="591"/>
      <c r="AS6" s="591"/>
      <c r="AT6" s="591"/>
      <c r="AU6" s="591"/>
      <c r="AV6" s="592"/>
      <c r="AW6" s="593"/>
      <c r="AX6" s="594"/>
      <c r="AY6" s="594"/>
      <c r="AZ6" s="594"/>
      <c r="BA6" s="595"/>
      <c r="BB6" s="593"/>
      <c r="BC6" s="594"/>
      <c r="BD6" s="594"/>
      <c r="BE6" s="594"/>
      <c r="BF6" s="595"/>
    </row>
    <row r="7" spans="1:58" ht="13.5" customHeight="1" x14ac:dyDescent="0.15">
      <c r="A7" s="553" t="s">
        <v>310</v>
      </c>
      <c r="B7" s="553"/>
      <c r="C7" s="553"/>
      <c r="D7" s="553"/>
      <c r="E7" s="553"/>
      <c r="F7" s="553"/>
      <c r="G7" s="553"/>
      <c r="H7" s="553"/>
      <c r="I7" s="553"/>
      <c r="J7" s="553"/>
      <c r="K7" s="553"/>
      <c r="L7" s="553"/>
      <c r="M7" s="553"/>
      <c r="N7" s="553"/>
      <c r="O7" s="552" t="s">
        <v>311</v>
      </c>
      <c r="P7" s="552"/>
      <c r="Q7" s="552"/>
      <c r="R7" s="552"/>
      <c r="S7" s="552"/>
      <c r="T7" s="552"/>
      <c r="U7" s="552"/>
      <c r="V7" s="552"/>
      <c r="W7" s="552"/>
      <c r="X7" s="552"/>
      <c r="Y7" s="552"/>
      <c r="Z7" s="552"/>
      <c r="AA7" s="552"/>
      <c r="AB7" s="552" t="s">
        <v>312</v>
      </c>
      <c r="AC7" s="552"/>
      <c r="AD7" s="552"/>
      <c r="AE7" s="552"/>
      <c r="AF7" s="552"/>
      <c r="AG7" s="552"/>
      <c r="AH7" s="552"/>
      <c r="AI7" s="552"/>
      <c r="AJ7" s="552"/>
      <c r="AK7" s="552"/>
      <c r="AL7" s="552"/>
      <c r="AM7" s="552"/>
      <c r="AN7" s="552"/>
      <c r="AO7" s="552"/>
      <c r="AP7" s="552" t="s">
        <v>313</v>
      </c>
      <c r="AQ7" s="552"/>
      <c r="AR7" s="552"/>
      <c r="AS7" s="552"/>
      <c r="AT7" s="552"/>
      <c r="AU7" s="552"/>
      <c r="AV7" s="552"/>
      <c r="AW7" s="552"/>
      <c r="AX7" s="552"/>
      <c r="AY7" s="552"/>
      <c r="AZ7" s="552"/>
      <c r="BA7" s="552"/>
      <c r="BB7" s="552"/>
      <c r="BC7" s="552"/>
      <c r="BD7" s="553" t="s">
        <v>23</v>
      </c>
      <c r="BE7" s="553"/>
      <c r="BF7" s="553"/>
    </row>
    <row r="8" spans="1:58" x14ac:dyDescent="0.15">
      <c r="A8" s="553"/>
      <c r="B8" s="553"/>
      <c r="C8" s="553"/>
      <c r="D8" s="553"/>
      <c r="E8" s="553"/>
      <c r="F8" s="553"/>
      <c r="G8" s="553"/>
      <c r="H8" s="553"/>
      <c r="I8" s="553"/>
      <c r="J8" s="553"/>
      <c r="K8" s="553"/>
      <c r="L8" s="553"/>
      <c r="M8" s="553"/>
      <c r="N8" s="553"/>
      <c r="O8" s="552"/>
      <c r="P8" s="552"/>
      <c r="Q8" s="552"/>
      <c r="R8" s="552"/>
      <c r="S8" s="552"/>
      <c r="T8" s="552"/>
      <c r="U8" s="552"/>
      <c r="V8" s="552"/>
      <c r="W8" s="552"/>
      <c r="X8" s="552"/>
      <c r="Y8" s="552"/>
      <c r="Z8" s="552"/>
      <c r="AA8" s="552"/>
      <c r="AB8" s="552" t="s">
        <v>568</v>
      </c>
      <c r="AC8" s="552"/>
      <c r="AD8" s="552"/>
      <c r="AE8" s="552"/>
      <c r="AF8" s="552"/>
      <c r="AG8" s="552"/>
      <c r="AH8" s="552"/>
      <c r="AI8" s="553"/>
      <c r="AJ8" s="553"/>
      <c r="AK8" s="553"/>
      <c r="AL8" s="553"/>
      <c r="AM8" s="553"/>
      <c r="AN8" s="553"/>
      <c r="AO8" s="553"/>
      <c r="AP8" s="552" t="s">
        <v>315</v>
      </c>
      <c r="AQ8" s="552"/>
      <c r="AR8" s="552"/>
      <c r="AS8" s="552"/>
      <c r="AT8" s="552"/>
      <c r="AU8" s="552"/>
      <c r="AV8" s="552"/>
      <c r="AW8" s="553"/>
      <c r="AX8" s="553"/>
      <c r="AY8" s="553"/>
      <c r="AZ8" s="553"/>
      <c r="BA8" s="553"/>
      <c r="BB8" s="553"/>
      <c r="BC8" s="553"/>
      <c r="BD8" s="596"/>
      <c r="BE8" s="596"/>
      <c r="BF8" s="596"/>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4" t="s">
        <v>208</v>
      </c>
      <c r="B10" s="624"/>
      <c r="C10" s="624"/>
      <c r="D10" s="624"/>
      <c r="E10" s="624"/>
      <c r="F10" s="624"/>
      <c r="G10" s="624"/>
      <c r="H10" s="624"/>
      <c r="I10" s="624"/>
      <c r="J10" s="624"/>
      <c r="K10" s="624"/>
      <c r="L10" s="553" t="s">
        <v>10</v>
      </c>
      <c r="M10" s="553"/>
      <c r="N10" s="553"/>
      <c r="O10" s="553"/>
      <c r="P10" s="553"/>
      <c r="Q10" s="553"/>
      <c r="R10" s="553"/>
      <c r="S10" s="553"/>
      <c r="T10" s="553"/>
      <c r="U10" s="553"/>
      <c r="V10" s="553"/>
      <c r="W10" s="553"/>
      <c r="X10" s="553"/>
      <c r="Y10" s="553"/>
      <c r="Z10" s="301"/>
      <c r="AA10" s="301"/>
      <c r="AB10" s="301"/>
      <c r="AC10" s="301"/>
      <c r="AD10" s="301"/>
      <c r="AE10" s="301"/>
      <c r="AF10" s="726" t="s">
        <v>712</v>
      </c>
      <c r="AG10" s="727"/>
      <c r="AH10" s="732"/>
      <c r="AI10" s="733"/>
      <c r="AJ10" s="733"/>
      <c r="AK10" s="733"/>
      <c r="AL10" s="733"/>
      <c r="AM10" s="733"/>
      <c r="AN10" s="733"/>
      <c r="AO10" s="733"/>
      <c r="AP10" s="733"/>
      <c r="AQ10" s="733"/>
      <c r="AR10" s="733"/>
      <c r="AS10" s="733"/>
      <c r="AT10" s="733"/>
      <c r="AU10" s="733"/>
      <c r="AV10" s="733"/>
      <c r="AW10" s="733"/>
      <c r="AX10" s="733"/>
      <c r="AY10" s="733"/>
      <c r="AZ10" s="733"/>
      <c r="BA10" s="733"/>
      <c r="BB10" s="733"/>
      <c r="BC10" s="733"/>
      <c r="BD10" s="733"/>
      <c r="BE10" s="733"/>
      <c r="BF10" s="734"/>
    </row>
    <row r="11" spans="1:58" x14ac:dyDescent="0.15">
      <c r="A11" s="624"/>
      <c r="B11" s="624"/>
      <c r="C11" s="624"/>
      <c r="D11" s="624"/>
      <c r="E11" s="624"/>
      <c r="F11" s="624"/>
      <c r="G11" s="624"/>
      <c r="H11" s="624"/>
      <c r="I11" s="624"/>
      <c r="J11" s="624"/>
      <c r="K11" s="624"/>
      <c r="L11" s="553"/>
      <c r="M11" s="553"/>
      <c r="N11" s="553"/>
      <c r="O11" s="553"/>
      <c r="P11" s="553"/>
      <c r="Q11" s="553"/>
      <c r="R11" s="553"/>
      <c r="S11" s="553"/>
      <c r="T11" s="553"/>
      <c r="U11" s="553"/>
      <c r="V11" s="553"/>
      <c r="W11" s="553"/>
      <c r="X11" s="553"/>
      <c r="Y11" s="553"/>
      <c r="Z11" s="301"/>
      <c r="AA11" s="301"/>
      <c r="AB11" s="301"/>
      <c r="AC11" s="301"/>
      <c r="AD11" s="301"/>
      <c r="AE11" s="301"/>
      <c r="AF11" s="728"/>
      <c r="AG11" s="729"/>
      <c r="AH11" s="735"/>
      <c r="AI11" s="736"/>
      <c r="AJ11" s="736"/>
      <c r="AK11" s="736"/>
      <c r="AL11" s="736"/>
      <c r="AM11" s="736"/>
      <c r="AN11" s="736"/>
      <c r="AO11" s="736"/>
      <c r="AP11" s="736"/>
      <c r="AQ11" s="736"/>
      <c r="AR11" s="736"/>
      <c r="AS11" s="736"/>
      <c r="AT11" s="736"/>
      <c r="AU11" s="736"/>
      <c r="AV11" s="736"/>
      <c r="AW11" s="736"/>
      <c r="AX11" s="736"/>
      <c r="AY11" s="736"/>
      <c r="AZ11" s="736"/>
      <c r="BA11" s="736"/>
      <c r="BB11" s="736"/>
      <c r="BC11" s="736"/>
      <c r="BD11" s="736"/>
      <c r="BE11" s="736"/>
      <c r="BF11" s="737"/>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28"/>
      <c r="AG12" s="729"/>
      <c r="AH12" s="735"/>
      <c r="AI12" s="736"/>
      <c r="AJ12" s="736"/>
      <c r="AK12" s="736"/>
      <c r="AL12" s="736"/>
      <c r="AM12" s="736"/>
      <c r="AN12" s="736"/>
      <c r="AO12" s="736"/>
      <c r="AP12" s="736"/>
      <c r="AQ12" s="736"/>
      <c r="AR12" s="736"/>
      <c r="AS12" s="736"/>
      <c r="AT12" s="736"/>
      <c r="AU12" s="736"/>
      <c r="AV12" s="736"/>
      <c r="AW12" s="736"/>
      <c r="AX12" s="736"/>
      <c r="AY12" s="736"/>
      <c r="AZ12" s="736"/>
      <c r="BA12" s="736"/>
      <c r="BB12" s="736"/>
      <c r="BC12" s="736"/>
      <c r="BD12" s="736"/>
      <c r="BE12" s="736"/>
      <c r="BF12" s="737"/>
    </row>
    <row r="13" spans="1:58" x14ac:dyDescent="0.15">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28"/>
      <c r="AG13" s="729"/>
      <c r="AH13" s="735"/>
      <c r="AI13" s="736"/>
      <c r="AJ13" s="736"/>
      <c r="AK13" s="736"/>
      <c r="AL13" s="736"/>
      <c r="AM13" s="736"/>
      <c r="AN13" s="736"/>
      <c r="AO13" s="736"/>
      <c r="AP13" s="736"/>
      <c r="AQ13" s="736"/>
      <c r="AR13" s="736"/>
      <c r="AS13" s="736"/>
      <c r="AT13" s="736"/>
      <c r="AU13" s="736"/>
      <c r="AV13" s="736"/>
      <c r="AW13" s="736"/>
      <c r="AX13" s="736"/>
      <c r="AY13" s="736"/>
      <c r="AZ13" s="736"/>
      <c r="BA13" s="736"/>
      <c r="BB13" s="736"/>
      <c r="BC13" s="736"/>
      <c r="BD13" s="736"/>
      <c r="BE13" s="736"/>
      <c r="BF13" s="737"/>
    </row>
    <row r="14" spans="1:58" x14ac:dyDescent="0.15">
      <c r="A14" s="741" t="s">
        <v>210</v>
      </c>
      <c r="B14" s="573"/>
      <c r="C14" s="573"/>
      <c r="D14" s="573"/>
      <c r="E14" s="573"/>
      <c r="F14" s="573"/>
      <c r="G14" s="573"/>
      <c r="H14" s="574"/>
      <c r="I14" s="741" t="s">
        <v>13</v>
      </c>
      <c r="J14" s="573"/>
      <c r="K14" s="573"/>
      <c r="L14" s="573"/>
      <c r="M14" s="573"/>
      <c r="N14" s="573"/>
      <c r="O14" s="573"/>
      <c r="P14" s="573"/>
      <c r="Q14" s="573"/>
      <c r="R14" s="573"/>
      <c r="S14" s="574"/>
      <c r="T14" s="741" t="s">
        <v>254</v>
      </c>
      <c r="U14" s="573"/>
      <c r="V14" s="573"/>
      <c r="W14" s="573"/>
      <c r="X14" s="573"/>
      <c r="Y14" s="573"/>
      <c r="Z14" s="573"/>
      <c r="AA14" s="573"/>
      <c r="AB14" s="573"/>
      <c r="AC14" s="573"/>
      <c r="AD14" s="574"/>
      <c r="AE14" s="526"/>
      <c r="AF14" s="728"/>
      <c r="AG14" s="729"/>
      <c r="AH14" s="735"/>
      <c r="AI14" s="736"/>
      <c r="AJ14" s="736"/>
      <c r="AK14" s="736"/>
      <c r="AL14" s="736"/>
      <c r="AM14" s="736"/>
      <c r="AN14" s="736"/>
      <c r="AO14" s="736"/>
      <c r="AP14" s="736"/>
      <c r="AQ14" s="736"/>
      <c r="AR14" s="736"/>
      <c r="AS14" s="736"/>
      <c r="AT14" s="736"/>
      <c r="AU14" s="736"/>
      <c r="AV14" s="736"/>
      <c r="AW14" s="736"/>
      <c r="AX14" s="736"/>
      <c r="AY14" s="736"/>
      <c r="AZ14" s="736"/>
      <c r="BA14" s="736"/>
      <c r="BB14" s="736"/>
      <c r="BC14" s="736"/>
      <c r="BD14" s="736"/>
      <c r="BE14" s="736"/>
      <c r="BF14" s="737"/>
    </row>
    <row r="15" spans="1:58" x14ac:dyDescent="0.15">
      <c r="A15" s="572" t="s">
        <v>697</v>
      </c>
      <c r="B15" s="573"/>
      <c r="C15" s="573"/>
      <c r="D15" s="573"/>
      <c r="E15" s="573"/>
      <c r="F15" s="573"/>
      <c r="G15" s="573"/>
      <c r="H15" s="574"/>
      <c r="I15" s="742">
        <v>0.2</v>
      </c>
      <c r="J15" s="743"/>
      <c r="K15" s="743"/>
      <c r="L15" s="743"/>
      <c r="M15" s="743"/>
      <c r="N15" s="743"/>
      <c r="O15" s="743"/>
      <c r="P15" s="743"/>
      <c r="Q15" s="743"/>
      <c r="R15" s="743"/>
      <c r="S15" s="744"/>
      <c r="T15" s="742" t="s">
        <v>698</v>
      </c>
      <c r="U15" s="743"/>
      <c r="V15" s="743"/>
      <c r="W15" s="743"/>
      <c r="X15" s="743"/>
      <c r="Y15" s="743"/>
      <c r="Z15" s="743"/>
      <c r="AA15" s="743"/>
      <c r="AB15" s="743"/>
      <c r="AC15" s="743"/>
      <c r="AD15" s="744"/>
      <c r="AE15" s="527"/>
      <c r="AF15" s="728"/>
      <c r="AG15" s="729"/>
      <c r="AH15" s="735"/>
      <c r="AI15" s="736"/>
      <c r="AJ15" s="736"/>
      <c r="AK15" s="736"/>
      <c r="AL15" s="736"/>
      <c r="AM15" s="736"/>
      <c r="AN15" s="736"/>
      <c r="AO15" s="736"/>
      <c r="AP15" s="736"/>
      <c r="AQ15" s="736"/>
      <c r="AR15" s="736"/>
      <c r="AS15" s="736"/>
      <c r="AT15" s="736"/>
      <c r="AU15" s="736"/>
      <c r="AV15" s="736"/>
      <c r="AW15" s="736"/>
      <c r="AX15" s="736"/>
      <c r="AY15" s="736"/>
      <c r="AZ15" s="736"/>
      <c r="BA15" s="736"/>
      <c r="BB15" s="736"/>
      <c r="BC15" s="736"/>
      <c r="BD15" s="736"/>
      <c r="BE15" s="736"/>
      <c r="BF15" s="737"/>
    </row>
    <row r="16" spans="1:58" x14ac:dyDescent="0.15">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30"/>
      <c r="AG16" s="731"/>
      <c r="AH16" s="738"/>
      <c r="AI16" s="739"/>
      <c r="AJ16" s="739"/>
      <c r="AK16" s="739"/>
      <c r="AL16" s="739"/>
      <c r="AM16" s="739"/>
      <c r="AN16" s="739"/>
      <c r="AO16" s="739"/>
      <c r="AP16" s="739"/>
      <c r="AQ16" s="739"/>
      <c r="AR16" s="739"/>
      <c r="AS16" s="739"/>
      <c r="AT16" s="739"/>
      <c r="AU16" s="739"/>
      <c r="AV16" s="739"/>
      <c r="AW16" s="739"/>
      <c r="AX16" s="739"/>
      <c r="AY16" s="739"/>
      <c r="AZ16" s="739"/>
      <c r="BA16" s="739"/>
      <c r="BB16" s="739"/>
      <c r="BC16" s="739"/>
      <c r="BD16" s="739"/>
      <c r="BE16" s="739"/>
      <c r="BF16" s="740"/>
    </row>
    <row r="17" spans="1:48" x14ac:dyDescent="0.15">
      <c r="A17" t="s">
        <v>261</v>
      </c>
    </row>
    <row r="18" spans="1:48" x14ac:dyDescent="0.15">
      <c r="A18" s="715" t="s">
        <v>211</v>
      </c>
      <c r="B18" s="716"/>
      <c r="C18" s="716"/>
      <c r="D18" s="716"/>
      <c r="E18" s="716"/>
      <c r="F18" s="716"/>
      <c r="G18" s="716"/>
      <c r="H18" s="716"/>
      <c r="I18" s="716"/>
      <c r="J18" s="716"/>
      <c r="K18" s="716"/>
      <c r="L18" s="716"/>
      <c r="M18" s="716"/>
      <c r="N18" s="716"/>
      <c r="O18" s="716"/>
      <c r="P18" s="716"/>
      <c r="Q18" s="716"/>
      <c r="R18" s="638"/>
      <c r="S18" s="715" t="s">
        <v>262</v>
      </c>
      <c r="T18" s="716"/>
      <c r="U18" s="716"/>
      <c r="V18" s="716"/>
      <c r="W18" s="716"/>
      <c r="X18" s="716"/>
      <c r="Y18" s="716"/>
      <c r="Z18" s="716"/>
      <c r="AA18" s="716"/>
      <c r="AB18" s="716"/>
      <c r="AC18" s="716"/>
      <c r="AD18" s="716"/>
      <c r="AE18" s="716"/>
      <c r="AF18" s="716"/>
      <c r="AG18" s="716"/>
      <c r="AH18" s="716"/>
      <c r="AI18" s="716"/>
      <c r="AJ18" s="716"/>
      <c r="AK18" s="716"/>
      <c r="AL18" s="716"/>
      <c r="AM18" s="716"/>
      <c r="AN18" s="716"/>
      <c r="AO18" s="716"/>
      <c r="AP18" s="716"/>
      <c r="AQ18" s="716"/>
      <c r="AR18" s="716"/>
      <c r="AS18" s="716"/>
      <c r="AT18" s="716"/>
      <c r="AU18" s="716"/>
      <c r="AV18" s="638"/>
    </row>
    <row r="19" spans="1:48" ht="13.5" customHeight="1" x14ac:dyDescent="0.15">
      <c r="A19" s="709" t="s">
        <v>219</v>
      </c>
      <c r="B19" s="710"/>
      <c r="C19" s="710"/>
      <c r="D19" s="710"/>
      <c r="E19" s="710"/>
      <c r="F19" s="710"/>
      <c r="G19" s="710"/>
      <c r="H19" s="710"/>
      <c r="I19" s="710"/>
      <c r="J19" s="710"/>
      <c r="K19" s="711"/>
      <c r="L19" s="709" t="s">
        <v>220</v>
      </c>
      <c r="M19" s="710"/>
      <c r="N19" s="710"/>
      <c r="O19" s="710"/>
      <c r="P19" s="710"/>
      <c r="Q19" s="710"/>
      <c r="R19" s="711"/>
      <c r="S19" s="709" t="s">
        <v>14</v>
      </c>
      <c r="T19" s="710"/>
      <c r="U19" s="710"/>
      <c r="V19" s="710"/>
      <c r="W19" s="710"/>
      <c r="X19" s="710"/>
      <c r="Y19" s="711"/>
      <c r="Z19" s="709" t="s">
        <v>15</v>
      </c>
      <c r="AA19" s="710"/>
      <c r="AB19" s="710"/>
      <c r="AC19" s="710"/>
      <c r="AD19" s="710"/>
      <c r="AE19" s="710"/>
      <c r="AF19" s="710"/>
      <c r="AG19" s="710"/>
      <c r="AH19" s="711"/>
      <c r="AI19" s="709" t="s">
        <v>264</v>
      </c>
      <c r="AJ19" s="710"/>
      <c r="AK19" s="710"/>
      <c r="AL19" s="710"/>
      <c r="AM19" s="710"/>
      <c r="AN19" s="711"/>
      <c r="AO19" s="709" t="s">
        <v>16</v>
      </c>
      <c r="AP19" s="710"/>
      <c r="AQ19" s="710"/>
      <c r="AR19" s="710"/>
      <c r="AS19" s="710"/>
      <c r="AT19" s="710"/>
      <c r="AU19" s="710"/>
      <c r="AV19" s="711"/>
    </row>
    <row r="20" spans="1:48" x14ac:dyDescent="0.15">
      <c r="A20" s="712"/>
      <c r="B20" s="713"/>
      <c r="C20" s="713"/>
      <c r="D20" s="713"/>
      <c r="E20" s="713"/>
      <c r="F20" s="713"/>
      <c r="G20" s="713"/>
      <c r="H20" s="713"/>
      <c r="I20" s="713"/>
      <c r="J20" s="713"/>
      <c r="K20" s="714"/>
      <c r="L20" s="712"/>
      <c r="M20" s="713"/>
      <c r="N20" s="713"/>
      <c r="O20" s="713"/>
      <c r="P20" s="713"/>
      <c r="Q20" s="713"/>
      <c r="R20" s="714"/>
      <c r="S20" s="712"/>
      <c r="T20" s="713"/>
      <c r="U20" s="713"/>
      <c r="V20" s="713"/>
      <c r="W20" s="713"/>
      <c r="X20" s="713"/>
      <c r="Y20" s="714"/>
      <c r="Z20" s="712"/>
      <c r="AA20" s="713"/>
      <c r="AB20" s="713"/>
      <c r="AC20" s="713"/>
      <c r="AD20" s="713"/>
      <c r="AE20" s="713"/>
      <c r="AF20" s="713"/>
      <c r="AG20" s="713"/>
      <c r="AH20" s="714"/>
      <c r="AI20" s="712"/>
      <c r="AJ20" s="713"/>
      <c r="AK20" s="713"/>
      <c r="AL20" s="713"/>
      <c r="AM20" s="713"/>
      <c r="AN20" s="714"/>
      <c r="AO20" s="712"/>
      <c r="AP20" s="713"/>
      <c r="AQ20" s="713"/>
      <c r="AR20" s="713"/>
      <c r="AS20" s="713"/>
      <c r="AT20" s="713"/>
      <c r="AU20" s="713"/>
      <c r="AV20" s="714"/>
    </row>
    <row r="21" spans="1:48" x14ac:dyDescent="0.15">
      <c r="A21" s="618" t="s">
        <v>17</v>
      </c>
      <c r="B21" s="618"/>
      <c r="C21" s="618"/>
      <c r="D21" s="618"/>
      <c r="E21" s="618"/>
      <c r="F21" s="618"/>
      <c r="G21" s="618"/>
      <c r="H21" s="618"/>
      <c r="I21" s="618"/>
      <c r="J21" s="618"/>
      <c r="K21" s="618"/>
      <c r="L21" s="705">
        <v>20</v>
      </c>
      <c r="M21" s="705"/>
      <c r="N21" s="705"/>
      <c r="O21" s="705"/>
      <c r="P21" s="705"/>
      <c r="Q21" s="705"/>
      <c r="R21" s="705"/>
      <c r="S21" s="706">
        <v>5</v>
      </c>
      <c r="T21" s="706"/>
      <c r="U21" s="706"/>
      <c r="V21" s="706"/>
      <c r="W21" s="706"/>
      <c r="X21" s="706"/>
      <c r="Y21" s="706"/>
      <c r="Z21" s="707">
        <f>IF(AND(L21&lt;&gt;"",S21&lt;&gt;""),S21/L21,"")</f>
        <v>0.25</v>
      </c>
      <c r="AA21" s="707"/>
      <c r="AB21" s="707"/>
      <c r="AC21" s="707"/>
      <c r="AD21" s="707"/>
      <c r="AE21" s="707"/>
      <c r="AF21" s="707"/>
      <c r="AG21" s="707"/>
      <c r="AH21" s="707"/>
      <c r="AI21" s="705">
        <v>11</v>
      </c>
      <c r="AJ21" s="705"/>
      <c r="AK21" s="705"/>
      <c r="AL21" s="705"/>
      <c r="AM21" s="705"/>
      <c r="AN21" s="705"/>
      <c r="AO21" s="707">
        <f>IF(AND(L21&lt;&gt;"",AI21&lt;&gt;""),AI21/L21,"")</f>
        <v>0.55000000000000004</v>
      </c>
      <c r="AP21" s="707"/>
      <c r="AQ21" s="707"/>
      <c r="AR21" s="707"/>
      <c r="AS21" s="707"/>
      <c r="AT21" s="707"/>
      <c r="AU21" s="707"/>
      <c r="AV21" s="707"/>
    </row>
    <row r="22" spans="1:48" x14ac:dyDescent="0.15">
      <c r="A22" s="618"/>
      <c r="B22" s="618"/>
      <c r="C22" s="618"/>
      <c r="D22" s="618"/>
      <c r="E22" s="618"/>
      <c r="F22" s="618"/>
      <c r="G22" s="618"/>
      <c r="H22" s="618"/>
      <c r="I22" s="618"/>
      <c r="J22" s="618"/>
      <c r="K22" s="618"/>
      <c r="L22" s="705"/>
      <c r="M22" s="705"/>
      <c r="N22" s="705"/>
      <c r="O22" s="705"/>
      <c r="P22" s="705"/>
      <c r="Q22" s="705"/>
      <c r="R22" s="705"/>
      <c r="S22" s="706"/>
      <c r="T22" s="706"/>
      <c r="U22" s="706"/>
      <c r="V22" s="706"/>
      <c r="W22" s="706"/>
      <c r="X22" s="706"/>
      <c r="Y22" s="706"/>
      <c r="Z22" s="707"/>
      <c r="AA22" s="707"/>
      <c r="AB22" s="707"/>
      <c r="AC22" s="707"/>
      <c r="AD22" s="707"/>
      <c r="AE22" s="707"/>
      <c r="AF22" s="707"/>
      <c r="AG22" s="707"/>
      <c r="AH22" s="707"/>
      <c r="AI22" s="705"/>
      <c r="AJ22" s="705"/>
      <c r="AK22" s="705"/>
      <c r="AL22" s="705"/>
      <c r="AM22" s="705"/>
      <c r="AN22" s="705"/>
      <c r="AO22" s="707"/>
      <c r="AP22" s="707"/>
      <c r="AQ22" s="707"/>
      <c r="AR22" s="707"/>
      <c r="AS22" s="707"/>
      <c r="AT22" s="707"/>
      <c r="AU22" s="707"/>
      <c r="AV22" s="707"/>
    </row>
    <row r="23" spans="1:48" x14ac:dyDescent="0.15">
      <c r="A23" s="618" t="s">
        <v>18</v>
      </c>
      <c r="B23" s="618"/>
      <c r="C23" s="618"/>
      <c r="D23" s="618"/>
      <c r="E23" s="618"/>
      <c r="F23" s="618"/>
      <c r="G23" s="618"/>
      <c r="H23" s="618"/>
      <c r="I23" s="618"/>
      <c r="J23" s="618"/>
      <c r="K23" s="618"/>
      <c r="L23" s="705">
        <v>30</v>
      </c>
      <c r="M23" s="705"/>
      <c r="N23" s="705"/>
      <c r="O23" s="705"/>
      <c r="P23" s="705"/>
      <c r="Q23" s="705"/>
      <c r="R23" s="705"/>
      <c r="S23" s="706">
        <v>13</v>
      </c>
      <c r="T23" s="706"/>
      <c r="U23" s="706"/>
      <c r="V23" s="706"/>
      <c r="W23" s="706"/>
      <c r="X23" s="706"/>
      <c r="Y23" s="706"/>
      <c r="Z23" s="707">
        <f>IF(AND(L23&lt;&gt;"",S23&lt;&gt;""),S23/L23,"")</f>
        <v>0.43333333333333335</v>
      </c>
      <c r="AA23" s="707"/>
      <c r="AB23" s="707"/>
      <c r="AC23" s="707"/>
      <c r="AD23" s="707"/>
      <c r="AE23" s="707"/>
      <c r="AF23" s="707"/>
      <c r="AG23" s="707"/>
      <c r="AH23" s="707"/>
      <c r="AI23" s="705">
        <v>15</v>
      </c>
      <c r="AJ23" s="705"/>
      <c r="AK23" s="705"/>
      <c r="AL23" s="705"/>
      <c r="AM23" s="705"/>
      <c r="AN23" s="705"/>
      <c r="AO23" s="707">
        <f>IF(AND(L23&lt;&gt;"",AI23&lt;&gt;""),AI23/L23,"")</f>
        <v>0.5</v>
      </c>
      <c r="AP23" s="707"/>
      <c r="AQ23" s="707"/>
      <c r="AR23" s="707"/>
      <c r="AS23" s="707"/>
      <c r="AT23" s="707"/>
      <c r="AU23" s="707"/>
      <c r="AV23" s="707"/>
    </row>
    <row r="24" spans="1:48" x14ac:dyDescent="0.15">
      <c r="A24" s="618"/>
      <c r="B24" s="618"/>
      <c r="C24" s="618"/>
      <c r="D24" s="618"/>
      <c r="E24" s="618"/>
      <c r="F24" s="618"/>
      <c r="G24" s="618"/>
      <c r="H24" s="618"/>
      <c r="I24" s="618"/>
      <c r="J24" s="618"/>
      <c r="K24" s="618"/>
      <c r="L24" s="705"/>
      <c r="M24" s="705"/>
      <c r="N24" s="705"/>
      <c r="O24" s="705"/>
      <c r="P24" s="705"/>
      <c r="Q24" s="705"/>
      <c r="R24" s="705"/>
      <c r="S24" s="706"/>
      <c r="T24" s="706"/>
      <c r="U24" s="706"/>
      <c r="V24" s="706"/>
      <c r="W24" s="706"/>
      <c r="X24" s="706"/>
      <c r="Y24" s="706"/>
      <c r="Z24" s="707"/>
      <c r="AA24" s="707"/>
      <c r="AB24" s="707"/>
      <c r="AC24" s="707"/>
      <c r="AD24" s="707"/>
      <c r="AE24" s="707"/>
      <c r="AF24" s="707"/>
      <c r="AG24" s="707"/>
      <c r="AH24" s="707"/>
      <c r="AI24" s="705"/>
      <c r="AJ24" s="705"/>
      <c r="AK24" s="705"/>
      <c r="AL24" s="705"/>
      <c r="AM24" s="705"/>
      <c r="AN24" s="705"/>
      <c r="AO24" s="707"/>
      <c r="AP24" s="707"/>
      <c r="AQ24" s="707"/>
      <c r="AR24" s="707"/>
      <c r="AS24" s="707"/>
      <c r="AT24" s="707"/>
      <c r="AU24" s="707"/>
      <c r="AV24" s="707"/>
    </row>
    <row r="25" spans="1:48" x14ac:dyDescent="0.15">
      <c r="A25" s="618" t="s">
        <v>19</v>
      </c>
      <c r="B25" s="618"/>
      <c r="C25" s="618"/>
      <c r="D25" s="618"/>
      <c r="E25" s="618"/>
      <c r="F25" s="618"/>
      <c r="G25" s="618"/>
      <c r="H25" s="618"/>
      <c r="I25" s="618"/>
      <c r="J25" s="618"/>
      <c r="K25" s="618"/>
      <c r="L25" s="705">
        <v>15</v>
      </c>
      <c r="M25" s="705"/>
      <c r="N25" s="705"/>
      <c r="O25" s="705"/>
      <c r="P25" s="705"/>
      <c r="Q25" s="705"/>
      <c r="R25" s="705"/>
      <c r="S25" s="706">
        <v>5</v>
      </c>
      <c r="T25" s="706"/>
      <c r="U25" s="706"/>
      <c r="V25" s="706"/>
      <c r="W25" s="706"/>
      <c r="X25" s="706"/>
      <c r="Y25" s="706"/>
      <c r="Z25" s="707">
        <f>IF(AND(L25&lt;&gt;"",S25&lt;&gt;""),S25/L25,"")</f>
        <v>0.33333333333333331</v>
      </c>
      <c r="AA25" s="707"/>
      <c r="AB25" s="707"/>
      <c r="AC25" s="707"/>
      <c r="AD25" s="707"/>
      <c r="AE25" s="707"/>
      <c r="AF25" s="707"/>
      <c r="AG25" s="707"/>
      <c r="AH25" s="707"/>
      <c r="AI25" s="705">
        <v>6</v>
      </c>
      <c r="AJ25" s="705"/>
      <c r="AK25" s="705"/>
      <c r="AL25" s="705"/>
      <c r="AM25" s="705"/>
      <c r="AN25" s="705"/>
      <c r="AO25" s="707">
        <f>IF(AND(L25&lt;&gt;"",AI25&lt;&gt;""),AI25/L25,"")</f>
        <v>0.4</v>
      </c>
      <c r="AP25" s="707"/>
      <c r="AQ25" s="707"/>
      <c r="AR25" s="707"/>
      <c r="AS25" s="707"/>
      <c r="AT25" s="707"/>
      <c r="AU25" s="707"/>
      <c r="AV25" s="707"/>
    </row>
    <row r="26" spans="1:48" x14ac:dyDescent="0.15">
      <c r="A26" s="618"/>
      <c r="B26" s="618"/>
      <c r="C26" s="618"/>
      <c r="D26" s="618"/>
      <c r="E26" s="618"/>
      <c r="F26" s="618"/>
      <c r="G26" s="618"/>
      <c r="H26" s="618"/>
      <c r="I26" s="618"/>
      <c r="J26" s="618"/>
      <c r="K26" s="618"/>
      <c r="L26" s="705"/>
      <c r="M26" s="705"/>
      <c r="N26" s="705"/>
      <c r="O26" s="705"/>
      <c r="P26" s="705"/>
      <c r="Q26" s="705"/>
      <c r="R26" s="705"/>
      <c r="S26" s="706"/>
      <c r="T26" s="706"/>
      <c r="U26" s="706"/>
      <c r="V26" s="706"/>
      <c r="W26" s="706"/>
      <c r="X26" s="706"/>
      <c r="Y26" s="706"/>
      <c r="Z26" s="707"/>
      <c r="AA26" s="707"/>
      <c r="AB26" s="707"/>
      <c r="AC26" s="707"/>
      <c r="AD26" s="707"/>
      <c r="AE26" s="707"/>
      <c r="AF26" s="707"/>
      <c r="AG26" s="707"/>
      <c r="AH26" s="707"/>
      <c r="AI26" s="705"/>
      <c r="AJ26" s="705"/>
      <c r="AK26" s="705"/>
      <c r="AL26" s="705"/>
      <c r="AM26" s="705"/>
      <c r="AN26" s="705"/>
      <c r="AO26" s="707"/>
      <c r="AP26" s="707"/>
      <c r="AQ26" s="707"/>
      <c r="AR26" s="707"/>
      <c r="AS26" s="707"/>
      <c r="AT26" s="707"/>
      <c r="AU26" s="707"/>
      <c r="AV26" s="707"/>
    </row>
    <row r="27" spans="1:48" x14ac:dyDescent="0.15">
      <c r="A27" s="618" t="s">
        <v>20</v>
      </c>
      <c r="B27" s="618"/>
      <c r="C27" s="618"/>
      <c r="D27" s="618"/>
      <c r="E27" s="618"/>
      <c r="F27" s="618"/>
      <c r="G27" s="618"/>
      <c r="H27" s="618"/>
      <c r="I27" s="618"/>
      <c r="J27" s="618"/>
      <c r="K27" s="618"/>
      <c r="L27" s="705">
        <v>40</v>
      </c>
      <c r="M27" s="705"/>
      <c r="N27" s="705"/>
      <c r="O27" s="705"/>
      <c r="P27" s="705"/>
      <c r="Q27" s="705"/>
      <c r="R27" s="705"/>
      <c r="S27" s="706">
        <v>10</v>
      </c>
      <c r="T27" s="706"/>
      <c r="U27" s="706"/>
      <c r="V27" s="706"/>
      <c r="W27" s="706"/>
      <c r="X27" s="706"/>
      <c r="Y27" s="706"/>
      <c r="Z27" s="707">
        <f>IF(AND(L27&lt;&gt;"",S27&lt;&gt;""),S27/L27,"")</f>
        <v>0.25</v>
      </c>
      <c r="AA27" s="707"/>
      <c r="AB27" s="707"/>
      <c r="AC27" s="707"/>
      <c r="AD27" s="707"/>
      <c r="AE27" s="707"/>
      <c r="AF27" s="707"/>
      <c r="AG27" s="707"/>
      <c r="AH27" s="707"/>
      <c r="AI27" s="705">
        <v>18</v>
      </c>
      <c r="AJ27" s="705"/>
      <c r="AK27" s="705"/>
      <c r="AL27" s="705"/>
      <c r="AM27" s="705"/>
      <c r="AN27" s="705"/>
      <c r="AO27" s="707">
        <f>IF(AND(L27&lt;&gt;"",AI27&lt;&gt;""),AI27/L27,"")</f>
        <v>0.45</v>
      </c>
      <c r="AP27" s="707"/>
      <c r="AQ27" s="707"/>
      <c r="AR27" s="707"/>
      <c r="AS27" s="707"/>
      <c r="AT27" s="707"/>
      <c r="AU27" s="707"/>
      <c r="AV27" s="707"/>
    </row>
    <row r="28" spans="1:48" x14ac:dyDescent="0.15">
      <c r="A28" s="618"/>
      <c r="B28" s="618"/>
      <c r="C28" s="618"/>
      <c r="D28" s="618"/>
      <c r="E28" s="618"/>
      <c r="F28" s="618"/>
      <c r="G28" s="618"/>
      <c r="H28" s="618"/>
      <c r="I28" s="618"/>
      <c r="J28" s="618"/>
      <c r="K28" s="618"/>
      <c r="L28" s="705"/>
      <c r="M28" s="705"/>
      <c r="N28" s="705"/>
      <c r="O28" s="705"/>
      <c r="P28" s="705"/>
      <c r="Q28" s="705"/>
      <c r="R28" s="705"/>
      <c r="S28" s="706"/>
      <c r="T28" s="706"/>
      <c r="U28" s="706"/>
      <c r="V28" s="706"/>
      <c r="W28" s="706"/>
      <c r="X28" s="706"/>
      <c r="Y28" s="706"/>
      <c r="Z28" s="707"/>
      <c r="AA28" s="707"/>
      <c r="AB28" s="707"/>
      <c r="AC28" s="707"/>
      <c r="AD28" s="707"/>
      <c r="AE28" s="707"/>
      <c r="AF28" s="707"/>
      <c r="AG28" s="707"/>
      <c r="AH28" s="707"/>
      <c r="AI28" s="705"/>
      <c r="AJ28" s="705"/>
      <c r="AK28" s="705"/>
      <c r="AL28" s="705"/>
      <c r="AM28" s="705"/>
      <c r="AN28" s="705"/>
      <c r="AO28" s="707"/>
      <c r="AP28" s="707"/>
      <c r="AQ28" s="707"/>
      <c r="AR28" s="707"/>
      <c r="AS28" s="707"/>
      <c r="AT28" s="707"/>
      <c r="AU28" s="707"/>
      <c r="AV28" s="707"/>
    </row>
    <row r="29" spans="1:48" x14ac:dyDescent="0.15">
      <c r="A29" s="618"/>
      <c r="B29" s="618"/>
      <c r="C29" s="618"/>
      <c r="D29" s="618"/>
      <c r="E29" s="618"/>
      <c r="F29" s="618"/>
      <c r="G29" s="618"/>
      <c r="H29" s="618"/>
      <c r="I29" s="618"/>
      <c r="J29" s="618"/>
      <c r="K29" s="618"/>
      <c r="L29" s="705"/>
      <c r="M29" s="705"/>
      <c r="N29" s="705"/>
      <c r="O29" s="705"/>
      <c r="P29" s="705"/>
      <c r="Q29" s="705"/>
      <c r="R29" s="705"/>
      <c r="S29" s="706"/>
      <c r="T29" s="706"/>
      <c r="U29" s="706"/>
      <c r="V29" s="706"/>
      <c r="W29" s="706"/>
      <c r="X29" s="706"/>
      <c r="Y29" s="706"/>
      <c r="Z29" s="707" t="str">
        <f>IF(AND(L29&lt;&gt;"",S29&lt;&gt;""),S29/L29,"")</f>
        <v/>
      </c>
      <c r="AA29" s="707"/>
      <c r="AB29" s="707"/>
      <c r="AC29" s="707"/>
      <c r="AD29" s="707"/>
      <c r="AE29" s="707"/>
      <c r="AF29" s="707"/>
      <c r="AG29" s="707"/>
      <c r="AH29" s="707"/>
      <c r="AI29" s="705"/>
      <c r="AJ29" s="705"/>
      <c r="AK29" s="705"/>
      <c r="AL29" s="705"/>
      <c r="AM29" s="705"/>
      <c r="AN29" s="705"/>
      <c r="AO29" s="707" t="str">
        <f>IF(AND(L29&lt;&gt;"",AI29&lt;&gt;""),AI29/L29,"")</f>
        <v/>
      </c>
      <c r="AP29" s="707"/>
      <c r="AQ29" s="707"/>
      <c r="AR29" s="707"/>
      <c r="AS29" s="707"/>
      <c r="AT29" s="707"/>
      <c r="AU29" s="707"/>
      <c r="AV29" s="707"/>
    </row>
    <row r="30" spans="1:48" x14ac:dyDescent="0.15">
      <c r="A30" s="618"/>
      <c r="B30" s="618"/>
      <c r="C30" s="618"/>
      <c r="D30" s="618"/>
      <c r="E30" s="618"/>
      <c r="F30" s="618"/>
      <c r="G30" s="618"/>
      <c r="H30" s="618"/>
      <c r="I30" s="618"/>
      <c r="J30" s="618"/>
      <c r="K30" s="618"/>
      <c r="L30" s="705"/>
      <c r="M30" s="705"/>
      <c r="N30" s="705"/>
      <c r="O30" s="705"/>
      <c r="P30" s="705"/>
      <c r="Q30" s="705"/>
      <c r="R30" s="705"/>
      <c r="S30" s="706"/>
      <c r="T30" s="706"/>
      <c r="U30" s="706"/>
      <c r="V30" s="706"/>
      <c r="W30" s="706"/>
      <c r="X30" s="706"/>
      <c r="Y30" s="706"/>
      <c r="Z30" s="707"/>
      <c r="AA30" s="707"/>
      <c r="AB30" s="707"/>
      <c r="AC30" s="707"/>
      <c r="AD30" s="707"/>
      <c r="AE30" s="707"/>
      <c r="AF30" s="707"/>
      <c r="AG30" s="707"/>
      <c r="AH30" s="707"/>
      <c r="AI30" s="705"/>
      <c r="AJ30" s="705"/>
      <c r="AK30" s="705"/>
      <c r="AL30" s="705"/>
      <c r="AM30" s="705"/>
      <c r="AN30" s="705"/>
      <c r="AO30" s="707"/>
      <c r="AP30" s="707"/>
      <c r="AQ30" s="707"/>
      <c r="AR30" s="707"/>
      <c r="AS30" s="707"/>
      <c r="AT30" s="707"/>
      <c r="AU30" s="707"/>
      <c r="AV30" s="707"/>
    </row>
    <row r="31" spans="1:48" x14ac:dyDescent="0.15">
      <c r="A31" s="618"/>
      <c r="B31" s="618"/>
      <c r="C31" s="618"/>
      <c r="D31" s="618"/>
      <c r="E31" s="618"/>
      <c r="F31" s="618"/>
      <c r="G31" s="618"/>
      <c r="H31" s="618"/>
      <c r="I31" s="618"/>
      <c r="J31" s="618"/>
      <c r="K31" s="618"/>
      <c r="L31" s="705"/>
      <c r="M31" s="705"/>
      <c r="N31" s="705"/>
      <c r="O31" s="705"/>
      <c r="P31" s="705"/>
      <c r="Q31" s="705"/>
      <c r="R31" s="705"/>
      <c r="S31" s="706"/>
      <c r="T31" s="706"/>
      <c r="U31" s="706"/>
      <c r="V31" s="706"/>
      <c r="W31" s="706"/>
      <c r="X31" s="706"/>
      <c r="Y31" s="706"/>
      <c r="Z31" s="707" t="str">
        <f>IF(AND(L31&lt;&gt;"",S31&lt;&gt;""),S31/L31,"")</f>
        <v/>
      </c>
      <c r="AA31" s="707"/>
      <c r="AB31" s="707"/>
      <c r="AC31" s="707"/>
      <c r="AD31" s="707"/>
      <c r="AE31" s="707"/>
      <c r="AF31" s="707"/>
      <c r="AG31" s="707"/>
      <c r="AH31" s="707"/>
      <c r="AI31" s="705"/>
      <c r="AJ31" s="705"/>
      <c r="AK31" s="705"/>
      <c r="AL31" s="705"/>
      <c r="AM31" s="705"/>
      <c r="AN31" s="705"/>
      <c r="AO31" s="707" t="str">
        <f>IF(AND(L31&lt;&gt;"",AI31&lt;&gt;""),AI31/L31,"")</f>
        <v/>
      </c>
      <c r="AP31" s="707"/>
      <c r="AQ31" s="707"/>
      <c r="AR31" s="707"/>
      <c r="AS31" s="707"/>
      <c r="AT31" s="707"/>
      <c r="AU31" s="707"/>
      <c r="AV31" s="707"/>
    </row>
    <row r="32" spans="1:48" x14ac:dyDescent="0.15">
      <c r="A32" s="618"/>
      <c r="B32" s="618"/>
      <c r="C32" s="618"/>
      <c r="D32" s="618"/>
      <c r="E32" s="618"/>
      <c r="F32" s="618"/>
      <c r="G32" s="618"/>
      <c r="H32" s="618"/>
      <c r="I32" s="618"/>
      <c r="J32" s="618"/>
      <c r="K32" s="618"/>
      <c r="L32" s="705"/>
      <c r="M32" s="705"/>
      <c r="N32" s="705"/>
      <c r="O32" s="705"/>
      <c r="P32" s="705"/>
      <c r="Q32" s="705"/>
      <c r="R32" s="705"/>
      <c r="S32" s="706"/>
      <c r="T32" s="706"/>
      <c r="U32" s="706"/>
      <c r="V32" s="706"/>
      <c r="W32" s="706"/>
      <c r="X32" s="706"/>
      <c r="Y32" s="706"/>
      <c r="Z32" s="707"/>
      <c r="AA32" s="707"/>
      <c r="AB32" s="707"/>
      <c r="AC32" s="707"/>
      <c r="AD32" s="707"/>
      <c r="AE32" s="707"/>
      <c r="AF32" s="707"/>
      <c r="AG32" s="707"/>
      <c r="AH32" s="707"/>
      <c r="AI32" s="705"/>
      <c r="AJ32" s="705"/>
      <c r="AK32" s="705"/>
      <c r="AL32" s="705"/>
      <c r="AM32" s="705"/>
      <c r="AN32" s="705"/>
      <c r="AO32" s="707"/>
      <c r="AP32" s="707"/>
      <c r="AQ32" s="707"/>
      <c r="AR32" s="707"/>
      <c r="AS32" s="707"/>
      <c r="AT32" s="707"/>
      <c r="AU32" s="707"/>
      <c r="AV32" s="707"/>
    </row>
    <row r="33" spans="1:48" x14ac:dyDescent="0.15">
      <c r="A33" s="618"/>
      <c r="B33" s="618"/>
      <c r="C33" s="618"/>
      <c r="D33" s="618"/>
      <c r="E33" s="618"/>
      <c r="F33" s="618"/>
      <c r="G33" s="618"/>
      <c r="H33" s="618"/>
      <c r="I33" s="618"/>
      <c r="J33" s="618"/>
      <c r="K33" s="618"/>
      <c r="L33" s="705"/>
      <c r="M33" s="705"/>
      <c r="N33" s="705"/>
      <c r="O33" s="705"/>
      <c r="P33" s="705"/>
      <c r="Q33" s="705"/>
      <c r="R33" s="705"/>
      <c r="S33" s="706"/>
      <c r="T33" s="706"/>
      <c r="U33" s="706"/>
      <c r="V33" s="706"/>
      <c r="W33" s="706"/>
      <c r="X33" s="706"/>
      <c r="Y33" s="706"/>
      <c r="Z33" s="707" t="str">
        <f>IF(AND(L33&lt;&gt;"",S33&lt;&gt;""),S33/L33,"")</f>
        <v/>
      </c>
      <c r="AA33" s="707"/>
      <c r="AB33" s="707"/>
      <c r="AC33" s="707"/>
      <c r="AD33" s="707"/>
      <c r="AE33" s="707"/>
      <c r="AF33" s="707"/>
      <c r="AG33" s="707"/>
      <c r="AH33" s="707"/>
      <c r="AI33" s="705"/>
      <c r="AJ33" s="705"/>
      <c r="AK33" s="705"/>
      <c r="AL33" s="705"/>
      <c r="AM33" s="705"/>
      <c r="AN33" s="705"/>
      <c r="AO33" s="707" t="str">
        <f>IF(AND(L33&lt;&gt;"",AI33&lt;&gt;""),AI33/L33,"")</f>
        <v/>
      </c>
      <c r="AP33" s="707"/>
      <c r="AQ33" s="707"/>
      <c r="AR33" s="707"/>
      <c r="AS33" s="707"/>
      <c r="AT33" s="707"/>
      <c r="AU33" s="707"/>
      <c r="AV33" s="707"/>
    </row>
    <row r="34" spans="1:48" x14ac:dyDescent="0.15">
      <c r="A34" s="618"/>
      <c r="B34" s="618"/>
      <c r="C34" s="618"/>
      <c r="D34" s="618"/>
      <c r="E34" s="618"/>
      <c r="F34" s="618"/>
      <c r="G34" s="618"/>
      <c r="H34" s="618"/>
      <c r="I34" s="618"/>
      <c r="J34" s="618"/>
      <c r="K34" s="618"/>
      <c r="L34" s="705"/>
      <c r="M34" s="705"/>
      <c r="N34" s="705"/>
      <c r="O34" s="705"/>
      <c r="P34" s="705"/>
      <c r="Q34" s="705"/>
      <c r="R34" s="705"/>
      <c r="S34" s="706"/>
      <c r="T34" s="706"/>
      <c r="U34" s="706"/>
      <c r="V34" s="706"/>
      <c r="W34" s="706"/>
      <c r="X34" s="706"/>
      <c r="Y34" s="706"/>
      <c r="Z34" s="707"/>
      <c r="AA34" s="707"/>
      <c r="AB34" s="707"/>
      <c r="AC34" s="707"/>
      <c r="AD34" s="707"/>
      <c r="AE34" s="707"/>
      <c r="AF34" s="707"/>
      <c r="AG34" s="707"/>
      <c r="AH34" s="707"/>
      <c r="AI34" s="705"/>
      <c r="AJ34" s="705"/>
      <c r="AK34" s="705"/>
      <c r="AL34" s="705"/>
      <c r="AM34" s="705"/>
      <c r="AN34" s="705"/>
      <c r="AO34" s="707"/>
      <c r="AP34" s="707"/>
      <c r="AQ34" s="707"/>
      <c r="AR34" s="707"/>
      <c r="AS34" s="707"/>
      <c r="AT34" s="707"/>
      <c r="AU34" s="707"/>
      <c r="AV34" s="707"/>
    </row>
    <row r="35" spans="1:48" x14ac:dyDescent="0.15">
      <c r="A35" s="618"/>
      <c r="B35" s="618"/>
      <c r="C35" s="618"/>
      <c r="D35" s="618"/>
      <c r="E35" s="618"/>
      <c r="F35" s="618"/>
      <c r="G35" s="618"/>
      <c r="H35" s="618"/>
      <c r="I35" s="618"/>
      <c r="J35" s="618"/>
      <c r="K35" s="618"/>
      <c r="L35" s="705"/>
      <c r="M35" s="705"/>
      <c r="N35" s="705"/>
      <c r="O35" s="705"/>
      <c r="P35" s="705"/>
      <c r="Q35" s="705"/>
      <c r="R35" s="705"/>
      <c r="S35" s="706"/>
      <c r="T35" s="706"/>
      <c r="U35" s="706"/>
      <c r="V35" s="706"/>
      <c r="W35" s="706"/>
      <c r="X35" s="706"/>
      <c r="Y35" s="706"/>
      <c r="Z35" s="707" t="str">
        <f>IF(AND(L35&lt;&gt;"",S35&lt;&gt;""),S35/L35,"")</f>
        <v/>
      </c>
      <c r="AA35" s="707"/>
      <c r="AB35" s="707"/>
      <c r="AC35" s="707"/>
      <c r="AD35" s="707"/>
      <c r="AE35" s="707"/>
      <c r="AF35" s="707"/>
      <c r="AG35" s="707"/>
      <c r="AH35" s="707"/>
      <c r="AI35" s="705"/>
      <c r="AJ35" s="705"/>
      <c r="AK35" s="705"/>
      <c r="AL35" s="705"/>
      <c r="AM35" s="705"/>
      <c r="AN35" s="705"/>
      <c r="AO35" s="707" t="str">
        <f>IF(AND(L35&lt;&gt;"",AI35&lt;&gt;""),AI35/L35,"")</f>
        <v/>
      </c>
      <c r="AP35" s="707"/>
      <c r="AQ35" s="707"/>
      <c r="AR35" s="707"/>
      <c r="AS35" s="707"/>
      <c r="AT35" s="707"/>
      <c r="AU35" s="707"/>
      <c r="AV35" s="707"/>
    </row>
    <row r="36" spans="1:48" x14ac:dyDescent="0.15">
      <c r="A36" s="618"/>
      <c r="B36" s="618"/>
      <c r="C36" s="618"/>
      <c r="D36" s="618"/>
      <c r="E36" s="618"/>
      <c r="F36" s="618"/>
      <c r="G36" s="618"/>
      <c r="H36" s="618"/>
      <c r="I36" s="618"/>
      <c r="J36" s="618"/>
      <c r="K36" s="618"/>
      <c r="L36" s="705"/>
      <c r="M36" s="705"/>
      <c r="N36" s="705"/>
      <c r="O36" s="705"/>
      <c r="P36" s="705"/>
      <c r="Q36" s="705"/>
      <c r="R36" s="705"/>
      <c r="S36" s="706"/>
      <c r="T36" s="706"/>
      <c r="U36" s="706"/>
      <c r="V36" s="706"/>
      <c r="W36" s="706"/>
      <c r="X36" s="706"/>
      <c r="Y36" s="706"/>
      <c r="Z36" s="707"/>
      <c r="AA36" s="707"/>
      <c r="AB36" s="707"/>
      <c r="AC36" s="707"/>
      <c r="AD36" s="707"/>
      <c r="AE36" s="707"/>
      <c r="AF36" s="707"/>
      <c r="AG36" s="707"/>
      <c r="AH36" s="707"/>
      <c r="AI36" s="705"/>
      <c r="AJ36" s="705"/>
      <c r="AK36" s="705"/>
      <c r="AL36" s="705"/>
      <c r="AM36" s="705"/>
      <c r="AN36" s="705"/>
      <c r="AO36" s="707"/>
      <c r="AP36" s="707"/>
      <c r="AQ36" s="707"/>
      <c r="AR36" s="707"/>
      <c r="AS36" s="707"/>
      <c r="AT36" s="707"/>
      <c r="AU36" s="707"/>
      <c r="AV36" s="707"/>
    </row>
    <row r="37" spans="1:48" x14ac:dyDescent="0.15">
      <c r="A37" s="618"/>
      <c r="B37" s="618"/>
      <c r="C37" s="618"/>
      <c r="D37" s="618"/>
      <c r="E37" s="618"/>
      <c r="F37" s="618"/>
      <c r="G37" s="618"/>
      <c r="H37" s="618"/>
      <c r="I37" s="618"/>
      <c r="J37" s="618"/>
      <c r="K37" s="618"/>
      <c r="L37" s="705"/>
      <c r="M37" s="705"/>
      <c r="N37" s="705"/>
      <c r="O37" s="705"/>
      <c r="P37" s="705"/>
      <c r="Q37" s="705"/>
      <c r="R37" s="705"/>
      <c r="S37" s="706"/>
      <c r="T37" s="706"/>
      <c r="U37" s="706"/>
      <c r="V37" s="706"/>
      <c r="W37" s="706"/>
      <c r="X37" s="706"/>
      <c r="Y37" s="706"/>
      <c r="Z37" s="707" t="str">
        <f>IF(AND(L37&lt;&gt;"",S37&lt;&gt;""),S37/L37,"")</f>
        <v/>
      </c>
      <c r="AA37" s="707"/>
      <c r="AB37" s="707"/>
      <c r="AC37" s="707"/>
      <c r="AD37" s="707"/>
      <c r="AE37" s="707"/>
      <c r="AF37" s="707"/>
      <c r="AG37" s="707"/>
      <c r="AH37" s="707"/>
      <c r="AI37" s="705"/>
      <c r="AJ37" s="705"/>
      <c r="AK37" s="705"/>
      <c r="AL37" s="705"/>
      <c r="AM37" s="705"/>
      <c r="AN37" s="705"/>
      <c r="AO37" s="707" t="str">
        <f>IF(AND(L37&lt;&gt;"",AI37&lt;&gt;""),AI37/L37,"")</f>
        <v/>
      </c>
      <c r="AP37" s="707"/>
      <c r="AQ37" s="707"/>
      <c r="AR37" s="707"/>
      <c r="AS37" s="707"/>
      <c r="AT37" s="707"/>
      <c r="AU37" s="707"/>
      <c r="AV37" s="707"/>
    </row>
    <row r="38" spans="1:48" x14ac:dyDescent="0.15">
      <c r="A38" s="618"/>
      <c r="B38" s="618"/>
      <c r="C38" s="618"/>
      <c r="D38" s="618"/>
      <c r="E38" s="618"/>
      <c r="F38" s="618"/>
      <c r="G38" s="618"/>
      <c r="H38" s="618"/>
      <c r="I38" s="618"/>
      <c r="J38" s="618"/>
      <c r="K38" s="618"/>
      <c r="L38" s="705"/>
      <c r="M38" s="705"/>
      <c r="N38" s="705"/>
      <c r="O38" s="705"/>
      <c r="P38" s="705"/>
      <c r="Q38" s="705"/>
      <c r="R38" s="705"/>
      <c r="S38" s="706"/>
      <c r="T38" s="706"/>
      <c r="U38" s="706"/>
      <c r="V38" s="706"/>
      <c r="W38" s="706"/>
      <c r="X38" s="706"/>
      <c r="Y38" s="706"/>
      <c r="Z38" s="707"/>
      <c r="AA38" s="707"/>
      <c r="AB38" s="707"/>
      <c r="AC38" s="707"/>
      <c r="AD38" s="707"/>
      <c r="AE38" s="707"/>
      <c r="AF38" s="707"/>
      <c r="AG38" s="707"/>
      <c r="AH38" s="707"/>
      <c r="AI38" s="705"/>
      <c r="AJ38" s="705"/>
      <c r="AK38" s="705"/>
      <c r="AL38" s="705"/>
      <c r="AM38" s="705"/>
      <c r="AN38" s="705"/>
      <c r="AO38" s="707"/>
      <c r="AP38" s="707"/>
      <c r="AQ38" s="707"/>
      <c r="AR38" s="707"/>
      <c r="AS38" s="707"/>
      <c r="AT38" s="707"/>
      <c r="AU38" s="707"/>
      <c r="AV38" s="707"/>
    </row>
    <row r="39" spans="1:48" x14ac:dyDescent="0.15">
      <c r="A39" s="618"/>
      <c r="B39" s="618"/>
      <c r="C39" s="618"/>
      <c r="D39" s="618"/>
      <c r="E39" s="618"/>
      <c r="F39" s="618"/>
      <c r="G39" s="618"/>
      <c r="H39" s="618"/>
      <c r="I39" s="618"/>
      <c r="J39" s="618"/>
      <c r="K39" s="618"/>
      <c r="L39" s="705"/>
      <c r="M39" s="705"/>
      <c r="N39" s="705"/>
      <c r="O39" s="705"/>
      <c r="P39" s="705"/>
      <c r="Q39" s="705"/>
      <c r="R39" s="705"/>
      <c r="S39" s="706"/>
      <c r="T39" s="706"/>
      <c r="U39" s="706"/>
      <c r="V39" s="706"/>
      <c r="W39" s="706"/>
      <c r="X39" s="706"/>
      <c r="Y39" s="706"/>
      <c r="Z39" s="707" t="str">
        <f>IF(AND(L39&lt;&gt;"",S39&lt;&gt;""),S39/L39,"")</f>
        <v/>
      </c>
      <c r="AA39" s="707"/>
      <c r="AB39" s="707"/>
      <c r="AC39" s="707"/>
      <c r="AD39" s="707"/>
      <c r="AE39" s="707"/>
      <c r="AF39" s="707"/>
      <c r="AG39" s="707"/>
      <c r="AH39" s="707"/>
      <c r="AI39" s="705"/>
      <c r="AJ39" s="705"/>
      <c r="AK39" s="705"/>
      <c r="AL39" s="705"/>
      <c r="AM39" s="705"/>
      <c r="AN39" s="705"/>
      <c r="AO39" s="707" t="str">
        <f>IF(AND(L39&lt;&gt;"",AI39&lt;&gt;""),AI39/L39,"")</f>
        <v/>
      </c>
      <c r="AP39" s="707"/>
      <c r="AQ39" s="707"/>
      <c r="AR39" s="707"/>
      <c r="AS39" s="707"/>
      <c r="AT39" s="707"/>
      <c r="AU39" s="707"/>
      <c r="AV39" s="707"/>
    </row>
    <row r="40" spans="1:48" x14ac:dyDescent="0.15">
      <c r="A40" s="618"/>
      <c r="B40" s="618"/>
      <c r="C40" s="618"/>
      <c r="D40" s="618"/>
      <c r="E40" s="618"/>
      <c r="F40" s="618"/>
      <c r="G40" s="618"/>
      <c r="H40" s="618"/>
      <c r="I40" s="618"/>
      <c r="J40" s="618"/>
      <c r="K40" s="618"/>
      <c r="L40" s="705"/>
      <c r="M40" s="705"/>
      <c r="N40" s="705"/>
      <c r="O40" s="705"/>
      <c r="P40" s="705"/>
      <c r="Q40" s="705"/>
      <c r="R40" s="705"/>
      <c r="S40" s="706"/>
      <c r="T40" s="706"/>
      <c r="U40" s="706"/>
      <c r="V40" s="706"/>
      <c r="W40" s="706"/>
      <c r="X40" s="706"/>
      <c r="Y40" s="706"/>
      <c r="Z40" s="707"/>
      <c r="AA40" s="707"/>
      <c r="AB40" s="707"/>
      <c r="AC40" s="707"/>
      <c r="AD40" s="707"/>
      <c r="AE40" s="707"/>
      <c r="AF40" s="707"/>
      <c r="AG40" s="707"/>
      <c r="AH40" s="707"/>
      <c r="AI40" s="705"/>
      <c r="AJ40" s="705"/>
      <c r="AK40" s="705"/>
      <c r="AL40" s="705"/>
      <c r="AM40" s="705"/>
      <c r="AN40" s="705"/>
      <c r="AO40" s="707"/>
      <c r="AP40" s="707"/>
      <c r="AQ40" s="707"/>
      <c r="AR40" s="707"/>
      <c r="AS40" s="707"/>
      <c r="AT40" s="707"/>
      <c r="AU40" s="707"/>
      <c r="AV40" s="707"/>
    </row>
  </sheetData>
  <mergeCells count="116">
    <mergeCell ref="A18:R18"/>
    <mergeCell ref="S18:AV18"/>
    <mergeCell ref="AO19:AV20"/>
    <mergeCell ref="L19:R20"/>
    <mergeCell ref="S19:Y20"/>
    <mergeCell ref="Z19:AH20"/>
    <mergeCell ref="AI19:AN20"/>
    <mergeCell ref="A21:K22"/>
    <mergeCell ref="L21:R22"/>
    <mergeCell ref="S21:Y22"/>
    <mergeCell ref="Z21:AH22"/>
    <mergeCell ref="AI21:AN22"/>
    <mergeCell ref="AO21:AV22"/>
    <mergeCell ref="A19:K20"/>
    <mergeCell ref="AI7:AO7"/>
    <mergeCell ref="A7:N7"/>
    <mergeCell ref="A8:N8"/>
    <mergeCell ref="AB7:AH7"/>
    <mergeCell ref="AB8:AH8"/>
    <mergeCell ref="AP7:AV7"/>
    <mergeCell ref="AF10:AG16"/>
    <mergeCell ref="AH10:BF16"/>
    <mergeCell ref="O7:AA7"/>
    <mergeCell ref="O8:AA8"/>
    <mergeCell ref="L10:Y11"/>
    <mergeCell ref="A10:K11"/>
    <mergeCell ref="A14:H14"/>
    <mergeCell ref="I14:S14"/>
    <mergeCell ref="T14:AD14"/>
    <mergeCell ref="A15:H15"/>
    <mergeCell ref="I15:S15"/>
    <mergeCell ref="T15:AD15"/>
    <mergeCell ref="A25:K26"/>
    <mergeCell ref="L25:R26"/>
    <mergeCell ref="S25:Y26"/>
    <mergeCell ref="Z25:AH26"/>
    <mergeCell ref="A23:K24"/>
    <mergeCell ref="L23:R24"/>
    <mergeCell ref="S23:Y24"/>
    <mergeCell ref="Z23:AH24"/>
    <mergeCell ref="A29:K30"/>
    <mergeCell ref="L29:R30"/>
    <mergeCell ref="S29:Y30"/>
    <mergeCell ref="Z29:AH30"/>
    <mergeCell ref="A27:K28"/>
    <mergeCell ref="L27:R28"/>
    <mergeCell ref="S27:Y28"/>
    <mergeCell ref="Z27:AH28"/>
    <mergeCell ref="A33:K34"/>
    <mergeCell ref="L33:R34"/>
    <mergeCell ref="S33:Y34"/>
    <mergeCell ref="Z33:AH34"/>
    <mergeCell ref="S35:Y36"/>
    <mergeCell ref="Z35:AH36"/>
    <mergeCell ref="AI39:AN40"/>
    <mergeCell ref="AI29:AN30"/>
    <mergeCell ref="AO29:AV30"/>
    <mergeCell ref="A31:K32"/>
    <mergeCell ref="L31:R32"/>
    <mergeCell ref="S31:Y32"/>
    <mergeCell ref="Z31:AH32"/>
    <mergeCell ref="AI31:AN32"/>
    <mergeCell ref="AO31:AV32"/>
    <mergeCell ref="A39:K40"/>
    <mergeCell ref="L39:R40"/>
    <mergeCell ref="S39:Y40"/>
    <mergeCell ref="Z39:AH40"/>
    <mergeCell ref="AI35:AN36"/>
    <mergeCell ref="AO35:AV36"/>
    <mergeCell ref="A37:K38"/>
    <mergeCell ref="L37:R38"/>
    <mergeCell ref="S37:Y38"/>
    <mergeCell ref="Z37:AH38"/>
    <mergeCell ref="A35:K36"/>
    <mergeCell ref="L35:R36"/>
    <mergeCell ref="AL2:AP2"/>
    <mergeCell ref="AQ2:AV2"/>
    <mergeCell ref="AW2:BA2"/>
    <mergeCell ref="BB2:BF2"/>
    <mergeCell ref="AQ3:AV6"/>
    <mergeCell ref="AW3:BA3"/>
    <mergeCell ref="AI23:AN24"/>
    <mergeCell ref="AO23:AV24"/>
    <mergeCell ref="AW7:BC7"/>
    <mergeCell ref="O6:AA6"/>
    <mergeCell ref="BD7:BF7"/>
    <mergeCell ref="AI8:AO8"/>
    <mergeCell ref="AP8:AV8"/>
    <mergeCell ref="AW8:BC8"/>
    <mergeCell ref="BD8:BF8"/>
    <mergeCell ref="A1:J4"/>
    <mergeCell ref="K1:AA4"/>
    <mergeCell ref="A5:N5"/>
    <mergeCell ref="A6:N6"/>
    <mergeCell ref="O5:AA5"/>
    <mergeCell ref="AB1:AF1"/>
    <mergeCell ref="AO39:AV40"/>
    <mergeCell ref="AI37:AN38"/>
    <mergeCell ref="AO37:AV38"/>
    <mergeCell ref="AI33:AN34"/>
    <mergeCell ref="AO33:AV34"/>
    <mergeCell ref="AI27:AN28"/>
    <mergeCell ref="AO27:AV28"/>
    <mergeCell ref="AI25:AN26"/>
    <mergeCell ref="AO25:AV26"/>
    <mergeCell ref="AG1:AK1"/>
    <mergeCell ref="AL1:AP1"/>
    <mergeCell ref="AB3:AF6"/>
    <mergeCell ref="AG3:AK6"/>
    <mergeCell ref="AL3:AP6"/>
    <mergeCell ref="BB3:BF3"/>
    <mergeCell ref="AW4:BA6"/>
    <mergeCell ref="BB4:BF6"/>
    <mergeCell ref="AQ1:BF1"/>
    <mergeCell ref="AB2:AF2"/>
    <mergeCell ref="AG2:AK2"/>
  </mergeCells>
  <phoneticPr fontId="23"/>
  <dataValidations disablePrompts="1" count="1">
    <dataValidation type="list" allowBlank="1" showInputMessage="1" showErrorMessage="1" sqref="L10:Y11" xr:uid="{00000000-0002-0000-0600-000000000000}">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7" fitToHeight="0" orientation="landscape" r:id="rId1"/>
  <headerFooter alignWithMargins="0">
    <oddHeader>&amp;L&amp;14【営業秘密】</oddHeader>
    <oddFooter>&amp;C&amp;P/&amp;N&amp;R（様式2014.03）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BF40"/>
  <sheetViews>
    <sheetView view="pageBreakPreview" topLeftCell="A25" zoomScale="85" zoomScaleNormal="85" zoomScaleSheetLayoutView="85" workbookViewId="0">
      <selection activeCell="AB12" sqref="AB12"/>
    </sheetView>
  </sheetViews>
  <sheetFormatPr defaultColWidth="2.625" defaultRowHeight="13.5" x14ac:dyDescent="0.15"/>
  <cols>
    <col min="1" max="1" width="9" customWidth="1"/>
  </cols>
  <sheetData>
    <row r="1" spans="1:58" ht="13.5" customHeight="1" x14ac:dyDescent="0.15">
      <c r="A1" s="717" t="s">
        <v>24</v>
      </c>
      <c r="B1" s="717"/>
      <c r="C1" s="717"/>
      <c r="D1" s="717"/>
      <c r="E1" s="717"/>
      <c r="F1" s="717"/>
      <c r="G1" s="717"/>
      <c r="H1" s="717"/>
      <c r="I1" s="717"/>
      <c r="J1" s="717"/>
      <c r="K1" s="717" t="s">
        <v>25</v>
      </c>
      <c r="L1" s="717"/>
      <c r="M1" s="717"/>
      <c r="N1" s="717"/>
      <c r="O1" s="717"/>
      <c r="P1" s="717"/>
      <c r="Q1" s="717"/>
      <c r="R1" s="717"/>
      <c r="S1" s="717"/>
      <c r="T1" s="717"/>
      <c r="U1" s="717"/>
      <c r="V1" s="717"/>
      <c r="W1" s="717"/>
      <c r="X1" s="717"/>
      <c r="Y1" s="717"/>
      <c r="Z1" s="717"/>
      <c r="AA1" s="717"/>
      <c r="AB1" s="572" t="s">
        <v>305</v>
      </c>
      <c r="AC1" s="573"/>
      <c r="AD1" s="573"/>
      <c r="AE1" s="573"/>
      <c r="AF1" s="574"/>
      <c r="AG1" s="572" t="s">
        <v>306</v>
      </c>
      <c r="AH1" s="573"/>
      <c r="AI1" s="573"/>
      <c r="AJ1" s="573"/>
      <c r="AK1" s="574"/>
      <c r="AL1" s="572" t="s">
        <v>237</v>
      </c>
      <c r="AM1" s="573"/>
      <c r="AN1" s="573"/>
      <c r="AO1" s="573"/>
      <c r="AP1" s="574"/>
      <c r="AQ1" s="581" t="s">
        <v>566</v>
      </c>
      <c r="AR1" s="582"/>
      <c r="AS1" s="582"/>
      <c r="AT1" s="582"/>
      <c r="AU1" s="582"/>
      <c r="AV1" s="582"/>
      <c r="AW1" s="582"/>
      <c r="AX1" s="582"/>
      <c r="AY1" s="582"/>
      <c r="AZ1" s="582"/>
      <c r="BA1" s="582"/>
      <c r="BB1" s="582"/>
      <c r="BC1" s="582"/>
      <c r="BD1" s="582"/>
      <c r="BE1" s="582"/>
      <c r="BF1" s="583"/>
    </row>
    <row r="2" spans="1:58" ht="13.5" customHeight="1" x14ac:dyDescent="0.15">
      <c r="A2" s="717"/>
      <c r="B2" s="717"/>
      <c r="C2" s="717"/>
      <c r="D2" s="717"/>
      <c r="E2" s="717"/>
      <c r="F2" s="717"/>
      <c r="G2" s="717"/>
      <c r="H2" s="717"/>
      <c r="I2" s="717"/>
      <c r="J2" s="717"/>
      <c r="K2" s="717"/>
      <c r="L2" s="717"/>
      <c r="M2" s="717"/>
      <c r="N2" s="717"/>
      <c r="O2" s="717"/>
      <c r="P2" s="717"/>
      <c r="Q2" s="717"/>
      <c r="R2" s="717"/>
      <c r="S2" s="717"/>
      <c r="T2" s="717"/>
      <c r="U2" s="717"/>
      <c r="V2" s="717"/>
      <c r="W2" s="717"/>
      <c r="X2" s="717"/>
      <c r="Y2" s="717"/>
      <c r="Z2" s="717"/>
      <c r="AA2" s="717"/>
      <c r="AB2" s="572" t="s">
        <v>494</v>
      </c>
      <c r="AC2" s="573"/>
      <c r="AD2" s="573"/>
      <c r="AE2" s="573"/>
      <c r="AF2" s="574"/>
      <c r="AG2" s="572" t="s">
        <v>494</v>
      </c>
      <c r="AH2" s="573"/>
      <c r="AI2" s="573"/>
      <c r="AJ2" s="573"/>
      <c r="AK2" s="574"/>
      <c r="AL2" s="572" t="s">
        <v>494</v>
      </c>
      <c r="AM2" s="573"/>
      <c r="AN2" s="573"/>
      <c r="AO2" s="573"/>
      <c r="AP2" s="574"/>
      <c r="AQ2" s="581" t="s">
        <v>308</v>
      </c>
      <c r="AR2" s="582"/>
      <c r="AS2" s="582"/>
      <c r="AT2" s="582"/>
      <c r="AU2" s="582"/>
      <c r="AV2" s="583"/>
      <c r="AW2" s="572" t="s">
        <v>306</v>
      </c>
      <c r="AX2" s="573"/>
      <c r="AY2" s="573"/>
      <c r="AZ2" s="573"/>
      <c r="BA2" s="574"/>
      <c r="BB2" s="572" t="s">
        <v>618</v>
      </c>
      <c r="BC2" s="573"/>
      <c r="BD2" s="573"/>
      <c r="BE2" s="573"/>
      <c r="BF2" s="574"/>
    </row>
    <row r="3" spans="1:58" ht="13.5" customHeight="1" x14ac:dyDescent="0.15">
      <c r="A3" s="717"/>
      <c r="B3" s="717"/>
      <c r="C3" s="717"/>
      <c r="D3" s="717"/>
      <c r="E3" s="717"/>
      <c r="F3" s="717"/>
      <c r="G3" s="717"/>
      <c r="H3" s="717"/>
      <c r="I3" s="717"/>
      <c r="J3" s="717"/>
      <c r="K3" s="717"/>
      <c r="L3" s="717"/>
      <c r="M3" s="717"/>
      <c r="N3" s="717"/>
      <c r="O3" s="717"/>
      <c r="P3" s="717"/>
      <c r="Q3" s="717"/>
      <c r="R3" s="717"/>
      <c r="S3" s="717"/>
      <c r="T3" s="717"/>
      <c r="U3" s="717"/>
      <c r="V3" s="717"/>
      <c r="W3" s="717"/>
      <c r="X3" s="717"/>
      <c r="Y3" s="717"/>
      <c r="Z3" s="717"/>
      <c r="AA3" s="717"/>
      <c r="AB3" s="553"/>
      <c r="AC3" s="553"/>
      <c r="AD3" s="553"/>
      <c r="AE3" s="553"/>
      <c r="AF3" s="553"/>
      <c r="AG3" s="553"/>
      <c r="AH3" s="553"/>
      <c r="AI3" s="553"/>
      <c r="AJ3" s="553"/>
      <c r="AK3" s="553"/>
      <c r="AL3" s="553"/>
      <c r="AM3" s="553"/>
      <c r="AN3" s="553"/>
      <c r="AO3" s="553"/>
      <c r="AP3" s="553"/>
      <c r="AQ3" s="584"/>
      <c r="AR3" s="585"/>
      <c r="AS3" s="585"/>
      <c r="AT3" s="585"/>
      <c r="AU3" s="585"/>
      <c r="AV3" s="586"/>
      <c r="AW3" s="573" t="s">
        <v>495</v>
      </c>
      <c r="AX3" s="573"/>
      <c r="AY3" s="573"/>
      <c r="AZ3" s="573"/>
      <c r="BA3" s="574"/>
      <c r="BB3" s="572" t="s">
        <v>495</v>
      </c>
      <c r="BC3" s="573"/>
      <c r="BD3" s="573"/>
      <c r="BE3" s="573"/>
      <c r="BF3" s="574"/>
    </row>
    <row r="4" spans="1:58" ht="13.5" customHeight="1" x14ac:dyDescent="0.15">
      <c r="A4" s="717"/>
      <c r="B4" s="717"/>
      <c r="C4" s="717"/>
      <c r="D4" s="717"/>
      <c r="E4" s="717"/>
      <c r="F4" s="717"/>
      <c r="G4" s="717"/>
      <c r="H4" s="717"/>
      <c r="I4" s="717"/>
      <c r="J4" s="717"/>
      <c r="K4" s="717"/>
      <c r="L4" s="717"/>
      <c r="M4" s="717"/>
      <c r="N4" s="717"/>
      <c r="O4" s="717"/>
      <c r="P4" s="717"/>
      <c r="Q4" s="717"/>
      <c r="R4" s="717"/>
      <c r="S4" s="717"/>
      <c r="T4" s="717"/>
      <c r="U4" s="717"/>
      <c r="V4" s="717"/>
      <c r="W4" s="717"/>
      <c r="X4" s="717"/>
      <c r="Y4" s="717"/>
      <c r="Z4" s="717"/>
      <c r="AA4" s="717"/>
      <c r="AB4" s="553"/>
      <c r="AC4" s="553"/>
      <c r="AD4" s="553"/>
      <c r="AE4" s="553"/>
      <c r="AF4" s="553"/>
      <c r="AG4" s="553"/>
      <c r="AH4" s="553"/>
      <c r="AI4" s="553"/>
      <c r="AJ4" s="553"/>
      <c r="AK4" s="553"/>
      <c r="AL4" s="553"/>
      <c r="AM4" s="553"/>
      <c r="AN4" s="553"/>
      <c r="AO4" s="553"/>
      <c r="AP4" s="553"/>
      <c r="AQ4" s="587"/>
      <c r="AR4" s="588"/>
      <c r="AS4" s="588"/>
      <c r="AT4" s="588"/>
      <c r="AU4" s="588"/>
      <c r="AV4" s="589"/>
      <c r="AW4" s="578"/>
      <c r="AX4" s="579"/>
      <c r="AY4" s="579"/>
      <c r="AZ4" s="579"/>
      <c r="BA4" s="580"/>
      <c r="BB4" s="578"/>
      <c r="BC4" s="579"/>
      <c r="BD4" s="579"/>
      <c r="BE4" s="579"/>
      <c r="BF4" s="580"/>
    </row>
    <row r="5" spans="1:58" ht="13.5" customHeight="1" x14ac:dyDescent="0.15">
      <c r="A5" s="553" t="s">
        <v>465</v>
      </c>
      <c r="B5" s="553"/>
      <c r="C5" s="553"/>
      <c r="D5" s="553"/>
      <c r="E5" s="553"/>
      <c r="F5" s="553"/>
      <c r="G5" s="553"/>
      <c r="H5" s="553"/>
      <c r="I5" s="553"/>
      <c r="J5" s="553"/>
      <c r="K5" s="553"/>
      <c r="L5" s="553"/>
      <c r="M5" s="553"/>
      <c r="N5" s="553"/>
      <c r="O5" s="552" t="s">
        <v>466</v>
      </c>
      <c r="P5" s="552"/>
      <c r="Q5" s="552"/>
      <c r="R5" s="552"/>
      <c r="S5" s="552"/>
      <c r="T5" s="552"/>
      <c r="U5" s="552"/>
      <c r="V5" s="552"/>
      <c r="W5" s="552"/>
      <c r="X5" s="552"/>
      <c r="Y5" s="552"/>
      <c r="Z5" s="552"/>
      <c r="AA5" s="552"/>
      <c r="AB5" s="553"/>
      <c r="AC5" s="553"/>
      <c r="AD5" s="553"/>
      <c r="AE5" s="553"/>
      <c r="AF5" s="553"/>
      <c r="AG5" s="553"/>
      <c r="AH5" s="553"/>
      <c r="AI5" s="553"/>
      <c r="AJ5" s="553"/>
      <c r="AK5" s="553"/>
      <c r="AL5" s="553"/>
      <c r="AM5" s="553"/>
      <c r="AN5" s="553"/>
      <c r="AO5" s="553"/>
      <c r="AP5" s="553"/>
      <c r="AQ5" s="587"/>
      <c r="AR5" s="588"/>
      <c r="AS5" s="588"/>
      <c r="AT5" s="588"/>
      <c r="AU5" s="588"/>
      <c r="AV5" s="589"/>
      <c r="AW5" s="578"/>
      <c r="AX5" s="579"/>
      <c r="AY5" s="579"/>
      <c r="AZ5" s="579"/>
      <c r="BA5" s="580"/>
      <c r="BB5" s="578"/>
      <c r="BC5" s="579"/>
      <c r="BD5" s="579"/>
      <c r="BE5" s="579"/>
      <c r="BF5" s="580"/>
    </row>
    <row r="6" spans="1:58" x14ac:dyDescent="0.15">
      <c r="A6" s="553"/>
      <c r="B6" s="553"/>
      <c r="C6" s="553"/>
      <c r="D6" s="553"/>
      <c r="E6" s="553"/>
      <c r="F6" s="553"/>
      <c r="G6" s="553"/>
      <c r="H6" s="553"/>
      <c r="I6" s="553"/>
      <c r="J6" s="553"/>
      <c r="K6" s="553"/>
      <c r="L6" s="553"/>
      <c r="M6" s="553"/>
      <c r="N6" s="553"/>
      <c r="O6" s="552"/>
      <c r="P6" s="552"/>
      <c r="Q6" s="552"/>
      <c r="R6" s="552"/>
      <c r="S6" s="552"/>
      <c r="T6" s="552"/>
      <c r="U6" s="552"/>
      <c r="V6" s="552"/>
      <c r="W6" s="552"/>
      <c r="X6" s="552"/>
      <c r="Y6" s="552"/>
      <c r="Z6" s="552"/>
      <c r="AA6" s="552"/>
      <c r="AB6" s="553"/>
      <c r="AC6" s="553"/>
      <c r="AD6" s="553"/>
      <c r="AE6" s="553"/>
      <c r="AF6" s="553"/>
      <c r="AG6" s="553"/>
      <c r="AH6" s="553"/>
      <c r="AI6" s="553"/>
      <c r="AJ6" s="553"/>
      <c r="AK6" s="553"/>
      <c r="AL6" s="553"/>
      <c r="AM6" s="553"/>
      <c r="AN6" s="553"/>
      <c r="AO6" s="553"/>
      <c r="AP6" s="553"/>
      <c r="AQ6" s="590"/>
      <c r="AR6" s="591"/>
      <c r="AS6" s="591"/>
      <c r="AT6" s="591"/>
      <c r="AU6" s="591"/>
      <c r="AV6" s="592"/>
      <c r="AW6" s="593"/>
      <c r="AX6" s="594"/>
      <c r="AY6" s="594"/>
      <c r="AZ6" s="594"/>
      <c r="BA6" s="595"/>
      <c r="BB6" s="593"/>
      <c r="BC6" s="594"/>
      <c r="BD6" s="594"/>
      <c r="BE6" s="594"/>
      <c r="BF6" s="595"/>
    </row>
    <row r="7" spans="1:58" ht="13.5" customHeight="1" x14ac:dyDescent="0.15">
      <c r="A7" s="553" t="s">
        <v>310</v>
      </c>
      <c r="B7" s="553"/>
      <c r="C7" s="553"/>
      <c r="D7" s="553"/>
      <c r="E7" s="553"/>
      <c r="F7" s="553"/>
      <c r="G7" s="553"/>
      <c r="H7" s="553"/>
      <c r="I7" s="553"/>
      <c r="J7" s="553"/>
      <c r="K7" s="553"/>
      <c r="L7" s="553"/>
      <c r="M7" s="553"/>
      <c r="N7" s="553"/>
      <c r="O7" s="552" t="s">
        <v>311</v>
      </c>
      <c r="P7" s="552"/>
      <c r="Q7" s="552"/>
      <c r="R7" s="552"/>
      <c r="S7" s="552"/>
      <c r="T7" s="552"/>
      <c r="U7" s="552"/>
      <c r="V7" s="552"/>
      <c r="W7" s="552"/>
      <c r="X7" s="552"/>
      <c r="Y7" s="552"/>
      <c r="Z7" s="552"/>
      <c r="AA7" s="552"/>
      <c r="AB7" s="552" t="s">
        <v>312</v>
      </c>
      <c r="AC7" s="552"/>
      <c r="AD7" s="552"/>
      <c r="AE7" s="552"/>
      <c r="AF7" s="552"/>
      <c r="AG7" s="552"/>
      <c r="AH7" s="552"/>
      <c r="AI7" s="552"/>
      <c r="AJ7" s="552"/>
      <c r="AK7" s="552"/>
      <c r="AL7" s="552"/>
      <c r="AM7" s="552"/>
      <c r="AN7" s="552"/>
      <c r="AO7" s="552"/>
      <c r="AP7" s="552" t="s">
        <v>313</v>
      </c>
      <c r="AQ7" s="552"/>
      <c r="AR7" s="552"/>
      <c r="AS7" s="552"/>
      <c r="AT7" s="552"/>
      <c r="AU7" s="552"/>
      <c r="AV7" s="552"/>
      <c r="AW7" s="552"/>
      <c r="AX7" s="552"/>
      <c r="AY7" s="552"/>
      <c r="AZ7" s="552"/>
      <c r="BA7" s="552"/>
      <c r="BB7" s="552"/>
      <c r="BC7" s="552"/>
      <c r="BD7" s="553" t="s">
        <v>26</v>
      </c>
      <c r="BE7" s="553"/>
      <c r="BF7" s="553"/>
    </row>
    <row r="8" spans="1:58" x14ac:dyDescent="0.15">
      <c r="A8" s="553"/>
      <c r="B8" s="553"/>
      <c r="C8" s="553"/>
      <c r="D8" s="553"/>
      <c r="E8" s="553"/>
      <c r="F8" s="553"/>
      <c r="G8" s="553"/>
      <c r="H8" s="553"/>
      <c r="I8" s="553"/>
      <c r="J8" s="553"/>
      <c r="K8" s="553"/>
      <c r="L8" s="553"/>
      <c r="M8" s="553"/>
      <c r="N8" s="553"/>
      <c r="O8" s="552"/>
      <c r="P8" s="552"/>
      <c r="Q8" s="552"/>
      <c r="R8" s="552"/>
      <c r="S8" s="552"/>
      <c r="T8" s="552"/>
      <c r="U8" s="552"/>
      <c r="V8" s="552"/>
      <c r="W8" s="552"/>
      <c r="X8" s="552"/>
      <c r="Y8" s="552"/>
      <c r="Z8" s="552"/>
      <c r="AA8" s="552"/>
      <c r="AB8" s="552" t="s">
        <v>568</v>
      </c>
      <c r="AC8" s="552"/>
      <c r="AD8" s="552"/>
      <c r="AE8" s="552"/>
      <c r="AF8" s="552"/>
      <c r="AG8" s="552"/>
      <c r="AH8" s="552"/>
      <c r="AI8" s="553"/>
      <c r="AJ8" s="553"/>
      <c r="AK8" s="553"/>
      <c r="AL8" s="553"/>
      <c r="AM8" s="553"/>
      <c r="AN8" s="553"/>
      <c r="AO8" s="553"/>
      <c r="AP8" s="552" t="s">
        <v>315</v>
      </c>
      <c r="AQ8" s="552"/>
      <c r="AR8" s="552"/>
      <c r="AS8" s="552"/>
      <c r="AT8" s="552"/>
      <c r="AU8" s="552"/>
      <c r="AV8" s="552"/>
      <c r="AW8" s="553"/>
      <c r="AX8" s="553"/>
      <c r="AY8" s="553"/>
      <c r="AZ8" s="553"/>
      <c r="BA8" s="553"/>
      <c r="BB8" s="553"/>
      <c r="BC8" s="553"/>
      <c r="BD8" s="596"/>
      <c r="BE8" s="596"/>
      <c r="BF8" s="596"/>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4" t="s">
        <v>208</v>
      </c>
      <c r="B10" s="624"/>
      <c r="C10" s="624"/>
      <c r="D10" s="624"/>
      <c r="E10" s="624"/>
      <c r="F10" s="624"/>
      <c r="G10" s="624"/>
      <c r="H10" s="624"/>
      <c r="I10" s="624"/>
      <c r="J10" s="624"/>
      <c r="K10" s="624"/>
      <c r="L10" s="553" t="s">
        <v>10</v>
      </c>
      <c r="M10" s="553"/>
      <c r="N10" s="553"/>
      <c r="O10" s="553"/>
      <c r="P10" s="553"/>
      <c r="Q10" s="553"/>
      <c r="R10" s="553"/>
      <c r="S10" s="553"/>
      <c r="T10" s="553"/>
      <c r="U10" s="553"/>
      <c r="V10" s="553"/>
      <c r="W10" s="553"/>
      <c r="X10" s="553"/>
      <c r="Y10" s="553"/>
      <c r="Z10" s="301"/>
      <c r="AA10" s="301"/>
      <c r="AB10" s="301"/>
      <c r="AC10" s="301"/>
      <c r="AD10" s="301"/>
      <c r="AE10" s="301"/>
      <c r="AF10" s="726" t="s">
        <v>712</v>
      </c>
      <c r="AG10" s="727"/>
      <c r="AH10" s="732"/>
      <c r="AI10" s="733"/>
      <c r="AJ10" s="733"/>
      <c r="AK10" s="733"/>
      <c r="AL10" s="733"/>
      <c r="AM10" s="733"/>
      <c r="AN10" s="733"/>
      <c r="AO10" s="733"/>
      <c r="AP10" s="733"/>
      <c r="AQ10" s="733"/>
      <c r="AR10" s="733"/>
      <c r="AS10" s="733"/>
      <c r="AT10" s="733"/>
      <c r="AU10" s="733"/>
      <c r="AV10" s="733"/>
      <c r="AW10" s="733"/>
      <c r="AX10" s="733"/>
      <c r="AY10" s="733"/>
      <c r="AZ10" s="733"/>
      <c r="BA10" s="733"/>
      <c r="BB10" s="733"/>
      <c r="BC10" s="733"/>
      <c r="BD10" s="733"/>
      <c r="BE10" s="733"/>
      <c r="BF10" s="734"/>
    </row>
    <row r="11" spans="1:58" x14ac:dyDescent="0.15">
      <c r="A11" s="624"/>
      <c r="B11" s="624"/>
      <c r="C11" s="624"/>
      <c r="D11" s="624"/>
      <c r="E11" s="624"/>
      <c r="F11" s="624"/>
      <c r="G11" s="624"/>
      <c r="H11" s="624"/>
      <c r="I11" s="624"/>
      <c r="J11" s="624"/>
      <c r="K11" s="624"/>
      <c r="L11" s="553"/>
      <c r="M11" s="553"/>
      <c r="N11" s="553"/>
      <c r="O11" s="553"/>
      <c r="P11" s="553"/>
      <c r="Q11" s="553"/>
      <c r="R11" s="553"/>
      <c r="S11" s="553"/>
      <c r="T11" s="553"/>
      <c r="U11" s="553"/>
      <c r="V11" s="553"/>
      <c r="W11" s="553"/>
      <c r="X11" s="553"/>
      <c r="Y11" s="553"/>
      <c r="Z11" s="301"/>
      <c r="AA11" s="301"/>
      <c r="AB11" s="301"/>
      <c r="AC11" s="301"/>
      <c r="AD11" s="301"/>
      <c r="AE11" s="301"/>
      <c r="AF11" s="728"/>
      <c r="AG11" s="729"/>
      <c r="AH11" s="735"/>
      <c r="AI11" s="736"/>
      <c r="AJ11" s="736"/>
      <c r="AK11" s="736"/>
      <c r="AL11" s="736"/>
      <c r="AM11" s="736"/>
      <c r="AN11" s="736"/>
      <c r="AO11" s="736"/>
      <c r="AP11" s="736"/>
      <c r="AQ11" s="736"/>
      <c r="AR11" s="736"/>
      <c r="AS11" s="736"/>
      <c r="AT11" s="736"/>
      <c r="AU11" s="736"/>
      <c r="AV11" s="736"/>
      <c r="AW11" s="736"/>
      <c r="AX11" s="736"/>
      <c r="AY11" s="736"/>
      <c r="AZ11" s="736"/>
      <c r="BA11" s="736"/>
      <c r="BB11" s="736"/>
      <c r="BC11" s="736"/>
      <c r="BD11" s="736"/>
      <c r="BE11" s="736"/>
      <c r="BF11" s="737"/>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28"/>
      <c r="AG12" s="729"/>
      <c r="AH12" s="735"/>
      <c r="AI12" s="736"/>
      <c r="AJ12" s="736"/>
      <c r="AK12" s="736"/>
      <c r="AL12" s="736"/>
      <c r="AM12" s="736"/>
      <c r="AN12" s="736"/>
      <c r="AO12" s="736"/>
      <c r="AP12" s="736"/>
      <c r="AQ12" s="736"/>
      <c r="AR12" s="736"/>
      <c r="AS12" s="736"/>
      <c r="AT12" s="736"/>
      <c r="AU12" s="736"/>
      <c r="AV12" s="736"/>
      <c r="AW12" s="736"/>
      <c r="AX12" s="736"/>
      <c r="AY12" s="736"/>
      <c r="AZ12" s="736"/>
      <c r="BA12" s="736"/>
      <c r="BB12" s="736"/>
      <c r="BC12" s="736"/>
      <c r="BD12" s="736"/>
      <c r="BE12" s="736"/>
      <c r="BF12" s="737"/>
    </row>
    <row r="13" spans="1:58" x14ac:dyDescent="0.15">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28"/>
      <c r="AG13" s="729"/>
      <c r="AH13" s="735"/>
      <c r="AI13" s="736"/>
      <c r="AJ13" s="736"/>
      <c r="AK13" s="736"/>
      <c r="AL13" s="736"/>
      <c r="AM13" s="736"/>
      <c r="AN13" s="736"/>
      <c r="AO13" s="736"/>
      <c r="AP13" s="736"/>
      <c r="AQ13" s="736"/>
      <c r="AR13" s="736"/>
      <c r="AS13" s="736"/>
      <c r="AT13" s="736"/>
      <c r="AU13" s="736"/>
      <c r="AV13" s="736"/>
      <c r="AW13" s="736"/>
      <c r="AX13" s="736"/>
      <c r="AY13" s="736"/>
      <c r="AZ13" s="736"/>
      <c r="BA13" s="736"/>
      <c r="BB13" s="736"/>
      <c r="BC13" s="736"/>
      <c r="BD13" s="736"/>
      <c r="BE13" s="736"/>
      <c r="BF13" s="737"/>
    </row>
    <row r="14" spans="1:58" x14ac:dyDescent="0.15">
      <c r="A14" s="741" t="s">
        <v>210</v>
      </c>
      <c r="B14" s="573"/>
      <c r="C14" s="573"/>
      <c r="D14" s="573"/>
      <c r="E14" s="573"/>
      <c r="F14" s="573"/>
      <c r="G14" s="573"/>
      <c r="H14" s="574"/>
      <c r="I14" s="741" t="s">
        <v>13</v>
      </c>
      <c r="J14" s="573"/>
      <c r="K14" s="573"/>
      <c r="L14" s="573"/>
      <c r="M14" s="573"/>
      <c r="N14" s="573"/>
      <c r="O14" s="573"/>
      <c r="P14" s="573"/>
      <c r="Q14" s="573"/>
      <c r="R14" s="573"/>
      <c r="S14" s="574"/>
      <c r="T14" s="741" t="s">
        <v>254</v>
      </c>
      <c r="U14" s="573"/>
      <c r="V14" s="573"/>
      <c r="W14" s="573"/>
      <c r="X14" s="573"/>
      <c r="Y14" s="573"/>
      <c r="Z14" s="573"/>
      <c r="AA14" s="573"/>
      <c r="AB14" s="573"/>
      <c r="AC14" s="573"/>
      <c r="AD14" s="574"/>
      <c r="AE14" s="526"/>
      <c r="AF14" s="728"/>
      <c r="AG14" s="729"/>
      <c r="AH14" s="735"/>
      <c r="AI14" s="736"/>
      <c r="AJ14" s="736"/>
      <c r="AK14" s="736"/>
      <c r="AL14" s="736"/>
      <c r="AM14" s="736"/>
      <c r="AN14" s="736"/>
      <c r="AO14" s="736"/>
      <c r="AP14" s="736"/>
      <c r="AQ14" s="736"/>
      <c r="AR14" s="736"/>
      <c r="AS14" s="736"/>
      <c r="AT14" s="736"/>
      <c r="AU14" s="736"/>
      <c r="AV14" s="736"/>
      <c r="AW14" s="736"/>
      <c r="AX14" s="736"/>
      <c r="AY14" s="736"/>
      <c r="AZ14" s="736"/>
      <c r="BA14" s="736"/>
      <c r="BB14" s="736"/>
      <c r="BC14" s="736"/>
      <c r="BD14" s="736"/>
      <c r="BE14" s="736"/>
      <c r="BF14" s="737"/>
    </row>
    <row r="15" spans="1:58" x14ac:dyDescent="0.15">
      <c r="A15" s="572" t="s">
        <v>699</v>
      </c>
      <c r="B15" s="573"/>
      <c r="C15" s="573"/>
      <c r="D15" s="573"/>
      <c r="E15" s="573"/>
      <c r="F15" s="573"/>
      <c r="G15" s="573"/>
      <c r="H15" s="574"/>
      <c r="I15" s="745">
        <v>0.15</v>
      </c>
      <c r="J15" s="746"/>
      <c r="K15" s="746"/>
      <c r="L15" s="746"/>
      <c r="M15" s="746"/>
      <c r="N15" s="746"/>
      <c r="O15" s="746"/>
      <c r="P15" s="746"/>
      <c r="Q15" s="746"/>
      <c r="R15" s="746"/>
      <c r="S15" s="747"/>
      <c r="T15" s="745" t="s">
        <v>700</v>
      </c>
      <c r="U15" s="746"/>
      <c r="V15" s="746"/>
      <c r="W15" s="746"/>
      <c r="X15" s="746"/>
      <c r="Y15" s="746"/>
      <c r="Z15" s="746"/>
      <c r="AA15" s="746"/>
      <c r="AB15" s="746"/>
      <c r="AC15" s="746"/>
      <c r="AD15" s="747"/>
      <c r="AE15" s="527"/>
      <c r="AF15" s="728"/>
      <c r="AG15" s="729"/>
      <c r="AH15" s="735"/>
      <c r="AI15" s="736"/>
      <c r="AJ15" s="736"/>
      <c r="AK15" s="736"/>
      <c r="AL15" s="736"/>
      <c r="AM15" s="736"/>
      <c r="AN15" s="736"/>
      <c r="AO15" s="736"/>
      <c r="AP15" s="736"/>
      <c r="AQ15" s="736"/>
      <c r="AR15" s="736"/>
      <c r="AS15" s="736"/>
      <c r="AT15" s="736"/>
      <c r="AU15" s="736"/>
      <c r="AV15" s="736"/>
      <c r="AW15" s="736"/>
      <c r="AX15" s="736"/>
      <c r="AY15" s="736"/>
      <c r="AZ15" s="736"/>
      <c r="BA15" s="736"/>
      <c r="BB15" s="736"/>
      <c r="BC15" s="736"/>
      <c r="BD15" s="736"/>
      <c r="BE15" s="736"/>
      <c r="BF15" s="737"/>
    </row>
    <row r="16" spans="1:58" x14ac:dyDescent="0.15">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30"/>
      <c r="AG16" s="731"/>
      <c r="AH16" s="738"/>
      <c r="AI16" s="739"/>
      <c r="AJ16" s="739"/>
      <c r="AK16" s="739"/>
      <c r="AL16" s="739"/>
      <c r="AM16" s="739"/>
      <c r="AN16" s="739"/>
      <c r="AO16" s="739"/>
      <c r="AP16" s="739"/>
      <c r="AQ16" s="739"/>
      <c r="AR16" s="739"/>
      <c r="AS16" s="739"/>
      <c r="AT16" s="739"/>
      <c r="AU16" s="739"/>
      <c r="AV16" s="739"/>
      <c r="AW16" s="739"/>
      <c r="AX16" s="739"/>
      <c r="AY16" s="739"/>
      <c r="AZ16" s="739"/>
      <c r="BA16" s="739"/>
      <c r="BB16" s="739"/>
      <c r="BC16" s="739"/>
      <c r="BD16" s="739"/>
      <c r="BE16" s="739"/>
      <c r="BF16" s="740"/>
    </row>
    <row r="17" spans="1:48" x14ac:dyDescent="0.15">
      <c r="A17" t="s">
        <v>261</v>
      </c>
    </row>
    <row r="18" spans="1:48" x14ac:dyDescent="0.15">
      <c r="A18" s="715" t="s">
        <v>211</v>
      </c>
      <c r="B18" s="716"/>
      <c r="C18" s="716"/>
      <c r="D18" s="716"/>
      <c r="E18" s="716"/>
      <c r="F18" s="716"/>
      <c r="G18" s="716"/>
      <c r="H18" s="716"/>
      <c r="I18" s="716"/>
      <c r="J18" s="716"/>
      <c r="K18" s="716"/>
      <c r="L18" s="716"/>
      <c r="M18" s="716"/>
      <c r="N18" s="716"/>
      <c r="O18" s="716"/>
      <c r="P18" s="716"/>
      <c r="Q18" s="716"/>
      <c r="R18" s="638"/>
      <c r="S18" s="715" t="s">
        <v>263</v>
      </c>
      <c r="T18" s="716"/>
      <c r="U18" s="716"/>
      <c r="V18" s="716"/>
      <c r="W18" s="716"/>
      <c r="X18" s="716"/>
      <c r="Y18" s="716"/>
      <c r="Z18" s="716"/>
      <c r="AA18" s="716"/>
      <c r="AB18" s="716"/>
      <c r="AC18" s="716"/>
      <c r="AD18" s="716"/>
      <c r="AE18" s="716"/>
      <c r="AF18" s="716"/>
      <c r="AG18" s="716"/>
      <c r="AH18" s="716"/>
      <c r="AI18" s="716"/>
      <c r="AJ18" s="716"/>
      <c r="AK18" s="716"/>
      <c r="AL18" s="716"/>
      <c r="AM18" s="716"/>
      <c r="AN18" s="716"/>
      <c r="AO18" s="716"/>
      <c r="AP18" s="716"/>
      <c r="AQ18" s="716"/>
      <c r="AR18" s="716"/>
      <c r="AS18" s="716"/>
      <c r="AT18" s="716"/>
      <c r="AU18" s="716"/>
      <c r="AV18" s="638"/>
    </row>
    <row r="19" spans="1:48" ht="13.5" customHeight="1" x14ac:dyDescent="0.15">
      <c r="A19" s="709" t="s">
        <v>219</v>
      </c>
      <c r="B19" s="710"/>
      <c r="C19" s="710"/>
      <c r="D19" s="710"/>
      <c r="E19" s="710"/>
      <c r="F19" s="710"/>
      <c r="G19" s="710"/>
      <c r="H19" s="710"/>
      <c r="I19" s="710"/>
      <c r="J19" s="710"/>
      <c r="K19" s="711"/>
      <c r="L19" s="709" t="s">
        <v>220</v>
      </c>
      <c r="M19" s="710"/>
      <c r="N19" s="710"/>
      <c r="O19" s="710"/>
      <c r="P19" s="710"/>
      <c r="Q19" s="710"/>
      <c r="R19" s="711"/>
      <c r="S19" s="709" t="s">
        <v>14</v>
      </c>
      <c r="T19" s="710"/>
      <c r="U19" s="710"/>
      <c r="V19" s="710"/>
      <c r="W19" s="710"/>
      <c r="X19" s="710"/>
      <c r="Y19" s="711"/>
      <c r="Z19" s="709" t="s">
        <v>15</v>
      </c>
      <c r="AA19" s="710"/>
      <c r="AB19" s="710"/>
      <c r="AC19" s="710"/>
      <c r="AD19" s="710"/>
      <c r="AE19" s="710"/>
      <c r="AF19" s="710"/>
      <c r="AG19" s="710"/>
      <c r="AH19" s="711"/>
      <c r="AI19" s="709" t="s">
        <v>264</v>
      </c>
      <c r="AJ19" s="710"/>
      <c r="AK19" s="710"/>
      <c r="AL19" s="710"/>
      <c r="AM19" s="710"/>
      <c r="AN19" s="711"/>
      <c r="AO19" s="709" t="s">
        <v>16</v>
      </c>
      <c r="AP19" s="710"/>
      <c r="AQ19" s="710"/>
      <c r="AR19" s="710"/>
      <c r="AS19" s="710"/>
      <c r="AT19" s="710"/>
      <c r="AU19" s="710"/>
      <c r="AV19" s="711"/>
    </row>
    <row r="20" spans="1:48" x14ac:dyDescent="0.15">
      <c r="A20" s="712"/>
      <c r="B20" s="713"/>
      <c r="C20" s="713"/>
      <c r="D20" s="713"/>
      <c r="E20" s="713"/>
      <c r="F20" s="713"/>
      <c r="G20" s="713"/>
      <c r="H20" s="713"/>
      <c r="I20" s="713"/>
      <c r="J20" s="713"/>
      <c r="K20" s="714"/>
      <c r="L20" s="712"/>
      <c r="M20" s="713"/>
      <c r="N20" s="713"/>
      <c r="O20" s="713"/>
      <c r="P20" s="713"/>
      <c r="Q20" s="713"/>
      <c r="R20" s="714"/>
      <c r="S20" s="712"/>
      <c r="T20" s="713"/>
      <c r="U20" s="713"/>
      <c r="V20" s="713"/>
      <c r="W20" s="713"/>
      <c r="X20" s="713"/>
      <c r="Y20" s="714"/>
      <c r="Z20" s="712"/>
      <c r="AA20" s="713"/>
      <c r="AB20" s="713"/>
      <c r="AC20" s="713"/>
      <c r="AD20" s="713"/>
      <c r="AE20" s="713"/>
      <c r="AF20" s="713"/>
      <c r="AG20" s="713"/>
      <c r="AH20" s="714"/>
      <c r="AI20" s="712"/>
      <c r="AJ20" s="713"/>
      <c r="AK20" s="713"/>
      <c r="AL20" s="713"/>
      <c r="AM20" s="713"/>
      <c r="AN20" s="714"/>
      <c r="AO20" s="712"/>
      <c r="AP20" s="713"/>
      <c r="AQ20" s="713"/>
      <c r="AR20" s="713"/>
      <c r="AS20" s="713"/>
      <c r="AT20" s="713"/>
      <c r="AU20" s="713"/>
      <c r="AV20" s="714"/>
    </row>
    <row r="21" spans="1:48" x14ac:dyDescent="0.15">
      <c r="A21" s="618" t="s">
        <v>195</v>
      </c>
      <c r="B21" s="618"/>
      <c r="C21" s="618"/>
      <c r="D21" s="618"/>
      <c r="E21" s="618"/>
      <c r="F21" s="618"/>
      <c r="G21" s="618"/>
      <c r="H21" s="618"/>
      <c r="I21" s="618"/>
      <c r="J21" s="618"/>
      <c r="K21" s="618"/>
      <c r="L21" s="705">
        <v>105</v>
      </c>
      <c r="M21" s="705"/>
      <c r="N21" s="705"/>
      <c r="O21" s="705"/>
      <c r="P21" s="705"/>
      <c r="Q21" s="705"/>
      <c r="R21" s="705"/>
      <c r="S21" s="706">
        <v>20</v>
      </c>
      <c r="T21" s="706"/>
      <c r="U21" s="706"/>
      <c r="V21" s="706"/>
      <c r="W21" s="706"/>
      <c r="X21" s="706"/>
      <c r="Y21" s="706"/>
      <c r="Z21" s="707">
        <f>IF(AND(L21&lt;&gt;"",S21&lt;&gt;""),S21/L21,"")</f>
        <v>0.19047619047619047</v>
      </c>
      <c r="AA21" s="707"/>
      <c r="AB21" s="707"/>
      <c r="AC21" s="707"/>
      <c r="AD21" s="707"/>
      <c r="AE21" s="707"/>
      <c r="AF21" s="707"/>
      <c r="AG21" s="707"/>
      <c r="AH21" s="707"/>
      <c r="AI21" s="705">
        <v>22</v>
      </c>
      <c r="AJ21" s="705"/>
      <c r="AK21" s="705"/>
      <c r="AL21" s="705"/>
      <c r="AM21" s="705"/>
      <c r="AN21" s="705"/>
      <c r="AO21" s="707">
        <f>IF(AND(L21&lt;&gt;"",AI21&lt;&gt;""),AI21/L21,"")</f>
        <v>0.20952380952380953</v>
      </c>
      <c r="AP21" s="707"/>
      <c r="AQ21" s="707"/>
      <c r="AR21" s="707"/>
      <c r="AS21" s="707"/>
      <c r="AT21" s="707"/>
      <c r="AU21" s="707"/>
      <c r="AV21" s="707"/>
    </row>
    <row r="22" spans="1:48" x14ac:dyDescent="0.15">
      <c r="A22" s="618"/>
      <c r="B22" s="618"/>
      <c r="C22" s="618"/>
      <c r="D22" s="618"/>
      <c r="E22" s="618"/>
      <c r="F22" s="618"/>
      <c r="G22" s="618"/>
      <c r="H22" s="618"/>
      <c r="I22" s="618"/>
      <c r="J22" s="618"/>
      <c r="K22" s="618"/>
      <c r="L22" s="705"/>
      <c r="M22" s="705"/>
      <c r="N22" s="705"/>
      <c r="O22" s="705"/>
      <c r="P22" s="705"/>
      <c r="Q22" s="705"/>
      <c r="R22" s="705"/>
      <c r="S22" s="706"/>
      <c r="T22" s="706"/>
      <c r="U22" s="706"/>
      <c r="V22" s="706"/>
      <c r="W22" s="706"/>
      <c r="X22" s="706"/>
      <c r="Y22" s="706"/>
      <c r="Z22" s="707"/>
      <c r="AA22" s="707"/>
      <c r="AB22" s="707"/>
      <c r="AC22" s="707"/>
      <c r="AD22" s="707"/>
      <c r="AE22" s="707"/>
      <c r="AF22" s="707"/>
      <c r="AG22" s="707"/>
      <c r="AH22" s="707"/>
      <c r="AI22" s="705"/>
      <c r="AJ22" s="705"/>
      <c r="AK22" s="705"/>
      <c r="AL22" s="705"/>
      <c r="AM22" s="705"/>
      <c r="AN22" s="705"/>
      <c r="AO22" s="707"/>
      <c r="AP22" s="707"/>
      <c r="AQ22" s="707"/>
      <c r="AR22" s="707"/>
      <c r="AS22" s="707"/>
      <c r="AT22" s="707"/>
      <c r="AU22" s="707"/>
      <c r="AV22" s="707"/>
    </row>
    <row r="23" spans="1:48" x14ac:dyDescent="0.15">
      <c r="A23" s="618"/>
      <c r="B23" s="618"/>
      <c r="C23" s="618"/>
      <c r="D23" s="618"/>
      <c r="E23" s="618"/>
      <c r="F23" s="618"/>
      <c r="G23" s="618"/>
      <c r="H23" s="618"/>
      <c r="I23" s="618"/>
      <c r="J23" s="618"/>
      <c r="K23" s="618"/>
      <c r="L23" s="705"/>
      <c r="M23" s="705"/>
      <c r="N23" s="705"/>
      <c r="O23" s="705"/>
      <c r="P23" s="705"/>
      <c r="Q23" s="705"/>
      <c r="R23" s="705"/>
      <c r="S23" s="706"/>
      <c r="T23" s="706"/>
      <c r="U23" s="706"/>
      <c r="V23" s="706"/>
      <c r="W23" s="706"/>
      <c r="X23" s="706"/>
      <c r="Y23" s="706"/>
      <c r="Z23" s="707" t="str">
        <f>IF(AND(L23&lt;&gt;"",S23&lt;&gt;""),S23/L23,"")</f>
        <v/>
      </c>
      <c r="AA23" s="707"/>
      <c r="AB23" s="707"/>
      <c r="AC23" s="707"/>
      <c r="AD23" s="707"/>
      <c r="AE23" s="707"/>
      <c r="AF23" s="707"/>
      <c r="AG23" s="707"/>
      <c r="AH23" s="707"/>
      <c r="AI23" s="705"/>
      <c r="AJ23" s="705"/>
      <c r="AK23" s="705"/>
      <c r="AL23" s="705"/>
      <c r="AM23" s="705"/>
      <c r="AN23" s="705"/>
      <c r="AO23" s="707" t="str">
        <f>IF(AND(L23&lt;&gt;"",AI23&lt;&gt;""),AI23/L23,"")</f>
        <v/>
      </c>
      <c r="AP23" s="707"/>
      <c r="AQ23" s="707"/>
      <c r="AR23" s="707"/>
      <c r="AS23" s="707"/>
      <c r="AT23" s="707"/>
      <c r="AU23" s="707"/>
      <c r="AV23" s="707"/>
    </row>
    <row r="24" spans="1:48" x14ac:dyDescent="0.15">
      <c r="A24" s="618"/>
      <c r="B24" s="618"/>
      <c r="C24" s="618"/>
      <c r="D24" s="618"/>
      <c r="E24" s="618"/>
      <c r="F24" s="618"/>
      <c r="G24" s="618"/>
      <c r="H24" s="618"/>
      <c r="I24" s="618"/>
      <c r="J24" s="618"/>
      <c r="K24" s="618"/>
      <c r="L24" s="705"/>
      <c r="M24" s="705"/>
      <c r="N24" s="705"/>
      <c r="O24" s="705"/>
      <c r="P24" s="705"/>
      <c r="Q24" s="705"/>
      <c r="R24" s="705"/>
      <c r="S24" s="706"/>
      <c r="T24" s="706"/>
      <c r="U24" s="706"/>
      <c r="V24" s="706"/>
      <c r="W24" s="706"/>
      <c r="X24" s="706"/>
      <c r="Y24" s="706"/>
      <c r="Z24" s="707"/>
      <c r="AA24" s="707"/>
      <c r="AB24" s="707"/>
      <c r="AC24" s="707"/>
      <c r="AD24" s="707"/>
      <c r="AE24" s="707"/>
      <c r="AF24" s="707"/>
      <c r="AG24" s="707"/>
      <c r="AH24" s="707"/>
      <c r="AI24" s="705"/>
      <c r="AJ24" s="705"/>
      <c r="AK24" s="705"/>
      <c r="AL24" s="705"/>
      <c r="AM24" s="705"/>
      <c r="AN24" s="705"/>
      <c r="AO24" s="707"/>
      <c r="AP24" s="707"/>
      <c r="AQ24" s="707"/>
      <c r="AR24" s="707"/>
      <c r="AS24" s="707"/>
      <c r="AT24" s="707"/>
      <c r="AU24" s="707"/>
      <c r="AV24" s="707"/>
    </row>
    <row r="25" spans="1:48" x14ac:dyDescent="0.15">
      <c r="A25" s="618"/>
      <c r="B25" s="618"/>
      <c r="C25" s="618"/>
      <c r="D25" s="618"/>
      <c r="E25" s="618"/>
      <c r="F25" s="618"/>
      <c r="G25" s="618"/>
      <c r="H25" s="618"/>
      <c r="I25" s="618"/>
      <c r="J25" s="618"/>
      <c r="K25" s="618"/>
      <c r="L25" s="705"/>
      <c r="M25" s="705"/>
      <c r="N25" s="705"/>
      <c r="O25" s="705"/>
      <c r="P25" s="705"/>
      <c r="Q25" s="705"/>
      <c r="R25" s="705"/>
      <c r="S25" s="706"/>
      <c r="T25" s="706"/>
      <c r="U25" s="706"/>
      <c r="V25" s="706"/>
      <c r="W25" s="706"/>
      <c r="X25" s="706"/>
      <c r="Y25" s="706"/>
      <c r="Z25" s="707" t="str">
        <f>IF(AND(L25&lt;&gt;"",S25&lt;&gt;""),S25/L25,"")</f>
        <v/>
      </c>
      <c r="AA25" s="707"/>
      <c r="AB25" s="707"/>
      <c r="AC25" s="707"/>
      <c r="AD25" s="707"/>
      <c r="AE25" s="707"/>
      <c r="AF25" s="707"/>
      <c r="AG25" s="707"/>
      <c r="AH25" s="707"/>
      <c r="AI25" s="705"/>
      <c r="AJ25" s="705"/>
      <c r="AK25" s="705"/>
      <c r="AL25" s="705"/>
      <c r="AM25" s="705"/>
      <c r="AN25" s="705"/>
      <c r="AO25" s="707" t="str">
        <f>IF(AND(L25&lt;&gt;"",AI25&lt;&gt;""),AI25/L25,"")</f>
        <v/>
      </c>
      <c r="AP25" s="707"/>
      <c r="AQ25" s="707"/>
      <c r="AR25" s="707"/>
      <c r="AS25" s="707"/>
      <c r="AT25" s="707"/>
      <c r="AU25" s="707"/>
      <c r="AV25" s="707"/>
    </row>
    <row r="26" spans="1:48" x14ac:dyDescent="0.15">
      <c r="A26" s="618"/>
      <c r="B26" s="618"/>
      <c r="C26" s="618"/>
      <c r="D26" s="618"/>
      <c r="E26" s="618"/>
      <c r="F26" s="618"/>
      <c r="G26" s="618"/>
      <c r="H26" s="618"/>
      <c r="I26" s="618"/>
      <c r="J26" s="618"/>
      <c r="K26" s="618"/>
      <c r="L26" s="705"/>
      <c r="M26" s="705"/>
      <c r="N26" s="705"/>
      <c r="O26" s="705"/>
      <c r="P26" s="705"/>
      <c r="Q26" s="705"/>
      <c r="R26" s="705"/>
      <c r="S26" s="706"/>
      <c r="T26" s="706"/>
      <c r="U26" s="706"/>
      <c r="V26" s="706"/>
      <c r="W26" s="706"/>
      <c r="X26" s="706"/>
      <c r="Y26" s="706"/>
      <c r="Z26" s="707"/>
      <c r="AA26" s="707"/>
      <c r="AB26" s="707"/>
      <c r="AC26" s="707"/>
      <c r="AD26" s="707"/>
      <c r="AE26" s="707"/>
      <c r="AF26" s="707"/>
      <c r="AG26" s="707"/>
      <c r="AH26" s="707"/>
      <c r="AI26" s="705"/>
      <c r="AJ26" s="705"/>
      <c r="AK26" s="705"/>
      <c r="AL26" s="705"/>
      <c r="AM26" s="705"/>
      <c r="AN26" s="705"/>
      <c r="AO26" s="707"/>
      <c r="AP26" s="707"/>
      <c r="AQ26" s="707"/>
      <c r="AR26" s="707"/>
      <c r="AS26" s="707"/>
      <c r="AT26" s="707"/>
      <c r="AU26" s="707"/>
      <c r="AV26" s="707"/>
    </row>
    <row r="27" spans="1:48" x14ac:dyDescent="0.15">
      <c r="A27" s="618"/>
      <c r="B27" s="618"/>
      <c r="C27" s="618"/>
      <c r="D27" s="618"/>
      <c r="E27" s="618"/>
      <c r="F27" s="618"/>
      <c r="G27" s="618"/>
      <c r="H27" s="618"/>
      <c r="I27" s="618"/>
      <c r="J27" s="618"/>
      <c r="K27" s="618"/>
      <c r="L27" s="705"/>
      <c r="M27" s="705"/>
      <c r="N27" s="705"/>
      <c r="O27" s="705"/>
      <c r="P27" s="705"/>
      <c r="Q27" s="705"/>
      <c r="R27" s="705"/>
      <c r="S27" s="706"/>
      <c r="T27" s="706"/>
      <c r="U27" s="706"/>
      <c r="V27" s="706"/>
      <c r="W27" s="706"/>
      <c r="X27" s="706"/>
      <c r="Y27" s="706"/>
      <c r="Z27" s="707" t="str">
        <f>IF(AND(L27&lt;&gt;"",S27&lt;&gt;""),S27/L27,"")</f>
        <v/>
      </c>
      <c r="AA27" s="707"/>
      <c r="AB27" s="707"/>
      <c r="AC27" s="707"/>
      <c r="AD27" s="707"/>
      <c r="AE27" s="707"/>
      <c r="AF27" s="707"/>
      <c r="AG27" s="707"/>
      <c r="AH27" s="707"/>
      <c r="AI27" s="705"/>
      <c r="AJ27" s="705"/>
      <c r="AK27" s="705"/>
      <c r="AL27" s="705"/>
      <c r="AM27" s="705"/>
      <c r="AN27" s="705"/>
      <c r="AO27" s="707" t="str">
        <f>IF(AND(L27&lt;&gt;"",AI27&lt;&gt;""),AI27/L27,"")</f>
        <v/>
      </c>
      <c r="AP27" s="707"/>
      <c r="AQ27" s="707"/>
      <c r="AR27" s="707"/>
      <c r="AS27" s="707"/>
      <c r="AT27" s="707"/>
      <c r="AU27" s="707"/>
      <c r="AV27" s="707"/>
    </row>
    <row r="28" spans="1:48" x14ac:dyDescent="0.15">
      <c r="A28" s="618"/>
      <c r="B28" s="618"/>
      <c r="C28" s="618"/>
      <c r="D28" s="618"/>
      <c r="E28" s="618"/>
      <c r="F28" s="618"/>
      <c r="G28" s="618"/>
      <c r="H28" s="618"/>
      <c r="I28" s="618"/>
      <c r="J28" s="618"/>
      <c r="K28" s="618"/>
      <c r="L28" s="705"/>
      <c r="M28" s="705"/>
      <c r="N28" s="705"/>
      <c r="O28" s="705"/>
      <c r="P28" s="705"/>
      <c r="Q28" s="705"/>
      <c r="R28" s="705"/>
      <c r="S28" s="706"/>
      <c r="T28" s="706"/>
      <c r="U28" s="706"/>
      <c r="V28" s="706"/>
      <c r="W28" s="706"/>
      <c r="X28" s="706"/>
      <c r="Y28" s="706"/>
      <c r="Z28" s="707"/>
      <c r="AA28" s="707"/>
      <c r="AB28" s="707"/>
      <c r="AC28" s="707"/>
      <c r="AD28" s="707"/>
      <c r="AE28" s="707"/>
      <c r="AF28" s="707"/>
      <c r="AG28" s="707"/>
      <c r="AH28" s="707"/>
      <c r="AI28" s="705"/>
      <c r="AJ28" s="705"/>
      <c r="AK28" s="705"/>
      <c r="AL28" s="705"/>
      <c r="AM28" s="705"/>
      <c r="AN28" s="705"/>
      <c r="AO28" s="707"/>
      <c r="AP28" s="707"/>
      <c r="AQ28" s="707"/>
      <c r="AR28" s="707"/>
      <c r="AS28" s="707"/>
      <c r="AT28" s="707"/>
      <c r="AU28" s="707"/>
      <c r="AV28" s="707"/>
    </row>
    <row r="29" spans="1:48" x14ac:dyDescent="0.15">
      <c r="A29" s="618"/>
      <c r="B29" s="618"/>
      <c r="C29" s="618"/>
      <c r="D29" s="618"/>
      <c r="E29" s="618"/>
      <c r="F29" s="618"/>
      <c r="G29" s="618"/>
      <c r="H29" s="618"/>
      <c r="I29" s="618"/>
      <c r="J29" s="618"/>
      <c r="K29" s="618"/>
      <c r="L29" s="705"/>
      <c r="M29" s="705"/>
      <c r="N29" s="705"/>
      <c r="O29" s="705"/>
      <c r="P29" s="705"/>
      <c r="Q29" s="705"/>
      <c r="R29" s="705"/>
      <c r="S29" s="706"/>
      <c r="T29" s="706"/>
      <c r="U29" s="706"/>
      <c r="V29" s="706"/>
      <c r="W29" s="706"/>
      <c r="X29" s="706"/>
      <c r="Y29" s="706"/>
      <c r="Z29" s="707" t="str">
        <f>IF(AND(L29&lt;&gt;"",S29&lt;&gt;""),S29/L29,"")</f>
        <v/>
      </c>
      <c r="AA29" s="707"/>
      <c r="AB29" s="707"/>
      <c r="AC29" s="707"/>
      <c r="AD29" s="707"/>
      <c r="AE29" s="707"/>
      <c r="AF29" s="707"/>
      <c r="AG29" s="707"/>
      <c r="AH29" s="707"/>
      <c r="AI29" s="705"/>
      <c r="AJ29" s="705"/>
      <c r="AK29" s="705"/>
      <c r="AL29" s="705"/>
      <c r="AM29" s="705"/>
      <c r="AN29" s="705"/>
      <c r="AO29" s="707" t="str">
        <f>IF(AND(L29&lt;&gt;"",AI29&lt;&gt;""),AI29/L29,"")</f>
        <v/>
      </c>
      <c r="AP29" s="707"/>
      <c r="AQ29" s="707"/>
      <c r="AR29" s="707"/>
      <c r="AS29" s="707"/>
      <c r="AT29" s="707"/>
      <c r="AU29" s="707"/>
      <c r="AV29" s="707"/>
    </row>
    <row r="30" spans="1:48" x14ac:dyDescent="0.15">
      <c r="A30" s="618"/>
      <c r="B30" s="618"/>
      <c r="C30" s="618"/>
      <c r="D30" s="618"/>
      <c r="E30" s="618"/>
      <c r="F30" s="618"/>
      <c r="G30" s="618"/>
      <c r="H30" s="618"/>
      <c r="I30" s="618"/>
      <c r="J30" s="618"/>
      <c r="K30" s="618"/>
      <c r="L30" s="705"/>
      <c r="M30" s="705"/>
      <c r="N30" s="705"/>
      <c r="O30" s="705"/>
      <c r="P30" s="705"/>
      <c r="Q30" s="705"/>
      <c r="R30" s="705"/>
      <c r="S30" s="706"/>
      <c r="T30" s="706"/>
      <c r="U30" s="706"/>
      <c r="V30" s="706"/>
      <c r="W30" s="706"/>
      <c r="X30" s="706"/>
      <c r="Y30" s="706"/>
      <c r="Z30" s="707"/>
      <c r="AA30" s="707"/>
      <c r="AB30" s="707"/>
      <c r="AC30" s="707"/>
      <c r="AD30" s="707"/>
      <c r="AE30" s="707"/>
      <c r="AF30" s="707"/>
      <c r="AG30" s="707"/>
      <c r="AH30" s="707"/>
      <c r="AI30" s="705"/>
      <c r="AJ30" s="705"/>
      <c r="AK30" s="705"/>
      <c r="AL30" s="705"/>
      <c r="AM30" s="705"/>
      <c r="AN30" s="705"/>
      <c r="AO30" s="707"/>
      <c r="AP30" s="707"/>
      <c r="AQ30" s="707"/>
      <c r="AR30" s="707"/>
      <c r="AS30" s="707"/>
      <c r="AT30" s="707"/>
      <c r="AU30" s="707"/>
      <c r="AV30" s="707"/>
    </row>
    <row r="31" spans="1:48" x14ac:dyDescent="0.15">
      <c r="A31" s="618"/>
      <c r="B31" s="618"/>
      <c r="C31" s="618"/>
      <c r="D31" s="618"/>
      <c r="E31" s="618"/>
      <c r="F31" s="618"/>
      <c r="G31" s="618"/>
      <c r="H31" s="618"/>
      <c r="I31" s="618"/>
      <c r="J31" s="618"/>
      <c r="K31" s="618"/>
      <c r="L31" s="705"/>
      <c r="M31" s="705"/>
      <c r="N31" s="705"/>
      <c r="O31" s="705"/>
      <c r="P31" s="705"/>
      <c r="Q31" s="705"/>
      <c r="R31" s="705"/>
      <c r="S31" s="706"/>
      <c r="T31" s="706"/>
      <c r="U31" s="706"/>
      <c r="V31" s="706"/>
      <c r="W31" s="706"/>
      <c r="X31" s="706"/>
      <c r="Y31" s="706"/>
      <c r="Z31" s="707" t="str">
        <f>IF(AND(L31&lt;&gt;"",S31&lt;&gt;""),S31/L31,"")</f>
        <v/>
      </c>
      <c r="AA31" s="707"/>
      <c r="AB31" s="707"/>
      <c r="AC31" s="707"/>
      <c r="AD31" s="707"/>
      <c r="AE31" s="707"/>
      <c r="AF31" s="707"/>
      <c r="AG31" s="707"/>
      <c r="AH31" s="707"/>
      <c r="AI31" s="705"/>
      <c r="AJ31" s="705"/>
      <c r="AK31" s="705"/>
      <c r="AL31" s="705"/>
      <c r="AM31" s="705"/>
      <c r="AN31" s="705"/>
      <c r="AO31" s="707" t="str">
        <f>IF(AND(L31&lt;&gt;"",AI31&lt;&gt;""),AI31/L31,"")</f>
        <v/>
      </c>
      <c r="AP31" s="707"/>
      <c r="AQ31" s="707"/>
      <c r="AR31" s="707"/>
      <c r="AS31" s="707"/>
      <c r="AT31" s="707"/>
      <c r="AU31" s="707"/>
      <c r="AV31" s="707"/>
    </row>
    <row r="32" spans="1:48" x14ac:dyDescent="0.15">
      <c r="A32" s="618"/>
      <c r="B32" s="618"/>
      <c r="C32" s="618"/>
      <c r="D32" s="618"/>
      <c r="E32" s="618"/>
      <c r="F32" s="618"/>
      <c r="G32" s="618"/>
      <c r="H32" s="618"/>
      <c r="I32" s="618"/>
      <c r="J32" s="618"/>
      <c r="K32" s="618"/>
      <c r="L32" s="705"/>
      <c r="M32" s="705"/>
      <c r="N32" s="705"/>
      <c r="O32" s="705"/>
      <c r="P32" s="705"/>
      <c r="Q32" s="705"/>
      <c r="R32" s="705"/>
      <c r="S32" s="706"/>
      <c r="T32" s="706"/>
      <c r="U32" s="706"/>
      <c r="V32" s="706"/>
      <c r="W32" s="706"/>
      <c r="X32" s="706"/>
      <c r="Y32" s="706"/>
      <c r="Z32" s="707"/>
      <c r="AA32" s="707"/>
      <c r="AB32" s="707"/>
      <c r="AC32" s="707"/>
      <c r="AD32" s="707"/>
      <c r="AE32" s="707"/>
      <c r="AF32" s="707"/>
      <c r="AG32" s="707"/>
      <c r="AH32" s="707"/>
      <c r="AI32" s="705"/>
      <c r="AJ32" s="705"/>
      <c r="AK32" s="705"/>
      <c r="AL32" s="705"/>
      <c r="AM32" s="705"/>
      <c r="AN32" s="705"/>
      <c r="AO32" s="707"/>
      <c r="AP32" s="707"/>
      <c r="AQ32" s="707"/>
      <c r="AR32" s="707"/>
      <c r="AS32" s="707"/>
      <c r="AT32" s="707"/>
      <c r="AU32" s="707"/>
      <c r="AV32" s="707"/>
    </row>
    <row r="33" spans="1:48" x14ac:dyDescent="0.15">
      <c r="A33" s="618"/>
      <c r="B33" s="618"/>
      <c r="C33" s="618"/>
      <c r="D33" s="618"/>
      <c r="E33" s="618"/>
      <c r="F33" s="618"/>
      <c r="G33" s="618"/>
      <c r="H33" s="618"/>
      <c r="I33" s="618"/>
      <c r="J33" s="618"/>
      <c r="K33" s="618"/>
      <c r="L33" s="705"/>
      <c r="M33" s="705"/>
      <c r="N33" s="705"/>
      <c r="O33" s="705"/>
      <c r="P33" s="705"/>
      <c r="Q33" s="705"/>
      <c r="R33" s="705"/>
      <c r="S33" s="706"/>
      <c r="T33" s="706"/>
      <c r="U33" s="706"/>
      <c r="V33" s="706"/>
      <c r="W33" s="706"/>
      <c r="X33" s="706"/>
      <c r="Y33" s="706"/>
      <c r="Z33" s="707" t="str">
        <f>IF(AND(L33&lt;&gt;"",S33&lt;&gt;""),S33/L33,"")</f>
        <v/>
      </c>
      <c r="AA33" s="707"/>
      <c r="AB33" s="707"/>
      <c r="AC33" s="707"/>
      <c r="AD33" s="707"/>
      <c r="AE33" s="707"/>
      <c r="AF33" s="707"/>
      <c r="AG33" s="707"/>
      <c r="AH33" s="707"/>
      <c r="AI33" s="705"/>
      <c r="AJ33" s="705"/>
      <c r="AK33" s="705"/>
      <c r="AL33" s="705"/>
      <c r="AM33" s="705"/>
      <c r="AN33" s="705"/>
      <c r="AO33" s="707" t="str">
        <f>IF(AND(L33&lt;&gt;"",AI33&lt;&gt;""),AI33/L33,"")</f>
        <v/>
      </c>
      <c r="AP33" s="707"/>
      <c r="AQ33" s="707"/>
      <c r="AR33" s="707"/>
      <c r="AS33" s="707"/>
      <c r="AT33" s="707"/>
      <c r="AU33" s="707"/>
      <c r="AV33" s="707"/>
    </row>
    <row r="34" spans="1:48" x14ac:dyDescent="0.15">
      <c r="A34" s="618"/>
      <c r="B34" s="618"/>
      <c r="C34" s="618"/>
      <c r="D34" s="618"/>
      <c r="E34" s="618"/>
      <c r="F34" s="618"/>
      <c r="G34" s="618"/>
      <c r="H34" s="618"/>
      <c r="I34" s="618"/>
      <c r="J34" s="618"/>
      <c r="K34" s="618"/>
      <c r="L34" s="705"/>
      <c r="M34" s="705"/>
      <c r="N34" s="705"/>
      <c r="O34" s="705"/>
      <c r="P34" s="705"/>
      <c r="Q34" s="705"/>
      <c r="R34" s="705"/>
      <c r="S34" s="706"/>
      <c r="T34" s="706"/>
      <c r="U34" s="706"/>
      <c r="V34" s="706"/>
      <c r="W34" s="706"/>
      <c r="X34" s="706"/>
      <c r="Y34" s="706"/>
      <c r="Z34" s="707"/>
      <c r="AA34" s="707"/>
      <c r="AB34" s="707"/>
      <c r="AC34" s="707"/>
      <c r="AD34" s="707"/>
      <c r="AE34" s="707"/>
      <c r="AF34" s="707"/>
      <c r="AG34" s="707"/>
      <c r="AH34" s="707"/>
      <c r="AI34" s="705"/>
      <c r="AJ34" s="705"/>
      <c r="AK34" s="705"/>
      <c r="AL34" s="705"/>
      <c r="AM34" s="705"/>
      <c r="AN34" s="705"/>
      <c r="AO34" s="707"/>
      <c r="AP34" s="707"/>
      <c r="AQ34" s="707"/>
      <c r="AR34" s="707"/>
      <c r="AS34" s="707"/>
      <c r="AT34" s="707"/>
      <c r="AU34" s="707"/>
      <c r="AV34" s="707"/>
    </row>
    <row r="35" spans="1:48" x14ac:dyDescent="0.15">
      <c r="A35" s="618"/>
      <c r="B35" s="618"/>
      <c r="C35" s="618"/>
      <c r="D35" s="618"/>
      <c r="E35" s="618"/>
      <c r="F35" s="618"/>
      <c r="G35" s="618"/>
      <c r="H35" s="618"/>
      <c r="I35" s="618"/>
      <c r="J35" s="618"/>
      <c r="K35" s="618"/>
      <c r="L35" s="705"/>
      <c r="M35" s="705"/>
      <c r="N35" s="705"/>
      <c r="O35" s="705"/>
      <c r="P35" s="705"/>
      <c r="Q35" s="705"/>
      <c r="R35" s="705"/>
      <c r="S35" s="706"/>
      <c r="T35" s="706"/>
      <c r="U35" s="706"/>
      <c r="V35" s="706"/>
      <c r="W35" s="706"/>
      <c r="X35" s="706"/>
      <c r="Y35" s="706"/>
      <c r="Z35" s="707" t="str">
        <f>IF(AND(L35&lt;&gt;"",S35&lt;&gt;""),S35/L35,"")</f>
        <v/>
      </c>
      <c r="AA35" s="707"/>
      <c r="AB35" s="707"/>
      <c r="AC35" s="707"/>
      <c r="AD35" s="707"/>
      <c r="AE35" s="707"/>
      <c r="AF35" s="707"/>
      <c r="AG35" s="707"/>
      <c r="AH35" s="707"/>
      <c r="AI35" s="705"/>
      <c r="AJ35" s="705"/>
      <c r="AK35" s="705"/>
      <c r="AL35" s="705"/>
      <c r="AM35" s="705"/>
      <c r="AN35" s="705"/>
      <c r="AO35" s="707" t="str">
        <f>IF(AND(L35&lt;&gt;"",AI35&lt;&gt;""),AI35/L35,"")</f>
        <v/>
      </c>
      <c r="AP35" s="707"/>
      <c r="AQ35" s="707"/>
      <c r="AR35" s="707"/>
      <c r="AS35" s="707"/>
      <c r="AT35" s="707"/>
      <c r="AU35" s="707"/>
      <c r="AV35" s="707"/>
    </row>
    <row r="36" spans="1:48" x14ac:dyDescent="0.15">
      <c r="A36" s="618"/>
      <c r="B36" s="618"/>
      <c r="C36" s="618"/>
      <c r="D36" s="618"/>
      <c r="E36" s="618"/>
      <c r="F36" s="618"/>
      <c r="G36" s="618"/>
      <c r="H36" s="618"/>
      <c r="I36" s="618"/>
      <c r="J36" s="618"/>
      <c r="K36" s="618"/>
      <c r="L36" s="705"/>
      <c r="M36" s="705"/>
      <c r="N36" s="705"/>
      <c r="O36" s="705"/>
      <c r="P36" s="705"/>
      <c r="Q36" s="705"/>
      <c r="R36" s="705"/>
      <c r="S36" s="706"/>
      <c r="T36" s="706"/>
      <c r="U36" s="706"/>
      <c r="V36" s="706"/>
      <c r="W36" s="706"/>
      <c r="X36" s="706"/>
      <c r="Y36" s="706"/>
      <c r="Z36" s="707"/>
      <c r="AA36" s="707"/>
      <c r="AB36" s="707"/>
      <c r="AC36" s="707"/>
      <c r="AD36" s="707"/>
      <c r="AE36" s="707"/>
      <c r="AF36" s="707"/>
      <c r="AG36" s="707"/>
      <c r="AH36" s="707"/>
      <c r="AI36" s="705"/>
      <c r="AJ36" s="705"/>
      <c r="AK36" s="705"/>
      <c r="AL36" s="705"/>
      <c r="AM36" s="705"/>
      <c r="AN36" s="705"/>
      <c r="AO36" s="707"/>
      <c r="AP36" s="707"/>
      <c r="AQ36" s="707"/>
      <c r="AR36" s="707"/>
      <c r="AS36" s="707"/>
      <c r="AT36" s="707"/>
      <c r="AU36" s="707"/>
      <c r="AV36" s="707"/>
    </row>
    <row r="37" spans="1:48" x14ac:dyDescent="0.15">
      <c r="A37" s="618"/>
      <c r="B37" s="618"/>
      <c r="C37" s="618"/>
      <c r="D37" s="618"/>
      <c r="E37" s="618"/>
      <c r="F37" s="618"/>
      <c r="G37" s="618"/>
      <c r="H37" s="618"/>
      <c r="I37" s="618"/>
      <c r="J37" s="618"/>
      <c r="K37" s="618"/>
      <c r="L37" s="705"/>
      <c r="M37" s="705"/>
      <c r="N37" s="705"/>
      <c r="O37" s="705"/>
      <c r="P37" s="705"/>
      <c r="Q37" s="705"/>
      <c r="R37" s="705"/>
      <c r="S37" s="706"/>
      <c r="T37" s="706"/>
      <c r="U37" s="706"/>
      <c r="V37" s="706"/>
      <c r="W37" s="706"/>
      <c r="X37" s="706"/>
      <c r="Y37" s="706"/>
      <c r="Z37" s="707" t="str">
        <f>IF(AND(L37&lt;&gt;"",S37&lt;&gt;""),S37/L37,"")</f>
        <v/>
      </c>
      <c r="AA37" s="707"/>
      <c r="AB37" s="707"/>
      <c r="AC37" s="707"/>
      <c r="AD37" s="707"/>
      <c r="AE37" s="707"/>
      <c r="AF37" s="707"/>
      <c r="AG37" s="707"/>
      <c r="AH37" s="707"/>
      <c r="AI37" s="705"/>
      <c r="AJ37" s="705"/>
      <c r="AK37" s="705"/>
      <c r="AL37" s="705"/>
      <c r="AM37" s="705"/>
      <c r="AN37" s="705"/>
      <c r="AO37" s="707" t="str">
        <f>IF(AND(L37&lt;&gt;"",AI37&lt;&gt;""),AI37/L37,"")</f>
        <v/>
      </c>
      <c r="AP37" s="707"/>
      <c r="AQ37" s="707"/>
      <c r="AR37" s="707"/>
      <c r="AS37" s="707"/>
      <c r="AT37" s="707"/>
      <c r="AU37" s="707"/>
      <c r="AV37" s="707"/>
    </row>
    <row r="38" spans="1:48" x14ac:dyDescent="0.15">
      <c r="A38" s="618"/>
      <c r="B38" s="618"/>
      <c r="C38" s="618"/>
      <c r="D38" s="618"/>
      <c r="E38" s="618"/>
      <c r="F38" s="618"/>
      <c r="G38" s="618"/>
      <c r="H38" s="618"/>
      <c r="I38" s="618"/>
      <c r="J38" s="618"/>
      <c r="K38" s="618"/>
      <c r="L38" s="705"/>
      <c r="M38" s="705"/>
      <c r="N38" s="705"/>
      <c r="O38" s="705"/>
      <c r="P38" s="705"/>
      <c r="Q38" s="705"/>
      <c r="R38" s="705"/>
      <c r="S38" s="706"/>
      <c r="T38" s="706"/>
      <c r="U38" s="706"/>
      <c r="V38" s="706"/>
      <c r="W38" s="706"/>
      <c r="X38" s="706"/>
      <c r="Y38" s="706"/>
      <c r="Z38" s="707"/>
      <c r="AA38" s="707"/>
      <c r="AB38" s="707"/>
      <c r="AC38" s="707"/>
      <c r="AD38" s="707"/>
      <c r="AE38" s="707"/>
      <c r="AF38" s="707"/>
      <c r="AG38" s="707"/>
      <c r="AH38" s="707"/>
      <c r="AI38" s="705"/>
      <c r="AJ38" s="705"/>
      <c r="AK38" s="705"/>
      <c r="AL38" s="705"/>
      <c r="AM38" s="705"/>
      <c r="AN38" s="705"/>
      <c r="AO38" s="707"/>
      <c r="AP38" s="707"/>
      <c r="AQ38" s="707"/>
      <c r="AR38" s="707"/>
      <c r="AS38" s="707"/>
      <c r="AT38" s="707"/>
      <c r="AU38" s="707"/>
      <c r="AV38" s="707"/>
    </row>
    <row r="39" spans="1:48" x14ac:dyDescent="0.15">
      <c r="A39" s="618"/>
      <c r="B39" s="618"/>
      <c r="C39" s="618"/>
      <c r="D39" s="618"/>
      <c r="E39" s="618"/>
      <c r="F39" s="618"/>
      <c r="G39" s="618"/>
      <c r="H39" s="618"/>
      <c r="I39" s="618"/>
      <c r="J39" s="618"/>
      <c r="K39" s="618"/>
      <c r="L39" s="705"/>
      <c r="M39" s="705"/>
      <c r="N39" s="705"/>
      <c r="O39" s="705"/>
      <c r="P39" s="705"/>
      <c r="Q39" s="705"/>
      <c r="R39" s="705"/>
      <c r="S39" s="706"/>
      <c r="T39" s="706"/>
      <c r="U39" s="706"/>
      <c r="V39" s="706"/>
      <c r="W39" s="706"/>
      <c r="X39" s="706"/>
      <c r="Y39" s="706"/>
      <c r="Z39" s="707" t="str">
        <f>IF(AND(L39&lt;&gt;"",S39&lt;&gt;""),S39/L39,"")</f>
        <v/>
      </c>
      <c r="AA39" s="707"/>
      <c r="AB39" s="707"/>
      <c r="AC39" s="707"/>
      <c r="AD39" s="707"/>
      <c r="AE39" s="707"/>
      <c r="AF39" s="707"/>
      <c r="AG39" s="707"/>
      <c r="AH39" s="707"/>
      <c r="AI39" s="705"/>
      <c r="AJ39" s="705"/>
      <c r="AK39" s="705"/>
      <c r="AL39" s="705"/>
      <c r="AM39" s="705"/>
      <c r="AN39" s="705"/>
      <c r="AO39" s="707" t="str">
        <f>IF(AND(L39&lt;&gt;"",AI39&lt;&gt;""),AI39/L39,"")</f>
        <v/>
      </c>
      <c r="AP39" s="707"/>
      <c r="AQ39" s="707"/>
      <c r="AR39" s="707"/>
      <c r="AS39" s="707"/>
      <c r="AT39" s="707"/>
      <c r="AU39" s="707"/>
      <c r="AV39" s="707"/>
    </row>
    <row r="40" spans="1:48" x14ac:dyDescent="0.15">
      <c r="A40" s="618"/>
      <c r="B40" s="618"/>
      <c r="C40" s="618"/>
      <c r="D40" s="618"/>
      <c r="E40" s="618"/>
      <c r="F40" s="618"/>
      <c r="G40" s="618"/>
      <c r="H40" s="618"/>
      <c r="I40" s="618"/>
      <c r="J40" s="618"/>
      <c r="K40" s="618"/>
      <c r="L40" s="705"/>
      <c r="M40" s="705"/>
      <c r="N40" s="705"/>
      <c r="O40" s="705"/>
      <c r="P40" s="705"/>
      <c r="Q40" s="705"/>
      <c r="R40" s="705"/>
      <c r="S40" s="706"/>
      <c r="T40" s="706"/>
      <c r="U40" s="706"/>
      <c r="V40" s="706"/>
      <c r="W40" s="706"/>
      <c r="X40" s="706"/>
      <c r="Y40" s="706"/>
      <c r="Z40" s="707"/>
      <c r="AA40" s="707"/>
      <c r="AB40" s="707"/>
      <c r="AC40" s="707"/>
      <c r="AD40" s="707"/>
      <c r="AE40" s="707"/>
      <c r="AF40" s="707"/>
      <c r="AG40" s="707"/>
      <c r="AH40" s="707"/>
      <c r="AI40" s="705"/>
      <c r="AJ40" s="705"/>
      <c r="AK40" s="705"/>
      <c r="AL40" s="705"/>
      <c r="AM40" s="705"/>
      <c r="AN40" s="705"/>
      <c r="AO40" s="707"/>
      <c r="AP40" s="707"/>
      <c r="AQ40" s="707"/>
      <c r="AR40" s="707"/>
      <c r="AS40" s="707"/>
      <c r="AT40" s="707"/>
      <c r="AU40" s="707"/>
      <c r="AV40" s="707"/>
    </row>
  </sheetData>
  <mergeCells count="116">
    <mergeCell ref="L10:Y11"/>
    <mergeCell ref="A10:K11"/>
    <mergeCell ref="AW8:BC8"/>
    <mergeCell ref="BD8:BF8"/>
    <mergeCell ref="BD7:BF7"/>
    <mergeCell ref="AW7:BC7"/>
    <mergeCell ref="AB8:AH8"/>
    <mergeCell ref="AP7:AV7"/>
    <mergeCell ref="A1:J4"/>
    <mergeCell ref="K1:AA4"/>
    <mergeCell ref="A5:N5"/>
    <mergeCell ref="A6:N6"/>
    <mergeCell ref="O5:AA5"/>
    <mergeCell ref="AQ3:AV6"/>
    <mergeCell ref="O6:AA6"/>
    <mergeCell ref="AQ1:BF1"/>
    <mergeCell ref="AB2:AF2"/>
    <mergeCell ref="AG2:AK2"/>
    <mergeCell ref="AL2:AP2"/>
    <mergeCell ref="AQ2:AV2"/>
    <mergeCell ref="AW2:BA2"/>
    <mergeCell ref="AW3:BA3"/>
    <mergeCell ref="BB2:BF2"/>
    <mergeCell ref="AB1:AF1"/>
    <mergeCell ref="AG1:AK1"/>
    <mergeCell ref="AL1:AP1"/>
    <mergeCell ref="AB3:AF6"/>
    <mergeCell ref="AG3:AK6"/>
    <mergeCell ref="AL3:AP6"/>
    <mergeCell ref="BB3:BF3"/>
    <mergeCell ref="AW4:BA6"/>
    <mergeCell ref="BB4:BF6"/>
    <mergeCell ref="A39:K40"/>
    <mergeCell ref="L39:R40"/>
    <mergeCell ref="S39:Y40"/>
    <mergeCell ref="Z39:AH40"/>
    <mergeCell ref="AI39:AN40"/>
    <mergeCell ref="AO39:AV40"/>
    <mergeCell ref="A7:N7"/>
    <mergeCell ref="AB7:AH7"/>
    <mergeCell ref="AI8:AO8"/>
    <mergeCell ref="AP8:AV8"/>
    <mergeCell ref="A35:K36"/>
    <mergeCell ref="L35:R36"/>
    <mergeCell ref="A33:K34"/>
    <mergeCell ref="L33:R34"/>
    <mergeCell ref="S33:Y34"/>
    <mergeCell ref="Z33:AH34"/>
    <mergeCell ref="S35:Y36"/>
    <mergeCell ref="Z35:AH36"/>
    <mergeCell ref="A37:K38"/>
    <mergeCell ref="L37:R38"/>
    <mergeCell ref="S37:Y38"/>
    <mergeCell ref="Z37:AH38"/>
    <mergeCell ref="AF10:AG16"/>
    <mergeCell ref="AH10:BF16"/>
    <mergeCell ref="AI31:AN32"/>
    <mergeCell ref="AO31:AV32"/>
    <mergeCell ref="AI35:AN36"/>
    <mergeCell ref="AO35:AV36"/>
    <mergeCell ref="AI33:AN34"/>
    <mergeCell ref="AO33:AV34"/>
    <mergeCell ref="AI23:AN24"/>
    <mergeCell ref="AI29:AN30"/>
    <mergeCell ref="AI37:AN38"/>
    <mergeCell ref="AO37:AV38"/>
    <mergeCell ref="A23:K24"/>
    <mergeCell ref="L23:R24"/>
    <mergeCell ref="A25:K26"/>
    <mergeCell ref="L25:R26"/>
    <mergeCell ref="S25:Y26"/>
    <mergeCell ref="Z25:AH26"/>
    <mergeCell ref="S23:Y24"/>
    <mergeCell ref="Z23:AH24"/>
    <mergeCell ref="AO29:AV30"/>
    <mergeCell ref="AI27:AN28"/>
    <mergeCell ref="AO27:AV28"/>
    <mergeCell ref="AI25:AN26"/>
    <mergeCell ref="AO25:AV26"/>
    <mergeCell ref="AO23:AV24"/>
    <mergeCell ref="A31:K32"/>
    <mergeCell ref="L31:R32"/>
    <mergeCell ref="S31:Y32"/>
    <mergeCell ref="Z31:AH32"/>
    <mergeCell ref="A27:K28"/>
    <mergeCell ref="L27:R28"/>
    <mergeCell ref="S27:Y28"/>
    <mergeCell ref="Z27:AH28"/>
    <mergeCell ref="A29:K30"/>
    <mergeCell ref="L29:R30"/>
    <mergeCell ref="S29:Y30"/>
    <mergeCell ref="Z29:AH30"/>
    <mergeCell ref="AI7:AO7"/>
    <mergeCell ref="S21:Y22"/>
    <mergeCell ref="Z21:AH22"/>
    <mergeCell ref="A19:K20"/>
    <mergeCell ref="A18:R18"/>
    <mergeCell ref="AI21:AN22"/>
    <mergeCell ref="Z19:AH20"/>
    <mergeCell ref="AI19:AN20"/>
    <mergeCell ref="A21:K22"/>
    <mergeCell ref="S18:AV18"/>
    <mergeCell ref="AO19:AV20"/>
    <mergeCell ref="O7:AA7"/>
    <mergeCell ref="O8:AA8"/>
    <mergeCell ref="AO21:AV22"/>
    <mergeCell ref="L19:R20"/>
    <mergeCell ref="S19:Y20"/>
    <mergeCell ref="A8:N8"/>
    <mergeCell ref="L21:R22"/>
    <mergeCell ref="A14:H14"/>
    <mergeCell ref="I14:S14"/>
    <mergeCell ref="T14:AD14"/>
    <mergeCell ref="A15:H15"/>
    <mergeCell ref="I15:S15"/>
    <mergeCell ref="T15:AD15"/>
  </mergeCells>
  <phoneticPr fontId="23"/>
  <dataValidations disablePrompts="1" count="1">
    <dataValidation type="list" allowBlank="1" showInputMessage="1" showErrorMessage="1" sqref="L10:Y11" xr:uid="{00000000-0002-0000-0700-000000000000}">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9" fitToHeight="0" orientation="landscape" r:id="rId1"/>
  <headerFooter alignWithMargins="0">
    <oddHeader>&amp;L&amp;14【営業秘密】</oddHeader>
    <oddFooter>&amp;C&amp;P/&amp;N&amp;R（様式2014.03）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BF40"/>
  <sheetViews>
    <sheetView view="pageBreakPreview" topLeftCell="A22" zoomScale="85" zoomScaleNormal="85" zoomScaleSheetLayoutView="85" workbookViewId="0">
      <selection activeCell="AC11" sqref="AC11"/>
    </sheetView>
  </sheetViews>
  <sheetFormatPr defaultColWidth="2.625" defaultRowHeight="13.5" x14ac:dyDescent="0.15"/>
  <cols>
    <col min="1" max="1" width="9" customWidth="1"/>
  </cols>
  <sheetData>
    <row r="1" spans="1:58" ht="13.5" customHeight="1" x14ac:dyDescent="0.15">
      <c r="A1" s="717" t="s">
        <v>27</v>
      </c>
      <c r="B1" s="717"/>
      <c r="C1" s="717"/>
      <c r="D1" s="717"/>
      <c r="E1" s="717"/>
      <c r="F1" s="717"/>
      <c r="G1" s="717"/>
      <c r="H1" s="717"/>
      <c r="I1" s="717"/>
      <c r="J1" s="717"/>
      <c r="K1" s="717" t="s">
        <v>28</v>
      </c>
      <c r="L1" s="717"/>
      <c r="M1" s="717"/>
      <c r="N1" s="717"/>
      <c r="O1" s="717"/>
      <c r="P1" s="717"/>
      <c r="Q1" s="717"/>
      <c r="R1" s="717"/>
      <c r="S1" s="717"/>
      <c r="T1" s="717"/>
      <c r="U1" s="717"/>
      <c r="V1" s="717"/>
      <c r="W1" s="717"/>
      <c r="X1" s="717"/>
      <c r="Y1" s="717"/>
      <c r="Z1" s="717"/>
      <c r="AA1" s="717"/>
      <c r="AB1" s="572" t="s">
        <v>305</v>
      </c>
      <c r="AC1" s="573"/>
      <c r="AD1" s="573"/>
      <c r="AE1" s="573"/>
      <c r="AF1" s="574"/>
      <c r="AG1" s="572" t="s">
        <v>306</v>
      </c>
      <c r="AH1" s="573"/>
      <c r="AI1" s="573"/>
      <c r="AJ1" s="573"/>
      <c r="AK1" s="574"/>
      <c r="AL1" s="572" t="s">
        <v>237</v>
      </c>
      <c r="AM1" s="573"/>
      <c r="AN1" s="573"/>
      <c r="AO1" s="573"/>
      <c r="AP1" s="574"/>
      <c r="AQ1" s="581" t="s">
        <v>566</v>
      </c>
      <c r="AR1" s="582"/>
      <c r="AS1" s="582"/>
      <c r="AT1" s="582"/>
      <c r="AU1" s="582"/>
      <c r="AV1" s="582"/>
      <c r="AW1" s="582"/>
      <c r="AX1" s="582"/>
      <c r="AY1" s="582"/>
      <c r="AZ1" s="582"/>
      <c r="BA1" s="582"/>
      <c r="BB1" s="582"/>
      <c r="BC1" s="582"/>
      <c r="BD1" s="582"/>
      <c r="BE1" s="582"/>
      <c r="BF1" s="583"/>
    </row>
    <row r="2" spans="1:58" ht="13.5" customHeight="1" x14ac:dyDescent="0.15">
      <c r="A2" s="717"/>
      <c r="B2" s="717"/>
      <c r="C2" s="717"/>
      <c r="D2" s="717"/>
      <c r="E2" s="717"/>
      <c r="F2" s="717"/>
      <c r="G2" s="717"/>
      <c r="H2" s="717"/>
      <c r="I2" s="717"/>
      <c r="J2" s="717"/>
      <c r="K2" s="717"/>
      <c r="L2" s="717"/>
      <c r="M2" s="717"/>
      <c r="N2" s="717"/>
      <c r="O2" s="717"/>
      <c r="P2" s="717"/>
      <c r="Q2" s="717"/>
      <c r="R2" s="717"/>
      <c r="S2" s="717"/>
      <c r="T2" s="717"/>
      <c r="U2" s="717"/>
      <c r="V2" s="717"/>
      <c r="W2" s="717"/>
      <c r="X2" s="717"/>
      <c r="Y2" s="717"/>
      <c r="Z2" s="717"/>
      <c r="AA2" s="717"/>
      <c r="AB2" s="572" t="s">
        <v>494</v>
      </c>
      <c r="AC2" s="573"/>
      <c r="AD2" s="573"/>
      <c r="AE2" s="573"/>
      <c r="AF2" s="574"/>
      <c r="AG2" s="572" t="s">
        <v>494</v>
      </c>
      <c r="AH2" s="573"/>
      <c r="AI2" s="573"/>
      <c r="AJ2" s="573"/>
      <c r="AK2" s="574"/>
      <c r="AL2" s="572" t="s">
        <v>494</v>
      </c>
      <c r="AM2" s="573"/>
      <c r="AN2" s="573"/>
      <c r="AO2" s="573"/>
      <c r="AP2" s="574"/>
      <c r="AQ2" s="581" t="s">
        <v>308</v>
      </c>
      <c r="AR2" s="582"/>
      <c r="AS2" s="582"/>
      <c r="AT2" s="582"/>
      <c r="AU2" s="582"/>
      <c r="AV2" s="583"/>
      <c r="AW2" s="572" t="s">
        <v>306</v>
      </c>
      <c r="AX2" s="573"/>
      <c r="AY2" s="573"/>
      <c r="AZ2" s="573"/>
      <c r="BA2" s="574"/>
      <c r="BB2" s="572" t="s">
        <v>618</v>
      </c>
      <c r="BC2" s="573"/>
      <c r="BD2" s="573"/>
      <c r="BE2" s="573"/>
      <c r="BF2" s="574"/>
    </row>
    <row r="3" spans="1:58" ht="13.5" customHeight="1" x14ac:dyDescent="0.15">
      <c r="A3" s="717"/>
      <c r="B3" s="717"/>
      <c r="C3" s="717"/>
      <c r="D3" s="717"/>
      <c r="E3" s="717"/>
      <c r="F3" s="717"/>
      <c r="G3" s="717"/>
      <c r="H3" s="717"/>
      <c r="I3" s="717"/>
      <c r="J3" s="717"/>
      <c r="K3" s="717"/>
      <c r="L3" s="717"/>
      <c r="M3" s="717"/>
      <c r="N3" s="717"/>
      <c r="O3" s="717"/>
      <c r="P3" s="717"/>
      <c r="Q3" s="717"/>
      <c r="R3" s="717"/>
      <c r="S3" s="717"/>
      <c r="T3" s="717"/>
      <c r="U3" s="717"/>
      <c r="V3" s="717"/>
      <c r="W3" s="717"/>
      <c r="X3" s="717"/>
      <c r="Y3" s="717"/>
      <c r="Z3" s="717"/>
      <c r="AA3" s="717"/>
      <c r="AB3" s="553"/>
      <c r="AC3" s="553"/>
      <c r="AD3" s="553"/>
      <c r="AE3" s="553"/>
      <c r="AF3" s="553"/>
      <c r="AG3" s="553"/>
      <c r="AH3" s="553"/>
      <c r="AI3" s="553"/>
      <c r="AJ3" s="553"/>
      <c r="AK3" s="553"/>
      <c r="AL3" s="553"/>
      <c r="AM3" s="553"/>
      <c r="AN3" s="553"/>
      <c r="AO3" s="553"/>
      <c r="AP3" s="553"/>
      <c r="AQ3" s="584"/>
      <c r="AR3" s="585"/>
      <c r="AS3" s="585"/>
      <c r="AT3" s="585"/>
      <c r="AU3" s="585"/>
      <c r="AV3" s="586"/>
      <c r="AW3" s="573" t="s">
        <v>495</v>
      </c>
      <c r="AX3" s="573"/>
      <c r="AY3" s="573"/>
      <c r="AZ3" s="573"/>
      <c r="BA3" s="574"/>
      <c r="BB3" s="572" t="s">
        <v>495</v>
      </c>
      <c r="BC3" s="573"/>
      <c r="BD3" s="573"/>
      <c r="BE3" s="573"/>
      <c r="BF3" s="574"/>
    </row>
    <row r="4" spans="1:58" ht="13.5" customHeight="1" x14ac:dyDescent="0.15">
      <c r="A4" s="717"/>
      <c r="B4" s="717"/>
      <c r="C4" s="717"/>
      <c r="D4" s="717"/>
      <c r="E4" s="717"/>
      <c r="F4" s="717"/>
      <c r="G4" s="717"/>
      <c r="H4" s="717"/>
      <c r="I4" s="717"/>
      <c r="J4" s="717"/>
      <c r="K4" s="717"/>
      <c r="L4" s="717"/>
      <c r="M4" s="717"/>
      <c r="N4" s="717"/>
      <c r="O4" s="717"/>
      <c r="P4" s="717"/>
      <c r="Q4" s="717"/>
      <c r="R4" s="717"/>
      <c r="S4" s="717"/>
      <c r="T4" s="717"/>
      <c r="U4" s="717"/>
      <c r="V4" s="717"/>
      <c r="W4" s="717"/>
      <c r="X4" s="717"/>
      <c r="Y4" s="717"/>
      <c r="Z4" s="717"/>
      <c r="AA4" s="717"/>
      <c r="AB4" s="553"/>
      <c r="AC4" s="553"/>
      <c r="AD4" s="553"/>
      <c r="AE4" s="553"/>
      <c r="AF4" s="553"/>
      <c r="AG4" s="553"/>
      <c r="AH4" s="553"/>
      <c r="AI4" s="553"/>
      <c r="AJ4" s="553"/>
      <c r="AK4" s="553"/>
      <c r="AL4" s="553"/>
      <c r="AM4" s="553"/>
      <c r="AN4" s="553"/>
      <c r="AO4" s="553"/>
      <c r="AP4" s="553"/>
      <c r="AQ4" s="587"/>
      <c r="AR4" s="588"/>
      <c r="AS4" s="588"/>
      <c r="AT4" s="588"/>
      <c r="AU4" s="588"/>
      <c r="AV4" s="589"/>
      <c r="AW4" s="578"/>
      <c r="AX4" s="579"/>
      <c r="AY4" s="579"/>
      <c r="AZ4" s="579"/>
      <c r="BA4" s="580"/>
      <c r="BB4" s="578"/>
      <c r="BC4" s="579"/>
      <c r="BD4" s="579"/>
      <c r="BE4" s="579"/>
      <c r="BF4" s="580"/>
    </row>
    <row r="5" spans="1:58" ht="13.5" customHeight="1" x14ac:dyDescent="0.15">
      <c r="A5" s="553" t="s">
        <v>465</v>
      </c>
      <c r="B5" s="553"/>
      <c r="C5" s="553"/>
      <c r="D5" s="553"/>
      <c r="E5" s="553"/>
      <c r="F5" s="553"/>
      <c r="G5" s="553"/>
      <c r="H5" s="553"/>
      <c r="I5" s="553"/>
      <c r="J5" s="553"/>
      <c r="K5" s="553"/>
      <c r="L5" s="553"/>
      <c r="M5" s="553"/>
      <c r="N5" s="553"/>
      <c r="O5" s="552" t="s">
        <v>466</v>
      </c>
      <c r="P5" s="552"/>
      <c r="Q5" s="552"/>
      <c r="R5" s="552"/>
      <c r="S5" s="552"/>
      <c r="T5" s="552"/>
      <c r="U5" s="552"/>
      <c r="V5" s="552"/>
      <c r="W5" s="552"/>
      <c r="X5" s="552"/>
      <c r="Y5" s="552"/>
      <c r="Z5" s="552"/>
      <c r="AA5" s="552"/>
      <c r="AB5" s="553"/>
      <c r="AC5" s="553"/>
      <c r="AD5" s="553"/>
      <c r="AE5" s="553"/>
      <c r="AF5" s="553"/>
      <c r="AG5" s="553"/>
      <c r="AH5" s="553"/>
      <c r="AI5" s="553"/>
      <c r="AJ5" s="553"/>
      <c r="AK5" s="553"/>
      <c r="AL5" s="553"/>
      <c r="AM5" s="553"/>
      <c r="AN5" s="553"/>
      <c r="AO5" s="553"/>
      <c r="AP5" s="553"/>
      <c r="AQ5" s="587"/>
      <c r="AR5" s="588"/>
      <c r="AS5" s="588"/>
      <c r="AT5" s="588"/>
      <c r="AU5" s="588"/>
      <c r="AV5" s="589"/>
      <c r="AW5" s="578"/>
      <c r="AX5" s="579"/>
      <c r="AY5" s="579"/>
      <c r="AZ5" s="579"/>
      <c r="BA5" s="580"/>
      <c r="BB5" s="578"/>
      <c r="BC5" s="579"/>
      <c r="BD5" s="579"/>
      <c r="BE5" s="579"/>
      <c r="BF5" s="580"/>
    </row>
    <row r="6" spans="1:58" x14ac:dyDescent="0.15">
      <c r="A6" s="553"/>
      <c r="B6" s="553"/>
      <c r="C6" s="553"/>
      <c r="D6" s="553"/>
      <c r="E6" s="553"/>
      <c r="F6" s="553"/>
      <c r="G6" s="553"/>
      <c r="H6" s="553"/>
      <c r="I6" s="553"/>
      <c r="J6" s="553"/>
      <c r="K6" s="553"/>
      <c r="L6" s="553"/>
      <c r="M6" s="553"/>
      <c r="N6" s="553"/>
      <c r="O6" s="552"/>
      <c r="P6" s="552"/>
      <c r="Q6" s="552"/>
      <c r="R6" s="552"/>
      <c r="S6" s="552"/>
      <c r="T6" s="552"/>
      <c r="U6" s="552"/>
      <c r="V6" s="552"/>
      <c r="W6" s="552"/>
      <c r="X6" s="552"/>
      <c r="Y6" s="552"/>
      <c r="Z6" s="552"/>
      <c r="AA6" s="552"/>
      <c r="AB6" s="553"/>
      <c r="AC6" s="553"/>
      <c r="AD6" s="553"/>
      <c r="AE6" s="553"/>
      <c r="AF6" s="553"/>
      <c r="AG6" s="553"/>
      <c r="AH6" s="553"/>
      <c r="AI6" s="553"/>
      <c r="AJ6" s="553"/>
      <c r="AK6" s="553"/>
      <c r="AL6" s="553"/>
      <c r="AM6" s="553"/>
      <c r="AN6" s="553"/>
      <c r="AO6" s="553"/>
      <c r="AP6" s="553"/>
      <c r="AQ6" s="590"/>
      <c r="AR6" s="591"/>
      <c r="AS6" s="591"/>
      <c r="AT6" s="591"/>
      <c r="AU6" s="591"/>
      <c r="AV6" s="592"/>
      <c r="AW6" s="593"/>
      <c r="AX6" s="594"/>
      <c r="AY6" s="594"/>
      <c r="AZ6" s="594"/>
      <c r="BA6" s="595"/>
      <c r="BB6" s="593"/>
      <c r="BC6" s="594"/>
      <c r="BD6" s="594"/>
      <c r="BE6" s="594"/>
      <c r="BF6" s="595"/>
    </row>
    <row r="7" spans="1:58" ht="13.5" customHeight="1" x14ac:dyDescent="0.15">
      <c r="A7" s="553" t="s">
        <v>310</v>
      </c>
      <c r="B7" s="553"/>
      <c r="C7" s="553"/>
      <c r="D7" s="553"/>
      <c r="E7" s="553"/>
      <c r="F7" s="553"/>
      <c r="G7" s="553"/>
      <c r="H7" s="553"/>
      <c r="I7" s="553"/>
      <c r="J7" s="553"/>
      <c r="K7" s="553"/>
      <c r="L7" s="553"/>
      <c r="M7" s="553"/>
      <c r="N7" s="553"/>
      <c r="O7" s="552" t="s">
        <v>311</v>
      </c>
      <c r="P7" s="552"/>
      <c r="Q7" s="552"/>
      <c r="R7" s="552"/>
      <c r="S7" s="552"/>
      <c r="T7" s="552"/>
      <c r="U7" s="552"/>
      <c r="V7" s="552"/>
      <c r="W7" s="552"/>
      <c r="X7" s="552"/>
      <c r="Y7" s="552"/>
      <c r="Z7" s="552"/>
      <c r="AA7" s="552"/>
      <c r="AB7" s="552" t="s">
        <v>312</v>
      </c>
      <c r="AC7" s="552"/>
      <c r="AD7" s="552"/>
      <c r="AE7" s="552"/>
      <c r="AF7" s="552"/>
      <c r="AG7" s="552"/>
      <c r="AH7" s="552"/>
      <c r="AI7" s="552"/>
      <c r="AJ7" s="552"/>
      <c r="AK7" s="552"/>
      <c r="AL7" s="552"/>
      <c r="AM7" s="552"/>
      <c r="AN7" s="552"/>
      <c r="AO7" s="552"/>
      <c r="AP7" s="552" t="s">
        <v>313</v>
      </c>
      <c r="AQ7" s="552"/>
      <c r="AR7" s="552"/>
      <c r="AS7" s="552"/>
      <c r="AT7" s="552"/>
      <c r="AU7" s="552"/>
      <c r="AV7" s="552"/>
      <c r="AW7" s="552"/>
      <c r="AX7" s="552"/>
      <c r="AY7" s="552"/>
      <c r="AZ7" s="552"/>
      <c r="BA7" s="552"/>
      <c r="BB7" s="552"/>
      <c r="BC7" s="552"/>
      <c r="BD7" s="553" t="s">
        <v>29</v>
      </c>
      <c r="BE7" s="553"/>
      <c r="BF7" s="553"/>
    </row>
    <row r="8" spans="1:58" x14ac:dyDescent="0.15">
      <c r="A8" s="553"/>
      <c r="B8" s="553"/>
      <c r="C8" s="553"/>
      <c r="D8" s="553"/>
      <c r="E8" s="553"/>
      <c r="F8" s="553"/>
      <c r="G8" s="553"/>
      <c r="H8" s="553"/>
      <c r="I8" s="553"/>
      <c r="J8" s="553"/>
      <c r="K8" s="553"/>
      <c r="L8" s="553"/>
      <c r="M8" s="553"/>
      <c r="N8" s="553"/>
      <c r="O8" s="552"/>
      <c r="P8" s="552"/>
      <c r="Q8" s="552"/>
      <c r="R8" s="552"/>
      <c r="S8" s="552"/>
      <c r="T8" s="552"/>
      <c r="U8" s="552"/>
      <c r="V8" s="552"/>
      <c r="W8" s="552"/>
      <c r="X8" s="552"/>
      <c r="Y8" s="552"/>
      <c r="Z8" s="552"/>
      <c r="AA8" s="552"/>
      <c r="AB8" s="552" t="s">
        <v>568</v>
      </c>
      <c r="AC8" s="552"/>
      <c r="AD8" s="552"/>
      <c r="AE8" s="552"/>
      <c r="AF8" s="552"/>
      <c r="AG8" s="552"/>
      <c r="AH8" s="552"/>
      <c r="AI8" s="553"/>
      <c r="AJ8" s="553"/>
      <c r="AK8" s="553"/>
      <c r="AL8" s="553"/>
      <c r="AM8" s="553"/>
      <c r="AN8" s="553"/>
      <c r="AO8" s="553"/>
      <c r="AP8" s="552" t="s">
        <v>315</v>
      </c>
      <c r="AQ8" s="552"/>
      <c r="AR8" s="552"/>
      <c r="AS8" s="552"/>
      <c r="AT8" s="552"/>
      <c r="AU8" s="552"/>
      <c r="AV8" s="552"/>
      <c r="AW8" s="553"/>
      <c r="AX8" s="553"/>
      <c r="AY8" s="553"/>
      <c r="AZ8" s="553"/>
      <c r="BA8" s="553"/>
      <c r="BB8" s="553"/>
      <c r="BC8" s="553"/>
      <c r="BD8" s="596"/>
      <c r="BE8" s="596"/>
      <c r="BF8" s="596"/>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4" t="s">
        <v>208</v>
      </c>
      <c r="B10" s="624"/>
      <c r="C10" s="624"/>
      <c r="D10" s="624"/>
      <c r="E10" s="624"/>
      <c r="F10" s="624"/>
      <c r="G10" s="624"/>
      <c r="H10" s="624"/>
      <c r="I10" s="624"/>
      <c r="J10" s="624"/>
      <c r="K10" s="624"/>
      <c r="L10" s="553" t="s">
        <v>10</v>
      </c>
      <c r="M10" s="553"/>
      <c r="N10" s="553"/>
      <c r="O10" s="553"/>
      <c r="P10" s="553"/>
      <c r="Q10" s="553"/>
      <c r="R10" s="553"/>
      <c r="S10" s="553"/>
      <c r="T10" s="553"/>
      <c r="U10" s="553"/>
      <c r="V10" s="553"/>
      <c r="W10" s="553"/>
      <c r="X10" s="553"/>
      <c r="Y10" s="553"/>
      <c r="Z10" s="301"/>
      <c r="AA10" s="301"/>
      <c r="AB10" s="301"/>
      <c r="AC10" s="301"/>
      <c r="AD10" s="301"/>
      <c r="AE10" s="301"/>
      <c r="AF10" s="726" t="s">
        <v>712</v>
      </c>
      <c r="AG10" s="727"/>
      <c r="AH10" s="732"/>
      <c r="AI10" s="733"/>
      <c r="AJ10" s="733"/>
      <c r="AK10" s="733"/>
      <c r="AL10" s="733"/>
      <c r="AM10" s="733"/>
      <c r="AN10" s="733"/>
      <c r="AO10" s="733"/>
      <c r="AP10" s="733"/>
      <c r="AQ10" s="733"/>
      <c r="AR10" s="733"/>
      <c r="AS10" s="733"/>
      <c r="AT10" s="733"/>
      <c r="AU10" s="733"/>
      <c r="AV10" s="733"/>
      <c r="AW10" s="733"/>
      <c r="AX10" s="733"/>
      <c r="AY10" s="733"/>
      <c r="AZ10" s="733"/>
      <c r="BA10" s="733"/>
      <c r="BB10" s="733"/>
      <c r="BC10" s="733"/>
      <c r="BD10" s="733"/>
      <c r="BE10" s="733"/>
      <c r="BF10" s="734"/>
    </row>
    <row r="11" spans="1:58" x14ac:dyDescent="0.15">
      <c r="A11" s="624"/>
      <c r="B11" s="624"/>
      <c r="C11" s="624"/>
      <c r="D11" s="624"/>
      <c r="E11" s="624"/>
      <c r="F11" s="624"/>
      <c r="G11" s="624"/>
      <c r="H11" s="624"/>
      <c r="I11" s="624"/>
      <c r="J11" s="624"/>
      <c r="K11" s="624"/>
      <c r="L11" s="553"/>
      <c r="M11" s="553"/>
      <c r="N11" s="553"/>
      <c r="O11" s="553"/>
      <c r="P11" s="553"/>
      <c r="Q11" s="553"/>
      <c r="R11" s="553"/>
      <c r="S11" s="553"/>
      <c r="T11" s="553"/>
      <c r="U11" s="553"/>
      <c r="V11" s="553"/>
      <c r="W11" s="553"/>
      <c r="X11" s="553"/>
      <c r="Y11" s="553"/>
      <c r="Z11" s="301"/>
      <c r="AA11" s="301"/>
      <c r="AB11" s="301"/>
      <c r="AC11" s="301"/>
      <c r="AD11" s="301"/>
      <c r="AE11" s="301"/>
      <c r="AF11" s="728"/>
      <c r="AG11" s="729"/>
      <c r="AH11" s="735"/>
      <c r="AI11" s="736"/>
      <c r="AJ11" s="736"/>
      <c r="AK11" s="736"/>
      <c r="AL11" s="736"/>
      <c r="AM11" s="736"/>
      <c r="AN11" s="736"/>
      <c r="AO11" s="736"/>
      <c r="AP11" s="736"/>
      <c r="AQ11" s="736"/>
      <c r="AR11" s="736"/>
      <c r="AS11" s="736"/>
      <c r="AT11" s="736"/>
      <c r="AU11" s="736"/>
      <c r="AV11" s="736"/>
      <c r="AW11" s="736"/>
      <c r="AX11" s="736"/>
      <c r="AY11" s="736"/>
      <c r="AZ11" s="736"/>
      <c r="BA11" s="736"/>
      <c r="BB11" s="736"/>
      <c r="BC11" s="736"/>
      <c r="BD11" s="736"/>
      <c r="BE11" s="736"/>
      <c r="BF11" s="737"/>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28"/>
      <c r="AG12" s="729"/>
      <c r="AH12" s="735"/>
      <c r="AI12" s="736"/>
      <c r="AJ12" s="736"/>
      <c r="AK12" s="736"/>
      <c r="AL12" s="736"/>
      <c r="AM12" s="736"/>
      <c r="AN12" s="736"/>
      <c r="AO12" s="736"/>
      <c r="AP12" s="736"/>
      <c r="AQ12" s="736"/>
      <c r="AR12" s="736"/>
      <c r="AS12" s="736"/>
      <c r="AT12" s="736"/>
      <c r="AU12" s="736"/>
      <c r="AV12" s="736"/>
      <c r="AW12" s="736"/>
      <c r="AX12" s="736"/>
      <c r="AY12" s="736"/>
      <c r="AZ12" s="736"/>
      <c r="BA12" s="736"/>
      <c r="BB12" s="736"/>
      <c r="BC12" s="736"/>
      <c r="BD12" s="736"/>
      <c r="BE12" s="736"/>
      <c r="BF12" s="737"/>
    </row>
    <row r="13" spans="1:58" x14ac:dyDescent="0.15">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28"/>
      <c r="AG13" s="729"/>
      <c r="AH13" s="735"/>
      <c r="AI13" s="736"/>
      <c r="AJ13" s="736"/>
      <c r="AK13" s="736"/>
      <c r="AL13" s="736"/>
      <c r="AM13" s="736"/>
      <c r="AN13" s="736"/>
      <c r="AO13" s="736"/>
      <c r="AP13" s="736"/>
      <c r="AQ13" s="736"/>
      <c r="AR13" s="736"/>
      <c r="AS13" s="736"/>
      <c r="AT13" s="736"/>
      <c r="AU13" s="736"/>
      <c r="AV13" s="736"/>
      <c r="AW13" s="736"/>
      <c r="AX13" s="736"/>
      <c r="AY13" s="736"/>
      <c r="AZ13" s="736"/>
      <c r="BA13" s="736"/>
      <c r="BB13" s="736"/>
      <c r="BC13" s="736"/>
      <c r="BD13" s="736"/>
      <c r="BE13" s="736"/>
      <c r="BF13" s="737"/>
    </row>
    <row r="14" spans="1:58" x14ac:dyDescent="0.15">
      <c r="A14" s="741" t="s">
        <v>210</v>
      </c>
      <c r="B14" s="573"/>
      <c r="C14" s="573"/>
      <c r="D14" s="573"/>
      <c r="E14" s="573"/>
      <c r="F14" s="573"/>
      <c r="G14" s="573"/>
      <c r="H14" s="574"/>
      <c r="I14" s="741" t="s">
        <v>13</v>
      </c>
      <c r="J14" s="573"/>
      <c r="K14" s="573"/>
      <c r="L14" s="573"/>
      <c r="M14" s="573"/>
      <c r="N14" s="573"/>
      <c r="O14" s="573"/>
      <c r="P14" s="573"/>
      <c r="Q14" s="573"/>
      <c r="R14" s="573"/>
      <c r="S14" s="574"/>
      <c r="T14" s="741" t="s">
        <v>254</v>
      </c>
      <c r="U14" s="573"/>
      <c r="V14" s="573"/>
      <c r="W14" s="573"/>
      <c r="X14" s="573"/>
      <c r="Y14" s="573"/>
      <c r="Z14" s="573"/>
      <c r="AA14" s="573"/>
      <c r="AB14" s="573"/>
      <c r="AC14" s="573"/>
      <c r="AD14" s="574"/>
      <c r="AE14" s="526"/>
      <c r="AF14" s="728"/>
      <c r="AG14" s="729"/>
      <c r="AH14" s="735"/>
      <c r="AI14" s="736"/>
      <c r="AJ14" s="736"/>
      <c r="AK14" s="736"/>
      <c r="AL14" s="736"/>
      <c r="AM14" s="736"/>
      <c r="AN14" s="736"/>
      <c r="AO14" s="736"/>
      <c r="AP14" s="736"/>
      <c r="AQ14" s="736"/>
      <c r="AR14" s="736"/>
      <c r="AS14" s="736"/>
      <c r="AT14" s="736"/>
      <c r="AU14" s="736"/>
      <c r="AV14" s="736"/>
      <c r="AW14" s="736"/>
      <c r="AX14" s="736"/>
      <c r="AY14" s="736"/>
      <c r="AZ14" s="736"/>
      <c r="BA14" s="736"/>
      <c r="BB14" s="736"/>
      <c r="BC14" s="736"/>
      <c r="BD14" s="736"/>
      <c r="BE14" s="736"/>
      <c r="BF14" s="737"/>
    </row>
    <row r="15" spans="1:58" x14ac:dyDescent="0.15">
      <c r="A15" s="572" t="s">
        <v>259</v>
      </c>
      <c r="B15" s="573"/>
      <c r="C15" s="573"/>
      <c r="D15" s="573"/>
      <c r="E15" s="573"/>
      <c r="F15" s="573"/>
      <c r="G15" s="573"/>
      <c r="H15" s="574"/>
      <c r="I15" s="745">
        <v>0.1</v>
      </c>
      <c r="J15" s="746"/>
      <c r="K15" s="746"/>
      <c r="L15" s="746"/>
      <c r="M15" s="746"/>
      <c r="N15" s="746"/>
      <c r="O15" s="746"/>
      <c r="P15" s="746"/>
      <c r="Q15" s="746"/>
      <c r="R15" s="746"/>
      <c r="S15" s="747"/>
      <c r="T15" s="745" t="s">
        <v>701</v>
      </c>
      <c r="U15" s="746"/>
      <c r="V15" s="746"/>
      <c r="W15" s="746"/>
      <c r="X15" s="746"/>
      <c r="Y15" s="746"/>
      <c r="Z15" s="746"/>
      <c r="AA15" s="746"/>
      <c r="AB15" s="746"/>
      <c r="AC15" s="746"/>
      <c r="AD15" s="747"/>
      <c r="AE15" s="527"/>
      <c r="AF15" s="728"/>
      <c r="AG15" s="729"/>
      <c r="AH15" s="735"/>
      <c r="AI15" s="736"/>
      <c r="AJ15" s="736"/>
      <c r="AK15" s="736"/>
      <c r="AL15" s="736"/>
      <c r="AM15" s="736"/>
      <c r="AN15" s="736"/>
      <c r="AO15" s="736"/>
      <c r="AP15" s="736"/>
      <c r="AQ15" s="736"/>
      <c r="AR15" s="736"/>
      <c r="AS15" s="736"/>
      <c r="AT15" s="736"/>
      <c r="AU15" s="736"/>
      <c r="AV15" s="736"/>
      <c r="AW15" s="736"/>
      <c r="AX15" s="736"/>
      <c r="AY15" s="736"/>
      <c r="AZ15" s="736"/>
      <c r="BA15" s="736"/>
      <c r="BB15" s="736"/>
      <c r="BC15" s="736"/>
      <c r="BD15" s="736"/>
      <c r="BE15" s="736"/>
      <c r="BF15" s="737"/>
    </row>
    <row r="16" spans="1:58" x14ac:dyDescent="0.15">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30"/>
      <c r="AG16" s="731"/>
      <c r="AH16" s="738"/>
      <c r="AI16" s="739"/>
      <c r="AJ16" s="739"/>
      <c r="AK16" s="739"/>
      <c r="AL16" s="739"/>
      <c r="AM16" s="739"/>
      <c r="AN16" s="739"/>
      <c r="AO16" s="739"/>
      <c r="AP16" s="739"/>
      <c r="AQ16" s="739"/>
      <c r="AR16" s="739"/>
      <c r="AS16" s="739"/>
      <c r="AT16" s="739"/>
      <c r="AU16" s="739"/>
      <c r="AV16" s="739"/>
      <c r="AW16" s="739"/>
      <c r="AX16" s="739"/>
      <c r="AY16" s="739"/>
      <c r="AZ16" s="739"/>
      <c r="BA16" s="739"/>
      <c r="BB16" s="739"/>
      <c r="BC16" s="739"/>
      <c r="BD16" s="739"/>
      <c r="BE16" s="739"/>
      <c r="BF16" s="740"/>
    </row>
    <row r="17" spans="1:48" x14ac:dyDescent="0.15">
      <c r="A17" t="s">
        <v>261</v>
      </c>
    </row>
    <row r="18" spans="1:48" x14ac:dyDescent="0.15">
      <c r="A18" s="715" t="s">
        <v>211</v>
      </c>
      <c r="B18" s="716"/>
      <c r="C18" s="716"/>
      <c r="D18" s="716"/>
      <c r="E18" s="716"/>
      <c r="F18" s="716"/>
      <c r="G18" s="716"/>
      <c r="H18" s="716"/>
      <c r="I18" s="716"/>
      <c r="J18" s="716"/>
      <c r="K18" s="716"/>
      <c r="L18" s="716"/>
      <c r="M18" s="716"/>
      <c r="N18" s="716"/>
      <c r="O18" s="716"/>
      <c r="P18" s="716"/>
      <c r="Q18" s="716"/>
      <c r="R18" s="638"/>
      <c r="S18" s="715" t="s">
        <v>259</v>
      </c>
      <c r="T18" s="716"/>
      <c r="U18" s="716"/>
      <c r="V18" s="716"/>
      <c r="W18" s="716"/>
      <c r="X18" s="716"/>
      <c r="Y18" s="716"/>
      <c r="Z18" s="716"/>
      <c r="AA18" s="716"/>
      <c r="AB18" s="716"/>
      <c r="AC18" s="716"/>
      <c r="AD18" s="716"/>
      <c r="AE18" s="716"/>
      <c r="AF18" s="716"/>
      <c r="AG18" s="716"/>
      <c r="AH18" s="716"/>
      <c r="AI18" s="716"/>
      <c r="AJ18" s="716"/>
      <c r="AK18" s="716"/>
      <c r="AL18" s="716"/>
      <c r="AM18" s="716"/>
      <c r="AN18" s="716"/>
      <c r="AO18" s="716"/>
      <c r="AP18" s="716"/>
      <c r="AQ18" s="716"/>
      <c r="AR18" s="716"/>
      <c r="AS18" s="716"/>
      <c r="AT18" s="716"/>
      <c r="AU18" s="716"/>
      <c r="AV18" s="638"/>
    </row>
    <row r="19" spans="1:48" ht="13.5" customHeight="1" x14ac:dyDescent="0.15">
      <c r="A19" s="709" t="s">
        <v>219</v>
      </c>
      <c r="B19" s="710"/>
      <c r="C19" s="710"/>
      <c r="D19" s="710"/>
      <c r="E19" s="710"/>
      <c r="F19" s="710"/>
      <c r="G19" s="710"/>
      <c r="H19" s="710"/>
      <c r="I19" s="710"/>
      <c r="J19" s="710"/>
      <c r="K19" s="711"/>
      <c r="L19" s="709" t="s">
        <v>220</v>
      </c>
      <c r="M19" s="710"/>
      <c r="N19" s="710"/>
      <c r="O19" s="710"/>
      <c r="P19" s="710"/>
      <c r="Q19" s="710"/>
      <c r="R19" s="711"/>
      <c r="S19" s="709" t="s">
        <v>14</v>
      </c>
      <c r="T19" s="710"/>
      <c r="U19" s="710"/>
      <c r="V19" s="710"/>
      <c r="W19" s="710"/>
      <c r="X19" s="710"/>
      <c r="Y19" s="711"/>
      <c r="Z19" s="709" t="s">
        <v>15</v>
      </c>
      <c r="AA19" s="710"/>
      <c r="AB19" s="710"/>
      <c r="AC19" s="710"/>
      <c r="AD19" s="710"/>
      <c r="AE19" s="710"/>
      <c r="AF19" s="710"/>
      <c r="AG19" s="710"/>
      <c r="AH19" s="711"/>
      <c r="AI19" s="709" t="s">
        <v>264</v>
      </c>
      <c r="AJ19" s="710"/>
      <c r="AK19" s="710"/>
      <c r="AL19" s="710"/>
      <c r="AM19" s="710"/>
      <c r="AN19" s="711"/>
      <c r="AO19" s="709" t="s">
        <v>16</v>
      </c>
      <c r="AP19" s="710"/>
      <c r="AQ19" s="710"/>
      <c r="AR19" s="710"/>
      <c r="AS19" s="710"/>
      <c r="AT19" s="710"/>
      <c r="AU19" s="710"/>
      <c r="AV19" s="711"/>
    </row>
    <row r="20" spans="1:48" x14ac:dyDescent="0.15">
      <c r="A20" s="712"/>
      <c r="B20" s="713"/>
      <c r="C20" s="713"/>
      <c r="D20" s="713"/>
      <c r="E20" s="713"/>
      <c r="F20" s="713"/>
      <c r="G20" s="713"/>
      <c r="H20" s="713"/>
      <c r="I20" s="713"/>
      <c r="J20" s="713"/>
      <c r="K20" s="714"/>
      <c r="L20" s="712"/>
      <c r="M20" s="713"/>
      <c r="N20" s="713"/>
      <c r="O20" s="713"/>
      <c r="P20" s="713"/>
      <c r="Q20" s="713"/>
      <c r="R20" s="714"/>
      <c r="S20" s="712"/>
      <c r="T20" s="713"/>
      <c r="U20" s="713"/>
      <c r="V20" s="713"/>
      <c r="W20" s="713"/>
      <c r="X20" s="713"/>
      <c r="Y20" s="714"/>
      <c r="Z20" s="712"/>
      <c r="AA20" s="713"/>
      <c r="AB20" s="713"/>
      <c r="AC20" s="713"/>
      <c r="AD20" s="713"/>
      <c r="AE20" s="713"/>
      <c r="AF20" s="713"/>
      <c r="AG20" s="713"/>
      <c r="AH20" s="714"/>
      <c r="AI20" s="712"/>
      <c r="AJ20" s="713"/>
      <c r="AK20" s="713"/>
      <c r="AL20" s="713"/>
      <c r="AM20" s="713"/>
      <c r="AN20" s="714"/>
      <c r="AO20" s="712"/>
      <c r="AP20" s="713"/>
      <c r="AQ20" s="713"/>
      <c r="AR20" s="713"/>
      <c r="AS20" s="713"/>
      <c r="AT20" s="713"/>
      <c r="AU20" s="713"/>
      <c r="AV20" s="714"/>
    </row>
    <row r="21" spans="1:48" x14ac:dyDescent="0.15">
      <c r="A21" s="618" t="s">
        <v>195</v>
      </c>
      <c r="B21" s="618"/>
      <c r="C21" s="618"/>
      <c r="D21" s="618"/>
      <c r="E21" s="618"/>
      <c r="F21" s="618"/>
      <c r="G21" s="618"/>
      <c r="H21" s="618"/>
      <c r="I21" s="618"/>
      <c r="J21" s="618"/>
      <c r="K21" s="618"/>
      <c r="L21" s="705">
        <v>105</v>
      </c>
      <c r="M21" s="705"/>
      <c r="N21" s="705"/>
      <c r="O21" s="705"/>
      <c r="P21" s="705"/>
      <c r="Q21" s="705"/>
      <c r="R21" s="705"/>
      <c r="S21" s="706">
        <v>15</v>
      </c>
      <c r="T21" s="706"/>
      <c r="U21" s="706"/>
      <c r="V21" s="706"/>
      <c r="W21" s="706"/>
      <c r="X21" s="706"/>
      <c r="Y21" s="706"/>
      <c r="Z21" s="707">
        <f>IF(AND(L21&lt;&gt;"",S21&lt;&gt;""),S21/L21,"")</f>
        <v>0.14285714285714285</v>
      </c>
      <c r="AA21" s="707"/>
      <c r="AB21" s="707"/>
      <c r="AC21" s="707"/>
      <c r="AD21" s="707"/>
      <c r="AE21" s="707"/>
      <c r="AF21" s="707"/>
      <c r="AG21" s="707"/>
      <c r="AH21" s="707"/>
      <c r="AI21" s="705">
        <v>14</v>
      </c>
      <c r="AJ21" s="705"/>
      <c r="AK21" s="705"/>
      <c r="AL21" s="705"/>
      <c r="AM21" s="705"/>
      <c r="AN21" s="705"/>
      <c r="AO21" s="707">
        <f>IF(AND(L21&lt;&gt;"",AI21&lt;&gt;""),AI21/L21,"")</f>
        <v>0.13333333333333333</v>
      </c>
      <c r="AP21" s="707"/>
      <c r="AQ21" s="707"/>
      <c r="AR21" s="707"/>
      <c r="AS21" s="707"/>
      <c r="AT21" s="707"/>
      <c r="AU21" s="707"/>
      <c r="AV21" s="707"/>
    </row>
    <row r="22" spans="1:48" x14ac:dyDescent="0.15">
      <c r="A22" s="618"/>
      <c r="B22" s="618"/>
      <c r="C22" s="618"/>
      <c r="D22" s="618"/>
      <c r="E22" s="618"/>
      <c r="F22" s="618"/>
      <c r="G22" s="618"/>
      <c r="H22" s="618"/>
      <c r="I22" s="618"/>
      <c r="J22" s="618"/>
      <c r="K22" s="618"/>
      <c r="L22" s="705"/>
      <c r="M22" s="705"/>
      <c r="N22" s="705"/>
      <c r="O22" s="705"/>
      <c r="P22" s="705"/>
      <c r="Q22" s="705"/>
      <c r="R22" s="705"/>
      <c r="S22" s="706"/>
      <c r="T22" s="706"/>
      <c r="U22" s="706"/>
      <c r="V22" s="706"/>
      <c r="W22" s="706"/>
      <c r="X22" s="706"/>
      <c r="Y22" s="706"/>
      <c r="Z22" s="707"/>
      <c r="AA22" s="707"/>
      <c r="AB22" s="707"/>
      <c r="AC22" s="707"/>
      <c r="AD22" s="707"/>
      <c r="AE22" s="707"/>
      <c r="AF22" s="707"/>
      <c r="AG22" s="707"/>
      <c r="AH22" s="707"/>
      <c r="AI22" s="705"/>
      <c r="AJ22" s="705"/>
      <c r="AK22" s="705"/>
      <c r="AL22" s="705"/>
      <c r="AM22" s="705"/>
      <c r="AN22" s="705"/>
      <c r="AO22" s="707"/>
      <c r="AP22" s="707"/>
      <c r="AQ22" s="707"/>
      <c r="AR22" s="707"/>
      <c r="AS22" s="707"/>
      <c r="AT22" s="707"/>
      <c r="AU22" s="707"/>
      <c r="AV22" s="707"/>
    </row>
    <row r="23" spans="1:48" x14ac:dyDescent="0.15">
      <c r="A23" s="618"/>
      <c r="B23" s="618"/>
      <c r="C23" s="618"/>
      <c r="D23" s="618"/>
      <c r="E23" s="618"/>
      <c r="F23" s="618"/>
      <c r="G23" s="618"/>
      <c r="H23" s="618"/>
      <c r="I23" s="618"/>
      <c r="J23" s="618"/>
      <c r="K23" s="618"/>
      <c r="L23" s="705"/>
      <c r="M23" s="705"/>
      <c r="N23" s="705"/>
      <c r="O23" s="705"/>
      <c r="P23" s="705"/>
      <c r="Q23" s="705"/>
      <c r="R23" s="705"/>
      <c r="S23" s="706"/>
      <c r="T23" s="706"/>
      <c r="U23" s="706"/>
      <c r="V23" s="706"/>
      <c r="W23" s="706"/>
      <c r="X23" s="706"/>
      <c r="Y23" s="706"/>
      <c r="Z23" s="707" t="str">
        <f>IF(AND(L23&lt;&gt;"",S23&lt;&gt;""),S23/L23,"")</f>
        <v/>
      </c>
      <c r="AA23" s="707"/>
      <c r="AB23" s="707"/>
      <c r="AC23" s="707"/>
      <c r="AD23" s="707"/>
      <c r="AE23" s="707"/>
      <c r="AF23" s="707"/>
      <c r="AG23" s="707"/>
      <c r="AH23" s="707"/>
      <c r="AI23" s="705"/>
      <c r="AJ23" s="705"/>
      <c r="AK23" s="705"/>
      <c r="AL23" s="705"/>
      <c r="AM23" s="705"/>
      <c r="AN23" s="705"/>
      <c r="AO23" s="707" t="str">
        <f>IF(AND(L23&lt;&gt;"",AI23&lt;&gt;""),AI23/L23,"")</f>
        <v/>
      </c>
      <c r="AP23" s="707"/>
      <c r="AQ23" s="707"/>
      <c r="AR23" s="707"/>
      <c r="AS23" s="707"/>
      <c r="AT23" s="707"/>
      <c r="AU23" s="707"/>
      <c r="AV23" s="707"/>
    </row>
    <row r="24" spans="1:48" x14ac:dyDescent="0.15">
      <c r="A24" s="618"/>
      <c r="B24" s="618"/>
      <c r="C24" s="618"/>
      <c r="D24" s="618"/>
      <c r="E24" s="618"/>
      <c r="F24" s="618"/>
      <c r="G24" s="618"/>
      <c r="H24" s="618"/>
      <c r="I24" s="618"/>
      <c r="J24" s="618"/>
      <c r="K24" s="618"/>
      <c r="L24" s="705"/>
      <c r="M24" s="705"/>
      <c r="N24" s="705"/>
      <c r="O24" s="705"/>
      <c r="P24" s="705"/>
      <c r="Q24" s="705"/>
      <c r="R24" s="705"/>
      <c r="S24" s="706"/>
      <c r="T24" s="706"/>
      <c r="U24" s="706"/>
      <c r="V24" s="706"/>
      <c r="W24" s="706"/>
      <c r="X24" s="706"/>
      <c r="Y24" s="706"/>
      <c r="Z24" s="707"/>
      <c r="AA24" s="707"/>
      <c r="AB24" s="707"/>
      <c r="AC24" s="707"/>
      <c r="AD24" s="707"/>
      <c r="AE24" s="707"/>
      <c r="AF24" s="707"/>
      <c r="AG24" s="707"/>
      <c r="AH24" s="707"/>
      <c r="AI24" s="705"/>
      <c r="AJ24" s="705"/>
      <c r="AK24" s="705"/>
      <c r="AL24" s="705"/>
      <c r="AM24" s="705"/>
      <c r="AN24" s="705"/>
      <c r="AO24" s="707"/>
      <c r="AP24" s="707"/>
      <c r="AQ24" s="707"/>
      <c r="AR24" s="707"/>
      <c r="AS24" s="707"/>
      <c r="AT24" s="707"/>
      <c r="AU24" s="707"/>
      <c r="AV24" s="707"/>
    </row>
    <row r="25" spans="1:48" x14ac:dyDescent="0.15">
      <c r="A25" s="618"/>
      <c r="B25" s="618"/>
      <c r="C25" s="618"/>
      <c r="D25" s="618"/>
      <c r="E25" s="618"/>
      <c r="F25" s="618"/>
      <c r="G25" s="618"/>
      <c r="H25" s="618"/>
      <c r="I25" s="618"/>
      <c r="J25" s="618"/>
      <c r="K25" s="618"/>
      <c r="L25" s="705"/>
      <c r="M25" s="705"/>
      <c r="N25" s="705"/>
      <c r="O25" s="705"/>
      <c r="P25" s="705"/>
      <c r="Q25" s="705"/>
      <c r="R25" s="705"/>
      <c r="S25" s="706"/>
      <c r="T25" s="706"/>
      <c r="U25" s="706"/>
      <c r="V25" s="706"/>
      <c r="W25" s="706"/>
      <c r="X25" s="706"/>
      <c r="Y25" s="706"/>
      <c r="Z25" s="707" t="str">
        <f>IF(AND(L25&lt;&gt;"",S25&lt;&gt;""),S25/L25,"")</f>
        <v/>
      </c>
      <c r="AA25" s="707"/>
      <c r="AB25" s="707"/>
      <c r="AC25" s="707"/>
      <c r="AD25" s="707"/>
      <c r="AE25" s="707"/>
      <c r="AF25" s="707"/>
      <c r="AG25" s="707"/>
      <c r="AH25" s="707"/>
      <c r="AI25" s="705"/>
      <c r="AJ25" s="705"/>
      <c r="AK25" s="705"/>
      <c r="AL25" s="705"/>
      <c r="AM25" s="705"/>
      <c r="AN25" s="705"/>
      <c r="AO25" s="707" t="str">
        <f>IF(AND(L25&lt;&gt;"",AI25&lt;&gt;""),AI25/L25,"")</f>
        <v/>
      </c>
      <c r="AP25" s="707"/>
      <c r="AQ25" s="707"/>
      <c r="AR25" s="707"/>
      <c r="AS25" s="707"/>
      <c r="AT25" s="707"/>
      <c r="AU25" s="707"/>
      <c r="AV25" s="707"/>
    </row>
    <row r="26" spans="1:48" x14ac:dyDescent="0.15">
      <c r="A26" s="618"/>
      <c r="B26" s="618"/>
      <c r="C26" s="618"/>
      <c r="D26" s="618"/>
      <c r="E26" s="618"/>
      <c r="F26" s="618"/>
      <c r="G26" s="618"/>
      <c r="H26" s="618"/>
      <c r="I26" s="618"/>
      <c r="J26" s="618"/>
      <c r="K26" s="618"/>
      <c r="L26" s="705"/>
      <c r="M26" s="705"/>
      <c r="N26" s="705"/>
      <c r="O26" s="705"/>
      <c r="P26" s="705"/>
      <c r="Q26" s="705"/>
      <c r="R26" s="705"/>
      <c r="S26" s="706"/>
      <c r="T26" s="706"/>
      <c r="U26" s="706"/>
      <c r="V26" s="706"/>
      <c r="W26" s="706"/>
      <c r="X26" s="706"/>
      <c r="Y26" s="706"/>
      <c r="Z26" s="707"/>
      <c r="AA26" s="707"/>
      <c r="AB26" s="707"/>
      <c r="AC26" s="707"/>
      <c r="AD26" s="707"/>
      <c r="AE26" s="707"/>
      <c r="AF26" s="707"/>
      <c r="AG26" s="707"/>
      <c r="AH26" s="707"/>
      <c r="AI26" s="705"/>
      <c r="AJ26" s="705"/>
      <c r="AK26" s="705"/>
      <c r="AL26" s="705"/>
      <c r="AM26" s="705"/>
      <c r="AN26" s="705"/>
      <c r="AO26" s="707"/>
      <c r="AP26" s="707"/>
      <c r="AQ26" s="707"/>
      <c r="AR26" s="707"/>
      <c r="AS26" s="707"/>
      <c r="AT26" s="707"/>
      <c r="AU26" s="707"/>
      <c r="AV26" s="707"/>
    </row>
    <row r="27" spans="1:48" x14ac:dyDescent="0.15">
      <c r="A27" s="618"/>
      <c r="B27" s="618"/>
      <c r="C27" s="618"/>
      <c r="D27" s="618"/>
      <c r="E27" s="618"/>
      <c r="F27" s="618"/>
      <c r="G27" s="618"/>
      <c r="H27" s="618"/>
      <c r="I27" s="618"/>
      <c r="J27" s="618"/>
      <c r="K27" s="618"/>
      <c r="L27" s="705"/>
      <c r="M27" s="705"/>
      <c r="N27" s="705"/>
      <c r="O27" s="705"/>
      <c r="P27" s="705"/>
      <c r="Q27" s="705"/>
      <c r="R27" s="705"/>
      <c r="S27" s="706"/>
      <c r="T27" s="706"/>
      <c r="U27" s="706"/>
      <c r="V27" s="706"/>
      <c r="W27" s="706"/>
      <c r="X27" s="706"/>
      <c r="Y27" s="706"/>
      <c r="Z27" s="707" t="str">
        <f>IF(AND(L27&lt;&gt;"",S27&lt;&gt;""),S27/L27,"")</f>
        <v/>
      </c>
      <c r="AA27" s="707"/>
      <c r="AB27" s="707"/>
      <c r="AC27" s="707"/>
      <c r="AD27" s="707"/>
      <c r="AE27" s="707"/>
      <c r="AF27" s="707"/>
      <c r="AG27" s="707"/>
      <c r="AH27" s="707"/>
      <c r="AI27" s="705"/>
      <c r="AJ27" s="705"/>
      <c r="AK27" s="705"/>
      <c r="AL27" s="705"/>
      <c r="AM27" s="705"/>
      <c r="AN27" s="705"/>
      <c r="AO27" s="707" t="str">
        <f>IF(AND(L27&lt;&gt;"",AI27&lt;&gt;""),AI27/L27,"")</f>
        <v/>
      </c>
      <c r="AP27" s="707"/>
      <c r="AQ27" s="707"/>
      <c r="AR27" s="707"/>
      <c r="AS27" s="707"/>
      <c r="AT27" s="707"/>
      <c r="AU27" s="707"/>
      <c r="AV27" s="707"/>
    </row>
    <row r="28" spans="1:48" x14ac:dyDescent="0.15">
      <c r="A28" s="618"/>
      <c r="B28" s="618"/>
      <c r="C28" s="618"/>
      <c r="D28" s="618"/>
      <c r="E28" s="618"/>
      <c r="F28" s="618"/>
      <c r="G28" s="618"/>
      <c r="H28" s="618"/>
      <c r="I28" s="618"/>
      <c r="J28" s="618"/>
      <c r="K28" s="618"/>
      <c r="L28" s="705"/>
      <c r="M28" s="705"/>
      <c r="N28" s="705"/>
      <c r="O28" s="705"/>
      <c r="P28" s="705"/>
      <c r="Q28" s="705"/>
      <c r="R28" s="705"/>
      <c r="S28" s="706"/>
      <c r="T28" s="706"/>
      <c r="U28" s="706"/>
      <c r="V28" s="706"/>
      <c r="W28" s="706"/>
      <c r="X28" s="706"/>
      <c r="Y28" s="706"/>
      <c r="Z28" s="707"/>
      <c r="AA28" s="707"/>
      <c r="AB28" s="707"/>
      <c r="AC28" s="707"/>
      <c r="AD28" s="707"/>
      <c r="AE28" s="707"/>
      <c r="AF28" s="707"/>
      <c r="AG28" s="707"/>
      <c r="AH28" s="707"/>
      <c r="AI28" s="705"/>
      <c r="AJ28" s="705"/>
      <c r="AK28" s="705"/>
      <c r="AL28" s="705"/>
      <c r="AM28" s="705"/>
      <c r="AN28" s="705"/>
      <c r="AO28" s="707"/>
      <c r="AP28" s="707"/>
      <c r="AQ28" s="707"/>
      <c r="AR28" s="707"/>
      <c r="AS28" s="707"/>
      <c r="AT28" s="707"/>
      <c r="AU28" s="707"/>
      <c r="AV28" s="707"/>
    </row>
    <row r="29" spans="1:48" x14ac:dyDescent="0.15">
      <c r="A29" s="618"/>
      <c r="B29" s="618"/>
      <c r="C29" s="618"/>
      <c r="D29" s="618"/>
      <c r="E29" s="618"/>
      <c r="F29" s="618"/>
      <c r="G29" s="618"/>
      <c r="H29" s="618"/>
      <c r="I29" s="618"/>
      <c r="J29" s="618"/>
      <c r="K29" s="618"/>
      <c r="L29" s="705"/>
      <c r="M29" s="705"/>
      <c r="N29" s="705"/>
      <c r="O29" s="705"/>
      <c r="P29" s="705"/>
      <c r="Q29" s="705"/>
      <c r="R29" s="705"/>
      <c r="S29" s="706"/>
      <c r="T29" s="706"/>
      <c r="U29" s="706"/>
      <c r="V29" s="706"/>
      <c r="W29" s="706"/>
      <c r="X29" s="706"/>
      <c r="Y29" s="706"/>
      <c r="Z29" s="707" t="str">
        <f>IF(AND(L29&lt;&gt;"",S29&lt;&gt;""),S29/L29,"")</f>
        <v/>
      </c>
      <c r="AA29" s="707"/>
      <c r="AB29" s="707"/>
      <c r="AC29" s="707"/>
      <c r="AD29" s="707"/>
      <c r="AE29" s="707"/>
      <c r="AF29" s="707"/>
      <c r="AG29" s="707"/>
      <c r="AH29" s="707"/>
      <c r="AI29" s="705"/>
      <c r="AJ29" s="705"/>
      <c r="AK29" s="705"/>
      <c r="AL29" s="705"/>
      <c r="AM29" s="705"/>
      <c r="AN29" s="705"/>
      <c r="AO29" s="707" t="str">
        <f>IF(AND(L29&lt;&gt;"",AI29&lt;&gt;""),AI29/L29,"")</f>
        <v/>
      </c>
      <c r="AP29" s="707"/>
      <c r="AQ29" s="707"/>
      <c r="AR29" s="707"/>
      <c r="AS29" s="707"/>
      <c r="AT29" s="707"/>
      <c r="AU29" s="707"/>
      <c r="AV29" s="707"/>
    </row>
    <row r="30" spans="1:48" x14ac:dyDescent="0.15">
      <c r="A30" s="618"/>
      <c r="B30" s="618"/>
      <c r="C30" s="618"/>
      <c r="D30" s="618"/>
      <c r="E30" s="618"/>
      <c r="F30" s="618"/>
      <c r="G30" s="618"/>
      <c r="H30" s="618"/>
      <c r="I30" s="618"/>
      <c r="J30" s="618"/>
      <c r="K30" s="618"/>
      <c r="L30" s="705"/>
      <c r="M30" s="705"/>
      <c r="N30" s="705"/>
      <c r="O30" s="705"/>
      <c r="P30" s="705"/>
      <c r="Q30" s="705"/>
      <c r="R30" s="705"/>
      <c r="S30" s="706"/>
      <c r="T30" s="706"/>
      <c r="U30" s="706"/>
      <c r="V30" s="706"/>
      <c r="W30" s="706"/>
      <c r="X30" s="706"/>
      <c r="Y30" s="706"/>
      <c r="Z30" s="707"/>
      <c r="AA30" s="707"/>
      <c r="AB30" s="707"/>
      <c r="AC30" s="707"/>
      <c r="AD30" s="707"/>
      <c r="AE30" s="707"/>
      <c r="AF30" s="707"/>
      <c r="AG30" s="707"/>
      <c r="AH30" s="707"/>
      <c r="AI30" s="705"/>
      <c r="AJ30" s="705"/>
      <c r="AK30" s="705"/>
      <c r="AL30" s="705"/>
      <c r="AM30" s="705"/>
      <c r="AN30" s="705"/>
      <c r="AO30" s="707"/>
      <c r="AP30" s="707"/>
      <c r="AQ30" s="707"/>
      <c r="AR30" s="707"/>
      <c r="AS30" s="707"/>
      <c r="AT30" s="707"/>
      <c r="AU30" s="707"/>
      <c r="AV30" s="707"/>
    </row>
    <row r="31" spans="1:48" x14ac:dyDescent="0.15">
      <c r="A31" s="618"/>
      <c r="B31" s="618"/>
      <c r="C31" s="618"/>
      <c r="D31" s="618"/>
      <c r="E31" s="618"/>
      <c r="F31" s="618"/>
      <c r="G31" s="618"/>
      <c r="H31" s="618"/>
      <c r="I31" s="618"/>
      <c r="J31" s="618"/>
      <c r="K31" s="618"/>
      <c r="L31" s="705"/>
      <c r="M31" s="705"/>
      <c r="N31" s="705"/>
      <c r="O31" s="705"/>
      <c r="P31" s="705"/>
      <c r="Q31" s="705"/>
      <c r="R31" s="705"/>
      <c r="S31" s="706"/>
      <c r="T31" s="706"/>
      <c r="U31" s="706"/>
      <c r="V31" s="706"/>
      <c r="W31" s="706"/>
      <c r="X31" s="706"/>
      <c r="Y31" s="706"/>
      <c r="Z31" s="707" t="str">
        <f>IF(AND(L31&lt;&gt;"",S31&lt;&gt;""),S31/L31,"")</f>
        <v/>
      </c>
      <c r="AA31" s="707"/>
      <c r="AB31" s="707"/>
      <c r="AC31" s="707"/>
      <c r="AD31" s="707"/>
      <c r="AE31" s="707"/>
      <c r="AF31" s="707"/>
      <c r="AG31" s="707"/>
      <c r="AH31" s="707"/>
      <c r="AI31" s="705"/>
      <c r="AJ31" s="705"/>
      <c r="AK31" s="705"/>
      <c r="AL31" s="705"/>
      <c r="AM31" s="705"/>
      <c r="AN31" s="705"/>
      <c r="AO31" s="707" t="str">
        <f>IF(AND(L31&lt;&gt;"",AI31&lt;&gt;""),AI31/L31,"")</f>
        <v/>
      </c>
      <c r="AP31" s="707"/>
      <c r="AQ31" s="707"/>
      <c r="AR31" s="707"/>
      <c r="AS31" s="707"/>
      <c r="AT31" s="707"/>
      <c r="AU31" s="707"/>
      <c r="AV31" s="707"/>
    </row>
    <row r="32" spans="1:48" x14ac:dyDescent="0.15">
      <c r="A32" s="618"/>
      <c r="B32" s="618"/>
      <c r="C32" s="618"/>
      <c r="D32" s="618"/>
      <c r="E32" s="618"/>
      <c r="F32" s="618"/>
      <c r="G32" s="618"/>
      <c r="H32" s="618"/>
      <c r="I32" s="618"/>
      <c r="J32" s="618"/>
      <c r="K32" s="618"/>
      <c r="L32" s="705"/>
      <c r="M32" s="705"/>
      <c r="N32" s="705"/>
      <c r="O32" s="705"/>
      <c r="P32" s="705"/>
      <c r="Q32" s="705"/>
      <c r="R32" s="705"/>
      <c r="S32" s="706"/>
      <c r="T32" s="706"/>
      <c r="U32" s="706"/>
      <c r="V32" s="706"/>
      <c r="W32" s="706"/>
      <c r="X32" s="706"/>
      <c r="Y32" s="706"/>
      <c r="Z32" s="707"/>
      <c r="AA32" s="707"/>
      <c r="AB32" s="707"/>
      <c r="AC32" s="707"/>
      <c r="AD32" s="707"/>
      <c r="AE32" s="707"/>
      <c r="AF32" s="707"/>
      <c r="AG32" s="707"/>
      <c r="AH32" s="707"/>
      <c r="AI32" s="705"/>
      <c r="AJ32" s="705"/>
      <c r="AK32" s="705"/>
      <c r="AL32" s="705"/>
      <c r="AM32" s="705"/>
      <c r="AN32" s="705"/>
      <c r="AO32" s="707"/>
      <c r="AP32" s="707"/>
      <c r="AQ32" s="707"/>
      <c r="AR32" s="707"/>
      <c r="AS32" s="707"/>
      <c r="AT32" s="707"/>
      <c r="AU32" s="707"/>
      <c r="AV32" s="707"/>
    </row>
    <row r="33" spans="1:48" x14ac:dyDescent="0.15">
      <c r="A33" s="618"/>
      <c r="B33" s="618"/>
      <c r="C33" s="618"/>
      <c r="D33" s="618"/>
      <c r="E33" s="618"/>
      <c r="F33" s="618"/>
      <c r="G33" s="618"/>
      <c r="H33" s="618"/>
      <c r="I33" s="618"/>
      <c r="J33" s="618"/>
      <c r="K33" s="618"/>
      <c r="L33" s="705"/>
      <c r="M33" s="705"/>
      <c r="N33" s="705"/>
      <c r="O33" s="705"/>
      <c r="P33" s="705"/>
      <c r="Q33" s="705"/>
      <c r="R33" s="705"/>
      <c r="S33" s="706"/>
      <c r="T33" s="706"/>
      <c r="U33" s="706"/>
      <c r="V33" s="706"/>
      <c r="W33" s="706"/>
      <c r="X33" s="706"/>
      <c r="Y33" s="706"/>
      <c r="Z33" s="707" t="str">
        <f>IF(AND(L33&lt;&gt;"",S33&lt;&gt;""),S33/L33,"")</f>
        <v/>
      </c>
      <c r="AA33" s="707"/>
      <c r="AB33" s="707"/>
      <c r="AC33" s="707"/>
      <c r="AD33" s="707"/>
      <c r="AE33" s="707"/>
      <c r="AF33" s="707"/>
      <c r="AG33" s="707"/>
      <c r="AH33" s="707"/>
      <c r="AI33" s="705"/>
      <c r="AJ33" s="705"/>
      <c r="AK33" s="705"/>
      <c r="AL33" s="705"/>
      <c r="AM33" s="705"/>
      <c r="AN33" s="705"/>
      <c r="AO33" s="707" t="str">
        <f>IF(AND(L33&lt;&gt;"",AI33&lt;&gt;""),AI33/L33,"")</f>
        <v/>
      </c>
      <c r="AP33" s="707"/>
      <c r="AQ33" s="707"/>
      <c r="AR33" s="707"/>
      <c r="AS33" s="707"/>
      <c r="AT33" s="707"/>
      <c r="AU33" s="707"/>
      <c r="AV33" s="707"/>
    </row>
    <row r="34" spans="1:48" x14ac:dyDescent="0.15">
      <c r="A34" s="618"/>
      <c r="B34" s="618"/>
      <c r="C34" s="618"/>
      <c r="D34" s="618"/>
      <c r="E34" s="618"/>
      <c r="F34" s="618"/>
      <c r="G34" s="618"/>
      <c r="H34" s="618"/>
      <c r="I34" s="618"/>
      <c r="J34" s="618"/>
      <c r="K34" s="618"/>
      <c r="L34" s="705"/>
      <c r="M34" s="705"/>
      <c r="N34" s="705"/>
      <c r="O34" s="705"/>
      <c r="P34" s="705"/>
      <c r="Q34" s="705"/>
      <c r="R34" s="705"/>
      <c r="S34" s="706"/>
      <c r="T34" s="706"/>
      <c r="U34" s="706"/>
      <c r="V34" s="706"/>
      <c r="W34" s="706"/>
      <c r="X34" s="706"/>
      <c r="Y34" s="706"/>
      <c r="Z34" s="707"/>
      <c r="AA34" s="707"/>
      <c r="AB34" s="707"/>
      <c r="AC34" s="707"/>
      <c r="AD34" s="707"/>
      <c r="AE34" s="707"/>
      <c r="AF34" s="707"/>
      <c r="AG34" s="707"/>
      <c r="AH34" s="707"/>
      <c r="AI34" s="705"/>
      <c r="AJ34" s="705"/>
      <c r="AK34" s="705"/>
      <c r="AL34" s="705"/>
      <c r="AM34" s="705"/>
      <c r="AN34" s="705"/>
      <c r="AO34" s="707"/>
      <c r="AP34" s="707"/>
      <c r="AQ34" s="707"/>
      <c r="AR34" s="707"/>
      <c r="AS34" s="707"/>
      <c r="AT34" s="707"/>
      <c r="AU34" s="707"/>
      <c r="AV34" s="707"/>
    </row>
    <row r="35" spans="1:48" x14ac:dyDescent="0.15">
      <c r="A35" s="618"/>
      <c r="B35" s="618"/>
      <c r="C35" s="618"/>
      <c r="D35" s="618"/>
      <c r="E35" s="618"/>
      <c r="F35" s="618"/>
      <c r="G35" s="618"/>
      <c r="H35" s="618"/>
      <c r="I35" s="618"/>
      <c r="J35" s="618"/>
      <c r="K35" s="618"/>
      <c r="L35" s="705"/>
      <c r="M35" s="705"/>
      <c r="N35" s="705"/>
      <c r="O35" s="705"/>
      <c r="P35" s="705"/>
      <c r="Q35" s="705"/>
      <c r="R35" s="705"/>
      <c r="S35" s="706"/>
      <c r="T35" s="706"/>
      <c r="U35" s="706"/>
      <c r="V35" s="706"/>
      <c r="W35" s="706"/>
      <c r="X35" s="706"/>
      <c r="Y35" s="706"/>
      <c r="Z35" s="707" t="str">
        <f>IF(AND(L35&lt;&gt;"",S35&lt;&gt;""),S35/L35,"")</f>
        <v/>
      </c>
      <c r="AA35" s="707"/>
      <c r="AB35" s="707"/>
      <c r="AC35" s="707"/>
      <c r="AD35" s="707"/>
      <c r="AE35" s="707"/>
      <c r="AF35" s="707"/>
      <c r="AG35" s="707"/>
      <c r="AH35" s="707"/>
      <c r="AI35" s="705"/>
      <c r="AJ35" s="705"/>
      <c r="AK35" s="705"/>
      <c r="AL35" s="705"/>
      <c r="AM35" s="705"/>
      <c r="AN35" s="705"/>
      <c r="AO35" s="707" t="str">
        <f>IF(AND(L35&lt;&gt;"",AI35&lt;&gt;""),AI35/L35,"")</f>
        <v/>
      </c>
      <c r="AP35" s="707"/>
      <c r="AQ35" s="707"/>
      <c r="AR35" s="707"/>
      <c r="AS35" s="707"/>
      <c r="AT35" s="707"/>
      <c r="AU35" s="707"/>
      <c r="AV35" s="707"/>
    </row>
    <row r="36" spans="1:48" x14ac:dyDescent="0.15">
      <c r="A36" s="618"/>
      <c r="B36" s="618"/>
      <c r="C36" s="618"/>
      <c r="D36" s="618"/>
      <c r="E36" s="618"/>
      <c r="F36" s="618"/>
      <c r="G36" s="618"/>
      <c r="H36" s="618"/>
      <c r="I36" s="618"/>
      <c r="J36" s="618"/>
      <c r="K36" s="618"/>
      <c r="L36" s="705"/>
      <c r="M36" s="705"/>
      <c r="N36" s="705"/>
      <c r="O36" s="705"/>
      <c r="P36" s="705"/>
      <c r="Q36" s="705"/>
      <c r="R36" s="705"/>
      <c r="S36" s="706"/>
      <c r="T36" s="706"/>
      <c r="U36" s="706"/>
      <c r="V36" s="706"/>
      <c r="W36" s="706"/>
      <c r="X36" s="706"/>
      <c r="Y36" s="706"/>
      <c r="Z36" s="707"/>
      <c r="AA36" s="707"/>
      <c r="AB36" s="707"/>
      <c r="AC36" s="707"/>
      <c r="AD36" s="707"/>
      <c r="AE36" s="707"/>
      <c r="AF36" s="707"/>
      <c r="AG36" s="707"/>
      <c r="AH36" s="707"/>
      <c r="AI36" s="705"/>
      <c r="AJ36" s="705"/>
      <c r="AK36" s="705"/>
      <c r="AL36" s="705"/>
      <c r="AM36" s="705"/>
      <c r="AN36" s="705"/>
      <c r="AO36" s="707"/>
      <c r="AP36" s="707"/>
      <c r="AQ36" s="707"/>
      <c r="AR36" s="707"/>
      <c r="AS36" s="707"/>
      <c r="AT36" s="707"/>
      <c r="AU36" s="707"/>
      <c r="AV36" s="707"/>
    </row>
    <row r="37" spans="1:48" x14ac:dyDescent="0.15">
      <c r="A37" s="618"/>
      <c r="B37" s="618"/>
      <c r="C37" s="618"/>
      <c r="D37" s="618"/>
      <c r="E37" s="618"/>
      <c r="F37" s="618"/>
      <c r="G37" s="618"/>
      <c r="H37" s="618"/>
      <c r="I37" s="618"/>
      <c r="J37" s="618"/>
      <c r="K37" s="618"/>
      <c r="L37" s="705"/>
      <c r="M37" s="705"/>
      <c r="N37" s="705"/>
      <c r="O37" s="705"/>
      <c r="P37" s="705"/>
      <c r="Q37" s="705"/>
      <c r="R37" s="705"/>
      <c r="S37" s="706"/>
      <c r="T37" s="706"/>
      <c r="U37" s="706"/>
      <c r="V37" s="706"/>
      <c r="W37" s="706"/>
      <c r="X37" s="706"/>
      <c r="Y37" s="706"/>
      <c r="Z37" s="707" t="str">
        <f>IF(AND(L37&lt;&gt;"",S37&lt;&gt;""),S37/L37,"")</f>
        <v/>
      </c>
      <c r="AA37" s="707"/>
      <c r="AB37" s="707"/>
      <c r="AC37" s="707"/>
      <c r="AD37" s="707"/>
      <c r="AE37" s="707"/>
      <c r="AF37" s="707"/>
      <c r="AG37" s="707"/>
      <c r="AH37" s="707"/>
      <c r="AI37" s="705"/>
      <c r="AJ37" s="705"/>
      <c r="AK37" s="705"/>
      <c r="AL37" s="705"/>
      <c r="AM37" s="705"/>
      <c r="AN37" s="705"/>
      <c r="AO37" s="707" t="str">
        <f>IF(AND(L37&lt;&gt;"",AI37&lt;&gt;""),AI37/L37,"")</f>
        <v/>
      </c>
      <c r="AP37" s="707"/>
      <c r="AQ37" s="707"/>
      <c r="AR37" s="707"/>
      <c r="AS37" s="707"/>
      <c r="AT37" s="707"/>
      <c r="AU37" s="707"/>
      <c r="AV37" s="707"/>
    </row>
    <row r="38" spans="1:48" x14ac:dyDescent="0.15">
      <c r="A38" s="618"/>
      <c r="B38" s="618"/>
      <c r="C38" s="618"/>
      <c r="D38" s="618"/>
      <c r="E38" s="618"/>
      <c r="F38" s="618"/>
      <c r="G38" s="618"/>
      <c r="H38" s="618"/>
      <c r="I38" s="618"/>
      <c r="J38" s="618"/>
      <c r="K38" s="618"/>
      <c r="L38" s="705"/>
      <c r="M38" s="705"/>
      <c r="N38" s="705"/>
      <c r="O38" s="705"/>
      <c r="P38" s="705"/>
      <c r="Q38" s="705"/>
      <c r="R38" s="705"/>
      <c r="S38" s="706"/>
      <c r="T38" s="706"/>
      <c r="U38" s="706"/>
      <c r="V38" s="706"/>
      <c r="W38" s="706"/>
      <c r="X38" s="706"/>
      <c r="Y38" s="706"/>
      <c r="Z38" s="707"/>
      <c r="AA38" s="707"/>
      <c r="AB38" s="707"/>
      <c r="AC38" s="707"/>
      <c r="AD38" s="707"/>
      <c r="AE38" s="707"/>
      <c r="AF38" s="707"/>
      <c r="AG38" s="707"/>
      <c r="AH38" s="707"/>
      <c r="AI38" s="705"/>
      <c r="AJ38" s="705"/>
      <c r="AK38" s="705"/>
      <c r="AL38" s="705"/>
      <c r="AM38" s="705"/>
      <c r="AN38" s="705"/>
      <c r="AO38" s="707"/>
      <c r="AP38" s="707"/>
      <c r="AQ38" s="707"/>
      <c r="AR38" s="707"/>
      <c r="AS38" s="707"/>
      <c r="AT38" s="707"/>
      <c r="AU38" s="707"/>
      <c r="AV38" s="707"/>
    </row>
    <row r="39" spans="1:48" x14ac:dyDescent="0.15">
      <c r="A39" s="618"/>
      <c r="B39" s="618"/>
      <c r="C39" s="618"/>
      <c r="D39" s="618"/>
      <c r="E39" s="618"/>
      <c r="F39" s="618"/>
      <c r="G39" s="618"/>
      <c r="H39" s="618"/>
      <c r="I39" s="618"/>
      <c r="J39" s="618"/>
      <c r="K39" s="618"/>
      <c r="L39" s="705"/>
      <c r="M39" s="705"/>
      <c r="N39" s="705"/>
      <c r="O39" s="705"/>
      <c r="P39" s="705"/>
      <c r="Q39" s="705"/>
      <c r="R39" s="705"/>
      <c r="S39" s="706"/>
      <c r="T39" s="706"/>
      <c r="U39" s="706"/>
      <c r="V39" s="706"/>
      <c r="W39" s="706"/>
      <c r="X39" s="706"/>
      <c r="Y39" s="706"/>
      <c r="Z39" s="707" t="str">
        <f>IF(AND(L39&lt;&gt;"",S39&lt;&gt;""),S39/L39,"")</f>
        <v/>
      </c>
      <c r="AA39" s="707"/>
      <c r="AB39" s="707"/>
      <c r="AC39" s="707"/>
      <c r="AD39" s="707"/>
      <c r="AE39" s="707"/>
      <c r="AF39" s="707"/>
      <c r="AG39" s="707"/>
      <c r="AH39" s="707"/>
      <c r="AI39" s="705"/>
      <c r="AJ39" s="705"/>
      <c r="AK39" s="705"/>
      <c r="AL39" s="705"/>
      <c r="AM39" s="705"/>
      <c r="AN39" s="705"/>
      <c r="AO39" s="707" t="str">
        <f>IF(AND(L39&lt;&gt;"",AI39&lt;&gt;""),AI39/L39,"")</f>
        <v/>
      </c>
      <c r="AP39" s="707"/>
      <c r="AQ39" s="707"/>
      <c r="AR39" s="707"/>
      <c r="AS39" s="707"/>
      <c r="AT39" s="707"/>
      <c r="AU39" s="707"/>
      <c r="AV39" s="707"/>
    </row>
    <row r="40" spans="1:48" x14ac:dyDescent="0.15">
      <c r="A40" s="618"/>
      <c r="B40" s="618"/>
      <c r="C40" s="618"/>
      <c r="D40" s="618"/>
      <c r="E40" s="618"/>
      <c r="F40" s="618"/>
      <c r="G40" s="618"/>
      <c r="H40" s="618"/>
      <c r="I40" s="618"/>
      <c r="J40" s="618"/>
      <c r="K40" s="618"/>
      <c r="L40" s="705"/>
      <c r="M40" s="705"/>
      <c r="N40" s="705"/>
      <c r="O40" s="705"/>
      <c r="P40" s="705"/>
      <c r="Q40" s="705"/>
      <c r="R40" s="705"/>
      <c r="S40" s="706"/>
      <c r="T40" s="706"/>
      <c r="U40" s="706"/>
      <c r="V40" s="706"/>
      <c r="W40" s="706"/>
      <c r="X40" s="706"/>
      <c r="Y40" s="706"/>
      <c r="Z40" s="707"/>
      <c r="AA40" s="707"/>
      <c r="AB40" s="707"/>
      <c r="AC40" s="707"/>
      <c r="AD40" s="707"/>
      <c r="AE40" s="707"/>
      <c r="AF40" s="707"/>
      <c r="AG40" s="707"/>
      <c r="AH40" s="707"/>
      <c r="AI40" s="705"/>
      <c r="AJ40" s="705"/>
      <c r="AK40" s="705"/>
      <c r="AL40" s="705"/>
      <c r="AM40" s="705"/>
      <c r="AN40" s="705"/>
      <c r="AO40" s="707"/>
      <c r="AP40" s="707"/>
      <c r="AQ40" s="707"/>
      <c r="AR40" s="707"/>
      <c r="AS40" s="707"/>
      <c r="AT40" s="707"/>
      <c r="AU40" s="707"/>
      <c r="AV40" s="707"/>
    </row>
  </sheetData>
  <mergeCells count="116">
    <mergeCell ref="A18:R18"/>
    <mergeCell ref="S18:AV18"/>
    <mergeCell ref="AO19:AV20"/>
    <mergeCell ref="L19:R20"/>
    <mergeCell ref="S19:Y20"/>
    <mergeCell ref="Z19:AH20"/>
    <mergeCell ref="AI19:AN20"/>
    <mergeCell ref="A21:K22"/>
    <mergeCell ref="L21:R22"/>
    <mergeCell ref="S21:Y22"/>
    <mergeCell ref="Z21:AH22"/>
    <mergeCell ref="AI21:AN22"/>
    <mergeCell ref="AO21:AV22"/>
    <mergeCell ref="A19:K20"/>
    <mergeCell ref="AI7:AO7"/>
    <mergeCell ref="A7:N7"/>
    <mergeCell ref="A8:N8"/>
    <mergeCell ref="AB7:AH7"/>
    <mergeCell ref="AB8:AH8"/>
    <mergeCell ref="AP7:AV7"/>
    <mergeCell ref="AF10:AG16"/>
    <mergeCell ref="AH10:BF16"/>
    <mergeCell ref="O7:AA7"/>
    <mergeCell ref="O8:AA8"/>
    <mergeCell ref="L10:Y11"/>
    <mergeCell ref="A10:K11"/>
    <mergeCell ref="A14:H14"/>
    <mergeCell ref="I14:S14"/>
    <mergeCell ref="T14:AD14"/>
    <mergeCell ref="A15:H15"/>
    <mergeCell ref="I15:S15"/>
    <mergeCell ref="T15:AD15"/>
    <mergeCell ref="A25:K26"/>
    <mergeCell ref="L25:R26"/>
    <mergeCell ref="S25:Y26"/>
    <mergeCell ref="Z25:AH26"/>
    <mergeCell ref="A23:K24"/>
    <mergeCell ref="L23:R24"/>
    <mergeCell ref="S23:Y24"/>
    <mergeCell ref="Z23:AH24"/>
    <mergeCell ref="A29:K30"/>
    <mergeCell ref="L29:R30"/>
    <mergeCell ref="S29:Y30"/>
    <mergeCell ref="Z29:AH30"/>
    <mergeCell ref="A27:K28"/>
    <mergeCell ref="L27:R28"/>
    <mergeCell ref="S27:Y28"/>
    <mergeCell ref="Z27:AH28"/>
    <mergeCell ref="A33:K34"/>
    <mergeCell ref="L33:R34"/>
    <mergeCell ref="S33:Y34"/>
    <mergeCell ref="Z33:AH34"/>
    <mergeCell ref="S35:Y36"/>
    <mergeCell ref="Z35:AH36"/>
    <mergeCell ref="AI39:AN40"/>
    <mergeCell ref="AI29:AN30"/>
    <mergeCell ref="AO29:AV30"/>
    <mergeCell ref="A31:K32"/>
    <mergeCell ref="L31:R32"/>
    <mergeCell ref="S31:Y32"/>
    <mergeCell ref="Z31:AH32"/>
    <mergeCell ref="AI31:AN32"/>
    <mergeCell ref="AO31:AV32"/>
    <mergeCell ref="A39:K40"/>
    <mergeCell ref="L39:R40"/>
    <mergeCell ref="S39:Y40"/>
    <mergeCell ref="Z39:AH40"/>
    <mergeCell ref="AI35:AN36"/>
    <mergeCell ref="AO35:AV36"/>
    <mergeCell ref="A37:K38"/>
    <mergeCell ref="L37:R38"/>
    <mergeCell ref="S37:Y38"/>
    <mergeCell ref="Z37:AH38"/>
    <mergeCell ref="A35:K36"/>
    <mergeCell ref="L35:R36"/>
    <mergeCell ref="AL2:AP2"/>
    <mergeCell ref="AQ2:AV2"/>
    <mergeCell ref="AW2:BA2"/>
    <mergeCell ref="BB2:BF2"/>
    <mergeCell ref="AQ3:AV6"/>
    <mergeCell ref="AW3:BA3"/>
    <mergeCell ref="AI23:AN24"/>
    <mergeCell ref="AO23:AV24"/>
    <mergeCell ref="AW7:BC7"/>
    <mergeCell ref="O6:AA6"/>
    <mergeCell ref="BD7:BF7"/>
    <mergeCell ref="AI8:AO8"/>
    <mergeCell ref="AP8:AV8"/>
    <mergeCell ref="AW8:BC8"/>
    <mergeCell ref="BD8:BF8"/>
    <mergeCell ref="A1:J4"/>
    <mergeCell ref="K1:AA4"/>
    <mergeCell ref="A5:N5"/>
    <mergeCell ref="A6:N6"/>
    <mergeCell ref="O5:AA5"/>
    <mergeCell ref="AB1:AF1"/>
    <mergeCell ref="AO39:AV40"/>
    <mergeCell ref="AI37:AN38"/>
    <mergeCell ref="AO37:AV38"/>
    <mergeCell ref="AI33:AN34"/>
    <mergeCell ref="AO33:AV34"/>
    <mergeCell ref="AI27:AN28"/>
    <mergeCell ref="AO27:AV28"/>
    <mergeCell ref="AI25:AN26"/>
    <mergeCell ref="AO25:AV26"/>
    <mergeCell ref="AG1:AK1"/>
    <mergeCell ref="AL1:AP1"/>
    <mergeCell ref="AB3:AF6"/>
    <mergeCell ref="AG3:AK6"/>
    <mergeCell ref="AL3:AP6"/>
    <mergeCell ref="BB3:BF3"/>
    <mergeCell ref="AW4:BA6"/>
    <mergeCell ref="BB4:BF6"/>
    <mergeCell ref="AQ1:BF1"/>
    <mergeCell ref="AB2:AF2"/>
    <mergeCell ref="AG2:AK2"/>
  </mergeCells>
  <phoneticPr fontId="23"/>
  <dataValidations disablePrompts="1" count="1">
    <dataValidation type="list" allowBlank="1" showInputMessage="1" showErrorMessage="1" sqref="L10:Y11" xr:uid="{00000000-0002-0000-0800-000000000000}">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9" fitToHeight="0" orientation="landscape" r:id="rId1"/>
  <headerFooter alignWithMargins="0">
    <oddHeader>&amp;L&amp;14【営業秘密】</oddHeader>
    <oddFooter>&amp;C&amp;P/&amp;N&amp;R（様式2014.03）</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F46"/>
  <sheetViews>
    <sheetView showGridLines="0" topLeftCell="A37" zoomScale="70" workbookViewId="0">
      <selection sqref="A1:E5"/>
    </sheetView>
  </sheetViews>
  <sheetFormatPr defaultColWidth="4.25" defaultRowHeight="15" customHeight="1" x14ac:dyDescent="0.15"/>
  <cols>
    <col min="1" max="1" width="9" style="9" customWidth="1"/>
    <col min="2" max="6" width="4.25" style="9"/>
    <col min="7" max="7" width="5" style="9" bestFit="1" customWidth="1"/>
    <col min="8" max="16384" width="4.25" style="9"/>
  </cols>
  <sheetData>
    <row r="1" spans="1:32" s="259" customFormat="1" ht="12.75" customHeight="1" x14ac:dyDescent="0.15">
      <c r="A1" s="774" t="s">
        <v>463</v>
      </c>
      <c r="B1" s="775"/>
      <c r="C1" s="775"/>
      <c r="D1" s="775"/>
      <c r="E1" s="776"/>
      <c r="F1" s="774" t="s">
        <v>464</v>
      </c>
      <c r="G1" s="775"/>
      <c r="H1" s="775"/>
      <c r="I1" s="775"/>
      <c r="J1" s="775"/>
      <c r="K1" s="775"/>
      <c r="L1" s="775"/>
      <c r="M1" s="775"/>
      <c r="N1" s="776"/>
      <c r="O1" s="760" t="s">
        <v>305</v>
      </c>
      <c r="P1" s="760"/>
      <c r="Q1" s="760"/>
      <c r="R1" s="760" t="s">
        <v>306</v>
      </c>
      <c r="S1" s="760"/>
      <c r="T1" s="760"/>
      <c r="U1" s="760" t="s">
        <v>237</v>
      </c>
      <c r="V1" s="760"/>
      <c r="W1" s="760"/>
      <c r="X1" s="760" t="s">
        <v>307</v>
      </c>
      <c r="Y1" s="760"/>
      <c r="Z1" s="760"/>
      <c r="AA1" s="760"/>
      <c r="AB1" s="760"/>
      <c r="AC1" s="760"/>
      <c r="AD1" s="760"/>
      <c r="AE1" s="760"/>
      <c r="AF1" s="760"/>
    </row>
    <row r="2" spans="1:32" s="259" customFormat="1" ht="12.75" customHeight="1" x14ac:dyDescent="0.15">
      <c r="A2" s="777"/>
      <c r="B2" s="778"/>
      <c r="C2" s="778"/>
      <c r="D2" s="778"/>
      <c r="E2" s="779"/>
      <c r="F2" s="777"/>
      <c r="G2" s="778"/>
      <c r="H2" s="778"/>
      <c r="I2" s="778"/>
      <c r="J2" s="778"/>
      <c r="K2" s="778"/>
      <c r="L2" s="778"/>
      <c r="M2" s="778"/>
      <c r="N2" s="779"/>
      <c r="O2" s="760" t="s">
        <v>238</v>
      </c>
      <c r="P2" s="760"/>
      <c r="Q2" s="760"/>
      <c r="R2" s="760" t="s">
        <v>238</v>
      </c>
      <c r="S2" s="760"/>
      <c r="T2" s="760"/>
      <c r="U2" s="760" t="s">
        <v>238</v>
      </c>
      <c r="V2" s="760"/>
      <c r="W2" s="760"/>
      <c r="X2" s="761" t="s">
        <v>308</v>
      </c>
      <c r="Y2" s="761"/>
      <c r="Z2" s="761"/>
      <c r="AA2" s="760" t="s">
        <v>306</v>
      </c>
      <c r="AB2" s="760"/>
      <c r="AC2" s="760"/>
      <c r="AD2" s="760" t="s">
        <v>237</v>
      </c>
      <c r="AE2" s="760"/>
      <c r="AF2" s="760"/>
    </row>
    <row r="3" spans="1:32" s="259" customFormat="1" ht="12.75" customHeight="1" x14ac:dyDescent="0.15">
      <c r="A3" s="777"/>
      <c r="B3" s="778"/>
      <c r="C3" s="778"/>
      <c r="D3" s="778"/>
      <c r="E3" s="779"/>
      <c r="F3" s="777"/>
      <c r="G3" s="778"/>
      <c r="H3" s="778"/>
      <c r="I3" s="778"/>
      <c r="J3" s="778"/>
      <c r="K3" s="778"/>
      <c r="L3" s="778"/>
      <c r="M3" s="778"/>
      <c r="N3" s="779"/>
      <c r="O3" s="760"/>
      <c r="P3" s="760"/>
      <c r="Q3" s="760"/>
      <c r="R3" s="760"/>
      <c r="S3" s="760"/>
      <c r="T3" s="760"/>
      <c r="U3" s="760"/>
      <c r="V3" s="760"/>
      <c r="W3" s="760"/>
      <c r="X3" s="760"/>
      <c r="Y3" s="760"/>
      <c r="Z3" s="760"/>
      <c r="AA3" s="760" t="s">
        <v>238</v>
      </c>
      <c r="AB3" s="760"/>
      <c r="AC3" s="760"/>
      <c r="AD3" s="760" t="s">
        <v>238</v>
      </c>
      <c r="AE3" s="760"/>
      <c r="AF3" s="760"/>
    </row>
    <row r="4" spans="1:32" s="259" customFormat="1" ht="12.75" customHeight="1" x14ac:dyDescent="0.15">
      <c r="A4" s="777"/>
      <c r="B4" s="778"/>
      <c r="C4" s="778"/>
      <c r="D4" s="778"/>
      <c r="E4" s="779"/>
      <c r="F4" s="777"/>
      <c r="G4" s="778"/>
      <c r="H4" s="778"/>
      <c r="I4" s="778"/>
      <c r="J4" s="778"/>
      <c r="K4" s="778"/>
      <c r="L4" s="778"/>
      <c r="M4" s="778"/>
      <c r="N4" s="779"/>
      <c r="O4" s="760"/>
      <c r="P4" s="760"/>
      <c r="Q4" s="760"/>
      <c r="R4" s="760"/>
      <c r="S4" s="760"/>
      <c r="T4" s="760"/>
      <c r="U4" s="760"/>
      <c r="V4" s="760"/>
      <c r="W4" s="760"/>
      <c r="X4" s="760"/>
      <c r="Y4" s="760"/>
      <c r="Z4" s="760"/>
      <c r="AA4" s="762"/>
      <c r="AB4" s="763"/>
      <c r="AC4" s="764"/>
      <c r="AD4" s="762"/>
      <c r="AE4" s="763"/>
      <c r="AF4" s="764"/>
    </row>
    <row r="5" spans="1:32" s="259" customFormat="1" ht="12.75" customHeight="1" x14ac:dyDescent="0.15">
      <c r="A5" s="780"/>
      <c r="B5" s="781"/>
      <c r="C5" s="781"/>
      <c r="D5" s="781"/>
      <c r="E5" s="782"/>
      <c r="F5" s="780"/>
      <c r="G5" s="781"/>
      <c r="H5" s="781"/>
      <c r="I5" s="781"/>
      <c r="J5" s="781"/>
      <c r="K5" s="781"/>
      <c r="L5" s="781"/>
      <c r="M5" s="781"/>
      <c r="N5" s="782"/>
      <c r="O5" s="760"/>
      <c r="P5" s="760"/>
      <c r="Q5" s="760"/>
      <c r="R5" s="760"/>
      <c r="S5" s="760"/>
      <c r="T5" s="760"/>
      <c r="U5" s="760"/>
      <c r="V5" s="760"/>
      <c r="W5" s="760"/>
      <c r="X5" s="760"/>
      <c r="Y5" s="760"/>
      <c r="Z5" s="760"/>
      <c r="AA5" s="765"/>
      <c r="AB5" s="766"/>
      <c r="AC5" s="767"/>
      <c r="AD5" s="765"/>
      <c r="AE5" s="766"/>
      <c r="AF5" s="767"/>
    </row>
    <row r="6" spans="1:32" s="259" customFormat="1" ht="15" customHeight="1" x14ac:dyDescent="0.15">
      <c r="A6" s="760" t="s">
        <v>465</v>
      </c>
      <c r="B6" s="760"/>
      <c r="C6" s="760"/>
      <c r="D6" s="760"/>
      <c r="E6" s="760"/>
      <c r="F6" s="760"/>
      <c r="G6" s="760"/>
      <c r="H6" s="760" t="s">
        <v>466</v>
      </c>
      <c r="I6" s="760"/>
      <c r="J6" s="760"/>
      <c r="K6" s="760"/>
      <c r="L6" s="760"/>
      <c r="M6" s="760"/>
      <c r="N6" s="760"/>
      <c r="O6" s="760"/>
      <c r="P6" s="760"/>
      <c r="Q6" s="760"/>
      <c r="R6" s="760"/>
      <c r="S6" s="760"/>
      <c r="T6" s="760"/>
      <c r="U6" s="760"/>
      <c r="V6" s="760"/>
      <c r="W6" s="760"/>
      <c r="X6" s="760"/>
      <c r="Y6" s="760"/>
      <c r="Z6" s="760"/>
      <c r="AA6" s="765"/>
      <c r="AB6" s="766"/>
      <c r="AC6" s="767"/>
      <c r="AD6" s="765"/>
      <c r="AE6" s="766"/>
      <c r="AF6" s="767"/>
    </row>
    <row r="7" spans="1:32" s="259" customFormat="1" ht="15" customHeight="1" x14ac:dyDescent="0.15">
      <c r="A7" s="760"/>
      <c r="B7" s="760"/>
      <c r="C7" s="760"/>
      <c r="D7" s="760"/>
      <c r="E7" s="760"/>
      <c r="F7" s="760"/>
      <c r="G7" s="760"/>
      <c r="H7" s="760"/>
      <c r="I7" s="760"/>
      <c r="J7" s="760"/>
      <c r="K7" s="760"/>
      <c r="L7" s="760"/>
      <c r="M7" s="760"/>
      <c r="N7" s="760"/>
      <c r="O7" s="760"/>
      <c r="P7" s="760"/>
      <c r="Q7" s="760"/>
      <c r="R7" s="760"/>
      <c r="S7" s="760"/>
      <c r="T7" s="760"/>
      <c r="U7" s="760"/>
      <c r="V7" s="760"/>
      <c r="W7" s="760"/>
      <c r="X7" s="760"/>
      <c r="Y7" s="760"/>
      <c r="Z7" s="760"/>
      <c r="AA7" s="768"/>
      <c r="AB7" s="769"/>
      <c r="AC7" s="770"/>
      <c r="AD7" s="768"/>
      <c r="AE7" s="769"/>
      <c r="AF7" s="770"/>
    </row>
    <row r="8" spans="1:32" s="262" customFormat="1" ht="15" customHeight="1" x14ac:dyDescent="0.15">
      <c r="A8" s="783" t="s">
        <v>310</v>
      </c>
      <c r="B8" s="783"/>
      <c r="C8" s="783"/>
      <c r="D8" s="783"/>
      <c r="E8" s="783"/>
      <c r="F8" s="783"/>
      <c r="G8" s="783"/>
      <c r="H8" s="783"/>
      <c r="I8" s="783"/>
      <c r="J8" s="783"/>
      <c r="K8" s="783"/>
      <c r="L8" s="783"/>
      <c r="M8" s="783"/>
      <c r="N8" s="783"/>
      <c r="O8" s="783" t="s">
        <v>139</v>
      </c>
      <c r="P8" s="783"/>
      <c r="Q8" s="783"/>
      <c r="R8" s="783"/>
      <c r="S8" s="783"/>
      <c r="T8" s="783"/>
      <c r="U8" s="260" t="s">
        <v>467</v>
      </c>
      <c r="V8" s="261"/>
      <c r="W8" s="754"/>
      <c r="X8" s="755"/>
      <c r="Y8" s="756"/>
      <c r="Z8" s="757" t="s">
        <v>468</v>
      </c>
      <c r="AA8" s="758"/>
      <c r="AB8" s="759"/>
      <c r="AC8" s="755"/>
      <c r="AD8" s="756"/>
      <c r="AE8" s="757" t="s">
        <v>469</v>
      </c>
      <c r="AF8" s="758"/>
    </row>
    <row r="9" spans="1:32" s="262" customFormat="1" ht="15" customHeight="1" x14ac:dyDescent="0.15">
      <c r="A9" s="783"/>
      <c r="B9" s="783"/>
      <c r="C9" s="783"/>
      <c r="D9" s="783"/>
      <c r="E9" s="783"/>
      <c r="F9" s="783"/>
      <c r="G9" s="783"/>
      <c r="H9" s="783"/>
      <c r="I9" s="783"/>
      <c r="J9" s="783"/>
      <c r="K9" s="783"/>
      <c r="L9" s="783"/>
      <c r="M9" s="783"/>
      <c r="N9" s="783"/>
      <c r="O9" s="783"/>
      <c r="P9" s="783"/>
      <c r="Q9" s="783"/>
      <c r="R9" s="783"/>
      <c r="S9" s="783"/>
      <c r="T9" s="783"/>
      <c r="U9" s="263" t="s">
        <v>470</v>
      </c>
      <c r="V9" s="264"/>
      <c r="W9" s="748"/>
      <c r="X9" s="749"/>
      <c r="Y9" s="750"/>
      <c r="Z9" s="751" t="s">
        <v>471</v>
      </c>
      <c r="AA9" s="750"/>
      <c r="AB9" s="751"/>
      <c r="AC9" s="749"/>
      <c r="AD9" s="750"/>
      <c r="AE9" s="752"/>
      <c r="AF9" s="753"/>
    </row>
    <row r="11" spans="1:32" ht="15" customHeight="1" x14ac:dyDescent="0.15">
      <c r="A11" s="10" t="s">
        <v>208</v>
      </c>
      <c r="B11" s="11"/>
      <c r="C11" s="771" t="s">
        <v>141</v>
      </c>
      <c r="D11" s="772"/>
      <c r="E11" s="772"/>
      <c r="F11" s="773"/>
      <c r="G11" s="12"/>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5" customHeight="1" x14ac:dyDescent="0.15">
      <c r="A12" s="14"/>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ht="15" customHeight="1" x14ac:dyDescent="0.15">
      <c r="A13" s="10" t="s">
        <v>265</v>
      </c>
      <c r="B13" s="11"/>
      <c r="C13" s="10" t="s">
        <v>266</v>
      </c>
      <c r="D13" s="16"/>
      <c r="E13" s="16"/>
      <c r="F13" s="11"/>
      <c r="G13" s="17" t="s">
        <v>267</v>
      </c>
      <c r="K13" s="13"/>
      <c r="L13" s="13"/>
      <c r="M13" s="13"/>
      <c r="N13" s="13"/>
      <c r="O13" s="13"/>
      <c r="P13" s="13"/>
      <c r="Q13" s="10" t="s">
        <v>265</v>
      </c>
      <c r="R13" s="11"/>
      <c r="S13" s="10" t="s">
        <v>266</v>
      </c>
      <c r="T13" s="16"/>
      <c r="U13" s="16"/>
      <c r="V13" s="11"/>
      <c r="W13" s="17" t="s">
        <v>267</v>
      </c>
      <c r="AA13" s="13"/>
      <c r="AB13" s="13"/>
      <c r="AC13" s="13"/>
      <c r="AD13" s="13"/>
      <c r="AE13" s="13"/>
      <c r="AF13" s="13"/>
    </row>
    <row r="14" spans="1:32" ht="15" customHeight="1" x14ac:dyDescent="0.15">
      <c r="A14" s="18" t="s">
        <v>229</v>
      </c>
      <c r="B14" s="19"/>
      <c r="C14" s="20" t="s">
        <v>268</v>
      </c>
      <c r="D14" s="21"/>
      <c r="E14" s="22"/>
      <c r="F14" s="23"/>
      <c r="G14" s="24">
        <v>0</v>
      </c>
      <c r="H14" s="25"/>
      <c r="I14" s="15"/>
      <c r="J14" s="15"/>
      <c r="K14" s="15"/>
      <c r="L14" s="15"/>
      <c r="M14" s="15"/>
      <c r="N14" s="15"/>
      <c r="O14" s="15"/>
      <c r="P14" s="26"/>
      <c r="Q14" s="18" t="s">
        <v>232</v>
      </c>
      <c r="R14" s="19"/>
      <c r="S14" s="20" t="s">
        <v>269</v>
      </c>
      <c r="T14" s="21"/>
      <c r="U14" s="22"/>
      <c r="V14" s="23"/>
      <c r="W14" s="24">
        <v>59</v>
      </c>
      <c r="X14" s="25"/>
      <c r="Y14" s="15"/>
      <c r="Z14" s="15"/>
      <c r="AA14" s="15"/>
      <c r="AB14" s="15"/>
      <c r="AC14" s="15"/>
      <c r="AD14" s="15"/>
      <c r="AE14" s="15"/>
      <c r="AF14" s="26"/>
    </row>
    <row r="15" spans="1:32" ht="15" customHeight="1" x14ac:dyDescent="0.15">
      <c r="A15" s="27"/>
      <c r="B15" s="28"/>
      <c r="C15" s="29" t="s">
        <v>270</v>
      </c>
      <c r="D15" s="30"/>
      <c r="E15" s="31"/>
      <c r="F15" s="32"/>
      <c r="G15" s="33">
        <v>62</v>
      </c>
      <c r="H15" s="12"/>
      <c r="I15" s="13"/>
      <c r="J15" s="13"/>
      <c r="K15" s="13"/>
      <c r="L15" s="13"/>
      <c r="M15" s="13"/>
      <c r="N15" s="13"/>
      <c r="O15" s="13"/>
      <c r="P15" s="34"/>
      <c r="Q15" s="27"/>
      <c r="R15" s="28"/>
      <c r="S15" s="29" t="s">
        <v>271</v>
      </c>
      <c r="T15" s="30"/>
      <c r="U15" s="31"/>
      <c r="V15" s="32"/>
      <c r="W15" s="33">
        <v>61</v>
      </c>
      <c r="X15" s="12"/>
      <c r="Y15" s="13"/>
      <c r="Z15" s="13"/>
      <c r="AA15" s="13"/>
      <c r="AB15" s="13"/>
      <c r="AC15" s="13"/>
      <c r="AD15" s="13"/>
      <c r="AE15" s="13"/>
      <c r="AF15" s="34"/>
    </row>
    <row r="16" spans="1:32" ht="15" customHeight="1" x14ac:dyDescent="0.15">
      <c r="A16" s="27"/>
      <c r="B16" s="28"/>
      <c r="C16" s="29" t="s">
        <v>272</v>
      </c>
      <c r="D16" s="30"/>
      <c r="E16" s="31"/>
      <c r="F16" s="32"/>
      <c r="G16" s="33">
        <v>140</v>
      </c>
      <c r="H16" s="12"/>
      <c r="I16" s="13"/>
      <c r="J16" s="13"/>
      <c r="K16" s="13"/>
      <c r="L16" s="13"/>
      <c r="M16" s="13"/>
      <c r="N16" s="13"/>
      <c r="O16" s="13"/>
      <c r="P16" s="34"/>
      <c r="Q16" s="27"/>
      <c r="R16" s="28"/>
      <c r="S16" s="29" t="s">
        <v>273</v>
      </c>
      <c r="T16" s="30"/>
      <c r="U16" s="31"/>
      <c r="V16" s="32"/>
      <c r="W16" s="35">
        <v>66</v>
      </c>
      <c r="X16" s="12"/>
      <c r="Y16" s="13"/>
      <c r="Z16" s="13"/>
      <c r="AA16" s="13"/>
      <c r="AB16" s="13"/>
      <c r="AC16" s="13"/>
      <c r="AD16" s="13"/>
      <c r="AE16" s="13"/>
      <c r="AF16" s="34"/>
    </row>
    <row r="17" spans="1:32" ht="15" customHeight="1" x14ac:dyDescent="0.15">
      <c r="A17" s="27"/>
      <c r="B17" s="36"/>
      <c r="C17" s="37" t="s">
        <v>274</v>
      </c>
      <c r="D17" s="38"/>
      <c r="E17" s="39"/>
      <c r="F17" s="40"/>
      <c r="G17" s="41">
        <v>464</v>
      </c>
      <c r="H17" s="12"/>
      <c r="I17" s="13"/>
      <c r="J17" s="13"/>
      <c r="K17" s="13"/>
      <c r="L17" s="13"/>
      <c r="M17" s="13"/>
      <c r="N17" s="13"/>
      <c r="O17" s="13"/>
      <c r="P17" s="34"/>
      <c r="Q17" s="27"/>
      <c r="R17" s="36"/>
      <c r="S17" s="29" t="s">
        <v>275</v>
      </c>
      <c r="T17" s="30"/>
      <c r="U17" s="31"/>
      <c r="V17" s="32"/>
      <c r="W17" s="33">
        <v>70</v>
      </c>
      <c r="X17" s="12"/>
      <c r="Y17" s="13"/>
      <c r="Z17" s="13"/>
      <c r="AA17" s="13"/>
      <c r="AB17" s="13"/>
      <c r="AC17" s="13"/>
      <c r="AD17" s="13"/>
      <c r="AE17" s="13"/>
      <c r="AF17" s="34"/>
    </row>
    <row r="18" spans="1:32" ht="15" customHeight="1" x14ac:dyDescent="0.15">
      <c r="A18" s="27"/>
      <c r="B18" s="36"/>
      <c r="C18" s="36"/>
      <c r="D18" s="36"/>
      <c r="E18" s="36"/>
      <c r="F18" s="36"/>
      <c r="G18" s="28"/>
      <c r="H18" s="12"/>
      <c r="I18" s="13"/>
      <c r="J18" s="13"/>
      <c r="K18" s="13"/>
      <c r="L18" s="13"/>
      <c r="M18" s="13"/>
      <c r="N18" s="13"/>
      <c r="O18" s="13"/>
      <c r="P18" s="34"/>
      <c r="Q18" s="27"/>
      <c r="R18" s="36"/>
      <c r="S18" s="42" t="s">
        <v>276</v>
      </c>
      <c r="T18" s="31"/>
      <c r="U18" s="31"/>
      <c r="V18" s="31"/>
      <c r="W18" s="33">
        <v>74</v>
      </c>
      <c r="X18" s="12"/>
      <c r="Y18" s="13"/>
      <c r="Z18" s="13"/>
      <c r="AA18" s="13"/>
      <c r="AB18" s="13"/>
      <c r="AC18" s="13"/>
      <c r="AD18" s="13"/>
      <c r="AE18" s="13"/>
      <c r="AF18" s="34"/>
    </row>
    <row r="19" spans="1:32" ht="15" customHeight="1" x14ac:dyDescent="0.15">
      <c r="A19" s="27"/>
      <c r="B19" s="36"/>
      <c r="C19" s="36"/>
      <c r="D19" s="36"/>
      <c r="E19" s="36"/>
      <c r="F19" s="36"/>
      <c r="G19" s="28"/>
      <c r="H19" s="12"/>
      <c r="I19" s="13"/>
      <c r="J19" s="13"/>
      <c r="K19" s="13"/>
      <c r="L19" s="13"/>
      <c r="M19" s="13"/>
      <c r="N19" s="13"/>
      <c r="O19" s="13"/>
      <c r="P19" s="34"/>
      <c r="Q19" s="27"/>
      <c r="R19" s="36"/>
      <c r="S19" s="42" t="s">
        <v>277</v>
      </c>
      <c r="T19" s="31"/>
      <c r="U19" s="31"/>
      <c r="V19" s="31"/>
      <c r="W19" s="33">
        <v>78</v>
      </c>
      <c r="X19" s="12"/>
      <c r="Y19" s="13"/>
      <c r="Z19" s="13"/>
      <c r="AA19" s="13"/>
      <c r="AB19" s="13"/>
      <c r="AC19" s="13"/>
      <c r="AD19" s="13"/>
      <c r="AE19" s="13"/>
      <c r="AF19" s="34"/>
    </row>
    <row r="20" spans="1:32" ht="15" customHeight="1" x14ac:dyDescent="0.15">
      <c r="A20" s="27"/>
      <c r="B20" s="36"/>
      <c r="C20" s="36"/>
      <c r="D20" s="36"/>
      <c r="E20" s="36"/>
      <c r="F20" s="36"/>
      <c r="G20" s="28"/>
      <c r="H20" s="12"/>
      <c r="I20" s="13"/>
      <c r="J20" s="13"/>
      <c r="K20" s="13"/>
      <c r="L20" s="13"/>
      <c r="M20" s="13"/>
      <c r="N20" s="13"/>
      <c r="O20" s="13"/>
      <c r="P20" s="34"/>
      <c r="Q20" s="27"/>
      <c r="R20" s="36"/>
      <c r="S20" s="42" t="s">
        <v>278</v>
      </c>
      <c r="T20" s="31"/>
      <c r="U20" s="31"/>
      <c r="V20" s="31"/>
      <c r="W20" s="33">
        <v>82</v>
      </c>
      <c r="X20" s="12"/>
      <c r="Y20" s="13"/>
      <c r="Z20" s="13"/>
      <c r="AA20" s="13"/>
      <c r="AB20" s="13"/>
      <c r="AC20" s="13"/>
      <c r="AD20" s="13"/>
      <c r="AE20" s="13"/>
      <c r="AF20" s="34"/>
    </row>
    <row r="21" spans="1:32" ht="15" customHeight="1" x14ac:dyDescent="0.15">
      <c r="A21" s="27"/>
      <c r="B21" s="36"/>
      <c r="C21" s="36"/>
      <c r="D21" s="36"/>
      <c r="E21" s="36"/>
      <c r="F21" s="36"/>
      <c r="G21" s="28"/>
      <c r="H21" s="12"/>
      <c r="I21" s="13"/>
      <c r="J21" s="13"/>
      <c r="K21" s="13"/>
      <c r="L21" s="13"/>
      <c r="M21" s="13"/>
      <c r="N21" s="13"/>
      <c r="O21" s="13"/>
      <c r="P21" s="34"/>
      <c r="Q21" s="27"/>
      <c r="R21" s="36"/>
      <c r="S21" s="42" t="s">
        <v>279</v>
      </c>
      <c r="T21" s="31"/>
      <c r="U21" s="31"/>
      <c r="V21" s="31"/>
      <c r="W21" s="33">
        <v>86</v>
      </c>
      <c r="X21" s="12"/>
      <c r="Y21" s="13"/>
      <c r="Z21" s="13"/>
      <c r="AA21" s="13"/>
      <c r="AB21" s="13"/>
      <c r="AC21" s="13"/>
      <c r="AD21" s="13"/>
      <c r="AE21" s="13"/>
      <c r="AF21" s="34"/>
    </row>
    <row r="22" spans="1:32" ht="15" customHeight="1" x14ac:dyDescent="0.15">
      <c r="A22" s="27"/>
      <c r="B22" s="36"/>
      <c r="C22" s="36"/>
      <c r="D22" s="36"/>
      <c r="E22" s="36"/>
      <c r="F22" s="36"/>
      <c r="G22" s="28"/>
      <c r="H22" s="12"/>
      <c r="I22" s="13"/>
      <c r="J22" s="13"/>
      <c r="K22" s="13"/>
      <c r="L22" s="13"/>
      <c r="M22" s="13"/>
      <c r="N22" s="13"/>
      <c r="O22" s="13"/>
      <c r="P22" s="34"/>
      <c r="Q22" s="27"/>
      <c r="R22" s="36"/>
      <c r="S22" s="43" t="s">
        <v>274</v>
      </c>
      <c r="T22" s="39"/>
      <c r="U22" s="39"/>
      <c r="V22" s="39"/>
      <c r="W22" s="41">
        <v>90</v>
      </c>
      <c r="X22" s="12"/>
      <c r="Y22" s="13"/>
      <c r="Z22" s="13"/>
      <c r="AA22" s="13"/>
      <c r="AB22" s="13"/>
      <c r="AC22" s="13"/>
      <c r="AD22" s="13"/>
      <c r="AE22" s="13"/>
      <c r="AF22" s="34"/>
    </row>
    <row r="23" spans="1:32" ht="15" customHeight="1" x14ac:dyDescent="0.15">
      <c r="A23" s="27"/>
      <c r="B23" s="36"/>
      <c r="C23" s="36"/>
      <c r="D23" s="36"/>
      <c r="E23" s="36"/>
      <c r="F23" s="36"/>
      <c r="G23" s="28"/>
      <c r="H23" s="12"/>
      <c r="I23" s="13"/>
      <c r="J23" s="13"/>
      <c r="K23" s="13"/>
      <c r="L23" s="13"/>
      <c r="M23" s="13"/>
      <c r="N23" s="13"/>
      <c r="O23" s="13"/>
      <c r="P23" s="34"/>
      <c r="Q23" s="27"/>
      <c r="R23" s="36"/>
      <c r="S23" s="36"/>
      <c r="T23" s="36"/>
      <c r="U23" s="36"/>
      <c r="V23" s="36"/>
      <c r="W23" s="28"/>
      <c r="X23" s="12"/>
      <c r="Y23" s="13"/>
      <c r="Z23" s="13"/>
      <c r="AA23" s="13"/>
      <c r="AB23" s="13"/>
      <c r="AC23" s="13"/>
      <c r="AD23" s="13"/>
      <c r="AE23" s="13"/>
      <c r="AF23" s="34"/>
    </row>
    <row r="24" spans="1:32" ht="15" customHeight="1" x14ac:dyDescent="0.15">
      <c r="A24" s="43"/>
      <c r="B24" s="39"/>
      <c r="C24" s="39"/>
      <c r="D24" s="39"/>
      <c r="E24" s="39"/>
      <c r="F24" s="39"/>
      <c r="G24" s="40"/>
      <c r="H24" s="44"/>
      <c r="I24" s="45"/>
      <c r="J24" s="45"/>
      <c r="K24" s="45"/>
      <c r="L24" s="45"/>
      <c r="M24" s="45"/>
      <c r="N24" s="45"/>
      <c r="O24" s="45"/>
      <c r="P24" s="46"/>
      <c r="Q24" s="43"/>
      <c r="R24" s="39"/>
      <c r="S24" s="39"/>
      <c r="T24" s="39"/>
      <c r="U24" s="39"/>
      <c r="V24" s="39"/>
      <c r="W24" s="40"/>
      <c r="X24" s="44"/>
      <c r="Y24" s="45"/>
      <c r="Z24" s="45"/>
      <c r="AA24" s="45"/>
      <c r="AB24" s="45"/>
      <c r="AC24" s="45"/>
      <c r="AD24" s="45"/>
      <c r="AE24" s="45"/>
      <c r="AF24" s="46"/>
    </row>
    <row r="25" spans="1:32" ht="15" customHeight="1" x14ac:dyDescent="0.15">
      <c r="A25" s="18" t="s">
        <v>230</v>
      </c>
      <c r="B25" s="19"/>
      <c r="C25" s="20" t="s">
        <v>280</v>
      </c>
      <c r="D25" s="21"/>
      <c r="E25" s="22"/>
      <c r="F25" s="23"/>
      <c r="G25" s="47">
        <v>58</v>
      </c>
      <c r="H25" s="25"/>
      <c r="I25" s="15"/>
      <c r="J25" s="15"/>
      <c r="K25" s="15"/>
      <c r="L25" s="15"/>
      <c r="M25" s="15"/>
      <c r="N25" s="15"/>
      <c r="O25" s="15"/>
      <c r="P25" s="26"/>
      <c r="Q25" s="18" t="s">
        <v>233</v>
      </c>
      <c r="R25" s="19"/>
      <c r="S25" s="20" t="s">
        <v>281</v>
      </c>
      <c r="T25" s="21"/>
      <c r="U25" s="22"/>
      <c r="V25" s="23"/>
      <c r="W25" s="47">
        <v>45</v>
      </c>
      <c r="X25" s="25"/>
      <c r="Y25" s="15"/>
      <c r="Z25" s="15"/>
      <c r="AA25" s="15"/>
      <c r="AB25" s="15"/>
      <c r="AC25" s="15"/>
      <c r="AD25" s="15"/>
      <c r="AE25" s="15"/>
      <c r="AF25" s="26"/>
    </row>
    <row r="26" spans="1:32" ht="15" customHeight="1" x14ac:dyDescent="0.15">
      <c r="A26" s="27"/>
      <c r="B26" s="28"/>
      <c r="C26" s="29" t="s">
        <v>282</v>
      </c>
      <c r="D26" s="30"/>
      <c r="E26" s="31"/>
      <c r="F26" s="32"/>
      <c r="G26" s="33">
        <v>62</v>
      </c>
      <c r="H26" s="12"/>
      <c r="I26" s="13"/>
      <c r="J26" s="13"/>
      <c r="K26" s="13"/>
      <c r="L26" s="13"/>
      <c r="M26" s="13"/>
      <c r="N26" s="13"/>
      <c r="O26" s="13"/>
      <c r="P26" s="34"/>
      <c r="Q26" s="27"/>
      <c r="R26" s="28"/>
      <c r="S26" s="29" t="s">
        <v>283</v>
      </c>
      <c r="T26" s="30"/>
      <c r="U26" s="31"/>
      <c r="V26" s="32"/>
      <c r="W26" s="33">
        <v>55</v>
      </c>
      <c r="X26" s="12"/>
      <c r="Y26" s="13"/>
      <c r="Z26" s="13"/>
      <c r="AA26" s="13"/>
      <c r="AB26" s="13"/>
      <c r="AC26" s="13"/>
      <c r="AD26" s="13"/>
      <c r="AE26" s="13"/>
      <c r="AF26" s="34"/>
    </row>
    <row r="27" spans="1:32" ht="15" customHeight="1" x14ac:dyDescent="0.15">
      <c r="A27" s="27"/>
      <c r="B27" s="28"/>
      <c r="C27" s="29" t="s">
        <v>284</v>
      </c>
      <c r="D27" s="30"/>
      <c r="E27" s="31"/>
      <c r="F27" s="32"/>
      <c r="G27" s="33">
        <v>66</v>
      </c>
      <c r="H27" s="12"/>
      <c r="I27" s="13"/>
      <c r="J27" s="13"/>
      <c r="K27" s="13"/>
      <c r="L27" s="13"/>
      <c r="M27" s="13"/>
      <c r="N27" s="13"/>
      <c r="O27" s="13"/>
      <c r="P27" s="34"/>
      <c r="Q27" s="27"/>
      <c r="R27" s="28"/>
      <c r="S27" s="29" t="s">
        <v>253</v>
      </c>
      <c r="T27" s="30"/>
      <c r="U27" s="31"/>
      <c r="V27" s="32"/>
      <c r="W27" s="33">
        <v>60</v>
      </c>
      <c r="X27" s="12"/>
      <c r="Y27" s="13"/>
      <c r="Z27" s="13"/>
      <c r="AA27" s="13"/>
      <c r="AB27" s="13"/>
      <c r="AC27" s="13"/>
      <c r="AD27" s="13"/>
      <c r="AE27" s="13"/>
      <c r="AF27" s="34"/>
    </row>
    <row r="28" spans="1:32" ht="15" customHeight="1" x14ac:dyDescent="0.15">
      <c r="A28" s="27"/>
      <c r="B28" s="28"/>
      <c r="C28" s="29" t="s">
        <v>285</v>
      </c>
      <c r="D28" s="30"/>
      <c r="E28" s="31"/>
      <c r="F28" s="32"/>
      <c r="G28" s="33">
        <v>70</v>
      </c>
      <c r="H28" s="12"/>
      <c r="I28" s="13"/>
      <c r="J28" s="13"/>
      <c r="K28" s="13"/>
      <c r="L28" s="13"/>
      <c r="M28" s="13"/>
      <c r="N28" s="13"/>
      <c r="O28" s="13"/>
      <c r="P28" s="34"/>
      <c r="Q28" s="27"/>
      <c r="R28" s="36"/>
      <c r="S28" s="29" t="s">
        <v>286</v>
      </c>
      <c r="T28" s="30"/>
      <c r="U28" s="31"/>
      <c r="V28" s="32"/>
      <c r="W28" s="33">
        <v>65</v>
      </c>
      <c r="X28" s="12"/>
      <c r="Y28" s="13"/>
      <c r="Z28" s="13"/>
      <c r="AA28" s="13"/>
      <c r="AB28" s="13"/>
      <c r="AC28" s="13"/>
      <c r="AD28" s="13"/>
      <c r="AE28" s="13"/>
      <c r="AF28" s="34"/>
    </row>
    <row r="29" spans="1:32" ht="15" customHeight="1" x14ac:dyDescent="0.15">
      <c r="A29" s="27"/>
      <c r="B29" s="28"/>
      <c r="C29" s="29" t="s">
        <v>287</v>
      </c>
      <c r="D29" s="30"/>
      <c r="E29" s="31"/>
      <c r="F29" s="32"/>
      <c r="G29" s="33">
        <v>74</v>
      </c>
      <c r="H29" s="12"/>
      <c r="I29" s="13"/>
      <c r="J29" s="13"/>
      <c r="K29" s="13"/>
      <c r="L29" s="13"/>
      <c r="M29" s="13"/>
      <c r="N29" s="13"/>
      <c r="O29" s="13"/>
      <c r="P29" s="34"/>
      <c r="Q29" s="27"/>
      <c r="R29" s="36"/>
      <c r="S29" s="29" t="s">
        <v>288</v>
      </c>
      <c r="T29" s="30"/>
      <c r="U29" s="31"/>
      <c r="V29" s="32"/>
      <c r="W29" s="33">
        <v>70</v>
      </c>
      <c r="X29" s="12"/>
      <c r="Y29" s="13"/>
      <c r="Z29" s="13"/>
      <c r="AA29" s="13"/>
      <c r="AB29" s="13"/>
      <c r="AC29" s="13"/>
      <c r="AD29" s="13"/>
      <c r="AE29" s="13"/>
      <c r="AF29" s="34"/>
    </row>
    <row r="30" spans="1:32" ht="15" customHeight="1" x14ac:dyDescent="0.15">
      <c r="A30" s="27"/>
      <c r="B30" s="36"/>
      <c r="C30" s="29" t="s">
        <v>289</v>
      </c>
      <c r="D30" s="30"/>
      <c r="E30" s="31"/>
      <c r="F30" s="32"/>
      <c r="G30" s="33">
        <v>78</v>
      </c>
      <c r="H30" s="12"/>
      <c r="I30" s="13"/>
      <c r="J30" s="13"/>
      <c r="K30" s="13"/>
      <c r="L30" s="13"/>
      <c r="M30" s="13"/>
      <c r="N30" s="13"/>
      <c r="O30" s="13"/>
      <c r="P30" s="34"/>
      <c r="Q30" s="27"/>
      <c r="R30" s="36"/>
      <c r="S30" s="29" t="s">
        <v>290</v>
      </c>
      <c r="T30" s="30"/>
      <c r="U30" s="31"/>
      <c r="V30" s="32"/>
      <c r="W30" s="33">
        <v>75</v>
      </c>
      <c r="X30" s="12"/>
      <c r="Y30" s="13"/>
      <c r="Z30" s="13"/>
      <c r="AA30" s="13"/>
      <c r="AB30" s="13"/>
      <c r="AC30" s="13"/>
      <c r="AD30" s="13"/>
      <c r="AE30" s="13"/>
      <c r="AF30" s="34"/>
    </row>
    <row r="31" spans="1:32" ht="15" customHeight="1" x14ac:dyDescent="0.15">
      <c r="A31" s="27"/>
      <c r="B31" s="36"/>
      <c r="C31" s="42" t="s">
        <v>291</v>
      </c>
      <c r="D31" s="31"/>
      <c r="E31" s="31"/>
      <c r="F31" s="31"/>
      <c r="G31" s="33">
        <v>82</v>
      </c>
      <c r="H31" s="12"/>
      <c r="I31" s="13"/>
      <c r="J31" s="13"/>
      <c r="K31" s="13"/>
      <c r="L31" s="13"/>
      <c r="M31" s="13"/>
      <c r="N31" s="13"/>
      <c r="O31" s="13"/>
      <c r="P31" s="34"/>
      <c r="Q31" s="27"/>
      <c r="R31" s="36"/>
      <c r="S31" s="29" t="s">
        <v>292</v>
      </c>
      <c r="T31" s="30"/>
      <c r="U31" s="31"/>
      <c r="V31" s="32"/>
      <c r="W31" s="33">
        <v>80</v>
      </c>
      <c r="X31" s="12"/>
      <c r="Y31" s="13"/>
      <c r="Z31" s="13"/>
      <c r="AA31" s="13"/>
      <c r="AB31" s="13"/>
      <c r="AC31" s="13"/>
      <c r="AD31" s="13"/>
      <c r="AE31" s="13"/>
      <c r="AF31" s="34"/>
    </row>
    <row r="32" spans="1:32" ht="15" customHeight="1" x14ac:dyDescent="0.15">
      <c r="A32" s="27"/>
      <c r="B32" s="36"/>
      <c r="C32" s="42" t="s">
        <v>293</v>
      </c>
      <c r="D32" s="31"/>
      <c r="E32" s="31"/>
      <c r="F32" s="31"/>
      <c r="G32" s="33">
        <v>86</v>
      </c>
      <c r="H32" s="12"/>
      <c r="I32" s="13"/>
      <c r="J32" s="13"/>
      <c r="K32" s="13"/>
      <c r="L32" s="13"/>
      <c r="M32" s="13"/>
      <c r="N32" s="13"/>
      <c r="O32" s="13"/>
      <c r="P32" s="34"/>
      <c r="Q32" s="27"/>
      <c r="R32" s="36"/>
      <c r="S32" s="37" t="s">
        <v>274</v>
      </c>
      <c r="T32" s="38"/>
      <c r="U32" s="39"/>
      <c r="V32" s="40"/>
      <c r="W32" s="41">
        <v>20</v>
      </c>
      <c r="X32" s="12"/>
      <c r="Y32" s="13"/>
      <c r="Z32" s="13"/>
      <c r="AA32" s="13"/>
      <c r="AB32" s="13"/>
      <c r="AC32" s="13"/>
      <c r="AD32" s="13"/>
      <c r="AE32" s="13"/>
      <c r="AF32" s="34"/>
    </row>
    <row r="33" spans="1:32" ht="15" customHeight="1" x14ac:dyDescent="0.15">
      <c r="A33" s="27"/>
      <c r="B33" s="36"/>
      <c r="C33" s="43" t="s">
        <v>274</v>
      </c>
      <c r="D33" s="39"/>
      <c r="E33" s="39"/>
      <c r="F33" s="39"/>
      <c r="G33" s="41">
        <v>90</v>
      </c>
      <c r="H33" s="12"/>
      <c r="I33" s="13"/>
      <c r="J33" s="13"/>
      <c r="K33" s="13"/>
      <c r="L33" s="13"/>
      <c r="M33" s="13"/>
      <c r="N33" s="13"/>
      <c r="O33" s="13"/>
      <c r="P33" s="34"/>
      <c r="Q33" s="27"/>
      <c r="R33" s="36"/>
      <c r="S33" s="36"/>
      <c r="T33" s="36"/>
      <c r="U33" s="36"/>
      <c r="V33" s="36"/>
      <c r="W33" s="28"/>
      <c r="X33" s="12"/>
      <c r="Y33" s="13"/>
      <c r="Z33" s="13"/>
      <c r="AA33" s="13"/>
      <c r="AB33" s="13"/>
      <c r="AC33" s="13"/>
      <c r="AD33" s="13"/>
      <c r="AE33" s="13"/>
      <c r="AF33" s="34"/>
    </row>
    <row r="34" spans="1:32" ht="15" customHeight="1" x14ac:dyDescent="0.15">
      <c r="A34" s="27"/>
      <c r="B34" s="36"/>
      <c r="C34" s="36"/>
      <c r="D34" s="36"/>
      <c r="E34" s="36"/>
      <c r="F34" s="36"/>
      <c r="G34" s="28"/>
      <c r="H34" s="12"/>
      <c r="I34" s="13"/>
      <c r="J34" s="13"/>
      <c r="K34" s="13"/>
      <c r="L34" s="13"/>
      <c r="M34" s="13"/>
      <c r="N34" s="13"/>
      <c r="O34" s="13"/>
      <c r="P34" s="34"/>
      <c r="Q34" s="27"/>
      <c r="R34" s="36"/>
      <c r="S34" s="36"/>
      <c r="T34" s="36"/>
      <c r="U34" s="36"/>
      <c r="V34" s="36"/>
      <c r="W34" s="28"/>
      <c r="X34" s="12"/>
      <c r="Y34" s="13"/>
      <c r="Z34" s="13"/>
      <c r="AA34" s="13"/>
      <c r="AB34" s="13"/>
      <c r="AC34" s="13"/>
      <c r="AD34" s="13"/>
      <c r="AE34" s="13"/>
      <c r="AF34" s="34"/>
    </row>
    <row r="35" spans="1:32" ht="15" customHeight="1" x14ac:dyDescent="0.15">
      <c r="A35" s="43"/>
      <c r="B35" s="39"/>
      <c r="C35" s="39"/>
      <c r="D35" s="39"/>
      <c r="E35" s="39"/>
      <c r="F35" s="39"/>
      <c r="G35" s="40"/>
      <c r="H35" s="44"/>
      <c r="I35" s="45"/>
      <c r="J35" s="45"/>
      <c r="K35" s="45"/>
      <c r="L35" s="45"/>
      <c r="M35" s="45"/>
      <c r="N35" s="45"/>
      <c r="O35" s="45"/>
      <c r="P35" s="46"/>
      <c r="Q35" s="43"/>
      <c r="R35" s="39"/>
      <c r="S35" s="39"/>
      <c r="T35" s="39"/>
      <c r="U35" s="39"/>
      <c r="V35" s="39"/>
      <c r="W35" s="40"/>
      <c r="X35" s="44"/>
      <c r="Y35" s="45"/>
      <c r="Z35" s="45"/>
      <c r="AA35" s="45"/>
      <c r="AB35" s="45"/>
      <c r="AC35" s="45"/>
      <c r="AD35" s="45"/>
      <c r="AE35" s="45"/>
      <c r="AF35" s="46"/>
    </row>
    <row r="36" spans="1:32" ht="15" customHeight="1" x14ac:dyDescent="0.15">
      <c r="A36" s="18" t="s">
        <v>231</v>
      </c>
      <c r="B36" s="19"/>
      <c r="C36" s="20" t="s">
        <v>294</v>
      </c>
      <c r="D36" s="21"/>
      <c r="E36" s="22"/>
      <c r="F36" s="23"/>
      <c r="G36" s="47">
        <v>70</v>
      </c>
      <c r="H36" s="25"/>
      <c r="I36" s="15"/>
      <c r="J36" s="15"/>
      <c r="K36" s="15"/>
      <c r="L36" s="15"/>
      <c r="M36" s="15"/>
      <c r="N36" s="15"/>
      <c r="O36" s="15"/>
      <c r="P36" s="26"/>
    </row>
    <row r="37" spans="1:32" ht="15" customHeight="1" x14ac:dyDescent="0.15">
      <c r="A37" s="27"/>
      <c r="B37" s="28"/>
      <c r="C37" s="29" t="s">
        <v>295</v>
      </c>
      <c r="D37" s="30"/>
      <c r="E37" s="31"/>
      <c r="F37" s="32"/>
      <c r="G37" s="33">
        <v>136</v>
      </c>
      <c r="H37" s="12"/>
      <c r="I37" s="13"/>
      <c r="J37" s="13"/>
      <c r="K37" s="13"/>
      <c r="L37" s="13"/>
      <c r="M37" s="13"/>
      <c r="N37" s="13"/>
      <c r="O37" s="13"/>
      <c r="P37" s="34"/>
    </row>
    <row r="38" spans="1:32" ht="15" customHeight="1" x14ac:dyDescent="0.15">
      <c r="A38" s="27"/>
      <c r="B38" s="28"/>
      <c r="C38" s="29" t="s">
        <v>296</v>
      </c>
      <c r="D38" s="30"/>
      <c r="E38" s="31"/>
      <c r="F38" s="32"/>
      <c r="G38" s="33">
        <v>234</v>
      </c>
      <c r="H38" s="12"/>
      <c r="I38" s="13"/>
      <c r="J38" s="13"/>
      <c r="K38" s="13"/>
      <c r="L38" s="13"/>
      <c r="M38" s="13"/>
      <c r="N38" s="13"/>
      <c r="O38" s="13"/>
      <c r="P38" s="34"/>
    </row>
    <row r="39" spans="1:32" ht="15" customHeight="1" x14ac:dyDescent="0.15">
      <c r="A39" s="27"/>
      <c r="B39" s="36"/>
      <c r="C39" s="37" t="s">
        <v>274</v>
      </c>
      <c r="D39" s="38"/>
      <c r="E39" s="39"/>
      <c r="F39" s="40"/>
      <c r="G39" s="41">
        <v>226</v>
      </c>
      <c r="H39" s="12"/>
      <c r="I39" s="13"/>
      <c r="J39" s="13"/>
      <c r="K39" s="13"/>
      <c r="L39" s="13"/>
      <c r="M39" s="13"/>
      <c r="N39" s="13"/>
      <c r="O39" s="13"/>
      <c r="P39" s="34"/>
    </row>
    <row r="40" spans="1:32" ht="15" customHeight="1" x14ac:dyDescent="0.15">
      <c r="A40" s="27"/>
      <c r="B40" s="36"/>
      <c r="C40" s="36"/>
      <c r="D40" s="36"/>
      <c r="E40" s="36"/>
      <c r="F40" s="36"/>
      <c r="G40" s="28"/>
      <c r="H40" s="12"/>
      <c r="I40" s="13"/>
      <c r="J40" s="13"/>
      <c r="K40" s="13"/>
      <c r="L40" s="13"/>
      <c r="M40" s="13"/>
      <c r="N40" s="13"/>
      <c r="O40" s="13"/>
      <c r="P40" s="34"/>
    </row>
    <row r="41" spans="1:32" ht="15" customHeight="1" x14ac:dyDescent="0.15">
      <c r="A41" s="27"/>
      <c r="B41" s="36"/>
      <c r="C41" s="36"/>
      <c r="D41" s="36"/>
      <c r="E41" s="36"/>
      <c r="F41" s="36"/>
      <c r="G41" s="28"/>
      <c r="H41" s="12"/>
      <c r="I41" s="13"/>
      <c r="J41" s="13"/>
      <c r="K41" s="13"/>
      <c r="L41" s="13"/>
      <c r="M41" s="13"/>
      <c r="N41" s="13"/>
      <c r="O41" s="13"/>
      <c r="P41" s="34"/>
    </row>
    <row r="42" spans="1:32" ht="15" customHeight="1" x14ac:dyDescent="0.15">
      <c r="A42" s="27"/>
      <c r="B42" s="36"/>
      <c r="C42" s="36"/>
      <c r="D42" s="36"/>
      <c r="E42" s="36"/>
      <c r="F42" s="36"/>
      <c r="G42" s="28"/>
      <c r="H42" s="12"/>
      <c r="I42" s="13"/>
      <c r="J42" s="13"/>
      <c r="K42" s="13"/>
      <c r="L42" s="13"/>
      <c r="M42" s="13"/>
      <c r="N42" s="13"/>
      <c r="O42" s="13"/>
      <c r="P42" s="34"/>
    </row>
    <row r="43" spans="1:32" ht="15" customHeight="1" x14ac:dyDescent="0.15">
      <c r="A43" s="27"/>
      <c r="B43" s="36"/>
      <c r="C43" s="36"/>
      <c r="D43" s="36"/>
      <c r="E43" s="36"/>
      <c r="F43" s="36"/>
      <c r="G43" s="28"/>
      <c r="H43" s="12"/>
      <c r="I43" s="13"/>
      <c r="J43" s="13"/>
      <c r="K43" s="13"/>
      <c r="L43" s="13"/>
      <c r="M43" s="13"/>
      <c r="N43" s="13"/>
      <c r="O43" s="13"/>
      <c r="P43" s="34"/>
    </row>
    <row r="44" spans="1:32" ht="15" customHeight="1" x14ac:dyDescent="0.15">
      <c r="A44" s="27"/>
      <c r="B44" s="36"/>
      <c r="C44" s="36"/>
      <c r="D44" s="36"/>
      <c r="E44" s="36"/>
      <c r="F44" s="36"/>
      <c r="G44" s="28"/>
      <c r="H44" s="12"/>
      <c r="I44" s="13"/>
      <c r="J44" s="13"/>
      <c r="K44" s="13"/>
      <c r="L44" s="13"/>
      <c r="M44" s="13"/>
      <c r="N44" s="13"/>
      <c r="O44" s="13"/>
      <c r="P44" s="34"/>
    </row>
    <row r="45" spans="1:32" ht="15" customHeight="1" x14ac:dyDescent="0.15">
      <c r="A45" s="27"/>
      <c r="B45" s="36"/>
      <c r="C45" s="36"/>
      <c r="D45" s="36"/>
      <c r="E45" s="36"/>
      <c r="F45" s="36"/>
      <c r="G45" s="28"/>
      <c r="H45" s="12"/>
      <c r="I45" s="13"/>
      <c r="J45" s="13"/>
      <c r="K45" s="13"/>
      <c r="L45" s="13"/>
      <c r="M45" s="13"/>
      <c r="N45" s="13"/>
      <c r="O45" s="13"/>
      <c r="P45" s="34"/>
    </row>
    <row r="46" spans="1:32" ht="15" customHeight="1" x14ac:dyDescent="0.15">
      <c r="A46" s="43"/>
      <c r="B46" s="39"/>
      <c r="C46" s="39"/>
      <c r="D46" s="39"/>
      <c r="E46" s="39"/>
      <c r="F46" s="39"/>
      <c r="G46" s="40"/>
      <c r="H46" s="44"/>
      <c r="I46" s="45"/>
      <c r="J46" s="45"/>
      <c r="K46" s="45"/>
      <c r="L46" s="45"/>
      <c r="M46" s="45"/>
      <c r="N46" s="45"/>
      <c r="O46" s="45"/>
      <c r="P46" s="46"/>
    </row>
  </sheetData>
  <mergeCells count="37">
    <mergeCell ref="O2:Q2"/>
    <mergeCell ref="AA3:AC3"/>
    <mergeCell ref="C11:F11"/>
    <mergeCell ref="A1:E5"/>
    <mergeCell ref="F1:N5"/>
    <mergeCell ref="O1:Q1"/>
    <mergeCell ref="O3:Q7"/>
    <mergeCell ref="A8:N8"/>
    <mergeCell ref="O8:T8"/>
    <mergeCell ref="A9:N9"/>
    <mergeCell ref="O9:T9"/>
    <mergeCell ref="R1:T1"/>
    <mergeCell ref="U1:W1"/>
    <mergeCell ref="X1:AF1"/>
    <mergeCell ref="AA2:AC2"/>
    <mergeCell ref="AD2:AF2"/>
    <mergeCell ref="R2:T2"/>
    <mergeCell ref="U2:W2"/>
    <mergeCell ref="X2:Z2"/>
    <mergeCell ref="AD3:AF3"/>
    <mergeCell ref="AA4:AC7"/>
    <mergeCell ref="AD4:AF7"/>
    <mergeCell ref="U3:W7"/>
    <mergeCell ref="X3:Z7"/>
    <mergeCell ref="A6:G6"/>
    <mergeCell ref="H6:N6"/>
    <mergeCell ref="A7:G7"/>
    <mergeCell ref="H7:N7"/>
    <mergeCell ref="R3:T7"/>
    <mergeCell ref="W9:Y9"/>
    <mergeCell ref="Z9:AA9"/>
    <mergeCell ref="AB9:AD9"/>
    <mergeCell ref="AE9:AF9"/>
    <mergeCell ref="W8:Y8"/>
    <mergeCell ref="Z8:AA8"/>
    <mergeCell ref="AB8:AD8"/>
    <mergeCell ref="AE8:AF8"/>
  </mergeCells>
  <phoneticPr fontId="23"/>
  <pageMargins left="0.47244094488188981" right="0.47244094488188981" top="0.54"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AH45"/>
  <sheetViews>
    <sheetView showGridLines="0" topLeftCell="A31" zoomScale="70" workbookViewId="0">
      <selection sqref="A1:E5"/>
    </sheetView>
  </sheetViews>
  <sheetFormatPr defaultColWidth="4.25" defaultRowHeight="15" customHeight="1" x14ac:dyDescent="0.15"/>
  <cols>
    <col min="1" max="1" width="9" style="9" customWidth="1"/>
    <col min="2" max="7" width="4.25" style="9"/>
    <col min="8" max="8" width="5" style="9" bestFit="1" customWidth="1"/>
    <col min="9" max="16384" width="4.25" style="9"/>
  </cols>
  <sheetData>
    <row r="1" spans="1:34" s="259" customFormat="1" ht="12.75" customHeight="1" x14ac:dyDescent="0.15">
      <c r="A1" s="774" t="s">
        <v>481</v>
      </c>
      <c r="B1" s="775"/>
      <c r="C1" s="775"/>
      <c r="D1" s="775"/>
      <c r="E1" s="776"/>
      <c r="F1" s="784" t="s">
        <v>482</v>
      </c>
      <c r="G1" s="775"/>
      <c r="H1" s="775"/>
      <c r="I1" s="775"/>
      <c r="J1" s="775"/>
      <c r="K1" s="775"/>
      <c r="L1" s="775"/>
      <c r="M1" s="775"/>
      <c r="N1" s="776"/>
      <c r="O1" s="760" t="s">
        <v>305</v>
      </c>
      <c r="P1" s="760"/>
      <c r="Q1" s="760"/>
      <c r="R1" s="760" t="s">
        <v>306</v>
      </c>
      <c r="S1" s="760"/>
      <c r="T1" s="760"/>
      <c r="U1" s="760" t="s">
        <v>237</v>
      </c>
      <c r="V1" s="760"/>
      <c r="W1" s="760"/>
      <c r="X1" s="760" t="s">
        <v>307</v>
      </c>
      <c r="Y1" s="760"/>
      <c r="Z1" s="760"/>
      <c r="AA1" s="760"/>
      <c r="AB1" s="760"/>
      <c r="AC1" s="760"/>
      <c r="AD1" s="760"/>
      <c r="AE1" s="760"/>
      <c r="AF1" s="760"/>
    </row>
    <row r="2" spans="1:34" s="259" customFormat="1" ht="12.75" customHeight="1" x14ac:dyDescent="0.15">
      <c r="A2" s="777"/>
      <c r="B2" s="778"/>
      <c r="C2" s="778"/>
      <c r="D2" s="778"/>
      <c r="E2" s="779"/>
      <c r="F2" s="777"/>
      <c r="G2" s="778"/>
      <c r="H2" s="778"/>
      <c r="I2" s="778"/>
      <c r="J2" s="778"/>
      <c r="K2" s="778"/>
      <c r="L2" s="778"/>
      <c r="M2" s="778"/>
      <c r="N2" s="779"/>
      <c r="O2" s="760" t="s">
        <v>483</v>
      </c>
      <c r="P2" s="760"/>
      <c r="Q2" s="760"/>
      <c r="R2" s="760" t="s">
        <v>483</v>
      </c>
      <c r="S2" s="760"/>
      <c r="T2" s="760"/>
      <c r="U2" s="760" t="s">
        <v>483</v>
      </c>
      <c r="V2" s="760"/>
      <c r="W2" s="760"/>
      <c r="X2" s="761" t="s">
        <v>308</v>
      </c>
      <c r="Y2" s="761"/>
      <c r="Z2" s="761"/>
      <c r="AA2" s="760" t="s">
        <v>306</v>
      </c>
      <c r="AB2" s="760"/>
      <c r="AC2" s="760"/>
      <c r="AD2" s="760" t="s">
        <v>237</v>
      </c>
      <c r="AE2" s="760"/>
      <c r="AF2" s="760"/>
    </row>
    <row r="3" spans="1:34" s="259" customFormat="1" ht="12.75" customHeight="1" x14ac:dyDescent="0.15">
      <c r="A3" s="777"/>
      <c r="B3" s="778"/>
      <c r="C3" s="778"/>
      <c r="D3" s="778"/>
      <c r="E3" s="779"/>
      <c r="F3" s="777"/>
      <c r="G3" s="778"/>
      <c r="H3" s="778"/>
      <c r="I3" s="778"/>
      <c r="J3" s="778"/>
      <c r="K3" s="778"/>
      <c r="L3" s="778"/>
      <c r="M3" s="778"/>
      <c r="N3" s="779"/>
      <c r="O3" s="760"/>
      <c r="P3" s="760"/>
      <c r="Q3" s="760"/>
      <c r="R3" s="760"/>
      <c r="S3" s="760"/>
      <c r="T3" s="760"/>
      <c r="U3" s="760"/>
      <c r="V3" s="760"/>
      <c r="W3" s="760"/>
      <c r="X3" s="760"/>
      <c r="Y3" s="760"/>
      <c r="Z3" s="760"/>
      <c r="AA3" s="760" t="s">
        <v>483</v>
      </c>
      <c r="AB3" s="760"/>
      <c r="AC3" s="760"/>
      <c r="AD3" s="760" t="s">
        <v>483</v>
      </c>
      <c r="AE3" s="760"/>
      <c r="AF3" s="760"/>
    </row>
    <row r="4" spans="1:34" s="259" customFormat="1" ht="12.75" customHeight="1" x14ac:dyDescent="0.15">
      <c r="A4" s="777"/>
      <c r="B4" s="778"/>
      <c r="C4" s="778"/>
      <c r="D4" s="778"/>
      <c r="E4" s="779"/>
      <c r="F4" s="777"/>
      <c r="G4" s="778"/>
      <c r="H4" s="778"/>
      <c r="I4" s="778"/>
      <c r="J4" s="778"/>
      <c r="K4" s="778"/>
      <c r="L4" s="778"/>
      <c r="M4" s="778"/>
      <c r="N4" s="779"/>
      <c r="O4" s="760"/>
      <c r="P4" s="760"/>
      <c r="Q4" s="760"/>
      <c r="R4" s="760"/>
      <c r="S4" s="760"/>
      <c r="T4" s="760"/>
      <c r="U4" s="760"/>
      <c r="V4" s="760"/>
      <c r="W4" s="760"/>
      <c r="X4" s="760"/>
      <c r="Y4" s="760"/>
      <c r="Z4" s="760"/>
      <c r="AA4" s="762"/>
      <c r="AB4" s="763"/>
      <c r="AC4" s="764"/>
      <c r="AD4" s="762"/>
      <c r="AE4" s="763"/>
      <c r="AF4" s="764"/>
    </row>
    <row r="5" spans="1:34" s="259" customFormat="1" ht="12.75" customHeight="1" x14ac:dyDescent="0.15">
      <c r="A5" s="780"/>
      <c r="B5" s="781"/>
      <c r="C5" s="781"/>
      <c r="D5" s="781"/>
      <c r="E5" s="782"/>
      <c r="F5" s="780"/>
      <c r="G5" s="781"/>
      <c r="H5" s="781"/>
      <c r="I5" s="781"/>
      <c r="J5" s="781"/>
      <c r="K5" s="781"/>
      <c r="L5" s="781"/>
      <c r="M5" s="781"/>
      <c r="N5" s="782"/>
      <c r="O5" s="760"/>
      <c r="P5" s="760"/>
      <c r="Q5" s="760"/>
      <c r="R5" s="760"/>
      <c r="S5" s="760"/>
      <c r="T5" s="760"/>
      <c r="U5" s="760"/>
      <c r="V5" s="760"/>
      <c r="W5" s="760"/>
      <c r="X5" s="760"/>
      <c r="Y5" s="760"/>
      <c r="Z5" s="760"/>
      <c r="AA5" s="765"/>
      <c r="AB5" s="766"/>
      <c r="AC5" s="767"/>
      <c r="AD5" s="765"/>
      <c r="AE5" s="766"/>
      <c r="AF5" s="767"/>
    </row>
    <row r="6" spans="1:34" s="259" customFormat="1" ht="15" customHeight="1" x14ac:dyDescent="0.15">
      <c r="A6" s="760" t="s">
        <v>465</v>
      </c>
      <c r="B6" s="760"/>
      <c r="C6" s="760"/>
      <c r="D6" s="760"/>
      <c r="E6" s="760"/>
      <c r="F6" s="760"/>
      <c r="G6" s="760"/>
      <c r="H6" s="760" t="s">
        <v>466</v>
      </c>
      <c r="I6" s="760"/>
      <c r="J6" s="760"/>
      <c r="K6" s="760"/>
      <c r="L6" s="760"/>
      <c r="M6" s="760"/>
      <c r="N6" s="760"/>
      <c r="O6" s="760"/>
      <c r="P6" s="760"/>
      <c r="Q6" s="760"/>
      <c r="R6" s="760"/>
      <c r="S6" s="760"/>
      <c r="T6" s="760"/>
      <c r="U6" s="760"/>
      <c r="V6" s="760"/>
      <c r="W6" s="760"/>
      <c r="X6" s="760"/>
      <c r="Y6" s="760"/>
      <c r="Z6" s="760"/>
      <c r="AA6" s="765"/>
      <c r="AB6" s="766"/>
      <c r="AC6" s="767"/>
      <c r="AD6" s="765"/>
      <c r="AE6" s="766"/>
      <c r="AF6" s="767"/>
    </row>
    <row r="7" spans="1:34" s="259" customFormat="1" ht="15" customHeight="1" x14ac:dyDescent="0.15">
      <c r="A7" s="760"/>
      <c r="B7" s="760"/>
      <c r="C7" s="760"/>
      <c r="D7" s="760"/>
      <c r="E7" s="760"/>
      <c r="F7" s="760"/>
      <c r="G7" s="760"/>
      <c r="H7" s="760"/>
      <c r="I7" s="760"/>
      <c r="J7" s="760"/>
      <c r="K7" s="760"/>
      <c r="L7" s="760"/>
      <c r="M7" s="760"/>
      <c r="N7" s="760"/>
      <c r="O7" s="760"/>
      <c r="P7" s="760"/>
      <c r="Q7" s="760"/>
      <c r="R7" s="760"/>
      <c r="S7" s="760"/>
      <c r="T7" s="760"/>
      <c r="U7" s="760"/>
      <c r="V7" s="760"/>
      <c r="W7" s="760"/>
      <c r="X7" s="760"/>
      <c r="Y7" s="760"/>
      <c r="Z7" s="760"/>
      <c r="AA7" s="768"/>
      <c r="AB7" s="769"/>
      <c r="AC7" s="770"/>
      <c r="AD7" s="768"/>
      <c r="AE7" s="769"/>
      <c r="AF7" s="770"/>
    </row>
    <row r="8" spans="1:34" s="262" customFormat="1" ht="15" customHeight="1" x14ac:dyDescent="0.15">
      <c r="A8" s="783" t="s">
        <v>310</v>
      </c>
      <c r="B8" s="783"/>
      <c r="C8" s="783"/>
      <c r="D8" s="783"/>
      <c r="E8" s="783"/>
      <c r="F8" s="783"/>
      <c r="G8" s="783"/>
      <c r="H8" s="783"/>
      <c r="I8" s="783"/>
      <c r="J8" s="783"/>
      <c r="K8" s="783"/>
      <c r="L8" s="783"/>
      <c r="M8" s="783"/>
      <c r="N8" s="783"/>
      <c r="O8" s="783" t="s">
        <v>139</v>
      </c>
      <c r="P8" s="783"/>
      <c r="Q8" s="783"/>
      <c r="R8" s="783"/>
      <c r="S8" s="783"/>
      <c r="T8" s="783"/>
      <c r="U8" s="260" t="s">
        <v>484</v>
      </c>
      <c r="V8" s="261"/>
      <c r="W8" s="754"/>
      <c r="X8" s="755"/>
      <c r="Y8" s="756"/>
      <c r="Z8" s="757" t="s">
        <v>468</v>
      </c>
      <c r="AA8" s="758"/>
      <c r="AB8" s="759"/>
      <c r="AC8" s="755"/>
      <c r="AD8" s="756"/>
      <c r="AE8" s="757" t="s">
        <v>469</v>
      </c>
      <c r="AF8" s="758"/>
    </row>
    <row r="9" spans="1:34" s="262" customFormat="1" ht="15" customHeight="1" x14ac:dyDescent="0.15">
      <c r="A9" s="783"/>
      <c r="B9" s="783"/>
      <c r="C9" s="783"/>
      <c r="D9" s="783"/>
      <c r="E9" s="783"/>
      <c r="F9" s="783"/>
      <c r="G9" s="783"/>
      <c r="H9" s="783"/>
      <c r="I9" s="783"/>
      <c r="J9" s="783"/>
      <c r="K9" s="783"/>
      <c r="L9" s="783"/>
      <c r="M9" s="783"/>
      <c r="N9" s="783"/>
      <c r="O9" s="783"/>
      <c r="P9" s="783"/>
      <c r="Q9" s="783"/>
      <c r="R9" s="783"/>
      <c r="S9" s="783"/>
      <c r="T9" s="783"/>
      <c r="U9" s="263" t="s">
        <v>485</v>
      </c>
      <c r="V9" s="264"/>
      <c r="W9" s="748"/>
      <c r="X9" s="749"/>
      <c r="Y9" s="750"/>
      <c r="Z9" s="751" t="s">
        <v>471</v>
      </c>
      <c r="AA9" s="750"/>
      <c r="AB9" s="751"/>
      <c r="AC9" s="749"/>
      <c r="AD9" s="750"/>
      <c r="AE9" s="752"/>
      <c r="AF9" s="753"/>
    </row>
    <row r="10" spans="1:34" s="262" customFormat="1" ht="15" customHeight="1" x14ac:dyDescent="0.15">
      <c r="A10" s="265"/>
      <c r="B10" s="266"/>
      <c r="C10" s="265"/>
      <c r="D10" s="267"/>
      <c r="E10" s="267"/>
      <c r="F10" s="266"/>
      <c r="G10" s="268"/>
      <c r="H10" s="268"/>
      <c r="I10" s="268"/>
      <c r="J10" s="268"/>
      <c r="K10" s="268"/>
      <c r="L10" s="268"/>
      <c r="M10" s="268"/>
      <c r="N10" s="268"/>
      <c r="O10" s="268"/>
      <c r="P10" s="268"/>
      <c r="Q10" s="268"/>
      <c r="R10" s="268"/>
      <c r="S10" s="268"/>
      <c r="T10" s="268"/>
      <c r="U10" s="268"/>
      <c r="V10" s="268"/>
      <c r="W10" s="268"/>
      <c r="X10" s="268"/>
      <c r="Y10" s="268"/>
      <c r="Z10" s="268"/>
      <c r="AA10" s="268"/>
      <c r="AB10" s="268"/>
      <c r="AC10" s="268"/>
      <c r="AD10" s="268"/>
      <c r="AE10" s="269"/>
      <c r="AF10" s="269"/>
    </row>
    <row r="11" spans="1:34" ht="15" customHeight="1" x14ac:dyDescent="0.15">
      <c r="A11" s="10" t="s">
        <v>208</v>
      </c>
      <c r="B11" s="11"/>
      <c r="C11" s="771" t="s">
        <v>141</v>
      </c>
      <c r="D11" s="772"/>
      <c r="E11" s="772"/>
      <c r="F11" s="77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4" ht="15" customHeight="1" x14ac:dyDescent="0.15">
      <c r="A13" s="48"/>
      <c r="B13" s="49"/>
      <c r="C13" s="49"/>
      <c r="D13" s="50" t="s">
        <v>297</v>
      </c>
      <c r="E13" s="789" t="s">
        <v>280</v>
      </c>
      <c r="F13" s="789" t="s">
        <v>282</v>
      </c>
      <c r="G13" s="789" t="s">
        <v>284</v>
      </c>
      <c r="H13" s="789" t="s">
        <v>285</v>
      </c>
      <c r="I13" s="789" t="s">
        <v>287</v>
      </c>
      <c r="J13" s="789" t="s">
        <v>298</v>
      </c>
      <c r="K13" s="789" t="s">
        <v>291</v>
      </c>
      <c r="L13" s="789" t="s">
        <v>293</v>
      </c>
      <c r="M13" s="787" t="s">
        <v>274</v>
      </c>
      <c r="N13" s="792" t="s">
        <v>299</v>
      </c>
      <c r="O13" s="785" t="s">
        <v>300</v>
      </c>
      <c r="P13" s="51"/>
      <c r="Q13" s="25"/>
      <c r="R13" s="15"/>
      <c r="S13" s="15"/>
      <c r="T13" s="15"/>
      <c r="U13" s="15"/>
      <c r="V13" s="15"/>
      <c r="W13" s="15"/>
      <c r="X13" s="15"/>
      <c r="Y13" s="15"/>
      <c r="Z13" s="15"/>
      <c r="AA13" s="15"/>
      <c r="AB13" s="15"/>
      <c r="AC13" s="15"/>
      <c r="AD13" s="15"/>
      <c r="AE13" s="15"/>
      <c r="AF13" s="26"/>
    </row>
    <row r="14" spans="1:34" ht="15" customHeight="1" x14ac:dyDescent="0.15">
      <c r="A14" s="52"/>
      <c r="B14" s="53"/>
      <c r="C14" s="53"/>
      <c r="D14" s="54"/>
      <c r="E14" s="790"/>
      <c r="F14" s="790"/>
      <c r="G14" s="790"/>
      <c r="H14" s="790"/>
      <c r="I14" s="790"/>
      <c r="J14" s="790"/>
      <c r="K14" s="790"/>
      <c r="L14" s="790"/>
      <c r="M14" s="788"/>
      <c r="N14" s="793"/>
      <c r="O14" s="786"/>
      <c r="P14" s="51"/>
      <c r="Q14" s="12"/>
      <c r="R14" s="13"/>
      <c r="S14" s="13"/>
      <c r="T14" s="13"/>
      <c r="U14" s="13"/>
      <c r="V14" s="13"/>
      <c r="W14" s="13"/>
      <c r="X14" s="13"/>
      <c r="Y14" s="13"/>
      <c r="Z14" s="13"/>
      <c r="AA14" s="13"/>
      <c r="AB14" s="13"/>
      <c r="AC14" s="13"/>
      <c r="AD14" s="13"/>
      <c r="AE14" s="13"/>
      <c r="AF14" s="34"/>
    </row>
    <row r="15" spans="1:34" ht="15" customHeight="1" x14ac:dyDescent="0.15">
      <c r="A15" s="52"/>
      <c r="B15" s="53"/>
      <c r="C15" s="53"/>
      <c r="D15" s="54"/>
      <c r="E15" s="790"/>
      <c r="F15" s="790"/>
      <c r="G15" s="790"/>
      <c r="H15" s="790"/>
      <c r="I15" s="790"/>
      <c r="J15" s="790"/>
      <c r="K15" s="790"/>
      <c r="L15" s="790"/>
      <c r="M15" s="788"/>
      <c r="N15" s="793"/>
      <c r="O15" s="786"/>
      <c r="P15" s="51"/>
      <c r="Q15" s="12"/>
      <c r="R15" s="13"/>
      <c r="S15" s="13"/>
      <c r="T15" s="13"/>
      <c r="U15" s="13"/>
      <c r="V15" s="13"/>
      <c r="W15" s="13"/>
      <c r="X15" s="13"/>
      <c r="Y15" s="13"/>
      <c r="Z15" s="13"/>
      <c r="AA15" s="13"/>
      <c r="AB15" s="13"/>
      <c r="AC15" s="13"/>
      <c r="AD15" s="13"/>
      <c r="AE15" s="13"/>
      <c r="AF15" s="34"/>
    </row>
    <row r="16" spans="1:34" ht="15" customHeight="1" x14ac:dyDescent="0.15">
      <c r="A16" s="52"/>
      <c r="B16" s="53"/>
      <c r="C16" s="53"/>
      <c r="D16" s="54"/>
      <c r="E16" s="790"/>
      <c r="F16" s="790"/>
      <c r="G16" s="790"/>
      <c r="H16" s="790"/>
      <c r="I16" s="790"/>
      <c r="J16" s="790"/>
      <c r="K16" s="790"/>
      <c r="L16" s="790"/>
      <c r="M16" s="788"/>
      <c r="N16" s="793"/>
      <c r="O16" s="786"/>
      <c r="P16" s="51"/>
      <c r="Q16" s="12"/>
      <c r="R16" s="13"/>
      <c r="S16" s="13"/>
      <c r="T16" s="13"/>
      <c r="U16" s="13"/>
      <c r="V16" s="13"/>
      <c r="W16" s="13"/>
      <c r="X16" s="13"/>
      <c r="Y16" s="13"/>
      <c r="Z16" s="13"/>
      <c r="AA16" s="13"/>
      <c r="AB16" s="13"/>
      <c r="AC16" s="13"/>
      <c r="AD16" s="13"/>
      <c r="AE16" s="13"/>
      <c r="AF16" s="34"/>
    </row>
    <row r="17" spans="1:32" ht="15" customHeight="1" x14ac:dyDescent="0.15">
      <c r="A17" s="52"/>
      <c r="B17" s="53"/>
      <c r="C17" s="53"/>
      <c r="D17" s="54"/>
      <c r="E17" s="790"/>
      <c r="F17" s="790"/>
      <c r="G17" s="790"/>
      <c r="H17" s="790"/>
      <c r="I17" s="790"/>
      <c r="J17" s="790"/>
      <c r="K17" s="790"/>
      <c r="L17" s="790"/>
      <c r="M17" s="788"/>
      <c r="N17" s="793"/>
      <c r="O17" s="786"/>
      <c r="P17" s="51"/>
      <c r="Q17" s="12"/>
      <c r="R17" s="13"/>
      <c r="S17" s="13"/>
      <c r="T17" s="13"/>
      <c r="U17" s="13"/>
      <c r="V17" s="13"/>
      <c r="W17" s="13"/>
      <c r="X17" s="13"/>
      <c r="Y17" s="13"/>
      <c r="Z17" s="13"/>
      <c r="AA17" s="13"/>
      <c r="AB17" s="13"/>
      <c r="AC17" s="13"/>
      <c r="AD17" s="13"/>
      <c r="AE17" s="13"/>
      <c r="AF17" s="34"/>
    </row>
    <row r="18" spans="1:32" ht="15" customHeight="1" x14ac:dyDescent="0.15">
      <c r="A18" s="52"/>
      <c r="B18" s="53"/>
      <c r="C18" s="53"/>
      <c r="D18" s="54"/>
      <c r="E18" s="790"/>
      <c r="F18" s="790"/>
      <c r="G18" s="790"/>
      <c r="H18" s="790"/>
      <c r="I18" s="790"/>
      <c r="J18" s="790"/>
      <c r="K18" s="790"/>
      <c r="L18" s="790"/>
      <c r="M18" s="788"/>
      <c r="N18" s="793"/>
      <c r="O18" s="786"/>
      <c r="P18" s="51"/>
      <c r="Q18" s="12"/>
      <c r="R18" s="13"/>
      <c r="S18" s="13"/>
      <c r="T18" s="13"/>
      <c r="U18" s="13"/>
      <c r="V18" s="13"/>
      <c r="W18" s="13"/>
      <c r="X18" s="13"/>
      <c r="Y18" s="13"/>
      <c r="Z18" s="13"/>
      <c r="AA18" s="13"/>
      <c r="AB18" s="13"/>
      <c r="AC18" s="13"/>
      <c r="AD18" s="13"/>
      <c r="AE18" s="13"/>
      <c r="AF18" s="34"/>
    </row>
    <row r="19" spans="1:32" ht="15" customHeight="1" x14ac:dyDescent="0.15">
      <c r="A19" s="55" t="s">
        <v>301</v>
      </c>
      <c r="B19" s="56"/>
      <c r="C19" s="56"/>
      <c r="D19" s="57"/>
      <c r="E19" s="790"/>
      <c r="F19" s="790"/>
      <c r="G19" s="790"/>
      <c r="H19" s="790"/>
      <c r="I19" s="790"/>
      <c r="J19" s="790"/>
      <c r="K19" s="790"/>
      <c r="L19" s="791"/>
      <c r="M19" s="788"/>
      <c r="N19" s="793"/>
      <c r="O19" s="786"/>
      <c r="P19" s="51"/>
      <c r="Q19" s="12"/>
      <c r="R19" s="13"/>
      <c r="S19" s="13"/>
      <c r="T19" s="13"/>
      <c r="U19" s="13"/>
      <c r="V19" s="13"/>
      <c r="W19" s="13"/>
      <c r="X19" s="13"/>
      <c r="Y19" s="13"/>
      <c r="Z19" s="13"/>
      <c r="AA19" s="13"/>
      <c r="AB19" s="13"/>
      <c r="AC19" s="13"/>
      <c r="AD19" s="13"/>
      <c r="AE19" s="13"/>
      <c r="AF19" s="34"/>
    </row>
    <row r="20" spans="1:32" ht="15" customHeight="1" x14ac:dyDescent="0.15">
      <c r="A20" s="58" t="s">
        <v>269</v>
      </c>
      <c r="B20" s="22"/>
      <c r="C20" s="22"/>
      <c r="D20" s="23"/>
      <c r="E20" s="59">
        <v>58</v>
      </c>
      <c r="F20" s="59">
        <v>1</v>
      </c>
      <c r="G20" s="59">
        <v>0</v>
      </c>
      <c r="H20" s="59">
        <v>0</v>
      </c>
      <c r="I20" s="59">
        <v>0</v>
      </c>
      <c r="J20" s="59">
        <v>0</v>
      </c>
      <c r="K20" s="60">
        <v>0</v>
      </c>
      <c r="L20" s="60">
        <v>0</v>
      </c>
      <c r="M20" s="61">
        <v>0</v>
      </c>
      <c r="N20" s="62">
        <f>SUM($E$20:$M$20)</f>
        <v>59</v>
      </c>
      <c r="O20" s="63">
        <f>IF($N$20=0,0,$N$20/$N$29*100)</f>
        <v>8.8588588588588593</v>
      </c>
      <c r="P20" s="64"/>
      <c r="Q20" s="12"/>
      <c r="R20" s="13"/>
      <c r="S20" s="13"/>
      <c r="T20" s="13"/>
      <c r="U20" s="13"/>
      <c r="V20" s="13"/>
      <c r="W20" s="13"/>
      <c r="X20" s="13"/>
      <c r="Y20" s="13"/>
      <c r="Z20" s="13"/>
      <c r="AA20" s="13"/>
      <c r="AB20" s="13"/>
      <c r="AC20" s="13"/>
      <c r="AD20" s="13"/>
      <c r="AE20" s="13"/>
      <c r="AF20" s="34"/>
    </row>
    <row r="21" spans="1:32" ht="15" customHeight="1" x14ac:dyDescent="0.15">
      <c r="A21" s="42" t="s">
        <v>271</v>
      </c>
      <c r="B21" s="65"/>
      <c r="C21" s="31"/>
      <c r="D21" s="32"/>
      <c r="E21" s="66">
        <v>0</v>
      </c>
      <c r="F21" s="66">
        <v>61</v>
      </c>
      <c r="G21" s="66">
        <v>0</v>
      </c>
      <c r="H21" s="66">
        <v>0</v>
      </c>
      <c r="I21" s="66">
        <v>0</v>
      </c>
      <c r="J21" s="66">
        <v>0</v>
      </c>
      <c r="K21" s="67">
        <v>0</v>
      </c>
      <c r="L21" s="67">
        <v>0</v>
      </c>
      <c r="M21" s="68">
        <v>0</v>
      </c>
      <c r="N21" s="69">
        <f>SUM($E$21:$M$21)</f>
        <v>61</v>
      </c>
      <c r="O21" s="70">
        <f>IF($N$21=0,0,$N$21/$N$29*100)</f>
        <v>9.1591591591591595</v>
      </c>
      <c r="P21" s="64"/>
      <c r="Q21" s="12"/>
      <c r="R21" s="13"/>
      <c r="S21" s="13"/>
      <c r="T21" s="13"/>
      <c r="U21" s="13"/>
      <c r="V21" s="13"/>
      <c r="W21" s="13"/>
      <c r="X21" s="13"/>
      <c r="Y21" s="13"/>
      <c r="Z21" s="13"/>
      <c r="AA21" s="13"/>
      <c r="AB21" s="13"/>
      <c r="AC21" s="13"/>
      <c r="AD21" s="13"/>
      <c r="AE21" s="13"/>
      <c r="AF21" s="34"/>
    </row>
    <row r="22" spans="1:32" ht="15" customHeight="1" x14ac:dyDescent="0.15">
      <c r="A22" s="42" t="s">
        <v>273</v>
      </c>
      <c r="B22" s="65"/>
      <c r="C22" s="31"/>
      <c r="D22" s="32"/>
      <c r="E22" s="66">
        <v>0</v>
      </c>
      <c r="F22" s="66">
        <v>0</v>
      </c>
      <c r="G22" s="66">
        <v>66</v>
      </c>
      <c r="H22" s="66">
        <v>0</v>
      </c>
      <c r="I22" s="66">
        <v>0</v>
      </c>
      <c r="J22" s="66">
        <v>0</v>
      </c>
      <c r="K22" s="67">
        <v>0</v>
      </c>
      <c r="L22" s="67">
        <v>0</v>
      </c>
      <c r="M22" s="68">
        <v>0</v>
      </c>
      <c r="N22" s="69">
        <f>SUM($E$22:$M$22)</f>
        <v>66</v>
      </c>
      <c r="O22" s="70">
        <f>IF($N$22=0,0,$N$22/$N$29*100)</f>
        <v>9.9099099099099099</v>
      </c>
      <c r="P22" s="64"/>
      <c r="Q22" s="12"/>
      <c r="R22" s="13"/>
      <c r="S22" s="13"/>
      <c r="T22" s="13"/>
      <c r="U22" s="13"/>
      <c r="V22" s="13"/>
      <c r="W22" s="13"/>
      <c r="X22" s="13"/>
      <c r="Y22" s="13"/>
      <c r="Z22" s="13"/>
      <c r="AA22" s="13"/>
      <c r="AB22" s="13"/>
      <c r="AC22" s="13"/>
      <c r="AD22" s="13"/>
      <c r="AE22" s="13"/>
      <c r="AF22" s="34"/>
    </row>
    <row r="23" spans="1:32" ht="15" customHeight="1" x14ac:dyDescent="0.15">
      <c r="A23" s="42" t="s">
        <v>275</v>
      </c>
      <c r="B23" s="65"/>
      <c r="C23" s="31"/>
      <c r="D23" s="32"/>
      <c r="E23" s="66">
        <v>0</v>
      </c>
      <c r="F23" s="66">
        <v>0</v>
      </c>
      <c r="G23" s="66">
        <v>0</v>
      </c>
      <c r="H23" s="66">
        <v>70</v>
      </c>
      <c r="I23" s="66">
        <v>0</v>
      </c>
      <c r="J23" s="66">
        <v>0</v>
      </c>
      <c r="K23" s="67">
        <v>0</v>
      </c>
      <c r="L23" s="67">
        <v>0</v>
      </c>
      <c r="M23" s="68">
        <v>0</v>
      </c>
      <c r="N23" s="69">
        <f>SUM($E$23:$M$23)</f>
        <v>70</v>
      </c>
      <c r="O23" s="70">
        <f>IF($N$23=0,0,$N$23/$N$29*100)</f>
        <v>10.51051051051051</v>
      </c>
      <c r="P23" s="64"/>
      <c r="Q23" s="12"/>
      <c r="R23" s="13"/>
      <c r="S23" s="13"/>
      <c r="T23" s="13"/>
      <c r="U23" s="13"/>
      <c r="V23" s="13"/>
      <c r="W23" s="13"/>
      <c r="X23" s="13"/>
      <c r="Y23" s="13"/>
      <c r="Z23" s="13"/>
      <c r="AA23" s="13"/>
      <c r="AB23" s="13"/>
      <c r="AC23" s="13"/>
      <c r="AD23" s="13"/>
      <c r="AE23" s="13"/>
      <c r="AF23" s="34"/>
    </row>
    <row r="24" spans="1:32" ht="15" customHeight="1" x14ac:dyDescent="0.15">
      <c r="A24" s="42" t="s">
        <v>276</v>
      </c>
      <c r="B24" s="65"/>
      <c r="C24" s="31"/>
      <c r="D24" s="32"/>
      <c r="E24" s="66">
        <v>0</v>
      </c>
      <c r="F24" s="66">
        <v>0</v>
      </c>
      <c r="G24" s="66">
        <v>0</v>
      </c>
      <c r="H24" s="66">
        <v>0</v>
      </c>
      <c r="I24" s="66">
        <v>74</v>
      </c>
      <c r="J24" s="66">
        <v>0</v>
      </c>
      <c r="K24" s="67">
        <v>0</v>
      </c>
      <c r="L24" s="67">
        <v>0</v>
      </c>
      <c r="M24" s="68">
        <v>0</v>
      </c>
      <c r="N24" s="69">
        <f>SUM($E$24:$M$24)</f>
        <v>74</v>
      </c>
      <c r="O24" s="70">
        <f>IF($N$24=0,0,$N$24/$N$29*100)</f>
        <v>11.111111111111111</v>
      </c>
      <c r="P24" s="64"/>
      <c r="Q24" s="12"/>
      <c r="R24" s="13"/>
      <c r="S24" s="13"/>
      <c r="T24" s="13"/>
      <c r="U24" s="13"/>
      <c r="V24" s="13"/>
      <c r="W24" s="13"/>
      <c r="X24" s="13"/>
      <c r="Y24" s="13"/>
      <c r="Z24" s="13"/>
      <c r="AA24" s="13"/>
      <c r="AB24" s="13"/>
      <c r="AC24" s="13"/>
      <c r="AD24" s="13"/>
      <c r="AE24" s="13"/>
      <c r="AF24" s="34"/>
    </row>
    <row r="25" spans="1:32" ht="15" customHeight="1" x14ac:dyDescent="0.15">
      <c r="A25" s="42" t="s">
        <v>277</v>
      </c>
      <c r="B25" s="65"/>
      <c r="C25" s="31"/>
      <c r="D25" s="32"/>
      <c r="E25" s="66">
        <v>0</v>
      </c>
      <c r="F25" s="66">
        <v>0</v>
      </c>
      <c r="G25" s="66">
        <v>0</v>
      </c>
      <c r="H25" s="66">
        <v>0</v>
      </c>
      <c r="I25" s="66">
        <v>0</v>
      </c>
      <c r="J25" s="66">
        <v>78</v>
      </c>
      <c r="K25" s="67">
        <v>0</v>
      </c>
      <c r="L25" s="67">
        <v>0</v>
      </c>
      <c r="M25" s="68">
        <v>0</v>
      </c>
      <c r="N25" s="69">
        <f>SUM($E$25:$M$25)</f>
        <v>78</v>
      </c>
      <c r="O25" s="70">
        <f>IF($N$25=0,0,$N$25/$N$29*100)</f>
        <v>11.711711711711711</v>
      </c>
      <c r="P25" s="64"/>
      <c r="Q25" s="12"/>
      <c r="R25" s="13"/>
      <c r="S25" s="13"/>
      <c r="T25" s="13"/>
      <c r="U25" s="13"/>
      <c r="V25" s="13"/>
      <c r="W25" s="13"/>
      <c r="X25" s="13"/>
      <c r="Y25" s="13"/>
      <c r="Z25" s="13"/>
      <c r="AA25" s="13"/>
      <c r="AB25" s="13"/>
      <c r="AC25" s="13"/>
      <c r="AD25" s="13"/>
      <c r="AE25" s="13"/>
      <c r="AF25" s="34"/>
    </row>
    <row r="26" spans="1:32" ht="15" customHeight="1" x14ac:dyDescent="0.15">
      <c r="A26" s="42" t="s">
        <v>278</v>
      </c>
      <c r="B26" s="65"/>
      <c r="C26" s="31"/>
      <c r="D26" s="32"/>
      <c r="E26" s="66">
        <v>0</v>
      </c>
      <c r="F26" s="66">
        <v>0</v>
      </c>
      <c r="G26" s="66">
        <v>0</v>
      </c>
      <c r="H26" s="66">
        <v>0</v>
      </c>
      <c r="I26" s="66">
        <v>0</v>
      </c>
      <c r="J26" s="66">
        <v>0</v>
      </c>
      <c r="K26" s="67">
        <v>82</v>
      </c>
      <c r="L26" s="67">
        <v>0</v>
      </c>
      <c r="M26" s="68">
        <v>0</v>
      </c>
      <c r="N26" s="69">
        <f>SUM($E$26:$M$26)</f>
        <v>82</v>
      </c>
      <c r="O26" s="70">
        <f>IF($N$26=0,0,$N$26/$N$29*100)</f>
        <v>12.312312312312311</v>
      </c>
      <c r="P26" s="64"/>
      <c r="Q26" s="12"/>
      <c r="R26" s="13"/>
      <c r="S26" s="13"/>
      <c r="T26" s="13"/>
      <c r="U26" s="13"/>
      <c r="V26" s="13"/>
      <c r="W26" s="13"/>
      <c r="X26" s="13"/>
      <c r="Y26" s="13"/>
      <c r="Z26" s="13"/>
      <c r="AA26" s="13"/>
      <c r="AB26" s="13"/>
      <c r="AC26" s="13"/>
      <c r="AD26" s="13"/>
      <c r="AE26" s="13"/>
      <c r="AF26" s="34"/>
    </row>
    <row r="27" spans="1:32" ht="15" customHeight="1" x14ac:dyDescent="0.15">
      <c r="A27" s="71" t="s">
        <v>279</v>
      </c>
      <c r="B27" s="31"/>
      <c r="C27" s="31"/>
      <c r="D27" s="32"/>
      <c r="E27" s="66">
        <v>0</v>
      </c>
      <c r="F27" s="66">
        <v>0</v>
      </c>
      <c r="G27" s="66">
        <v>0</v>
      </c>
      <c r="H27" s="66">
        <v>0</v>
      </c>
      <c r="I27" s="66">
        <v>0</v>
      </c>
      <c r="J27" s="66">
        <v>0</v>
      </c>
      <c r="K27" s="67">
        <v>0</v>
      </c>
      <c r="L27" s="67">
        <v>86</v>
      </c>
      <c r="M27" s="68">
        <v>0</v>
      </c>
      <c r="N27" s="69">
        <f>SUM($E$27:$M$27)</f>
        <v>86</v>
      </c>
      <c r="O27" s="70">
        <f>IF($N$27=0,0,$N$27/$N$29*100)</f>
        <v>12.912912912912914</v>
      </c>
      <c r="P27" s="64"/>
      <c r="Q27" s="12"/>
      <c r="R27" s="13"/>
      <c r="S27" s="13"/>
      <c r="T27" s="13"/>
      <c r="U27" s="13"/>
      <c r="V27" s="13"/>
      <c r="W27" s="13"/>
      <c r="X27" s="13"/>
      <c r="Y27" s="13"/>
      <c r="Z27" s="13"/>
      <c r="AA27" s="13"/>
      <c r="AB27" s="13"/>
      <c r="AC27" s="13"/>
      <c r="AD27" s="13"/>
      <c r="AE27" s="13"/>
      <c r="AF27" s="34"/>
    </row>
    <row r="28" spans="1:32" ht="15" customHeight="1" thickBot="1" x14ac:dyDescent="0.2">
      <c r="A28" s="72" t="s">
        <v>274</v>
      </c>
      <c r="B28" s="73"/>
      <c r="C28" s="73"/>
      <c r="D28" s="74"/>
      <c r="E28" s="75">
        <v>0</v>
      </c>
      <c r="F28" s="75">
        <v>0</v>
      </c>
      <c r="G28" s="75">
        <v>0</v>
      </c>
      <c r="H28" s="75">
        <v>0</v>
      </c>
      <c r="I28" s="75">
        <v>0</v>
      </c>
      <c r="J28" s="75">
        <v>0</v>
      </c>
      <c r="K28" s="76">
        <v>0</v>
      </c>
      <c r="L28" s="76">
        <v>0</v>
      </c>
      <c r="M28" s="77">
        <v>90</v>
      </c>
      <c r="N28" s="78">
        <f>SUM($E$28:$M$28)</f>
        <v>90</v>
      </c>
      <c r="O28" s="79">
        <f>IF($N$28=0,0,$N$28/$N$29*100)</f>
        <v>13.513513513513514</v>
      </c>
      <c r="P28" s="64"/>
      <c r="Q28" s="12"/>
      <c r="R28" s="13"/>
      <c r="S28" s="13"/>
      <c r="T28" s="13"/>
      <c r="U28" s="13"/>
      <c r="V28" s="13"/>
      <c r="W28" s="13"/>
      <c r="X28" s="13"/>
      <c r="Y28" s="13"/>
      <c r="Z28" s="13"/>
      <c r="AA28" s="13"/>
      <c r="AB28" s="13"/>
      <c r="AC28" s="13"/>
      <c r="AD28" s="13"/>
      <c r="AE28" s="13"/>
      <c r="AF28" s="34"/>
    </row>
    <row r="29" spans="1:32" ht="15" customHeight="1" thickTop="1" x14ac:dyDescent="0.15">
      <c r="A29" s="80" t="s">
        <v>299</v>
      </c>
      <c r="B29" s="81"/>
      <c r="C29" s="81"/>
      <c r="D29" s="81"/>
      <c r="E29" s="82">
        <f>SUM($E$20:$E$28)</f>
        <v>58</v>
      </c>
      <c r="F29" s="82">
        <f>SUM($F$20:$F$28)</f>
        <v>62</v>
      </c>
      <c r="G29" s="82">
        <f>SUM($G$20:$G$28)</f>
        <v>66</v>
      </c>
      <c r="H29" s="82">
        <f>SUM($H$20:$H$28)</f>
        <v>70</v>
      </c>
      <c r="I29" s="82">
        <f>SUM($I$20:$I$28)</f>
        <v>74</v>
      </c>
      <c r="J29" s="82">
        <f>SUM($J$20:$J$28)</f>
        <v>78</v>
      </c>
      <c r="K29" s="82">
        <f>SUM($K$20:$K$28)</f>
        <v>82</v>
      </c>
      <c r="L29" s="82">
        <f>SUM($L$20:$L$28)</f>
        <v>86</v>
      </c>
      <c r="M29" s="83">
        <f>SUM($M$20:$M$28)</f>
        <v>90</v>
      </c>
      <c r="N29" s="84">
        <f>SUM($E$29:$M$29)</f>
        <v>666</v>
      </c>
      <c r="O29" s="85">
        <f>IF($N$29=0,0,$N$29/$N$29*100)</f>
        <v>100</v>
      </c>
      <c r="P29" s="86"/>
      <c r="Q29" s="12"/>
      <c r="R29" s="13"/>
      <c r="S29" s="13"/>
      <c r="T29" s="13"/>
      <c r="U29" s="13"/>
      <c r="V29" s="13"/>
      <c r="W29" s="13"/>
      <c r="X29" s="13"/>
      <c r="Y29" s="13"/>
      <c r="Z29" s="13"/>
      <c r="AA29" s="13"/>
      <c r="AB29" s="13"/>
      <c r="AC29" s="13"/>
      <c r="AD29" s="13"/>
      <c r="AE29" s="13"/>
      <c r="AF29" s="34"/>
    </row>
    <row r="30" spans="1:32" ht="15" customHeight="1" x14ac:dyDescent="0.15">
      <c r="A30" s="87" t="s">
        <v>300</v>
      </c>
      <c r="B30" s="88"/>
      <c r="C30" s="88"/>
      <c r="D30" s="88"/>
      <c r="E30" s="89">
        <f>IF($E$29=0,0,$E$29/$N$29*100)</f>
        <v>8.7087087087087074</v>
      </c>
      <c r="F30" s="89">
        <f>IF($F$29=0,0,$F$29/$N$29*100)</f>
        <v>9.3093093093093096</v>
      </c>
      <c r="G30" s="89">
        <f>IF($G$29=0,0,$G$29/$N$29*100)</f>
        <v>9.9099099099099099</v>
      </c>
      <c r="H30" s="89">
        <f>IF($H$29=0,0,$H$29/$N$29*100)</f>
        <v>10.51051051051051</v>
      </c>
      <c r="I30" s="89">
        <f>IF($I$29=0,0,$I$29/$N$29*100)</f>
        <v>11.111111111111111</v>
      </c>
      <c r="J30" s="89">
        <f>IF($J$29=0,0,$J$29/$N$29*100)</f>
        <v>11.711711711711711</v>
      </c>
      <c r="K30" s="89">
        <f>IF($K$29=0,0,$K$29/$N$29*100)</f>
        <v>12.312312312312311</v>
      </c>
      <c r="L30" s="89">
        <f>IF($L$29=0,0,$L$29/$N$29*100)</f>
        <v>12.912912912912914</v>
      </c>
      <c r="M30" s="90">
        <f>IF($M$29=0,0,$M$29/$N$29*100)</f>
        <v>13.513513513513514</v>
      </c>
      <c r="N30" s="91">
        <f>IF($N$29=0,0,$N$29/$N$29*100)</f>
        <v>100</v>
      </c>
      <c r="O30" s="92" t="s">
        <v>302</v>
      </c>
      <c r="P30" s="93"/>
      <c r="Q30" s="12"/>
      <c r="R30" s="13"/>
      <c r="S30" s="13"/>
      <c r="T30" s="13"/>
      <c r="U30" s="13"/>
      <c r="V30" s="13"/>
      <c r="W30" s="13"/>
      <c r="X30" s="13"/>
      <c r="Y30" s="13"/>
      <c r="Z30" s="13"/>
      <c r="AA30" s="13"/>
      <c r="AB30" s="13"/>
      <c r="AC30" s="13"/>
      <c r="AD30" s="13"/>
      <c r="AE30" s="13"/>
      <c r="AF30" s="34"/>
    </row>
    <row r="31" spans="1:32" ht="15" customHeight="1" x14ac:dyDescent="0.15">
      <c r="A31" s="18"/>
      <c r="B31" s="94"/>
      <c r="C31" s="94"/>
      <c r="D31" s="94"/>
      <c r="E31" s="94"/>
      <c r="F31" s="94"/>
      <c r="G31" s="94"/>
      <c r="H31" s="94"/>
      <c r="I31" s="94"/>
      <c r="J31" s="94"/>
      <c r="K31" s="94"/>
      <c r="L31" s="94"/>
      <c r="M31" s="94"/>
      <c r="N31" s="94"/>
      <c r="O31" s="19"/>
      <c r="P31" s="93"/>
      <c r="Q31" s="12"/>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36"/>
      <c r="N32" s="36"/>
      <c r="O32" s="28"/>
      <c r="P32" s="93"/>
      <c r="Q32" s="12"/>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36"/>
      <c r="N33" s="36"/>
      <c r="O33" s="28"/>
      <c r="P33" s="93"/>
      <c r="Q33" s="12"/>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36"/>
      <c r="N34" s="36"/>
      <c r="O34" s="28"/>
      <c r="P34" s="93"/>
      <c r="Q34" s="12"/>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36"/>
      <c r="N35" s="36"/>
      <c r="O35" s="28"/>
      <c r="P35" s="93"/>
      <c r="Q35" s="12"/>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36"/>
      <c r="N36" s="36"/>
      <c r="O36" s="28"/>
      <c r="P36" s="93"/>
      <c r="Q36" s="12"/>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36"/>
      <c r="N37" s="36"/>
      <c r="O37" s="28"/>
      <c r="P37" s="93"/>
      <c r="Q37" s="12"/>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36"/>
      <c r="N38" s="36"/>
      <c r="O38" s="28"/>
      <c r="P38" s="93"/>
      <c r="Q38" s="12"/>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36"/>
      <c r="N39" s="36"/>
      <c r="O39" s="28"/>
      <c r="P39" s="93"/>
      <c r="Q39" s="12"/>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36"/>
      <c r="N40" s="36"/>
      <c r="O40" s="28"/>
      <c r="P40" s="93"/>
      <c r="Q40" s="12"/>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36"/>
      <c r="N41" s="36"/>
      <c r="O41" s="28"/>
      <c r="P41" s="93"/>
      <c r="Q41" s="12"/>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36"/>
      <c r="N42" s="36"/>
      <c r="O42" s="28"/>
      <c r="P42" s="93"/>
      <c r="Q42" s="12"/>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36"/>
      <c r="N43" s="36"/>
      <c r="O43" s="28"/>
      <c r="P43" s="93"/>
      <c r="Q43" s="12"/>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36"/>
      <c r="N44" s="36"/>
      <c r="O44" s="28"/>
      <c r="P44" s="93"/>
      <c r="Q44" s="12"/>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39"/>
      <c r="N45" s="39"/>
      <c r="O45" s="40"/>
      <c r="P45" s="93"/>
      <c r="Q45" s="44"/>
      <c r="R45" s="45"/>
      <c r="S45" s="45"/>
      <c r="T45" s="45"/>
      <c r="U45" s="45"/>
      <c r="V45" s="45"/>
      <c r="W45" s="45"/>
      <c r="X45" s="45"/>
      <c r="Y45" s="45"/>
      <c r="Z45" s="45"/>
      <c r="AA45" s="45"/>
      <c r="AB45" s="45"/>
      <c r="AC45" s="45"/>
      <c r="AD45" s="45"/>
      <c r="AE45" s="45"/>
      <c r="AF45" s="46"/>
    </row>
  </sheetData>
  <mergeCells count="48">
    <mergeCell ref="G13:G19"/>
    <mergeCell ref="C11:F11"/>
    <mergeCell ref="E13:E19"/>
    <mergeCell ref="F13:F19"/>
    <mergeCell ref="N13:N19"/>
    <mergeCell ref="O13:O19"/>
    <mergeCell ref="M13:M19"/>
    <mergeCell ref="H13:H19"/>
    <mergeCell ref="I13:I19"/>
    <mergeCell ref="L13:L19"/>
    <mergeCell ref="K13:K19"/>
    <mergeCell ref="J13:J19"/>
    <mergeCell ref="A1:E5"/>
    <mergeCell ref="F1:N5"/>
    <mergeCell ref="O1:Q1"/>
    <mergeCell ref="R1:T1"/>
    <mergeCell ref="O3:Q7"/>
    <mergeCell ref="R3:T7"/>
    <mergeCell ref="A6:G6"/>
    <mergeCell ref="H6:N6"/>
    <mergeCell ref="A7:G7"/>
    <mergeCell ref="H7:N7"/>
    <mergeCell ref="U1:W1"/>
    <mergeCell ref="X1:AF1"/>
    <mergeCell ref="AA2:AC2"/>
    <mergeCell ref="AD2:AF2"/>
    <mergeCell ref="O2:Q2"/>
    <mergeCell ref="R2:T2"/>
    <mergeCell ref="U2:W2"/>
    <mergeCell ref="X2:Z2"/>
    <mergeCell ref="U3:W7"/>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43" bottom="0.23622047244094491" header="0.15748031496062992" footer="0.15748031496062992"/>
  <pageSetup paperSize="9" scale="85" orientation="landscape" r:id="rId1"/>
  <headerFooter alignWithMargins="0">
    <oddHeader>&amp;L【営業秘密】</oddHeader>
    <oddFooter>&amp;C&amp;P／&amp;N&amp;R（様式2010.03）</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H45"/>
  <sheetViews>
    <sheetView showGridLines="0" topLeftCell="A25" zoomScale="70" workbookViewId="0">
      <selection sqref="A1:E5"/>
    </sheetView>
  </sheetViews>
  <sheetFormatPr defaultColWidth="4.25" defaultRowHeight="15" customHeight="1" x14ac:dyDescent="0.15"/>
  <cols>
    <col min="1" max="1" width="9" style="9" customWidth="1"/>
    <col min="2" max="12" width="4.25" style="9"/>
    <col min="13" max="14" width="4.25" style="9" customWidth="1"/>
    <col min="15" max="16384" width="4.25" style="9"/>
  </cols>
  <sheetData>
    <row r="1" spans="1:34" s="259" customFormat="1" ht="12.75" customHeight="1" x14ac:dyDescent="0.15">
      <c r="A1" s="774" t="s">
        <v>478</v>
      </c>
      <c r="B1" s="775"/>
      <c r="C1" s="775"/>
      <c r="D1" s="775"/>
      <c r="E1" s="776"/>
      <c r="F1" s="784" t="s">
        <v>472</v>
      </c>
      <c r="G1" s="775"/>
      <c r="H1" s="775"/>
      <c r="I1" s="775"/>
      <c r="J1" s="775"/>
      <c r="K1" s="775"/>
      <c r="L1" s="775"/>
      <c r="M1" s="775"/>
      <c r="N1" s="776"/>
      <c r="O1" s="760" t="s">
        <v>305</v>
      </c>
      <c r="P1" s="760"/>
      <c r="Q1" s="760"/>
      <c r="R1" s="760" t="s">
        <v>306</v>
      </c>
      <c r="S1" s="760"/>
      <c r="T1" s="760"/>
      <c r="U1" s="760" t="s">
        <v>237</v>
      </c>
      <c r="V1" s="760"/>
      <c r="W1" s="760"/>
      <c r="X1" s="760" t="s">
        <v>307</v>
      </c>
      <c r="Y1" s="760"/>
      <c r="Z1" s="760"/>
      <c r="AA1" s="760"/>
      <c r="AB1" s="760"/>
      <c r="AC1" s="760"/>
      <c r="AD1" s="760"/>
      <c r="AE1" s="760"/>
      <c r="AF1" s="760"/>
    </row>
    <row r="2" spans="1:34" s="259" customFormat="1" ht="12.75" customHeight="1" x14ac:dyDescent="0.15">
      <c r="A2" s="777"/>
      <c r="B2" s="778"/>
      <c r="C2" s="778"/>
      <c r="D2" s="778"/>
      <c r="E2" s="779"/>
      <c r="F2" s="777"/>
      <c r="G2" s="778"/>
      <c r="H2" s="778"/>
      <c r="I2" s="778"/>
      <c r="J2" s="778"/>
      <c r="K2" s="778"/>
      <c r="L2" s="778"/>
      <c r="M2" s="778"/>
      <c r="N2" s="779"/>
      <c r="O2" s="760" t="s">
        <v>473</v>
      </c>
      <c r="P2" s="760"/>
      <c r="Q2" s="760"/>
      <c r="R2" s="760" t="s">
        <v>473</v>
      </c>
      <c r="S2" s="760"/>
      <c r="T2" s="760"/>
      <c r="U2" s="760" t="s">
        <v>473</v>
      </c>
      <c r="V2" s="760"/>
      <c r="W2" s="760"/>
      <c r="X2" s="761" t="s">
        <v>308</v>
      </c>
      <c r="Y2" s="761"/>
      <c r="Z2" s="761"/>
      <c r="AA2" s="760" t="s">
        <v>306</v>
      </c>
      <c r="AB2" s="760"/>
      <c r="AC2" s="760"/>
      <c r="AD2" s="760" t="s">
        <v>237</v>
      </c>
      <c r="AE2" s="760"/>
      <c r="AF2" s="760"/>
    </row>
    <row r="3" spans="1:34" s="259" customFormat="1" ht="12.75" customHeight="1" x14ac:dyDescent="0.15">
      <c r="A3" s="777"/>
      <c r="B3" s="778"/>
      <c r="C3" s="778"/>
      <c r="D3" s="778"/>
      <c r="E3" s="779"/>
      <c r="F3" s="777"/>
      <c r="G3" s="778"/>
      <c r="H3" s="778"/>
      <c r="I3" s="778"/>
      <c r="J3" s="778"/>
      <c r="K3" s="778"/>
      <c r="L3" s="778"/>
      <c r="M3" s="778"/>
      <c r="N3" s="779"/>
      <c r="O3" s="760"/>
      <c r="P3" s="760"/>
      <c r="Q3" s="760"/>
      <c r="R3" s="760"/>
      <c r="S3" s="760"/>
      <c r="T3" s="760"/>
      <c r="U3" s="760"/>
      <c r="V3" s="760"/>
      <c r="W3" s="760"/>
      <c r="X3" s="760"/>
      <c r="Y3" s="760"/>
      <c r="Z3" s="760"/>
      <c r="AA3" s="760" t="s">
        <v>238</v>
      </c>
      <c r="AB3" s="760"/>
      <c r="AC3" s="760"/>
      <c r="AD3" s="760" t="s">
        <v>238</v>
      </c>
      <c r="AE3" s="760"/>
      <c r="AF3" s="760"/>
    </row>
    <row r="4" spans="1:34" s="259" customFormat="1" ht="12.75" customHeight="1" x14ac:dyDescent="0.15">
      <c r="A4" s="777"/>
      <c r="B4" s="778"/>
      <c r="C4" s="778"/>
      <c r="D4" s="778"/>
      <c r="E4" s="779"/>
      <c r="F4" s="777"/>
      <c r="G4" s="778"/>
      <c r="H4" s="778"/>
      <c r="I4" s="778"/>
      <c r="J4" s="778"/>
      <c r="K4" s="778"/>
      <c r="L4" s="778"/>
      <c r="M4" s="778"/>
      <c r="N4" s="779"/>
      <c r="O4" s="760"/>
      <c r="P4" s="760"/>
      <c r="Q4" s="760"/>
      <c r="R4" s="760"/>
      <c r="S4" s="760"/>
      <c r="T4" s="760"/>
      <c r="U4" s="760"/>
      <c r="V4" s="760"/>
      <c r="W4" s="760"/>
      <c r="X4" s="760"/>
      <c r="Y4" s="760"/>
      <c r="Z4" s="760"/>
      <c r="AA4" s="762"/>
      <c r="AB4" s="763"/>
      <c r="AC4" s="764"/>
      <c r="AD4" s="762"/>
      <c r="AE4" s="763"/>
      <c r="AF4" s="764"/>
    </row>
    <row r="5" spans="1:34" s="259" customFormat="1" ht="12.75" customHeight="1" x14ac:dyDescent="0.15">
      <c r="A5" s="780"/>
      <c r="B5" s="781"/>
      <c r="C5" s="781"/>
      <c r="D5" s="781"/>
      <c r="E5" s="782"/>
      <c r="F5" s="780"/>
      <c r="G5" s="781"/>
      <c r="H5" s="781"/>
      <c r="I5" s="781"/>
      <c r="J5" s="781"/>
      <c r="K5" s="781"/>
      <c r="L5" s="781"/>
      <c r="M5" s="781"/>
      <c r="N5" s="782"/>
      <c r="O5" s="760"/>
      <c r="P5" s="760"/>
      <c r="Q5" s="760"/>
      <c r="R5" s="760"/>
      <c r="S5" s="760"/>
      <c r="T5" s="760"/>
      <c r="U5" s="760"/>
      <c r="V5" s="760"/>
      <c r="W5" s="760"/>
      <c r="X5" s="760"/>
      <c r="Y5" s="760"/>
      <c r="Z5" s="760"/>
      <c r="AA5" s="765"/>
      <c r="AB5" s="766"/>
      <c r="AC5" s="767"/>
      <c r="AD5" s="765"/>
      <c r="AE5" s="766"/>
      <c r="AF5" s="767"/>
    </row>
    <row r="6" spans="1:34" s="259" customFormat="1" ht="15" customHeight="1" x14ac:dyDescent="0.15">
      <c r="A6" s="760" t="s">
        <v>465</v>
      </c>
      <c r="B6" s="760"/>
      <c r="C6" s="760"/>
      <c r="D6" s="760"/>
      <c r="E6" s="760"/>
      <c r="F6" s="760"/>
      <c r="G6" s="760"/>
      <c r="H6" s="760" t="s">
        <v>466</v>
      </c>
      <c r="I6" s="760"/>
      <c r="J6" s="760"/>
      <c r="K6" s="760"/>
      <c r="L6" s="760"/>
      <c r="M6" s="760"/>
      <c r="N6" s="760"/>
      <c r="O6" s="760"/>
      <c r="P6" s="760"/>
      <c r="Q6" s="760"/>
      <c r="R6" s="760"/>
      <c r="S6" s="760"/>
      <c r="T6" s="760"/>
      <c r="U6" s="760"/>
      <c r="V6" s="760"/>
      <c r="W6" s="760"/>
      <c r="X6" s="760"/>
      <c r="Y6" s="760"/>
      <c r="Z6" s="760"/>
      <c r="AA6" s="765"/>
      <c r="AB6" s="766"/>
      <c r="AC6" s="767"/>
      <c r="AD6" s="765"/>
      <c r="AE6" s="766"/>
      <c r="AF6" s="767"/>
    </row>
    <row r="7" spans="1:34" s="259" customFormat="1" ht="15" customHeight="1" x14ac:dyDescent="0.15">
      <c r="A7" s="760"/>
      <c r="B7" s="760"/>
      <c r="C7" s="760"/>
      <c r="D7" s="760"/>
      <c r="E7" s="760"/>
      <c r="F7" s="760"/>
      <c r="G7" s="760"/>
      <c r="H7" s="760"/>
      <c r="I7" s="760"/>
      <c r="J7" s="760"/>
      <c r="K7" s="760"/>
      <c r="L7" s="760"/>
      <c r="M7" s="760"/>
      <c r="N7" s="760"/>
      <c r="O7" s="760"/>
      <c r="P7" s="760"/>
      <c r="Q7" s="760"/>
      <c r="R7" s="760"/>
      <c r="S7" s="760"/>
      <c r="T7" s="760"/>
      <c r="U7" s="760"/>
      <c r="V7" s="760"/>
      <c r="W7" s="760"/>
      <c r="X7" s="760"/>
      <c r="Y7" s="760"/>
      <c r="Z7" s="760"/>
      <c r="AA7" s="768"/>
      <c r="AB7" s="769"/>
      <c r="AC7" s="770"/>
      <c r="AD7" s="768"/>
      <c r="AE7" s="769"/>
      <c r="AF7" s="770"/>
    </row>
    <row r="8" spans="1:34" s="262" customFormat="1" ht="15" customHeight="1" x14ac:dyDescent="0.15">
      <c r="A8" s="783" t="s">
        <v>310</v>
      </c>
      <c r="B8" s="783"/>
      <c r="C8" s="783"/>
      <c r="D8" s="783"/>
      <c r="E8" s="783"/>
      <c r="F8" s="783"/>
      <c r="G8" s="783"/>
      <c r="H8" s="783"/>
      <c r="I8" s="783"/>
      <c r="J8" s="783"/>
      <c r="K8" s="783"/>
      <c r="L8" s="783"/>
      <c r="M8" s="783"/>
      <c r="N8" s="783"/>
      <c r="O8" s="783" t="s">
        <v>139</v>
      </c>
      <c r="P8" s="783"/>
      <c r="Q8" s="783"/>
      <c r="R8" s="783"/>
      <c r="S8" s="783"/>
      <c r="T8" s="783"/>
      <c r="U8" s="260" t="s">
        <v>479</v>
      </c>
      <c r="V8" s="261"/>
      <c r="W8" s="754"/>
      <c r="X8" s="755"/>
      <c r="Y8" s="756"/>
      <c r="Z8" s="757" t="s">
        <v>468</v>
      </c>
      <c r="AA8" s="758"/>
      <c r="AB8" s="759"/>
      <c r="AC8" s="755"/>
      <c r="AD8" s="756"/>
      <c r="AE8" s="757" t="s">
        <v>469</v>
      </c>
      <c r="AF8" s="758"/>
    </row>
    <row r="9" spans="1:34" s="262" customFormat="1" ht="15" customHeight="1" x14ac:dyDescent="0.15">
      <c r="A9" s="783"/>
      <c r="B9" s="783"/>
      <c r="C9" s="783"/>
      <c r="D9" s="783"/>
      <c r="E9" s="783"/>
      <c r="F9" s="783"/>
      <c r="G9" s="783"/>
      <c r="H9" s="783"/>
      <c r="I9" s="783"/>
      <c r="J9" s="783"/>
      <c r="K9" s="783"/>
      <c r="L9" s="783"/>
      <c r="M9" s="783"/>
      <c r="N9" s="783"/>
      <c r="O9" s="783"/>
      <c r="P9" s="783"/>
      <c r="Q9" s="783"/>
      <c r="R9" s="783"/>
      <c r="S9" s="783"/>
      <c r="T9" s="783"/>
      <c r="U9" s="263" t="s">
        <v>480</v>
      </c>
      <c r="V9" s="264"/>
      <c r="W9" s="748"/>
      <c r="X9" s="749"/>
      <c r="Y9" s="750"/>
      <c r="Z9" s="751" t="s">
        <v>471</v>
      </c>
      <c r="AA9" s="750"/>
      <c r="AB9" s="751"/>
      <c r="AC9" s="749"/>
      <c r="AD9" s="750"/>
      <c r="AE9" s="752"/>
      <c r="AF9" s="753"/>
    </row>
    <row r="11" spans="1:34" ht="15" customHeight="1" x14ac:dyDescent="0.15">
      <c r="A11" s="10" t="s">
        <v>208</v>
      </c>
      <c r="B11" s="11"/>
      <c r="C11" s="771" t="s">
        <v>141</v>
      </c>
      <c r="D11" s="772"/>
      <c r="E11" s="772"/>
      <c r="F11" s="77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4" ht="15" customHeight="1" x14ac:dyDescent="0.15">
      <c r="A13" s="48"/>
      <c r="B13" s="49"/>
      <c r="C13" s="49"/>
      <c r="D13" s="50" t="s">
        <v>297</v>
      </c>
      <c r="E13" s="789" t="s">
        <v>280</v>
      </c>
      <c r="F13" s="789" t="s">
        <v>282</v>
      </c>
      <c r="G13" s="789" t="s">
        <v>284</v>
      </c>
      <c r="H13" s="789" t="s">
        <v>285</v>
      </c>
      <c r="I13" s="789" t="s">
        <v>287</v>
      </c>
      <c r="J13" s="789" t="s">
        <v>298</v>
      </c>
      <c r="K13" s="789" t="s">
        <v>291</v>
      </c>
      <c r="L13" s="789" t="s">
        <v>293</v>
      </c>
      <c r="M13" s="787" t="s">
        <v>274</v>
      </c>
      <c r="N13" s="792" t="s">
        <v>299</v>
      </c>
      <c r="O13" s="785" t="s">
        <v>300</v>
      </c>
      <c r="P13" s="51"/>
      <c r="Q13" s="25"/>
      <c r="R13" s="15"/>
      <c r="S13" s="15"/>
      <c r="T13" s="15"/>
      <c r="U13" s="15"/>
      <c r="V13" s="15"/>
      <c r="W13" s="15"/>
      <c r="X13" s="15"/>
      <c r="Y13" s="15"/>
      <c r="Z13" s="15"/>
      <c r="AA13" s="15"/>
      <c r="AB13" s="15"/>
      <c r="AC13" s="15"/>
      <c r="AD13" s="15"/>
      <c r="AE13" s="15"/>
      <c r="AF13" s="26"/>
    </row>
    <row r="14" spans="1:34" ht="15" customHeight="1" x14ac:dyDescent="0.15">
      <c r="A14" s="52"/>
      <c r="B14" s="53"/>
      <c r="C14" s="53"/>
      <c r="D14" s="54"/>
      <c r="E14" s="790"/>
      <c r="F14" s="790"/>
      <c r="G14" s="790"/>
      <c r="H14" s="790"/>
      <c r="I14" s="790"/>
      <c r="J14" s="790"/>
      <c r="K14" s="790"/>
      <c r="L14" s="790"/>
      <c r="M14" s="788"/>
      <c r="N14" s="793"/>
      <c r="O14" s="786"/>
      <c r="P14" s="51"/>
      <c r="Q14" s="12"/>
      <c r="R14" s="13"/>
      <c r="S14" s="13"/>
      <c r="T14" s="13"/>
      <c r="U14" s="13"/>
      <c r="V14" s="13"/>
      <c r="W14" s="13"/>
      <c r="X14" s="13"/>
      <c r="Y14" s="13"/>
      <c r="Z14" s="13"/>
      <c r="AA14" s="13"/>
      <c r="AB14" s="13"/>
      <c r="AC14" s="13"/>
      <c r="AD14" s="13"/>
      <c r="AE14" s="13"/>
      <c r="AF14" s="34"/>
    </row>
    <row r="15" spans="1:34" ht="15" customHeight="1" x14ac:dyDescent="0.15">
      <c r="A15" s="52"/>
      <c r="B15" s="53"/>
      <c r="C15" s="53"/>
      <c r="D15" s="54"/>
      <c r="E15" s="790"/>
      <c r="F15" s="790"/>
      <c r="G15" s="790"/>
      <c r="H15" s="790"/>
      <c r="I15" s="790"/>
      <c r="J15" s="790"/>
      <c r="K15" s="790"/>
      <c r="L15" s="790"/>
      <c r="M15" s="788"/>
      <c r="N15" s="793"/>
      <c r="O15" s="786"/>
      <c r="P15" s="51"/>
      <c r="Q15" s="12"/>
      <c r="R15" s="13"/>
      <c r="S15" s="13"/>
      <c r="T15" s="13"/>
      <c r="U15" s="13"/>
      <c r="V15" s="13"/>
      <c r="W15" s="13"/>
      <c r="X15" s="13"/>
      <c r="Y15" s="13"/>
      <c r="Z15" s="13"/>
      <c r="AA15" s="13"/>
      <c r="AB15" s="13"/>
      <c r="AC15" s="13"/>
      <c r="AD15" s="13"/>
      <c r="AE15" s="13"/>
      <c r="AF15" s="34"/>
    </row>
    <row r="16" spans="1:34" ht="15" customHeight="1" x14ac:dyDescent="0.15">
      <c r="A16" s="52"/>
      <c r="B16" s="53"/>
      <c r="C16" s="53"/>
      <c r="D16" s="54"/>
      <c r="E16" s="790"/>
      <c r="F16" s="790"/>
      <c r="G16" s="790"/>
      <c r="H16" s="790"/>
      <c r="I16" s="790"/>
      <c r="J16" s="790"/>
      <c r="K16" s="790"/>
      <c r="L16" s="790"/>
      <c r="M16" s="788"/>
      <c r="N16" s="793"/>
      <c r="O16" s="786"/>
      <c r="P16" s="51"/>
      <c r="Q16" s="12"/>
      <c r="R16" s="13"/>
      <c r="S16" s="13"/>
      <c r="T16" s="13"/>
      <c r="U16" s="13"/>
      <c r="V16" s="13"/>
      <c r="W16" s="13"/>
      <c r="X16" s="13"/>
      <c r="Y16" s="13"/>
      <c r="Z16" s="13"/>
      <c r="AA16" s="13"/>
      <c r="AB16" s="13"/>
      <c r="AC16" s="13"/>
      <c r="AD16" s="13"/>
      <c r="AE16" s="13"/>
      <c r="AF16" s="34"/>
    </row>
    <row r="17" spans="1:32" ht="15" customHeight="1" x14ac:dyDescent="0.15">
      <c r="A17" s="52"/>
      <c r="B17" s="53"/>
      <c r="C17" s="53"/>
      <c r="D17" s="54"/>
      <c r="E17" s="790"/>
      <c r="F17" s="790"/>
      <c r="G17" s="790"/>
      <c r="H17" s="790"/>
      <c r="I17" s="790"/>
      <c r="J17" s="790"/>
      <c r="K17" s="790"/>
      <c r="L17" s="790"/>
      <c r="M17" s="788"/>
      <c r="N17" s="793"/>
      <c r="O17" s="786"/>
      <c r="P17" s="51"/>
      <c r="Q17" s="12"/>
      <c r="R17" s="13"/>
      <c r="S17" s="13"/>
      <c r="T17" s="13"/>
      <c r="U17" s="13"/>
      <c r="V17" s="13"/>
      <c r="W17" s="13"/>
      <c r="X17" s="13"/>
      <c r="Y17" s="13"/>
      <c r="Z17" s="13"/>
      <c r="AA17" s="13"/>
      <c r="AB17" s="13"/>
      <c r="AC17" s="13"/>
      <c r="AD17" s="13"/>
      <c r="AE17" s="13"/>
      <c r="AF17" s="34"/>
    </row>
    <row r="18" spans="1:32" ht="15" customHeight="1" x14ac:dyDescent="0.15">
      <c r="A18" s="52"/>
      <c r="B18" s="53"/>
      <c r="C18" s="53"/>
      <c r="D18" s="54"/>
      <c r="E18" s="790"/>
      <c r="F18" s="790"/>
      <c r="G18" s="790"/>
      <c r="H18" s="790"/>
      <c r="I18" s="790"/>
      <c r="J18" s="790"/>
      <c r="K18" s="790"/>
      <c r="L18" s="790"/>
      <c r="M18" s="788"/>
      <c r="N18" s="793"/>
      <c r="O18" s="786"/>
      <c r="P18" s="51"/>
      <c r="Q18" s="12"/>
      <c r="R18" s="13"/>
      <c r="S18" s="13"/>
      <c r="T18" s="13"/>
      <c r="U18" s="13"/>
      <c r="V18" s="13"/>
      <c r="W18" s="13"/>
      <c r="X18" s="13"/>
      <c r="Y18" s="13"/>
      <c r="Z18" s="13"/>
      <c r="AA18" s="13"/>
      <c r="AB18" s="13"/>
      <c r="AC18" s="13"/>
      <c r="AD18" s="13"/>
      <c r="AE18" s="13"/>
      <c r="AF18" s="34"/>
    </row>
    <row r="19" spans="1:32" ht="15" customHeight="1" x14ac:dyDescent="0.15">
      <c r="A19" s="55" t="s">
        <v>233</v>
      </c>
      <c r="B19" s="56"/>
      <c r="C19" s="56"/>
      <c r="D19" s="57"/>
      <c r="E19" s="790"/>
      <c r="F19" s="790"/>
      <c r="G19" s="790"/>
      <c r="H19" s="790"/>
      <c r="I19" s="790"/>
      <c r="J19" s="790"/>
      <c r="K19" s="790"/>
      <c r="L19" s="791"/>
      <c r="M19" s="788"/>
      <c r="N19" s="793"/>
      <c r="O19" s="786"/>
      <c r="P19" s="51"/>
      <c r="Q19" s="12"/>
      <c r="R19" s="13"/>
      <c r="S19" s="13"/>
      <c r="T19" s="13"/>
      <c r="U19" s="13"/>
      <c r="V19" s="13"/>
      <c r="W19" s="13"/>
      <c r="X19" s="13"/>
      <c r="Y19" s="13"/>
      <c r="Z19" s="13"/>
      <c r="AA19" s="13"/>
      <c r="AB19" s="13"/>
      <c r="AC19" s="13"/>
      <c r="AD19" s="13"/>
      <c r="AE19" s="13"/>
      <c r="AF19" s="34"/>
    </row>
    <row r="20" spans="1:32" ht="15" customHeight="1" x14ac:dyDescent="0.15">
      <c r="A20" s="58" t="s">
        <v>281</v>
      </c>
      <c r="B20" s="22"/>
      <c r="C20" s="22"/>
      <c r="D20" s="23"/>
      <c r="E20" s="59">
        <v>1</v>
      </c>
      <c r="F20" s="59">
        <v>2</v>
      </c>
      <c r="G20" s="59">
        <v>3</v>
      </c>
      <c r="H20" s="59">
        <v>4</v>
      </c>
      <c r="I20" s="59">
        <v>5</v>
      </c>
      <c r="J20" s="59">
        <v>6</v>
      </c>
      <c r="K20" s="60">
        <v>7</v>
      </c>
      <c r="L20" s="60">
        <v>8</v>
      </c>
      <c r="M20" s="61">
        <v>9</v>
      </c>
      <c r="N20" s="62">
        <f>SUM($E$20:$M$20)</f>
        <v>45</v>
      </c>
      <c r="O20" s="63">
        <f>IF($N$20=0,0,$N$20/$N$28*100)</f>
        <v>1.7123287671232876</v>
      </c>
      <c r="P20" s="64"/>
      <c r="Q20" s="12"/>
      <c r="R20" s="13"/>
      <c r="S20" s="13"/>
      <c r="T20" s="13"/>
      <c r="U20" s="13"/>
      <c r="V20" s="13"/>
      <c r="W20" s="13"/>
      <c r="X20" s="13"/>
      <c r="Y20" s="13"/>
      <c r="Z20" s="13"/>
      <c r="AA20" s="13"/>
      <c r="AB20" s="13"/>
      <c r="AC20" s="13"/>
      <c r="AD20" s="13"/>
      <c r="AE20" s="13"/>
      <c r="AF20" s="34"/>
    </row>
    <row r="21" spans="1:32" ht="15" customHeight="1" x14ac:dyDescent="0.15">
      <c r="A21" s="42" t="s">
        <v>283</v>
      </c>
      <c r="B21" s="65"/>
      <c r="C21" s="31"/>
      <c r="D21" s="32"/>
      <c r="E21" s="66">
        <v>18</v>
      </c>
      <c r="F21" s="66">
        <v>17</v>
      </c>
      <c r="G21" s="66">
        <v>16</v>
      </c>
      <c r="H21" s="66">
        <v>15</v>
      </c>
      <c r="I21" s="66">
        <v>14</v>
      </c>
      <c r="J21" s="66">
        <v>13</v>
      </c>
      <c r="K21" s="67">
        <v>12</v>
      </c>
      <c r="L21" s="67">
        <v>11</v>
      </c>
      <c r="M21" s="68">
        <v>10</v>
      </c>
      <c r="N21" s="69">
        <f>SUM($E$21:$M$21)</f>
        <v>126</v>
      </c>
      <c r="O21" s="70">
        <f>IF($N$21=0,0,$N$21/$N$28*100)</f>
        <v>4.7945205479452051</v>
      </c>
      <c r="P21" s="64"/>
      <c r="Q21" s="12"/>
      <c r="R21" s="13"/>
      <c r="S21" s="13"/>
      <c r="T21" s="13"/>
      <c r="U21" s="13"/>
      <c r="V21" s="13"/>
      <c r="W21" s="13"/>
      <c r="X21" s="13"/>
      <c r="Y21" s="13"/>
      <c r="Z21" s="13"/>
      <c r="AA21" s="13"/>
      <c r="AB21" s="13"/>
      <c r="AC21" s="13"/>
      <c r="AD21" s="13"/>
      <c r="AE21" s="13"/>
      <c r="AF21" s="34"/>
    </row>
    <row r="22" spans="1:32" ht="15" customHeight="1" x14ac:dyDescent="0.15">
      <c r="A22" s="71" t="s">
        <v>253</v>
      </c>
      <c r="B22" s="31"/>
      <c r="C22" s="31"/>
      <c r="D22" s="32"/>
      <c r="E22" s="66">
        <v>19</v>
      </c>
      <c r="F22" s="66">
        <v>20</v>
      </c>
      <c r="G22" s="66">
        <v>21</v>
      </c>
      <c r="H22" s="66">
        <v>22</v>
      </c>
      <c r="I22" s="66">
        <v>23</v>
      </c>
      <c r="J22" s="66">
        <v>24</v>
      </c>
      <c r="K22" s="67">
        <v>25</v>
      </c>
      <c r="L22" s="67">
        <v>26</v>
      </c>
      <c r="M22" s="68">
        <v>27</v>
      </c>
      <c r="N22" s="69">
        <f>SUM($E$22:$M$22)</f>
        <v>207</v>
      </c>
      <c r="O22" s="70">
        <f>IF($N$22=0,0,$N$22/$N$28*100)</f>
        <v>7.8767123287671232</v>
      </c>
      <c r="P22" s="64"/>
      <c r="Q22" s="12"/>
      <c r="R22" s="13"/>
      <c r="S22" s="13"/>
      <c r="T22" s="13"/>
      <c r="U22" s="13"/>
      <c r="V22" s="13"/>
      <c r="W22" s="13"/>
      <c r="X22" s="13"/>
      <c r="Y22" s="13"/>
      <c r="Z22" s="13"/>
      <c r="AA22" s="13"/>
      <c r="AB22" s="13"/>
      <c r="AC22" s="13"/>
      <c r="AD22" s="13"/>
      <c r="AE22" s="13"/>
      <c r="AF22" s="34"/>
    </row>
    <row r="23" spans="1:32" ht="15" customHeight="1" x14ac:dyDescent="0.15">
      <c r="A23" s="71" t="s">
        <v>286</v>
      </c>
      <c r="B23" s="31"/>
      <c r="C23" s="31"/>
      <c r="D23" s="32"/>
      <c r="E23" s="66">
        <v>36</v>
      </c>
      <c r="F23" s="66">
        <v>35</v>
      </c>
      <c r="G23" s="66">
        <v>34</v>
      </c>
      <c r="H23" s="66">
        <v>33</v>
      </c>
      <c r="I23" s="66">
        <v>32</v>
      </c>
      <c r="J23" s="66">
        <v>31</v>
      </c>
      <c r="K23" s="67">
        <v>30</v>
      </c>
      <c r="L23" s="67">
        <v>29</v>
      </c>
      <c r="M23" s="68">
        <v>28</v>
      </c>
      <c r="N23" s="69">
        <f>SUM($E$23:$M$23)</f>
        <v>288</v>
      </c>
      <c r="O23" s="70">
        <f>IF($N$23=0,0,$N$23/$N$28*100)</f>
        <v>10.95890410958904</v>
      </c>
      <c r="P23" s="64"/>
      <c r="Q23" s="12"/>
      <c r="R23" s="13"/>
      <c r="S23" s="13"/>
      <c r="T23" s="13"/>
      <c r="U23" s="13"/>
      <c r="V23" s="13"/>
      <c r="W23" s="13"/>
      <c r="X23" s="13"/>
      <c r="Y23" s="13"/>
      <c r="Z23" s="13"/>
      <c r="AA23" s="13"/>
      <c r="AB23" s="13"/>
      <c r="AC23" s="13"/>
      <c r="AD23" s="13"/>
      <c r="AE23" s="13"/>
      <c r="AF23" s="34"/>
    </row>
    <row r="24" spans="1:32" ht="15" customHeight="1" x14ac:dyDescent="0.15">
      <c r="A24" s="71" t="s">
        <v>288</v>
      </c>
      <c r="B24" s="31"/>
      <c r="C24" s="31"/>
      <c r="D24" s="32"/>
      <c r="E24" s="66">
        <v>37</v>
      </c>
      <c r="F24" s="66">
        <v>38</v>
      </c>
      <c r="G24" s="66">
        <v>39</v>
      </c>
      <c r="H24" s="66">
        <v>40</v>
      </c>
      <c r="I24" s="66">
        <v>41</v>
      </c>
      <c r="J24" s="66">
        <v>42</v>
      </c>
      <c r="K24" s="67">
        <v>43</v>
      </c>
      <c r="L24" s="67">
        <v>44</v>
      </c>
      <c r="M24" s="68">
        <v>45</v>
      </c>
      <c r="N24" s="69">
        <f>SUM($E$24:$M$24)</f>
        <v>369</v>
      </c>
      <c r="O24" s="70">
        <f>IF($N$24=0,0,$N$24/$N$28*100)</f>
        <v>14.04109589041096</v>
      </c>
      <c r="P24" s="86"/>
      <c r="Q24" s="12"/>
      <c r="R24" s="13"/>
      <c r="S24" s="13"/>
      <c r="T24" s="13"/>
      <c r="U24" s="13"/>
      <c r="V24" s="13"/>
      <c r="W24" s="13"/>
      <c r="X24" s="13"/>
      <c r="Y24" s="13"/>
      <c r="Z24" s="13"/>
      <c r="AA24" s="13"/>
      <c r="AB24" s="13"/>
      <c r="AC24" s="13"/>
      <c r="AD24" s="13"/>
      <c r="AE24" s="13"/>
      <c r="AF24" s="34"/>
    </row>
    <row r="25" spans="1:32" ht="15" customHeight="1" x14ac:dyDescent="0.15">
      <c r="A25" s="71" t="s">
        <v>303</v>
      </c>
      <c r="B25" s="31"/>
      <c r="C25" s="31"/>
      <c r="D25" s="32"/>
      <c r="E25" s="66">
        <v>54</v>
      </c>
      <c r="F25" s="66">
        <v>53</v>
      </c>
      <c r="G25" s="66">
        <v>52</v>
      </c>
      <c r="H25" s="66">
        <v>51</v>
      </c>
      <c r="I25" s="66">
        <v>50</v>
      </c>
      <c r="J25" s="66">
        <v>49</v>
      </c>
      <c r="K25" s="67">
        <v>48</v>
      </c>
      <c r="L25" s="67">
        <v>47</v>
      </c>
      <c r="M25" s="68">
        <v>46</v>
      </c>
      <c r="N25" s="69">
        <f>SUM($E$25:$M$25)</f>
        <v>450</v>
      </c>
      <c r="O25" s="70">
        <f>IF($N$25=0,0,$N$25/$N$28*100)</f>
        <v>17.123287671232877</v>
      </c>
      <c r="P25" s="93"/>
      <c r="Q25" s="12"/>
      <c r="R25" s="13"/>
      <c r="S25" s="13"/>
      <c r="T25" s="13"/>
      <c r="U25" s="13"/>
      <c r="V25" s="13"/>
      <c r="W25" s="13"/>
      <c r="X25" s="13"/>
      <c r="Y25" s="13"/>
      <c r="Z25" s="13"/>
      <c r="AA25" s="13"/>
      <c r="AB25" s="13"/>
      <c r="AC25" s="13"/>
      <c r="AD25" s="13"/>
      <c r="AE25" s="13"/>
      <c r="AF25" s="34"/>
    </row>
    <row r="26" spans="1:32" ht="15" customHeight="1" x14ac:dyDescent="0.15">
      <c r="A26" s="71" t="s">
        <v>292</v>
      </c>
      <c r="B26" s="31"/>
      <c r="C26" s="31"/>
      <c r="D26" s="32"/>
      <c r="E26" s="66">
        <v>55</v>
      </c>
      <c r="F26" s="66">
        <v>56</v>
      </c>
      <c r="G26" s="66">
        <v>57</v>
      </c>
      <c r="H26" s="66">
        <v>58</v>
      </c>
      <c r="I26" s="66">
        <v>59</v>
      </c>
      <c r="J26" s="66">
        <v>60</v>
      </c>
      <c r="K26" s="67">
        <v>61</v>
      </c>
      <c r="L26" s="67">
        <v>62</v>
      </c>
      <c r="M26" s="68">
        <v>63</v>
      </c>
      <c r="N26" s="69">
        <f>SUM($E$26:$M$26)</f>
        <v>531</v>
      </c>
      <c r="O26" s="70">
        <f>IF($N$26=0,0,$N$26/$N$28*100)</f>
        <v>20.205479452054796</v>
      </c>
      <c r="P26" s="93"/>
      <c r="Q26" s="12"/>
      <c r="R26" s="13"/>
      <c r="S26" s="13"/>
      <c r="T26" s="13"/>
      <c r="U26" s="13"/>
      <c r="V26" s="13"/>
      <c r="W26" s="13"/>
      <c r="X26" s="13"/>
      <c r="Y26" s="13"/>
      <c r="Z26" s="13"/>
      <c r="AA26" s="13"/>
      <c r="AB26" s="13"/>
      <c r="AC26" s="13"/>
      <c r="AD26" s="13"/>
      <c r="AE26" s="13"/>
      <c r="AF26" s="34"/>
    </row>
    <row r="27" spans="1:32" ht="15" customHeight="1" thickBot="1" x14ac:dyDescent="0.2">
      <c r="A27" s="72" t="s">
        <v>274</v>
      </c>
      <c r="B27" s="73"/>
      <c r="C27" s="73"/>
      <c r="D27" s="74"/>
      <c r="E27" s="75">
        <v>72</v>
      </c>
      <c r="F27" s="75">
        <v>71</v>
      </c>
      <c r="G27" s="75">
        <v>70</v>
      </c>
      <c r="H27" s="75">
        <v>69</v>
      </c>
      <c r="I27" s="75">
        <v>68</v>
      </c>
      <c r="J27" s="75">
        <v>67</v>
      </c>
      <c r="K27" s="76">
        <v>66</v>
      </c>
      <c r="L27" s="76">
        <v>65</v>
      </c>
      <c r="M27" s="77">
        <v>64</v>
      </c>
      <c r="N27" s="78">
        <f>SUM($E$27:$M$27)</f>
        <v>612</v>
      </c>
      <c r="O27" s="79">
        <f>IF($N$27=0,0,$N$27/$N$28*100)</f>
        <v>23.287671232876711</v>
      </c>
      <c r="P27" s="93"/>
      <c r="Q27" s="12"/>
      <c r="R27" s="13"/>
      <c r="S27" s="13"/>
      <c r="T27" s="13"/>
      <c r="U27" s="13"/>
      <c r="V27" s="13"/>
      <c r="W27" s="13"/>
      <c r="X27" s="13"/>
      <c r="Y27" s="13"/>
      <c r="Z27" s="13"/>
      <c r="AA27" s="13"/>
      <c r="AB27" s="13"/>
      <c r="AC27" s="13"/>
      <c r="AD27" s="13"/>
      <c r="AE27" s="13"/>
      <c r="AF27" s="34"/>
    </row>
    <row r="28" spans="1:32" ht="15" customHeight="1" thickTop="1" x14ac:dyDescent="0.15">
      <c r="A28" s="80" t="s">
        <v>299</v>
      </c>
      <c r="B28" s="81"/>
      <c r="C28" s="81"/>
      <c r="D28" s="81"/>
      <c r="E28" s="82">
        <f>SUM($E$20:$E$27)</f>
        <v>292</v>
      </c>
      <c r="F28" s="82">
        <f>SUM($F$20:$F$27)</f>
        <v>292</v>
      </c>
      <c r="G28" s="82">
        <f>SUM($G$20:$G$27)</f>
        <v>292</v>
      </c>
      <c r="H28" s="82">
        <f>SUM($H$20:$H$27)</f>
        <v>292</v>
      </c>
      <c r="I28" s="82">
        <f>SUM($I$20:$I$27)</f>
        <v>292</v>
      </c>
      <c r="J28" s="82">
        <f>SUM($J$20:$J$27)</f>
        <v>292</v>
      </c>
      <c r="K28" s="82">
        <f>SUM($K$20:$K$27)</f>
        <v>292</v>
      </c>
      <c r="L28" s="82">
        <f>SUM($L$20:$L$27)</f>
        <v>292</v>
      </c>
      <c r="M28" s="83">
        <f>SUM($M$20:$M$27)</f>
        <v>292</v>
      </c>
      <c r="N28" s="84">
        <f>SUM($E$28:$M$28)</f>
        <v>2628</v>
      </c>
      <c r="O28" s="85">
        <f>IF($N$28=0,0,$N$28/$N$28*100)</f>
        <v>100</v>
      </c>
      <c r="P28" s="93"/>
      <c r="Q28" s="12"/>
      <c r="R28" s="13"/>
      <c r="S28" s="13"/>
      <c r="T28" s="13"/>
      <c r="U28" s="13"/>
      <c r="V28" s="13"/>
      <c r="W28" s="13"/>
      <c r="X28" s="13"/>
      <c r="Y28" s="13"/>
      <c r="Z28" s="13"/>
      <c r="AA28" s="13"/>
      <c r="AB28" s="13"/>
      <c r="AC28" s="13"/>
      <c r="AD28" s="13"/>
      <c r="AE28" s="13"/>
      <c r="AF28" s="34"/>
    </row>
    <row r="29" spans="1:32" ht="15" customHeight="1" x14ac:dyDescent="0.15">
      <c r="A29" s="87" t="s">
        <v>300</v>
      </c>
      <c r="B29" s="88"/>
      <c r="C29" s="88"/>
      <c r="D29" s="88"/>
      <c r="E29" s="89">
        <f>IF($E$28=0,0,$E$28/$N$28*100)</f>
        <v>11.111111111111111</v>
      </c>
      <c r="F29" s="89">
        <f>IF($F$28=0,0,$F$28/$N$28*100)</f>
        <v>11.111111111111111</v>
      </c>
      <c r="G29" s="89">
        <f>IF($G$28=0,0,$G$28/$N$28*100)</f>
        <v>11.111111111111111</v>
      </c>
      <c r="H29" s="89">
        <f>IF($H$28=0,0,$H$28/$N$28*100)</f>
        <v>11.111111111111111</v>
      </c>
      <c r="I29" s="89">
        <f>IF($I$28=0,0,$I$28/$N$28*100)</f>
        <v>11.111111111111111</v>
      </c>
      <c r="J29" s="89">
        <f>IF($J$28=0,0,$J$28/$N$28*100)</f>
        <v>11.111111111111111</v>
      </c>
      <c r="K29" s="89">
        <f>IF($K$28=0,0,$K$28/$N$28*100)</f>
        <v>11.111111111111111</v>
      </c>
      <c r="L29" s="89">
        <f>IF($L$28=0,0,$L$28/$N$28*100)</f>
        <v>11.111111111111111</v>
      </c>
      <c r="M29" s="90">
        <f>IF($M$28=0,0,$M$28/$N$28*100)</f>
        <v>11.111111111111111</v>
      </c>
      <c r="N29" s="91">
        <f>IF($N$28=0,0,$N$28/$N$28*100)</f>
        <v>100</v>
      </c>
      <c r="O29" s="92" t="s">
        <v>302</v>
      </c>
      <c r="P29" s="93"/>
      <c r="Q29" s="12"/>
      <c r="R29" s="13"/>
      <c r="S29" s="13"/>
      <c r="T29" s="13"/>
      <c r="U29" s="13"/>
      <c r="V29" s="13"/>
      <c r="W29" s="13"/>
      <c r="X29" s="13"/>
      <c r="Y29" s="13"/>
      <c r="Z29" s="13"/>
      <c r="AA29" s="13"/>
      <c r="AB29" s="13"/>
      <c r="AC29" s="13"/>
      <c r="AD29" s="13"/>
      <c r="AE29" s="13"/>
      <c r="AF29" s="34"/>
    </row>
    <row r="30" spans="1:32" ht="15" customHeight="1" x14ac:dyDescent="0.15">
      <c r="A30" s="18"/>
      <c r="B30" s="94"/>
      <c r="C30" s="94"/>
      <c r="D30" s="94"/>
      <c r="E30" s="94"/>
      <c r="F30" s="94"/>
      <c r="G30" s="94"/>
      <c r="H30" s="94"/>
      <c r="I30" s="94"/>
      <c r="J30" s="94"/>
      <c r="K30" s="94"/>
      <c r="L30" s="94"/>
      <c r="M30" s="94"/>
      <c r="N30" s="94"/>
      <c r="O30" s="19"/>
      <c r="P30" s="93"/>
      <c r="Q30" s="12"/>
      <c r="R30" s="13"/>
      <c r="S30" s="13"/>
      <c r="T30" s="13"/>
      <c r="U30" s="13"/>
      <c r="V30" s="13"/>
      <c r="W30" s="13"/>
      <c r="X30" s="13"/>
      <c r="Y30" s="13"/>
      <c r="Z30" s="13"/>
      <c r="AA30" s="13"/>
      <c r="AB30" s="13"/>
      <c r="AC30" s="13"/>
      <c r="AD30" s="13"/>
      <c r="AE30" s="13"/>
      <c r="AF30" s="34"/>
    </row>
    <row r="31" spans="1:32" ht="15" customHeight="1" x14ac:dyDescent="0.15">
      <c r="A31" s="27"/>
      <c r="B31" s="36"/>
      <c r="C31" s="36"/>
      <c r="D31" s="36"/>
      <c r="E31" s="36"/>
      <c r="F31" s="36"/>
      <c r="G31" s="36"/>
      <c r="H31" s="36"/>
      <c r="I31" s="36"/>
      <c r="J31" s="36"/>
      <c r="K31" s="36"/>
      <c r="L31" s="36"/>
      <c r="M31" s="36"/>
      <c r="N31" s="36"/>
      <c r="O31" s="28"/>
      <c r="P31" s="93"/>
      <c r="Q31" s="12"/>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36"/>
      <c r="N32" s="36"/>
      <c r="O32" s="28"/>
      <c r="P32" s="93"/>
      <c r="Q32" s="12"/>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36"/>
      <c r="N33" s="36"/>
      <c r="O33" s="28"/>
      <c r="P33" s="93"/>
      <c r="Q33" s="12"/>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36"/>
      <c r="N34" s="36"/>
      <c r="O34" s="28"/>
      <c r="P34" s="93"/>
      <c r="Q34" s="12"/>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36"/>
      <c r="N35" s="36"/>
      <c r="O35" s="28"/>
      <c r="P35" s="93"/>
      <c r="Q35" s="12"/>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36"/>
      <c r="N36" s="36"/>
      <c r="O36" s="28"/>
      <c r="P36" s="93"/>
      <c r="Q36" s="12"/>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36"/>
      <c r="N37" s="36"/>
      <c r="O37" s="28"/>
      <c r="P37" s="93"/>
      <c r="Q37" s="12"/>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36"/>
      <c r="N38" s="36"/>
      <c r="O38" s="28"/>
      <c r="P38" s="93"/>
      <c r="Q38" s="12"/>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36"/>
      <c r="N39" s="36"/>
      <c r="O39" s="28"/>
      <c r="P39" s="93"/>
      <c r="Q39" s="12"/>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36"/>
      <c r="N40" s="36"/>
      <c r="O40" s="28"/>
      <c r="P40" s="93"/>
      <c r="Q40" s="12"/>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36"/>
      <c r="N41" s="36"/>
      <c r="O41" s="28"/>
      <c r="P41" s="93"/>
      <c r="Q41" s="12"/>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36"/>
      <c r="N42" s="36"/>
      <c r="O42" s="28"/>
      <c r="P42" s="93"/>
      <c r="Q42" s="12"/>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36"/>
      <c r="N43" s="36"/>
      <c r="O43" s="28"/>
      <c r="P43" s="93"/>
      <c r="Q43" s="12"/>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36"/>
      <c r="N44" s="36"/>
      <c r="O44" s="28"/>
      <c r="P44" s="93"/>
      <c r="Q44" s="12"/>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39"/>
      <c r="N45" s="39"/>
      <c r="O45" s="40"/>
      <c r="P45" s="93"/>
      <c r="Q45" s="44"/>
      <c r="R45" s="45"/>
      <c r="S45" s="45"/>
      <c r="T45" s="45"/>
      <c r="U45" s="45"/>
      <c r="V45" s="45"/>
      <c r="W45" s="45"/>
      <c r="X45" s="45"/>
      <c r="Y45" s="45"/>
      <c r="Z45" s="45"/>
      <c r="AA45" s="45"/>
      <c r="AB45" s="45"/>
      <c r="AC45" s="45"/>
      <c r="AD45" s="45"/>
      <c r="AE45" s="45"/>
      <c r="AF45" s="46"/>
    </row>
  </sheetData>
  <mergeCells count="48">
    <mergeCell ref="L13:L19"/>
    <mergeCell ref="C11:F11"/>
    <mergeCell ref="F13:F19"/>
    <mergeCell ref="O3:Q7"/>
    <mergeCell ref="G13:G19"/>
    <mergeCell ref="H13:H19"/>
    <mergeCell ref="M13:M19"/>
    <mergeCell ref="N13:N19"/>
    <mergeCell ref="E13:E19"/>
    <mergeCell ref="O13:O19"/>
    <mergeCell ref="I13:I19"/>
    <mergeCell ref="J13:J19"/>
    <mergeCell ref="K13:K19"/>
    <mergeCell ref="U3:W7"/>
    <mergeCell ref="A1:E5"/>
    <mergeCell ref="F1:N5"/>
    <mergeCell ref="O1:Q1"/>
    <mergeCell ref="R3:T7"/>
    <mergeCell ref="A6:G6"/>
    <mergeCell ref="H6:N6"/>
    <mergeCell ref="A7:G7"/>
    <mergeCell ref="H7:N7"/>
    <mergeCell ref="X1:AF1"/>
    <mergeCell ref="AA2:AC2"/>
    <mergeCell ref="AD2:AF2"/>
    <mergeCell ref="O2:Q2"/>
    <mergeCell ref="R2:T2"/>
    <mergeCell ref="U2:W2"/>
    <mergeCell ref="X2:Z2"/>
    <mergeCell ref="R1:T1"/>
    <mergeCell ref="U1:W1"/>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H51"/>
  <sheetViews>
    <sheetView showGridLines="0" topLeftCell="A28" zoomScale="75" workbookViewId="0">
      <selection sqref="A1:E5"/>
    </sheetView>
  </sheetViews>
  <sheetFormatPr defaultColWidth="4.25" defaultRowHeight="15" customHeight="1" x14ac:dyDescent="0.15"/>
  <cols>
    <col min="1" max="1" width="9" style="9" customWidth="1"/>
    <col min="2" max="16384" width="4.25" style="9"/>
  </cols>
  <sheetData>
    <row r="1" spans="1:34" s="259" customFormat="1" ht="12.75" customHeight="1" x14ac:dyDescent="0.15">
      <c r="A1" s="774" t="s">
        <v>477</v>
      </c>
      <c r="B1" s="775"/>
      <c r="C1" s="775"/>
      <c r="D1" s="775"/>
      <c r="E1" s="776"/>
      <c r="F1" s="784" t="s">
        <v>474</v>
      </c>
      <c r="G1" s="775"/>
      <c r="H1" s="775"/>
      <c r="I1" s="775"/>
      <c r="J1" s="775"/>
      <c r="K1" s="775"/>
      <c r="L1" s="775"/>
      <c r="M1" s="775"/>
      <c r="N1" s="776"/>
      <c r="O1" s="760" t="s">
        <v>305</v>
      </c>
      <c r="P1" s="760"/>
      <c r="Q1" s="760"/>
      <c r="R1" s="760" t="s">
        <v>306</v>
      </c>
      <c r="S1" s="760"/>
      <c r="T1" s="760"/>
      <c r="U1" s="760" t="s">
        <v>237</v>
      </c>
      <c r="V1" s="760"/>
      <c r="W1" s="760"/>
      <c r="X1" s="760" t="s">
        <v>307</v>
      </c>
      <c r="Y1" s="760"/>
      <c r="Z1" s="760"/>
      <c r="AA1" s="760"/>
      <c r="AB1" s="760"/>
      <c r="AC1" s="760"/>
      <c r="AD1" s="760"/>
      <c r="AE1" s="760"/>
      <c r="AF1" s="760"/>
    </row>
    <row r="2" spans="1:34" s="259" customFormat="1" ht="12.75" customHeight="1" x14ac:dyDescent="0.15">
      <c r="A2" s="777"/>
      <c r="B2" s="778"/>
      <c r="C2" s="778"/>
      <c r="D2" s="778"/>
      <c r="E2" s="779"/>
      <c r="F2" s="777"/>
      <c r="G2" s="778"/>
      <c r="H2" s="778"/>
      <c r="I2" s="778"/>
      <c r="J2" s="778"/>
      <c r="K2" s="778"/>
      <c r="L2" s="778"/>
      <c r="M2" s="778"/>
      <c r="N2" s="779"/>
      <c r="O2" s="760" t="s">
        <v>473</v>
      </c>
      <c r="P2" s="760"/>
      <c r="Q2" s="760"/>
      <c r="R2" s="760" t="s">
        <v>473</v>
      </c>
      <c r="S2" s="760"/>
      <c r="T2" s="760"/>
      <c r="U2" s="760" t="s">
        <v>473</v>
      </c>
      <c r="V2" s="760"/>
      <c r="W2" s="760"/>
      <c r="X2" s="761" t="s">
        <v>308</v>
      </c>
      <c r="Y2" s="761"/>
      <c r="Z2" s="761"/>
      <c r="AA2" s="760" t="s">
        <v>306</v>
      </c>
      <c r="AB2" s="760"/>
      <c r="AC2" s="760"/>
      <c r="AD2" s="760" t="s">
        <v>237</v>
      </c>
      <c r="AE2" s="760"/>
      <c r="AF2" s="760"/>
    </row>
    <row r="3" spans="1:34" s="259" customFormat="1" ht="12.75" customHeight="1" x14ac:dyDescent="0.15">
      <c r="A3" s="777"/>
      <c r="B3" s="778"/>
      <c r="C3" s="778"/>
      <c r="D3" s="778"/>
      <c r="E3" s="779"/>
      <c r="F3" s="777"/>
      <c r="G3" s="778"/>
      <c r="H3" s="778"/>
      <c r="I3" s="778"/>
      <c r="J3" s="778"/>
      <c r="K3" s="778"/>
      <c r="L3" s="778"/>
      <c r="M3" s="778"/>
      <c r="N3" s="779"/>
      <c r="O3" s="760"/>
      <c r="P3" s="760"/>
      <c r="Q3" s="760"/>
      <c r="R3" s="760"/>
      <c r="S3" s="760"/>
      <c r="T3" s="760"/>
      <c r="U3" s="760"/>
      <c r="V3" s="760"/>
      <c r="W3" s="760"/>
      <c r="X3" s="760"/>
      <c r="Y3" s="760"/>
      <c r="Z3" s="760"/>
      <c r="AA3" s="760" t="s">
        <v>238</v>
      </c>
      <c r="AB3" s="760"/>
      <c r="AC3" s="760"/>
      <c r="AD3" s="760" t="s">
        <v>238</v>
      </c>
      <c r="AE3" s="760"/>
      <c r="AF3" s="760"/>
    </row>
    <row r="4" spans="1:34" s="259" customFormat="1" ht="12.75" customHeight="1" x14ac:dyDescent="0.15">
      <c r="A4" s="777"/>
      <c r="B4" s="778"/>
      <c r="C4" s="778"/>
      <c r="D4" s="778"/>
      <c r="E4" s="779"/>
      <c r="F4" s="777"/>
      <c r="G4" s="778"/>
      <c r="H4" s="778"/>
      <c r="I4" s="778"/>
      <c r="J4" s="778"/>
      <c r="K4" s="778"/>
      <c r="L4" s="778"/>
      <c r="M4" s="778"/>
      <c r="N4" s="779"/>
      <c r="O4" s="760"/>
      <c r="P4" s="760"/>
      <c r="Q4" s="760"/>
      <c r="R4" s="760"/>
      <c r="S4" s="760"/>
      <c r="T4" s="760"/>
      <c r="U4" s="760"/>
      <c r="V4" s="760"/>
      <c r="W4" s="760"/>
      <c r="X4" s="760"/>
      <c r="Y4" s="760"/>
      <c r="Z4" s="760"/>
      <c r="AA4" s="762"/>
      <c r="AB4" s="763"/>
      <c r="AC4" s="764"/>
      <c r="AD4" s="762"/>
      <c r="AE4" s="763"/>
      <c r="AF4" s="764"/>
    </row>
    <row r="5" spans="1:34" s="259" customFormat="1" ht="12.75" customHeight="1" x14ac:dyDescent="0.15">
      <c r="A5" s="780"/>
      <c r="B5" s="781"/>
      <c r="C5" s="781"/>
      <c r="D5" s="781"/>
      <c r="E5" s="782"/>
      <c r="F5" s="780"/>
      <c r="G5" s="781"/>
      <c r="H5" s="781"/>
      <c r="I5" s="781"/>
      <c r="J5" s="781"/>
      <c r="K5" s="781"/>
      <c r="L5" s="781"/>
      <c r="M5" s="781"/>
      <c r="N5" s="782"/>
      <c r="O5" s="760"/>
      <c r="P5" s="760"/>
      <c r="Q5" s="760"/>
      <c r="R5" s="760"/>
      <c r="S5" s="760"/>
      <c r="T5" s="760"/>
      <c r="U5" s="760"/>
      <c r="V5" s="760"/>
      <c r="W5" s="760"/>
      <c r="X5" s="760"/>
      <c r="Y5" s="760"/>
      <c r="Z5" s="760"/>
      <c r="AA5" s="765"/>
      <c r="AB5" s="766"/>
      <c r="AC5" s="767"/>
      <c r="AD5" s="765"/>
      <c r="AE5" s="766"/>
      <c r="AF5" s="767"/>
    </row>
    <row r="6" spans="1:34" s="259" customFormat="1" ht="15" customHeight="1" x14ac:dyDescent="0.15">
      <c r="A6" s="760" t="s">
        <v>465</v>
      </c>
      <c r="B6" s="760"/>
      <c r="C6" s="760"/>
      <c r="D6" s="760"/>
      <c r="E6" s="760"/>
      <c r="F6" s="760"/>
      <c r="G6" s="760"/>
      <c r="H6" s="760" t="s">
        <v>466</v>
      </c>
      <c r="I6" s="760"/>
      <c r="J6" s="760"/>
      <c r="K6" s="760"/>
      <c r="L6" s="760"/>
      <c r="M6" s="760"/>
      <c r="N6" s="760"/>
      <c r="O6" s="760"/>
      <c r="P6" s="760"/>
      <c r="Q6" s="760"/>
      <c r="R6" s="760"/>
      <c r="S6" s="760"/>
      <c r="T6" s="760"/>
      <c r="U6" s="760"/>
      <c r="V6" s="760"/>
      <c r="W6" s="760"/>
      <c r="X6" s="760"/>
      <c r="Y6" s="760"/>
      <c r="Z6" s="760"/>
      <c r="AA6" s="765"/>
      <c r="AB6" s="766"/>
      <c r="AC6" s="767"/>
      <c r="AD6" s="765"/>
      <c r="AE6" s="766"/>
      <c r="AF6" s="767"/>
    </row>
    <row r="7" spans="1:34" s="259" customFormat="1" ht="15" customHeight="1" x14ac:dyDescent="0.15">
      <c r="A7" s="760"/>
      <c r="B7" s="760"/>
      <c r="C7" s="760"/>
      <c r="D7" s="760"/>
      <c r="E7" s="760"/>
      <c r="F7" s="760"/>
      <c r="G7" s="760"/>
      <c r="H7" s="760"/>
      <c r="I7" s="760"/>
      <c r="J7" s="760"/>
      <c r="K7" s="760"/>
      <c r="L7" s="760"/>
      <c r="M7" s="760"/>
      <c r="N7" s="760"/>
      <c r="O7" s="760"/>
      <c r="P7" s="760"/>
      <c r="Q7" s="760"/>
      <c r="R7" s="760"/>
      <c r="S7" s="760"/>
      <c r="T7" s="760"/>
      <c r="U7" s="760"/>
      <c r="V7" s="760"/>
      <c r="W7" s="760"/>
      <c r="X7" s="760"/>
      <c r="Y7" s="760"/>
      <c r="Z7" s="760"/>
      <c r="AA7" s="768"/>
      <c r="AB7" s="769"/>
      <c r="AC7" s="770"/>
      <c r="AD7" s="768"/>
      <c r="AE7" s="769"/>
      <c r="AF7" s="770"/>
    </row>
    <row r="8" spans="1:34" s="262" customFormat="1" ht="15" customHeight="1" x14ac:dyDescent="0.15">
      <c r="A8" s="783" t="s">
        <v>310</v>
      </c>
      <c r="B8" s="783"/>
      <c r="C8" s="783"/>
      <c r="D8" s="783"/>
      <c r="E8" s="783"/>
      <c r="F8" s="783"/>
      <c r="G8" s="783"/>
      <c r="H8" s="783"/>
      <c r="I8" s="783"/>
      <c r="J8" s="783"/>
      <c r="K8" s="783"/>
      <c r="L8" s="783"/>
      <c r="M8" s="783"/>
      <c r="N8" s="783"/>
      <c r="O8" s="783" t="s">
        <v>139</v>
      </c>
      <c r="P8" s="783"/>
      <c r="Q8" s="783"/>
      <c r="R8" s="783"/>
      <c r="S8" s="783"/>
      <c r="T8" s="783"/>
      <c r="U8" s="260" t="s">
        <v>475</v>
      </c>
      <c r="V8" s="261"/>
      <c r="W8" s="754"/>
      <c r="X8" s="755"/>
      <c r="Y8" s="756"/>
      <c r="Z8" s="757" t="s">
        <v>468</v>
      </c>
      <c r="AA8" s="758"/>
      <c r="AB8" s="759"/>
      <c r="AC8" s="755"/>
      <c r="AD8" s="756"/>
      <c r="AE8" s="757" t="s">
        <v>469</v>
      </c>
      <c r="AF8" s="758"/>
    </row>
    <row r="9" spans="1:34" s="262" customFormat="1" ht="15" customHeight="1" x14ac:dyDescent="0.15">
      <c r="A9" s="783"/>
      <c r="B9" s="783"/>
      <c r="C9" s="783"/>
      <c r="D9" s="783"/>
      <c r="E9" s="783"/>
      <c r="F9" s="783"/>
      <c r="G9" s="783"/>
      <c r="H9" s="783"/>
      <c r="I9" s="783"/>
      <c r="J9" s="783"/>
      <c r="K9" s="783"/>
      <c r="L9" s="783"/>
      <c r="M9" s="783"/>
      <c r="N9" s="783"/>
      <c r="O9" s="783"/>
      <c r="P9" s="783"/>
      <c r="Q9" s="783"/>
      <c r="R9" s="783"/>
      <c r="S9" s="783"/>
      <c r="T9" s="783"/>
      <c r="U9" s="263" t="s">
        <v>476</v>
      </c>
      <c r="V9" s="264"/>
      <c r="W9" s="748"/>
      <c r="X9" s="749"/>
      <c r="Y9" s="750"/>
      <c r="Z9" s="751" t="s">
        <v>471</v>
      </c>
      <c r="AA9" s="750"/>
      <c r="AB9" s="751"/>
      <c r="AC9" s="749"/>
      <c r="AD9" s="750"/>
      <c r="AE9" s="752"/>
      <c r="AF9" s="753"/>
    </row>
    <row r="11" spans="1:34" ht="15" customHeight="1" x14ac:dyDescent="0.15">
      <c r="A11" s="10" t="s">
        <v>208</v>
      </c>
      <c r="B11" s="11"/>
      <c r="C11" s="771" t="s">
        <v>141</v>
      </c>
      <c r="D11" s="772"/>
      <c r="E11" s="772"/>
      <c r="F11" s="77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4" ht="15" customHeight="1" x14ac:dyDescent="0.15">
      <c r="A13" s="95"/>
      <c r="B13" s="96"/>
      <c r="C13" s="96"/>
      <c r="D13" s="97" t="s">
        <v>233</v>
      </c>
      <c r="E13" s="789" t="s">
        <v>281</v>
      </c>
      <c r="F13" s="789" t="s">
        <v>283</v>
      </c>
      <c r="G13" s="789" t="s">
        <v>253</v>
      </c>
      <c r="H13" s="789" t="s">
        <v>304</v>
      </c>
      <c r="I13" s="789" t="s">
        <v>288</v>
      </c>
      <c r="J13" s="789" t="s">
        <v>303</v>
      </c>
      <c r="K13" s="789" t="s">
        <v>292</v>
      </c>
      <c r="L13" s="796" t="s">
        <v>274</v>
      </c>
      <c r="M13" s="799" t="s">
        <v>299</v>
      </c>
      <c r="N13" s="794" t="s">
        <v>300</v>
      </c>
      <c r="O13" s="98"/>
      <c r="P13" s="99"/>
      <c r="Q13" s="25"/>
      <c r="R13" s="15"/>
      <c r="S13" s="15"/>
      <c r="T13" s="15"/>
      <c r="U13" s="15"/>
      <c r="V13" s="15"/>
      <c r="W13" s="15"/>
      <c r="X13" s="15"/>
      <c r="Y13" s="15"/>
      <c r="Z13" s="15"/>
      <c r="AA13" s="15"/>
      <c r="AB13" s="15"/>
      <c r="AC13" s="15"/>
      <c r="AD13" s="15"/>
      <c r="AE13" s="15"/>
      <c r="AF13" s="26"/>
    </row>
    <row r="14" spans="1:34" ht="15" customHeight="1" x14ac:dyDescent="0.15">
      <c r="A14" s="100"/>
      <c r="B14" s="101"/>
      <c r="C14" s="101"/>
      <c r="D14" s="102"/>
      <c r="E14" s="790"/>
      <c r="F14" s="790"/>
      <c r="G14" s="790"/>
      <c r="H14" s="790"/>
      <c r="I14" s="790"/>
      <c r="J14" s="790"/>
      <c r="K14" s="790"/>
      <c r="L14" s="797"/>
      <c r="M14" s="800"/>
      <c r="N14" s="795"/>
      <c r="O14" s="98"/>
      <c r="P14" s="99"/>
      <c r="Q14" s="12"/>
      <c r="R14" s="13"/>
      <c r="S14" s="13"/>
      <c r="T14" s="13"/>
      <c r="U14" s="13"/>
      <c r="V14" s="13"/>
      <c r="W14" s="13"/>
      <c r="X14" s="13"/>
      <c r="Y14" s="13"/>
      <c r="Z14" s="13"/>
      <c r="AA14" s="13"/>
      <c r="AB14" s="13"/>
      <c r="AC14" s="13"/>
      <c r="AD14" s="13"/>
      <c r="AE14" s="13"/>
      <c r="AF14" s="34"/>
    </row>
    <row r="15" spans="1:34" ht="15" customHeight="1" x14ac:dyDescent="0.15">
      <c r="A15" s="100"/>
      <c r="B15" s="101"/>
      <c r="C15" s="101"/>
      <c r="D15" s="102"/>
      <c r="E15" s="790"/>
      <c r="F15" s="790"/>
      <c r="G15" s="790"/>
      <c r="H15" s="790"/>
      <c r="I15" s="790"/>
      <c r="J15" s="790"/>
      <c r="K15" s="790"/>
      <c r="L15" s="797"/>
      <c r="M15" s="800"/>
      <c r="N15" s="795"/>
      <c r="O15" s="98"/>
      <c r="P15" s="99"/>
      <c r="Q15" s="12"/>
      <c r="R15" s="13"/>
      <c r="S15" s="13"/>
      <c r="T15" s="13"/>
      <c r="U15" s="13"/>
      <c r="V15" s="13"/>
      <c r="W15" s="13"/>
      <c r="X15" s="13"/>
      <c r="Y15" s="13"/>
      <c r="Z15" s="13"/>
      <c r="AA15" s="13"/>
      <c r="AB15" s="13"/>
      <c r="AC15" s="13"/>
      <c r="AD15" s="13"/>
      <c r="AE15" s="13"/>
      <c r="AF15" s="34"/>
    </row>
    <row r="16" spans="1:34" ht="15" customHeight="1" x14ac:dyDescent="0.15">
      <c r="A16" s="100"/>
      <c r="B16" s="101"/>
      <c r="C16" s="101"/>
      <c r="D16" s="102"/>
      <c r="E16" s="790"/>
      <c r="F16" s="790"/>
      <c r="G16" s="790"/>
      <c r="H16" s="790"/>
      <c r="I16" s="790"/>
      <c r="J16" s="790"/>
      <c r="K16" s="790"/>
      <c r="L16" s="797"/>
      <c r="M16" s="800"/>
      <c r="N16" s="795"/>
      <c r="O16" s="98"/>
      <c r="P16" s="99"/>
      <c r="Q16" s="12"/>
      <c r="R16" s="13"/>
      <c r="S16" s="13"/>
      <c r="T16" s="13"/>
      <c r="U16" s="13"/>
      <c r="V16" s="13"/>
      <c r="W16" s="13"/>
      <c r="X16" s="13"/>
      <c r="Y16" s="13"/>
      <c r="Z16" s="13"/>
      <c r="AA16" s="13"/>
      <c r="AB16" s="13"/>
      <c r="AC16" s="13"/>
      <c r="AD16" s="13"/>
      <c r="AE16" s="13"/>
      <c r="AF16" s="34"/>
    </row>
    <row r="17" spans="1:32" ht="15" customHeight="1" x14ac:dyDescent="0.15">
      <c r="A17" s="100"/>
      <c r="B17" s="101"/>
      <c r="C17" s="101"/>
      <c r="D17" s="102"/>
      <c r="E17" s="790"/>
      <c r="F17" s="790"/>
      <c r="G17" s="790"/>
      <c r="H17" s="790"/>
      <c r="I17" s="790"/>
      <c r="J17" s="790"/>
      <c r="K17" s="790"/>
      <c r="L17" s="797"/>
      <c r="M17" s="800"/>
      <c r="N17" s="795"/>
      <c r="O17" s="98"/>
      <c r="P17" s="99"/>
      <c r="Q17" s="12"/>
      <c r="R17" s="13"/>
      <c r="S17" s="13"/>
      <c r="T17" s="13"/>
      <c r="U17" s="13"/>
      <c r="V17" s="13"/>
      <c r="W17" s="13"/>
      <c r="X17" s="13"/>
      <c r="Y17" s="13"/>
      <c r="Z17" s="13"/>
      <c r="AA17" s="13"/>
      <c r="AB17" s="13"/>
      <c r="AC17" s="13"/>
      <c r="AD17" s="13"/>
      <c r="AE17" s="13"/>
      <c r="AF17" s="34"/>
    </row>
    <row r="18" spans="1:32" ht="15" customHeight="1" x14ac:dyDescent="0.15">
      <c r="A18" s="100"/>
      <c r="B18" s="101"/>
      <c r="C18" s="101"/>
      <c r="D18" s="102"/>
      <c r="E18" s="790"/>
      <c r="F18" s="790"/>
      <c r="G18" s="790"/>
      <c r="H18" s="790"/>
      <c r="I18" s="790"/>
      <c r="J18" s="790"/>
      <c r="K18" s="790"/>
      <c r="L18" s="797"/>
      <c r="M18" s="800"/>
      <c r="N18" s="795"/>
      <c r="O18" s="98"/>
      <c r="P18" s="99"/>
      <c r="Q18" s="12"/>
      <c r="R18" s="13"/>
      <c r="S18" s="13"/>
      <c r="T18" s="13"/>
      <c r="U18" s="13"/>
      <c r="V18" s="13"/>
      <c r="W18" s="13"/>
      <c r="X18" s="13"/>
      <c r="Y18" s="13"/>
      <c r="Z18" s="13"/>
      <c r="AA18" s="13"/>
      <c r="AB18" s="13"/>
      <c r="AC18" s="13"/>
      <c r="AD18" s="13"/>
      <c r="AE18" s="13"/>
      <c r="AF18" s="34"/>
    </row>
    <row r="19" spans="1:32" ht="15" customHeight="1" x14ac:dyDescent="0.15">
      <c r="A19" s="103" t="s">
        <v>301</v>
      </c>
      <c r="B19" s="104"/>
      <c r="C19" s="104"/>
      <c r="D19" s="105"/>
      <c r="E19" s="791"/>
      <c r="F19" s="791"/>
      <c r="G19" s="791"/>
      <c r="H19" s="791"/>
      <c r="I19" s="791"/>
      <c r="J19" s="791"/>
      <c r="K19" s="791"/>
      <c r="L19" s="798"/>
      <c r="M19" s="800"/>
      <c r="N19" s="795"/>
      <c r="O19" s="98"/>
      <c r="P19" s="99"/>
      <c r="Q19" s="12"/>
      <c r="R19" s="13"/>
      <c r="S19" s="13"/>
      <c r="T19" s="13"/>
      <c r="U19" s="13"/>
      <c r="V19" s="13"/>
      <c r="W19" s="13"/>
      <c r="X19" s="13"/>
      <c r="Y19" s="13"/>
      <c r="Z19" s="13"/>
      <c r="AA19" s="13"/>
      <c r="AB19" s="13"/>
      <c r="AC19" s="13"/>
      <c r="AD19" s="13"/>
      <c r="AE19" s="13"/>
      <c r="AF19" s="34"/>
    </row>
    <row r="20" spans="1:32" ht="15" customHeight="1" x14ac:dyDescent="0.15">
      <c r="A20" s="58" t="s">
        <v>269</v>
      </c>
      <c r="B20" s="22"/>
      <c r="C20" s="22"/>
      <c r="D20" s="23"/>
      <c r="E20" s="106">
        <v>8</v>
      </c>
      <c r="F20" s="106">
        <v>7</v>
      </c>
      <c r="G20" s="107">
        <v>6</v>
      </c>
      <c r="H20" s="107">
        <v>5</v>
      </c>
      <c r="I20" s="107">
        <v>4</v>
      </c>
      <c r="J20" s="107">
        <v>3</v>
      </c>
      <c r="K20" s="107">
        <v>2</v>
      </c>
      <c r="L20" s="108">
        <v>1</v>
      </c>
      <c r="M20" s="109">
        <f>SUM($E$20:$L$20)</f>
        <v>36</v>
      </c>
      <c r="N20" s="110">
        <f>IF($M$20=0,0,$M$20/$M$29*100)</f>
        <v>2.6706231454005933</v>
      </c>
      <c r="O20" s="111"/>
      <c r="P20" s="112"/>
      <c r="Q20" s="12"/>
      <c r="R20" s="13"/>
      <c r="S20" s="13"/>
      <c r="T20" s="13"/>
      <c r="U20" s="13"/>
      <c r="V20" s="13"/>
      <c r="W20" s="13"/>
      <c r="X20" s="13"/>
      <c r="Y20" s="13"/>
      <c r="Z20" s="13"/>
      <c r="AA20" s="13"/>
      <c r="AB20" s="13"/>
      <c r="AC20" s="13"/>
      <c r="AD20" s="13"/>
      <c r="AE20" s="13"/>
      <c r="AF20" s="34"/>
    </row>
    <row r="21" spans="1:32" ht="15" customHeight="1" x14ac:dyDescent="0.15">
      <c r="A21" s="42" t="s">
        <v>271</v>
      </c>
      <c r="B21" s="113"/>
      <c r="C21" s="31"/>
      <c r="D21" s="32"/>
      <c r="E21" s="114">
        <v>9</v>
      </c>
      <c r="F21" s="114">
        <v>10</v>
      </c>
      <c r="G21" s="115">
        <v>11</v>
      </c>
      <c r="H21" s="115">
        <v>12</v>
      </c>
      <c r="I21" s="115">
        <v>13</v>
      </c>
      <c r="J21" s="115">
        <v>14</v>
      </c>
      <c r="K21" s="115">
        <v>15</v>
      </c>
      <c r="L21" s="116">
        <v>16</v>
      </c>
      <c r="M21" s="117">
        <f>SUM($E$21:$L$21)</f>
        <v>100</v>
      </c>
      <c r="N21" s="118">
        <f>IF($M$21=0,0,$M$21/$M$29*100)</f>
        <v>7.4183976261127587</v>
      </c>
      <c r="O21" s="111"/>
      <c r="P21" s="112"/>
      <c r="Q21" s="12"/>
      <c r="R21" s="13"/>
      <c r="S21" s="13"/>
      <c r="T21" s="13"/>
      <c r="U21" s="13"/>
      <c r="V21" s="13"/>
      <c r="W21" s="13"/>
      <c r="X21" s="13"/>
      <c r="Y21" s="13"/>
      <c r="Z21" s="13"/>
      <c r="AA21" s="13"/>
      <c r="AB21" s="13"/>
      <c r="AC21" s="13"/>
      <c r="AD21" s="13"/>
      <c r="AE21" s="13"/>
      <c r="AF21" s="34"/>
    </row>
    <row r="22" spans="1:32" ht="15" customHeight="1" x14ac:dyDescent="0.15">
      <c r="A22" s="42" t="s">
        <v>273</v>
      </c>
      <c r="B22" s="113"/>
      <c r="C22" s="31"/>
      <c r="D22" s="32"/>
      <c r="E22" s="114">
        <v>24</v>
      </c>
      <c r="F22" s="114">
        <v>23</v>
      </c>
      <c r="G22" s="115">
        <v>22</v>
      </c>
      <c r="H22" s="115">
        <v>21</v>
      </c>
      <c r="I22" s="115">
        <v>20</v>
      </c>
      <c r="J22" s="115">
        <v>19</v>
      </c>
      <c r="K22" s="115">
        <v>18</v>
      </c>
      <c r="L22" s="116">
        <v>17</v>
      </c>
      <c r="M22" s="117">
        <f>SUM($E$22:$L$22)</f>
        <v>164</v>
      </c>
      <c r="N22" s="118">
        <f>IF($M$22=0,0,$M$22/$M$29*100)</f>
        <v>12.166172106824925</v>
      </c>
      <c r="O22" s="111"/>
      <c r="P22" s="112"/>
      <c r="Q22" s="12"/>
      <c r="R22" s="13"/>
      <c r="S22" s="13"/>
      <c r="T22" s="13"/>
      <c r="U22" s="13"/>
      <c r="V22" s="13"/>
      <c r="W22" s="13"/>
      <c r="X22" s="13"/>
      <c r="Y22" s="13"/>
      <c r="Z22" s="13"/>
      <c r="AA22" s="13"/>
      <c r="AB22" s="13"/>
      <c r="AC22" s="13"/>
      <c r="AD22" s="13"/>
      <c r="AE22" s="13"/>
      <c r="AF22" s="34"/>
    </row>
    <row r="23" spans="1:32" ht="15" customHeight="1" x14ac:dyDescent="0.15">
      <c r="A23" s="42" t="s">
        <v>275</v>
      </c>
      <c r="B23" s="113"/>
      <c r="C23" s="31"/>
      <c r="D23" s="32"/>
      <c r="E23" s="114">
        <v>25</v>
      </c>
      <c r="F23" s="114">
        <v>26</v>
      </c>
      <c r="G23" s="115">
        <v>27</v>
      </c>
      <c r="H23" s="115">
        <v>28</v>
      </c>
      <c r="I23" s="115">
        <v>29</v>
      </c>
      <c r="J23" s="115">
        <v>30</v>
      </c>
      <c r="K23" s="115">
        <v>31</v>
      </c>
      <c r="L23" s="116">
        <v>32</v>
      </c>
      <c r="M23" s="117">
        <f>SUM($E$23:$L$23)</f>
        <v>228</v>
      </c>
      <c r="N23" s="118">
        <f>IF($M$23=0,0,$M$23/$M$29*100)</f>
        <v>16.913946587537094</v>
      </c>
      <c r="O23" s="111"/>
      <c r="P23" s="112"/>
      <c r="Q23" s="12"/>
      <c r="R23" s="13"/>
      <c r="S23" s="13"/>
      <c r="T23" s="13"/>
      <c r="U23" s="13"/>
      <c r="V23" s="13"/>
      <c r="W23" s="13"/>
      <c r="X23" s="13"/>
      <c r="Y23" s="13"/>
      <c r="Z23" s="13"/>
      <c r="AA23" s="13"/>
      <c r="AB23" s="13"/>
      <c r="AC23" s="13"/>
      <c r="AD23" s="13"/>
      <c r="AE23" s="13"/>
      <c r="AF23" s="34"/>
    </row>
    <row r="24" spans="1:32" ht="15" customHeight="1" x14ac:dyDescent="0.15">
      <c r="A24" s="42" t="s">
        <v>276</v>
      </c>
      <c r="B24" s="113"/>
      <c r="C24" s="31"/>
      <c r="D24" s="32"/>
      <c r="E24" s="114">
        <v>40</v>
      </c>
      <c r="F24" s="114">
        <v>39</v>
      </c>
      <c r="G24" s="115">
        <v>38</v>
      </c>
      <c r="H24" s="115">
        <v>37</v>
      </c>
      <c r="I24" s="115">
        <v>36</v>
      </c>
      <c r="J24" s="115">
        <v>35</v>
      </c>
      <c r="K24" s="115">
        <v>34</v>
      </c>
      <c r="L24" s="116">
        <v>33</v>
      </c>
      <c r="M24" s="117">
        <f>SUM($E$24:$L$24)</f>
        <v>292</v>
      </c>
      <c r="N24" s="118">
        <f>IF($M$24=0,0,$M$24/$M$29*100)</f>
        <v>21.66172106824926</v>
      </c>
      <c r="O24" s="111"/>
      <c r="P24" s="112"/>
      <c r="Q24" s="12"/>
      <c r="R24" s="13"/>
      <c r="S24" s="13"/>
      <c r="T24" s="13"/>
      <c r="U24" s="13"/>
      <c r="V24" s="13"/>
      <c r="W24" s="13"/>
      <c r="X24" s="13"/>
      <c r="Y24" s="13"/>
      <c r="Z24" s="13"/>
      <c r="AA24" s="13"/>
      <c r="AB24" s="13"/>
      <c r="AC24" s="13"/>
      <c r="AD24" s="13"/>
      <c r="AE24" s="13"/>
      <c r="AF24" s="34"/>
    </row>
    <row r="25" spans="1:32" ht="15" customHeight="1" x14ac:dyDescent="0.15">
      <c r="A25" s="42" t="s">
        <v>277</v>
      </c>
      <c r="B25" s="113"/>
      <c r="C25" s="31"/>
      <c r="D25" s="32"/>
      <c r="E25" s="114">
        <v>25</v>
      </c>
      <c r="F25" s="114">
        <v>26</v>
      </c>
      <c r="G25" s="115">
        <v>27</v>
      </c>
      <c r="H25" s="115">
        <v>28</v>
      </c>
      <c r="I25" s="115">
        <v>29</v>
      </c>
      <c r="J25" s="115">
        <v>30</v>
      </c>
      <c r="K25" s="115">
        <v>31</v>
      </c>
      <c r="L25" s="116">
        <v>32</v>
      </c>
      <c r="M25" s="117">
        <f>SUM($E$25:$L$25)</f>
        <v>228</v>
      </c>
      <c r="N25" s="118">
        <f>IF($M$25=0,0,$M$25/$M$29*100)</f>
        <v>16.913946587537094</v>
      </c>
      <c r="O25" s="111"/>
      <c r="P25" s="112"/>
      <c r="Q25" s="12"/>
      <c r="R25" s="13"/>
      <c r="S25" s="13"/>
      <c r="T25" s="13"/>
      <c r="U25" s="13"/>
      <c r="V25" s="13"/>
      <c r="W25" s="13"/>
      <c r="X25" s="13"/>
      <c r="Y25" s="13"/>
      <c r="Z25" s="13"/>
      <c r="AA25" s="13"/>
      <c r="AB25" s="13"/>
      <c r="AC25" s="13"/>
      <c r="AD25" s="13"/>
      <c r="AE25" s="13"/>
      <c r="AF25" s="34"/>
    </row>
    <row r="26" spans="1:32" ht="15" customHeight="1" x14ac:dyDescent="0.15">
      <c r="A26" s="42" t="s">
        <v>278</v>
      </c>
      <c r="B26" s="113"/>
      <c r="C26" s="31"/>
      <c r="D26" s="32"/>
      <c r="E26" s="114">
        <v>24</v>
      </c>
      <c r="F26" s="114">
        <v>23</v>
      </c>
      <c r="G26" s="115">
        <v>22</v>
      </c>
      <c r="H26" s="115">
        <v>21</v>
      </c>
      <c r="I26" s="115">
        <v>20</v>
      </c>
      <c r="J26" s="115">
        <v>19</v>
      </c>
      <c r="K26" s="115">
        <v>18</v>
      </c>
      <c r="L26" s="116">
        <v>17</v>
      </c>
      <c r="M26" s="117">
        <f>SUM($E$26:$L$26)</f>
        <v>164</v>
      </c>
      <c r="N26" s="118">
        <f>IF($M$26=0,0,$M$26/$M$29*100)</f>
        <v>12.166172106824925</v>
      </c>
      <c r="O26" s="111"/>
      <c r="P26" s="112"/>
      <c r="Q26" s="12"/>
      <c r="R26" s="13"/>
      <c r="S26" s="13"/>
      <c r="T26" s="13"/>
      <c r="U26" s="13"/>
      <c r="V26" s="13"/>
      <c r="W26" s="13"/>
      <c r="X26" s="13"/>
      <c r="Y26" s="13"/>
      <c r="Z26" s="13"/>
      <c r="AA26" s="13"/>
      <c r="AB26" s="13"/>
      <c r="AC26" s="13"/>
      <c r="AD26" s="13"/>
      <c r="AE26" s="13"/>
      <c r="AF26" s="34"/>
    </row>
    <row r="27" spans="1:32" ht="15" customHeight="1" x14ac:dyDescent="0.15">
      <c r="A27" s="119" t="s">
        <v>279</v>
      </c>
      <c r="B27" s="31"/>
      <c r="C27" s="31"/>
      <c r="D27" s="32"/>
      <c r="E27" s="114">
        <v>9</v>
      </c>
      <c r="F27" s="114">
        <v>10</v>
      </c>
      <c r="G27" s="115">
        <v>11</v>
      </c>
      <c r="H27" s="115">
        <v>12</v>
      </c>
      <c r="I27" s="115">
        <v>13</v>
      </c>
      <c r="J27" s="115">
        <v>14</v>
      </c>
      <c r="K27" s="115">
        <v>15</v>
      </c>
      <c r="L27" s="116">
        <v>16</v>
      </c>
      <c r="M27" s="117">
        <f>SUM($E$27:$L$27)</f>
        <v>100</v>
      </c>
      <c r="N27" s="118">
        <f>IF($M$27=0,0,$M$27/$M$29*100)</f>
        <v>7.4183976261127587</v>
      </c>
      <c r="O27" s="111"/>
      <c r="P27" s="112"/>
      <c r="Q27" s="12"/>
      <c r="R27" s="13"/>
      <c r="S27" s="13"/>
      <c r="T27" s="13"/>
      <c r="U27" s="13"/>
      <c r="V27" s="13"/>
      <c r="W27" s="13"/>
      <c r="X27" s="13"/>
      <c r="Y27" s="13"/>
      <c r="Z27" s="13"/>
      <c r="AA27" s="13"/>
      <c r="AB27" s="13"/>
      <c r="AC27" s="13"/>
      <c r="AD27" s="13"/>
      <c r="AE27" s="13"/>
      <c r="AF27" s="34"/>
    </row>
    <row r="28" spans="1:32" ht="15" customHeight="1" thickBot="1" x14ac:dyDescent="0.2">
      <c r="A28" s="120" t="s">
        <v>274</v>
      </c>
      <c r="B28" s="73"/>
      <c r="C28" s="73"/>
      <c r="D28" s="74"/>
      <c r="E28" s="121">
        <v>8</v>
      </c>
      <c r="F28" s="121">
        <v>7</v>
      </c>
      <c r="G28" s="122">
        <v>6</v>
      </c>
      <c r="H28" s="122">
        <v>5</v>
      </c>
      <c r="I28" s="122">
        <v>4</v>
      </c>
      <c r="J28" s="122">
        <v>3</v>
      </c>
      <c r="K28" s="122">
        <v>2</v>
      </c>
      <c r="L28" s="123">
        <v>1</v>
      </c>
      <c r="M28" s="124">
        <f>SUM($E$28:$L$28)</f>
        <v>36</v>
      </c>
      <c r="N28" s="125">
        <f>IF($M$28=0,0,$M$28/$M$29*100)</f>
        <v>2.6706231454005933</v>
      </c>
      <c r="O28" s="111"/>
      <c r="P28" s="112"/>
      <c r="Q28" s="12"/>
      <c r="R28" s="13"/>
      <c r="S28" s="13"/>
      <c r="T28" s="13"/>
      <c r="U28" s="13"/>
      <c r="V28" s="13"/>
      <c r="W28" s="13"/>
      <c r="X28" s="13"/>
      <c r="Y28" s="13"/>
      <c r="Z28" s="13"/>
      <c r="AA28" s="13"/>
      <c r="AB28" s="13"/>
      <c r="AC28" s="13"/>
      <c r="AD28" s="13"/>
      <c r="AE28" s="13"/>
      <c r="AF28" s="34"/>
    </row>
    <row r="29" spans="1:32" ht="15" customHeight="1" thickTop="1" x14ac:dyDescent="0.15">
      <c r="A29" s="126" t="s">
        <v>299</v>
      </c>
      <c r="B29" s="81"/>
      <c r="C29" s="81"/>
      <c r="D29" s="81"/>
      <c r="E29" s="127">
        <f>SUM($E$20:$E$28)</f>
        <v>172</v>
      </c>
      <c r="F29" s="127">
        <f>SUM($F$20:$F$28)</f>
        <v>171</v>
      </c>
      <c r="G29" s="127">
        <f>SUM($G$20:$G$28)</f>
        <v>170</v>
      </c>
      <c r="H29" s="127">
        <f>SUM($H$20:$H$28)</f>
        <v>169</v>
      </c>
      <c r="I29" s="127">
        <f>SUM($I$20:$I$28)</f>
        <v>168</v>
      </c>
      <c r="J29" s="127">
        <f>SUM($J$20:$J$28)</f>
        <v>167</v>
      </c>
      <c r="K29" s="127">
        <f>SUM($K$20:$K$28)</f>
        <v>166</v>
      </c>
      <c r="L29" s="128">
        <f>SUM($L$20:$L$28)</f>
        <v>165</v>
      </c>
      <c r="M29" s="129">
        <f>SUM($E$29:$L$29)</f>
        <v>1348</v>
      </c>
      <c r="N29" s="130">
        <f>IF($M$29=0,0,$M$29/$M$29*100)</f>
        <v>100</v>
      </c>
      <c r="O29" s="111"/>
      <c r="P29" s="131"/>
      <c r="Q29" s="12"/>
      <c r="R29" s="13"/>
      <c r="S29" s="13"/>
      <c r="T29" s="13"/>
      <c r="U29" s="13"/>
      <c r="V29" s="13"/>
      <c r="W29" s="13"/>
      <c r="X29" s="13"/>
      <c r="Y29" s="13"/>
      <c r="Z29" s="13"/>
      <c r="AA29" s="13"/>
      <c r="AB29" s="13"/>
      <c r="AC29" s="13"/>
      <c r="AD29" s="13"/>
      <c r="AE29" s="13"/>
      <c r="AF29" s="34"/>
    </row>
    <row r="30" spans="1:32" ht="15" customHeight="1" x14ac:dyDescent="0.15">
      <c r="A30" s="132" t="s">
        <v>300</v>
      </c>
      <c r="B30" s="88"/>
      <c r="C30" s="88"/>
      <c r="D30" s="88"/>
      <c r="E30" s="133">
        <f>IF($E$29=0,0,$E$29/$M$29*100)</f>
        <v>12.759643916913946</v>
      </c>
      <c r="F30" s="133">
        <f>IF($F$29=0,0,$F$29/$M$29*100)</f>
        <v>12.685459940652818</v>
      </c>
      <c r="G30" s="133">
        <f>IF($G$29=0,0,$G$29/$M$29*100)</f>
        <v>12.611275964391691</v>
      </c>
      <c r="H30" s="133">
        <f>IF($H$29=0,0,$H$29/$M$29*100)</f>
        <v>12.537091988130564</v>
      </c>
      <c r="I30" s="133">
        <f>IF($I$29=0,0,$I$29/$M$29*100)</f>
        <v>12.462908011869436</v>
      </c>
      <c r="J30" s="133">
        <f>IF($J$29=0,0,$J$29/$M$29*100)</f>
        <v>12.388724035608309</v>
      </c>
      <c r="K30" s="133">
        <f>IF($K$29=0,0,$K$29/$M$29*100)</f>
        <v>12.314540059347182</v>
      </c>
      <c r="L30" s="134">
        <f>IF($L$29=0,0,$L$29/$M$29*100)</f>
        <v>12.240356083086052</v>
      </c>
      <c r="M30" s="135">
        <f>IF($M$29=0,0,$M$29/$M$29*100)</f>
        <v>100</v>
      </c>
      <c r="N30" s="136" t="s">
        <v>302</v>
      </c>
      <c r="O30" s="137"/>
      <c r="P30" s="138"/>
      <c r="Q30" s="12"/>
      <c r="R30" s="13"/>
      <c r="S30" s="13"/>
      <c r="T30" s="13"/>
      <c r="U30" s="13"/>
      <c r="V30" s="13"/>
      <c r="W30" s="13"/>
      <c r="X30" s="13"/>
      <c r="Y30" s="13"/>
      <c r="Z30" s="13"/>
      <c r="AA30" s="13"/>
      <c r="AB30" s="13"/>
      <c r="AC30" s="13"/>
      <c r="AD30" s="13"/>
      <c r="AE30" s="13"/>
      <c r="AF30" s="34"/>
    </row>
    <row r="31" spans="1:32" ht="15" customHeight="1" x14ac:dyDescent="0.15">
      <c r="A31" s="18"/>
      <c r="B31" s="94"/>
      <c r="C31" s="94"/>
      <c r="D31" s="94"/>
      <c r="E31" s="94"/>
      <c r="F31" s="94"/>
      <c r="G31" s="94"/>
      <c r="H31" s="94"/>
      <c r="I31" s="94"/>
      <c r="J31" s="94"/>
      <c r="K31" s="94"/>
      <c r="L31" s="94"/>
      <c r="M31" s="94"/>
      <c r="N31" s="19"/>
      <c r="O31" s="139"/>
      <c r="P31" s="138"/>
      <c r="Q31" s="12"/>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36"/>
      <c r="N32" s="28"/>
      <c r="O32" s="139"/>
      <c r="P32" s="138"/>
      <c r="Q32" s="12"/>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36"/>
      <c r="N33" s="28"/>
      <c r="O33" s="139"/>
      <c r="P33" s="138"/>
      <c r="Q33" s="12"/>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36"/>
      <c r="N34" s="28"/>
      <c r="O34" s="139"/>
      <c r="P34" s="138"/>
      <c r="Q34" s="12"/>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36"/>
      <c r="N35" s="28"/>
      <c r="O35" s="139"/>
      <c r="P35" s="138"/>
      <c r="Q35" s="12"/>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36"/>
      <c r="N36" s="28"/>
      <c r="O36" s="139"/>
      <c r="P36" s="138"/>
      <c r="Q36" s="12"/>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36"/>
      <c r="N37" s="28"/>
      <c r="O37" s="139"/>
      <c r="P37" s="138"/>
      <c r="Q37" s="12"/>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36"/>
      <c r="N38" s="28"/>
      <c r="O38" s="139"/>
      <c r="P38" s="138"/>
      <c r="Q38" s="12"/>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36"/>
      <c r="N39" s="28"/>
      <c r="O39" s="139"/>
      <c r="P39" s="138"/>
      <c r="Q39" s="12"/>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36"/>
      <c r="N40" s="28"/>
      <c r="O40" s="139"/>
      <c r="P40" s="138"/>
      <c r="Q40" s="12"/>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36"/>
      <c r="N41" s="28"/>
      <c r="O41" s="139"/>
      <c r="P41" s="138"/>
      <c r="Q41" s="12"/>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36"/>
      <c r="N42" s="28"/>
      <c r="O42" s="139"/>
      <c r="P42" s="138"/>
      <c r="Q42" s="12"/>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36"/>
      <c r="N43" s="28"/>
      <c r="O43" s="139"/>
      <c r="P43" s="138"/>
      <c r="Q43" s="12"/>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36"/>
      <c r="N44" s="28"/>
      <c r="O44" s="139"/>
      <c r="P44" s="138"/>
      <c r="Q44" s="12"/>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39"/>
      <c r="N45" s="40"/>
      <c r="O45" s="139"/>
      <c r="P45" s="138"/>
      <c r="Q45" s="44"/>
      <c r="R45" s="45"/>
      <c r="S45" s="45"/>
      <c r="T45" s="45"/>
      <c r="U45" s="45"/>
      <c r="V45" s="45"/>
      <c r="W45" s="45"/>
      <c r="X45" s="45"/>
      <c r="Y45" s="45"/>
      <c r="Z45" s="45"/>
      <c r="AA45" s="45"/>
      <c r="AB45" s="45"/>
      <c r="AC45" s="45"/>
      <c r="AD45" s="45"/>
      <c r="AE45" s="45"/>
      <c r="AF45" s="46"/>
    </row>
    <row r="50" spans="15:15" ht="15" customHeight="1" x14ac:dyDescent="0.15">
      <c r="O50" s="13"/>
    </row>
    <row r="51" spans="15:15" ht="15" customHeight="1" x14ac:dyDescent="0.15">
      <c r="O51" s="13"/>
    </row>
  </sheetData>
  <mergeCells count="47">
    <mergeCell ref="G13:G19"/>
    <mergeCell ref="C11:F11"/>
    <mergeCell ref="E13:E19"/>
    <mergeCell ref="F13:F19"/>
    <mergeCell ref="M13:M19"/>
    <mergeCell ref="N13:N19"/>
    <mergeCell ref="L13:L19"/>
    <mergeCell ref="H13:H19"/>
    <mergeCell ref="I13:I19"/>
    <mergeCell ref="J13:J19"/>
    <mergeCell ref="K13:K19"/>
    <mergeCell ref="A1:E5"/>
    <mergeCell ref="F1:N5"/>
    <mergeCell ref="O1:Q1"/>
    <mergeCell ref="R1:T1"/>
    <mergeCell ref="O3:Q7"/>
    <mergeCell ref="R3:T7"/>
    <mergeCell ref="A6:G6"/>
    <mergeCell ref="H6:N6"/>
    <mergeCell ref="A7:G7"/>
    <mergeCell ref="H7:N7"/>
    <mergeCell ref="U1:W1"/>
    <mergeCell ref="X1:AF1"/>
    <mergeCell ref="AA2:AC2"/>
    <mergeCell ref="AD2:AF2"/>
    <mergeCell ref="O2:Q2"/>
    <mergeCell ref="R2:T2"/>
    <mergeCell ref="U2:W2"/>
    <mergeCell ref="X2:Z2"/>
    <mergeCell ref="U3:W7"/>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57999999999999996"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AK58"/>
  <sheetViews>
    <sheetView showGridLines="0" topLeftCell="B46" zoomScale="70" zoomScaleNormal="80" zoomScaleSheetLayoutView="40" workbookViewId="0">
      <selection activeCell="B1" sqref="B1:G5"/>
    </sheetView>
  </sheetViews>
  <sheetFormatPr defaultColWidth="8" defaultRowHeight="11.25" x14ac:dyDescent="0.15"/>
  <cols>
    <col min="1" max="1" width="3.875" style="140" hidden="1" customWidth="1"/>
    <col min="2" max="2" width="2.125" style="140" customWidth="1"/>
    <col min="3" max="3" width="2.25" style="140" customWidth="1"/>
    <col min="4" max="10" width="4.125" style="140" customWidth="1"/>
    <col min="11" max="11" width="3.75" style="140" customWidth="1"/>
    <col min="12" max="18" width="4.125" style="140" customWidth="1"/>
    <col min="19" max="19" width="3.75" style="140" customWidth="1"/>
    <col min="20" max="25" width="4.125" style="140" customWidth="1"/>
    <col min="26" max="26" width="4.875" style="140" customWidth="1"/>
    <col min="27" max="27" width="3.5" style="140" customWidth="1"/>
    <col min="28" max="29" width="5.125" style="140" customWidth="1"/>
    <col min="30" max="33" width="4.125" style="140" customWidth="1"/>
    <col min="34" max="34" width="4.25" style="140" customWidth="1"/>
    <col min="35" max="16384" width="8" style="140"/>
  </cols>
  <sheetData>
    <row r="1" spans="1:34" ht="13.5" x14ac:dyDescent="0.15">
      <c r="B1" s="980" t="s">
        <v>642</v>
      </c>
      <c r="C1" s="980"/>
      <c r="D1" s="980"/>
      <c r="E1" s="980"/>
      <c r="F1" s="980"/>
      <c r="G1" s="980"/>
      <c r="H1" s="981" t="s">
        <v>309</v>
      </c>
      <c r="I1" s="982"/>
      <c r="J1" s="982"/>
      <c r="K1" s="982"/>
      <c r="L1" s="982"/>
      <c r="M1" s="982"/>
      <c r="N1" s="982"/>
      <c r="O1" s="983"/>
      <c r="P1" s="933" t="s">
        <v>305</v>
      </c>
      <c r="Q1" s="933"/>
      <c r="R1" s="933"/>
      <c r="S1" s="933" t="s">
        <v>306</v>
      </c>
      <c r="T1" s="933"/>
      <c r="U1" s="933"/>
      <c r="V1" s="933" t="s">
        <v>237</v>
      </c>
      <c r="W1" s="933"/>
      <c r="X1" s="933"/>
      <c r="Y1" s="933" t="s">
        <v>307</v>
      </c>
      <c r="Z1" s="933"/>
      <c r="AA1" s="933"/>
      <c r="AB1" s="933"/>
      <c r="AC1" s="933"/>
      <c r="AD1" s="933"/>
      <c r="AE1" s="933"/>
      <c r="AF1" s="933"/>
      <c r="AG1" s="933"/>
      <c r="AH1" s="933"/>
    </row>
    <row r="2" spans="1:34" ht="13.5" x14ac:dyDescent="0.15">
      <c r="B2" s="980"/>
      <c r="C2" s="980"/>
      <c r="D2" s="980"/>
      <c r="E2" s="980"/>
      <c r="F2" s="980"/>
      <c r="G2" s="980"/>
      <c r="H2" s="984"/>
      <c r="I2" s="985"/>
      <c r="J2" s="985"/>
      <c r="K2" s="985"/>
      <c r="L2" s="985"/>
      <c r="M2" s="985"/>
      <c r="N2" s="985"/>
      <c r="O2" s="986"/>
      <c r="P2" s="977" t="s">
        <v>494</v>
      </c>
      <c r="Q2" s="933"/>
      <c r="R2" s="933"/>
      <c r="S2" s="977" t="s">
        <v>494</v>
      </c>
      <c r="T2" s="933"/>
      <c r="U2" s="933"/>
      <c r="V2" s="977" t="s">
        <v>494</v>
      </c>
      <c r="W2" s="933"/>
      <c r="X2" s="933"/>
      <c r="Y2" s="933" t="s">
        <v>308</v>
      </c>
      <c r="Z2" s="933"/>
      <c r="AA2" s="933"/>
      <c r="AB2" s="933"/>
      <c r="AC2" s="933" t="s">
        <v>306</v>
      </c>
      <c r="AD2" s="933"/>
      <c r="AE2" s="933"/>
      <c r="AF2" s="933" t="s">
        <v>237</v>
      </c>
      <c r="AG2" s="933"/>
      <c r="AH2" s="933"/>
    </row>
    <row r="3" spans="1:34" ht="13.5" x14ac:dyDescent="0.15">
      <c r="B3" s="980"/>
      <c r="C3" s="980"/>
      <c r="D3" s="980"/>
      <c r="E3" s="980"/>
      <c r="F3" s="980"/>
      <c r="G3" s="980"/>
      <c r="H3" s="984"/>
      <c r="I3" s="985"/>
      <c r="J3" s="985"/>
      <c r="K3" s="985"/>
      <c r="L3" s="985"/>
      <c r="M3" s="985"/>
      <c r="N3" s="985"/>
      <c r="O3" s="986"/>
      <c r="P3" s="979"/>
      <c r="Q3" s="979"/>
      <c r="R3" s="979"/>
      <c r="S3" s="979"/>
      <c r="T3" s="979"/>
      <c r="U3" s="979"/>
      <c r="V3" s="979"/>
      <c r="W3" s="979"/>
      <c r="X3" s="979"/>
      <c r="Y3" s="933"/>
      <c r="Z3" s="933"/>
      <c r="AA3" s="933"/>
      <c r="AB3" s="933"/>
      <c r="AC3" s="977" t="s">
        <v>495</v>
      </c>
      <c r="AD3" s="933"/>
      <c r="AE3" s="933"/>
      <c r="AF3" s="977" t="s">
        <v>495</v>
      </c>
      <c r="AG3" s="933"/>
      <c r="AH3" s="933"/>
    </row>
    <row r="4" spans="1:34" x14ac:dyDescent="0.15">
      <c r="B4" s="980"/>
      <c r="C4" s="980"/>
      <c r="D4" s="980"/>
      <c r="E4" s="980"/>
      <c r="F4" s="980"/>
      <c r="G4" s="980"/>
      <c r="H4" s="984"/>
      <c r="I4" s="985"/>
      <c r="J4" s="985"/>
      <c r="K4" s="985"/>
      <c r="L4" s="985"/>
      <c r="M4" s="985"/>
      <c r="N4" s="985"/>
      <c r="O4" s="986"/>
      <c r="P4" s="979"/>
      <c r="Q4" s="979"/>
      <c r="R4" s="979"/>
      <c r="S4" s="979"/>
      <c r="T4" s="979"/>
      <c r="U4" s="979"/>
      <c r="V4" s="979"/>
      <c r="W4" s="979"/>
      <c r="X4" s="979"/>
      <c r="Y4" s="933"/>
      <c r="Z4" s="933"/>
      <c r="AA4" s="933"/>
      <c r="AB4" s="933"/>
      <c r="AC4" s="933"/>
      <c r="AD4" s="933"/>
      <c r="AE4" s="933"/>
      <c r="AF4" s="933"/>
      <c r="AG4" s="933"/>
      <c r="AH4" s="933"/>
    </row>
    <row r="5" spans="1:34" x14ac:dyDescent="0.15">
      <c r="B5" s="980"/>
      <c r="C5" s="980"/>
      <c r="D5" s="980"/>
      <c r="E5" s="980"/>
      <c r="F5" s="980"/>
      <c r="G5" s="980"/>
      <c r="H5" s="987"/>
      <c r="I5" s="988"/>
      <c r="J5" s="988"/>
      <c r="K5" s="988"/>
      <c r="L5" s="988"/>
      <c r="M5" s="988"/>
      <c r="N5" s="988"/>
      <c r="O5" s="989"/>
      <c r="P5" s="979"/>
      <c r="Q5" s="979"/>
      <c r="R5" s="979"/>
      <c r="S5" s="979"/>
      <c r="T5" s="979"/>
      <c r="U5" s="979"/>
      <c r="V5" s="979"/>
      <c r="W5" s="979"/>
      <c r="X5" s="979"/>
      <c r="Y5" s="933"/>
      <c r="Z5" s="933"/>
      <c r="AA5" s="933"/>
      <c r="AB5" s="933"/>
      <c r="AC5" s="933"/>
      <c r="AD5" s="933"/>
      <c r="AE5" s="933"/>
      <c r="AF5" s="933"/>
      <c r="AG5" s="933"/>
      <c r="AH5" s="933"/>
    </row>
    <row r="6" spans="1:34" ht="17.25" customHeight="1" x14ac:dyDescent="0.15">
      <c r="B6" s="933" t="s">
        <v>465</v>
      </c>
      <c r="C6" s="933"/>
      <c r="D6" s="933"/>
      <c r="E6" s="933"/>
      <c r="F6" s="933"/>
      <c r="G6" s="933"/>
      <c r="H6" s="933"/>
      <c r="I6" s="933"/>
      <c r="J6" s="933" t="s">
        <v>466</v>
      </c>
      <c r="K6" s="933"/>
      <c r="L6" s="933"/>
      <c r="M6" s="933"/>
      <c r="N6" s="933"/>
      <c r="O6" s="933"/>
      <c r="P6" s="979"/>
      <c r="Q6" s="979"/>
      <c r="R6" s="979"/>
      <c r="S6" s="979"/>
      <c r="T6" s="979"/>
      <c r="U6" s="979"/>
      <c r="V6" s="979"/>
      <c r="W6" s="979"/>
      <c r="X6" s="979"/>
      <c r="Y6" s="933"/>
      <c r="Z6" s="933"/>
      <c r="AA6" s="933"/>
      <c r="AB6" s="933"/>
      <c r="AC6" s="933"/>
      <c r="AD6" s="933"/>
      <c r="AE6" s="933"/>
      <c r="AF6" s="933"/>
      <c r="AG6" s="933"/>
      <c r="AH6" s="933"/>
    </row>
    <row r="7" spans="1:34" ht="17.25" customHeight="1" x14ac:dyDescent="0.15">
      <c r="B7" s="933"/>
      <c r="C7" s="933"/>
      <c r="D7" s="933"/>
      <c r="E7" s="933"/>
      <c r="F7" s="933"/>
      <c r="G7" s="933"/>
      <c r="H7" s="933"/>
      <c r="I7" s="933"/>
      <c r="J7" s="933"/>
      <c r="K7" s="933"/>
      <c r="L7" s="933"/>
      <c r="M7" s="933"/>
      <c r="N7" s="933"/>
      <c r="O7" s="933"/>
      <c r="P7" s="979"/>
      <c r="Q7" s="979"/>
      <c r="R7" s="979"/>
      <c r="S7" s="979"/>
      <c r="T7" s="979"/>
      <c r="U7" s="979"/>
      <c r="V7" s="979"/>
      <c r="W7" s="979"/>
      <c r="X7" s="979"/>
      <c r="Y7" s="933"/>
      <c r="Z7" s="933"/>
      <c r="AA7" s="933"/>
      <c r="AB7" s="933"/>
      <c r="AC7" s="933"/>
      <c r="AD7" s="933"/>
      <c r="AE7" s="933"/>
      <c r="AF7" s="933"/>
      <c r="AG7" s="933"/>
      <c r="AH7" s="933"/>
    </row>
    <row r="8" spans="1:34" ht="17.25" customHeight="1" x14ac:dyDescent="0.15">
      <c r="B8" s="933" t="s">
        <v>310</v>
      </c>
      <c r="C8" s="933"/>
      <c r="D8" s="933"/>
      <c r="E8" s="933"/>
      <c r="F8" s="933"/>
      <c r="G8" s="933"/>
      <c r="H8" s="933"/>
      <c r="I8" s="933"/>
      <c r="J8" s="933"/>
      <c r="K8" s="933"/>
      <c r="L8" s="933"/>
      <c r="M8" s="933"/>
      <c r="N8" s="933"/>
      <c r="O8" s="933"/>
      <c r="P8" s="933" t="s">
        <v>311</v>
      </c>
      <c r="Q8" s="933"/>
      <c r="R8" s="933"/>
      <c r="S8" s="933"/>
      <c r="T8" s="933"/>
      <c r="U8" s="933" t="s">
        <v>312</v>
      </c>
      <c r="V8" s="933"/>
      <c r="W8" s="933"/>
      <c r="X8" s="977"/>
      <c r="Y8" s="977"/>
      <c r="Z8" s="977"/>
      <c r="AA8" s="933" t="s">
        <v>313</v>
      </c>
      <c r="AB8" s="933"/>
      <c r="AC8" s="933"/>
      <c r="AD8" s="977"/>
      <c r="AE8" s="977"/>
      <c r="AF8" s="977"/>
      <c r="AG8" s="933" t="s">
        <v>643</v>
      </c>
      <c r="AH8" s="933"/>
    </row>
    <row r="9" spans="1:34" ht="17.25" customHeight="1" x14ac:dyDescent="0.15">
      <c r="B9" s="933"/>
      <c r="C9" s="933"/>
      <c r="D9" s="933"/>
      <c r="E9" s="933"/>
      <c r="F9" s="933"/>
      <c r="G9" s="933"/>
      <c r="H9" s="933"/>
      <c r="I9" s="933"/>
      <c r="J9" s="933"/>
      <c r="K9" s="933"/>
      <c r="L9" s="933"/>
      <c r="M9" s="933"/>
      <c r="N9" s="933"/>
      <c r="O9" s="933"/>
      <c r="P9" s="933"/>
      <c r="Q9" s="933"/>
      <c r="R9" s="933"/>
      <c r="S9" s="933"/>
      <c r="T9" s="933"/>
      <c r="U9" s="933" t="s">
        <v>314</v>
      </c>
      <c r="V9" s="933"/>
      <c r="W9" s="933"/>
      <c r="X9" s="933"/>
      <c r="Y9" s="933"/>
      <c r="Z9" s="933"/>
      <c r="AA9" s="933" t="s">
        <v>315</v>
      </c>
      <c r="AB9" s="933"/>
      <c r="AC9" s="933"/>
      <c r="AD9" s="933"/>
      <c r="AE9" s="933"/>
      <c r="AF9" s="933"/>
      <c r="AG9" s="978"/>
      <c r="AH9" s="978"/>
    </row>
    <row r="10" spans="1:34" ht="6.75" customHeight="1" thickBot="1" x14ac:dyDescent="0.2"/>
    <row r="11" spans="1:34" s="421" customFormat="1" ht="27" customHeight="1" thickBot="1" x14ac:dyDescent="0.2">
      <c r="B11" s="967" t="s">
        <v>242</v>
      </c>
      <c r="C11" s="968"/>
      <c r="D11" s="968"/>
      <c r="E11" s="968"/>
      <c r="F11" s="940">
        <v>654</v>
      </c>
      <c r="G11" s="941"/>
      <c r="H11" s="941"/>
      <c r="I11" s="942"/>
      <c r="J11" s="422" t="s">
        <v>316</v>
      </c>
      <c r="K11" s="423"/>
      <c r="L11" s="423"/>
      <c r="M11" s="423"/>
      <c r="S11" s="422"/>
      <c r="T11" s="423"/>
      <c r="U11" s="423"/>
      <c r="V11" s="423"/>
      <c r="W11" s="423"/>
      <c r="X11" s="423"/>
      <c r="Y11" s="423"/>
      <c r="Z11" s="423"/>
      <c r="AA11" s="423"/>
      <c r="AB11" s="423"/>
      <c r="AC11" s="423"/>
    </row>
    <row r="12" spans="1:34" ht="27" customHeight="1" thickBot="1" x14ac:dyDescent="0.2">
      <c r="B12" s="965" t="s">
        <v>310</v>
      </c>
      <c r="C12" s="966"/>
      <c r="D12" s="966"/>
      <c r="E12" s="966"/>
      <c r="F12" s="944" t="s">
        <v>649</v>
      </c>
      <c r="G12" s="945"/>
      <c r="H12" s="945"/>
      <c r="I12" s="945"/>
      <c r="J12" s="945"/>
      <c r="K12" s="945"/>
      <c r="L12" s="945"/>
      <c r="M12" s="945"/>
      <c r="N12" s="946"/>
      <c r="O12" s="974" t="s">
        <v>208</v>
      </c>
      <c r="P12" s="975"/>
      <c r="Q12" s="976"/>
      <c r="R12" s="969"/>
      <c r="S12" s="969"/>
      <c r="T12" s="969"/>
      <c r="U12" s="969"/>
      <c r="V12" s="969"/>
      <c r="W12" s="969"/>
      <c r="X12" s="970"/>
    </row>
    <row r="13" spans="1:34" ht="6.75" customHeight="1" thickBot="1" x14ac:dyDescent="0.2"/>
    <row r="14" spans="1:34" ht="20.25" customHeight="1" x14ac:dyDescent="0.15">
      <c r="B14" s="892" t="s">
        <v>317</v>
      </c>
      <c r="C14" s="893"/>
      <c r="D14" s="893"/>
      <c r="E14" s="894"/>
      <c r="F14" s="879" t="s">
        <v>308</v>
      </c>
      <c r="G14" s="880"/>
      <c r="H14" s="880"/>
      <c r="I14" s="885"/>
      <c r="J14" s="879" t="s">
        <v>318</v>
      </c>
      <c r="K14" s="880"/>
      <c r="L14" s="880"/>
      <c r="M14" s="880"/>
      <c r="N14" s="885"/>
      <c r="O14" s="879" t="s">
        <v>319</v>
      </c>
      <c r="P14" s="880"/>
      <c r="Q14" s="880"/>
      <c r="R14" s="880"/>
      <c r="S14" s="879" t="s">
        <v>320</v>
      </c>
      <c r="T14" s="880"/>
      <c r="U14" s="880"/>
      <c r="V14" s="885"/>
      <c r="W14" s="879" t="s">
        <v>321</v>
      </c>
      <c r="X14" s="880"/>
      <c r="Y14" s="880"/>
      <c r="Z14" s="880"/>
      <c r="AA14" s="880"/>
      <c r="AB14" s="880"/>
      <c r="AC14" s="880"/>
      <c r="AD14" s="880"/>
      <c r="AE14" s="880"/>
      <c r="AF14" s="880"/>
      <c r="AG14" s="880"/>
      <c r="AH14" s="884"/>
    </row>
    <row r="15" spans="1:34" ht="40.5" customHeight="1" thickBot="1" x14ac:dyDescent="0.2">
      <c r="B15" s="895"/>
      <c r="C15" s="875"/>
      <c r="D15" s="875"/>
      <c r="E15" s="876"/>
      <c r="F15" s="881" t="s">
        <v>650</v>
      </c>
      <c r="G15" s="882"/>
      <c r="H15" s="882"/>
      <c r="I15" s="943"/>
      <c r="J15" s="881" t="s">
        <v>651</v>
      </c>
      <c r="K15" s="882"/>
      <c r="L15" s="882"/>
      <c r="M15" s="882"/>
      <c r="N15" s="943"/>
      <c r="O15" s="881" t="s">
        <v>652</v>
      </c>
      <c r="P15" s="882"/>
      <c r="Q15" s="882"/>
      <c r="R15" s="882"/>
      <c r="S15" s="971">
        <v>40040</v>
      </c>
      <c r="T15" s="972"/>
      <c r="U15" s="972"/>
      <c r="V15" s="973"/>
      <c r="W15" s="899" t="s">
        <v>625</v>
      </c>
      <c r="X15" s="900"/>
      <c r="Y15" s="900"/>
      <c r="Z15" s="900"/>
      <c r="AA15" s="900"/>
      <c r="AB15" s="900"/>
      <c r="AC15" s="900"/>
      <c r="AD15" s="900"/>
      <c r="AE15" s="900"/>
      <c r="AF15" s="900"/>
      <c r="AG15" s="900"/>
      <c r="AH15" s="901"/>
    </row>
    <row r="16" spans="1:34" ht="27" customHeight="1" x14ac:dyDescent="0.15">
      <c r="B16" s="947" t="s">
        <v>644</v>
      </c>
      <c r="C16" s="948"/>
      <c r="D16" s="948"/>
      <c r="E16" s="949"/>
      <c r="F16" s="950" t="s">
        <v>653</v>
      </c>
      <c r="G16" s="951"/>
      <c r="H16" s="951"/>
      <c r="I16" s="951"/>
      <c r="J16" s="951"/>
      <c r="K16" s="951"/>
      <c r="L16" s="951"/>
      <c r="M16" s="951"/>
      <c r="N16" s="951"/>
      <c r="O16" s="951"/>
      <c r="P16" s="951"/>
      <c r="Q16" s="951"/>
      <c r="R16" s="951"/>
      <c r="S16" s="951"/>
      <c r="T16" s="951"/>
      <c r="U16" s="951"/>
      <c r="V16" s="951"/>
      <c r="W16" s="951"/>
      <c r="X16" s="951"/>
      <c r="Y16" s="951"/>
      <c r="Z16" s="951"/>
      <c r="AA16" s="951"/>
      <c r="AB16" s="951"/>
      <c r="AC16" s="951"/>
      <c r="AD16" s="951"/>
      <c r="AE16" s="951"/>
      <c r="AF16" s="951"/>
      <c r="AG16" s="951"/>
      <c r="AH16" s="952"/>
    </row>
    <row r="17" spans="1:37" ht="27" customHeight="1" x14ac:dyDescent="0.15">
      <c r="B17" s="956" t="s">
        <v>322</v>
      </c>
      <c r="C17" s="957"/>
      <c r="D17" s="957"/>
      <c r="E17" s="958"/>
      <c r="F17" s="913" t="s">
        <v>654</v>
      </c>
      <c r="G17" s="914"/>
      <c r="H17" s="914"/>
      <c r="I17" s="914"/>
      <c r="J17" s="914"/>
      <c r="K17" s="914"/>
      <c r="L17" s="914"/>
      <c r="M17" s="914"/>
      <c r="N17" s="914"/>
      <c r="O17" s="914"/>
      <c r="P17" s="914"/>
      <c r="Q17" s="914"/>
      <c r="R17" s="914"/>
      <c r="S17" s="914"/>
      <c r="T17" s="914"/>
      <c r="U17" s="914"/>
      <c r="V17" s="914"/>
      <c r="W17" s="914"/>
      <c r="X17" s="914"/>
      <c r="Y17" s="914"/>
      <c r="Z17" s="914"/>
      <c r="AA17" s="914"/>
      <c r="AB17" s="914"/>
      <c r="AC17" s="914"/>
      <c r="AD17" s="914"/>
      <c r="AE17" s="914"/>
      <c r="AF17" s="914"/>
      <c r="AG17" s="914"/>
      <c r="AH17" s="915"/>
    </row>
    <row r="18" spans="1:37" ht="27" customHeight="1" x14ac:dyDescent="0.15">
      <c r="B18" s="959" t="s">
        <v>323</v>
      </c>
      <c r="C18" s="918"/>
      <c r="D18" s="918"/>
      <c r="E18" s="919"/>
      <c r="F18" s="913" t="s">
        <v>655</v>
      </c>
      <c r="G18" s="914"/>
      <c r="H18" s="914"/>
      <c r="I18" s="914"/>
      <c r="J18" s="914"/>
      <c r="K18" s="914"/>
      <c r="L18" s="914"/>
      <c r="M18" s="914"/>
      <c r="N18" s="916"/>
      <c r="O18" s="809" t="s">
        <v>274</v>
      </c>
      <c r="P18" s="810"/>
      <c r="Q18" s="810"/>
      <c r="R18" s="913"/>
      <c r="S18" s="914"/>
      <c r="T18" s="914"/>
      <c r="U18" s="914"/>
      <c r="V18" s="914"/>
      <c r="W18" s="914"/>
      <c r="X18" s="914"/>
      <c r="Y18" s="914"/>
      <c r="Z18" s="914"/>
      <c r="AA18" s="914"/>
      <c r="AB18" s="914"/>
      <c r="AC18" s="914"/>
      <c r="AD18" s="914"/>
      <c r="AE18" s="914"/>
      <c r="AF18" s="914"/>
      <c r="AG18" s="914"/>
      <c r="AH18" s="915"/>
    </row>
    <row r="19" spans="1:37" ht="37.5" customHeight="1" x14ac:dyDescent="0.15">
      <c r="B19" s="801" t="s">
        <v>324</v>
      </c>
      <c r="C19" s="802"/>
      <c r="D19" s="803"/>
      <c r="E19" s="141" t="s">
        <v>325</v>
      </c>
      <c r="F19" s="807" t="s">
        <v>656</v>
      </c>
      <c r="G19" s="808"/>
      <c r="H19" s="808"/>
      <c r="I19" s="808"/>
      <c r="J19" s="808"/>
      <c r="K19" s="808"/>
      <c r="L19" s="808"/>
      <c r="M19" s="808"/>
      <c r="N19" s="808"/>
      <c r="O19" s="808"/>
      <c r="P19" s="808"/>
      <c r="Q19" s="808"/>
      <c r="R19" s="808"/>
      <c r="S19" s="808"/>
      <c r="T19" s="808"/>
      <c r="U19" s="808"/>
      <c r="V19" s="808"/>
      <c r="W19" s="808"/>
      <c r="X19" s="808"/>
      <c r="Y19" s="808"/>
      <c r="Z19" s="808"/>
      <c r="AA19" s="808"/>
      <c r="AB19" s="808"/>
      <c r="AC19" s="808"/>
      <c r="AD19" s="808"/>
      <c r="AE19" s="808"/>
      <c r="AF19" s="808"/>
      <c r="AG19" s="808"/>
      <c r="AH19" s="815"/>
    </row>
    <row r="20" spans="1:37" ht="79.5" customHeight="1" x14ac:dyDescent="0.15">
      <c r="B20" s="804"/>
      <c r="C20" s="805"/>
      <c r="D20" s="806"/>
      <c r="E20" s="142" t="s">
        <v>326</v>
      </c>
      <c r="F20" s="823" t="s">
        <v>657</v>
      </c>
      <c r="G20" s="824"/>
      <c r="H20" s="824"/>
      <c r="I20" s="824"/>
      <c r="J20" s="824"/>
      <c r="K20" s="824"/>
      <c r="L20" s="824"/>
      <c r="M20" s="824"/>
      <c r="N20" s="824"/>
      <c r="O20" s="824"/>
      <c r="P20" s="824"/>
      <c r="Q20" s="824"/>
      <c r="R20" s="824"/>
      <c r="S20" s="824"/>
      <c r="T20" s="824"/>
      <c r="U20" s="824"/>
      <c r="V20" s="824"/>
      <c r="W20" s="824"/>
      <c r="X20" s="824"/>
      <c r="Y20" s="824"/>
      <c r="Z20" s="824"/>
      <c r="AA20" s="824"/>
      <c r="AB20" s="824"/>
      <c r="AC20" s="824"/>
      <c r="AD20" s="824"/>
      <c r="AE20" s="824"/>
      <c r="AF20" s="824"/>
      <c r="AG20" s="824"/>
      <c r="AH20" s="825"/>
    </row>
    <row r="21" spans="1:37" ht="27" customHeight="1" x14ac:dyDescent="0.15">
      <c r="B21" s="934" t="s">
        <v>231</v>
      </c>
      <c r="C21" s="935"/>
      <c r="D21" s="935"/>
      <c r="E21" s="936"/>
      <c r="F21" s="910" t="s">
        <v>645</v>
      </c>
      <c r="G21" s="911"/>
      <c r="H21" s="911"/>
      <c r="I21" s="911"/>
      <c r="J21" s="911"/>
      <c r="K21" s="911"/>
      <c r="L21" s="911"/>
      <c r="M21" s="911"/>
      <c r="N21" s="912"/>
      <c r="O21" s="907">
        <v>2</v>
      </c>
      <c r="P21" s="908"/>
      <c r="Q21" s="908"/>
      <c r="R21" s="920"/>
      <c r="S21" s="917" t="s">
        <v>646</v>
      </c>
      <c r="T21" s="918"/>
      <c r="U21" s="918"/>
      <c r="V21" s="919"/>
      <c r="W21" s="905" t="s">
        <v>647</v>
      </c>
      <c r="X21" s="906"/>
      <c r="Y21" s="906"/>
      <c r="Z21" s="906"/>
      <c r="AA21" s="907">
        <v>1</v>
      </c>
      <c r="AB21" s="908"/>
      <c r="AC21" s="908"/>
      <c r="AD21" s="908"/>
      <c r="AE21" s="908"/>
      <c r="AF21" s="908"/>
      <c r="AG21" s="908"/>
      <c r="AH21" s="909"/>
    </row>
    <row r="22" spans="1:37" ht="27" customHeight="1" thickBot="1" x14ac:dyDescent="0.2">
      <c r="B22" s="926" t="s">
        <v>327</v>
      </c>
      <c r="C22" s="927"/>
      <c r="D22" s="927"/>
      <c r="E22" s="928"/>
      <c r="F22" s="902"/>
      <c r="G22" s="903"/>
      <c r="H22" s="903"/>
      <c r="I22" s="903"/>
      <c r="J22" s="903"/>
      <c r="K22" s="903"/>
      <c r="L22" s="903"/>
      <c r="M22" s="903"/>
      <c r="N22" s="903"/>
      <c r="O22" s="903"/>
      <c r="P22" s="903"/>
      <c r="Q22" s="903"/>
      <c r="R22" s="903"/>
      <c r="S22" s="903"/>
      <c r="T22" s="903"/>
      <c r="U22" s="903"/>
      <c r="V22" s="903"/>
      <c r="W22" s="903"/>
      <c r="X22" s="903"/>
      <c r="Y22" s="903"/>
      <c r="Z22" s="903"/>
      <c r="AA22" s="903"/>
      <c r="AB22" s="903"/>
      <c r="AC22" s="903"/>
      <c r="AD22" s="903"/>
      <c r="AE22" s="903"/>
      <c r="AF22" s="903"/>
      <c r="AG22" s="903"/>
      <c r="AH22" s="904"/>
    </row>
    <row r="23" spans="1:37" ht="7.5" customHeight="1" thickBot="1" x14ac:dyDescent="0.2"/>
    <row r="24" spans="1:37" ht="20.25" customHeight="1" x14ac:dyDescent="0.15">
      <c r="B24" s="892" t="s">
        <v>328</v>
      </c>
      <c r="C24" s="893"/>
      <c r="D24" s="893"/>
      <c r="E24" s="894"/>
      <c r="F24" s="879" t="s">
        <v>308</v>
      </c>
      <c r="G24" s="880"/>
      <c r="H24" s="880"/>
      <c r="I24" s="885"/>
      <c r="J24" s="879" t="s">
        <v>318</v>
      </c>
      <c r="K24" s="880"/>
      <c r="L24" s="880"/>
      <c r="M24" s="880"/>
      <c r="N24" s="885"/>
      <c r="O24" s="879" t="s">
        <v>237</v>
      </c>
      <c r="P24" s="880"/>
      <c r="Q24" s="880"/>
      <c r="R24" s="885"/>
      <c r="S24" s="879" t="s">
        <v>236</v>
      </c>
      <c r="T24" s="880"/>
      <c r="U24" s="880"/>
      <c r="V24" s="880"/>
      <c r="W24" s="879" t="s">
        <v>329</v>
      </c>
      <c r="X24" s="880"/>
      <c r="Y24" s="880"/>
      <c r="Z24" s="880"/>
      <c r="AA24" s="879" t="s">
        <v>330</v>
      </c>
      <c r="AB24" s="880"/>
      <c r="AC24" s="880"/>
      <c r="AD24" s="885"/>
      <c r="AE24" s="879" t="s">
        <v>331</v>
      </c>
      <c r="AF24" s="880"/>
      <c r="AG24" s="880"/>
      <c r="AH24" s="884"/>
    </row>
    <row r="25" spans="1:37" ht="41.25" customHeight="1" thickBot="1" x14ac:dyDescent="0.2">
      <c r="B25" s="895"/>
      <c r="C25" s="875"/>
      <c r="D25" s="875"/>
      <c r="E25" s="876"/>
      <c r="F25" s="896"/>
      <c r="G25" s="897"/>
      <c r="H25" s="897"/>
      <c r="I25" s="898"/>
      <c r="J25" s="896"/>
      <c r="K25" s="897"/>
      <c r="L25" s="897"/>
      <c r="M25" s="897"/>
      <c r="N25" s="898"/>
      <c r="O25" s="896"/>
      <c r="P25" s="897"/>
      <c r="Q25" s="897"/>
      <c r="R25" s="898"/>
      <c r="S25" s="896"/>
      <c r="T25" s="897"/>
      <c r="U25" s="897"/>
      <c r="V25" s="897"/>
      <c r="W25" s="963"/>
      <c r="X25" s="964"/>
      <c r="Y25" s="964"/>
      <c r="Z25" s="964"/>
      <c r="AA25" s="960" t="s">
        <v>658</v>
      </c>
      <c r="AB25" s="961"/>
      <c r="AC25" s="961"/>
      <c r="AD25" s="962"/>
      <c r="AE25" s="896" t="s">
        <v>659</v>
      </c>
      <c r="AF25" s="897"/>
      <c r="AG25" s="897"/>
      <c r="AH25" s="921"/>
    </row>
    <row r="26" spans="1:37" s="148" customFormat="1" ht="5.25" customHeight="1" thickBot="1" x14ac:dyDescent="0.2">
      <c r="A26" s="143"/>
      <c r="B26" s="144"/>
      <c r="C26" s="144"/>
      <c r="D26" s="144"/>
      <c r="E26" s="144"/>
      <c r="F26" s="145"/>
      <c r="G26" s="145"/>
      <c r="H26" s="145"/>
      <c r="I26" s="145"/>
      <c r="J26" s="145"/>
      <c r="K26" s="145"/>
      <c r="L26" s="145"/>
      <c r="M26" s="145"/>
      <c r="N26" s="145"/>
      <c r="O26" s="145"/>
      <c r="P26" s="146"/>
      <c r="Q26" s="146"/>
      <c r="R26" s="146"/>
      <c r="S26" s="146"/>
      <c r="T26" s="145"/>
      <c r="U26" s="145"/>
      <c r="V26" s="145"/>
      <c r="W26" s="147"/>
      <c r="X26" s="147"/>
      <c r="Y26" s="147"/>
      <c r="Z26" s="147"/>
      <c r="AA26" s="147"/>
      <c r="AB26" s="145"/>
      <c r="AC26" s="145"/>
      <c r="AD26" s="145"/>
      <c r="AE26" s="145"/>
      <c r="AF26" s="145"/>
      <c r="AG26" s="145"/>
      <c r="AH26" s="145"/>
    </row>
    <row r="27" spans="1:37" ht="25.5" customHeight="1" x14ac:dyDescent="0.15">
      <c r="B27" s="892" t="s">
        <v>332</v>
      </c>
      <c r="C27" s="893"/>
      <c r="D27" s="894"/>
      <c r="E27" s="274" t="s">
        <v>333</v>
      </c>
      <c r="F27" s="922" t="s">
        <v>660</v>
      </c>
      <c r="G27" s="923"/>
      <c r="H27" s="923"/>
      <c r="I27" s="923"/>
      <c r="J27" s="923"/>
      <c r="K27" s="923"/>
      <c r="L27" s="923"/>
      <c r="M27" s="923"/>
      <c r="N27" s="924"/>
      <c r="O27" s="149"/>
      <c r="P27" s="149"/>
      <c r="Q27" s="149"/>
      <c r="R27" s="149"/>
      <c r="S27" s="149"/>
      <c r="T27" s="149"/>
      <c r="U27" s="149"/>
      <c r="V27" s="149"/>
      <c r="W27" s="149"/>
      <c r="X27" s="149"/>
      <c r="Y27" s="149"/>
      <c r="Z27" s="149"/>
      <c r="AA27" s="149"/>
      <c r="AB27" s="149"/>
      <c r="AC27" s="149"/>
      <c r="AD27" s="149"/>
      <c r="AE27" s="149"/>
      <c r="AF27" s="149"/>
      <c r="AG27" s="149"/>
      <c r="AH27" s="150"/>
    </row>
    <row r="28" spans="1:37" s="151" customFormat="1" ht="25.5" customHeight="1" thickBot="1" x14ac:dyDescent="0.2">
      <c r="B28" s="895"/>
      <c r="C28" s="875"/>
      <c r="D28" s="876"/>
      <c r="E28" s="275" t="s">
        <v>334</v>
      </c>
      <c r="F28" s="889" t="s">
        <v>661</v>
      </c>
      <c r="G28" s="890"/>
      <c r="H28" s="890"/>
      <c r="I28" s="890"/>
      <c r="J28" s="890"/>
      <c r="K28" s="890"/>
      <c r="L28" s="890"/>
      <c r="M28" s="890"/>
      <c r="N28" s="925"/>
      <c r="O28" s="886" t="s">
        <v>274</v>
      </c>
      <c r="P28" s="887"/>
      <c r="Q28" s="888"/>
      <c r="R28" s="889"/>
      <c r="S28" s="890"/>
      <c r="T28" s="890"/>
      <c r="U28" s="890"/>
      <c r="V28" s="890"/>
      <c r="W28" s="890"/>
      <c r="X28" s="890"/>
      <c r="Y28" s="890"/>
      <c r="Z28" s="890"/>
      <c r="AA28" s="890"/>
      <c r="AB28" s="890"/>
      <c r="AC28" s="890"/>
      <c r="AD28" s="890"/>
      <c r="AE28" s="890"/>
      <c r="AF28" s="890"/>
      <c r="AG28" s="890"/>
      <c r="AH28" s="891"/>
    </row>
    <row r="29" spans="1:37" s="151" customFormat="1" ht="6.75" customHeight="1" thickBot="1" x14ac:dyDescent="0.2">
      <c r="A29" s="152"/>
      <c r="B29" s="153"/>
      <c r="C29" s="153"/>
      <c r="D29" s="153"/>
      <c r="E29" s="152"/>
      <c r="F29" s="152"/>
      <c r="G29" s="152"/>
      <c r="H29" s="152"/>
      <c r="I29" s="152"/>
      <c r="J29" s="152"/>
      <c r="K29" s="152"/>
      <c r="L29" s="152"/>
      <c r="M29" s="152"/>
      <c r="N29" s="152"/>
      <c r="O29" s="152"/>
      <c r="P29" s="152"/>
      <c r="Q29" s="152"/>
      <c r="R29" s="152"/>
      <c r="S29" s="147"/>
      <c r="T29" s="143"/>
      <c r="U29" s="143"/>
      <c r="V29" s="147"/>
      <c r="W29" s="152"/>
      <c r="X29" s="152"/>
      <c r="Y29" s="152"/>
      <c r="Z29" s="147"/>
      <c r="AA29" s="143"/>
      <c r="AB29" s="143"/>
      <c r="AC29" s="147"/>
      <c r="AD29" s="147"/>
      <c r="AE29" s="152"/>
      <c r="AF29" s="152"/>
      <c r="AG29" s="152"/>
      <c r="AH29" s="152"/>
      <c r="AI29" s="152"/>
      <c r="AJ29" s="152"/>
      <c r="AK29" s="152"/>
    </row>
    <row r="30" spans="1:37" s="151" customFormat="1" ht="15" customHeight="1" x14ac:dyDescent="0.15">
      <c r="A30" s="152"/>
      <c r="B30" s="953" t="s">
        <v>335</v>
      </c>
      <c r="C30" s="954"/>
      <c r="D30" s="954"/>
      <c r="E30" s="954"/>
      <c r="F30" s="954"/>
      <c r="G30" s="954"/>
      <c r="H30" s="954"/>
      <c r="I30" s="954"/>
      <c r="J30" s="954"/>
      <c r="K30" s="954"/>
      <c r="L30" s="954"/>
      <c r="M30" s="954"/>
      <c r="N30" s="954"/>
      <c r="O30" s="954"/>
      <c r="P30" s="954"/>
      <c r="Q30" s="954"/>
      <c r="R30" s="954"/>
      <c r="S30" s="954"/>
      <c r="T30" s="954"/>
      <c r="U30" s="954"/>
      <c r="V30" s="954"/>
      <c r="W30" s="954"/>
      <c r="X30" s="954"/>
      <c r="Y30" s="954"/>
      <c r="Z30" s="954"/>
      <c r="AA30" s="954"/>
      <c r="AB30" s="954"/>
      <c r="AC30" s="954"/>
      <c r="AD30" s="954"/>
      <c r="AE30" s="954"/>
      <c r="AF30" s="954"/>
      <c r="AG30" s="954"/>
      <c r="AH30" s="955"/>
      <c r="AI30" s="152"/>
      <c r="AJ30" s="152"/>
      <c r="AK30" s="152"/>
    </row>
    <row r="31" spans="1:37" s="151" customFormat="1" ht="27" customHeight="1" x14ac:dyDescent="0.15">
      <c r="B31" s="801" t="s">
        <v>336</v>
      </c>
      <c r="C31" s="802"/>
      <c r="D31" s="803"/>
      <c r="E31" s="276" t="s">
        <v>337</v>
      </c>
      <c r="F31" s="807" t="s">
        <v>662</v>
      </c>
      <c r="G31" s="808"/>
      <c r="H31" s="808"/>
      <c r="I31" s="808"/>
      <c r="J31" s="808"/>
      <c r="K31" s="808"/>
      <c r="L31" s="808"/>
      <c r="M31" s="808"/>
      <c r="N31" s="808"/>
      <c r="O31" s="808"/>
      <c r="P31" s="808"/>
      <c r="Q31" s="808"/>
      <c r="R31" s="808"/>
      <c r="S31" s="808"/>
      <c r="T31" s="808"/>
      <c r="U31" s="808"/>
      <c r="V31" s="808"/>
      <c r="W31" s="808"/>
      <c r="X31" s="808"/>
      <c r="Y31" s="808"/>
      <c r="Z31" s="808"/>
      <c r="AA31" s="808"/>
      <c r="AB31" s="808"/>
      <c r="AC31" s="808"/>
      <c r="AD31" s="808"/>
      <c r="AE31" s="808"/>
      <c r="AF31" s="808"/>
      <c r="AG31" s="808"/>
      <c r="AH31" s="815"/>
    </row>
    <row r="32" spans="1:37" s="151" customFormat="1" ht="27" customHeight="1" x14ac:dyDescent="0.15">
      <c r="B32" s="804"/>
      <c r="C32" s="805"/>
      <c r="D32" s="806"/>
      <c r="E32" s="276" t="s">
        <v>338</v>
      </c>
      <c r="F32" s="807" t="s">
        <v>663</v>
      </c>
      <c r="G32" s="808"/>
      <c r="H32" s="808"/>
      <c r="I32" s="808"/>
      <c r="J32" s="808"/>
      <c r="K32" s="808"/>
      <c r="L32" s="808"/>
      <c r="M32" s="808"/>
      <c r="N32" s="812"/>
      <c r="O32" s="809" t="s">
        <v>274</v>
      </c>
      <c r="P32" s="810"/>
      <c r="Q32" s="810"/>
      <c r="R32" s="807"/>
      <c r="S32" s="808"/>
      <c r="T32" s="808"/>
      <c r="U32" s="808"/>
      <c r="V32" s="808"/>
      <c r="W32" s="808"/>
      <c r="X32" s="808"/>
      <c r="Y32" s="808"/>
      <c r="Z32" s="808"/>
      <c r="AA32" s="808"/>
      <c r="AB32" s="808"/>
      <c r="AC32" s="808"/>
      <c r="AD32" s="808"/>
      <c r="AE32" s="808"/>
      <c r="AF32" s="808"/>
      <c r="AG32" s="808"/>
      <c r="AH32" s="815"/>
    </row>
    <row r="33" spans="2:34" s="151" customFormat="1" ht="27" customHeight="1" x14ac:dyDescent="0.15">
      <c r="B33" s="801" t="s">
        <v>339</v>
      </c>
      <c r="C33" s="802"/>
      <c r="D33" s="803"/>
      <c r="E33" s="276" t="s">
        <v>233</v>
      </c>
      <c r="F33" s="807" t="s">
        <v>283</v>
      </c>
      <c r="G33" s="808"/>
      <c r="H33" s="808"/>
      <c r="I33" s="808"/>
      <c r="J33" s="808"/>
      <c r="K33" s="808"/>
      <c r="L33" s="808"/>
      <c r="M33" s="808"/>
      <c r="N33" s="808"/>
      <c r="O33" s="809" t="s">
        <v>648</v>
      </c>
      <c r="P33" s="810"/>
      <c r="Q33" s="811"/>
      <c r="R33" s="807" t="s">
        <v>696</v>
      </c>
      <c r="S33" s="808"/>
      <c r="T33" s="808"/>
      <c r="U33" s="808"/>
      <c r="V33" s="812"/>
      <c r="W33" s="813" t="s">
        <v>274</v>
      </c>
      <c r="X33" s="814"/>
      <c r="Y33" s="814"/>
      <c r="Z33" s="807"/>
      <c r="AA33" s="808"/>
      <c r="AB33" s="808"/>
      <c r="AC33" s="808"/>
      <c r="AD33" s="808"/>
      <c r="AE33" s="808"/>
      <c r="AF33" s="808"/>
      <c r="AG33" s="808"/>
      <c r="AH33" s="815"/>
    </row>
    <row r="34" spans="2:34" s="151" customFormat="1" ht="27" customHeight="1" x14ac:dyDescent="0.15">
      <c r="B34" s="804"/>
      <c r="C34" s="805"/>
      <c r="D34" s="806"/>
      <c r="E34" s="276" t="s">
        <v>628</v>
      </c>
      <c r="F34" s="807" t="s">
        <v>664</v>
      </c>
      <c r="G34" s="808"/>
      <c r="H34" s="808"/>
      <c r="I34" s="808"/>
      <c r="J34" s="808"/>
      <c r="K34" s="808"/>
      <c r="L34" s="808"/>
      <c r="M34" s="808"/>
      <c r="N34" s="808"/>
      <c r="O34" s="809" t="s">
        <v>340</v>
      </c>
      <c r="P34" s="810"/>
      <c r="Q34" s="811"/>
      <c r="R34" s="807" t="s">
        <v>666</v>
      </c>
      <c r="S34" s="808"/>
      <c r="T34" s="808"/>
      <c r="U34" s="808"/>
      <c r="V34" s="812"/>
      <c r="W34" s="813" t="s">
        <v>274</v>
      </c>
      <c r="X34" s="814"/>
      <c r="Y34" s="814"/>
      <c r="Z34" s="807"/>
      <c r="AA34" s="808"/>
      <c r="AB34" s="808"/>
      <c r="AC34" s="808"/>
      <c r="AD34" s="808"/>
      <c r="AE34" s="808"/>
      <c r="AF34" s="808"/>
      <c r="AG34" s="808"/>
      <c r="AH34" s="815"/>
    </row>
    <row r="35" spans="2:34" s="151" customFormat="1" ht="27" customHeight="1" thickBot="1" x14ac:dyDescent="0.2">
      <c r="B35" s="926" t="s">
        <v>341</v>
      </c>
      <c r="C35" s="927"/>
      <c r="D35" s="928"/>
      <c r="E35" s="154" t="s">
        <v>342</v>
      </c>
      <c r="F35" s="930" t="s">
        <v>665</v>
      </c>
      <c r="G35" s="931"/>
      <c r="H35" s="931"/>
      <c r="I35" s="931"/>
      <c r="J35" s="931"/>
      <c r="K35" s="931"/>
      <c r="L35" s="931"/>
      <c r="M35" s="931"/>
      <c r="N35" s="932"/>
      <c r="O35" s="929" t="s">
        <v>343</v>
      </c>
      <c r="P35" s="887"/>
      <c r="Q35" s="888"/>
      <c r="R35" s="881"/>
      <c r="S35" s="882"/>
      <c r="T35" s="882"/>
      <c r="U35" s="882"/>
      <c r="V35" s="882"/>
      <c r="W35" s="882"/>
      <c r="X35" s="882"/>
      <c r="Y35" s="882"/>
      <c r="Z35" s="882"/>
      <c r="AA35" s="882"/>
      <c r="AB35" s="882"/>
      <c r="AC35" s="882"/>
      <c r="AD35" s="882"/>
      <c r="AE35" s="882"/>
      <c r="AF35" s="882"/>
      <c r="AG35" s="882"/>
      <c r="AH35" s="883"/>
    </row>
    <row r="36" spans="2:34" s="152" customFormat="1" ht="6" customHeight="1" thickBot="1" x14ac:dyDescent="0.2">
      <c r="B36" s="145"/>
      <c r="C36" s="145"/>
      <c r="D36" s="145"/>
      <c r="E36" s="155"/>
      <c r="L36" s="143"/>
      <c r="R36" s="147"/>
      <c r="S36" s="147"/>
      <c r="T36" s="147"/>
      <c r="U36" s="147"/>
      <c r="V36" s="147"/>
      <c r="W36" s="147"/>
      <c r="X36" s="147"/>
      <c r="Y36" s="147"/>
      <c r="Z36" s="147"/>
      <c r="AA36" s="147"/>
      <c r="AB36" s="147"/>
      <c r="AC36" s="147"/>
      <c r="AD36" s="147"/>
      <c r="AE36" s="147"/>
      <c r="AF36" s="147"/>
      <c r="AG36" s="147"/>
    </row>
    <row r="37" spans="2:34" ht="27" customHeight="1" x14ac:dyDescent="0.15">
      <c r="B37" s="937" t="s">
        <v>344</v>
      </c>
      <c r="C37" s="880"/>
      <c r="D37" s="880"/>
      <c r="E37" s="880"/>
      <c r="F37" s="938">
        <v>40055</v>
      </c>
      <c r="G37" s="849"/>
      <c r="H37" s="849"/>
      <c r="I37" s="849"/>
      <c r="J37" s="849"/>
      <c r="K37" s="849"/>
      <c r="L37" s="849"/>
      <c r="M37" s="849"/>
      <c r="N37" s="939"/>
      <c r="O37" s="879" t="s">
        <v>345</v>
      </c>
      <c r="P37" s="880"/>
      <c r="Q37" s="880"/>
      <c r="R37" s="847">
        <v>40055</v>
      </c>
      <c r="S37" s="848"/>
      <c r="T37" s="848"/>
      <c r="U37" s="848"/>
      <c r="V37" s="848"/>
      <c r="W37" s="877"/>
      <c r="X37" s="878"/>
      <c r="Y37" s="878"/>
      <c r="Z37" s="849"/>
      <c r="AA37" s="849"/>
      <c r="AB37" s="849"/>
      <c r="AC37" s="849"/>
      <c r="AD37" s="849"/>
      <c r="AE37" s="849"/>
      <c r="AF37" s="849"/>
      <c r="AG37" s="849"/>
      <c r="AH37" s="850"/>
    </row>
    <row r="38" spans="2:34" ht="151.5" customHeight="1" x14ac:dyDescent="0.15">
      <c r="B38" s="816" t="s">
        <v>346</v>
      </c>
      <c r="C38" s="817"/>
      <c r="D38" s="823" t="s">
        <v>667</v>
      </c>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5"/>
    </row>
    <row r="39" spans="2:34" ht="16.5" customHeight="1" x14ac:dyDescent="0.15">
      <c r="B39" s="818" t="s">
        <v>347</v>
      </c>
      <c r="C39" s="819"/>
      <c r="D39" s="851" t="s">
        <v>668</v>
      </c>
      <c r="E39" s="852"/>
      <c r="F39" s="852"/>
      <c r="G39" s="852"/>
      <c r="H39" s="852"/>
      <c r="I39" s="852"/>
      <c r="J39" s="852"/>
      <c r="K39" s="852"/>
      <c r="L39" s="852"/>
      <c r="M39" s="852"/>
      <c r="N39" s="852"/>
      <c r="O39" s="852"/>
      <c r="P39" s="852"/>
      <c r="Q39" s="852"/>
      <c r="R39" s="852"/>
      <c r="S39" s="852"/>
      <c r="T39" s="852"/>
      <c r="U39" s="852"/>
      <c r="V39" s="853"/>
      <c r="W39" s="860" t="s">
        <v>348</v>
      </c>
      <c r="X39" s="802"/>
      <c r="Y39" s="803"/>
      <c r="Z39" s="829" t="s">
        <v>349</v>
      </c>
      <c r="AA39" s="830"/>
      <c r="AB39" s="831"/>
      <c r="AC39" s="823"/>
      <c r="AD39" s="824"/>
      <c r="AE39" s="824"/>
      <c r="AF39" s="824"/>
      <c r="AG39" s="824"/>
      <c r="AH39" s="825"/>
    </row>
    <row r="40" spans="2:34" ht="16.5" customHeight="1" x14ac:dyDescent="0.15">
      <c r="B40" s="820"/>
      <c r="C40" s="817"/>
      <c r="D40" s="854"/>
      <c r="E40" s="855"/>
      <c r="F40" s="855"/>
      <c r="G40" s="855"/>
      <c r="H40" s="855"/>
      <c r="I40" s="855"/>
      <c r="J40" s="855"/>
      <c r="K40" s="855"/>
      <c r="L40" s="855"/>
      <c r="M40" s="855"/>
      <c r="N40" s="855"/>
      <c r="O40" s="855"/>
      <c r="P40" s="855"/>
      <c r="Q40" s="855"/>
      <c r="R40" s="855"/>
      <c r="S40" s="855"/>
      <c r="T40" s="855"/>
      <c r="U40" s="855"/>
      <c r="V40" s="856"/>
      <c r="W40" s="861"/>
      <c r="X40" s="862"/>
      <c r="Y40" s="863"/>
      <c r="Z40" s="829" t="s">
        <v>350</v>
      </c>
      <c r="AA40" s="830"/>
      <c r="AB40" s="831"/>
      <c r="AC40" s="835"/>
      <c r="AD40" s="836"/>
      <c r="AE40" s="836"/>
      <c r="AF40" s="836"/>
      <c r="AG40" s="836"/>
      <c r="AH40" s="837"/>
    </row>
    <row r="41" spans="2:34" ht="16.5" customHeight="1" x14ac:dyDescent="0.15">
      <c r="B41" s="820"/>
      <c r="C41" s="817"/>
      <c r="D41" s="854"/>
      <c r="E41" s="855"/>
      <c r="F41" s="855"/>
      <c r="G41" s="855"/>
      <c r="H41" s="855"/>
      <c r="I41" s="855"/>
      <c r="J41" s="855"/>
      <c r="K41" s="855"/>
      <c r="L41" s="855"/>
      <c r="M41" s="855"/>
      <c r="N41" s="855"/>
      <c r="O41" s="855"/>
      <c r="P41" s="855"/>
      <c r="Q41" s="855"/>
      <c r="R41" s="855"/>
      <c r="S41" s="855"/>
      <c r="T41" s="855"/>
      <c r="U41" s="855"/>
      <c r="V41" s="856"/>
      <c r="W41" s="861"/>
      <c r="X41" s="862"/>
      <c r="Y41" s="863"/>
      <c r="Z41" s="829" t="s">
        <v>351</v>
      </c>
      <c r="AA41" s="830"/>
      <c r="AB41" s="831"/>
      <c r="AC41" s="823"/>
      <c r="AD41" s="824"/>
      <c r="AE41" s="824"/>
      <c r="AF41" s="824"/>
      <c r="AG41" s="824"/>
      <c r="AH41" s="825"/>
    </row>
    <row r="42" spans="2:34" ht="16.5" customHeight="1" x14ac:dyDescent="0.15">
      <c r="B42" s="820"/>
      <c r="C42" s="817"/>
      <c r="D42" s="854"/>
      <c r="E42" s="855"/>
      <c r="F42" s="855"/>
      <c r="G42" s="855"/>
      <c r="H42" s="855"/>
      <c r="I42" s="855"/>
      <c r="J42" s="855"/>
      <c r="K42" s="855"/>
      <c r="L42" s="855"/>
      <c r="M42" s="855"/>
      <c r="N42" s="855"/>
      <c r="O42" s="855"/>
      <c r="P42" s="855"/>
      <c r="Q42" s="855"/>
      <c r="R42" s="855"/>
      <c r="S42" s="855"/>
      <c r="T42" s="855"/>
      <c r="U42" s="855"/>
      <c r="V42" s="856"/>
      <c r="W42" s="864"/>
      <c r="X42" s="805"/>
      <c r="Y42" s="806"/>
      <c r="Z42" s="829" t="s">
        <v>352</v>
      </c>
      <c r="AA42" s="830"/>
      <c r="AB42" s="831"/>
      <c r="AC42" s="835"/>
      <c r="AD42" s="836"/>
      <c r="AE42" s="836"/>
      <c r="AF42" s="836"/>
      <c r="AG42" s="836"/>
      <c r="AH42" s="837"/>
    </row>
    <row r="43" spans="2:34" ht="16.5" customHeight="1" x14ac:dyDescent="0.15">
      <c r="B43" s="820"/>
      <c r="C43" s="817"/>
      <c r="D43" s="854"/>
      <c r="E43" s="855"/>
      <c r="F43" s="855"/>
      <c r="G43" s="855"/>
      <c r="H43" s="855"/>
      <c r="I43" s="855"/>
      <c r="J43" s="855"/>
      <c r="K43" s="855"/>
      <c r="L43" s="855"/>
      <c r="M43" s="855"/>
      <c r="N43" s="855"/>
      <c r="O43" s="855"/>
      <c r="P43" s="855"/>
      <c r="Q43" s="855"/>
      <c r="R43" s="855"/>
      <c r="S43" s="855"/>
      <c r="T43" s="855"/>
      <c r="U43" s="855"/>
      <c r="V43" s="856"/>
      <c r="W43" s="860" t="s">
        <v>353</v>
      </c>
      <c r="X43" s="802"/>
      <c r="Y43" s="803"/>
      <c r="Z43" s="829" t="s">
        <v>354</v>
      </c>
      <c r="AA43" s="830"/>
      <c r="AB43" s="831"/>
      <c r="AC43" s="823"/>
      <c r="AD43" s="824"/>
      <c r="AE43" s="824"/>
      <c r="AF43" s="824"/>
      <c r="AG43" s="824"/>
      <c r="AH43" s="825"/>
    </row>
    <row r="44" spans="2:34" ht="16.5" customHeight="1" x14ac:dyDescent="0.15">
      <c r="B44" s="820"/>
      <c r="C44" s="817"/>
      <c r="D44" s="854"/>
      <c r="E44" s="855"/>
      <c r="F44" s="855"/>
      <c r="G44" s="855"/>
      <c r="H44" s="855"/>
      <c r="I44" s="855"/>
      <c r="J44" s="855"/>
      <c r="K44" s="855"/>
      <c r="L44" s="855"/>
      <c r="M44" s="855"/>
      <c r="N44" s="855"/>
      <c r="O44" s="855"/>
      <c r="P44" s="855"/>
      <c r="Q44" s="855"/>
      <c r="R44" s="855"/>
      <c r="S44" s="855"/>
      <c r="T44" s="855"/>
      <c r="U44" s="855"/>
      <c r="V44" s="856"/>
      <c r="W44" s="861"/>
      <c r="X44" s="862"/>
      <c r="Y44" s="863"/>
      <c r="Z44" s="829" t="s">
        <v>355</v>
      </c>
      <c r="AA44" s="830"/>
      <c r="AB44" s="831"/>
      <c r="AC44" s="823"/>
      <c r="AD44" s="824"/>
      <c r="AE44" s="824"/>
      <c r="AF44" s="824"/>
      <c r="AG44" s="824"/>
      <c r="AH44" s="825"/>
    </row>
    <row r="45" spans="2:34" ht="16.5" customHeight="1" x14ac:dyDescent="0.15">
      <c r="B45" s="820"/>
      <c r="C45" s="817"/>
      <c r="D45" s="854"/>
      <c r="E45" s="855"/>
      <c r="F45" s="855"/>
      <c r="G45" s="855"/>
      <c r="H45" s="855"/>
      <c r="I45" s="855"/>
      <c r="J45" s="855"/>
      <c r="K45" s="855"/>
      <c r="L45" s="855"/>
      <c r="M45" s="855"/>
      <c r="N45" s="855"/>
      <c r="O45" s="855"/>
      <c r="P45" s="855"/>
      <c r="Q45" s="855"/>
      <c r="R45" s="855"/>
      <c r="S45" s="855"/>
      <c r="T45" s="855"/>
      <c r="U45" s="855"/>
      <c r="V45" s="856"/>
      <c r="W45" s="861"/>
      <c r="X45" s="862"/>
      <c r="Y45" s="863"/>
      <c r="Z45" s="829" t="s">
        <v>356</v>
      </c>
      <c r="AA45" s="830"/>
      <c r="AB45" s="831"/>
      <c r="AC45" s="826"/>
      <c r="AD45" s="827"/>
      <c r="AE45" s="827"/>
      <c r="AF45" s="827"/>
      <c r="AG45" s="827"/>
      <c r="AH45" s="828"/>
    </row>
    <row r="46" spans="2:34" ht="16.5" customHeight="1" x14ac:dyDescent="0.15">
      <c r="B46" s="820"/>
      <c r="C46" s="817"/>
      <c r="D46" s="854"/>
      <c r="E46" s="855"/>
      <c r="F46" s="855"/>
      <c r="G46" s="855"/>
      <c r="H46" s="855"/>
      <c r="I46" s="855"/>
      <c r="J46" s="855"/>
      <c r="K46" s="855"/>
      <c r="L46" s="855"/>
      <c r="M46" s="855"/>
      <c r="N46" s="855"/>
      <c r="O46" s="855"/>
      <c r="P46" s="855"/>
      <c r="Q46" s="855"/>
      <c r="R46" s="855"/>
      <c r="S46" s="855"/>
      <c r="T46" s="855"/>
      <c r="U46" s="855"/>
      <c r="V46" s="856"/>
      <c r="W46" s="861"/>
      <c r="X46" s="862"/>
      <c r="Y46" s="863"/>
      <c r="Z46" s="829" t="s">
        <v>357</v>
      </c>
      <c r="AA46" s="830"/>
      <c r="AB46" s="831"/>
      <c r="AC46" s="823"/>
      <c r="AD46" s="824"/>
      <c r="AE46" s="824"/>
      <c r="AF46" s="824"/>
      <c r="AG46" s="824"/>
      <c r="AH46" s="825"/>
    </row>
    <row r="47" spans="2:34" ht="16.5" customHeight="1" x14ac:dyDescent="0.15">
      <c r="B47" s="820"/>
      <c r="C47" s="817"/>
      <c r="D47" s="854"/>
      <c r="E47" s="855"/>
      <c r="F47" s="855"/>
      <c r="G47" s="855"/>
      <c r="H47" s="855"/>
      <c r="I47" s="855"/>
      <c r="J47" s="855"/>
      <c r="K47" s="855"/>
      <c r="L47" s="855"/>
      <c r="M47" s="855"/>
      <c r="N47" s="855"/>
      <c r="O47" s="855"/>
      <c r="P47" s="855"/>
      <c r="Q47" s="855"/>
      <c r="R47" s="855"/>
      <c r="S47" s="855"/>
      <c r="T47" s="855"/>
      <c r="U47" s="855"/>
      <c r="V47" s="856"/>
      <c r="W47" s="861"/>
      <c r="X47" s="862"/>
      <c r="Y47" s="863"/>
      <c r="Z47" s="829" t="s">
        <v>351</v>
      </c>
      <c r="AA47" s="830"/>
      <c r="AB47" s="831"/>
      <c r="AC47" s="823"/>
      <c r="AD47" s="824"/>
      <c r="AE47" s="824"/>
      <c r="AF47" s="824"/>
      <c r="AG47" s="824"/>
      <c r="AH47" s="825"/>
    </row>
    <row r="48" spans="2:34" ht="16.5" customHeight="1" x14ac:dyDescent="0.15">
      <c r="B48" s="820"/>
      <c r="C48" s="817"/>
      <c r="D48" s="854"/>
      <c r="E48" s="855"/>
      <c r="F48" s="855"/>
      <c r="G48" s="855"/>
      <c r="H48" s="855"/>
      <c r="I48" s="855"/>
      <c r="J48" s="855"/>
      <c r="K48" s="855"/>
      <c r="L48" s="855"/>
      <c r="M48" s="855"/>
      <c r="N48" s="855"/>
      <c r="O48" s="855"/>
      <c r="P48" s="855"/>
      <c r="Q48" s="855"/>
      <c r="R48" s="855"/>
      <c r="S48" s="855"/>
      <c r="T48" s="855"/>
      <c r="U48" s="855"/>
      <c r="V48" s="856"/>
      <c r="W48" s="861"/>
      <c r="X48" s="862"/>
      <c r="Y48" s="863"/>
      <c r="Z48" s="829" t="s">
        <v>358</v>
      </c>
      <c r="AA48" s="830"/>
      <c r="AB48" s="831"/>
      <c r="AC48" s="835"/>
      <c r="AD48" s="836"/>
      <c r="AE48" s="836"/>
      <c r="AF48" s="836"/>
      <c r="AG48" s="836"/>
      <c r="AH48" s="837"/>
    </row>
    <row r="49" spans="2:34" ht="16.5" customHeight="1" x14ac:dyDescent="0.15">
      <c r="B49" s="820"/>
      <c r="C49" s="817"/>
      <c r="D49" s="854"/>
      <c r="E49" s="855"/>
      <c r="F49" s="855"/>
      <c r="G49" s="855"/>
      <c r="H49" s="855"/>
      <c r="I49" s="855"/>
      <c r="J49" s="855"/>
      <c r="K49" s="855"/>
      <c r="L49" s="855"/>
      <c r="M49" s="855"/>
      <c r="N49" s="855"/>
      <c r="O49" s="855"/>
      <c r="P49" s="855"/>
      <c r="Q49" s="855"/>
      <c r="R49" s="855"/>
      <c r="S49" s="855"/>
      <c r="T49" s="855"/>
      <c r="U49" s="855"/>
      <c r="V49" s="856"/>
      <c r="W49" s="861"/>
      <c r="X49" s="862"/>
      <c r="Y49" s="863"/>
      <c r="Z49" s="829" t="s">
        <v>359</v>
      </c>
      <c r="AA49" s="830"/>
      <c r="AB49" s="831"/>
      <c r="AC49" s="835"/>
      <c r="AD49" s="836"/>
      <c r="AE49" s="836"/>
      <c r="AF49" s="836"/>
      <c r="AG49" s="836"/>
      <c r="AH49" s="837"/>
    </row>
    <row r="50" spans="2:34" ht="16.5" customHeight="1" x14ac:dyDescent="0.15">
      <c r="B50" s="820"/>
      <c r="C50" s="817"/>
      <c r="D50" s="854"/>
      <c r="E50" s="855"/>
      <c r="F50" s="855"/>
      <c r="G50" s="855"/>
      <c r="H50" s="855"/>
      <c r="I50" s="855"/>
      <c r="J50" s="855"/>
      <c r="K50" s="855"/>
      <c r="L50" s="855"/>
      <c r="M50" s="855"/>
      <c r="N50" s="855"/>
      <c r="O50" s="855"/>
      <c r="P50" s="855"/>
      <c r="Q50" s="855"/>
      <c r="R50" s="855"/>
      <c r="S50" s="855"/>
      <c r="T50" s="855"/>
      <c r="U50" s="855"/>
      <c r="V50" s="856"/>
      <c r="W50" s="864"/>
      <c r="X50" s="805"/>
      <c r="Y50" s="806"/>
      <c r="Z50" s="829" t="s">
        <v>352</v>
      </c>
      <c r="AA50" s="830"/>
      <c r="AB50" s="831"/>
      <c r="AC50" s="835"/>
      <c r="AD50" s="836"/>
      <c r="AE50" s="836"/>
      <c r="AF50" s="836"/>
      <c r="AG50" s="836"/>
      <c r="AH50" s="837"/>
    </row>
    <row r="51" spans="2:34" ht="16.5" customHeight="1" x14ac:dyDescent="0.15">
      <c r="B51" s="820"/>
      <c r="C51" s="817"/>
      <c r="D51" s="854"/>
      <c r="E51" s="855"/>
      <c r="F51" s="855"/>
      <c r="G51" s="855"/>
      <c r="H51" s="855"/>
      <c r="I51" s="855"/>
      <c r="J51" s="855"/>
      <c r="K51" s="855"/>
      <c r="L51" s="855"/>
      <c r="M51" s="855"/>
      <c r="N51" s="855"/>
      <c r="O51" s="855"/>
      <c r="P51" s="855"/>
      <c r="Q51" s="855"/>
      <c r="R51" s="855"/>
      <c r="S51" s="855"/>
      <c r="T51" s="855"/>
      <c r="U51" s="855"/>
      <c r="V51" s="856"/>
      <c r="W51" s="865" t="s">
        <v>360</v>
      </c>
      <c r="X51" s="866"/>
      <c r="Y51" s="867"/>
      <c r="Z51" s="829" t="s">
        <v>361</v>
      </c>
      <c r="AA51" s="830"/>
      <c r="AB51" s="831"/>
      <c r="AC51" s="838"/>
      <c r="AD51" s="839"/>
      <c r="AE51" s="839"/>
      <c r="AF51" s="839"/>
      <c r="AG51" s="839"/>
      <c r="AH51" s="840"/>
    </row>
    <row r="52" spans="2:34" ht="16.5" customHeight="1" x14ac:dyDescent="0.15">
      <c r="B52" s="820"/>
      <c r="C52" s="817"/>
      <c r="D52" s="854"/>
      <c r="E52" s="855"/>
      <c r="F52" s="855"/>
      <c r="G52" s="855"/>
      <c r="H52" s="855"/>
      <c r="I52" s="855"/>
      <c r="J52" s="855"/>
      <c r="K52" s="855"/>
      <c r="L52" s="855"/>
      <c r="M52" s="855"/>
      <c r="N52" s="855"/>
      <c r="O52" s="855"/>
      <c r="P52" s="855"/>
      <c r="Q52" s="855"/>
      <c r="R52" s="855"/>
      <c r="S52" s="855"/>
      <c r="T52" s="855"/>
      <c r="U52" s="855"/>
      <c r="V52" s="856"/>
      <c r="W52" s="868"/>
      <c r="X52" s="869"/>
      <c r="Y52" s="870"/>
      <c r="Z52" s="829" t="s">
        <v>362</v>
      </c>
      <c r="AA52" s="830"/>
      <c r="AB52" s="831"/>
      <c r="AC52" s="832"/>
      <c r="AD52" s="833"/>
      <c r="AE52" s="833"/>
      <c r="AF52" s="833"/>
      <c r="AG52" s="833"/>
      <c r="AH52" s="834"/>
    </row>
    <row r="53" spans="2:34" ht="16.5" customHeight="1" x14ac:dyDescent="0.15">
      <c r="B53" s="820"/>
      <c r="C53" s="817"/>
      <c r="D53" s="854"/>
      <c r="E53" s="855"/>
      <c r="F53" s="855"/>
      <c r="G53" s="855"/>
      <c r="H53" s="855"/>
      <c r="I53" s="855"/>
      <c r="J53" s="855"/>
      <c r="K53" s="855"/>
      <c r="L53" s="855"/>
      <c r="M53" s="855"/>
      <c r="N53" s="855"/>
      <c r="O53" s="855"/>
      <c r="P53" s="855"/>
      <c r="Q53" s="855"/>
      <c r="R53" s="855"/>
      <c r="S53" s="855"/>
      <c r="T53" s="855"/>
      <c r="U53" s="855"/>
      <c r="V53" s="856"/>
      <c r="W53" s="868"/>
      <c r="X53" s="869"/>
      <c r="Y53" s="870"/>
      <c r="Z53" s="829" t="s">
        <v>363</v>
      </c>
      <c r="AA53" s="830"/>
      <c r="AB53" s="831"/>
      <c r="AC53" s="832"/>
      <c r="AD53" s="833"/>
      <c r="AE53" s="833"/>
      <c r="AF53" s="833"/>
      <c r="AG53" s="833"/>
      <c r="AH53" s="834"/>
    </row>
    <row r="54" spans="2:34" ht="16.5" customHeight="1" x14ac:dyDescent="0.15">
      <c r="B54" s="820"/>
      <c r="C54" s="817"/>
      <c r="D54" s="854"/>
      <c r="E54" s="855"/>
      <c r="F54" s="855"/>
      <c r="G54" s="855"/>
      <c r="H54" s="855"/>
      <c r="I54" s="855"/>
      <c r="J54" s="855"/>
      <c r="K54" s="855"/>
      <c r="L54" s="855"/>
      <c r="M54" s="855"/>
      <c r="N54" s="855"/>
      <c r="O54" s="855"/>
      <c r="P54" s="855"/>
      <c r="Q54" s="855"/>
      <c r="R54" s="855"/>
      <c r="S54" s="855"/>
      <c r="T54" s="855"/>
      <c r="U54" s="855"/>
      <c r="V54" s="856"/>
      <c r="W54" s="871"/>
      <c r="X54" s="872"/>
      <c r="Y54" s="873"/>
      <c r="Z54" s="829" t="s">
        <v>364</v>
      </c>
      <c r="AA54" s="830"/>
      <c r="AB54" s="831"/>
      <c r="AC54" s="823"/>
      <c r="AD54" s="824"/>
      <c r="AE54" s="824"/>
      <c r="AF54" s="824"/>
      <c r="AG54" s="824"/>
      <c r="AH54" s="825"/>
    </row>
    <row r="55" spans="2:34" ht="16.5" customHeight="1" x14ac:dyDescent="0.15">
      <c r="B55" s="820"/>
      <c r="C55" s="817"/>
      <c r="D55" s="854"/>
      <c r="E55" s="855"/>
      <c r="F55" s="855"/>
      <c r="G55" s="855"/>
      <c r="H55" s="855"/>
      <c r="I55" s="855"/>
      <c r="J55" s="855"/>
      <c r="K55" s="855"/>
      <c r="L55" s="855"/>
      <c r="M55" s="855"/>
      <c r="N55" s="855"/>
      <c r="O55" s="855"/>
      <c r="P55" s="855"/>
      <c r="Q55" s="855"/>
      <c r="R55" s="855"/>
      <c r="S55" s="855"/>
      <c r="T55" s="855"/>
      <c r="U55" s="855"/>
      <c r="V55" s="856"/>
      <c r="W55" s="861" t="s">
        <v>365</v>
      </c>
      <c r="X55" s="862"/>
      <c r="Y55" s="863"/>
      <c r="Z55" s="829" t="s">
        <v>366</v>
      </c>
      <c r="AA55" s="830"/>
      <c r="AB55" s="831"/>
      <c r="AC55" s="835"/>
      <c r="AD55" s="836"/>
      <c r="AE55" s="836"/>
      <c r="AF55" s="836"/>
      <c r="AG55" s="836"/>
      <c r="AH55" s="837"/>
    </row>
    <row r="56" spans="2:34" ht="16.5" customHeight="1" x14ac:dyDescent="0.15">
      <c r="B56" s="820"/>
      <c r="C56" s="817"/>
      <c r="D56" s="854"/>
      <c r="E56" s="855"/>
      <c r="F56" s="855"/>
      <c r="G56" s="855"/>
      <c r="H56" s="855"/>
      <c r="I56" s="855"/>
      <c r="J56" s="855"/>
      <c r="K56" s="855"/>
      <c r="L56" s="855"/>
      <c r="M56" s="855"/>
      <c r="N56" s="855"/>
      <c r="O56" s="855"/>
      <c r="P56" s="855"/>
      <c r="Q56" s="855"/>
      <c r="R56" s="855"/>
      <c r="S56" s="855"/>
      <c r="T56" s="855"/>
      <c r="U56" s="855"/>
      <c r="V56" s="856"/>
      <c r="W56" s="861"/>
      <c r="X56" s="862"/>
      <c r="Y56" s="863"/>
      <c r="Z56" s="829" t="s">
        <v>367</v>
      </c>
      <c r="AA56" s="830"/>
      <c r="AB56" s="831"/>
      <c r="AC56" s="835"/>
      <c r="AD56" s="836"/>
      <c r="AE56" s="836"/>
      <c r="AF56" s="836"/>
      <c r="AG56" s="836"/>
      <c r="AH56" s="837"/>
    </row>
    <row r="57" spans="2:34" ht="16.5" customHeight="1" thickBot="1" x14ac:dyDescent="0.2">
      <c r="B57" s="821"/>
      <c r="C57" s="822"/>
      <c r="D57" s="857"/>
      <c r="E57" s="858"/>
      <c r="F57" s="858"/>
      <c r="G57" s="858"/>
      <c r="H57" s="858"/>
      <c r="I57" s="858"/>
      <c r="J57" s="858"/>
      <c r="K57" s="858"/>
      <c r="L57" s="858"/>
      <c r="M57" s="858"/>
      <c r="N57" s="858"/>
      <c r="O57" s="858"/>
      <c r="P57" s="858"/>
      <c r="Q57" s="858"/>
      <c r="R57" s="858"/>
      <c r="S57" s="858"/>
      <c r="T57" s="858"/>
      <c r="U57" s="858"/>
      <c r="V57" s="859"/>
      <c r="W57" s="874"/>
      <c r="X57" s="875"/>
      <c r="Y57" s="876"/>
      <c r="Z57" s="841" t="s">
        <v>306</v>
      </c>
      <c r="AA57" s="842"/>
      <c r="AB57" s="843"/>
      <c r="AC57" s="844"/>
      <c r="AD57" s="845"/>
      <c r="AE57" s="845"/>
      <c r="AF57" s="845"/>
      <c r="AG57" s="845"/>
      <c r="AH57" s="846"/>
    </row>
    <row r="58" spans="2:34" ht="12" customHeight="1" x14ac:dyDescent="0.15">
      <c r="AH58" s="424"/>
    </row>
  </sheetData>
  <mergeCells count="167">
    <mergeCell ref="J7:O7"/>
    <mergeCell ref="B8:O8"/>
    <mergeCell ref="B9:O9"/>
    <mergeCell ref="P1:R1"/>
    <mergeCell ref="P2:R2"/>
    <mergeCell ref="V3:X7"/>
    <mergeCell ref="S3:U7"/>
    <mergeCell ref="P3:R7"/>
    <mergeCell ref="B1:G5"/>
    <mergeCell ref="H1:O5"/>
    <mergeCell ref="B6:I6"/>
    <mergeCell ref="J6:O6"/>
    <mergeCell ref="B7:I7"/>
    <mergeCell ref="P8:T8"/>
    <mergeCell ref="Y1:AH1"/>
    <mergeCell ref="V1:X1"/>
    <mergeCell ref="V2:X2"/>
    <mergeCell ref="S1:U1"/>
    <mergeCell ref="S2:U2"/>
    <mergeCell ref="Y2:AB2"/>
    <mergeCell ref="AC4:AE7"/>
    <mergeCell ref="AF4:AH7"/>
    <mergeCell ref="Y3:AB7"/>
    <mergeCell ref="AF2:AH2"/>
    <mergeCell ref="AF3:AH3"/>
    <mergeCell ref="AC2:AE2"/>
    <mergeCell ref="AC3:AE3"/>
    <mergeCell ref="AG8:AH8"/>
    <mergeCell ref="U8:W8"/>
    <mergeCell ref="X8:Z8"/>
    <mergeCell ref="AA8:AC8"/>
    <mergeCell ref="AA9:AC9"/>
    <mergeCell ref="AD9:AF9"/>
    <mergeCell ref="U9:W9"/>
    <mergeCell ref="X9:Z9"/>
    <mergeCell ref="AD8:AF8"/>
    <mergeCell ref="AG9:AH9"/>
    <mergeCell ref="B12:E12"/>
    <mergeCell ref="B14:E15"/>
    <mergeCell ref="B11:E11"/>
    <mergeCell ref="O14:R14"/>
    <mergeCell ref="F15:I15"/>
    <mergeCell ref="R12:X12"/>
    <mergeCell ref="S15:V15"/>
    <mergeCell ref="S25:V25"/>
    <mergeCell ref="O12:Q12"/>
    <mergeCell ref="J24:N24"/>
    <mergeCell ref="B35:D35"/>
    <mergeCell ref="O35:Q35"/>
    <mergeCell ref="F35:N35"/>
    <mergeCell ref="P9:T9"/>
    <mergeCell ref="B21:E21"/>
    <mergeCell ref="B22:E22"/>
    <mergeCell ref="B31:D32"/>
    <mergeCell ref="F32:N32"/>
    <mergeCell ref="B37:E37"/>
    <mergeCell ref="F37:N37"/>
    <mergeCell ref="F11:I11"/>
    <mergeCell ref="J15:N15"/>
    <mergeCell ref="F14:I14"/>
    <mergeCell ref="J14:N14"/>
    <mergeCell ref="F12:N12"/>
    <mergeCell ref="B16:E16"/>
    <mergeCell ref="F16:AH16"/>
    <mergeCell ref="B30:AH30"/>
    <mergeCell ref="B17:E17"/>
    <mergeCell ref="B18:E18"/>
    <mergeCell ref="B19:D20"/>
    <mergeCell ref="AA25:AD25"/>
    <mergeCell ref="W25:Z25"/>
    <mergeCell ref="B24:E25"/>
    <mergeCell ref="B27:D28"/>
    <mergeCell ref="O25:R25"/>
    <mergeCell ref="W14:AH14"/>
    <mergeCell ref="S14:V14"/>
    <mergeCell ref="W15:AH15"/>
    <mergeCell ref="O15:R15"/>
    <mergeCell ref="F22:AH22"/>
    <mergeCell ref="W21:Z21"/>
    <mergeCell ref="AA21:AH21"/>
    <mergeCell ref="F21:N21"/>
    <mergeCell ref="F17:AH17"/>
    <mergeCell ref="F19:AH19"/>
    <mergeCell ref="F20:AH20"/>
    <mergeCell ref="F18:N18"/>
    <mergeCell ref="O18:Q18"/>
    <mergeCell ref="R18:AH18"/>
    <mergeCell ref="S21:V21"/>
    <mergeCell ref="O21:R21"/>
    <mergeCell ref="F25:I25"/>
    <mergeCell ref="J25:N25"/>
    <mergeCell ref="AE25:AH25"/>
    <mergeCell ref="F27:N27"/>
    <mergeCell ref="F28:N28"/>
    <mergeCell ref="F24:I24"/>
    <mergeCell ref="R33:V33"/>
    <mergeCell ref="W33:Y33"/>
    <mergeCell ref="R32:AH32"/>
    <mergeCell ref="R35:AH35"/>
    <mergeCell ref="AE24:AH24"/>
    <mergeCell ref="S24:V24"/>
    <mergeCell ref="AA24:AD24"/>
    <mergeCell ref="W24:Z24"/>
    <mergeCell ref="O24:R24"/>
    <mergeCell ref="F31:AH31"/>
    <mergeCell ref="O32:Q32"/>
    <mergeCell ref="O28:Q28"/>
    <mergeCell ref="R28:AH28"/>
    <mergeCell ref="F33:N33"/>
    <mergeCell ref="Z34:AH34"/>
    <mergeCell ref="Z46:AB46"/>
    <mergeCell ref="AC40:AH40"/>
    <mergeCell ref="AC41:AH41"/>
    <mergeCell ref="AC42:AH42"/>
    <mergeCell ref="Z43:AB43"/>
    <mergeCell ref="Z44:AB44"/>
    <mergeCell ref="R37:V37"/>
    <mergeCell ref="D38:AH38"/>
    <mergeCell ref="AC39:AH39"/>
    <mergeCell ref="AC43:AH43"/>
    <mergeCell ref="Z37:AH37"/>
    <mergeCell ref="Z39:AB39"/>
    <mergeCell ref="Z40:AB40"/>
    <mergeCell ref="Z41:AB41"/>
    <mergeCell ref="Z42:AB42"/>
    <mergeCell ref="D39:V57"/>
    <mergeCell ref="W39:Y42"/>
    <mergeCell ref="W43:Y50"/>
    <mergeCell ref="W51:Y54"/>
    <mergeCell ref="W55:Y57"/>
    <mergeCell ref="W37:Y37"/>
    <mergeCell ref="O37:Q37"/>
    <mergeCell ref="AC47:AH47"/>
    <mergeCell ref="AC48:AH48"/>
    <mergeCell ref="AC50:AH50"/>
    <mergeCell ref="Z56:AB56"/>
    <mergeCell ref="Z57:AB57"/>
    <mergeCell ref="AC55:AH55"/>
    <mergeCell ref="AC56:AH56"/>
    <mergeCell ref="AC57:AH57"/>
    <mergeCell ref="Z49:AB49"/>
    <mergeCell ref="Z50:AB50"/>
    <mergeCell ref="Z53:AB53"/>
    <mergeCell ref="B33:D34"/>
    <mergeCell ref="F34:N34"/>
    <mergeCell ref="O34:Q34"/>
    <mergeCell ref="R34:V34"/>
    <mergeCell ref="W34:Y34"/>
    <mergeCell ref="Z33:AH33"/>
    <mergeCell ref="O33:Q33"/>
    <mergeCell ref="B38:C38"/>
    <mergeCell ref="B39:C57"/>
    <mergeCell ref="AC44:AH44"/>
    <mergeCell ref="AC45:AH45"/>
    <mergeCell ref="Z45:AB45"/>
    <mergeCell ref="Z55:AB55"/>
    <mergeCell ref="AC52:AH52"/>
    <mergeCell ref="AC53:AH53"/>
    <mergeCell ref="AC54:AH54"/>
    <mergeCell ref="Z54:AB54"/>
    <mergeCell ref="Z52:AB52"/>
    <mergeCell ref="Z47:AB47"/>
    <mergeCell ref="Z48:AB48"/>
    <mergeCell ref="Z51:AB51"/>
    <mergeCell ref="AC49:AH49"/>
    <mergeCell ref="AC51:AH51"/>
    <mergeCell ref="AC46:AH46"/>
  </mergeCells>
  <phoneticPr fontId="23"/>
  <pageMargins left="0.43307086614173229" right="0.43307086614173229" top="0.56999999999999995" bottom="0.31496062992125984" header="0.32" footer="0.19685039370078741"/>
  <pageSetup paperSize="9" scale="50" orientation="portrait" r:id="rId1"/>
  <headerFooter alignWithMargins="0">
    <oddHeader>&amp;L&amp;16【営業秘密】</oddHeader>
    <oddFooter>&amp;R（様式2011.10）</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BX9"/>
  <sheetViews>
    <sheetView showGridLines="0" topLeftCell="W1" zoomScale="70" zoomScaleNormal="70" workbookViewId="0">
      <pane ySplit="7" topLeftCell="A29" activePane="bottomLeft" state="frozen"/>
      <selection pane="bottomLeft" sqref="A1:B2"/>
    </sheetView>
  </sheetViews>
  <sheetFormatPr defaultColWidth="8" defaultRowHeight="14.1" customHeight="1" outlineLevelCol="1" x14ac:dyDescent="0.15"/>
  <cols>
    <col min="1" max="2" width="9.375" style="344" customWidth="1"/>
    <col min="3" max="3" width="15.125" style="344" customWidth="1"/>
    <col min="4" max="4" width="10.75" style="344" customWidth="1"/>
    <col min="5" max="8" width="9.375" style="344" customWidth="1"/>
    <col min="9" max="10" width="14" style="344" hidden="1" customWidth="1" outlineLevel="1"/>
    <col min="11" max="11" width="9.375" style="344" customWidth="1" collapsed="1"/>
    <col min="12" max="12" width="9.375" style="343" customWidth="1"/>
    <col min="13" max="13" width="12.125" style="343" customWidth="1"/>
    <col min="14" max="14" width="10.25" style="343" customWidth="1"/>
    <col min="15" max="15" width="12.75" style="343" hidden="1" customWidth="1" outlineLevel="1"/>
    <col min="16" max="16" width="9.375" style="343" customWidth="1" collapsed="1"/>
    <col min="17" max="17" width="9.375" style="343" customWidth="1"/>
    <col min="18" max="18" width="19.75" style="343" customWidth="1"/>
    <col min="19" max="19" width="24.625" style="343" customWidth="1"/>
    <col min="20" max="20" width="11.625" style="343" customWidth="1"/>
    <col min="21" max="21" width="12.5" style="343" hidden="1" customWidth="1" outlineLevel="1"/>
    <col min="22" max="22" width="11.75" style="343" customWidth="1" collapsed="1"/>
    <col min="23" max="23" width="17.625" style="343" customWidth="1"/>
    <col min="24" max="24" width="13.5" style="343" hidden="1" customWidth="1" outlineLevel="1"/>
    <col min="25" max="25" width="16.625" style="343" customWidth="1" collapsed="1"/>
    <col min="26" max="26" width="16.75" style="343" customWidth="1"/>
    <col min="27" max="27" width="16.75" style="343" hidden="1" customWidth="1" outlineLevel="1"/>
    <col min="28" max="28" width="16.625" style="343" customWidth="1" collapsed="1"/>
    <col min="29" max="29" width="16.75" style="343" customWidth="1"/>
    <col min="30" max="30" width="16.75" style="343" hidden="1" customWidth="1" outlineLevel="1"/>
    <col min="31" max="31" width="13.125" style="343" customWidth="1" collapsed="1"/>
    <col min="32" max="32" width="21.875" style="343" hidden="1" customWidth="1" outlineLevel="1"/>
    <col min="33" max="33" width="17.5" style="343" customWidth="1" collapsed="1"/>
    <col min="34" max="34" width="15.875" style="344" customWidth="1"/>
    <col min="35" max="35" width="15.25" style="344" customWidth="1"/>
    <col min="36" max="37" width="11.5" style="344" customWidth="1"/>
    <col min="38" max="38" width="9.375" style="344" hidden="1" customWidth="1" outlineLevel="1"/>
    <col min="39" max="39" width="9.375" style="344" customWidth="1" collapsed="1"/>
    <col min="40" max="41" width="18.125" style="343" hidden="1" customWidth="1" outlineLevel="1"/>
    <col min="42" max="42" width="18.125" style="345" hidden="1" customWidth="1" outlineLevel="1"/>
    <col min="43" max="54" width="18.125" style="343" hidden="1" customWidth="1" outlineLevel="1"/>
    <col min="55" max="55" width="8" style="343" customWidth="1" collapsed="1"/>
    <col min="56" max="16384" width="8" style="343"/>
  </cols>
  <sheetData>
    <row r="1" spans="1:76" ht="16.5" customHeight="1" x14ac:dyDescent="0.15">
      <c r="A1" s="1013" t="s">
        <v>727</v>
      </c>
      <c r="B1" s="1013"/>
      <c r="C1" s="1014" t="s">
        <v>368</v>
      </c>
      <c r="D1" s="1015"/>
      <c r="E1" s="1015"/>
      <c r="F1" s="1015"/>
      <c r="G1" s="1016"/>
      <c r="H1" s="1013" t="s">
        <v>465</v>
      </c>
      <c r="I1" s="1013"/>
      <c r="J1" s="1013"/>
      <c r="K1" s="1013"/>
      <c r="L1" s="1013"/>
      <c r="M1" s="1013"/>
      <c r="N1" s="1013" t="s">
        <v>466</v>
      </c>
      <c r="O1" s="1013"/>
      <c r="P1" s="1013"/>
      <c r="Q1" s="1013"/>
      <c r="R1" s="1013"/>
      <c r="S1" s="1013" t="s">
        <v>310</v>
      </c>
      <c r="T1" s="1013"/>
      <c r="U1" s="1013"/>
      <c r="V1" s="1013"/>
      <c r="W1" s="1013"/>
      <c r="X1" s="342"/>
      <c r="Y1" s="1013" t="s">
        <v>311</v>
      </c>
      <c r="Z1" s="1013"/>
    </row>
    <row r="2" spans="1:76" ht="16.5" customHeight="1" x14ac:dyDescent="0.15">
      <c r="A2" s="1013"/>
      <c r="B2" s="1013"/>
      <c r="C2" s="1017"/>
      <c r="D2" s="1018"/>
      <c r="E2" s="1018"/>
      <c r="F2" s="1018"/>
      <c r="G2" s="1019"/>
      <c r="H2" s="1013"/>
      <c r="I2" s="1013"/>
      <c r="J2" s="1013"/>
      <c r="K2" s="1013"/>
      <c r="L2" s="1013"/>
      <c r="M2" s="1013"/>
      <c r="N2" s="1013"/>
      <c r="O2" s="1013"/>
      <c r="P2" s="1013"/>
      <c r="Q2" s="1013"/>
      <c r="R2" s="1013"/>
      <c r="S2" s="1013"/>
      <c r="T2" s="1013"/>
      <c r="U2" s="1013"/>
      <c r="V2" s="1013"/>
      <c r="W2" s="1013"/>
      <c r="X2" s="342"/>
      <c r="Y2" s="1013"/>
      <c r="Z2" s="1013"/>
      <c r="AB2" s="534"/>
      <c r="AC2" s="534"/>
      <c r="AD2" s="534"/>
      <c r="AE2" s="534"/>
      <c r="AF2" s="535"/>
      <c r="AG2" s="535"/>
      <c r="AH2" s="535"/>
      <c r="AI2" s="535"/>
      <c r="AJ2" s="535"/>
      <c r="AK2" s="534"/>
      <c r="AL2" s="534"/>
      <c r="AM2" s="536"/>
      <c r="AN2" s="534"/>
      <c r="AO2" s="534"/>
      <c r="AP2" s="534"/>
      <c r="AQ2" s="534"/>
      <c r="AR2" s="534"/>
      <c r="AS2" s="534"/>
      <c r="AT2" s="534"/>
      <c r="AU2" s="534"/>
      <c r="AV2" s="534"/>
    </row>
    <row r="3" spans="1:76" ht="3" customHeight="1" x14ac:dyDescent="0.15">
      <c r="BD3" s="534" t="s">
        <v>728</v>
      </c>
      <c r="BE3" s="534" t="s">
        <v>729</v>
      </c>
      <c r="BF3" s="534" t="s">
        <v>730</v>
      </c>
      <c r="BG3" s="534" t="s">
        <v>731</v>
      </c>
      <c r="BH3" s="535" t="s">
        <v>732</v>
      </c>
      <c r="BI3" s="535" t="s">
        <v>733</v>
      </c>
      <c r="BJ3" s="535" t="s">
        <v>734</v>
      </c>
      <c r="BK3" s="535" t="s">
        <v>735</v>
      </c>
      <c r="BL3" s="535" t="s">
        <v>736</v>
      </c>
      <c r="BM3" s="534" t="s">
        <v>737</v>
      </c>
      <c r="BN3" s="534" t="s">
        <v>738</v>
      </c>
      <c r="BO3" s="536" t="s">
        <v>739</v>
      </c>
      <c r="BP3" s="534" t="s">
        <v>740</v>
      </c>
      <c r="BQ3" s="534" t="s">
        <v>741</v>
      </c>
      <c r="BR3" s="534" t="s">
        <v>742</v>
      </c>
      <c r="BS3" s="534" t="s">
        <v>743</v>
      </c>
      <c r="BT3" s="534" t="s">
        <v>744</v>
      </c>
      <c r="BU3" s="534" t="s">
        <v>745</v>
      </c>
      <c r="BV3" s="534" t="s">
        <v>746</v>
      </c>
      <c r="BW3" s="534" t="s">
        <v>747</v>
      </c>
      <c r="BX3" s="534" t="s">
        <v>748</v>
      </c>
    </row>
    <row r="4" spans="1:76" s="352" customFormat="1" ht="14.1" customHeight="1" x14ac:dyDescent="0.15">
      <c r="A4" s="346"/>
      <c r="B4" s="347"/>
      <c r="C4" s="997" t="s">
        <v>369</v>
      </c>
      <c r="D4" s="998"/>
      <c r="E4" s="998"/>
      <c r="F4" s="998"/>
      <c r="G4" s="999" t="s">
        <v>370</v>
      </c>
      <c r="H4" s="1000"/>
      <c r="I4" s="1000"/>
      <c r="J4" s="1000"/>
      <c r="K4" s="1001"/>
      <c r="L4" s="1002" t="s">
        <v>371</v>
      </c>
      <c r="M4" s="1003"/>
      <c r="N4" s="1003"/>
      <c r="O4" s="1003"/>
      <c r="P4" s="1003"/>
      <c r="Q4" s="1003"/>
      <c r="R4" s="1004"/>
      <c r="S4" s="1005" t="s">
        <v>372</v>
      </c>
      <c r="T4" s="1006"/>
      <c r="U4" s="1006"/>
      <c r="V4" s="1006"/>
      <c r="W4" s="1006"/>
      <c r="X4" s="1006"/>
      <c r="Y4" s="1006"/>
      <c r="Z4" s="1006"/>
      <c r="AA4" s="1006"/>
      <c r="AB4" s="1006"/>
      <c r="AC4" s="1006"/>
      <c r="AD4" s="1006"/>
      <c r="AE4" s="1006"/>
      <c r="AF4" s="1006"/>
      <c r="AG4" s="1007"/>
      <c r="AH4" s="1008" t="s">
        <v>373</v>
      </c>
      <c r="AI4" s="1009"/>
      <c r="AJ4" s="1009"/>
      <c r="AK4" s="1009"/>
      <c r="AL4" s="1009"/>
      <c r="AM4" s="1010"/>
      <c r="AN4" s="348"/>
      <c r="AO4" s="349"/>
      <c r="AP4" s="350"/>
      <c r="AQ4" s="351"/>
      <c r="AR4" s="351"/>
      <c r="AS4" s="1011"/>
      <c r="AT4" s="1011"/>
      <c r="AU4" s="1011"/>
      <c r="AV4" s="1011"/>
      <c r="AW4" s="1011"/>
      <c r="AX4" s="1011"/>
      <c r="AY4" s="1011"/>
      <c r="AZ4" s="1011"/>
      <c r="BA4" s="1011"/>
      <c r="BB4" s="1012"/>
    </row>
    <row r="5" spans="1:76" s="352" customFormat="1" ht="14.1" customHeight="1" x14ac:dyDescent="0.15">
      <c r="A5" s="353"/>
      <c r="B5" s="354"/>
      <c r="C5" s="355"/>
      <c r="D5" s="356"/>
      <c r="E5" s="537"/>
      <c r="F5" s="356"/>
      <c r="G5" s="357"/>
      <c r="H5" s="358" t="s">
        <v>142</v>
      </c>
      <c r="I5" s="359"/>
      <c r="J5" s="359"/>
      <c r="K5" s="360"/>
      <c r="L5" s="361"/>
      <c r="M5" s="362"/>
      <c r="N5" s="363" t="s">
        <v>749</v>
      </c>
      <c r="O5" s="364"/>
      <c r="P5" s="362"/>
      <c r="Q5" s="362"/>
      <c r="R5" s="365"/>
      <c r="S5" s="366" t="s">
        <v>749</v>
      </c>
      <c r="T5" s="367"/>
      <c r="U5" s="368"/>
      <c r="V5" s="369" t="s">
        <v>374</v>
      </c>
      <c r="W5" s="367"/>
      <c r="X5" s="370"/>
      <c r="Y5" s="990" t="s">
        <v>750</v>
      </c>
      <c r="Z5" s="991"/>
      <c r="AA5" s="533"/>
      <c r="AB5" s="533"/>
      <c r="AC5" s="533"/>
      <c r="AD5" s="533"/>
      <c r="AE5" s="369" t="s">
        <v>375</v>
      </c>
      <c r="AF5" s="370"/>
      <c r="AG5" s="371"/>
      <c r="AH5" s="372"/>
      <c r="AI5" s="373"/>
      <c r="AJ5" s="373" t="s">
        <v>376</v>
      </c>
      <c r="AK5" s="992" t="s">
        <v>377</v>
      </c>
      <c r="AL5" s="993"/>
      <c r="AM5" s="994"/>
      <c r="AN5" s="374"/>
      <c r="AO5" s="349"/>
      <c r="AP5" s="375"/>
      <c r="AQ5" s="349"/>
      <c r="AR5" s="349"/>
      <c r="AS5" s="995" t="s">
        <v>239</v>
      </c>
      <c r="AT5" s="995"/>
      <c r="AU5" s="995"/>
      <c r="AV5" s="995"/>
      <c r="AW5" s="995"/>
      <c r="AX5" s="995"/>
      <c r="AY5" s="995"/>
      <c r="AZ5" s="995"/>
      <c r="BA5" s="995"/>
      <c r="BB5" s="996"/>
    </row>
    <row r="6" spans="1:76" s="401" customFormat="1" ht="23.25" customHeight="1" x14ac:dyDescent="0.15">
      <c r="A6" s="376" t="s">
        <v>751</v>
      </c>
      <c r="B6" s="377" t="s">
        <v>330</v>
      </c>
      <c r="C6" s="378" t="s">
        <v>378</v>
      </c>
      <c r="D6" s="379" t="s">
        <v>379</v>
      </c>
      <c r="E6" s="538" t="s">
        <v>240</v>
      </c>
      <c r="F6" s="381" t="s">
        <v>143</v>
      </c>
      <c r="G6" s="382" t="s">
        <v>380</v>
      </c>
      <c r="H6" s="383" t="s">
        <v>378</v>
      </c>
      <c r="I6" s="384" t="s">
        <v>144</v>
      </c>
      <c r="J6" s="384" t="s">
        <v>145</v>
      </c>
      <c r="K6" s="385" t="s">
        <v>752</v>
      </c>
      <c r="L6" s="386" t="s">
        <v>753</v>
      </c>
      <c r="M6" s="387" t="s">
        <v>146</v>
      </c>
      <c r="N6" s="387" t="s">
        <v>381</v>
      </c>
      <c r="O6" s="388" t="s">
        <v>147</v>
      </c>
      <c r="P6" s="389" t="s">
        <v>622</v>
      </c>
      <c r="Q6" s="389" t="s">
        <v>623</v>
      </c>
      <c r="R6" s="390" t="s">
        <v>754</v>
      </c>
      <c r="S6" s="391" t="s">
        <v>334</v>
      </c>
      <c r="T6" s="392" t="s">
        <v>148</v>
      </c>
      <c r="U6" s="393" t="s">
        <v>147</v>
      </c>
      <c r="V6" s="394" t="s">
        <v>755</v>
      </c>
      <c r="W6" s="392" t="s">
        <v>149</v>
      </c>
      <c r="X6" s="393" t="s">
        <v>147</v>
      </c>
      <c r="Y6" s="392" t="s">
        <v>640</v>
      </c>
      <c r="Z6" s="392" t="s">
        <v>382</v>
      </c>
      <c r="AA6" s="393" t="s">
        <v>147</v>
      </c>
      <c r="AB6" s="392" t="s">
        <v>624</v>
      </c>
      <c r="AC6" s="392" t="s">
        <v>641</v>
      </c>
      <c r="AD6" s="393" t="s">
        <v>147</v>
      </c>
      <c r="AE6" s="394" t="s">
        <v>756</v>
      </c>
      <c r="AF6" s="384" t="s">
        <v>150</v>
      </c>
      <c r="AG6" s="395" t="s">
        <v>757</v>
      </c>
      <c r="AH6" s="396" t="s">
        <v>151</v>
      </c>
      <c r="AI6" s="397" t="s">
        <v>383</v>
      </c>
      <c r="AJ6" s="397" t="s">
        <v>384</v>
      </c>
      <c r="AK6" s="397" t="s">
        <v>385</v>
      </c>
      <c r="AL6" s="380" t="s">
        <v>152</v>
      </c>
      <c r="AM6" s="397" t="s">
        <v>361</v>
      </c>
      <c r="AN6" s="398" t="s">
        <v>241</v>
      </c>
      <c r="AO6" s="380" t="s">
        <v>242</v>
      </c>
      <c r="AP6" s="399" t="s">
        <v>758</v>
      </c>
      <c r="AQ6" s="380" t="s">
        <v>759</v>
      </c>
      <c r="AR6" s="380" t="s">
        <v>153</v>
      </c>
      <c r="AS6" s="400" t="s">
        <v>243</v>
      </c>
      <c r="AT6" s="384" t="s">
        <v>244</v>
      </c>
      <c r="AU6" s="384" t="s">
        <v>245</v>
      </c>
      <c r="AV6" s="384" t="s">
        <v>246</v>
      </c>
      <c r="AW6" s="384" t="s">
        <v>247</v>
      </c>
      <c r="AX6" s="384" t="s">
        <v>248</v>
      </c>
      <c r="AY6" s="384" t="s">
        <v>249</v>
      </c>
      <c r="AZ6" s="384" t="s">
        <v>250</v>
      </c>
      <c r="BA6" s="384" t="s">
        <v>251</v>
      </c>
      <c r="BB6" s="384" t="s">
        <v>252</v>
      </c>
    </row>
    <row r="7" spans="1:76" s="418" customFormat="1" ht="13.5" hidden="1" customHeight="1" x14ac:dyDescent="0.15">
      <c r="A7" s="402"/>
      <c r="B7" s="403"/>
      <c r="C7" s="404"/>
      <c r="D7" s="405"/>
      <c r="E7" s="406"/>
      <c r="F7" s="407"/>
      <c r="G7" s="408"/>
      <c r="H7" s="409"/>
      <c r="I7" s="409"/>
      <c r="J7" s="409"/>
      <c r="K7" s="410"/>
      <c r="L7" s="411"/>
      <c r="M7" s="409"/>
      <c r="N7" s="409"/>
      <c r="O7" s="409"/>
      <c r="P7" s="412"/>
      <c r="Q7" s="412"/>
      <c r="R7" s="413"/>
      <c r="S7" s="409"/>
      <c r="T7" s="409"/>
      <c r="U7" s="409"/>
      <c r="V7" s="409"/>
      <c r="W7" s="409"/>
      <c r="X7" s="409"/>
      <c r="Y7" s="409"/>
      <c r="Z7" s="409"/>
      <c r="AA7" s="409"/>
      <c r="AB7" s="409"/>
      <c r="AC7" s="409"/>
      <c r="AD7" s="409"/>
      <c r="AE7" s="409"/>
      <c r="AF7" s="409"/>
      <c r="AG7" s="414"/>
      <c r="AH7" s="415"/>
      <c r="AI7" s="405"/>
      <c r="AJ7" s="406"/>
      <c r="AK7" s="406"/>
      <c r="AL7" s="406"/>
      <c r="AM7" s="409"/>
      <c r="AN7" s="416"/>
      <c r="AO7" s="417"/>
      <c r="AP7" s="405"/>
      <c r="AQ7" s="409"/>
      <c r="AR7" s="409"/>
      <c r="AS7" s="405"/>
      <c r="AT7" s="405"/>
      <c r="AU7" s="405"/>
      <c r="AV7" s="405"/>
      <c r="AW7" s="405"/>
      <c r="AX7" s="405"/>
      <c r="AY7" s="405"/>
      <c r="AZ7" s="405"/>
      <c r="BA7" s="405"/>
      <c r="BB7" s="405"/>
    </row>
    <row r="8" spans="1:76" s="156" customFormat="1" ht="48.75" customHeight="1" x14ac:dyDescent="0.15">
      <c r="A8" s="157" t="s">
        <v>154</v>
      </c>
      <c r="B8" s="158" t="s">
        <v>155</v>
      </c>
      <c r="C8" s="159" t="s">
        <v>156</v>
      </c>
      <c r="D8" s="160" t="s">
        <v>386</v>
      </c>
      <c r="E8" s="161">
        <v>39919</v>
      </c>
      <c r="F8" s="162"/>
      <c r="G8" s="163">
        <v>39918</v>
      </c>
      <c r="H8" s="158" t="s">
        <v>157</v>
      </c>
      <c r="I8" s="158" t="s">
        <v>158</v>
      </c>
      <c r="J8" s="158" t="s">
        <v>159</v>
      </c>
      <c r="K8" s="164" t="s">
        <v>160</v>
      </c>
      <c r="L8" s="165" t="s">
        <v>161</v>
      </c>
      <c r="M8" s="158" t="s">
        <v>162</v>
      </c>
      <c r="N8" s="158" t="s">
        <v>163</v>
      </c>
      <c r="O8" s="158"/>
      <c r="P8" s="166">
        <v>3</v>
      </c>
      <c r="Q8" s="166">
        <v>1</v>
      </c>
      <c r="R8" s="167" t="s">
        <v>387</v>
      </c>
      <c r="S8" s="158" t="s">
        <v>164</v>
      </c>
      <c r="T8" s="158" t="s">
        <v>165</v>
      </c>
      <c r="U8" s="158"/>
      <c r="V8" s="158" t="s">
        <v>166</v>
      </c>
      <c r="W8" s="158" t="s">
        <v>167</v>
      </c>
      <c r="X8" s="158"/>
      <c r="Y8" s="158" t="s">
        <v>168</v>
      </c>
      <c r="Z8" s="158" t="s">
        <v>169</v>
      </c>
      <c r="AA8" s="158"/>
      <c r="AB8" s="158" t="s">
        <v>283</v>
      </c>
      <c r="AC8" s="158" t="s">
        <v>275</v>
      </c>
      <c r="AD8" s="168" t="s">
        <v>171</v>
      </c>
      <c r="AE8" s="158" t="s">
        <v>170</v>
      </c>
      <c r="AF8" s="160" t="s">
        <v>386</v>
      </c>
      <c r="AG8" s="168" t="s">
        <v>171</v>
      </c>
      <c r="AH8" s="169" t="s">
        <v>172</v>
      </c>
      <c r="AI8" s="160" t="s">
        <v>386</v>
      </c>
      <c r="AJ8" s="161">
        <v>39933</v>
      </c>
      <c r="AK8" s="161"/>
      <c r="AL8" s="419"/>
      <c r="AM8" s="420"/>
      <c r="AN8" s="170" t="s">
        <v>173</v>
      </c>
      <c r="AO8" s="158" t="s">
        <v>174</v>
      </c>
      <c r="AP8" s="160"/>
      <c r="AQ8" s="160"/>
      <c r="AR8" s="160"/>
      <c r="AS8" s="160"/>
      <c r="AT8" s="160"/>
      <c r="AU8" s="160"/>
      <c r="AV8" s="160"/>
      <c r="AW8" s="160"/>
      <c r="AX8" s="160"/>
      <c r="AY8" s="160"/>
      <c r="AZ8" s="160"/>
      <c r="BA8" s="160"/>
      <c r="BB8" s="160"/>
    </row>
    <row r="9" spans="1:76" s="156" customFormat="1" ht="36" x14ac:dyDescent="0.15">
      <c r="A9" s="157" t="s">
        <v>388</v>
      </c>
      <c r="B9" s="158" t="s">
        <v>175</v>
      </c>
      <c r="C9" s="159" t="s">
        <v>176</v>
      </c>
      <c r="D9" s="160" t="s">
        <v>386</v>
      </c>
      <c r="E9" s="161">
        <v>39919</v>
      </c>
      <c r="F9" s="162"/>
      <c r="G9" s="163">
        <v>39917</v>
      </c>
      <c r="H9" s="158" t="s">
        <v>157</v>
      </c>
      <c r="I9" s="158" t="s">
        <v>158</v>
      </c>
      <c r="J9" s="158" t="s">
        <v>159</v>
      </c>
      <c r="K9" s="164" t="s">
        <v>141</v>
      </c>
      <c r="L9" s="165" t="s">
        <v>161</v>
      </c>
      <c r="M9" s="158" t="s">
        <v>177</v>
      </c>
      <c r="N9" s="158" t="s">
        <v>178</v>
      </c>
      <c r="O9" s="158"/>
      <c r="P9" s="166">
        <v>2</v>
      </c>
      <c r="Q9" s="166">
        <v>3</v>
      </c>
      <c r="R9" s="167" t="s">
        <v>389</v>
      </c>
      <c r="S9" s="158" t="s">
        <v>179</v>
      </c>
      <c r="T9" s="158" t="s">
        <v>165</v>
      </c>
      <c r="U9" s="158"/>
      <c r="V9" s="158" t="s">
        <v>180</v>
      </c>
      <c r="W9" s="158" t="s">
        <v>181</v>
      </c>
      <c r="X9" s="158"/>
      <c r="Y9" s="158" t="s">
        <v>160</v>
      </c>
      <c r="Z9" s="158" t="s">
        <v>182</v>
      </c>
      <c r="AA9" s="158"/>
      <c r="AB9" s="158" t="s">
        <v>253</v>
      </c>
      <c r="AC9" s="158" t="s">
        <v>278</v>
      </c>
      <c r="AD9" s="168" t="s">
        <v>183</v>
      </c>
      <c r="AE9" s="158" t="s">
        <v>170</v>
      </c>
      <c r="AF9" s="160" t="s">
        <v>386</v>
      </c>
      <c r="AG9" s="168" t="s">
        <v>183</v>
      </c>
      <c r="AH9" s="169" t="s">
        <v>172</v>
      </c>
      <c r="AI9" s="160" t="s">
        <v>386</v>
      </c>
      <c r="AJ9" s="161">
        <v>39934</v>
      </c>
      <c r="AK9" s="161"/>
      <c r="AL9" s="419"/>
      <c r="AM9" s="420"/>
      <c r="AN9" s="170" t="s">
        <v>173</v>
      </c>
      <c r="AO9" s="158" t="s">
        <v>174</v>
      </c>
      <c r="AP9" s="160"/>
      <c r="AQ9" s="160"/>
      <c r="AR9" s="160"/>
      <c r="AS9" s="160"/>
      <c r="AT9" s="160"/>
      <c r="AU9" s="160"/>
      <c r="AV9" s="160"/>
      <c r="AW9" s="160"/>
      <c r="AX9" s="160"/>
      <c r="AY9" s="160"/>
      <c r="AZ9" s="160"/>
      <c r="BA9" s="160"/>
      <c r="BB9" s="160"/>
    </row>
  </sheetData>
  <mergeCells count="19">
    <mergeCell ref="Y1:Z1"/>
    <mergeCell ref="H2:M2"/>
    <mergeCell ref="N2:R2"/>
    <mergeCell ref="S2:W2"/>
    <mergeCell ref="Y2:Z2"/>
    <mergeCell ref="A1:B2"/>
    <mergeCell ref="C1:G2"/>
    <mergeCell ref="H1:M1"/>
    <mergeCell ref="N1:R1"/>
    <mergeCell ref="S1:W1"/>
    <mergeCell ref="Y5:Z5"/>
    <mergeCell ref="AK5:AM5"/>
    <mergeCell ref="AS5:BB5"/>
    <mergeCell ref="C4:F4"/>
    <mergeCell ref="G4:K4"/>
    <mergeCell ref="L4:R4"/>
    <mergeCell ref="S4:AG4"/>
    <mergeCell ref="AH4:AM4"/>
    <mergeCell ref="AS4:BB4"/>
  </mergeCells>
  <phoneticPr fontId="23"/>
  <conditionalFormatting sqref="AR10:AR65536 AO8:AO9 AR3:AR7 AO2 AR1">
    <cfRule type="expression" dxfId="17" priority="4" stopIfTrue="1">
      <formula>IF($P2="SummaryTask",TRUE,FALSE)</formula>
    </cfRule>
    <cfRule type="expression" dxfId="16" priority="5" stopIfTrue="1">
      <formula>IF($P2="Milestone",TRUE,FALSE)</formula>
    </cfRule>
    <cfRule type="expression" dxfId="15" priority="6" stopIfTrue="1">
      <formula>IF($P2="Project",TRUE,FALSE)</formula>
    </cfRule>
  </conditionalFormatting>
  <conditionalFormatting sqref="Q6:Q65536">
    <cfRule type="expression" dxfId="14" priority="7" stopIfTrue="1">
      <formula>IF($P6="SummaryTask",TRUE,FALSE)</formula>
    </cfRule>
    <cfRule type="expression" dxfId="13" priority="8" stopIfTrue="1">
      <formula>IF($P6="Milestone",TRUE,FALSE)</formula>
    </cfRule>
    <cfRule type="expression" dxfId="12" priority="9" stopIfTrue="1">
      <formula>IF($P6="Project",TRUE,FALSE)</formula>
    </cfRule>
  </conditionalFormatting>
  <conditionalFormatting sqref="C5:C7 C10:C65536">
    <cfRule type="expression" dxfId="11" priority="10" stopIfTrue="1">
      <formula>IF($AR5="ScopeFolder",TRUE,FALSE)</formula>
    </cfRule>
    <cfRule type="expression" dxfId="10" priority="11" stopIfTrue="1">
      <formula>IF($AR5="Milestone",TRUE,FALSE)</formula>
    </cfRule>
    <cfRule type="expression" dxfId="9" priority="12" stopIfTrue="1">
      <formula>IF($AR5="Project",TRUE,FALSE)</formula>
    </cfRule>
  </conditionalFormatting>
  <conditionalFormatting sqref="D6:D65536">
    <cfRule type="expression" dxfId="8" priority="13" stopIfTrue="1">
      <formula>IF(#REF!="SummaryTask",TRUE,FALSE)</formula>
    </cfRule>
    <cfRule type="expression" dxfId="7" priority="14" stopIfTrue="1">
      <formula>IF(#REF!="Milestone",TRUE,FALSE)</formula>
    </cfRule>
    <cfRule type="expression" dxfId="6" priority="15" stopIfTrue="1">
      <formula>IF(#REF!="Project",TRUE,FALSE)</formula>
    </cfRule>
  </conditionalFormatting>
  <conditionalFormatting sqref="C8:C9">
    <cfRule type="expression" dxfId="5" priority="16" stopIfTrue="1">
      <formula>IF($AO8="ScopeFolder",TRUE,FALSE)</formula>
    </cfRule>
    <cfRule type="expression" dxfId="4" priority="17" stopIfTrue="1">
      <formula>IF($AO8="Milestone",TRUE,FALSE)</formula>
    </cfRule>
    <cfRule type="expression" dxfId="3" priority="18" stopIfTrue="1">
      <formula>IF($AO8="Project",TRUE,FALSE)</formula>
    </cfRule>
  </conditionalFormatting>
  <conditionalFormatting sqref="BQ3">
    <cfRule type="expression" dxfId="2" priority="1" stopIfTrue="1">
      <formula>IF($P4="SummaryTask",TRUE,FALSE)</formula>
    </cfRule>
    <cfRule type="expression" dxfId="1" priority="2" stopIfTrue="1">
      <formula>IF($P4="Milestone",TRUE,FALSE)</formula>
    </cfRule>
    <cfRule type="expression" dxfId="0" priority="3" stopIfTrue="1">
      <formula>IF($P4="Project",TRUE,FALSE)</formula>
    </cfRule>
  </conditionalFormatting>
  <dataValidations count="14">
    <dataValidation type="list" allowBlank="1" showInputMessage="1" showErrorMessage="1" sqref="S8:S9" xr:uid="{00000000-0002-0000-0E00-000000000000}">
      <formula1>$BD$3:$BX$3</formula1>
    </dataValidation>
    <dataValidation type="list" allowBlank="1" showInputMessage="1" showErrorMessage="1" sqref="AE8:AE9" xr:uid="{00000000-0002-0000-0E00-000001000000}">
      <formula1>"　,関連あり,関連なし"</formula1>
    </dataValidation>
    <dataValidation type="list" allowBlank="1" showInputMessage="1" showErrorMessage="1" sqref="AC8:AC9" xr:uid="{00000000-0002-0000-0E00-000002000000}">
      <formula1>"　,要求の確認不足,設計条件の確認不足,実現方式の検討不足,設計技術の習熟不足,業務知識の習熟不足,周知連絡の不徹底,表現上の配慮不足,修正ミス,その他"</formula1>
    </dataValidation>
    <dataValidation type="list" allowBlank="1" showInputMessage="1" showErrorMessage="1" sqref="AB8:AB9" xr:uid="{00000000-0002-0000-0E00-000003000000}">
      <formula1>"　,企画支援,要件定義,基本設計,詳細設計,製造,結合テスト,システムテスト,移行導入,その他"</formula1>
    </dataValidation>
    <dataValidation type="list" allowBlank="1" showInputMessage="1" showErrorMessage="1" sqref="Z8:Z9" xr:uid="{00000000-0002-0000-0E00-000004000000}">
      <formula1>"　,テスト項目抽出漏れ,テスト実施漏れ,環境上の問題で後工程に確認予定,結果確認ミス,その他"</formula1>
    </dataValidation>
    <dataValidation type="list" allowBlank="1" showInputMessage="1" showErrorMessage="1" sqref="Y8:Y9" xr:uid="{00000000-0002-0000-0E00-000005000000}">
      <formula1>"　,製造（単体テスト）,結合テスト,システムテスト"</formula1>
    </dataValidation>
    <dataValidation type="list" allowBlank="1" showInputMessage="1" showErrorMessage="1" sqref="W8:W9" xr:uid="{00000000-0002-0000-0E00-000006000000}">
      <formula1>"　,仕様書不備：記述漏れ,仕様書不備：記述誤り,仕様書不備：不明確（曖昧）,仕様書不備：標準違反,仕様書不備：ドキュメント修正漏れ,仕様書不備：ドキュメント間不整合,仕様展開問題：仕様の見落とし,仕様展開問題：仕様の理解不足,仕様展開問題：仕様の認識不足,仕様展開問題：仕様の検討粗漏,仕様以外問題：言語用法の知識不足,仕様以外問題：周知連絡の不徹底,仕様以外問題：標準違反,仕様以外問題：再利用チェック漏れ,仕様以外問題：修正チェック漏れ,その他"</formula1>
    </dataValidation>
    <dataValidation type="list" allowBlank="1" showInputMessage="1" showErrorMessage="1" sqref="V8:V9" xr:uid="{00000000-0002-0000-0E00-000007000000}">
      <formula1>"　,入力データチェック機能,演算機能,データ編集機能,ファイル更新機能,データ出力機能,連動（組み合わせ）処理,限界処理,外囲条件異常検知機能,その他"</formula1>
    </dataValidation>
    <dataValidation type="list" allowBlank="1" showInputMessage="1" showErrorMessage="1" sqref="T8:T9" xr:uid="{00000000-0002-0000-0E00-000008000000}">
      <formula1>"　,バグである,バグでない,潜在バグ"</formula1>
    </dataValidation>
    <dataValidation type="list" allowBlank="1" showInputMessage="1" showErrorMessage="1" sqref="Q8:Q9" xr:uid="{00000000-0002-0000-0E00-000009000000}">
      <formula1>"　,1,2,3"</formula1>
    </dataValidation>
    <dataValidation type="list" allowBlank="1" showInputMessage="1" showErrorMessage="1" sqref="P8:P9" xr:uid="{00000000-0002-0000-0E00-00000A000000}">
      <formula1>"　,1,2,3,4"</formula1>
    </dataValidation>
    <dataValidation type="list" allowBlank="1" showInputMessage="1" showErrorMessage="1" sqref="N8:N9" xr:uid="{00000000-0002-0000-0E00-00000B000000}">
      <formula1>"　,システムダウン,ABEND,データ内容不正,機能障害,形式不正,その他"</formula1>
    </dataValidation>
    <dataValidation type="list" allowBlank="1" showInputMessage="1" showErrorMessage="1" sqref="K8:K9" xr:uid="{00000000-0002-0000-0E00-00000C000000}">
      <formula1>"　,単体テスト,結合テスト,システムテスト,ユーザ確認テスト,移行導入"</formula1>
    </dataValidation>
    <dataValidation type="list" allowBlank="1" showInputMessage="1" showErrorMessage="1" sqref="A8:A9" xr:uid="{00000000-0002-0000-0E00-00000D000000}">
      <formula1>"　,起票中,起票済,原因調査中,原因調査済,修正対応中,修正対応済,完了"</formula1>
    </dataValidation>
  </dataValidations>
  <pageMargins left="0.19685039370078741" right="0.19685039370078741" top="0.51181102362204722" bottom="0.70866141732283472" header="0.27559055118110237" footer="0.51181102362204722"/>
  <pageSetup paperSize="9" scale="26" fitToHeight="0" orientation="landscape" verticalDpi="360" r:id="rId1"/>
  <headerFooter alignWithMargins="0">
    <oddHeader>&amp;L&amp;"ＭＳ Ｐゴシック,標準"&amp;16【営業秘密】</oddHeader>
    <oddFooter>&amp;CPage &amp;P&amp;R（様式&amp;"MS Sans Serif,標準"2017.05&amp;"ＭＳ Ｐゴシック,標準"）</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AW54"/>
  <sheetViews>
    <sheetView showGridLines="0" view="pageBreakPreview" topLeftCell="A40" zoomScale="90" zoomScaleNormal="75" zoomScaleSheetLayoutView="90" workbookViewId="0">
      <selection sqref="A1:E5"/>
    </sheetView>
  </sheetViews>
  <sheetFormatPr defaultColWidth="4.875" defaultRowHeight="15" customHeight="1" x14ac:dyDescent="0.15"/>
  <cols>
    <col min="1" max="1" width="9" style="174" customWidth="1"/>
    <col min="2" max="10" width="4.875" style="174"/>
    <col min="11" max="12" width="5.25" style="174" bestFit="1" customWidth="1"/>
    <col min="13" max="15" width="4.875" style="174"/>
    <col min="16" max="16" width="5.25" style="174" bestFit="1" customWidth="1"/>
    <col min="17" max="17" width="4.875" style="174"/>
    <col min="18" max="18" width="5.25" style="174" bestFit="1" customWidth="1"/>
    <col min="19" max="16384" width="4.875" style="174"/>
  </cols>
  <sheetData>
    <row r="1" spans="1:49" s="5" customFormat="1" ht="12" customHeight="1" x14ac:dyDescent="0.15">
      <c r="A1" s="1089" t="s">
        <v>717</v>
      </c>
      <c r="B1" s="1090"/>
      <c r="C1" s="1090"/>
      <c r="D1" s="1090"/>
      <c r="E1" s="1091"/>
      <c r="F1" s="1098" t="s">
        <v>68</v>
      </c>
      <c r="G1" s="1098"/>
      <c r="H1" s="1098"/>
      <c r="I1" s="1098"/>
      <c r="J1" s="1098"/>
      <c r="K1" s="1098"/>
      <c r="L1" s="1098"/>
      <c r="M1" s="1098"/>
      <c r="N1" s="1098"/>
      <c r="O1" s="1098"/>
      <c r="P1" s="1098"/>
      <c r="Q1" s="1098"/>
      <c r="R1" s="1098"/>
      <c r="S1" s="1078" t="s">
        <v>305</v>
      </c>
      <c r="T1" s="1078"/>
      <c r="U1" s="1078"/>
      <c r="V1" s="1078" t="s">
        <v>306</v>
      </c>
      <c r="W1" s="1078"/>
      <c r="X1" s="1078"/>
      <c r="Y1" s="1078" t="s">
        <v>237</v>
      </c>
      <c r="Z1" s="1078"/>
      <c r="AA1" s="1078"/>
      <c r="AB1" s="1078" t="s">
        <v>307</v>
      </c>
      <c r="AC1" s="1078"/>
      <c r="AD1" s="1078"/>
      <c r="AE1" s="1078"/>
      <c r="AF1" s="1078"/>
      <c r="AG1" s="1078"/>
      <c r="AH1" s="1078"/>
      <c r="AI1" s="1078"/>
      <c r="AJ1" s="1078"/>
    </row>
    <row r="2" spans="1:49" s="5" customFormat="1" ht="12" customHeight="1" x14ac:dyDescent="0.15">
      <c r="A2" s="1092"/>
      <c r="B2" s="1093"/>
      <c r="C2" s="1093"/>
      <c r="D2" s="1093"/>
      <c r="E2" s="1094"/>
      <c r="F2" s="1098"/>
      <c r="G2" s="1098"/>
      <c r="H2" s="1098"/>
      <c r="I2" s="1098"/>
      <c r="J2" s="1098"/>
      <c r="K2" s="1098"/>
      <c r="L2" s="1098"/>
      <c r="M2" s="1098"/>
      <c r="N2" s="1098"/>
      <c r="O2" s="1098"/>
      <c r="P2" s="1098"/>
      <c r="Q2" s="1098"/>
      <c r="R2" s="1098"/>
      <c r="S2" s="1078" t="s">
        <v>718</v>
      </c>
      <c r="T2" s="1078"/>
      <c r="U2" s="1078"/>
      <c r="V2" s="1078" t="s">
        <v>718</v>
      </c>
      <c r="W2" s="1078"/>
      <c r="X2" s="1078"/>
      <c r="Y2" s="1078" t="s">
        <v>718</v>
      </c>
      <c r="Z2" s="1078"/>
      <c r="AA2" s="1078"/>
      <c r="AB2" s="1088" t="s">
        <v>308</v>
      </c>
      <c r="AC2" s="1088"/>
      <c r="AD2" s="1088"/>
      <c r="AE2" s="1078" t="s">
        <v>306</v>
      </c>
      <c r="AF2" s="1078"/>
      <c r="AG2" s="1078"/>
      <c r="AH2" s="1078" t="s">
        <v>237</v>
      </c>
      <c r="AI2" s="1078"/>
      <c r="AJ2" s="1078"/>
    </row>
    <row r="3" spans="1:49" s="5" customFormat="1" ht="12" customHeight="1" x14ac:dyDescent="0.15">
      <c r="A3" s="1092"/>
      <c r="B3" s="1093"/>
      <c r="C3" s="1093"/>
      <c r="D3" s="1093"/>
      <c r="E3" s="1094"/>
      <c r="F3" s="1098"/>
      <c r="G3" s="1098"/>
      <c r="H3" s="1098"/>
      <c r="I3" s="1098"/>
      <c r="J3" s="1098"/>
      <c r="K3" s="1098"/>
      <c r="L3" s="1098"/>
      <c r="M3" s="1098"/>
      <c r="N3" s="1098"/>
      <c r="O3" s="1098"/>
      <c r="P3" s="1098"/>
      <c r="Q3" s="1098"/>
      <c r="R3" s="1098"/>
      <c r="S3" s="1078"/>
      <c r="T3" s="1078"/>
      <c r="U3" s="1078"/>
      <c r="V3" s="1078"/>
      <c r="W3" s="1078"/>
      <c r="X3" s="1078"/>
      <c r="Y3" s="1078"/>
      <c r="Z3" s="1078"/>
      <c r="AA3" s="1078"/>
      <c r="AB3" s="1078"/>
      <c r="AC3" s="1078"/>
      <c r="AD3" s="1078"/>
      <c r="AE3" s="1078" t="s">
        <v>718</v>
      </c>
      <c r="AF3" s="1078"/>
      <c r="AG3" s="1078"/>
      <c r="AH3" s="1078" t="s">
        <v>718</v>
      </c>
      <c r="AI3" s="1078"/>
      <c r="AJ3" s="1078"/>
    </row>
    <row r="4" spans="1:49" s="5" customFormat="1" ht="12" customHeight="1" x14ac:dyDescent="0.15">
      <c r="A4" s="1092"/>
      <c r="B4" s="1093"/>
      <c r="C4" s="1093"/>
      <c r="D4" s="1093"/>
      <c r="E4" s="1094"/>
      <c r="F4" s="1098"/>
      <c r="G4" s="1098"/>
      <c r="H4" s="1098"/>
      <c r="I4" s="1098"/>
      <c r="J4" s="1098"/>
      <c r="K4" s="1098"/>
      <c r="L4" s="1098"/>
      <c r="M4" s="1098"/>
      <c r="N4" s="1098"/>
      <c r="O4" s="1098"/>
      <c r="P4" s="1098"/>
      <c r="Q4" s="1098"/>
      <c r="R4" s="1098"/>
      <c r="S4" s="1078"/>
      <c r="T4" s="1078"/>
      <c r="U4" s="1078"/>
      <c r="V4" s="1078"/>
      <c r="W4" s="1078"/>
      <c r="X4" s="1078"/>
      <c r="Y4" s="1078"/>
      <c r="Z4" s="1078"/>
      <c r="AA4" s="1078"/>
      <c r="AB4" s="1078"/>
      <c r="AC4" s="1078"/>
      <c r="AD4" s="1078"/>
      <c r="AE4" s="1079"/>
      <c r="AF4" s="1080"/>
      <c r="AG4" s="1081"/>
      <c r="AH4" s="1079"/>
      <c r="AI4" s="1080"/>
      <c r="AJ4" s="1081"/>
    </row>
    <row r="5" spans="1:49" s="5" customFormat="1" ht="12" customHeight="1" x14ac:dyDescent="0.15">
      <c r="A5" s="1095"/>
      <c r="B5" s="1096"/>
      <c r="C5" s="1096"/>
      <c r="D5" s="1096"/>
      <c r="E5" s="1097"/>
      <c r="F5" s="1098"/>
      <c r="G5" s="1098"/>
      <c r="H5" s="1098"/>
      <c r="I5" s="1098"/>
      <c r="J5" s="1098"/>
      <c r="K5" s="1098"/>
      <c r="L5" s="1098"/>
      <c r="M5" s="1098"/>
      <c r="N5" s="1098"/>
      <c r="O5" s="1098"/>
      <c r="P5" s="1098"/>
      <c r="Q5" s="1098"/>
      <c r="R5" s="1098"/>
      <c r="S5" s="1078"/>
      <c r="T5" s="1078"/>
      <c r="U5" s="1078"/>
      <c r="V5" s="1078"/>
      <c r="W5" s="1078"/>
      <c r="X5" s="1078"/>
      <c r="Y5" s="1078"/>
      <c r="Z5" s="1078"/>
      <c r="AA5" s="1078"/>
      <c r="AB5" s="1078"/>
      <c r="AC5" s="1078"/>
      <c r="AD5" s="1078"/>
      <c r="AE5" s="1082"/>
      <c r="AF5" s="1083"/>
      <c r="AG5" s="1084"/>
      <c r="AH5" s="1082"/>
      <c r="AI5" s="1083"/>
      <c r="AJ5" s="1084"/>
    </row>
    <row r="6" spans="1:49" s="5" customFormat="1" ht="12" customHeight="1" x14ac:dyDescent="0.15">
      <c r="A6" s="1074" t="s">
        <v>465</v>
      </c>
      <c r="B6" s="1074"/>
      <c r="C6" s="1074"/>
      <c r="D6" s="1074"/>
      <c r="E6" s="1074"/>
      <c r="F6" s="1074"/>
      <c r="G6" s="1074"/>
      <c r="H6" s="1074"/>
      <c r="I6" s="1074"/>
      <c r="J6" s="1074" t="s">
        <v>466</v>
      </c>
      <c r="K6" s="1074"/>
      <c r="L6" s="1074"/>
      <c r="M6" s="1074"/>
      <c r="N6" s="1074"/>
      <c r="O6" s="1074"/>
      <c r="P6" s="1074"/>
      <c r="Q6" s="1074"/>
      <c r="R6" s="1074"/>
      <c r="S6" s="1078"/>
      <c r="T6" s="1078"/>
      <c r="U6" s="1078"/>
      <c r="V6" s="1078"/>
      <c r="W6" s="1078"/>
      <c r="X6" s="1078"/>
      <c r="Y6" s="1078"/>
      <c r="Z6" s="1078"/>
      <c r="AA6" s="1078"/>
      <c r="AB6" s="1078"/>
      <c r="AC6" s="1078"/>
      <c r="AD6" s="1078"/>
      <c r="AE6" s="1082"/>
      <c r="AF6" s="1083"/>
      <c r="AG6" s="1084"/>
      <c r="AH6" s="1082"/>
      <c r="AI6" s="1083"/>
      <c r="AJ6" s="1084"/>
    </row>
    <row r="7" spans="1:49" s="5" customFormat="1" ht="12" customHeight="1" x14ac:dyDescent="0.15">
      <c r="A7" s="1073" t="s">
        <v>719</v>
      </c>
      <c r="B7" s="1074"/>
      <c r="C7" s="1074"/>
      <c r="D7" s="1074"/>
      <c r="E7" s="1074"/>
      <c r="F7" s="1074"/>
      <c r="G7" s="1074"/>
      <c r="H7" s="1074"/>
      <c r="I7" s="1074"/>
      <c r="J7" s="1073" t="s">
        <v>720</v>
      </c>
      <c r="K7" s="1074"/>
      <c r="L7" s="1074"/>
      <c r="M7" s="1074"/>
      <c r="N7" s="1074"/>
      <c r="O7" s="1074"/>
      <c r="P7" s="1074"/>
      <c r="Q7" s="1074"/>
      <c r="R7" s="1074"/>
      <c r="S7" s="1078"/>
      <c r="T7" s="1078"/>
      <c r="U7" s="1078"/>
      <c r="V7" s="1078"/>
      <c r="W7" s="1078"/>
      <c r="X7" s="1078"/>
      <c r="Y7" s="1078"/>
      <c r="Z7" s="1078"/>
      <c r="AA7" s="1078"/>
      <c r="AB7" s="1078"/>
      <c r="AC7" s="1078"/>
      <c r="AD7" s="1078"/>
      <c r="AE7" s="1085"/>
      <c r="AF7" s="1086"/>
      <c r="AG7" s="1087"/>
      <c r="AH7" s="1085"/>
      <c r="AI7" s="1086"/>
      <c r="AJ7" s="1087"/>
    </row>
    <row r="8" spans="1:49" s="5" customFormat="1" ht="12" customHeight="1" x14ac:dyDescent="0.15">
      <c r="A8" s="1074" t="s">
        <v>310</v>
      </c>
      <c r="B8" s="1074"/>
      <c r="C8" s="1074"/>
      <c r="D8" s="1074"/>
      <c r="E8" s="1074"/>
      <c r="F8" s="1074"/>
      <c r="G8" s="1074"/>
      <c r="H8" s="1074"/>
      <c r="I8" s="1074"/>
      <c r="J8" s="1074"/>
      <c r="K8" s="1074"/>
      <c r="L8" s="1074"/>
      <c r="M8" s="1074"/>
      <c r="N8" s="1074"/>
      <c r="O8" s="1074"/>
      <c r="P8" s="1074"/>
      <c r="Q8" s="1074"/>
      <c r="R8" s="1074"/>
      <c r="S8" s="783" t="s">
        <v>139</v>
      </c>
      <c r="T8" s="783"/>
      <c r="U8" s="783"/>
      <c r="V8" s="783"/>
      <c r="W8" s="783"/>
      <c r="X8" s="783"/>
      <c r="Y8" s="260" t="s">
        <v>721</v>
      </c>
      <c r="Z8" s="261"/>
      <c r="AA8" s="754">
        <v>42471</v>
      </c>
      <c r="AB8" s="755"/>
      <c r="AC8" s="756"/>
      <c r="AD8" s="757" t="s">
        <v>468</v>
      </c>
      <c r="AE8" s="758"/>
      <c r="AF8" s="759">
        <v>42515</v>
      </c>
      <c r="AG8" s="755"/>
      <c r="AH8" s="756"/>
      <c r="AI8" s="757" t="s">
        <v>469</v>
      </c>
      <c r="AJ8" s="758"/>
    </row>
    <row r="9" spans="1:49" s="5" customFormat="1" ht="12" customHeight="1" x14ac:dyDescent="0.15">
      <c r="A9" s="1073" t="s">
        <v>722</v>
      </c>
      <c r="B9" s="1074"/>
      <c r="C9" s="1074"/>
      <c r="D9" s="1074"/>
      <c r="E9" s="1074"/>
      <c r="F9" s="1074"/>
      <c r="G9" s="1074"/>
      <c r="H9" s="1074"/>
      <c r="I9" s="1074"/>
      <c r="J9" s="1074"/>
      <c r="K9" s="1074"/>
      <c r="L9" s="1074"/>
      <c r="M9" s="1074"/>
      <c r="N9" s="1074"/>
      <c r="O9" s="1074"/>
      <c r="P9" s="1074"/>
      <c r="Q9" s="1074"/>
      <c r="R9" s="1074"/>
      <c r="S9" s="1075" t="s">
        <v>723</v>
      </c>
      <c r="T9" s="783"/>
      <c r="U9" s="783"/>
      <c r="V9" s="783"/>
      <c r="W9" s="783"/>
      <c r="X9" s="783"/>
      <c r="Y9" s="263" t="s">
        <v>724</v>
      </c>
      <c r="Z9" s="264"/>
      <c r="AA9" s="1076" t="s">
        <v>725</v>
      </c>
      <c r="AB9" s="749"/>
      <c r="AC9" s="750"/>
      <c r="AD9" s="751" t="s">
        <v>471</v>
      </c>
      <c r="AE9" s="750"/>
      <c r="AF9" s="1077" t="s">
        <v>386</v>
      </c>
      <c r="AG9" s="749"/>
      <c r="AH9" s="750"/>
      <c r="AI9" s="752">
        <v>1.3</v>
      </c>
      <c r="AJ9" s="753"/>
    </row>
    <row r="10" spans="1:49" s="5" customFormat="1" ht="12" customHeight="1" x14ac:dyDescent="0.15">
      <c r="A10" s="8"/>
      <c r="B10" s="8"/>
      <c r="C10" s="8"/>
      <c r="D10" s="8"/>
      <c r="E10" s="8"/>
      <c r="F10" s="8"/>
      <c r="G10" s="8"/>
      <c r="H10" s="8"/>
      <c r="I10" s="6"/>
      <c r="J10" s="6"/>
      <c r="K10" s="6"/>
      <c r="L10" s="6"/>
      <c r="M10" s="6"/>
      <c r="N10" s="6"/>
      <c r="O10" s="7"/>
      <c r="P10" s="7"/>
      <c r="Q10" s="6"/>
      <c r="R10" s="6"/>
      <c r="S10" s="6"/>
      <c r="T10" s="7"/>
      <c r="U10" s="7"/>
      <c r="V10" s="7"/>
      <c r="W10" s="6"/>
      <c r="X10" s="6"/>
      <c r="Y10" s="6"/>
      <c r="Z10" s="6"/>
    </row>
    <row r="11" spans="1:49" ht="15" customHeight="1" x14ac:dyDescent="0.15">
      <c r="A11" s="171" t="s">
        <v>208</v>
      </c>
      <c r="B11" s="172"/>
      <c r="C11" s="173"/>
      <c r="D11" s="1054" t="s">
        <v>288</v>
      </c>
      <c r="E11" s="1055"/>
      <c r="F11" s="1055"/>
      <c r="G11" s="1055"/>
      <c r="H11" s="1056"/>
      <c r="U11" s="722" t="s">
        <v>712</v>
      </c>
      <c r="V11" s="723"/>
      <c r="W11" s="603" t="s">
        <v>726</v>
      </c>
      <c r="X11" s="604"/>
      <c r="Y11" s="604"/>
      <c r="Z11" s="604"/>
      <c r="AA11" s="604"/>
      <c r="AB11" s="604"/>
      <c r="AC11" s="604"/>
      <c r="AD11" s="604"/>
      <c r="AE11" s="604"/>
      <c r="AF11" s="604"/>
      <c r="AG11" s="604"/>
      <c r="AH11" s="604"/>
      <c r="AI11" s="604"/>
      <c r="AJ11" s="605"/>
      <c r="AK11" s="528"/>
      <c r="AL11" s="528"/>
      <c r="AM11" s="528"/>
      <c r="AN11" s="528"/>
      <c r="AO11" s="528"/>
      <c r="AP11" s="528"/>
      <c r="AQ11" s="528"/>
      <c r="AR11" s="528"/>
      <c r="AS11" s="528"/>
      <c r="AT11" s="528"/>
      <c r="AU11" s="528"/>
      <c r="AV11" s="528"/>
      <c r="AW11" s="528"/>
    </row>
    <row r="12" spans="1:49" ht="15" customHeight="1" x14ac:dyDescent="0.15">
      <c r="U12" s="723"/>
      <c r="V12" s="723"/>
      <c r="W12" s="615"/>
      <c r="X12" s="616"/>
      <c r="Y12" s="616"/>
      <c r="Z12" s="616"/>
      <c r="AA12" s="616"/>
      <c r="AB12" s="616"/>
      <c r="AC12" s="616"/>
      <c r="AD12" s="616"/>
      <c r="AE12" s="616"/>
      <c r="AF12" s="616"/>
      <c r="AG12" s="616"/>
      <c r="AH12" s="616"/>
      <c r="AI12" s="616"/>
      <c r="AJ12" s="617"/>
      <c r="AK12" s="528"/>
      <c r="AL12" s="528"/>
      <c r="AM12" s="528"/>
      <c r="AN12" s="528"/>
      <c r="AO12" s="528"/>
      <c r="AP12" s="528"/>
      <c r="AQ12" s="528"/>
      <c r="AR12" s="528"/>
      <c r="AS12" s="528"/>
      <c r="AT12" s="528"/>
      <c r="AU12" s="528"/>
      <c r="AV12" s="528"/>
      <c r="AW12" s="528"/>
    </row>
    <row r="13" spans="1:49" ht="15" customHeight="1" x14ac:dyDescent="0.15">
      <c r="A13" s="175" t="s">
        <v>390</v>
      </c>
      <c r="U13" s="723"/>
      <c r="V13" s="723"/>
      <c r="W13" s="615"/>
      <c r="X13" s="616"/>
      <c r="Y13" s="616"/>
      <c r="Z13" s="616"/>
      <c r="AA13" s="616"/>
      <c r="AB13" s="616"/>
      <c r="AC13" s="616"/>
      <c r="AD13" s="616"/>
      <c r="AE13" s="616"/>
      <c r="AF13" s="616"/>
      <c r="AG13" s="616"/>
      <c r="AH13" s="616"/>
      <c r="AI13" s="616"/>
      <c r="AJ13" s="617"/>
      <c r="AK13" s="528"/>
      <c r="AL13" s="528"/>
    </row>
    <row r="14" spans="1:49" ht="15" customHeight="1" x14ac:dyDescent="0.15">
      <c r="A14" s="1058" t="s">
        <v>186</v>
      </c>
      <c r="B14" s="1059"/>
      <c r="C14" s="1059"/>
      <c r="D14" s="1060"/>
      <c r="E14" s="1058" t="s">
        <v>187</v>
      </c>
      <c r="F14" s="1059"/>
      <c r="G14" s="1060"/>
      <c r="H14" s="1058" t="s">
        <v>391</v>
      </c>
      <c r="I14" s="1059"/>
      <c r="J14" s="1059"/>
      <c r="K14" s="1060"/>
      <c r="L14" s="1058"/>
      <c r="M14" s="1059"/>
      <c r="N14" s="176" t="s">
        <v>392</v>
      </c>
      <c r="O14" s="1059"/>
      <c r="P14" s="1060"/>
      <c r="Q14" s="1058" t="s">
        <v>393</v>
      </c>
      <c r="R14" s="1059"/>
      <c r="S14" s="1060"/>
      <c r="U14" s="723"/>
      <c r="V14" s="723"/>
      <c r="W14" s="615"/>
      <c r="X14" s="616"/>
      <c r="Y14" s="616"/>
      <c r="Z14" s="616"/>
      <c r="AA14" s="616"/>
      <c r="AB14" s="616"/>
      <c r="AC14" s="616"/>
      <c r="AD14" s="616"/>
      <c r="AE14" s="616"/>
      <c r="AF14" s="616"/>
      <c r="AG14" s="616"/>
      <c r="AH14" s="616"/>
      <c r="AI14" s="616"/>
      <c r="AJ14" s="617"/>
      <c r="AK14" s="528"/>
      <c r="AL14" s="528"/>
    </row>
    <row r="15" spans="1:49" ht="15" customHeight="1" x14ac:dyDescent="0.15">
      <c r="A15" s="1061" t="s">
        <v>394</v>
      </c>
      <c r="B15" s="1062"/>
      <c r="C15" s="1062"/>
      <c r="D15" s="1063"/>
      <c r="E15" s="1067" t="s">
        <v>395</v>
      </c>
      <c r="F15" s="1068"/>
      <c r="G15" s="1069"/>
      <c r="H15" s="1067" t="s">
        <v>702</v>
      </c>
      <c r="I15" s="1068"/>
      <c r="J15" s="1068"/>
      <c r="K15" s="1069"/>
      <c r="L15" s="1070">
        <v>30.14</v>
      </c>
      <c r="M15" s="1071"/>
      <c r="N15" s="529" t="s">
        <v>302</v>
      </c>
      <c r="O15" s="1071">
        <v>180.23</v>
      </c>
      <c r="P15" s="1072"/>
      <c r="Q15" s="1070">
        <v>138.75</v>
      </c>
      <c r="R15" s="1071"/>
      <c r="S15" s="1072"/>
      <c r="U15" s="723"/>
      <c r="V15" s="723"/>
      <c r="W15" s="615"/>
      <c r="X15" s="616"/>
      <c r="Y15" s="616"/>
      <c r="Z15" s="616"/>
      <c r="AA15" s="616"/>
      <c r="AB15" s="616"/>
      <c r="AC15" s="616"/>
      <c r="AD15" s="616"/>
      <c r="AE15" s="616"/>
      <c r="AF15" s="616"/>
      <c r="AG15" s="616"/>
      <c r="AH15" s="616"/>
      <c r="AI15" s="616"/>
      <c r="AJ15" s="617"/>
      <c r="AK15" s="528"/>
      <c r="AL15" s="528"/>
    </row>
    <row r="16" spans="1:49" ht="15" customHeight="1" x14ac:dyDescent="0.15">
      <c r="A16" s="1064"/>
      <c r="B16" s="1065"/>
      <c r="C16" s="1065"/>
      <c r="D16" s="1066"/>
      <c r="E16" s="1046" t="s">
        <v>396</v>
      </c>
      <c r="F16" s="1047"/>
      <c r="G16" s="1048"/>
      <c r="H16" s="1046" t="s">
        <v>703</v>
      </c>
      <c r="I16" s="1047"/>
      <c r="J16" s="1047"/>
      <c r="K16" s="1048"/>
      <c r="L16" s="1049">
        <v>1.92</v>
      </c>
      <c r="M16" s="1050"/>
      <c r="N16" s="530" t="s">
        <v>302</v>
      </c>
      <c r="O16" s="1051">
        <v>2.88</v>
      </c>
      <c r="P16" s="1052"/>
      <c r="Q16" s="1053">
        <v>3.02</v>
      </c>
      <c r="R16" s="1051"/>
      <c r="S16" s="1052"/>
      <c r="U16" s="723"/>
      <c r="V16" s="723"/>
      <c r="W16" s="615"/>
      <c r="X16" s="616"/>
      <c r="Y16" s="616"/>
      <c r="Z16" s="616"/>
      <c r="AA16" s="616"/>
      <c r="AB16" s="616"/>
      <c r="AC16" s="616"/>
      <c r="AD16" s="616"/>
      <c r="AE16" s="616"/>
      <c r="AF16" s="616"/>
      <c r="AG16" s="616"/>
      <c r="AH16" s="616"/>
      <c r="AI16" s="616"/>
      <c r="AJ16" s="617"/>
      <c r="AK16" s="528"/>
      <c r="AL16" s="528"/>
    </row>
    <row r="17" spans="1:38" ht="15" customHeight="1" x14ac:dyDescent="0.15">
      <c r="A17" s="1026" t="s">
        <v>288</v>
      </c>
      <c r="B17" s="1027"/>
      <c r="C17" s="1027"/>
      <c r="D17" s="1028"/>
      <c r="E17" s="1032" t="s">
        <v>395</v>
      </c>
      <c r="F17" s="1033"/>
      <c r="G17" s="1034"/>
      <c r="H17" s="1032" t="s">
        <v>702</v>
      </c>
      <c r="I17" s="1033"/>
      <c r="J17" s="1033"/>
      <c r="K17" s="1034"/>
      <c r="L17" s="1035">
        <v>9.31</v>
      </c>
      <c r="M17" s="1036"/>
      <c r="N17" s="531" t="s">
        <v>302</v>
      </c>
      <c r="O17" s="1036">
        <v>60.18</v>
      </c>
      <c r="P17" s="1037"/>
      <c r="Q17" s="1035">
        <v>50.08</v>
      </c>
      <c r="R17" s="1036"/>
      <c r="S17" s="1037"/>
      <c r="U17" s="723"/>
      <c r="V17" s="723"/>
      <c r="W17" s="615"/>
      <c r="X17" s="616"/>
      <c r="Y17" s="616"/>
      <c r="Z17" s="616"/>
      <c r="AA17" s="616"/>
      <c r="AB17" s="616"/>
      <c r="AC17" s="616"/>
      <c r="AD17" s="616"/>
      <c r="AE17" s="616"/>
      <c r="AF17" s="616"/>
      <c r="AG17" s="616"/>
      <c r="AH17" s="616"/>
      <c r="AI17" s="616"/>
      <c r="AJ17" s="617"/>
      <c r="AK17" s="528"/>
      <c r="AL17" s="528"/>
    </row>
    <row r="18" spans="1:38" ht="15" customHeight="1" x14ac:dyDescent="0.15">
      <c r="A18" s="1029"/>
      <c r="B18" s="1030"/>
      <c r="C18" s="1030"/>
      <c r="D18" s="1031"/>
      <c r="E18" s="1029" t="s">
        <v>396</v>
      </c>
      <c r="F18" s="1030"/>
      <c r="G18" s="1031"/>
      <c r="H18" s="1029" t="s">
        <v>703</v>
      </c>
      <c r="I18" s="1030"/>
      <c r="J18" s="1030"/>
      <c r="K18" s="1031"/>
      <c r="L18" s="1044">
        <v>0.39800000000000002</v>
      </c>
      <c r="M18" s="1045"/>
      <c r="N18" s="532" t="s">
        <v>302</v>
      </c>
      <c r="O18" s="1023">
        <v>2.56</v>
      </c>
      <c r="P18" s="1024"/>
      <c r="Q18" s="1025">
        <v>0.5</v>
      </c>
      <c r="R18" s="1023"/>
      <c r="S18" s="1024"/>
      <c r="U18" s="1057"/>
      <c r="V18" s="1057"/>
      <c r="W18" s="615"/>
      <c r="X18" s="616"/>
      <c r="Y18" s="616"/>
      <c r="Z18" s="616"/>
      <c r="AA18" s="616"/>
      <c r="AB18" s="616"/>
      <c r="AC18" s="616"/>
      <c r="AD18" s="616"/>
      <c r="AE18" s="616"/>
      <c r="AF18" s="616"/>
      <c r="AG18" s="616"/>
      <c r="AH18" s="616"/>
      <c r="AI18" s="616"/>
      <c r="AJ18" s="617"/>
    </row>
    <row r="19" spans="1:38" ht="15" customHeight="1" x14ac:dyDescent="0.15">
      <c r="A19" s="1026" t="s">
        <v>206</v>
      </c>
      <c r="B19" s="1027"/>
      <c r="C19" s="1027"/>
      <c r="D19" s="1028"/>
      <c r="E19" s="1032" t="s">
        <v>395</v>
      </c>
      <c r="F19" s="1033"/>
      <c r="G19" s="1034"/>
      <c r="H19" s="1032" t="s">
        <v>702</v>
      </c>
      <c r="I19" s="1033"/>
      <c r="J19" s="1033"/>
      <c r="K19" s="1034"/>
      <c r="L19" s="1035">
        <v>5.03</v>
      </c>
      <c r="M19" s="1036"/>
      <c r="N19" s="531" t="s">
        <v>302</v>
      </c>
      <c r="O19" s="1036">
        <v>30.52</v>
      </c>
      <c r="P19" s="1037"/>
      <c r="Q19" s="1035"/>
      <c r="R19" s="1036"/>
      <c r="S19" s="1037"/>
      <c r="U19" s="1057"/>
      <c r="V19" s="1057"/>
      <c r="W19" s="615"/>
      <c r="X19" s="616"/>
      <c r="Y19" s="616"/>
      <c r="Z19" s="616"/>
      <c r="AA19" s="616"/>
      <c r="AB19" s="616"/>
      <c r="AC19" s="616"/>
      <c r="AD19" s="616"/>
      <c r="AE19" s="616"/>
      <c r="AF19" s="616"/>
      <c r="AG19" s="616"/>
      <c r="AH19" s="616"/>
      <c r="AI19" s="616"/>
      <c r="AJ19" s="617"/>
    </row>
    <row r="20" spans="1:38" ht="15" customHeight="1" x14ac:dyDescent="0.15">
      <c r="A20" s="1029"/>
      <c r="B20" s="1030"/>
      <c r="C20" s="1030"/>
      <c r="D20" s="1031"/>
      <c r="E20" s="1029" t="s">
        <v>396</v>
      </c>
      <c r="F20" s="1030"/>
      <c r="G20" s="1031"/>
      <c r="H20" s="1029" t="s">
        <v>703</v>
      </c>
      <c r="I20" s="1030"/>
      <c r="J20" s="1030"/>
      <c r="K20" s="1031"/>
      <c r="L20" s="1044">
        <v>0.06</v>
      </c>
      <c r="M20" s="1045"/>
      <c r="N20" s="532" t="s">
        <v>302</v>
      </c>
      <c r="O20" s="1023">
        <v>0.84</v>
      </c>
      <c r="P20" s="1024"/>
      <c r="Q20" s="1025"/>
      <c r="R20" s="1023"/>
      <c r="S20" s="1024"/>
      <c r="U20" s="1057"/>
      <c r="V20" s="1057"/>
      <c r="W20" s="615"/>
      <c r="X20" s="616"/>
      <c r="Y20" s="616"/>
      <c r="Z20" s="616"/>
      <c r="AA20" s="616"/>
      <c r="AB20" s="616"/>
      <c r="AC20" s="616"/>
      <c r="AD20" s="616"/>
      <c r="AE20" s="616"/>
      <c r="AF20" s="616"/>
      <c r="AG20" s="616"/>
      <c r="AH20" s="616"/>
      <c r="AI20" s="616"/>
      <c r="AJ20" s="617"/>
    </row>
    <row r="21" spans="1:38" ht="15" customHeight="1" x14ac:dyDescent="0.15">
      <c r="A21" s="1026" t="s">
        <v>715</v>
      </c>
      <c r="B21" s="1027"/>
      <c r="C21" s="1027"/>
      <c r="D21" s="1028"/>
      <c r="E21" s="1032" t="s">
        <v>395</v>
      </c>
      <c r="F21" s="1033"/>
      <c r="G21" s="1034"/>
      <c r="H21" s="1032" t="s">
        <v>702</v>
      </c>
      <c r="I21" s="1033"/>
      <c r="J21" s="1033"/>
      <c r="K21" s="1034"/>
      <c r="L21" s="1035">
        <v>5.03</v>
      </c>
      <c r="M21" s="1036"/>
      <c r="N21" s="531" t="s">
        <v>302</v>
      </c>
      <c r="O21" s="1036">
        <v>30.52</v>
      </c>
      <c r="P21" s="1037"/>
      <c r="Q21" s="1038"/>
      <c r="R21" s="1039"/>
      <c r="S21" s="1040"/>
      <c r="U21" s="1057"/>
      <c r="V21" s="1057"/>
      <c r="W21" s="615"/>
      <c r="X21" s="616"/>
      <c r="Y21" s="616"/>
      <c r="Z21" s="616"/>
      <c r="AA21" s="616"/>
      <c r="AB21" s="616"/>
      <c r="AC21" s="616"/>
      <c r="AD21" s="616"/>
      <c r="AE21" s="616"/>
      <c r="AF21" s="616"/>
      <c r="AG21" s="616"/>
      <c r="AH21" s="616"/>
      <c r="AI21" s="616"/>
      <c r="AJ21" s="617"/>
    </row>
    <row r="22" spans="1:38" ht="15" customHeight="1" x14ac:dyDescent="0.15">
      <c r="A22" s="1029"/>
      <c r="B22" s="1030"/>
      <c r="C22" s="1030"/>
      <c r="D22" s="1031"/>
      <c r="E22" s="1029" t="s">
        <v>396</v>
      </c>
      <c r="F22" s="1030"/>
      <c r="G22" s="1031"/>
      <c r="H22" s="1029" t="s">
        <v>703</v>
      </c>
      <c r="I22" s="1030"/>
      <c r="J22" s="1030"/>
      <c r="K22" s="1031"/>
      <c r="L22" s="1041"/>
      <c r="M22" s="1042"/>
      <c r="N22" s="1042"/>
      <c r="O22" s="1042"/>
      <c r="P22" s="1043"/>
      <c r="Q22" s="1020"/>
      <c r="R22" s="1021"/>
      <c r="S22" s="1022"/>
      <c r="U22" s="1057"/>
      <c r="V22" s="1057"/>
      <c r="W22" s="606"/>
      <c r="X22" s="607"/>
      <c r="Y22" s="607"/>
      <c r="Z22" s="607"/>
      <c r="AA22" s="607"/>
      <c r="AB22" s="607"/>
      <c r="AC22" s="607"/>
      <c r="AD22" s="607"/>
      <c r="AE22" s="607"/>
      <c r="AF22" s="607"/>
      <c r="AG22" s="607"/>
      <c r="AH22" s="607"/>
      <c r="AI22" s="607"/>
      <c r="AJ22" s="608"/>
    </row>
    <row r="24" spans="1:38" ht="15" customHeight="1" x14ac:dyDescent="0.15">
      <c r="A24" s="175" t="s">
        <v>397</v>
      </c>
    </row>
    <row r="45" spans="1:36" ht="15" customHeight="1" x14ac:dyDescent="0.15">
      <c r="A45" s="177" t="s">
        <v>398</v>
      </c>
      <c r="B45" s="178"/>
      <c r="C45" s="178"/>
      <c r="D45" s="178"/>
      <c r="E45" s="179"/>
      <c r="F45" s="180">
        <v>42496</v>
      </c>
      <c r="G45" s="180">
        <v>42499</v>
      </c>
      <c r="H45" s="180">
        <v>42500</v>
      </c>
      <c r="I45" s="180">
        <v>42501</v>
      </c>
      <c r="J45" s="180">
        <v>42502</v>
      </c>
      <c r="K45" s="180">
        <v>42503</v>
      </c>
      <c r="L45" s="180">
        <v>42506</v>
      </c>
      <c r="M45" s="180">
        <v>42507</v>
      </c>
      <c r="N45" s="180">
        <v>42508</v>
      </c>
      <c r="O45" s="180">
        <v>42509</v>
      </c>
      <c r="P45" s="180">
        <v>42510</v>
      </c>
      <c r="Q45" s="180">
        <v>42513</v>
      </c>
      <c r="R45" s="180">
        <v>42514</v>
      </c>
      <c r="S45" s="180">
        <v>42515</v>
      </c>
      <c r="T45" s="180">
        <v>42516</v>
      </c>
      <c r="U45" s="180">
        <v>42517</v>
      </c>
      <c r="V45" s="180">
        <v>42520</v>
      </c>
      <c r="W45" s="180">
        <v>42521</v>
      </c>
      <c r="X45" s="180">
        <v>42522</v>
      </c>
      <c r="Y45" s="180">
        <v>42523</v>
      </c>
      <c r="Z45" s="180">
        <v>42524</v>
      </c>
      <c r="AA45" s="180">
        <v>42527</v>
      </c>
      <c r="AB45" s="180">
        <v>42528</v>
      </c>
      <c r="AC45" s="180">
        <v>42529</v>
      </c>
      <c r="AD45" s="180">
        <v>42530</v>
      </c>
      <c r="AE45" s="180">
        <v>42531</v>
      </c>
      <c r="AF45" s="180">
        <v>42534</v>
      </c>
      <c r="AG45" s="180">
        <v>42535</v>
      </c>
      <c r="AH45" s="180">
        <v>42536</v>
      </c>
      <c r="AI45" s="180">
        <v>42537</v>
      </c>
      <c r="AJ45" s="180">
        <v>42538</v>
      </c>
    </row>
    <row r="46" spans="1:36" ht="15" customHeight="1" x14ac:dyDescent="0.15">
      <c r="A46" s="181" t="s">
        <v>399</v>
      </c>
      <c r="B46" s="182" t="s">
        <v>400</v>
      </c>
      <c r="C46" s="183"/>
      <c r="D46" s="183"/>
      <c r="E46" s="184"/>
      <c r="F46" s="185">
        <v>70</v>
      </c>
      <c r="G46" s="185">
        <v>95</v>
      </c>
      <c r="H46" s="185">
        <v>74</v>
      </c>
      <c r="I46" s="185">
        <v>44</v>
      </c>
      <c r="J46" s="185">
        <v>100</v>
      </c>
      <c r="K46" s="185">
        <v>100</v>
      </c>
      <c r="L46" s="185">
        <v>150</v>
      </c>
      <c r="M46" s="185">
        <v>150</v>
      </c>
      <c r="N46" s="185">
        <v>160</v>
      </c>
      <c r="O46" s="185">
        <v>180</v>
      </c>
      <c r="P46" s="185">
        <v>180</v>
      </c>
      <c r="Q46" s="185">
        <v>180</v>
      </c>
      <c r="R46" s="185">
        <v>180</v>
      </c>
      <c r="S46" s="185">
        <v>180</v>
      </c>
      <c r="T46" s="185">
        <v>150</v>
      </c>
      <c r="U46" s="185">
        <v>150</v>
      </c>
      <c r="V46" s="185">
        <v>120</v>
      </c>
      <c r="W46" s="185">
        <v>120</v>
      </c>
      <c r="X46" s="185">
        <v>120</v>
      </c>
      <c r="Y46" s="185">
        <v>100</v>
      </c>
      <c r="Z46" s="185">
        <v>100</v>
      </c>
      <c r="AA46" s="185">
        <v>100</v>
      </c>
      <c r="AB46" s="185">
        <v>100</v>
      </c>
      <c r="AC46" s="185">
        <v>100</v>
      </c>
      <c r="AD46" s="185">
        <v>80</v>
      </c>
      <c r="AE46" s="185">
        <v>80</v>
      </c>
      <c r="AF46" s="185">
        <v>80</v>
      </c>
      <c r="AG46" s="185">
        <v>80</v>
      </c>
      <c r="AH46" s="185">
        <v>80</v>
      </c>
      <c r="AI46" s="185">
        <v>30</v>
      </c>
      <c r="AJ46" s="185">
        <v>30</v>
      </c>
    </row>
    <row r="47" spans="1:36" ht="15" customHeight="1" x14ac:dyDescent="0.15">
      <c r="A47" s="186"/>
      <c r="B47" s="187" t="s">
        <v>401</v>
      </c>
      <c r="C47" s="188"/>
      <c r="D47" s="188"/>
      <c r="E47" s="189"/>
      <c r="F47" s="190">
        <f>IF(F46&lt;&gt;"",F46,"")</f>
        <v>70</v>
      </c>
      <c r="G47" s="190">
        <f t="shared" ref="G47:AJ47" si="0">IF(G46&lt;&gt;"",G46+F47,0)</f>
        <v>165</v>
      </c>
      <c r="H47" s="190">
        <f t="shared" si="0"/>
        <v>239</v>
      </c>
      <c r="I47" s="190">
        <f t="shared" si="0"/>
        <v>283</v>
      </c>
      <c r="J47" s="190">
        <f t="shared" si="0"/>
        <v>383</v>
      </c>
      <c r="K47" s="190">
        <f t="shared" si="0"/>
        <v>483</v>
      </c>
      <c r="L47" s="190">
        <f t="shared" si="0"/>
        <v>633</v>
      </c>
      <c r="M47" s="190">
        <f t="shared" si="0"/>
        <v>783</v>
      </c>
      <c r="N47" s="190">
        <f t="shared" si="0"/>
        <v>943</v>
      </c>
      <c r="O47" s="190">
        <f t="shared" si="0"/>
        <v>1123</v>
      </c>
      <c r="P47" s="190">
        <f t="shared" si="0"/>
        <v>1303</v>
      </c>
      <c r="Q47" s="190">
        <f t="shared" si="0"/>
        <v>1483</v>
      </c>
      <c r="R47" s="190">
        <f t="shared" si="0"/>
        <v>1663</v>
      </c>
      <c r="S47" s="190">
        <f t="shared" si="0"/>
        <v>1843</v>
      </c>
      <c r="T47" s="190">
        <f t="shared" si="0"/>
        <v>1993</v>
      </c>
      <c r="U47" s="190">
        <f t="shared" si="0"/>
        <v>2143</v>
      </c>
      <c r="V47" s="190">
        <f t="shared" si="0"/>
        <v>2263</v>
      </c>
      <c r="W47" s="190">
        <f t="shared" si="0"/>
        <v>2383</v>
      </c>
      <c r="X47" s="190">
        <f t="shared" si="0"/>
        <v>2503</v>
      </c>
      <c r="Y47" s="190">
        <f t="shared" si="0"/>
        <v>2603</v>
      </c>
      <c r="Z47" s="190">
        <f t="shared" si="0"/>
        <v>2703</v>
      </c>
      <c r="AA47" s="190">
        <f t="shared" si="0"/>
        <v>2803</v>
      </c>
      <c r="AB47" s="190">
        <f t="shared" si="0"/>
        <v>2903</v>
      </c>
      <c r="AC47" s="190">
        <f t="shared" si="0"/>
        <v>3003</v>
      </c>
      <c r="AD47" s="190">
        <f t="shared" si="0"/>
        <v>3083</v>
      </c>
      <c r="AE47" s="190">
        <f t="shared" si="0"/>
        <v>3163</v>
      </c>
      <c r="AF47" s="190">
        <f t="shared" si="0"/>
        <v>3243</v>
      </c>
      <c r="AG47" s="190">
        <f t="shared" si="0"/>
        <v>3323</v>
      </c>
      <c r="AH47" s="190">
        <f t="shared" si="0"/>
        <v>3403</v>
      </c>
      <c r="AI47" s="190">
        <f t="shared" si="0"/>
        <v>3433</v>
      </c>
      <c r="AJ47" s="190">
        <f t="shared" si="0"/>
        <v>3463</v>
      </c>
    </row>
    <row r="48" spans="1:36" ht="15" customHeight="1" x14ac:dyDescent="0.15">
      <c r="A48" s="186"/>
      <c r="B48" s="182" t="s">
        <v>402</v>
      </c>
      <c r="C48" s="183"/>
      <c r="D48" s="183"/>
      <c r="E48" s="184"/>
      <c r="F48" s="185">
        <v>63</v>
      </c>
      <c r="G48" s="185">
        <v>65</v>
      </c>
      <c r="H48" s="185">
        <v>60</v>
      </c>
      <c r="I48" s="185">
        <v>30</v>
      </c>
      <c r="J48" s="185">
        <v>50</v>
      </c>
      <c r="K48" s="185">
        <v>200</v>
      </c>
      <c r="L48" s="185">
        <v>104</v>
      </c>
      <c r="M48" s="185">
        <v>150</v>
      </c>
      <c r="N48" s="185">
        <v>165</v>
      </c>
      <c r="O48" s="185">
        <v>170</v>
      </c>
      <c r="P48" s="185">
        <v>190</v>
      </c>
      <c r="Q48" s="185">
        <v>150</v>
      </c>
      <c r="R48" s="185">
        <v>150</v>
      </c>
      <c r="S48" s="185"/>
      <c r="T48" s="185"/>
      <c r="U48" s="185"/>
      <c r="V48" s="185"/>
      <c r="W48" s="185"/>
      <c r="X48" s="185"/>
      <c r="Y48" s="185"/>
      <c r="Z48" s="185"/>
      <c r="AA48" s="185"/>
      <c r="AB48" s="185"/>
      <c r="AC48" s="185"/>
      <c r="AD48" s="185"/>
      <c r="AE48" s="185"/>
      <c r="AF48" s="185"/>
      <c r="AG48" s="185"/>
      <c r="AH48" s="185"/>
      <c r="AI48" s="185"/>
      <c r="AJ48" s="185"/>
    </row>
    <row r="49" spans="1:36" ht="15" customHeight="1" x14ac:dyDescent="0.15">
      <c r="A49" s="191"/>
      <c r="B49" s="187" t="s">
        <v>403</v>
      </c>
      <c r="C49" s="188"/>
      <c r="D49" s="188"/>
      <c r="E49" s="189"/>
      <c r="F49" s="190">
        <f>IF(F48&lt;&gt;"",F48,0)</f>
        <v>63</v>
      </c>
      <c r="G49" s="190">
        <f t="shared" ref="G49:AJ49" si="1">IF(G48&lt;&gt;"",G48+F49,0)</f>
        <v>128</v>
      </c>
      <c r="H49" s="190">
        <f t="shared" si="1"/>
        <v>188</v>
      </c>
      <c r="I49" s="190">
        <f t="shared" si="1"/>
        <v>218</v>
      </c>
      <c r="J49" s="190">
        <f t="shared" si="1"/>
        <v>268</v>
      </c>
      <c r="K49" s="190">
        <f t="shared" si="1"/>
        <v>468</v>
      </c>
      <c r="L49" s="190">
        <f t="shared" si="1"/>
        <v>572</v>
      </c>
      <c r="M49" s="190">
        <f t="shared" si="1"/>
        <v>722</v>
      </c>
      <c r="N49" s="190">
        <f t="shared" si="1"/>
        <v>887</v>
      </c>
      <c r="O49" s="190">
        <f t="shared" si="1"/>
        <v>1057</v>
      </c>
      <c r="P49" s="190">
        <f t="shared" si="1"/>
        <v>1247</v>
      </c>
      <c r="Q49" s="190">
        <f t="shared" si="1"/>
        <v>1397</v>
      </c>
      <c r="R49" s="190">
        <f t="shared" si="1"/>
        <v>1547</v>
      </c>
      <c r="S49" s="190">
        <f t="shared" si="1"/>
        <v>0</v>
      </c>
      <c r="T49" s="190">
        <f t="shared" si="1"/>
        <v>0</v>
      </c>
      <c r="U49" s="190">
        <f t="shared" si="1"/>
        <v>0</v>
      </c>
      <c r="V49" s="190">
        <f t="shared" si="1"/>
        <v>0</v>
      </c>
      <c r="W49" s="190">
        <f t="shared" si="1"/>
        <v>0</v>
      </c>
      <c r="X49" s="190">
        <f t="shared" si="1"/>
        <v>0</v>
      </c>
      <c r="Y49" s="190">
        <f t="shared" si="1"/>
        <v>0</v>
      </c>
      <c r="Z49" s="190">
        <f t="shared" si="1"/>
        <v>0</v>
      </c>
      <c r="AA49" s="190">
        <f t="shared" si="1"/>
        <v>0</v>
      </c>
      <c r="AB49" s="190">
        <f t="shared" si="1"/>
        <v>0</v>
      </c>
      <c r="AC49" s="190">
        <f t="shared" si="1"/>
        <v>0</v>
      </c>
      <c r="AD49" s="190">
        <f t="shared" si="1"/>
        <v>0</v>
      </c>
      <c r="AE49" s="190">
        <f t="shared" si="1"/>
        <v>0</v>
      </c>
      <c r="AF49" s="190">
        <f t="shared" si="1"/>
        <v>0</v>
      </c>
      <c r="AG49" s="190">
        <f t="shared" si="1"/>
        <v>0</v>
      </c>
      <c r="AH49" s="190">
        <f t="shared" si="1"/>
        <v>0</v>
      </c>
      <c r="AI49" s="190">
        <f t="shared" si="1"/>
        <v>0</v>
      </c>
      <c r="AJ49" s="190">
        <f t="shared" si="1"/>
        <v>0</v>
      </c>
    </row>
    <row r="50" spans="1:36" ht="15" customHeight="1" x14ac:dyDescent="0.15">
      <c r="A50" s="181" t="s">
        <v>404</v>
      </c>
      <c r="B50" s="182" t="s">
        <v>405</v>
      </c>
      <c r="C50" s="183"/>
      <c r="D50" s="183"/>
      <c r="E50" s="184"/>
      <c r="F50" s="185">
        <v>12</v>
      </c>
      <c r="G50" s="185">
        <v>19</v>
      </c>
      <c r="H50" s="185">
        <v>17</v>
      </c>
      <c r="I50" s="185">
        <v>7</v>
      </c>
      <c r="J50" s="185">
        <v>9</v>
      </c>
      <c r="K50" s="185">
        <v>9</v>
      </c>
      <c r="L50" s="185">
        <v>11</v>
      </c>
      <c r="M50" s="185">
        <v>4</v>
      </c>
      <c r="N50" s="185">
        <v>3</v>
      </c>
      <c r="O50" s="185">
        <v>3</v>
      </c>
      <c r="P50" s="185">
        <v>1</v>
      </c>
      <c r="Q50" s="185">
        <v>1</v>
      </c>
      <c r="R50" s="185">
        <v>0</v>
      </c>
      <c r="S50" s="185"/>
      <c r="T50" s="185"/>
      <c r="U50" s="185"/>
      <c r="V50" s="185"/>
      <c r="W50" s="185"/>
      <c r="X50" s="185"/>
      <c r="Y50" s="185"/>
      <c r="Z50" s="185"/>
      <c r="AA50" s="185"/>
      <c r="AB50" s="185"/>
      <c r="AC50" s="185"/>
      <c r="AD50" s="185"/>
      <c r="AE50" s="185"/>
      <c r="AF50" s="185"/>
      <c r="AG50" s="185"/>
      <c r="AH50" s="185"/>
      <c r="AI50" s="185"/>
      <c r="AJ50" s="185"/>
    </row>
    <row r="51" spans="1:36" ht="15" customHeight="1" x14ac:dyDescent="0.15">
      <c r="A51" s="186"/>
      <c r="B51" s="187" t="s">
        <v>406</v>
      </c>
      <c r="C51" s="188"/>
      <c r="D51" s="188"/>
      <c r="E51" s="189"/>
      <c r="F51" s="190">
        <f>IF(F50&lt;&gt;"",F50,0)</f>
        <v>12</v>
      </c>
      <c r="G51" s="190">
        <f t="shared" ref="G51:AJ51" si="2">IF(G50&lt;&gt;"",G50+F51,0)</f>
        <v>31</v>
      </c>
      <c r="H51" s="190">
        <f t="shared" si="2"/>
        <v>48</v>
      </c>
      <c r="I51" s="190">
        <f t="shared" si="2"/>
        <v>55</v>
      </c>
      <c r="J51" s="190">
        <f t="shared" si="2"/>
        <v>64</v>
      </c>
      <c r="K51" s="190">
        <f t="shared" si="2"/>
        <v>73</v>
      </c>
      <c r="L51" s="190">
        <f t="shared" si="2"/>
        <v>84</v>
      </c>
      <c r="M51" s="190">
        <f t="shared" si="2"/>
        <v>88</v>
      </c>
      <c r="N51" s="190">
        <f t="shared" si="2"/>
        <v>91</v>
      </c>
      <c r="O51" s="190">
        <f t="shared" si="2"/>
        <v>94</v>
      </c>
      <c r="P51" s="190">
        <f t="shared" si="2"/>
        <v>95</v>
      </c>
      <c r="Q51" s="190">
        <f t="shared" si="2"/>
        <v>96</v>
      </c>
      <c r="R51" s="190">
        <f t="shared" si="2"/>
        <v>96</v>
      </c>
      <c r="S51" s="190">
        <f t="shared" si="2"/>
        <v>0</v>
      </c>
      <c r="T51" s="190">
        <f t="shared" si="2"/>
        <v>0</v>
      </c>
      <c r="U51" s="190">
        <f t="shared" si="2"/>
        <v>0</v>
      </c>
      <c r="V51" s="190">
        <f t="shared" si="2"/>
        <v>0</v>
      </c>
      <c r="W51" s="190">
        <f t="shared" si="2"/>
        <v>0</v>
      </c>
      <c r="X51" s="190">
        <f t="shared" si="2"/>
        <v>0</v>
      </c>
      <c r="Y51" s="190">
        <f t="shared" si="2"/>
        <v>0</v>
      </c>
      <c r="Z51" s="190">
        <f t="shared" si="2"/>
        <v>0</v>
      </c>
      <c r="AA51" s="190">
        <f t="shared" si="2"/>
        <v>0</v>
      </c>
      <c r="AB51" s="190">
        <f t="shared" si="2"/>
        <v>0</v>
      </c>
      <c r="AC51" s="190">
        <f t="shared" si="2"/>
        <v>0</v>
      </c>
      <c r="AD51" s="190">
        <f t="shared" si="2"/>
        <v>0</v>
      </c>
      <c r="AE51" s="190">
        <f t="shared" si="2"/>
        <v>0</v>
      </c>
      <c r="AF51" s="190">
        <f t="shared" si="2"/>
        <v>0</v>
      </c>
      <c r="AG51" s="190">
        <f t="shared" si="2"/>
        <v>0</v>
      </c>
      <c r="AH51" s="190">
        <f t="shared" si="2"/>
        <v>0</v>
      </c>
      <c r="AI51" s="190">
        <f t="shared" si="2"/>
        <v>0</v>
      </c>
      <c r="AJ51" s="190">
        <f t="shared" si="2"/>
        <v>0</v>
      </c>
    </row>
    <row r="52" spans="1:36" ht="15" customHeight="1" x14ac:dyDescent="0.15">
      <c r="A52" s="186"/>
      <c r="B52" s="182" t="s">
        <v>407</v>
      </c>
      <c r="C52" s="183"/>
      <c r="D52" s="183"/>
      <c r="E52" s="184"/>
      <c r="F52" s="185">
        <v>0</v>
      </c>
      <c r="G52" s="185">
        <v>8</v>
      </c>
      <c r="H52" s="185">
        <v>9</v>
      </c>
      <c r="I52" s="185">
        <v>15</v>
      </c>
      <c r="J52" s="185">
        <v>9</v>
      </c>
      <c r="K52" s="185">
        <v>20</v>
      </c>
      <c r="L52" s="185">
        <v>17</v>
      </c>
      <c r="M52" s="185">
        <v>1</v>
      </c>
      <c r="N52" s="185">
        <v>6</v>
      </c>
      <c r="O52" s="185">
        <v>4</v>
      </c>
      <c r="P52" s="185">
        <v>5</v>
      </c>
      <c r="Q52" s="185">
        <v>2</v>
      </c>
      <c r="R52" s="185">
        <v>0</v>
      </c>
      <c r="S52" s="185"/>
      <c r="T52" s="185"/>
      <c r="U52" s="185"/>
      <c r="V52" s="185"/>
      <c r="W52" s="185"/>
      <c r="X52" s="185"/>
      <c r="Y52" s="185"/>
      <c r="Z52" s="185"/>
      <c r="AA52" s="185"/>
      <c r="AB52" s="185"/>
      <c r="AC52" s="185"/>
      <c r="AD52" s="185"/>
      <c r="AE52" s="185"/>
      <c r="AF52" s="185"/>
      <c r="AG52" s="185"/>
      <c r="AH52" s="185"/>
      <c r="AI52" s="185"/>
      <c r="AJ52" s="185"/>
    </row>
    <row r="53" spans="1:36" ht="15" customHeight="1" x14ac:dyDescent="0.15">
      <c r="A53" s="186"/>
      <c r="B53" s="187" t="s">
        <v>408</v>
      </c>
      <c r="C53" s="188"/>
      <c r="D53" s="188"/>
      <c r="E53" s="189"/>
      <c r="F53" s="190">
        <f>IF(F52&lt;&gt;"",F52,0)</f>
        <v>0</v>
      </c>
      <c r="G53" s="190">
        <f t="shared" ref="G53:AJ53" si="3">IF(G52&lt;&gt;"",G52+F53,0)</f>
        <v>8</v>
      </c>
      <c r="H53" s="190">
        <f t="shared" si="3"/>
        <v>17</v>
      </c>
      <c r="I53" s="190">
        <f t="shared" si="3"/>
        <v>32</v>
      </c>
      <c r="J53" s="190">
        <f t="shared" si="3"/>
        <v>41</v>
      </c>
      <c r="K53" s="190">
        <f t="shared" si="3"/>
        <v>61</v>
      </c>
      <c r="L53" s="190">
        <f t="shared" si="3"/>
        <v>78</v>
      </c>
      <c r="M53" s="190">
        <f t="shared" si="3"/>
        <v>79</v>
      </c>
      <c r="N53" s="190">
        <f t="shared" si="3"/>
        <v>85</v>
      </c>
      <c r="O53" s="190">
        <f t="shared" si="3"/>
        <v>89</v>
      </c>
      <c r="P53" s="190">
        <f t="shared" si="3"/>
        <v>94</v>
      </c>
      <c r="Q53" s="190">
        <f t="shared" si="3"/>
        <v>96</v>
      </c>
      <c r="R53" s="190">
        <f t="shared" si="3"/>
        <v>96</v>
      </c>
      <c r="S53" s="190">
        <f t="shared" si="3"/>
        <v>0</v>
      </c>
      <c r="T53" s="190">
        <f t="shared" si="3"/>
        <v>0</v>
      </c>
      <c r="U53" s="190">
        <f t="shared" si="3"/>
        <v>0</v>
      </c>
      <c r="V53" s="190">
        <f t="shared" si="3"/>
        <v>0</v>
      </c>
      <c r="W53" s="190">
        <f t="shared" si="3"/>
        <v>0</v>
      </c>
      <c r="X53" s="190">
        <f t="shared" si="3"/>
        <v>0</v>
      </c>
      <c r="Y53" s="190">
        <f t="shared" si="3"/>
        <v>0</v>
      </c>
      <c r="Z53" s="190">
        <f t="shared" si="3"/>
        <v>0</v>
      </c>
      <c r="AA53" s="190">
        <f t="shared" si="3"/>
        <v>0</v>
      </c>
      <c r="AB53" s="190">
        <f t="shared" si="3"/>
        <v>0</v>
      </c>
      <c r="AC53" s="190">
        <f t="shared" si="3"/>
        <v>0</v>
      </c>
      <c r="AD53" s="190">
        <f t="shared" si="3"/>
        <v>0</v>
      </c>
      <c r="AE53" s="190">
        <f t="shared" si="3"/>
        <v>0</v>
      </c>
      <c r="AF53" s="190">
        <f t="shared" si="3"/>
        <v>0</v>
      </c>
      <c r="AG53" s="190">
        <f t="shared" si="3"/>
        <v>0</v>
      </c>
      <c r="AH53" s="190">
        <f t="shared" si="3"/>
        <v>0</v>
      </c>
      <c r="AI53" s="190">
        <f t="shared" si="3"/>
        <v>0</v>
      </c>
      <c r="AJ53" s="190">
        <f t="shared" si="3"/>
        <v>0</v>
      </c>
    </row>
    <row r="54" spans="1:36" ht="15" customHeight="1" x14ac:dyDescent="0.15">
      <c r="A54" s="191"/>
      <c r="B54" s="187" t="s">
        <v>409</v>
      </c>
      <c r="C54" s="188"/>
      <c r="D54" s="188"/>
      <c r="E54" s="189"/>
      <c r="F54" s="190">
        <f t="shared" ref="F54:AJ54" si="4">IF(F51&lt;&gt;"",F51-F53,0)</f>
        <v>12</v>
      </c>
      <c r="G54" s="190">
        <f t="shared" si="4"/>
        <v>23</v>
      </c>
      <c r="H54" s="190">
        <f t="shared" si="4"/>
        <v>31</v>
      </c>
      <c r="I54" s="190">
        <f t="shared" si="4"/>
        <v>23</v>
      </c>
      <c r="J54" s="190">
        <f t="shared" si="4"/>
        <v>23</v>
      </c>
      <c r="K54" s="190">
        <f t="shared" si="4"/>
        <v>12</v>
      </c>
      <c r="L54" s="190">
        <f t="shared" si="4"/>
        <v>6</v>
      </c>
      <c r="M54" s="190">
        <f t="shared" si="4"/>
        <v>9</v>
      </c>
      <c r="N54" s="190">
        <f t="shared" si="4"/>
        <v>6</v>
      </c>
      <c r="O54" s="190">
        <f t="shared" si="4"/>
        <v>5</v>
      </c>
      <c r="P54" s="190">
        <f t="shared" si="4"/>
        <v>1</v>
      </c>
      <c r="Q54" s="190">
        <f t="shared" si="4"/>
        <v>0</v>
      </c>
      <c r="R54" s="190">
        <f t="shared" si="4"/>
        <v>0</v>
      </c>
      <c r="S54" s="190">
        <f t="shared" si="4"/>
        <v>0</v>
      </c>
      <c r="T54" s="190">
        <f t="shared" si="4"/>
        <v>0</v>
      </c>
      <c r="U54" s="190">
        <f t="shared" si="4"/>
        <v>0</v>
      </c>
      <c r="V54" s="190">
        <f t="shared" si="4"/>
        <v>0</v>
      </c>
      <c r="W54" s="190">
        <f t="shared" si="4"/>
        <v>0</v>
      </c>
      <c r="X54" s="190">
        <f t="shared" si="4"/>
        <v>0</v>
      </c>
      <c r="Y54" s="190">
        <f t="shared" si="4"/>
        <v>0</v>
      </c>
      <c r="Z54" s="190">
        <f t="shared" si="4"/>
        <v>0</v>
      </c>
      <c r="AA54" s="190">
        <f t="shared" si="4"/>
        <v>0</v>
      </c>
      <c r="AB54" s="190">
        <f t="shared" si="4"/>
        <v>0</v>
      </c>
      <c r="AC54" s="190">
        <f t="shared" si="4"/>
        <v>0</v>
      </c>
      <c r="AD54" s="190">
        <f t="shared" si="4"/>
        <v>0</v>
      </c>
      <c r="AE54" s="190">
        <f t="shared" si="4"/>
        <v>0</v>
      </c>
      <c r="AF54" s="190">
        <f t="shared" si="4"/>
        <v>0</v>
      </c>
      <c r="AG54" s="190">
        <f t="shared" si="4"/>
        <v>0</v>
      </c>
      <c r="AH54" s="190">
        <f t="shared" si="4"/>
        <v>0</v>
      </c>
      <c r="AI54" s="190">
        <f t="shared" si="4"/>
        <v>0</v>
      </c>
      <c r="AJ54" s="190">
        <f t="shared" si="4"/>
        <v>0</v>
      </c>
    </row>
  </sheetData>
  <mergeCells count="88">
    <mergeCell ref="A1:E5"/>
    <mergeCell ref="F1:R5"/>
    <mergeCell ref="S1:U1"/>
    <mergeCell ref="V1:X1"/>
    <mergeCell ref="Y1:AA1"/>
    <mergeCell ref="S3:U7"/>
    <mergeCell ref="V3:X7"/>
    <mergeCell ref="Y3:AA7"/>
    <mergeCell ref="A6:I6"/>
    <mergeCell ref="J6:R6"/>
    <mergeCell ref="A7:I7"/>
    <mergeCell ref="J7:R7"/>
    <mergeCell ref="AB1:AJ1"/>
    <mergeCell ref="S2:U2"/>
    <mergeCell ref="V2:X2"/>
    <mergeCell ref="Y2:AA2"/>
    <mergeCell ref="AB2:AD2"/>
    <mergeCell ref="AE2:AG2"/>
    <mergeCell ref="AH2:AJ2"/>
    <mergeCell ref="AB3:AD7"/>
    <mergeCell ref="AE3:AG3"/>
    <mergeCell ref="AH3:AJ3"/>
    <mergeCell ref="AE4:AG7"/>
    <mergeCell ref="AH4:AJ7"/>
    <mergeCell ref="AI8:AJ8"/>
    <mergeCell ref="A9:R9"/>
    <mergeCell ref="S9:X9"/>
    <mergeCell ref="AA9:AC9"/>
    <mergeCell ref="AD9:AE9"/>
    <mergeCell ref="AF9:AH9"/>
    <mergeCell ref="AI9:AJ9"/>
    <mergeCell ref="A8:R8"/>
    <mergeCell ref="S8:X8"/>
    <mergeCell ref="AA8:AC8"/>
    <mergeCell ref="AD8:AE8"/>
    <mergeCell ref="AF8:AH8"/>
    <mergeCell ref="D11:H11"/>
    <mergeCell ref="U11:V22"/>
    <mergeCell ref="W11:AJ22"/>
    <mergeCell ref="A14:D14"/>
    <mergeCell ref="E14:G14"/>
    <mergeCell ref="H14:K14"/>
    <mergeCell ref="L14:M14"/>
    <mergeCell ref="O14:P14"/>
    <mergeCell ref="Q14:S14"/>
    <mergeCell ref="A15:D16"/>
    <mergeCell ref="E15:G15"/>
    <mergeCell ref="H15:K15"/>
    <mergeCell ref="L15:M15"/>
    <mergeCell ref="O15:P15"/>
    <mergeCell ref="Q15:S15"/>
    <mergeCell ref="E16:G16"/>
    <mergeCell ref="H16:K16"/>
    <mergeCell ref="L16:M16"/>
    <mergeCell ref="O16:P16"/>
    <mergeCell ref="Q16:S16"/>
    <mergeCell ref="O17:P17"/>
    <mergeCell ref="Q17:S17"/>
    <mergeCell ref="Q18:S18"/>
    <mergeCell ref="A19:D20"/>
    <mergeCell ref="E19:G19"/>
    <mergeCell ref="H19:K19"/>
    <mergeCell ref="L19:M19"/>
    <mergeCell ref="O19:P19"/>
    <mergeCell ref="Q19:S19"/>
    <mergeCell ref="E20:G20"/>
    <mergeCell ref="A17:D18"/>
    <mergeCell ref="E17:G17"/>
    <mergeCell ref="H17:K17"/>
    <mergeCell ref="L17:M17"/>
    <mergeCell ref="E18:G18"/>
    <mergeCell ref="H18:K18"/>
    <mergeCell ref="L18:M18"/>
    <mergeCell ref="O18:P18"/>
    <mergeCell ref="Q22:S22"/>
    <mergeCell ref="O20:P20"/>
    <mergeCell ref="Q20:S20"/>
    <mergeCell ref="A21:D22"/>
    <mergeCell ref="E21:G21"/>
    <mergeCell ref="H21:K21"/>
    <mergeCell ref="L21:M21"/>
    <mergeCell ref="O21:P21"/>
    <mergeCell ref="Q21:S21"/>
    <mergeCell ref="E22:G22"/>
    <mergeCell ref="H22:K22"/>
    <mergeCell ref="L22:P22"/>
    <mergeCell ref="H20:K20"/>
    <mergeCell ref="L20:M20"/>
  </mergeCells>
  <phoneticPr fontId="23"/>
  <printOptions horizontalCentered="1"/>
  <pageMargins left="0.27559055118110237" right="0.27559055118110237" top="0.55118110236220474" bottom="0.23622047244094491" header="0.27559055118110237" footer="0.15748031496062992"/>
  <pageSetup paperSize="9" scale="76" pageOrder="overThenDown" orientation="landscape" r:id="rId1"/>
  <headerFooter alignWithMargins="0">
    <oddHeader>&amp;L【営業秘密】</oddHeader>
    <oddFooter>&amp;C&amp;P/&amp;N&amp;R（様式2014.03）</oddFooter>
  </headerFooter>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BF44"/>
  <sheetViews>
    <sheetView view="pageBreakPreview" topLeftCell="A25" zoomScale="85" zoomScaleNormal="85" zoomScaleSheetLayoutView="85" workbookViewId="0">
      <selection activeCell="BB27" sqref="BB27"/>
    </sheetView>
  </sheetViews>
  <sheetFormatPr defaultColWidth="2.625" defaultRowHeight="13.5" x14ac:dyDescent="0.15"/>
  <cols>
    <col min="1" max="1" width="9" customWidth="1"/>
  </cols>
  <sheetData>
    <row r="1" spans="1:58" ht="13.5" customHeight="1" x14ac:dyDescent="0.15">
      <c r="A1" s="717" t="s">
        <v>30</v>
      </c>
      <c r="B1" s="717"/>
      <c r="C1" s="717"/>
      <c r="D1" s="717"/>
      <c r="E1" s="717"/>
      <c r="F1" s="717"/>
      <c r="G1" s="717"/>
      <c r="H1" s="717"/>
      <c r="I1" s="717"/>
      <c r="J1" s="717"/>
      <c r="K1" s="717" t="s">
        <v>71</v>
      </c>
      <c r="L1" s="717"/>
      <c r="M1" s="717"/>
      <c r="N1" s="717"/>
      <c r="O1" s="717"/>
      <c r="P1" s="717"/>
      <c r="Q1" s="717"/>
      <c r="R1" s="717"/>
      <c r="S1" s="717"/>
      <c r="T1" s="717"/>
      <c r="U1" s="717"/>
      <c r="V1" s="717"/>
      <c r="W1" s="717"/>
      <c r="X1" s="717"/>
      <c r="Y1" s="717"/>
      <c r="Z1" s="717"/>
      <c r="AA1" s="717"/>
      <c r="AB1" s="1134" t="s">
        <v>305</v>
      </c>
      <c r="AC1" s="1135"/>
      <c r="AD1" s="1135"/>
      <c r="AE1" s="1135"/>
      <c r="AF1" s="1136"/>
      <c r="AG1" s="1134" t="s">
        <v>306</v>
      </c>
      <c r="AH1" s="1135"/>
      <c r="AI1" s="1135"/>
      <c r="AJ1" s="1135"/>
      <c r="AK1" s="1136"/>
      <c r="AL1" s="1134" t="s">
        <v>237</v>
      </c>
      <c r="AM1" s="1135"/>
      <c r="AN1" s="1135"/>
      <c r="AO1" s="1135"/>
      <c r="AP1" s="1136"/>
      <c r="AQ1" s="1131" t="s">
        <v>566</v>
      </c>
      <c r="AR1" s="1132"/>
      <c r="AS1" s="1132"/>
      <c r="AT1" s="1132"/>
      <c r="AU1" s="1132"/>
      <c r="AV1" s="1132"/>
      <c r="AW1" s="1132"/>
      <c r="AX1" s="1132"/>
      <c r="AY1" s="1132"/>
      <c r="AZ1" s="1132"/>
      <c r="BA1" s="1132"/>
      <c r="BB1" s="1132"/>
      <c r="BC1" s="1132"/>
      <c r="BD1" s="1132"/>
      <c r="BE1" s="1132"/>
      <c r="BF1" s="1133"/>
    </row>
    <row r="2" spans="1:58" ht="13.5" customHeight="1" x14ac:dyDescent="0.15">
      <c r="A2" s="717"/>
      <c r="B2" s="717"/>
      <c r="C2" s="717"/>
      <c r="D2" s="717"/>
      <c r="E2" s="717"/>
      <c r="F2" s="717"/>
      <c r="G2" s="717"/>
      <c r="H2" s="717"/>
      <c r="I2" s="717"/>
      <c r="J2" s="717"/>
      <c r="K2" s="717"/>
      <c r="L2" s="717"/>
      <c r="M2" s="717"/>
      <c r="N2" s="717"/>
      <c r="O2" s="717"/>
      <c r="P2" s="717"/>
      <c r="Q2" s="717"/>
      <c r="R2" s="717"/>
      <c r="S2" s="717"/>
      <c r="T2" s="717"/>
      <c r="U2" s="717"/>
      <c r="V2" s="717"/>
      <c r="W2" s="717"/>
      <c r="X2" s="717"/>
      <c r="Y2" s="717"/>
      <c r="Z2" s="717"/>
      <c r="AA2" s="717"/>
      <c r="AB2" s="1134" t="s">
        <v>494</v>
      </c>
      <c r="AC2" s="1135"/>
      <c r="AD2" s="1135"/>
      <c r="AE2" s="1135"/>
      <c r="AF2" s="1136"/>
      <c r="AG2" s="1134" t="s">
        <v>494</v>
      </c>
      <c r="AH2" s="1135"/>
      <c r="AI2" s="1135"/>
      <c r="AJ2" s="1135"/>
      <c r="AK2" s="1136"/>
      <c r="AL2" s="1134" t="s">
        <v>494</v>
      </c>
      <c r="AM2" s="1135"/>
      <c r="AN2" s="1135"/>
      <c r="AO2" s="1135"/>
      <c r="AP2" s="1136"/>
      <c r="AQ2" s="1131" t="s">
        <v>308</v>
      </c>
      <c r="AR2" s="1132"/>
      <c r="AS2" s="1132"/>
      <c r="AT2" s="1132"/>
      <c r="AU2" s="1132"/>
      <c r="AV2" s="1133"/>
      <c r="AW2" s="1134" t="s">
        <v>306</v>
      </c>
      <c r="AX2" s="1135"/>
      <c r="AY2" s="1135"/>
      <c r="AZ2" s="1135"/>
      <c r="BA2" s="1136"/>
      <c r="BB2" s="1134" t="s">
        <v>619</v>
      </c>
      <c r="BC2" s="1135"/>
      <c r="BD2" s="1135"/>
      <c r="BE2" s="1135"/>
      <c r="BF2" s="1136"/>
    </row>
    <row r="3" spans="1:58" ht="13.5" customHeight="1" x14ac:dyDescent="0.15">
      <c r="A3" s="717"/>
      <c r="B3" s="717"/>
      <c r="C3" s="717"/>
      <c r="D3" s="717"/>
      <c r="E3" s="717"/>
      <c r="F3" s="717"/>
      <c r="G3" s="717"/>
      <c r="H3" s="717"/>
      <c r="I3" s="717"/>
      <c r="J3" s="717"/>
      <c r="K3" s="717"/>
      <c r="L3" s="717"/>
      <c r="M3" s="717"/>
      <c r="N3" s="717"/>
      <c r="O3" s="717"/>
      <c r="P3" s="717"/>
      <c r="Q3" s="717"/>
      <c r="R3" s="717"/>
      <c r="S3" s="717"/>
      <c r="T3" s="717"/>
      <c r="U3" s="717"/>
      <c r="V3" s="717"/>
      <c r="W3" s="717"/>
      <c r="X3" s="717"/>
      <c r="Y3" s="717"/>
      <c r="Z3" s="717"/>
      <c r="AA3" s="717"/>
      <c r="AB3" s="636"/>
      <c r="AC3" s="636"/>
      <c r="AD3" s="636"/>
      <c r="AE3" s="636"/>
      <c r="AF3" s="636"/>
      <c r="AG3" s="636"/>
      <c r="AH3" s="636"/>
      <c r="AI3" s="636"/>
      <c r="AJ3" s="636"/>
      <c r="AK3" s="636"/>
      <c r="AL3" s="636"/>
      <c r="AM3" s="636"/>
      <c r="AN3" s="636"/>
      <c r="AO3" s="636"/>
      <c r="AP3" s="636"/>
      <c r="AQ3" s="1138"/>
      <c r="AR3" s="1139"/>
      <c r="AS3" s="1139"/>
      <c r="AT3" s="1139"/>
      <c r="AU3" s="1139"/>
      <c r="AV3" s="1140"/>
      <c r="AW3" s="1135" t="s">
        <v>495</v>
      </c>
      <c r="AX3" s="1135"/>
      <c r="AY3" s="1135"/>
      <c r="AZ3" s="1135"/>
      <c r="BA3" s="1136"/>
      <c r="BB3" s="1134" t="s">
        <v>495</v>
      </c>
      <c r="BC3" s="1135"/>
      <c r="BD3" s="1135"/>
      <c r="BE3" s="1135"/>
      <c r="BF3" s="1136"/>
    </row>
    <row r="4" spans="1:58" ht="13.5" customHeight="1" x14ac:dyDescent="0.15">
      <c r="A4" s="717"/>
      <c r="B4" s="717"/>
      <c r="C4" s="717"/>
      <c r="D4" s="717"/>
      <c r="E4" s="717"/>
      <c r="F4" s="717"/>
      <c r="G4" s="717"/>
      <c r="H4" s="717"/>
      <c r="I4" s="717"/>
      <c r="J4" s="717"/>
      <c r="K4" s="717"/>
      <c r="L4" s="717"/>
      <c r="M4" s="717"/>
      <c r="N4" s="717"/>
      <c r="O4" s="717"/>
      <c r="P4" s="717"/>
      <c r="Q4" s="717"/>
      <c r="R4" s="717"/>
      <c r="S4" s="717"/>
      <c r="T4" s="717"/>
      <c r="U4" s="717"/>
      <c r="V4" s="717"/>
      <c r="W4" s="717"/>
      <c r="X4" s="717"/>
      <c r="Y4" s="717"/>
      <c r="Z4" s="717"/>
      <c r="AA4" s="717"/>
      <c r="AB4" s="636"/>
      <c r="AC4" s="636"/>
      <c r="AD4" s="636"/>
      <c r="AE4" s="636"/>
      <c r="AF4" s="636"/>
      <c r="AG4" s="636"/>
      <c r="AH4" s="636"/>
      <c r="AI4" s="636"/>
      <c r="AJ4" s="636"/>
      <c r="AK4" s="636"/>
      <c r="AL4" s="636"/>
      <c r="AM4" s="636"/>
      <c r="AN4" s="636"/>
      <c r="AO4" s="636"/>
      <c r="AP4" s="636"/>
      <c r="AQ4" s="1141"/>
      <c r="AR4" s="1142"/>
      <c r="AS4" s="1142"/>
      <c r="AT4" s="1142"/>
      <c r="AU4" s="1142"/>
      <c r="AV4" s="1143"/>
      <c r="AW4" s="1147"/>
      <c r="AX4" s="1148"/>
      <c r="AY4" s="1148"/>
      <c r="AZ4" s="1148"/>
      <c r="BA4" s="1149"/>
      <c r="BB4" s="1147"/>
      <c r="BC4" s="1148"/>
      <c r="BD4" s="1148"/>
      <c r="BE4" s="1148"/>
      <c r="BF4" s="1149"/>
    </row>
    <row r="5" spans="1:58" ht="13.5" customHeight="1" x14ac:dyDescent="0.15">
      <c r="A5" s="553" t="s">
        <v>465</v>
      </c>
      <c r="B5" s="553"/>
      <c r="C5" s="553"/>
      <c r="D5" s="553"/>
      <c r="E5" s="553"/>
      <c r="F5" s="553"/>
      <c r="G5" s="553"/>
      <c r="H5" s="553"/>
      <c r="I5" s="553"/>
      <c r="J5" s="553"/>
      <c r="K5" s="553"/>
      <c r="L5" s="553"/>
      <c r="M5" s="553"/>
      <c r="N5" s="553"/>
      <c r="O5" s="552" t="s">
        <v>466</v>
      </c>
      <c r="P5" s="552"/>
      <c r="Q5" s="552"/>
      <c r="R5" s="552"/>
      <c r="S5" s="552"/>
      <c r="T5" s="552"/>
      <c r="U5" s="552"/>
      <c r="V5" s="552"/>
      <c r="W5" s="552"/>
      <c r="X5" s="552"/>
      <c r="Y5" s="552"/>
      <c r="Z5" s="552"/>
      <c r="AA5" s="552"/>
      <c r="AB5" s="636"/>
      <c r="AC5" s="636"/>
      <c r="AD5" s="636"/>
      <c r="AE5" s="636"/>
      <c r="AF5" s="636"/>
      <c r="AG5" s="636"/>
      <c r="AH5" s="636"/>
      <c r="AI5" s="636"/>
      <c r="AJ5" s="636"/>
      <c r="AK5" s="636"/>
      <c r="AL5" s="636"/>
      <c r="AM5" s="636"/>
      <c r="AN5" s="636"/>
      <c r="AO5" s="636"/>
      <c r="AP5" s="636"/>
      <c r="AQ5" s="1141"/>
      <c r="AR5" s="1142"/>
      <c r="AS5" s="1142"/>
      <c r="AT5" s="1142"/>
      <c r="AU5" s="1142"/>
      <c r="AV5" s="1143"/>
      <c r="AW5" s="1147"/>
      <c r="AX5" s="1148"/>
      <c r="AY5" s="1148"/>
      <c r="AZ5" s="1148"/>
      <c r="BA5" s="1149"/>
      <c r="BB5" s="1147"/>
      <c r="BC5" s="1148"/>
      <c r="BD5" s="1148"/>
      <c r="BE5" s="1148"/>
      <c r="BF5" s="1149"/>
    </row>
    <row r="6" spans="1:58" x14ac:dyDescent="0.15">
      <c r="A6" s="553"/>
      <c r="B6" s="553"/>
      <c r="C6" s="553"/>
      <c r="D6" s="553"/>
      <c r="E6" s="553"/>
      <c r="F6" s="553"/>
      <c r="G6" s="553"/>
      <c r="H6" s="553"/>
      <c r="I6" s="553"/>
      <c r="J6" s="553"/>
      <c r="K6" s="553"/>
      <c r="L6" s="553"/>
      <c r="M6" s="553"/>
      <c r="N6" s="553"/>
      <c r="O6" s="552"/>
      <c r="P6" s="552"/>
      <c r="Q6" s="552"/>
      <c r="R6" s="552"/>
      <c r="S6" s="552"/>
      <c r="T6" s="552"/>
      <c r="U6" s="552"/>
      <c r="V6" s="552"/>
      <c r="W6" s="552"/>
      <c r="X6" s="552"/>
      <c r="Y6" s="552"/>
      <c r="Z6" s="552"/>
      <c r="AA6" s="552"/>
      <c r="AB6" s="636"/>
      <c r="AC6" s="636"/>
      <c r="AD6" s="636"/>
      <c r="AE6" s="636"/>
      <c r="AF6" s="636"/>
      <c r="AG6" s="636"/>
      <c r="AH6" s="636"/>
      <c r="AI6" s="636"/>
      <c r="AJ6" s="636"/>
      <c r="AK6" s="636"/>
      <c r="AL6" s="636"/>
      <c r="AM6" s="636"/>
      <c r="AN6" s="636"/>
      <c r="AO6" s="636"/>
      <c r="AP6" s="636"/>
      <c r="AQ6" s="1144"/>
      <c r="AR6" s="1145"/>
      <c r="AS6" s="1145"/>
      <c r="AT6" s="1145"/>
      <c r="AU6" s="1145"/>
      <c r="AV6" s="1146"/>
      <c r="AW6" s="1150"/>
      <c r="AX6" s="1151"/>
      <c r="AY6" s="1151"/>
      <c r="AZ6" s="1151"/>
      <c r="BA6" s="1152"/>
      <c r="BB6" s="1150"/>
      <c r="BC6" s="1151"/>
      <c r="BD6" s="1151"/>
      <c r="BE6" s="1151"/>
      <c r="BF6" s="1152"/>
    </row>
    <row r="7" spans="1:58" ht="13.5" customHeight="1" x14ac:dyDescent="0.15">
      <c r="A7" s="553" t="s">
        <v>310</v>
      </c>
      <c r="B7" s="553"/>
      <c r="C7" s="553"/>
      <c r="D7" s="553"/>
      <c r="E7" s="553"/>
      <c r="F7" s="553"/>
      <c r="G7" s="553"/>
      <c r="H7" s="553"/>
      <c r="I7" s="553"/>
      <c r="J7" s="553"/>
      <c r="K7" s="553"/>
      <c r="L7" s="553"/>
      <c r="M7" s="553"/>
      <c r="N7" s="553"/>
      <c r="O7" s="552" t="s">
        <v>311</v>
      </c>
      <c r="P7" s="552"/>
      <c r="Q7" s="552"/>
      <c r="R7" s="552"/>
      <c r="S7" s="552"/>
      <c r="T7" s="552"/>
      <c r="U7" s="552"/>
      <c r="V7" s="552"/>
      <c r="W7" s="552"/>
      <c r="X7" s="552"/>
      <c r="Y7" s="552"/>
      <c r="Z7" s="552"/>
      <c r="AA7" s="552"/>
      <c r="AB7" s="552" t="s">
        <v>312</v>
      </c>
      <c r="AC7" s="552"/>
      <c r="AD7" s="552"/>
      <c r="AE7" s="552"/>
      <c r="AF7" s="552"/>
      <c r="AG7" s="552"/>
      <c r="AH7" s="552"/>
      <c r="AI7" s="552"/>
      <c r="AJ7" s="552"/>
      <c r="AK7" s="552"/>
      <c r="AL7" s="552"/>
      <c r="AM7" s="552"/>
      <c r="AN7" s="552"/>
      <c r="AO7" s="552"/>
      <c r="AP7" s="552" t="s">
        <v>313</v>
      </c>
      <c r="AQ7" s="552"/>
      <c r="AR7" s="552"/>
      <c r="AS7" s="552"/>
      <c r="AT7" s="552"/>
      <c r="AU7" s="552"/>
      <c r="AV7" s="552"/>
      <c r="AW7" s="552"/>
      <c r="AX7" s="552"/>
      <c r="AY7" s="552"/>
      <c r="AZ7" s="552"/>
      <c r="BA7" s="552"/>
      <c r="BB7" s="552"/>
      <c r="BC7" s="552"/>
      <c r="BD7" s="553" t="s">
        <v>31</v>
      </c>
      <c r="BE7" s="553"/>
      <c r="BF7" s="553"/>
    </row>
    <row r="8" spans="1:58" x14ac:dyDescent="0.15">
      <c r="A8" s="553"/>
      <c r="B8" s="553"/>
      <c r="C8" s="553"/>
      <c r="D8" s="553"/>
      <c r="E8" s="553"/>
      <c r="F8" s="553"/>
      <c r="G8" s="553"/>
      <c r="H8" s="553"/>
      <c r="I8" s="553"/>
      <c r="J8" s="553"/>
      <c r="K8" s="553"/>
      <c r="L8" s="553"/>
      <c r="M8" s="553"/>
      <c r="N8" s="553"/>
      <c r="O8" s="552"/>
      <c r="P8" s="552"/>
      <c r="Q8" s="552"/>
      <c r="R8" s="552"/>
      <c r="S8" s="552"/>
      <c r="T8" s="552"/>
      <c r="U8" s="552"/>
      <c r="V8" s="552"/>
      <c r="W8" s="552"/>
      <c r="X8" s="552"/>
      <c r="Y8" s="552"/>
      <c r="Z8" s="552"/>
      <c r="AA8" s="552"/>
      <c r="AB8" s="552" t="s">
        <v>568</v>
      </c>
      <c r="AC8" s="552"/>
      <c r="AD8" s="552"/>
      <c r="AE8" s="552"/>
      <c r="AF8" s="552"/>
      <c r="AG8" s="552"/>
      <c r="AH8" s="552"/>
      <c r="AI8" s="553"/>
      <c r="AJ8" s="553"/>
      <c r="AK8" s="553"/>
      <c r="AL8" s="553"/>
      <c r="AM8" s="553"/>
      <c r="AN8" s="553"/>
      <c r="AO8" s="553"/>
      <c r="AP8" s="552" t="s">
        <v>315</v>
      </c>
      <c r="AQ8" s="552"/>
      <c r="AR8" s="552"/>
      <c r="AS8" s="552"/>
      <c r="AT8" s="552"/>
      <c r="AU8" s="552"/>
      <c r="AV8" s="552"/>
      <c r="AW8" s="553"/>
      <c r="AX8" s="553"/>
      <c r="AY8" s="553"/>
      <c r="AZ8" s="553"/>
      <c r="BA8" s="553"/>
      <c r="BB8" s="553"/>
      <c r="BC8" s="553"/>
      <c r="BD8" s="596"/>
      <c r="BE8" s="596"/>
      <c r="BF8" s="596"/>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4" t="s">
        <v>208</v>
      </c>
      <c r="B10" s="624"/>
      <c r="C10" s="624"/>
      <c r="D10" s="624"/>
      <c r="E10" s="624"/>
      <c r="F10" s="624"/>
      <c r="G10" s="624"/>
      <c r="H10" s="624"/>
      <c r="I10" s="624"/>
      <c r="J10" s="624"/>
      <c r="K10" s="624"/>
      <c r="L10" s="553" t="s">
        <v>160</v>
      </c>
      <c r="M10" s="553"/>
      <c r="N10" s="553"/>
      <c r="O10" s="553"/>
      <c r="P10" s="553"/>
      <c r="Q10" s="553"/>
      <c r="R10" s="553"/>
      <c r="S10" s="553"/>
      <c r="T10" s="553"/>
      <c r="U10" s="553"/>
      <c r="V10" s="553"/>
      <c r="W10" s="553"/>
      <c r="X10" s="553"/>
      <c r="Y10" s="553"/>
      <c r="Z10" s="301"/>
      <c r="AA10" s="301"/>
      <c r="AB10" s="301"/>
      <c r="AC10" s="301"/>
      <c r="AD10" s="301"/>
      <c r="AE10" s="301"/>
      <c r="AF10" s="301"/>
      <c r="AG10" s="301"/>
      <c r="AH10" s="301"/>
      <c r="AI10" s="2"/>
      <c r="AJ10" s="2"/>
      <c r="AK10" s="2"/>
      <c r="AL10" s="2"/>
      <c r="AM10" s="2"/>
      <c r="AN10" s="2"/>
      <c r="AO10" s="2"/>
      <c r="AP10" s="301"/>
      <c r="AQ10" s="301"/>
      <c r="AR10" s="301"/>
      <c r="AS10" s="301"/>
      <c r="AT10" s="301"/>
      <c r="AU10" s="301"/>
      <c r="AV10" s="301"/>
      <c r="AW10" s="2"/>
      <c r="AX10" s="2"/>
      <c r="AY10" s="2"/>
      <c r="AZ10" s="2"/>
      <c r="BA10" s="2"/>
      <c r="BB10" s="2"/>
      <c r="BC10" s="2"/>
      <c r="BD10" s="3"/>
      <c r="BE10" s="3"/>
      <c r="BF10" s="3"/>
    </row>
    <row r="11" spans="1:58" x14ac:dyDescent="0.15">
      <c r="A11" s="624"/>
      <c r="B11" s="624"/>
      <c r="C11" s="624"/>
      <c r="D11" s="624"/>
      <c r="E11" s="624"/>
      <c r="F11" s="624"/>
      <c r="G11" s="624"/>
      <c r="H11" s="624"/>
      <c r="I11" s="624"/>
      <c r="J11" s="624"/>
      <c r="K11" s="624"/>
      <c r="L11" s="553"/>
      <c r="M11" s="553"/>
      <c r="N11" s="553"/>
      <c r="O11" s="553"/>
      <c r="P11" s="553"/>
      <c r="Q11" s="553"/>
      <c r="R11" s="553"/>
      <c r="S11" s="553"/>
      <c r="T11" s="553"/>
      <c r="U11" s="553"/>
      <c r="V11" s="553"/>
      <c r="W11" s="553"/>
      <c r="X11" s="553"/>
      <c r="Y11" s="553"/>
      <c r="Z11" s="301"/>
      <c r="AA11" s="301"/>
      <c r="AB11" s="301"/>
      <c r="AC11" s="301"/>
      <c r="AD11" s="301"/>
      <c r="AG11" s="722" t="s">
        <v>712</v>
      </c>
      <c r="AH11" s="723"/>
      <c r="AI11" s="732"/>
      <c r="AJ11" s="733"/>
      <c r="AK11" s="733"/>
      <c r="AL11" s="733"/>
      <c r="AM11" s="733"/>
      <c r="AN11" s="733"/>
      <c r="AO11" s="733"/>
      <c r="AP11" s="733"/>
      <c r="AQ11" s="733"/>
      <c r="AR11" s="733"/>
      <c r="AS11" s="733"/>
      <c r="AT11" s="733"/>
      <c r="AU11" s="733"/>
      <c r="AV11" s="733"/>
      <c r="AW11" s="733"/>
      <c r="AX11" s="733"/>
      <c r="AY11" s="733"/>
      <c r="AZ11" s="733"/>
      <c r="BA11" s="733"/>
      <c r="BB11" s="733"/>
      <c r="BC11" s="733"/>
      <c r="BD11" s="733"/>
      <c r="BE11" s="733"/>
      <c r="BF11" s="734"/>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G12" s="723"/>
      <c r="AH12" s="723"/>
      <c r="AI12" s="735"/>
      <c r="AJ12" s="1137"/>
      <c r="AK12" s="1137"/>
      <c r="AL12" s="1137"/>
      <c r="AM12" s="1137"/>
      <c r="AN12" s="1137"/>
      <c r="AO12" s="1137"/>
      <c r="AP12" s="1137"/>
      <c r="AQ12" s="1137"/>
      <c r="AR12" s="1137"/>
      <c r="AS12" s="1137"/>
      <c r="AT12" s="1137"/>
      <c r="AU12" s="1137"/>
      <c r="AV12" s="1137"/>
      <c r="AW12" s="1137"/>
      <c r="AX12" s="1137"/>
      <c r="AY12" s="1137"/>
      <c r="AZ12" s="1137"/>
      <c r="BA12" s="1137"/>
      <c r="BB12" s="1137"/>
      <c r="BC12" s="1137"/>
      <c r="BD12" s="1137"/>
      <c r="BE12" s="1137"/>
      <c r="BF12" s="737"/>
    </row>
    <row r="13" spans="1:58" x14ac:dyDescent="0.15">
      <c r="A13" t="s">
        <v>390</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G13" s="723"/>
      <c r="AH13" s="723"/>
      <c r="AI13" s="735"/>
      <c r="AJ13" s="1137"/>
      <c r="AK13" s="1137"/>
      <c r="AL13" s="1137"/>
      <c r="AM13" s="1137"/>
      <c r="AN13" s="1137"/>
      <c r="AO13" s="1137"/>
      <c r="AP13" s="1137"/>
      <c r="AQ13" s="1137"/>
      <c r="AR13" s="1137"/>
      <c r="AS13" s="1137"/>
      <c r="AT13" s="1137"/>
      <c r="AU13" s="1137"/>
      <c r="AV13" s="1137"/>
      <c r="AW13" s="1137"/>
      <c r="AX13" s="1137"/>
      <c r="AY13" s="1137"/>
      <c r="AZ13" s="1137"/>
      <c r="BA13" s="1137"/>
      <c r="BB13" s="1137"/>
      <c r="BC13" s="1137"/>
      <c r="BD13" s="1137"/>
      <c r="BE13" s="1137"/>
      <c r="BF13" s="737"/>
    </row>
    <row r="14" spans="1:58" ht="13.5" customHeight="1" x14ac:dyDescent="0.15">
      <c r="A14" s="624" t="s">
        <v>186</v>
      </c>
      <c r="B14" s="624"/>
      <c r="C14" s="624"/>
      <c r="D14" s="624"/>
      <c r="E14" s="624"/>
      <c r="F14" s="624"/>
      <c r="G14" s="624"/>
      <c r="H14" s="624"/>
      <c r="I14" s="624"/>
      <c r="J14" s="624" t="s">
        <v>187</v>
      </c>
      <c r="K14" s="624"/>
      <c r="L14" s="624"/>
      <c r="M14" s="624"/>
      <c r="N14" s="624"/>
      <c r="O14" s="624"/>
      <c r="P14" s="624" t="s">
        <v>391</v>
      </c>
      <c r="Q14" s="624"/>
      <c r="R14" s="624"/>
      <c r="S14" s="624"/>
      <c r="T14" s="624"/>
      <c r="U14" s="624"/>
      <c r="V14" s="624"/>
      <c r="W14" s="624"/>
      <c r="X14" s="624"/>
      <c r="Y14" s="741" t="s">
        <v>392</v>
      </c>
      <c r="Z14" s="1128"/>
      <c r="AA14" s="1128"/>
      <c r="AB14" s="1128"/>
      <c r="AC14" s="1128"/>
      <c r="AD14" s="1128"/>
      <c r="AE14" s="1129"/>
      <c r="AG14" s="723"/>
      <c r="AH14" s="723"/>
      <c r="AI14" s="735"/>
      <c r="AJ14" s="1137"/>
      <c r="AK14" s="1137"/>
      <c r="AL14" s="1137"/>
      <c r="AM14" s="1137"/>
      <c r="AN14" s="1137"/>
      <c r="AO14" s="1137"/>
      <c r="AP14" s="1137"/>
      <c r="AQ14" s="1137"/>
      <c r="AR14" s="1137"/>
      <c r="AS14" s="1137"/>
      <c r="AT14" s="1137"/>
      <c r="AU14" s="1137"/>
      <c r="AV14" s="1137"/>
      <c r="AW14" s="1137"/>
      <c r="AX14" s="1137"/>
      <c r="AY14" s="1137"/>
      <c r="AZ14" s="1137"/>
      <c r="BA14" s="1137"/>
      <c r="BB14" s="1137"/>
      <c r="BC14" s="1137"/>
      <c r="BD14" s="1137"/>
      <c r="BE14" s="1137"/>
      <c r="BF14" s="737"/>
    </row>
    <row r="15" spans="1:58" x14ac:dyDescent="0.15">
      <c r="A15" s="625" t="s">
        <v>32</v>
      </c>
      <c r="B15" s="625"/>
      <c r="C15" s="625"/>
      <c r="D15" s="625"/>
      <c r="E15" s="625"/>
      <c r="F15" s="625"/>
      <c r="G15" s="625"/>
      <c r="H15" s="625"/>
      <c r="I15" s="625"/>
      <c r="J15" s="1130" t="s">
        <v>395</v>
      </c>
      <c r="K15" s="1130"/>
      <c r="L15" s="1130"/>
      <c r="M15" s="1130"/>
      <c r="N15" s="1130"/>
      <c r="O15" s="1130"/>
      <c r="P15" s="1130" t="s">
        <v>704</v>
      </c>
      <c r="Q15" s="1130"/>
      <c r="R15" s="1130"/>
      <c r="S15" s="1130"/>
      <c r="T15" s="1130"/>
      <c r="U15" s="1130"/>
      <c r="V15" s="1130"/>
      <c r="W15" s="1130"/>
      <c r="X15" s="1130"/>
      <c r="Y15" s="1099" t="s">
        <v>706</v>
      </c>
      <c r="Z15" s="1099"/>
      <c r="AA15" s="1099"/>
      <c r="AB15" s="1099"/>
      <c r="AC15" s="1099"/>
      <c r="AD15" s="1099"/>
      <c r="AE15" s="1099"/>
      <c r="AG15" s="723"/>
      <c r="AH15" s="723"/>
      <c r="AI15" s="735"/>
      <c r="AJ15" s="1137"/>
      <c r="AK15" s="1137"/>
      <c r="AL15" s="1137"/>
      <c r="AM15" s="1137"/>
      <c r="AN15" s="1137"/>
      <c r="AO15" s="1137"/>
      <c r="AP15" s="1137"/>
      <c r="AQ15" s="1137"/>
      <c r="AR15" s="1137"/>
      <c r="AS15" s="1137"/>
      <c r="AT15" s="1137"/>
      <c r="AU15" s="1137"/>
      <c r="AV15" s="1137"/>
      <c r="AW15" s="1137"/>
      <c r="AX15" s="1137"/>
      <c r="AY15" s="1137"/>
      <c r="AZ15" s="1137"/>
      <c r="BA15" s="1137"/>
      <c r="BB15" s="1137"/>
      <c r="BC15" s="1137"/>
      <c r="BD15" s="1137"/>
      <c r="BE15" s="1137"/>
      <c r="BF15" s="737"/>
    </row>
    <row r="16" spans="1:58" x14ac:dyDescent="0.15">
      <c r="A16" s="625"/>
      <c r="B16" s="625"/>
      <c r="C16" s="625"/>
      <c r="D16" s="625"/>
      <c r="E16" s="625"/>
      <c r="F16" s="625"/>
      <c r="G16" s="625"/>
      <c r="H16" s="625"/>
      <c r="I16" s="625"/>
      <c r="J16" s="1100" t="s">
        <v>396</v>
      </c>
      <c r="K16" s="1100"/>
      <c r="L16" s="1100"/>
      <c r="M16" s="1100"/>
      <c r="N16" s="1100"/>
      <c r="O16" s="1100"/>
      <c r="P16" s="1100" t="s">
        <v>705</v>
      </c>
      <c r="Q16" s="1100"/>
      <c r="R16" s="1100"/>
      <c r="S16" s="1100"/>
      <c r="T16" s="1100"/>
      <c r="U16" s="1100"/>
      <c r="V16" s="1100"/>
      <c r="W16" s="1100"/>
      <c r="X16" s="1100"/>
      <c r="Y16" s="1101" t="s">
        <v>707</v>
      </c>
      <c r="Z16" s="1101"/>
      <c r="AA16" s="1101"/>
      <c r="AB16" s="1101"/>
      <c r="AC16" s="1101"/>
      <c r="AD16" s="1101"/>
      <c r="AE16" s="1101"/>
      <c r="AG16" s="723"/>
      <c r="AH16" s="723"/>
      <c r="AI16" s="735"/>
      <c r="AJ16" s="1137"/>
      <c r="AK16" s="1137"/>
      <c r="AL16" s="1137"/>
      <c r="AM16" s="1137"/>
      <c r="AN16" s="1137"/>
      <c r="AO16" s="1137"/>
      <c r="AP16" s="1137"/>
      <c r="AQ16" s="1137"/>
      <c r="AR16" s="1137"/>
      <c r="AS16" s="1137"/>
      <c r="AT16" s="1137"/>
      <c r="AU16" s="1137"/>
      <c r="AV16" s="1137"/>
      <c r="AW16" s="1137"/>
      <c r="AX16" s="1137"/>
      <c r="AY16" s="1137"/>
      <c r="AZ16" s="1137"/>
      <c r="BA16" s="1137"/>
      <c r="BB16" s="1137"/>
      <c r="BC16" s="1137"/>
      <c r="BD16" s="1137"/>
      <c r="BE16" s="1137"/>
      <c r="BF16" s="737"/>
    </row>
    <row r="17" spans="1:58" x14ac:dyDescent="0.15">
      <c r="A17" s="625" t="s">
        <v>288</v>
      </c>
      <c r="B17" s="625"/>
      <c r="C17" s="625"/>
      <c r="D17" s="625"/>
      <c r="E17" s="625"/>
      <c r="F17" s="625"/>
      <c r="G17" s="625"/>
      <c r="H17" s="625"/>
      <c r="I17" s="625"/>
      <c r="J17" s="1130" t="s">
        <v>395</v>
      </c>
      <c r="K17" s="1130"/>
      <c r="L17" s="1130"/>
      <c r="M17" s="1130"/>
      <c r="N17" s="1130"/>
      <c r="O17" s="1130"/>
      <c r="P17" s="1130" t="s">
        <v>704</v>
      </c>
      <c r="Q17" s="1130"/>
      <c r="R17" s="1130"/>
      <c r="S17" s="1130"/>
      <c r="T17" s="1130"/>
      <c r="U17" s="1130"/>
      <c r="V17" s="1130"/>
      <c r="W17" s="1130"/>
      <c r="X17" s="1130"/>
      <c r="Y17" s="1099" t="s">
        <v>708</v>
      </c>
      <c r="Z17" s="1099"/>
      <c r="AA17" s="1099"/>
      <c r="AB17" s="1099"/>
      <c r="AC17" s="1099"/>
      <c r="AD17" s="1099"/>
      <c r="AE17" s="1099"/>
      <c r="AG17" s="723"/>
      <c r="AH17" s="723"/>
      <c r="AI17" s="735"/>
      <c r="AJ17" s="1137"/>
      <c r="AK17" s="1137"/>
      <c r="AL17" s="1137"/>
      <c r="AM17" s="1137"/>
      <c r="AN17" s="1137"/>
      <c r="AO17" s="1137"/>
      <c r="AP17" s="1137"/>
      <c r="AQ17" s="1137"/>
      <c r="AR17" s="1137"/>
      <c r="AS17" s="1137"/>
      <c r="AT17" s="1137"/>
      <c r="AU17" s="1137"/>
      <c r="AV17" s="1137"/>
      <c r="AW17" s="1137"/>
      <c r="AX17" s="1137"/>
      <c r="AY17" s="1137"/>
      <c r="AZ17" s="1137"/>
      <c r="BA17" s="1137"/>
      <c r="BB17" s="1137"/>
      <c r="BC17" s="1137"/>
      <c r="BD17" s="1137"/>
      <c r="BE17" s="1137"/>
      <c r="BF17" s="737"/>
    </row>
    <row r="18" spans="1:58" x14ac:dyDescent="0.15">
      <c r="A18" s="625"/>
      <c r="B18" s="625"/>
      <c r="C18" s="625"/>
      <c r="D18" s="625"/>
      <c r="E18" s="625"/>
      <c r="F18" s="625"/>
      <c r="G18" s="625"/>
      <c r="H18" s="625"/>
      <c r="I18" s="625"/>
      <c r="J18" s="1100" t="s">
        <v>396</v>
      </c>
      <c r="K18" s="1100"/>
      <c r="L18" s="1100"/>
      <c r="M18" s="1100"/>
      <c r="N18" s="1100"/>
      <c r="O18" s="1100"/>
      <c r="P18" s="1100" t="s">
        <v>705</v>
      </c>
      <c r="Q18" s="1100"/>
      <c r="R18" s="1100"/>
      <c r="S18" s="1100"/>
      <c r="T18" s="1100"/>
      <c r="U18" s="1100"/>
      <c r="V18" s="1100"/>
      <c r="W18" s="1100"/>
      <c r="X18" s="1100"/>
      <c r="Y18" s="1101" t="s">
        <v>709</v>
      </c>
      <c r="Z18" s="1101"/>
      <c r="AA18" s="1101"/>
      <c r="AB18" s="1101"/>
      <c r="AC18" s="1101"/>
      <c r="AD18" s="1101"/>
      <c r="AE18" s="1101"/>
      <c r="AG18" s="1057"/>
      <c r="AH18" s="1057"/>
      <c r="AI18" s="735"/>
      <c r="AJ18" s="1137"/>
      <c r="AK18" s="1137"/>
      <c r="AL18" s="1137"/>
      <c r="AM18" s="1137"/>
      <c r="AN18" s="1137"/>
      <c r="AO18" s="1137"/>
      <c r="AP18" s="1137"/>
      <c r="AQ18" s="1137"/>
      <c r="AR18" s="1137"/>
      <c r="AS18" s="1137"/>
      <c r="AT18" s="1137"/>
      <c r="AU18" s="1137"/>
      <c r="AV18" s="1137"/>
      <c r="AW18" s="1137"/>
      <c r="AX18" s="1137"/>
      <c r="AY18" s="1137"/>
      <c r="AZ18" s="1137"/>
      <c r="BA18" s="1137"/>
      <c r="BB18" s="1137"/>
      <c r="BC18" s="1137"/>
      <c r="BD18" s="1137"/>
      <c r="BE18" s="1137"/>
      <c r="BF18" s="737"/>
    </row>
    <row r="19" spans="1:58" x14ac:dyDescent="0.15">
      <c r="A19" s="625" t="s">
        <v>206</v>
      </c>
      <c r="B19" s="625"/>
      <c r="C19" s="625"/>
      <c r="D19" s="625"/>
      <c r="E19" s="625"/>
      <c r="F19" s="625"/>
      <c r="G19" s="625"/>
      <c r="H19" s="625"/>
      <c r="I19" s="625"/>
      <c r="J19" s="1130" t="s">
        <v>395</v>
      </c>
      <c r="K19" s="1130"/>
      <c r="L19" s="1130"/>
      <c r="M19" s="1130"/>
      <c r="N19" s="1130"/>
      <c r="O19" s="1130"/>
      <c r="P19" s="1130" t="s">
        <v>704</v>
      </c>
      <c r="Q19" s="1130"/>
      <c r="R19" s="1130"/>
      <c r="S19" s="1130"/>
      <c r="T19" s="1130"/>
      <c r="U19" s="1130"/>
      <c r="V19" s="1130"/>
      <c r="W19" s="1130"/>
      <c r="X19" s="1130"/>
      <c r="Y19" s="1099" t="s">
        <v>710</v>
      </c>
      <c r="Z19" s="1099"/>
      <c r="AA19" s="1099"/>
      <c r="AB19" s="1099"/>
      <c r="AC19" s="1099"/>
      <c r="AD19" s="1099"/>
      <c r="AE19" s="1099"/>
      <c r="AG19" s="1057"/>
      <c r="AH19" s="1057"/>
      <c r="AI19" s="735"/>
      <c r="AJ19" s="1137"/>
      <c r="AK19" s="1137"/>
      <c r="AL19" s="1137"/>
      <c r="AM19" s="1137"/>
      <c r="AN19" s="1137"/>
      <c r="AO19" s="1137"/>
      <c r="AP19" s="1137"/>
      <c r="AQ19" s="1137"/>
      <c r="AR19" s="1137"/>
      <c r="AS19" s="1137"/>
      <c r="AT19" s="1137"/>
      <c r="AU19" s="1137"/>
      <c r="AV19" s="1137"/>
      <c r="AW19" s="1137"/>
      <c r="AX19" s="1137"/>
      <c r="AY19" s="1137"/>
      <c r="AZ19" s="1137"/>
      <c r="BA19" s="1137"/>
      <c r="BB19" s="1137"/>
      <c r="BC19" s="1137"/>
      <c r="BD19" s="1137"/>
      <c r="BE19" s="1137"/>
      <c r="BF19" s="737"/>
    </row>
    <row r="20" spans="1:58" x14ac:dyDescent="0.15">
      <c r="A20" s="625"/>
      <c r="B20" s="625"/>
      <c r="C20" s="625"/>
      <c r="D20" s="625"/>
      <c r="E20" s="625"/>
      <c r="F20" s="625"/>
      <c r="G20" s="625"/>
      <c r="H20" s="625"/>
      <c r="I20" s="625"/>
      <c r="J20" s="1100" t="s">
        <v>396</v>
      </c>
      <c r="K20" s="1100"/>
      <c r="L20" s="1100"/>
      <c r="M20" s="1100"/>
      <c r="N20" s="1100"/>
      <c r="O20" s="1100"/>
      <c r="P20" s="1100" t="s">
        <v>705</v>
      </c>
      <c r="Q20" s="1100"/>
      <c r="R20" s="1100"/>
      <c r="S20" s="1100"/>
      <c r="T20" s="1100"/>
      <c r="U20" s="1100"/>
      <c r="V20" s="1100"/>
      <c r="W20" s="1100"/>
      <c r="X20" s="1100"/>
      <c r="Y20" s="1101" t="s">
        <v>711</v>
      </c>
      <c r="Z20" s="1101"/>
      <c r="AA20" s="1101"/>
      <c r="AB20" s="1101"/>
      <c r="AC20" s="1101"/>
      <c r="AD20" s="1101"/>
      <c r="AE20" s="1101"/>
      <c r="AG20" s="1057"/>
      <c r="AH20" s="1057"/>
      <c r="AI20" s="735"/>
      <c r="AJ20" s="1137"/>
      <c r="AK20" s="1137"/>
      <c r="AL20" s="1137"/>
      <c r="AM20" s="1137"/>
      <c r="AN20" s="1137"/>
      <c r="AO20" s="1137"/>
      <c r="AP20" s="1137"/>
      <c r="AQ20" s="1137"/>
      <c r="AR20" s="1137"/>
      <c r="AS20" s="1137"/>
      <c r="AT20" s="1137"/>
      <c r="AU20" s="1137"/>
      <c r="AV20" s="1137"/>
      <c r="AW20" s="1137"/>
      <c r="AX20" s="1137"/>
      <c r="AY20" s="1137"/>
      <c r="AZ20" s="1137"/>
      <c r="BA20" s="1137"/>
      <c r="BB20" s="1137"/>
      <c r="BC20" s="1137"/>
      <c r="BD20" s="1137"/>
      <c r="BE20" s="1137"/>
      <c r="BF20" s="737"/>
    </row>
    <row r="21" spans="1:58" x14ac:dyDescent="0.15">
      <c r="A21" s="627" t="s">
        <v>716</v>
      </c>
      <c r="B21" s="627"/>
      <c r="C21" s="627"/>
      <c r="D21" s="627"/>
      <c r="E21" s="627"/>
      <c r="F21" s="627"/>
      <c r="G21" s="627"/>
      <c r="H21" s="627"/>
      <c r="I21" s="627"/>
      <c r="J21" s="1130" t="s">
        <v>395</v>
      </c>
      <c r="K21" s="1130"/>
      <c r="L21" s="1130"/>
      <c r="M21" s="1130"/>
      <c r="N21" s="1130"/>
      <c r="O21" s="1130"/>
      <c r="P21" s="1130" t="s">
        <v>704</v>
      </c>
      <c r="Q21" s="1130"/>
      <c r="R21" s="1130"/>
      <c r="S21" s="1130"/>
      <c r="T21" s="1130"/>
      <c r="U21" s="1130"/>
      <c r="V21" s="1130"/>
      <c r="W21" s="1130"/>
      <c r="X21" s="1130"/>
      <c r="Y21" s="1099" t="s">
        <v>714</v>
      </c>
      <c r="Z21" s="1099"/>
      <c r="AA21" s="1099"/>
      <c r="AB21" s="1099"/>
      <c r="AC21" s="1099"/>
      <c r="AD21" s="1099"/>
      <c r="AE21" s="1099"/>
      <c r="AG21" s="1057"/>
      <c r="AH21" s="1057"/>
      <c r="AI21" s="735"/>
      <c r="AJ21" s="1137"/>
      <c r="AK21" s="1137"/>
      <c r="AL21" s="1137"/>
      <c r="AM21" s="1137"/>
      <c r="AN21" s="1137"/>
      <c r="AO21" s="1137"/>
      <c r="AP21" s="1137"/>
      <c r="AQ21" s="1137"/>
      <c r="AR21" s="1137"/>
      <c r="AS21" s="1137"/>
      <c r="AT21" s="1137"/>
      <c r="AU21" s="1137"/>
      <c r="AV21" s="1137"/>
      <c r="AW21" s="1137"/>
      <c r="AX21" s="1137"/>
      <c r="AY21" s="1137"/>
      <c r="AZ21" s="1137"/>
      <c r="BA21" s="1137"/>
      <c r="BB21" s="1137"/>
      <c r="BC21" s="1137"/>
      <c r="BD21" s="1137"/>
      <c r="BE21" s="1137"/>
      <c r="BF21" s="737"/>
    </row>
    <row r="22" spans="1:58" x14ac:dyDescent="0.15">
      <c r="A22" s="627"/>
      <c r="B22" s="627"/>
      <c r="C22" s="627"/>
      <c r="D22" s="627"/>
      <c r="E22" s="627"/>
      <c r="F22" s="627"/>
      <c r="G22" s="627"/>
      <c r="H22" s="627"/>
      <c r="I22" s="627"/>
      <c r="J22" s="1100" t="s">
        <v>396</v>
      </c>
      <c r="K22" s="1100"/>
      <c r="L22" s="1100"/>
      <c r="M22" s="1100"/>
      <c r="N22" s="1100"/>
      <c r="O22" s="1100"/>
      <c r="P22" s="1100" t="s">
        <v>705</v>
      </c>
      <c r="Q22" s="1100"/>
      <c r="R22" s="1100"/>
      <c r="S22" s="1100"/>
      <c r="T22" s="1100"/>
      <c r="U22" s="1100"/>
      <c r="V22" s="1100"/>
      <c r="W22" s="1100"/>
      <c r="X22" s="1100"/>
      <c r="Y22" s="1101" t="s">
        <v>714</v>
      </c>
      <c r="Z22" s="1101"/>
      <c r="AA22" s="1101"/>
      <c r="AB22" s="1101"/>
      <c r="AC22" s="1101"/>
      <c r="AD22" s="1101"/>
      <c r="AE22" s="1101"/>
      <c r="AG22" s="1057"/>
      <c r="AH22" s="1057"/>
      <c r="AI22" s="738"/>
      <c r="AJ22" s="739"/>
      <c r="AK22" s="739"/>
      <c r="AL22" s="739"/>
      <c r="AM22" s="739"/>
      <c r="AN22" s="739"/>
      <c r="AO22" s="739"/>
      <c r="AP22" s="739"/>
      <c r="AQ22" s="739"/>
      <c r="AR22" s="739"/>
      <c r="AS22" s="739"/>
      <c r="AT22" s="739"/>
      <c r="AU22" s="739"/>
      <c r="AV22" s="739"/>
      <c r="AW22" s="739"/>
      <c r="AX22" s="739"/>
      <c r="AY22" s="739"/>
      <c r="AZ22" s="739"/>
      <c r="BA22" s="739"/>
      <c r="BB22" s="739"/>
      <c r="BC22" s="739"/>
      <c r="BD22" s="739"/>
      <c r="BE22" s="739"/>
      <c r="BF22" s="740"/>
    </row>
    <row r="23" spans="1:58" x14ac:dyDescent="0.15">
      <c r="A23" s="2"/>
      <c r="B23" s="2"/>
      <c r="C23" s="2"/>
      <c r="D23" s="2"/>
      <c r="E23" s="2"/>
      <c r="F23" s="2"/>
      <c r="G23" s="2"/>
      <c r="H23" s="2"/>
      <c r="I23" s="2"/>
      <c r="J23" s="2"/>
      <c r="K23" s="2"/>
      <c r="L23" s="302"/>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2"/>
      <c r="AO23" s="2"/>
      <c r="AP23" s="301"/>
      <c r="AQ23" s="301"/>
      <c r="AR23" s="301"/>
      <c r="AS23" s="301"/>
      <c r="AT23" s="301"/>
      <c r="AU23" s="301"/>
      <c r="AV23" s="301"/>
      <c r="AW23" s="2"/>
      <c r="AX23" s="2"/>
      <c r="AY23" s="2"/>
      <c r="AZ23" s="2"/>
      <c r="BA23" s="2"/>
      <c r="BB23" s="2"/>
      <c r="BC23" s="2"/>
      <c r="BD23" s="3"/>
      <c r="BE23" s="3"/>
      <c r="BF23" s="3"/>
    </row>
    <row r="24" spans="1:58" x14ac:dyDescent="0.15">
      <c r="A24" t="s">
        <v>33</v>
      </c>
    </row>
    <row r="25" spans="1:58" ht="13.5" customHeight="1" x14ac:dyDescent="0.15">
      <c r="A25" s="1122" t="s">
        <v>410</v>
      </c>
      <c r="B25" s="1123"/>
      <c r="C25" s="1123"/>
      <c r="D25" s="1123"/>
      <c r="E25" s="1123"/>
      <c r="F25" s="1123"/>
      <c r="G25" s="1123"/>
      <c r="H25" s="1123"/>
      <c r="I25" s="1123"/>
      <c r="J25" s="1123"/>
      <c r="K25" s="1124"/>
      <c r="L25" s="1122" t="s">
        <v>34</v>
      </c>
      <c r="M25" s="1123"/>
      <c r="N25" s="1123"/>
      <c r="O25" s="1123"/>
      <c r="P25" s="1123"/>
      <c r="Q25" s="1123"/>
      <c r="R25" s="1124"/>
      <c r="S25" s="1122" t="s">
        <v>411</v>
      </c>
      <c r="T25" s="1123"/>
      <c r="U25" s="1123"/>
      <c r="V25" s="1123"/>
      <c r="W25" s="1123"/>
      <c r="X25" s="1123"/>
      <c r="Y25" s="1124"/>
      <c r="Z25" s="1108" t="s">
        <v>35</v>
      </c>
      <c r="AA25" s="1108"/>
      <c r="AB25" s="1108"/>
      <c r="AC25" s="1108"/>
      <c r="AD25" s="1108"/>
      <c r="AE25" s="1108"/>
      <c r="AF25" s="1108"/>
      <c r="AG25" s="1108"/>
      <c r="AH25" s="1108"/>
      <c r="AI25" s="1108"/>
      <c r="AJ25" s="1108" t="s">
        <v>405</v>
      </c>
      <c r="AK25" s="1108"/>
      <c r="AL25" s="1108"/>
      <c r="AM25" s="1108"/>
      <c r="AN25" s="1108"/>
      <c r="AO25" s="1108"/>
      <c r="AP25" s="1108"/>
      <c r="AQ25" s="1108" t="s">
        <v>36</v>
      </c>
      <c r="AR25" s="1108"/>
      <c r="AS25" s="1108"/>
      <c r="AT25" s="1108"/>
      <c r="AU25" s="1108"/>
      <c r="AV25" s="1108"/>
      <c r="AW25" s="1108"/>
      <c r="AX25" s="1108"/>
      <c r="AY25" s="1108"/>
      <c r="AZ25" s="1108"/>
    </row>
    <row r="26" spans="1:58" x14ac:dyDescent="0.15">
      <c r="A26" s="1125"/>
      <c r="B26" s="1126"/>
      <c r="C26" s="1126"/>
      <c r="D26" s="1126"/>
      <c r="E26" s="1126"/>
      <c r="F26" s="1126"/>
      <c r="G26" s="1126"/>
      <c r="H26" s="1126"/>
      <c r="I26" s="1126"/>
      <c r="J26" s="1126"/>
      <c r="K26" s="1127"/>
      <c r="L26" s="1125"/>
      <c r="M26" s="1126"/>
      <c r="N26" s="1126"/>
      <c r="O26" s="1126"/>
      <c r="P26" s="1126"/>
      <c r="Q26" s="1126"/>
      <c r="R26" s="1127"/>
      <c r="S26" s="1125"/>
      <c r="T26" s="1126"/>
      <c r="U26" s="1126"/>
      <c r="V26" s="1126"/>
      <c r="W26" s="1126"/>
      <c r="X26" s="1126"/>
      <c r="Y26" s="1127"/>
      <c r="Z26" s="1108"/>
      <c r="AA26" s="1108"/>
      <c r="AB26" s="1108"/>
      <c r="AC26" s="1108"/>
      <c r="AD26" s="1108"/>
      <c r="AE26" s="1108"/>
      <c r="AF26" s="1108"/>
      <c r="AG26" s="1108"/>
      <c r="AH26" s="1108"/>
      <c r="AI26" s="1108"/>
      <c r="AJ26" s="1108"/>
      <c r="AK26" s="1108"/>
      <c r="AL26" s="1108"/>
      <c r="AM26" s="1108"/>
      <c r="AN26" s="1108"/>
      <c r="AO26" s="1108"/>
      <c r="AP26" s="1108"/>
      <c r="AQ26" s="1108"/>
      <c r="AR26" s="1108"/>
      <c r="AS26" s="1108"/>
      <c r="AT26" s="1108"/>
      <c r="AU26" s="1108"/>
      <c r="AV26" s="1108"/>
      <c r="AW26" s="1108"/>
      <c r="AX26" s="1108"/>
      <c r="AY26" s="1108"/>
      <c r="AZ26" s="1108"/>
    </row>
    <row r="27" spans="1:58" x14ac:dyDescent="0.15">
      <c r="A27" s="1115" t="s">
        <v>37</v>
      </c>
      <c r="B27" s="1116"/>
      <c r="C27" s="1116"/>
      <c r="D27" s="1116"/>
      <c r="E27" s="1116"/>
      <c r="F27" s="1116"/>
      <c r="G27" s="1116"/>
      <c r="H27" s="1116"/>
      <c r="I27" s="1116"/>
      <c r="J27" s="1116"/>
      <c r="K27" s="1117"/>
      <c r="L27" s="1121">
        <v>300</v>
      </c>
      <c r="M27" s="1121"/>
      <c r="N27" s="1121"/>
      <c r="O27" s="1121"/>
      <c r="P27" s="1121"/>
      <c r="Q27" s="1121"/>
      <c r="R27" s="1121"/>
      <c r="S27" s="1121">
        <v>20</v>
      </c>
      <c r="T27" s="1121"/>
      <c r="U27" s="1121"/>
      <c r="V27" s="1121"/>
      <c r="W27" s="1121"/>
      <c r="X27" s="1121"/>
      <c r="Y27" s="1121"/>
      <c r="Z27" s="1109">
        <f>IF(AND(L27&lt;&gt;"",S27&lt;&gt;""),L27/S27,"")</f>
        <v>15</v>
      </c>
      <c r="AA27" s="1110"/>
      <c r="AB27" s="1110"/>
      <c r="AC27" s="1110"/>
      <c r="AD27" s="1110"/>
      <c r="AE27" s="1110"/>
      <c r="AF27" s="1110"/>
      <c r="AG27" s="1110"/>
      <c r="AH27" s="1110"/>
      <c r="AI27" s="1111"/>
      <c r="AJ27" s="1102">
        <v>30</v>
      </c>
      <c r="AK27" s="1103"/>
      <c r="AL27" s="1103"/>
      <c r="AM27" s="1103"/>
      <c r="AN27" s="1103"/>
      <c r="AO27" s="1103"/>
      <c r="AP27" s="1104"/>
      <c r="AQ27" s="1109">
        <f>IF(AND(S27&lt;&gt;"",AJ27&lt;&gt;""),AJ27/S27,"")</f>
        <v>1.5</v>
      </c>
      <c r="AR27" s="1110"/>
      <c r="AS27" s="1110"/>
      <c r="AT27" s="1110"/>
      <c r="AU27" s="1110"/>
      <c r="AV27" s="1110"/>
      <c r="AW27" s="1110"/>
      <c r="AX27" s="1110"/>
      <c r="AY27" s="1110"/>
      <c r="AZ27" s="1111"/>
    </row>
    <row r="28" spans="1:58" x14ac:dyDescent="0.15">
      <c r="A28" s="1118"/>
      <c r="B28" s="1119"/>
      <c r="C28" s="1119"/>
      <c r="D28" s="1119"/>
      <c r="E28" s="1119"/>
      <c r="F28" s="1119"/>
      <c r="G28" s="1119"/>
      <c r="H28" s="1119"/>
      <c r="I28" s="1119"/>
      <c r="J28" s="1119"/>
      <c r="K28" s="1120"/>
      <c r="L28" s="1121"/>
      <c r="M28" s="1121"/>
      <c r="N28" s="1121"/>
      <c r="O28" s="1121"/>
      <c r="P28" s="1121"/>
      <c r="Q28" s="1121"/>
      <c r="R28" s="1121"/>
      <c r="S28" s="1121"/>
      <c r="T28" s="1121"/>
      <c r="U28" s="1121"/>
      <c r="V28" s="1121"/>
      <c r="W28" s="1121"/>
      <c r="X28" s="1121"/>
      <c r="Y28" s="1121"/>
      <c r="Z28" s="1112"/>
      <c r="AA28" s="1113"/>
      <c r="AB28" s="1113"/>
      <c r="AC28" s="1113"/>
      <c r="AD28" s="1113"/>
      <c r="AE28" s="1113"/>
      <c r="AF28" s="1113"/>
      <c r="AG28" s="1113"/>
      <c r="AH28" s="1113"/>
      <c r="AI28" s="1114"/>
      <c r="AJ28" s="1105"/>
      <c r="AK28" s="1106"/>
      <c r="AL28" s="1106"/>
      <c r="AM28" s="1106"/>
      <c r="AN28" s="1106"/>
      <c r="AO28" s="1106"/>
      <c r="AP28" s="1107"/>
      <c r="AQ28" s="1112"/>
      <c r="AR28" s="1113"/>
      <c r="AS28" s="1113"/>
      <c r="AT28" s="1113"/>
      <c r="AU28" s="1113"/>
      <c r="AV28" s="1113"/>
      <c r="AW28" s="1113"/>
      <c r="AX28" s="1113"/>
      <c r="AY28" s="1113"/>
      <c r="AZ28" s="1114"/>
    </row>
    <row r="29" spans="1:58" x14ac:dyDescent="0.15">
      <c r="A29" s="1115" t="s">
        <v>38</v>
      </c>
      <c r="B29" s="1116"/>
      <c r="C29" s="1116"/>
      <c r="D29" s="1116"/>
      <c r="E29" s="1116"/>
      <c r="F29" s="1116"/>
      <c r="G29" s="1116"/>
      <c r="H29" s="1116"/>
      <c r="I29" s="1116"/>
      <c r="J29" s="1116"/>
      <c r="K29" s="1117"/>
      <c r="L29" s="1121">
        <v>1500</v>
      </c>
      <c r="M29" s="1121"/>
      <c r="N29" s="1121"/>
      <c r="O29" s="1121"/>
      <c r="P29" s="1121"/>
      <c r="Q29" s="1121"/>
      <c r="R29" s="1121"/>
      <c r="S29" s="1121">
        <v>60</v>
      </c>
      <c r="T29" s="1121"/>
      <c r="U29" s="1121"/>
      <c r="V29" s="1121"/>
      <c r="W29" s="1121"/>
      <c r="X29" s="1121"/>
      <c r="Y29" s="1121"/>
      <c r="Z29" s="1109">
        <f>IF(AND(L29&lt;&gt;"",S29&lt;&gt;""),L29/S29,"")</f>
        <v>25</v>
      </c>
      <c r="AA29" s="1110"/>
      <c r="AB29" s="1110"/>
      <c r="AC29" s="1110"/>
      <c r="AD29" s="1110"/>
      <c r="AE29" s="1110"/>
      <c r="AF29" s="1110"/>
      <c r="AG29" s="1110"/>
      <c r="AH29" s="1110"/>
      <c r="AI29" s="1111"/>
      <c r="AJ29" s="1102">
        <v>29</v>
      </c>
      <c r="AK29" s="1103"/>
      <c r="AL29" s="1103"/>
      <c r="AM29" s="1103"/>
      <c r="AN29" s="1103"/>
      <c r="AO29" s="1103"/>
      <c r="AP29" s="1104"/>
      <c r="AQ29" s="1109">
        <f>IF(AND(S29&lt;&gt;"",AJ29&lt;&gt;""),AJ29/S29,"")</f>
        <v>0.48333333333333334</v>
      </c>
      <c r="AR29" s="1110"/>
      <c r="AS29" s="1110"/>
      <c r="AT29" s="1110"/>
      <c r="AU29" s="1110"/>
      <c r="AV29" s="1110"/>
      <c r="AW29" s="1110"/>
      <c r="AX29" s="1110"/>
      <c r="AY29" s="1110"/>
      <c r="AZ29" s="1111"/>
    </row>
    <row r="30" spans="1:58" x14ac:dyDescent="0.15">
      <c r="A30" s="1118"/>
      <c r="B30" s="1119"/>
      <c r="C30" s="1119"/>
      <c r="D30" s="1119"/>
      <c r="E30" s="1119"/>
      <c r="F30" s="1119"/>
      <c r="G30" s="1119"/>
      <c r="H30" s="1119"/>
      <c r="I30" s="1119"/>
      <c r="J30" s="1119"/>
      <c r="K30" s="1120"/>
      <c r="L30" s="1121"/>
      <c r="M30" s="1121"/>
      <c r="N30" s="1121"/>
      <c r="O30" s="1121"/>
      <c r="P30" s="1121"/>
      <c r="Q30" s="1121"/>
      <c r="R30" s="1121"/>
      <c r="S30" s="1121"/>
      <c r="T30" s="1121"/>
      <c r="U30" s="1121"/>
      <c r="V30" s="1121"/>
      <c r="W30" s="1121"/>
      <c r="X30" s="1121"/>
      <c r="Y30" s="1121"/>
      <c r="Z30" s="1112"/>
      <c r="AA30" s="1113"/>
      <c r="AB30" s="1113"/>
      <c r="AC30" s="1113"/>
      <c r="AD30" s="1113"/>
      <c r="AE30" s="1113"/>
      <c r="AF30" s="1113"/>
      <c r="AG30" s="1113"/>
      <c r="AH30" s="1113"/>
      <c r="AI30" s="1114"/>
      <c r="AJ30" s="1105"/>
      <c r="AK30" s="1106"/>
      <c r="AL30" s="1106"/>
      <c r="AM30" s="1106"/>
      <c r="AN30" s="1106"/>
      <c r="AO30" s="1106"/>
      <c r="AP30" s="1107"/>
      <c r="AQ30" s="1112"/>
      <c r="AR30" s="1113"/>
      <c r="AS30" s="1113"/>
      <c r="AT30" s="1113"/>
      <c r="AU30" s="1113"/>
      <c r="AV30" s="1113"/>
      <c r="AW30" s="1113"/>
      <c r="AX30" s="1113"/>
      <c r="AY30" s="1113"/>
      <c r="AZ30" s="1114"/>
    </row>
    <row r="31" spans="1:58" x14ac:dyDescent="0.15">
      <c r="A31" s="1115" t="s">
        <v>39</v>
      </c>
      <c r="B31" s="1116"/>
      <c r="C31" s="1116"/>
      <c r="D31" s="1116"/>
      <c r="E31" s="1116"/>
      <c r="F31" s="1116"/>
      <c r="G31" s="1116"/>
      <c r="H31" s="1116"/>
      <c r="I31" s="1116"/>
      <c r="J31" s="1116"/>
      <c r="K31" s="1117"/>
      <c r="L31" s="1121">
        <v>8000</v>
      </c>
      <c r="M31" s="1121"/>
      <c r="N31" s="1121"/>
      <c r="O31" s="1121"/>
      <c r="P31" s="1121"/>
      <c r="Q31" s="1121"/>
      <c r="R31" s="1121"/>
      <c r="S31" s="1121">
        <v>140</v>
      </c>
      <c r="T31" s="1121"/>
      <c r="U31" s="1121"/>
      <c r="V31" s="1121"/>
      <c r="W31" s="1121"/>
      <c r="X31" s="1121"/>
      <c r="Y31" s="1121"/>
      <c r="Z31" s="1109">
        <f>IF(AND(L31&lt;&gt;"",S31&lt;&gt;""),L31/S31,"")</f>
        <v>57.142857142857146</v>
      </c>
      <c r="AA31" s="1110"/>
      <c r="AB31" s="1110"/>
      <c r="AC31" s="1110"/>
      <c r="AD31" s="1110"/>
      <c r="AE31" s="1110"/>
      <c r="AF31" s="1110"/>
      <c r="AG31" s="1110"/>
      <c r="AH31" s="1110"/>
      <c r="AI31" s="1111"/>
      <c r="AJ31" s="1102">
        <v>41</v>
      </c>
      <c r="AK31" s="1103"/>
      <c r="AL31" s="1103"/>
      <c r="AM31" s="1103"/>
      <c r="AN31" s="1103"/>
      <c r="AO31" s="1103"/>
      <c r="AP31" s="1104"/>
      <c r="AQ31" s="1109">
        <f>IF(AND(S31&lt;&gt;"",AJ31&lt;&gt;""),AJ31/S31,"")</f>
        <v>0.29285714285714287</v>
      </c>
      <c r="AR31" s="1110"/>
      <c r="AS31" s="1110"/>
      <c r="AT31" s="1110"/>
      <c r="AU31" s="1110"/>
      <c r="AV31" s="1110"/>
      <c r="AW31" s="1110"/>
      <c r="AX31" s="1110"/>
      <c r="AY31" s="1110"/>
      <c r="AZ31" s="1111"/>
    </row>
    <row r="32" spans="1:58" x14ac:dyDescent="0.15">
      <c r="A32" s="1118"/>
      <c r="B32" s="1119"/>
      <c r="C32" s="1119"/>
      <c r="D32" s="1119"/>
      <c r="E32" s="1119"/>
      <c r="F32" s="1119"/>
      <c r="G32" s="1119"/>
      <c r="H32" s="1119"/>
      <c r="I32" s="1119"/>
      <c r="J32" s="1119"/>
      <c r="K32" s="1120"/>
      <c r="L32" s="1121"/>
      <c r="M32" s="1121"/>
      <c r="N32" s="1121"/>
      <c r="O32" s="1121"/>
      <c r="P32" s="1121"/>
      <c r="Q32" s="1121"/>
      <c r="R32" s="1121"/>
      <c r="S32" s="1121"/>
      <c r="T32" s="1121"/>
      <c r="U32" s="1121"/>
      <c r="V32" s="1121"/>
      <c r="W32" s="1121"/>
      <c r="X32" s="1121"/>
      <c r="Y32" s="1121"/>
      <c r="Z32" s="1112"/>
      <c r="AA32" s="1113"/>
      <c r="AB32" s="1113"/>
      <c r="AC32" s="1113"/>
      <c r="AD32" s="1113"/>
      <c r="AE32" s="1113"/>
      <c r="AF32" s="1113"/>
      <c r="AG32" s="1113"/>
      <c r="AH32" s="1113"/>
      <c r="AI32" s="1114"/>
      <c r="AJ32" s="1105"/>
      <c r="AK32" s="1106"/>
      <c r="AL32" s="1106"/>
      <c r="AM32" s="1106"/>
      <c r="AN32" s="1106"/>
      <c r="AO32" s="1106"/>
      <c r="AP32" s="1107"/>
      <c r="AQ32" s="1112"/>
      <c r="AR32" s="1113"/>
      <c r="AS32" s="1113"/>
      <c r="AT32" s="1113"/>
      <c r="AU32" s="1113"/>
      <c r="AV32" s="1113"/>
      <c r="AW32" s="1113"/>
      <c r="AX32" s="1113"/>
      <c r="AY32" s="1113"/>
      <c r="AZ32" s="1114"/>
    </row>
    <row r="33" spans="1:52" x14ac:dyDescent="0.15">
      <c r="A33" s="1115"/>
      <c r="B33" s="1116"/>
      <c r="C33" s="1116"/>
      <c r="D33" s="1116"/>
      <c r="E33" s="1116"/>
      <c r="F33" s="1116"/>
      <c r="G33" s="1116"/>
      <c r="H33" s="1116"/>
      <c r="I33" s="1116"/>
      <c r="J33" s="1116"/>
      <c r="K33" s="1117"/>
      <c r="L33" s="1121"/>
      <c r="M33" s="1121"/>
      <c r="N33" s="1121"/>
      <c r="O33" s="1121"/>
      <c r="P33" s="1121"/>
      <c r="Q33" s="1121"/>
      <c r="R33" s="1121"/>
      <c r="S33" s="1121"/>
      <c r="T33" s="1121"/>
      <c r="U33" s="1121"/>
      <c r="V33" s="1121"/>
      <c r="W33" s="1121"/>
      <c r="X33" s="1121"/>
      <c r="Y33" s="1121"/>
      <c r="Z33" s="1109" t="str">
        <f>IF(AND(L33&lt;&gt;"",S33&lt;&gt;""),L33/S33,"")</f>
        <v/>
      </c>
      <c r="AA33" s="1110"/>
      <c r="AB33" s="1110"/>
      <c r="AC33" s="1110"/>
      <c r="AD33" s="1110"/>
      <c r="AE33" s="1110"/>
      <c r="AF33" s="1110"/>
      <c r="AG33" s="1110"/>
      <c r="AH33" s="1110"/>
      <c r="AI33" s="1111"/>
      <c r="AJ33" s="1102"/>
      <c r="AK33" s="1103"/>
      <c r="AL33" s="1103"/>
      <c r="AM33" s="1103"/>
      <c r="AN33" s="1103"/>
      <c r="AO33" s="1103"/>
      <c r="AP33" s="1104"/>
      <c r="AQ33" s="1109" t="str">
        <f>IF(AND(S33&lt;&gt;"",AJ33&lt;&gt;""),AJ33/S33,"")</f>
        <v/>
      </c>
      <c r="AR33" s="1110"/>
      <c r="AS33" s="1110"/>
      <c r="AT33" s="1110"/>
      <c r="AU33" s="1110"/>
      <c r="AV33" s="1110"/>
      <c r="AW33" s="1110"/>
      <c r="AX33" s="1110"/>
      <c r="AY33" s="1110"/>
      <c r="AZ33" s="1111"/>
    </row>
    <row r="34" spans="1:52" x14ac:dyDescent="0.15">
      <c r="A34" s="1118"/>
      <c r="B34" s="1119"/>
      <c r="C34" s="1119"/>
      <c r="D34" s="1119"/>
      <c r="E34" s="1119"/>
      <c r="F34" s="1119"/>
      <c r="G34" s="1119"/>
      <c r="H34" s="1119"/>
      <c r="I34" s="1119"/>
      <c r="J34" s="1119"/>
      <c r="K34" s="1120"/>
      <c r="L34" s="1121"/>
      <c r="M34" s="1121"/>
      <c r="N34" s="1121"/>
      <c r="O34" s="1121"/>
      <c r="P34" s="1121"/>
      <c r="Q34" s="1121"/>
      <c r="R34" s="1121"/>
      <c r="S34" s="1121"/>
      <c r="T34" s="1121"/>
      <c r="U34" s="1121"/>
      <c r="V34" s="1121"/>
      <c r="W34" s="1121"/>
      <c r="X34" s="1121"/>
      <c r="Y34" s="1121"/>
      <c r="Z34" s="1112"/>
      <c r="AA34" s="1113"/>
      <c r="AB34" s="1113"/>
      <c r="AC34" s="1113"/>
      <c r="AD34" s="1113"/>
      <c r="AE34" s="1113"/>
      <c r="AF34" s="1113"/>
      <c r="AG34" s="1113"/>
      <c r="AH34" s="1113"/>
      <c r="AI34" s="1114"/>
      <c r="AJ34" s="1105"/>
      <c r="AK34" s="1106"/>
      <c r="AL34" s="1106"/>
      <c r="AM34" s="1106"/>
      <c r="AN34" s="1106"/>
      <c r="AO34" s="1106"/>
      <c r="AP34" s="1107"/>
      <c r="AQ34" s="1112"/>
      <c r="AR34" s="1113"/>
      <c r="AS34" s="1113"/>
      <c r="AT34" s="1113"/>
      <c r="AU34" s="1113"/>
      <c r="AV34" s="1113"/>
      <c r="AW34" s="1113"/>
      <c r="AX34" s="1113"/>
      <c r="AY34" s="1113"/>
      <c r="AZ34" s="1114"/>
    </row>
    <row r="35" spans="1:52" x14ac:dyDescent="0.15">
      <c r="A35" s="1115"/>
      <c r="B35" s="1116"/>
      <c r="C35" s="1116"/>
      <c r="D35" s="1116"/>
      <c r="E35" s="1116"/>
      <c r="F35" s="1116"/>
      <c r="G35" s="1116"/>
      <c r="H35" s="1116"/>
      <c r="I35" s="1116"/>
      <c r="J35" s="1116"/>
      <c r="K35" s="1117"/>
      <c r="L35" s="1121"/>
      <c r="M35" s="1121"/>
      <c r="N35" s="1121"/>
      <c r="O35" s="1121"/>
      <c r="P35" s="1121"/>
      <c r="Q35" s="1121"/>
      <c r="R35" s="1121"/>
      <c r="S35" s="1121"/>
      <c r="T35" s="1121"/>
      <c r="U35" s="1121"/>
      <c r="V35" s="1121"/>
      <c r="W35" s="1121"/>
      <c r="X35" s="1121"/>
      <c r="Y35" s="1121"/>
      <c r="Z35" s="1109" t="str">
        <f>IF(AND(L35&lt;&gt;"",S35&lt;&gt;""),L35/S35,"")</f>
        <v/>
      </c>
      <c r="AA35" s="1110"/>
      <c r="AB35" s="1110"/>
      <c r="AC35" s="1110"/>
      <c r="AD35" s="1110"/>
      <c r="AE35" s="1110"/>
      <c r="AF35" s="1110"/>
      <c r="AG35" s="1110"/>
      <c r="AH35" s="1110"/>
      <c r="AI35" s="1111"/>
      <c r="AJ35" s="1102"/>
      <c r="AK35" s="1103"/>
      <c r="AL35" s="1103"/>
      <c r="AM35" s="1103"/>
      <c r="AN35" s="1103"/>
      <c r="AO35" s="1103"/>
      <c r="AP35" s="1104"/>
      <c r="AQ35" s="1109" t="str">
        <f>IF(AND(S35&lt;&gt;"",AJ35&lt;&gt;""),AJ35/S35,"")</f>
        <v/>
      </c>
      <c r="AR35" s="1110"/>
      <c r="AS35" s="1110"/>
      <c r="AT35" s="1110"/>
      <c r="AU35" s="1110"/>
      <c r="AV35" s="1110"/>
      <c r="AW35" s="1110"/>
      <c r="AX35" s="1110"/>
      <c r="AY35" s="1110"/>
      <c r="AZ35" s="1111"/>
    </row>
    <row r="36" spans="1:52" x14ac:dyDescent="0.15">
      <c r="A36" s="1118"/>
      <c r="B36" s="1119"/>
      <c r="C36" s="1119"/>
      <c r="D36" s="1119"/>
      <c r="E36" s="1119"/>
      <c r="F36" s="1119"/>
      <c r="G36" s="1119"/>
      <c r="H36" s="1119"/>
      <c r="I36" s="1119"/>
      <c r="J36" s="1119"/>
      <c r="K36" s="1120"/>
      <c r="L36" s="1121"/>
      <c r="M36" s="1121"/>
      <c r="N36" s="1121"/>
      <c r="O36" s="1121"/>
      <c r="P36" s="1121"/>
      <c r="Q36" s="1121"/>
      <c r="R36" s="1121"/>
      <c r="S36" s="1121"/>
      <c r="T36" s="1121"/>
      <c r="U36" s="1121"/>
      <c r="V36" s="1121"/>
      <c r="W36" s="1121"/>
      <c r="X36" s="1121"/>
      <c r="Y36" s="1121"/>
      <c r="Z36" s="1112"/>
      <c r="AA36" s="1113"/>
      <c r="AB36" s="1113"/>
      <c r="AC36" s="1113"/>
      <c r="AD36" s="1113"/>
      <c r="AE36" s="1113"/>
      <c r="AF36" s="1113"/>
      <c r="AG36" s="1113"/>
      <c r="AH36" s="1113"/>
      <c r="AI36" s="1114"/>
      <c r="AJ36" s="1105"/>
      <c r="AK36" s="1106"/>
      <c r="AL36" s="1106"/>
      <c r="AM36" s="1106"/>
      <c r="AN36" s="1106"/>
      <c r="AO36" s="1106"/>
      <c r="AP36" s="1107"/>
      <c r="AQ36" s="1112"/>
      <c r="AR36" s="1113"/>
      <c r="AS36" s="1113"/>
      <c r="AT36" s="1113"/>
      <c r="AU36" s="1113"/>
      <c r="AV36" s="1113"/>
      <c r="AW36" s="1113"/>
      <c r="AX36" s="1113"/>
      <c r="AY36" s="1113"/>
      <c r="AZ36" s="1114"/>
    </row>
    <row r="37" spans="1:52" x14ac:dyDescent="0.15">
      <c r="A37" s="1115"/>
      <c r="B37" s="1116"/>
      <c r="C37" s="1116"/>
      <c r="D37" s="1116"/>
      <c r="E37" s="1116"/>
      <c r="F37" s="1116"/>
      <c r="G37" s="1116"/>
      <c r="H37" s="1116"/>
      <c r="I37" s="1116"/>
      <c r="J37" s="1116"/>
      <c r="K37" s="1117"/>
      <c r="L37" s="1121"/>
      <c r="M37" s="1121"/>
      <c r="N37" s="1121"/>
      <c r="O37" s="1121"/>
      <c r="P37" s="1121"/>
      <c r="Q37" s="1121"/>
      <c r="R37" s="1121"/>
      <c r="S37" s="1121"/>
      <c r="T37" s="1121"/>
      <c r="U37" s="1121"/>
      <c r="V37" s="1121"/>
      <c r="W37" s="1121"/>
      <c r="X37" s="1121"/>
      <c r="Y37" s="1121"/>
      <c r="Z37" s="1109" t="str">
        <f>IF(AND(L37&lt;&gt;"",S37&lt;&gt;""),L37/S37,"")</f>
        <v/>
      </c>
      <c r="AA37" s="1110"/>
      <c r="AB37" s="1110"/>
      <c r="AC37" s="1110"/>
      <c r="AD37" s="1110"/>
      <c r="AE37" s="1110"/>
      <c r="AF37" s="1110"/>
      <c r="AG37" s="1110"/>
      <c r="AH37" s="1110"/>
      <c r="AI37" s="1111"/>
      <c r="AJ37" s="1102"/>
      <c r="AK37" s="1103"/>
      <c r="AL37" s="1103"/>
      <c r="AM37" s="1103"/>
      <c r="AN37" s="1103"/>
      <c r="AO37" s="1103"/>
      <c r="AP37" s="1104"/>
      <c r="AQ37" s="1109" t="str">
        <f>IF(AND(S37&lt;&gt;"",AJ37&lt;&gt;""),AJ37/S37,"")</f>
        <v/>
      </c>
      <c r="AR37" s="1110"/>
      <c r="AS37" s="1110"/>
      <c r="AT37" s="1110"/>
      <c r="AU37" s="1110"/>
      <c r="AV37" s="1110"/>
      <c r="AW37" s="1110"/>
      <c r="AX37" s="1110"/>
      <c r="AY37" s="1110"/>
      <c r="AZ37" s="1111"/>
    </row>
    <row r="38" spans="1:52" x14ac:dyDescent="0.15">
      <c r="A38" s="1118"/>
      <c r="B38" s="1119"/>
      <c r="C38" s="1119"/>
      <c r="D38" s="1119"/>
      <c r="E38" s="1119"/>
      <c r="F38" s="1119"/>
      <c r="G38" s="1119"/>
      <c r="H38" s="1119"/>
      <c r="I38" s="1119"/>
      <c r="J38" s="1119"/>
      <c r="K38" s="1120"/>
      <c r="L38" s="1121"/>
      <c r="M38" s="1121"/>
      <c r="N38" s="1121"/>
      <c r="O38" s="1121"/>
      <c r="P38" s="1121"/>
      <c r="Q38" s="1121"/>
      <c r="R38" s="1121"/>
      <c r="S38" s="1121"/>
      <c r="T38" s="1121"/>
      <c r="U38" s="1121"/>
      <c r="V38" s="1121"/>
      <c r="W38" s="1121"/>
      <c r="X38" s="1121"/>
      <c r="Y38" s="1121"/>
      <c r="Z38" s="1112"/>
      <c r="AA38" s="1113"/>
      <c r="AB38" s="1113"/>
      <c r="AC38" s="1113"/>
      <c r="AD38" s="1113"/>
      <c r="AE38" s="1113"/>
      <c r="AF38" s="1113"/>
      <c r="AG38" s="1113"/>
      <c r="AH38" s="1113"/>
      <c r="AI38" s="1114"/>
      <c r="AJ38" s="1105"/>
      <c r="AK38" s="1106"/>
      <c r="AL38" s="1106"/>
      <c r="AM38" s="1106"/>
      <c r="AN38" s="1106"/>
      <c r="AO38" s="1106"/>
      <c r="AP38" s="1107"/>
      <c r="AQ38" s="1112"/>
      <c r="AR38" s="1113"/>
      <c r="AS38" s="1113"/>
      <c r="AT38" s="1113"/>
      <c r="AU38" s="1113"/>
      <c r="AV38" s="1113"/>
      <c r="AW38" s="1113"/>
      <c r="AX38" s="1113"/>
      <c r="AY38" s="1113"/>
      <c r="AZ38" s="1114"/>
    </row>
    <row r="39" spans="1:52" x14ac:dyDescent="0.15">
      <c r="A39" s="1115"/>
      <c r="B39" s="1116"/>
      <c r="C39" s="1116"/>
      <c r="D39" s="1116"/>
      <c r="E39" s="1116"/>
      <c r="F39" s="1116"/>
      <c r="G39" s="1116"/>
      <c r="H39" s="1116"/>
      <c r="I39" s="1116"/>
      <c r="J39" s="1116"/>
      <c r="K39" s="1117"/>
      <c r="L39" s="1121"/>
      <c r="M39" s="1121"/>
      <c r="N39" s="1121"/>
      <c r="O39" s="1121"/>
      <c r="P39" s="1121"/>
      <c r="Q39" s="1121"/>
      <c r="R39" s="1121"/>
      <c r="S39" s="1121"/>
      <c r="T39" s="1121"/>
      <c r="U39" s="1121"/>
      <c r="V39" s="1121"/>
      <c r="W39" s="1121"/>
      <c r="X39" s="1121"/>
      <c r="Y39" s="1121"/>
      <c r="Z39" s="1109" t="str">
        <f>IF(AND(L39&lt;&gt;"",S39&lt;&gt;""),L39/S39,"")</f>
        <v/>
      </c>
      <c r="AA39" s="1110"/>
      <c r="AB39" s="1110"/>
      <c r="AC39" s="1110"/>
      <c r="AD39" s="1110"/>
      <c r="AE39" s="1110"/>
      <c r="AF39" s="1110"/>
      <c r="AG39" s="1110"/>
      <c r="AH39" s="1110"/>
      <c r="AI39" s="1111"/>
      <c r="AJ39" s="1102"/>
      <c r="AK39" s="1103"/>
      <c r="AL39" s="1103"/>
      <c r="AM39" s="1103"/>
      <c r="AN39" s="1103"/>
      <c r="AO39" s="1103"/>
      <c r="AP39" s="1104"/>
      <c r="AQ39" s="1109" t="str">
        <f>IF(AND(S39&lt;&gt;"",AJ39&lt;&gt;""),AJ39/S39,"")</f>
        <v/>
      </c>
      <c r="AR39" s="1110"/>
      <c r="AS39" s="1110"/>
      <c r="AT39" s="1110"/>
      <c r="AU39" s="1110"/>
      <c r="AV39" s="1110"/>
      <c r="AW39" s="1110"/>
      <c r="AX39" s="1110"/>
      <c r="AY39" s="1110"/>
      <c r="AZ39" s="1111"/>
    </row>
    <row r="40" spans="1:52" x14ac:dyDescent="0.15">
      <c r="A40" s="1118"/>
      <c r="B40" s="1119"/>
      <c r="C40" s="1119"/>
      <c r="D40" s="1119"/>
      <c r="E40" s="1119"/>
      <c r="F40" s="1119"/>
      <c r="G40" s="1119"/>
      <c r="H40" s="1119"/>
      <c r="I40" s="1119"/>
      <c r="J40" s="1119"/>
      <c r="K40" s="1120"/>
      <c r="L40" s="1121"/>
      <c r="M40" s="1121"/>
      <c r="N40" s="1121"/>
      <c r="O40" s="1121"/>
      <c r="P40" s="1121"/>
      <c r="Q40" s="1121"/>
      <c r="R40" s="1121"/>
      <c r="S40" s="1121"/>
      <c r="T40" s="1121"/>
      <c r="U40" s="1121"/>
      <c r="V40" s="1121"/>
      <c r="W40" s="1121"/>
      <c r="X40" s="1121"/>
      <c r="Y40" s="1121"/>
      <c r="Z40" s="1112"/>
      <c r="AA40" s="1113"/>
      <c r="AB40" s="1113"/>
      <c r="AC40" s="1113"/>
      <c r="AD40" s="1113"/>
      <c r="AE40" s="1113"/>
      <c r="AF40" s="1113"/>
      <c r="AG40" s="1113"/>
      <c r="AH40" s="1113"/>
      <c r="AI40" s="1114"/>
      <c r="AJ40" s="1105"/>
      <c r="AK40" s="1106"/>
      <c r="AL40" s="1106"/>
      <c r="AM40" s="1106"/>
      <c r="AN40" s="1106"/>
      <c r="AO40" s="1106"/>
      <c r="AP40" s="1107"/>
      <c r="AQ40" s="1112"/>
      <c r="AR40" s="1113"/>
      <c r="AS40" s="1113"/>
      <c r="AT40" s="1113"/>
      <c r="AU40" s="1113"/>
      <c r="AV40" s="1113"/>
      <c r="AW40" s="1113"/>
      <c r="AX40" s="1113"/>
      <c r="AY40" s="1113"/>
      <c r="AZ40" s="1114"/>
    </row>
    <row r="41" spans="1:52" x14ac:dyDescent="0.15">
      <c r="A41" s="1115"/>
      <c r="B41" s="1116"/>
      <c r="C41" s="1116"/>
      <c r="D41" s="1116"/>
      <c r="E41" s="1116"/>
      <c r="F41" s="1116"/>
      <c r="G41" s="1116"/>
      <c r="H41" s="1116"/>
      <c r="I41" s="1116"/>
      <c r="J41" s="1116"/>
      <c r="K41" s="1117"/>
      <c r="L41" s="1121"/>
      <c r="M41" s="1121"/>
      <c r="N41" s="1121"/>
      <c r="O41" s="1121"/>
      <c r="P41" s="1121"/>
      <c r="Q41" s="1121"/>
      <c r="R41" s="1121"/>
      <c r="S41" s="1121"/>
      <c r="T41" s="1121"/>
      <c r="U41" s="1121"/>
      <c r="V41" s="1121"/>
      <c r="W41" s="1121"/>
      <c r="X41" s="1121"/>
      <c r="Y41" s="1121"/>
      <c r="Z41" s="1109" t="str">
        <f>IF(AND(L41&lt;&gt;"",S41&lt;&gt;""),L41/S41,"")</f>
        <v/>
      </c>
      <c r="AA41" s="1110"/>
      <c r="AB41" s="1110"/>
      <c r="AC41" s="1110"/>
      <c r="AD41" s="1110"/>
      <c r="AE41" s="1110"/>
      <c r="AF41" s="1110"/>
      <c r="AG41" s="1110"/>
      <c r="AH41" s="1110"/>
      <c r="AI41" s="1111"/>
      <c r="AJ41" s="1102"/>
      <c r="AK41" s="1103"/>
      <c r="AL41" s="1103"/>
      <c r="AM41" s="1103"/>
      <c r="AN41" s="1103"/>
      <c r="AO41" s="1103"/>
      <c r="AP41" s="1104"/>
      <c r="AQ41" s="1109" t="str">
        <f>IF(AND(S41&lt;&gt;"",AJ41&lt;&gt;""),AJ41/S41,"")</f>
        <v/>
      </c>
      <c r="AR41" s="1110"/>
      <c r="AS41" s="1110"/>
      <c r="AT41" s="1110"/>
      <c r="AU41" s="1110"/>
      <c r="AV41" s="1110"/>
      <c r="AW41" s="1110"/>
      <c r="AX41" s="1110"/>
      <c r="AY41" s="1110"/>
      <c r="AZ41" s="1111"/>
    </row>
    <row r="42" spans="1:52" x14ac:dyDescent="0.15">
      <c r="A42" s="1118"/>
      <c r="B42" s="1119"/>
      <c r="C42" s="1119"/>
      <c r="D42" s="1119"/>
      <c r="E42" s="1119"/>
      <c r="F42" s="1119"/>
      <c r="G42" s="1119"/>
      <c r="H42" s="1119"/>
      <c r="I42" s="1119"/>
      <c r="J42" s="1119"/>
      <c r="K42" s="1120"/>
      <c r="L42" s="1121"/>
      <c r="M42" s="1121"/>
      <c r="N42" s="1121"/>
      <c r="O42" s="1121"/>
      <c r="P42" s="1121"/>
      <c r="Q42" s="1121"/>
      <c r="R42" s="1121"/>
      <c r="S42" s="1121"/>
      <c r="T42" s="1121"/>
      <c r="U42" s="1121"/>
      <c r="V42" s="1121"/>
      <c r="W42" s="1121"/>
      <c r="X42" s="1121"/>
      <c r="Y42" s="1121"/>
      <c r="Z42" s="1112"/>
      <c r="AA42" s="1113"/>
      <c r="AB42" s="1113"/>
      <c r="AC42" s="1113"/>
      <c r="AD42" s="1113"/>
      <c r="AE42" s="1113"/>
      <c r="AF42" s="1113"/>
      <c r="AG42" s="1113"/>
      <c r="AH42" s="1113"/>
      <c r="AI42" s="1114"/>
      <c r="AJ42" s="1105"/>
      <c r="AK42" s="1106"/>
      <c r="AL42" s="1106"/>
      <c r="AM42" s="1106"/>
      <c r="AN42" s="1106"/>
      <c r="AO42" s="1106"/>
      <c r="AP42" s="1107"/>
      <c r="AQ42" s="1112"/>
      <c r="AR42" s="1113"/>
      <c r="AS42" s="1113"/>
      <c r="AT42" s="1113"/>
      <c r="AU42" s="1113"/>
      <c r="AV42" s="1113"/>
      <c r="AW42" s="1113"/>
      <c r="AX42" s="1113"/>
      <c r="AY42" s="1113"/>
      <c r="AZ42" s="1114"/>
    </row>
    <row r="43" spans="1:52" x14ac:dyDescent="0.15">
      <c r="A43" s="1115"/>
      <c r="B43" s="1116"/>
      <c r="C43" s="1116"/>
      <c r="D43" s="1116"/>
      <c r="E43" s="1116"/>
      <c r="F43" s="1116"/>
      <c r="G43" s="1116"/>
      <c r="H43" s="1116"/>
      <c r="I43" s="1116"/>
      <c r="J43" s="1116"/>
      <c r="K43" s="1117"/>
      <c r="L43" s="1121"/>
      <c r="M43" s="1121"/>
      <c r="N43" s="1121"/>
      <c r="O43" s="1121"/>
      <c r="P43" s="1121"/>
      <c r="Q43" s="1121"/>
      <c r="R43" s="1121"/>
      <c r="S43" s="1121"/>
      <c r="T43" s="1121"/>
      <c r="U43" s="1121"/>
      <c r="V43" s="1121"/>
      <c r="W43" s="1121"/>
      <c r="X43" s="1121"/>
      <c r="Y43" s="1121"/>
      <c r="Z43" s="1109" t="str">
        <f>IF(AND(L43&lt;&gt;"",S43&lt;&gt;""),L43/S43,"")</f>
        <v/>
      </c>
      <c r="AA43" s="1110"/>
      <c r="AB43" s="1110"/>
      <c r="AC43" s="1110"/>
      <c r="AD43" s="1110"/>
      <c r="AE43" s="1110"/>
      <c r="AF43" s="1110"/>
      <c r="AG43" s="1110"/>
      <c r="AH43" s="1110"/>
      <c r="AI43" s="1111"/>
      <c r="AJ43" s="1102"/>
      <c r="AK43" s="1103"/>
      <c r="AL43" s="1103"/>
      <c r="AM43" s="1103"/>
      <c r="AN43" s="1103"/>
      <c r="AO43" s="1103"/>
      <c r="AP43" s="1104"/>
      <c r="AQ43" s="1109" t="str">
        <f>IF(AND(S43&lt;&gt;"",AJ43&lt;&gt;""),AJ43/S43,"")</f>
        <v/>
      </c>
      <c r="AR43" s="1110"/>
      <c r="AS43" s="1110"/>
      <c r="AT43" s="1110"/>
      <c r="AU43" s="1110"/>
      <c r="AV43" s="1110"/>
      <c r="AW43" s="1110"/>
      <c r="AX43" s="1110"/>
      <c r="AY43" s="1110"/>
      <c r="AZ43" s="1111"/>
    </row>
    <row r="44" spans="1:52" x14ac:dyDescent="0.15">
      <c r="A44" s="1118"/>
      <c r="B44" s="1119"/>
      <c r="C44" s="1119"/>
      <c r="D44" s="1119"/>
      <c r="E44" s="1119"/>
      <c r="F44" s="1119"/>
      <c r="G44" s="1119"/>
      <c r="H44" s="1119"/>
      <c r="I44" s="1119"/>
      <c r="J44" s="1119"/>
      <c r="K44" s="1120"/>
      <c r="L44" s="1121"/>
      <c r="M44" s="1121"/>
      <c r="N44" s="1121"/>
      <c r="O44" s="1121"/>
      <c r="P44" s="1121"/>
      <c r="Q44" s="1121"/>
      <c r="R44" s="1121"/>
      <c r="S44" s="1121"/>
      <c r="T44" s="1121"/>
      <c r="U44" s="1121"/>
      <c r="V44" s="1121"/>
      <c r="W44" s="1121"/>
      <c r="X44" s="1121"/>
      <c r="Y44" s="1121"/>
      <c r="Z44" s="1112"/>
      <c r="AA44" s="1113"/>
      <c r="AB44" s="1113"/>
      <c r="AC44" s="1113"/>
      <c r="AD44" s="1113"/>
      <c r="AE44" s="1113"/>
      <c r="AF44" s="1113"/>
      <c r="AG44" s="1113"/>
      <c r="AH44" s="1113"/>
      <c r="AI44" s="1114"/>
      <c r="AJ44" s="1105"/>
      <c r="AK44" s="1106"/>
      <c r="AL44" s="1106"/>
      <c r="AM44" s="1106"/>
      <c r="AN44" s="1106"/>
      <c r="AO44" s="1106"/>
      <c r="AP44" s="1107"/>
      <c r="AQ44" s="1112"/>
      <c r="AR44" s="1113"/>
      <c r="AS44" s="1113"/>
      <c r="AT44" s="1113"/>
      <c r="AU44" s="1113"/>
      <c r="AV44" s="1113"/>
      <c r="AW44" s="1113"/>
      <c r="AX44" s="1113"/>
      <c r="AY44" s="1113"/>
      <c r="AZ44" s="1114"/>
    </row>
  </sheetData>
  <mergeCells count="134">
    <mergeCell ref="J17:O17"/>
    <mergeCell ref="P17:X17"/>
    <mergeCell ref="Y17:AE17"/>
    <mergeCell ref="P18:X18"/>
    <mergeCell ref="Y18:AE18"/>
    <mergeCell ref="A21:I22"/>
    <mergeCell ref="J21:O21"/>
    <mergeCell ref="P21:X21"/>
    <mergeCell ref="Y21:AE21"/>
    <mergeCell ref="J22:O22"/>
    <mergeCell ref="P22:X22"/>
    <mergeCell ref="Y22:AE22"/>
    <mergeCell ref="A19:I20"/>
    <mergeCell ref="J19:O19"/>
    <mergeCell ref="P19:X19"/>
    <mergeCell ref="Y19:AE19"/>
    <mergeCell ref="J20:O20"/>
    <mergeCell ref="P20:X20"/>
    <mergeCell ref="Y20:AE20"/>
    <mergeCell ref="A1:J4"/>
    <mergeCell ref="K1:AA4"/>
    <mergeCell ref="A5:N5"/>
    <mergeCell ref="A6:N6"/>
    <mergeCell ref="O5:AA5"/>
    <mergeCell ref="O6:AA6"/>
    <mergeCell ref="O7:AA7"/>
    <mergeCell ref="BD7:BF7"/>
    <mergeCell ref="AI8:AO8"/>
    <mergeCell ref="AP8:AV8"/>
    <mergeCell ref="AW8:BC8"/>
    <mergeCell ref="BD8:BF8"/>
    <mergeCell ref="AP7:AV7"/>
    <mergeCell ref="AW7:BC7"/>
    <mergeCell ref="O8:AA8"/>
    <mergeCell ref="AQ3:AV6"/>
    <mergeCell ref="AW3:BA3"/>
    <mergeCell ref="BB3:BF3"/>
    <mergeCell ref="AW4:BA6"/>
    <mergeCell ref="BB4:BF6"/>
    <mergeCell ref="A10:K11"/>
    <mergeCell ref="AI7:AO7"/>
    <mergeCell ref="A7:N7"/>
    <mergeCell ref="A8:N8"/>
    <mergeCell ref="AB7:AH7"/>
    <mergeCell ref="AQ1:BF1"/>
    <mergeCell ref="AB2:AF2"/>
    <mergeCell ref="AG2:AK2"/>
    <mergeCell ref="AL2:AP2"/>
    <mergeCell ref="AQ2:AV2"/>
    <mergeCell ref="AW2:BA2"/>
    <mergeCell ref="BB2:BF2"/>
    <mergeCell ref="AB1:AF1"/>
    <mergeCell ref="AG1:AK1"/>
    <mergeCell ref="AL1:AP1"/>
    <mergeCell ref="AB3:AF6"/>
    <mergeCell ref="AG3:AK6"/>
    <mergeCell ref="AL3:AP6"/>
    <mergeCell ref="AB8:AH8"/>
    <mergeCell ref="AG11:AH22"/>
    <mergeCell ref="AI11:BF22"/>
    <mergeCell ref="A14:I14"/>
    <mergeCell ref="J14:O14"/>
    <mergeCell ref="P14:X14"/>
    <mergeCell ref="AJ41:AP42"/>
    <mergeCell ref="Z41:AI42"/>
    <mergeCell ref="AJ37:AP38"/>
    <mergeCell ref="Z37:AI38"/>
    <mergeCell ref="AJ33:AP34"/>
    <mergeCell ref="Z33:AI34"/>
    <mergeCell ref="Z29:AI30"/>
    <mergeCell ref="AQ41:AZ42"/>
    <mergeCell ref="A43:K44"/>
    <mergeCell ref="L43:R44"/>
    <mergeCell ref="S43:Y44"/>
    <mergeCell ref="Z43:AI44"/>
    <mergeCell ref="AJ43:AP44"/>
    <mergeCell ref="AQ43:AZ44"/>
    <mergeCell ref="A41:K42"/>
    <mergeCell ref="L41:R42"/>
    <mergeCell ref="S41:Y42"/>
    <mergeCell ref="AQ37:AZ38"/>
    <mergeCell ref="A39:K40"/>
    <mergeCell ref="L39:R40"/>
    <mergeCell ref="S39:Y40"/>
    <mergeCell ref="Z39:AI40"/>
    <mergeCell ref="AJ39:AP40"/>
    <mergeCell ref="AQ39:AZ40"/>
    <mergeCell ref="A37:K38"/>
    <mergeCell ref="L37:R38"/>
    <mergeCell ref="S37:Y38"/>
    <mergeCell ref="AQ33:AZ34"/>
    <mergeCell ref="A35:K36"/>
    <mergeCell ref="L35:R36"/>
    <mergeCell ref="S35:Y36"/>
    <mergeCell ref="Z35:AI36"/>
    <mergeCell ref="AJ35:AP36"/>
    <mergeCell ref="AQ35:AZ36"/>
    <mergeCell ref="A33:K34"/>
    <mergeCell ref="L33:R34"/>
    <mergeCell ref="S33:Y34"/>
    <mergeCell ref="AQ29:AZ30"/>
    <mergeCell ref="A31:K32"/>
    <mergeCell ref="L31:R32"/>
    <mergeCell ref="S31:Y32"/>
    <mergeCell ref="Z31:AI32"/>
    <mergeCell ref="AJ31:AP32"/>
    <mergeCell ref="AQ31:AZ32"/>
    <mergeCell ref="A29:K30"/>
    <mergeCell ref="L29:R30"/>
    <mergeCell ref="S29:Y30"/>
    <mergeCell ref="L10:Y11"/>
    <mergeCell ref="Y15:AE15"/>
    <mergeCell ref="J16:O16"/>
    <mergeCell ref="P16:X16"/>
    <mergeCell ref="Y16:AE16"/>
    <mergeCell ref="AJ29:AP30"/>
    <mergeCell ref="J18:O18"/>
    <mergeCell ref="AQ25:AZ26"/>
    <mergeCell ref="AQ27:AZ28"/>
    <mergeCell ref="A27:K28"/>
    <mergeCell ref="L27:R28"/>
    <mergeCell ref="S27:Y28"/>
    <mergeCell ref="AJ25:AP26"/>
    <mergeCell ref="A25:K26"/>
    <mergeCell ref="L25:R26"/>
    <mergeCell ref="Y14:AE14"/>
    <mergeCell ref="A15:I16"/>
    <mergeCell ref="J15:O15"/>
    <mergeCell ref="P15:X15"/>
    <mergeCell ref="S25:Y26"/>
    <mergeCell ref="A17:I18"/>
    <mergeCell ref="AJ27:AP28"/>
    <mergeCell ref="Z25:AI26"/>
    <mergeCell ref="Z27:AI28"/>
  </mergeCells>
  <phoneticPr fontId="23"/>
  <dataValidations count="1">
    <dataValidation type="list" allowBlank="1" showInputMessage="1" showErrorMessage="1" sqref="L10:Y11" xr:uid="{00000000-0002-0000-1000-000000000000}">
      <formula1>"　,製造,結合テスト,システムテスト"</formula1>
    </dataValidation>
  </dataValidations>
  <pageMargins left="0.35433070866141736" right="0.39370078740157483" top="0.6692913385826772" bottom="0.47244094488188981" header="0.27559055118110237" footer="0.27559055118110237"/>
  <pageSetup paperSize="9" scale="87" fitToHeight="0" orientation="landscape" r:id="rId1"/>
  <headerFooter alignWithMargins="0">
    <oddHeader>&amp;L&amp;14【営業秘密】</oddHeader>
    <oddFooter>&amp;C&amp;P/&amp;N&amp;R（様式2014.03）</oddFooter>
  </headerFooter>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AJ50"/>
  <sheetViews>
    <sheetView showGridLines="0" topLeftCell="A37" zoomScale="75" workbookViewId="0">
      <selection sqref="A1:E5"/>
    </sheetView>
  </sheetViews>
  <sheetFormatPr defaultColWidth="4.25" defaultRowHeight="15" customHeight="1" x14ac:dyDescent="0.15"/>
  <cols>
    <col min="1" max="1" width="9" style="493" customWidth="1"/>
    <col min="2" max="16384" width="4.25" style="493"/>
  </cols>
  <sheetData>
    <row r="1" spans="1:36" ht="12.75" customHeight="1" x14ac:dyDescent="0.15">
      <c r="A1" s="1167" t="s">
        <v>692</v>
      </c>
      <c r="B1" s="1168"/>
      <c r="C1" s="1168"/>
      <c r="D1" s="1168"/>
      <c r="E1" s="1169"/>
      <c r="F1" s="1176" t="s">
        <v>486</v>
      </c>
      <c r="G1" s="1168"/>
      <c r="H1" s="1168"/>
      <c r="I1" s="1168"/>
      <c r="J1" s="1168"/>
      <c r="K1" s="1168"/>
      <c r="L1" s="1168"/>
      <c r="M1" s="1168"/>
      <c r="N1" s="1169"/>
      <c r="O1" s="1153" t="s">
        <v>305</v>
      </c>
      <c r="P1" s="1153"/>
      <c r="Q1" s="1153"/>
      <c r="R1" s="1153" t="s">
        <v>306</v>
      </c>
      <c r="S1" s="1153"/>
      <c r="T1" s="1153"/>
      <c r="U1" s="1153" t="s">
        <v>237</v>
      </c>
      <c r="V1" s="1153"/>
      <c r="W1" s="1153"/>
      <c r="X1" s="1153" t="s">
        <v>307</v>
      </c>
      <c r="Y1" s="1153"/>
      <c r="Z1" s="1153"/>
      <c r="AA1" s="1153"/>
      <c r="AB1" s="1153"/>
      <c r="AC1" s="1153"/>
      <c r="AD1" s="1153"/>
      <c r="AE1" s="1153"/>
      <c r="AF1" s="1153"/>
    </row>
    <row r="2" spans="1:36" ht="12.75" customHeight="1" x14ac:dyDescent="0.15">
      <c r="A2" s="1170"/>
      <c r="B2" s="1171"/>
      <c r="C2" s="1171"/>
      <c r="D2" s="1171"/>
      <c r="E2" s="1172"/>
      <c r="F2" s="1170"/>
      <c r="G2" s="1171"/>
      <c r="H2" s="1171"/>
      <c r="I2" s="1171"/>
      <c r="J2" s="1171"/>
      <c r="K2" s="1171"/>
      <c r="L2" s="1171"/>
      <c r="M2" s="1171"/>
      <c r="N2" s="1172"/>
      <c r="O2" s="1153" t="s">
        <v>473</v>
      </c>
      <c r="P2" s="1153"/>
      <c r="Q2" s="1153"/>
      <c r="R2" s="1153" t="s">
        <v>473</v>
      </c>
      <c r="S2" s="1153"/>
      <c r="T2" s="1153"/>
      <c r="U2" s="1153" t="s">
        <v>473</v>
      </c>
      <c r="V2" s="1153"/>
      <c r="W2" s="1153"/>
      <c r="X2" s="1154" t="s">
        <v>308</v>
      </c>
      <c r="Y2" s="1154"/>
      <c r="Z2" s="1154"/>
      <c r="AA2" s="1153" t="s">
        <v>306</v>
      </c>
      <c r="AB2" s="1153"/>
      <c r="AC2" s="1153"/>
      <c r="AD2" s="1153" t="s">
        <v>237</v>
      </c>
      <c r="AE2" s="1153"/>
      <c r="AF2" s="1153"/>
    </row>
    <row r="3" spans="1:36" ht="12.75" customHeight="1" x14ac:dyDescent="0.15">
      <c r="A3" s="1170"/>
      <c r="B3" s="1171"/>
      <c r="C3" s="1171"/>
      <c r="D3" s="1171"/>
      <c r="E3" s="1172"/>
      <c r="F3" s="1170"/>
      <c r="G3" s="1171"/>
      <c r="H3" s="1171"/>
      <c r="I3" s="1171"/>
      <c r="J3" s="1171"/>
      <c r="K3" s="1171"/>
      <c r="L3" s="1171"/>
      <c r="M3" s="1171"/>
      <c r="N3" s="1172"/>
      <c r="O3" s="1153"/>
      <c r="P3" s="1153"/>
      <c r="Q3" s="1153"/>
      <c r="R3" s="1153"/>
      <c r="S3" s="1153"/>
      <c r="T3" s="1153"/>
      <c r="U3" s="1153"/>
      <c r="V3" s="1153"/>
      <c r="W3" s="1153"/>
      <c r="X3" s="1153"/>
      <c r="Y3" s="1153"/>
      <c r="Z3" s="1153"/>
      <c r="AA3" s="1153" t="s">
        <v>238</v>
      </c>
      <c r="AB3" s="1153"/>
      <c r="AC3" s="1153"/>
      <c r="AD3" s="1153" t="s">
        <v>238</v>
      </c>
      <c r="AE3" s="1153"/>
      <c r="AF3" s="1153"/>
    </row>
    <row r="4" spans="1:36" ht="12.75" customHeight="1" x14ac:dyDescent="0.15">
      <c r="A4" s="1170"/>
      <c r="B4" s="1171"/>
      <c r="C4" s="1171"/>
      <c r="D4" s="1171"/>
      <c r="E4" s="1172"/>
      <c r="F4" s="1170"/>
      <c r="G4" s="1171"/>
      <c r="H4" s="1171"/>
      <c r="I4" s="1171"/>
      <c r="J4" s="1171"/>
      <c r="K4" s="1171"/>
      <c r="L4" s="1171"/>
      <c r="M4" s="1171"/>
      <c r="N4" s="1172"/>
      <c r="O4" s="1153"/>
      <c r="P4" s="1153"/>
      <c r="Q4" s="1153"/>
      <c r="R4" s="1153"/>
      <c r="S4" s="1153"/>
      <c r="T4" s="1153"/>
      <c r="U4" s="1153"/>
      <c r="V4" s="1153"/>
      <c r="W4" s="1153"/>
      <c r="X4" s="1153"/>
      <c r="Y4" s="1153"/>
      <c r="Z4" s="1153"/>
      <c r="AA4" s="1155"/>
      <c r="AB4" s="1156"/>
      <c r="AC4" s="1157"/>
      <c r="AD4" s="1155"/>
      <c r="AE4" s="1156"/>
      <c r="AF4" s="1157"/>
    </row>
    <row r="5" spans="1:36" ht="12.75" customHeight="1" x14ac:dyDescent="0.15">
      <c r="A5" s="1173"/>
      <c r="B5" s="1174"/>
      <c r="C5" s="1174"/>
      <c r="D5" s="1174"/>
      <c r="E5" s="1175"/>
      <c r="F5" s="1173"/>
      <c r="G5" s="1174"/>
      <c r="H5" s="1174"/>
      <c r="I5" s="1174"/>
      <c r="J5" s="1174"/>
      <c r="K5" s="1174"/>
      <c r="L5" s="1174"/>
      <c r="M5" s="1174"/>
      <c r="N5" s="1175"/>
      <c r="O5" s="1153"/>
      <c r="P5" s="1153"/>
      <c r="Q5" s="1153"/>
      <c r="R5" s="1153"/>
      <c r="S5" s="1153"/>
      <c r="T5" s="1153"/>
      <c r="U5" s="1153"/>
      <c r="V5" s="1153"/>
      <c r="W5" s="1153"/>
      <c r="X5" s="1153"/>
      <c r="Y5" s="1153"/>
      <c r="Z5" s="1153"/>
      <c r="AA5" s="1158"/>
      <c r="AB5" s="1159"/>
      <c r="AC5" s="1160"/>
      <c r="AD5" s="1158"/>
      <c r="AE5" s="1159"/>
      <c r="AF5" s="1160"/>
    </row>
    <row r="6" spans="1:36" ht="15" customHeight="1" x14ac:dyDescent="0.15">
      <c r="A6" s="1153" t="s">
        <v>465</v>
      </c>
      <c r="B6" s="1153"/>
      <c r="C6" s="1153"/>
      <c r="D6" s="1153"/>
      <c r="E6" s="1153"/>
      <c r="F6" s="1153"/>
      <c r="G6" s="1153"/>
      <c r="H6" s="1153" t="s">
        <v>466</v>
      </c>
      <c r="I6" s="1153"/>
      <c r="J6" s="1153"/>
      <c r="K6" s="1153"/>
      <c r="L6" s="1153"/>
      <c r="M6" s="1153"/>
      <c r="N6" s="1153"/>
      <c r="O6" s="1153"/>
      <c r="P6" s="1153"/>
      <c r="Q6" s="1153"/>
      <c r="R6" s="1153"/>
      <c r="S6" s="1153"/>
      <c r="T6" s="1153"/>
      <c r="U6" s="1153"/>
      <c r="V6" s="1153"/>
      <c r="W6" s="1153"/>
      <c r="X6" s="1153"/>
      <c r="Y6" s="1153"/>
      <c r="Z6" s="1153"/>
      <c r="AA6" s="1158"/>
      <c r="AB6" s="1159"/>
      <c r="AC6" s="1160"/>
      <c r="AD6" s="1158"/>
      <c r="AE6" s="1159"/>
      <c r="AF6" s="1160"/>
    </row>
    <row r="7" spans="1:36" ht="15" customHeight="1" x14ac:dyDescent="0.15">
      <c r="A7" s="1153"/>
      <c r="B7" s="1153"/>
      <c r="C7" s="1153"/>
      <c r="D7" s="1153"/>
      <c r="E7" s="1153"/>
      <c r="F7" s="1153"/>
      <c r="G7" s="1153"/>
      <c r="H7" s="1153"/>
      <c r="I7" s="1153"/>
      <c r="J7" s="1153"/>
      <c r="K7" s="1153"/>
      <c r="L7" s="1153"/>
      <c r="M7" s="1153"/>
      <c r="N7" s="1153"/>
      <c r="O7" s="1153"/>
      <c r="P7" s="1153"/>
      <c r="Q7" s="1153"/>
      <c r="R7" s="1153"/>
      <c r="S7" s="1153"/>
      <c r="T7" s="1153"/>
      <c r="U7" s="1153"/>
      <c r="V7" s="1153"/>
      <c r="W7" s="1153"/>
      <c r="X7" s="1153"/>
      <c r="Y7" s="1153"/>
      <c r="Z7" s="1153"/>
      <c r="AA7" s="1161"/>
      <c r="AB7" s="1162"/>
      <c r="AC7" s="1163"/>
      <c r="AD7" s="1161"/>
      <c r="AE7" s="1162"/>
      <c r="AF7" s="1163"/>
    </row>
    <row r="8" spans="1:36" s="262" customFormat="1" ht="15" customHeight="1" x14ac:dyDescent="0.15">
      <c r="A8" s="783" t="s">
        <v>310</v>
      </c>
      <c r="B8" s="783"/>
      <c r="C8" s="783"/>
      <c r="D8" s="783"/>
      <c r="E8" s="783"/>
      <c r="F8" s="783"/>
      <c r="G8" s="783"/>
      <c r="H8" s="783"/>
      <c r="I8" s="783"/>
      <c r="J8" s="783"/>
      <c r="K8" s="783"/>
      <c r="L8" s="783"/>
      <c r="M8" s="783"/>
      <c r="N8" s="783"/>
      <c r="O8" s="783" t="s">
        <v>139</v>
      </c>
      <c r="P8" s="783"/>
      <c r="Q8" s="783"/>
      <c r="R8" s="783"/>
      <c r="S8" s="783"/>
      <c r="T8" s="783"/>
      <c r="U8" s="260" t="s">
        <v>693</v>
      </c>
      <c r="V8" s="261"/>
      <c r="W8" s="754"/>
      <c r="X8" s="755"/>
      <c r="Y8" s="756"/>
      <c r="Z8" s="757" t="s">
        <v>468</v>
      </c>
      <c r="AA8" s="758"/>
      <c r="AB8" s="759"/>
      <c r="AC8" s="755"/>
      <c r="AD8" s="756"/>
      <c r="AE8" s="757" t="s">
        <v>469</v>
      </c>
      <c r="AF8" s="758"/>
    </row>
    <row r="9" spans="1:36" s="262" customFormat="1" ht="15" customHeight="1" x14ac:dyDescent="0.15">
      <c r="A9" s="783"/>
      <c r="B9" s="783"/>
      <c r="C9" s="783"/>
      <c r="D9" s="783"/>
      <c r="E9" s="783"/>
      <c r="F9" s="783"/>
      <c r="G9" s="783"/>
      <c r="H9" s="783"/>
      <c r="I9" s="783"/>
      <c r="J9" s="783"/>
      <c r="K9" s="783"/>
      <c r="L9" s="783"/>
      <c r="M9" s="783"/>
      <c r="N9" s="783"/>
      <c r="O9" s="783"/>
      <c r="P9" s="783"/>
      <c r="Q9" s="783"/>
      <c r="R9" s="783"/>
      <c r="S9" s="783"/>
      <c r="T9" s="783"/>
      <c r="U9" s="263" t="s">
        <v>694</v>
      </c>
      <c r="V9" s="264"/>
      <c r="W9" s="748"/>
      <c r="X9" s="749"/>
      <c r="Y9" s="750"/>
      <c r="Z9" s="751" t="s">
        <v>471</v>
      </c>
      <c r="AA9" s="750"/>
      <c r="AB9" s="751"/>
      <c r="AC9" s="749"/>
      <c r="AD9" s="750"/>
      <c r="AE9" s="752"/>
      <c r="AF9" s="753"/>
    </row>
    <row r="11" spans="1:36" ht="15" customHeight="1" x14ac:dyDescent="0.15">
      <c r="A11" s="494" t="s">
        <v>208</v>
      </c>
      <c r="B11" s="495"/>
      <c r="C11" s="1164" t="s">
        <v>695</v>
      </c>
      <c r="D11" s="1165"/>
      <c r="E11" s="1165"/>
      <c r="F11" s="1166"/>
      <c r="G11" s="496"/>
      <c r="H11" s="496"/>
      <c r="I11" s="496"/>
      <c r="J11" s="496"/>
      <c r="K11" s="496"/>
      <c r="L11" s="496"/>
      <c r="M11" s="496"/>
      <c r="N11" s="496"/>
      <c r="O11" s="496"/>
      <c r="P11" s="496"/>
      <c r="Q11" s="496"/>
      <c r="R11" s="496"/>
      <c r="S11" s="496"/>
      <c r="T11" s="496"/>
      <c r="U11" s="496"/>
      <c r="V11" s="496"/>
      <c r="W11" s="496"/>
      <c r="X11" s="496"/>
      <c r="Y11" s="496"/>
      <c r="Z11" s="496"/>
      <c r="AA11" s="496"/>
      <c r="AB11" s="496"/>
      <c r="AC11" s="496"/>
      <c r="AD11" s="496"/>
      <c r="AE11" s="496"/>
      <c r="AF11" s="496"/>
      <c r="AG11" s="496"/>
    </row>
    <row r="12" spans="1:36" ht="15" customHeight="1" x14ac:dyDescent="0.15">
      <c r="A12" s="497"/>
      <c r="B12" s="498"/>
      <c r="C12" s="498"/>
      <c r="D12" s="498"/>
      <c r="E12" s="498"/>
      <c r="F12" s="498"/>
      <c r="G12" s="496"/>
      <c r="H12" s="496"/>
      <c r="I12" s="496"/>
      <c r="J12" s="496"/>
      <c r="K12" s="496"/>
      <c r="L12" s="496"/>
      <c r="M12" s="496"/>
      <c r="N12" s="496"/>
      <c r="O12" s="496"/>
      <c r="P12" s="496"/>
      <c r="Q12" s="496"/>
      <c r="R12" s="496"/>
      <c r="S12" s="496"/>
      <c r="T12" s="496"/>
      <c r="U12" s="496"/>
      <c r="V12" s="496"/>
      <c r="W12" s="496"/>
      <c r="X12" s="496"/>
      <c r="Y12" s="496"/>
      <c r="Z12" s="496"/>
      <c r="AA12" s="496"/>
      <c r="AB12" s="496"/>
      <c r="AC12" s="496"/>
      <c r="AD12" s="496"/>
      <c r="AE12" s="496"/>
      <c r="AF12" s="496"/>
      <c r="AG12" s="496"/>
    </row>
    <row r="13" spans="1:36" ht="15" customHeight="1" x14ac:dyDescent="0.15">
      <c r="A13" s="494" t="s">
        <v>265</v>
      </c>
      <c r="B13" s="495"/>
      <c r="C13" s="494" t="s">
        <v>266</v>
      </c>
      <c r="D13" s="499"/>
      <c r="E13" s="495"/>
      <c r="F13" s="500" t="s">
        <v>267</v>
      </c>
      <c r="I13" s="496"/>
      <c r="J13" s="496"/>
      <c r="K13" s="496"/>
      <c r="L13" s="496"/>
      <c r="M13" s="496"/>
      <c r="N13" s="496"/>
      <c r="O13" s="496"/>
      <c r="P13" s="494" t="s">
        <v>265</v>
      </c>
      <c r="Q13" s="495"/>
      <c r="R13" s="494" t="s">
        <v>266</v>
      </c>
      <c r="S13" s="499"/>
      <c r="T13" s="499"/>
      <c r="U13" s="499"/>
      <c r="V13" s="495"/>
      <c r="W13" s="500" t="s">
        <v>267</v>
      </c>
      <c r="X13" s="496"/>
      <c r="Y13" s="496"/>
      <c r="Z13" s="496"/>
      <c r="AA13" s="496"/>
      <c r="AB13" s="496"/>
      <c r="AC13" s="496"/>
      <c r="AD13" s="496"/>
      <c r="AE13" s="496"/>
      <c r="AF13" s="496"/>
      <c r="AG13" s="496"/>
    </row>
    <row r="14" spans="1:36" ht="15" customHeight="1" x14ac:dyDescent="0.15">
      <c r="A14" s="501" t="s">
        <v>229</v>
      </c>
      <c r="B14" s="502"/>
      <c r="C14" s="432" t="s">
        <v>412</v>
      </c>
      <c r="D14" s="503"/>
      <c r="E14" s="504"/>
      <c r="F14" s="433">
        <v>15</v>
      </c>
      <c r="G14" s="505"/>
      <c r="H14" s="498"/>
      <c r="I14" s="498"/>
      <c r="J14" s="498"/>
      <c r="K14" s="498"/>
      <c r="L14" s="498"/>
      <c r="M14" s="498"/>
      <c r="N14" s="506"/>
      <c r="O14" s="496"/>
      <c r="P14" s="501" t="s">
        <v>231</v>
      </c>
      <c r="Q14" s="502"/>
      <c r="R14" s="432" t="s">
        <v>435</v>
      </c>
      <c r="S14" s="436"/>
      <c r="T14" s="436"/>
      <c r="U14" s="503"/>
      <c r="V14" s="504"/>
      <c r="W14" s="433">
        <v>4</v>
      </c>
      <c r="X14" s="505"/>
      <c r="Y14" s="498"/>
      <c r="Z14" s="498"/>
      <c r="AA14" s="498"/>
      <c r="AB14" s="498"/>
      <c r="AC14" s="498"/>
      <c r="AD14" s="498"/>
      <c r="AE14" s="498"/>
      <c r="AF14" s="506"/>
      <c r="AI14" s="496"/>
      <c r="AJ14" s="496"/>
    </row>
    <row r="15" spans="1:36" ht="15" customHeight="1" x14ac:dyDescent="0.15">
      <c r="A15" s="507"/>
      <c r="B15" s="508"/>
      <c r="C15" s="439" t="s">
        <v>415</v>
      </c>
      <c r="D15" s="509"/>
      <c r="E15" s="510"/>
      <c r="F15" s="441">
        <v>20</v>
      </c>
      <c r="G15" s="511"/>
      <c r="H15" s="496"/>
      <c r="I15" s="496"/>
      <c r="J15" s="496"/>
      <c r="K15" s="496"/>
      <c r="L15" s="496"/>
      <c r="M15" s="496"/>
      <c r="N15" s="512"/>
      <c r="O15" s="496"/>
      <c r="P15" s="507"/>
      <c r="Q15" s="508"/>
      <c r="R15" s="439" t="s">
        <v>436</v>
      </c>
      <c r="S15" s="444"/>
      <c r="T15" s="444"/>
      <c r="U15" s="509"/>
      <c r="V15" s="510"/>
      <c r="W15" s="441">
        <v>2</v>
      </c>
      <c r="X15" s="511"/>
      <c r="Y15" s="496"/>
      <c r="Z15" s="496"/>
      <c r="AA15" s="496"/>
      <c r="AB15" s="496"/>
      <c r="AC15" s="496"/>
      <c r="AD15" s="496"/>
      <c r="AE15" s="496"/>
      <c r="AF15" s="512"/>
      <c r="AI15" s="496"/>
      <c r="AJ15" s="496"/>
    </row>
    <row r="16" spans="1:36" ht="15" customHeight="1" x14ac:dyDescent="0.15">
      <c r="A16" s="507"/>
      <c r="B16" s="508"/>
      <c r="C16" s="439" t="s">
        <v>669</v>
      </c>
      <c r="D16" s="509"/>
      <c r="E16" s="510"/>
      <c r="F16" s="445">
        <v>17</v>
      </c>
      <c r="G16" s="511"/>
      <c r="H16" s="496"/>
      <c r="I16" s="496"/>
      <c r="J16" s="496"/>
      <c r="K16" s="496"/>
      <c r="L16" s="496"/>
      <c r="M16" s="496"/>
      <c r="N16" s="512"/>
      <c r="O16" s="496"/>
      <c r="P16" s="507"/>
      <c r="Q16" s="508"/>
      <c r="R16" s="439" t="s">
        <v>437</v>
      </c>
      <c r="S16" s="444"/>
      <c r="T16" s="444"/>
      <c r="U16" s="509"/>
      <c r="V16" s="510"/>
      <c r="W16" s="441">
        <v>9</v>
      </c>
      <c r="X16" s="511"/>
      <c r="Y16" s="496"/>
      <c r="Z16" s="496"/>
      <c r="AA16" s="496"/>
      <c r="AB16" s="496"/>
      <c r="AC16" s="496"/>
      <c r="AD16" s="496"/>
      <c r="AE16" s="496"/>
      <c r="AF16" s="512"/>
      <c r="AI16" s="496"/>
      <c r="AJ16" s="496"/>
    </row>
    <row r="17" spans="1:36" ht="15" customHeight="1" x14ac:dyDescent="0.15">
      <c r="A17" s="507"/>
      <c r="B17" s="508"/>
      <c r="C17" s="446" t="s">
        <v>418</v>
      </c>
      <c r="D17" s="513"/>
      <c r="E17" s="514"/>
      <c r="F17" s="448">
        <v>10</v>
      </c>
      <c r="G17" s="511"/>
      <c r="H17" s="496"/>
      <c r="I17" s="496"/>
      <c r="J17" s="496"/>
      <c r="K17" s="496"/>
      <c r="L17" s="496"/>
      <c r="M17" s="496"/>
      <c r="N17" s="512"/>
      <c r="O17" s="496"/>
      <c r="P17" s="507"/>
      <c r="Q17" s="508"/>
      <c r="R17" s="446" t="s">
        <v>438</v>
      </c>
      <c r="S17" s="449"/>
      <c r="T17" s="449"/>
      <c r="U17" s="513"/>
      <c r="V17" s="514"/>
      <c r="W17" s="450">
        <v>15</v>
      </c>
      <c r="X17" s="511"/>
      <c r="Y17" s="496"/>
      <c r="Z17" s="496"/>
      <c r="AA17" s="496"/>
      <c r="AB17" s="496"/>
      <c r="AC17" s="496"/>
      <c r="AD17" s="496"/>
      <c r="AE17" s="496"/>
      <c r="AF17" s="512"/>
      <c r="AI17" s="496"/>
      <c r="AJ17" s="496"/>
    </row>
    <row r="18" spans="1:36" ht="15" customHeight="1" x14ac:dyDescent="0.15">
      <c r="A18" s="507"/>
      <c r="B18" s="515"/>
      <c r="C18" s="516"/>
      <c r="D18" s="515"/>
      <c r="E18" s="515"/>
      <c r="F18" s="508"/>
      <c r="G18" s="511"/>
      <c r="H18" s="496"/>
      <c r="I18" s="496"/>
      <c r="J18" s="496"/>
      <c r="K18" s="496"/>
      <c r="L18" s="496"/>
      <c r="M18" s="496"/>
      <c r="N18" s="512"/>
      <c r="O18" s="496"/>
      <c r="P18" s="507"/>
      <c r="Q18" s="515"/>
      <c r="R18" s="516"/>
      <c r="S18" s="515"/>
      <c r="T18" s="515"/>
      <c r="U18" s="515"/>
      <c r="V18" s="515"/>
      <c r="W18" s="508"/>
      <c r="X18" s="511"/>
      <c r="Y18" s="496"/>
      <c r="Z18" s="496"/>
      <c r="AA18" s="496"/>
      <c r="AB18" s="496"/>
      <c r="AC18" s="496"/>
      <c r="AD18" s="496"/>
      <c r="AE18" s="496"/>
      <c r="AF18" s="512"/>
      <c r="AI18" s="496"/>
      <c r="AJ18" s="496"/>
    </row>
    <row r="19" spans="1:36" ht="15" customHeight="1" x14ac:dyDescent="0.15">
      <c r="A19" s="507"/>
      <c r="B19" s="515"/>
      <c r="C19" s="515"/>
      <c r="D19" s="515"/>
      <c r="E19" s="515"/>
      <c r="F19" s="508"/>
      <c r="G19" s="511"/>
      <c r="H19" s="496"/>
      <c r="I19" s="496"/>
      <c r="J19" s="496"/>
      <c r="K19" s="496"/>
      <c r="L19" s="496"/>
      <c r="M19" s="496"/>
      <c r="N19" s="512"/>
      <c r="O19" s="496"/>
      <c r="P19" s="507"/>
      <c r="Q19" s="515"/>
      <c r="R19" s="515"/>
      <c r="S19" s="515"/>
      <c r="T19" s="515"/>
      <c r="U19" s="515"/>
      <c r="V19" s="515"/>
      <c r="W19" s="508"/>
      <c r="X19" s="511"/>
      <c r="Y19" s="496"/>
      <c r="Z19" s="496"/>
      <c r="AA19" s="496"/>
      <c r="AB19" s="496"/>
      <c r="AC19" s="496"/>
      <c r="AD19" s="496"/>
      <c r="AE19" s="496"/>
      <c r="AF19" s="512"/>
      <c r="AI19" s="496"/>
      <c r="AJ19" s="496"/>
    </row>
    <row r="20" spans="1:36" ht="15" customHeight="1" x14ac:dyDescent="0.15">
      <c r="A20" s="507"/>
      <c r="B20" s="515"/>
      <c r="C20" s="515"/>
      <c r="D20" s="515"/>
      <c r="E20" s="515"/>
      <c r="F20" s="508"/>
      <c r="G20" s="511"/>
      <c r="H20" s="496"/>
      <c r="I20" s="496"/>
      <c r="J20" s="496"/>
      <c r="K20" s="496"/>
      <c r="L20" s="496"/>
      <c r="M20" s="496"/>
      <c r="N20" s="512"/>
      <c r="O20" s="496"/>
      <c r="P20" s="507"/>
      <c r="Q20" s="515"/>
      <c r="R20" s="515"/>
      <c r="S20" s="515"/>
      <c r="T20" s="515"/>
      <c r="U20" s="515"/>
      <c r="V20" s="515"/>
      <c r="W20" s="508"/>
      <c r="X20" s="511"/>
      <c r="Y20" s="496"/>
      <c r="Z20" s="496"/>
      <c r="AA20" s="496"/>
      <c r="AB20" s="496"/>
      <c r="AC20" s="496"/>
      <c r="AD20" s="496"/>
      <c r="AE20" s="496"/>
      <c r="AF20" s="512"/>
      <c r="AI20" s="496"/>
      <c r="AJ20" s="496"/>
    </row>
    <row r="21" spans="1:36" ht="15" customHeight="1" x14ac:dyDescent="0.15">
      <c r="A21" s="517"/>
      <c r="B21" s="518"/>
      <c r="C21" s="518"/>
      <c r="D21" s="518"/>
      <c r="E21" s="518"/>
      <c r="F21" s="519"/>
      <c r="G21" s="520"/>
      <c r="H21" s="521"/>
      <c r="I21" s="521"/>
      <c r="J21" s="521"/>
      <c r="K21" s="521"/>
      <c r="L21" s="521"/>
      <c r="M21" s="521"/>
      <c r="N21" s="522"/>
      <c r="O21" s="496"/>
      <c r="P21" s="517"/>
      <c r="Q21" s="518"/>
      <c r="R21" s="518"/>
      <c r="S21" s="518"/>
      <c r="T21" s="518"/>
      <c r="U21" s="518"/>
      <c r="V21" s="518"/>
      <c r="W21" s="519"/>
      <c r="X21" s="520"/>
      <c r="Y21" s="521"/>
      <c r="Z21" s="521"/>
      <c r="AA21" s="521"/>
      <c r="AB21" s="521"/>
      <c r="AC21" s="521"/>
      <c r="AD21" s="521"/>
      <c r="AE21" s="521"/>
      <c r="AF21" s="522"/>
      <c r="AI21" s="496"/>
      <c r="AJ21" s="496"/>
    </row>
    <row r="22" spans="1:36" ht="15" customHeight="1" x14ac:dyDescent="0.15">
      <c r="A22" s="501" t="s">
        <v>423</v>
      </c>
      <c r="B22" s="502"/>
      <c r="C22" s="432" t="s">
        <v>424</v>
      </c>
      <c r="D22" s="503"/>
      <c r="E22" s="504"/>
      <c r="F22" s="459">
        <v>16</v>
      </c>
      <c r="G22" s="505"/>
      <c r="H22" s="498"/>
      <c r="I22" s="498"/>
      <c r="J22" s="498"/>
      <c r="K22" s="498"/>
      <c r="L22" s="498"/>
      <c r="M22" s="498"/>
      <c r="N22" s="506"/>
      <c r="O22" s="496"/>
      <c r="P22" s="501" t="s">
        <v>413</v>
      </c>
      <c r="Q22" s="502"/>
      <c r="R22" s="460" t="s">
        <v>414</v>
      </c>
      <c r="S22" s="503"/>
      <c r="T22" s="503"/>
      <c r="U22" s="503"/>
      <c r="V22" s="504"/>
      <c r="W22" s="523"/>
      <c r="X22" s="505"/>
      <c r="Y22" s="498"/>
      <c r="Z22" s="498"/>
      <c r="AA22" s="498"/>
      <c r="AB22" s="498"/>
      <c r="AC22" s="498"/>
      <c r="AD22" s="498"/>
      <c r="AE22" s="498"/>
      <c r="AF22" s="506"/>
      <c r="AG22" s="496"/>
      <c r="AH22" s="496"/>
    </row>
    <row r="23" spans="1:36" ht="15" customHeight="1" x14ac:dyDescent="0.15">
      <c r="A23" s="507"/>
      <c r="B23" s="508"/>
      <c r="C23" s="439" t="s">
        <v>670</v>
      </c>
      <c r="D23" s="509"/>
      <c r="E23" s="510"/>
      <c r="F23" s="441">
        <v>38</v>
      </c>
      <c r="G23" s="511"/>
      <c r="H23" s="496"/>
      <c r="I23" s="496"/>
      <c r="J23" s="496"/>
      <c r="K23" s="496"/>
      <c r="L23" s="496"/>
      <c r="M23" s="496"/>
      <c r="N23" s="512"/>
      <c r="O23" s="496"/>
      <c r="P23" s="507"/>
      <c r="Q23" s="508"/>
      <c r="R23" s="524" t="s">
        <v>416</v>
      </c>
      <c r="S23" s="525" t="s">
        <v>416</v>
      </c>
      <c r="T23" s="509"/>
      <c r="U23" s="509"/>
      <c r="V23" s="510"/>
      <c r="W23" s="441">
        <v>5</v>
      </c>
      <c r="X23" s="511"/>
      <c r="Y23" s="496"/>
      <c r="Z23" s="496"/>
      <c r="AA23" s="496"/>
      <c r="AB23" s="496"/>
      <c r="AC23" s="496"/>
      <c r="AD23" s="496"/>
      <c r="AE23" s="496"/>
      <c r="AF23" s="512"/>
      <c r="AG23" s="496"/>
      <c r="AH23" s="496"/>
    </row>
    <row r="24" spans="1:36" ht="15" customHeight="1" x14ac:dyDescent="0.15">
      <c r="A24" s="507"/>
      <c r="B24" s="508"/>
      <c r="C24" s="439" t="s">
        <v>427</v>
      </c>
      <c r="D24" s="509"/>
      <c r="E24" s="510"/>
      <c r="F24" s="441">
        <v>22</v>
      </c>
      <c r="G24" s="511"/>
      <c r="H24" s="496"/>
      <c r="I24" s="496"/>
      <c r="J24" s="496"/>
      <c r="K24" s="496"/>
      <c r="L24" s="496"/>
      <c r="M24" s="496"/>
      <c r="N24" s="512"/>
      <c r="O24" s="496"/>
      <c r="P24" s="507"/>
      <c r="Q24" s="508"/>
      <c r="R24" s="524" t="s">
        <v>417</v>
      </c>
      <c r="S24" s="461" t="s">
        <v>417</v>
      </c>
      <c r="T24" s="509"/>
      <c r="U24" s="509"/>
      <c r="V24" s="510"/>
      <c r="W24" s="441">
        <v>3</v>
      </c>
      <c r="X24" s="511"/>
      <c r="Y24" s="496"/>
      <c r="Z24" s="496"/>
      <c r="AA24" s="496"/>
      <c r="AB24" s="496"/>
      <c r="AC24" s="496"/>
      <c r="AD24" s="496"/>
      <c r="AE24" s="496"/>
      <c r="AF24" s="512"/>
      <c r="AG24" s="496"/>
      <c r="AH24" s="496"/>
    </row>
    <row r="25" spans="1:36" ht="15" customHeight="1" x14ac:dyDescent="0.15">
      <c r="A25" s="507"/>
      <c r="B25" s="508"/>
      <c r="C25" s="439" t="s">
        <v>429</v>
      </c>
      <c r="D25" s="509"/>
      <c r="E25" s="510"/>
      <c r="F25" s="441">
        <v>20</v>
      </c>
      <c r="G25" s="511"/>
      <c r="H25" s="496"/>
      <c r="I25" s="496"/>
      <c r="J25" s="496"/>
      <c r="K25" s="496"/>
      <c r="L25" s="496"/>
      <c r="M25" s="496"/>
      <c r="N25" s="512"/>
      <c r="O25" s="496"/>
      <c r="P25" s="507"/>
      <c r="Q25" s="508"/>
      <c r="R25" s="524" t="s">
        <v>419</v>
      </c>
      <c r="S25" s="461" t="s">
        <v>419</v>
      </c>
      <c r="T25" s="509"/>
      <c r="U25" s="509"/>
      <c r="V25" s="510"/>
      <c r="W25" s="441">
        <v>10</v>
      </c>
      <c r="X25" s="511"/>
      <c r="Y25" s="496"/>
      <c r="Z25" s="496"/>
      <c r="AA25" s="496"/>
      <c r="AB25" s="496"/>
      <c r="AC25" s="496"/>
      <c r="AD25" s="496"/>
      <c r="AE25" s="496"/>
      <c r="AF25" s="512"/>
      <c r="AG25" s="496"/>
      <c r="AH25" s="496"/>
    </row>
    <row r="26" spans="1:36" ht="15" customHeight="1" x14ac:dyDescent="0.15">
      <c r="A26" s="507"/>
      <c r="B26" s="508"/>
      <c r="C26" s="439" t="s">
        <v>431</v>
      </c>
      <c r="D26" s="509"/>
      <c r="E26" s="510"/>
      <c r="F26" s="441">
        <v>11</v>
      </c>
      <c r="G26" s="511"/>
      <c r="H26" s="496"/>
      <c r="I26" s="496"/>
      <c r="J26" s="496"/>
      <c r="K26" s="496"/>
      <c r="L26" s="496"/>
      <c r="M26" s="496"/>
      <c r="N26" s="512"/>
      <c r="O26" s="496"/>
      <c r="P26" s="507"/>
      <c r="Q26" s="508"/>
      <c r="R26" s="524" t="s">
        <v>285</v>
      </c>
      <c r="S26" s="461" t="s">
        <v>285</v>
      </c>
      <c r="T26" s="509"/>
      <c r="U26" s="509"/>
      <c r="V26" s="510"/>
      <c r="W26" s="441">
        <v>3</v>
      </c>
      <c r="X26" s="511"/>
      <c r="Y26" s="496"/>
      <c r="Z26" s="496"/>
      <c r="AA26" s="496"/>
      <c r="AB26" s="496"/>
      <c r="AC26" s="496"/>
      <c r="AD26" s="496"/>
      <c r="AE26" s="496"/>
      <c r="AF26" s="512"/>
      <c r="AG26" s="496"/>
      <c r="AH26" s="496"/>
    </row>
    <row r="27" spans="1:36" ht="15" customHeight="1" x14ac:dyDescent="0.15">
      <c r="A27" s="507"/>
      <c r="B27" s="508"/>
      <c r="C27" s="446" t="s">
        <v>184</v>
      </c>
      <c r="D27" s="513"/>
      <c r="E27" s="514"/>
      <c r="F27" s="448">
        <v>3</v>
      </c>
      <c r="G27" s="511"/>
      <c r="H27" s="496"/>
      <c r="I27" s="496"/>
      <c r="J27" s="496"/>
      <c r="K27" s="496"/>
      <c r="L27" s="496"/>
      <c r="M27" s="496"/>
      <c r="N27" s="512"/>
      <c r="O27" s="496"/>
      <c r="P27" s="507"/>
      <c r="Q27" s="508"/>
      <c r="R27" s="524" t="s">
        <v>420</v>
      </c>
      <c r="S27" s="461" t="s">
        <v>420</v>
      </c>
      <c r="T27" s="509"/>
      <c r="U27" s="509"/>
      <c r="V27" s="510"/>
      <c r="W27" s="441">
        <v>4</v>
      </c>
      <c r="X27" s="511"/>
      <c r="Y27" s="496"/>
      <c r="Z27" s="496"/>
      <c r="AA27" s="496"/>
      <c r="AB27" s="496"/>
      <c r="AC27" s="496"/>
      <c r="AD27" s="496"/>
      <c r="AE27" s="496"/>
      <c r="AF27" s="512"/>
      <c r="AG27" s="496"/>
      <c r="AH27" s="496"/>
    </row>
    <row r="28" spans="1:36" ht="15" customHeight="1" x14ac:dyDescent="0.15">
      <c r="A28" s="507"/>
      <c r="B28" s="515"/>
      <c r="C28" s="516"/>
      <c r="D28" s="515"/>
      <c r="E28" s="515"/>
      <c r="F28" s="508"/>
      <c r="G28" s="511"/>
      <c r="H28" s="496"/>
      <c r="I28" s="496"/>
      <c r="J28" s="496"/>
      <c r="K28" s="496"/>
      <c r="L28" s="496"/>
      <c r="M28" s="496"/>
      <c r="N28" s="512"/>
      <c r="O28" s="496"/>
      <c r="P28" s="507"/>
      <c r="Q28" s="508"/>
      <c r="R28" s="524" t="s">
        <v>421</v>
      </c>
      <c r="S28" s="461" t="s">
        <v>421</v>
      </c>
      <c r="T28" s="509"/>
      <c r="U28" s="509"/>
      <c r="V28" s="510"/>
      <c r="W28" s="441">
        <v>5</v>
      </c>
      <c r="X28" s="511"/>
      <c r="Y28" s="496"/>
      <c r="Z28" s="496"/>
      <c r="AA28" s="496"/>
      <c r="AB28" s="496"/>
      <c r="AC28" s="496"/>
      <c r="AD28" s="496"/>
      <c r="AE28" s="496"/>
      <c r="AF28" s="512"/>
      <c r="AG28" s="496"/>
      <c r="AH28" s="496"/>
    </row>
    <row r="29" spans="1:36" ht="15" customHeight="1" x14ac:dyDescent="0.15">
      <c r="A29" s="517"/>
      <c r="B29" s="518"/>
      <c r="C29" s="518"/>
      <c r="D29" s="518"/>
      <c r="E29" s="518"/>
      <c r="F29" s="519"/>
      <c r="G29" s="520"/>
      <c r="H29" s="521"/>
      <c r="I29" s="521"/>
      <c r="J29" s="521"/>
      <c r="K29" s="521"/>
      <c r="L29" s="521"/>
      <c r="M29" s="521"/>
      <c r="N29" s="522"/>
      <c r="O29" s="496"/>
      <c r="P29" s="507"/>
      <c r="Q29" s="508"/>
      <c r="R29" s="462" t="s">
        <v>422</v>
      </c>
      <c r="S29" s="509"/>
      <c r="T29" s="509"/>
      <c r="U29" s="509"/>
      <c r="V29" s="510"/>
      <c r="W29" s="441">
        <v>9</v>
      </c>
      <c r="X29" s="511"/>
      <c r="Y29" s="496"/>
      <c r="Z29" s="496"/>
      <c r="AA29" s="496"/>
      <c r="AB29" s="496"/>
      <c r="AC29" s="496"/>
      <c r="AD29" s="496"/>
      <c r="AE29" s="496"/>
      <c r="AF29" s="512"/>
      <c r="AG29" s="496"/>
      <c r="AH29" s="496"/>
    </row>
    <row r="30" spans="1:36" ht="15" customHeight="1" x14ac:dyDescent="0.15">
      <c r="A30" s="501" t="s">
        <v>671</v>
      </c>
      <c r="B30" s="502"/>
      <c r="C30" s="432" t="s">
        <v>434</v>
      </c>
      <c r="D30" s="503"/>
      <c r="E30" s="504"/>
      <c r="F30" s="459">
        <v>33</v>
      </c>
      <c r="G30" s="505"/>
      <c r="H30" s="498"/>
      <c r="I30" s="498"/>
      <c r="J30" s="498"/>
      <c r="K30" s="498"/>
      <c r="L30" s="498"/>
      <c r="M30" s="498"/>
      <c r="N30" s="506"/>
      <c r="O30" s="496"/>
      <c r="P30" s="507"/>
      <c r="Q30" s="508"/>
      <c r="R30" s="462" t="s">
        <v>425</v>
      </c>
      <c r="S30" s="509"/>
      <c r="T30" s="509"/>
      <c r="U30" s="509"/>
      <c r="V30" s="510"/>
      <c r="W30" s="441">
        <v>8</v>
      </c>
      <c r="X30" s="511"/>
      <c r="Y30" s="496"/>
      <c r="Z30" s="496"/>
      <c r="AA30" s="496"/>
      <c r="AB30" s="496"/>
      <c r="AC30" s="496"/>
      <c r="AD30" s="496"/>
      <c r="AE30" s="496"/>
      <c r="AF30" s="512"/>
      <c r="AG30" s="496"/>
      <c r="AH30" s="496"/>
    </row>
    <row r="31" spans="1:36" ht="15" customHeight="1" x14ac:dyDescent="0.15">
      <c r="A31" s="507" t="s">
        <v>672</v>
      </c>
      <c r="B31" s="508"/>
      <c r="C31" s="439" t="s">
        <v>288</v>
      </c>
      <c r="D31" s="509"/>
      <c r="E31" s="510"/>
      <c r="F31" s="441">
        <v>21</v>
      </c>
      <c r="G31" s="511"/>
      <c r="H31" s="496"/>
      <c r="I31" s="496"/>
      <c r="J31" s="496"/>
      <c r="K31" s="496"/>
      <c r="L31" s="496"/>
      <c r="M31" s="496"/>
      <c r="N31" s="512"/>
      <c r="O31" s="496"/>
      <c r="P31" s="507"/>
      <c r="Q31" s="508"/>
      <c r="R31" s="462" t="s">
        <v>426</v>
      </c>
      <c r="S31" s="509"/>
      <c r="T31" s="509"/>
      <c r="U31" s="509"/>
      <c r="V31" s="510"/>
      <c r="W31" s="441">
        <v>2</v>
      </c>
      <c r="X31" s="511"/>
      <c r="Y31" s="496"/>
      <c r="Z31" s="496"/>
      <c r="AA31" s="496"/>
      <c r="AB31" s="496"/>
      <c r="AC31" s="496"/>
      <c r="AD31" s="496"/>
      <c r="AE31" s="496"/>
      <c r="AF31" s="512"/>
      <c r="AG31" s="496"/>
      <c r="AH31" s="496"/>
    </row>
    <row r="32" spans="1:36" ht="15" customHeight="1" x14ac:dyDescent="0.15">
      <c r="A32" s="507"/>
      <c r="B32" s="508"/>
      <c r="C32" s="446" t="s">
        <v>673</v>
      </c>
      <c r="D32" s="513"/>
      <c r="E32" s="514"/>
      <c r="F32" s="448">
        <v>19</v>
      </c>
      <c r="G32" s="511"/>
      <c r="H32" s="496"/>
      <c r="I32" s="496"/>
      <c r="J32" s="496"/>
      <c r="K32" s="496"/>
      <c r="L32" s="496"/>
      <c r="M32" s="496"/>
      <c r="N32" s="512"/>
      <c r="O32" s="496"/>
      <c r="P32" s="507"/>
      <c r="Q32" s="508"/>
      <c r="R32" s="462" t="s">
        <v>428</v>
      </c>
      <c r="S32" s="509"/>
      <c r="T32" s="509"/>
      <c r="U32" s="509"/>
      <c r="V32" s="510"/>
      <c r="W32" s="441">
        <v>10</v>
      </c>
      <c r="X32" s="511"/>
      <c r="Y32" s="496"/>
      <c r="Z32" s="496"/>
      <c r="AA32" s="496"/>
      <c r="AB32" s="496"/>
      <c r="AC32" s="496"/>
      <c r="AD32" s="496"/>
      <c r="AE32" s="496"/>
      <c r="AF32" s="512"/>
      <c r="AG32" s="496"/>
    </row>
    <row r="33" spans="1:33" ht="15" customHeight="1" x14ac:dyDescent="0.15">
      <c r="A33" s="507"/>
      <c r="B33" s="515"/>
      <c r="C33" s="516"/>
      <c r="D33" s="515"/>
      <c r="E33" s="515"/>
      <c r="F33" s="508"/>
      <c r="G33" s="511"/>
      <c r="H33" s="496"/>
      <c r="I33" s="496"/>
      <c r="J33" s="496"/>
      <c r="K33" s="496"/>
      <c r="L33" s="496"/>
      <c r="M33" s="496"/>
      <c r="N33" s="512"/>
      <c r="O33" s="496"/>
      <c r="P33" s="507"/>
      <c r="Q33" s="508"/>
      <c r="R33" s="462" t="s">
        <v>430</v>
      </c>
      <c r="S33" s="509"/>
      <c r="T33" s="509"/>
      <c r="U33" s="509"/>
      <c r="V33" s="510"/>
      <c r="W33" s="441">
        <v>15</v>
      </c>
      <c r="X33" s="511"/>
      <c r="Y33" s="496"/>
      <c r="Z33" s="496"/>
      <c r="AA33" s="496"/>
      <c r="AB33" s="496"/>
      <c r="AC33" s="496"/>
      <c r="AD33" s="496"/>
      <c r="AE33" s="496"/>
      <c r="AF33" s="512"/>
      <c r="AG33" s="496"/>
    </row>
    <row r="34" spans="1:33" ht="15" customHeight="1" x14ac:dyDescent="0.15">
      <c r="A34" s="507"/>
      <c r="B34" s="515"/>
      <c r="C34" s="515"/>
      <c r="D34" s="515"/>
      <c r="E34" s="515"/>
      <c r="F34" s="508"/>
      <c r="G34" s="511"/>
      <c r="H34" s="496"/>
      <c r="I34" s="496"/>
      <c r="J34" s="496"/>
      <c r="K34" s="496"/>
      <c r="L34" s="496"/>
      <c r="M34" s="496"/>
      <c r="N34" s="512"/>
      <c r="O34" s="496"/>
      <c r="P34" s="507"/>
      <c r="Q34" s="508"/>
      <c r="R34" s="462" t="s">
        <v>277</v>
      </c>
      <c r="S34" s="509"/>
      <c r="T34" s="509"/>
      <c r="U34" s="509"/>
      <c r="V34" s="510"/>
      <c r="W34" s="441">
        <v>3</v>
      </c>
      <c r="X34" s="511"/>
      <c r="Y34" s="496"/>
      <c r="Z34" s="496"/>
      <c r="AA34" s="496"/>
      <c r="AB34" s="496"/>
      <c r="AC34" s="496"/>
      <c r="AD34" s="496"/>
      <c r="AE34" s="496"/>
      <c r="AF34" s="512"/>
      <c r="AG34" s="496"/>
    </row>
    <row r="35" spans="1:33" ht="15" customHeight="1" x14ac:dyDescent="0.15">
      <c r="A35" s="507"/>
      <c r="B35" s="515"/>
      <c r="C35" s="515"/>
      <c r="D35" s="515"/>
      <c r="E35" s="515"/>
      <c r="F35" s="508"/>
      <c r="G35" s="511"/>
      <c r="H35" s="496"/>
      <c r="I35" s="496"/>
      <c r="J35" s="496"/>
      <c r="K35" s="496"/>
      <c r="L35" s="496"/>
      <c r="M35" s="496"/>
      <c r="N35" s="512"/>
      <c r="O35" s="496"/>
      <c r="P35" s="507"/>
      <c r="Q35" s="508"/>
      <c r="R35" s="462" t="s">
        <v>285</v>
      </c>
      <c r="S35" s="509"/>
      <c r="T35" s="509"/>
      <c r="U35" s="509"/>
      <c r="V35" s="510"/>
      <c r="W35" s="441">
        <v>7</v>
      </c>
      <c r="X35" s="511"/>
      <c r="Y35" s="496"/>
      <c r="Z35" s="496"/>
      <c r="AA35" s="496"/>
      <c r="AB35" s="496"/>
      <c r="AC35" s="496"/>
      <c r="AD35" s="496"/>
      <c r="AE35" s="496"/>
      <c r="AF35" s="512"/>
      <c r="AG35" s="496"/>
    </row>
    <row r="36" spans="1:33" ht="15" customHeight="1" x14ac:dyDescent="0.15">
      <c r="A36" s="507"/>
      <c r="B36" s="515"/>
      <c r="C36" s="515"/>
      <c r="D36" s="515"/>
      <c r="E36" s="515"/>
      <c r="F36" s="508"/>
      <c r="G36" s="511"/>
      <c r="H36" s="496"/>
      <c r="I36" s="496"/>
      <c r="J36" s="496"/>
      <c r="K36" s="496"/>
      <c r="L36" s="496"/>
      <c r="M36" s="496"/>
      <c r="N36" s="512"/>
      <c r="O36" s="496"/>
      <c r="P36" s="507"/>
      <c r="Q36" s="508"/>
      <c r="R36" s="462" t="s">
        <v>432</v>
      </c>
      <c r="S36" s="509"/>
      <c r="T36" s="509"/>
      <c r="U36" s="509"/>
      <c r="V36" s="510"/>
      <c r="W36" s="441">
        <v>9</v>
      </c>
      <c r="X36" s="511"/>
      <c r="Y36" s="496"/>
      <c r="Z36" s="496"/>
      <c r="AA36" s="496"/>
      <c r="AB36" s="496"/>
      <c r="AC36" s="496"/>
      <c r="AD36" s="496"/>
      <c r="AE36" s="496"/>
      <c r="AF36" s="512"/>
      <c r="AG36" s="496"/>
    </row>
    <row r="37" spans="1:33" ht="15" customHeight="1" x14ac:dyDescent="0.15">
      <c r="A37" s="517"/>
      <c r="B37" s="518"/>
      <c r="C37" s="518"/>
      <c r="D37" s="518"/>
      <c r="E37" s="518"/>
      <c r="F37" s="519"/>
      <c r="G37" s="520"/>
      <c r="H37" s="521"/>
      <c r="I37" s="521"/>
      <c r="J37" s="521"/>
      <c r="K37" s="521"/>
      <c r="L37" s="521"/>
      <c r="M37" s="521"/>
      <c r="N37" s="522"/>
      <c r="O37" s="496"/>
      <c r="P37" s="507"/>
      <c r="Q37" s="508"/>
      <c r="R37" s="462" t="s">
        <v>433</v>
      </c>
      <c r="S37" s="509"/>
      <c r="T37" s="509"/>
      <c r="U37" s="509"/>
      <c r="V37" s="510"/>
      <c r="W37" s="441">
        <v>10</v>
      </c>
      <c r="X37" s="511"/>
      <c r="Y37" s="496"/>
      <c r="Z37" s="496"/>
      <c r="AA37" s="496"/>
      <c r="AB37" s="496"/>
      <c r="AC37" s="496"/>
      <c r="AD37" s="496"/>
      <c r="AE37" s="496"/>
      <c r="AF37" s="512"/>
      <c r="AG37" s="496"/>
    </row>
    <row r="38" spans="1:33" ht="15" customHeight="1" x14ac:dyDescent="0.15">
      <c r="A38" s="501" t="s">
        <v>233</v>
      </c>
      <c r="B38" s="502"/>
      <c r="C38" s="432" t="s">
        <v>674</v>
      </c>
      <c r="D38" s="503"/>
      <c r="E38" s="504"/>
      <c r="F38" s="459">
        <v>9</v>
      </c>
      <c r="G38" s="505"/>
      <c r="H38" s="498"/>
      <c r="I38" s="498"/>
      <c r="J38" s="498"/>
      <c r="K38" s="498"/>
      <c r="L38" s="498"/>
      <c r="M38" s="498"/>
      <c r="N38" s="506"/>
      <c r="O38" s="496"/>
      <c r="P38" s="517"/>
      <c r="Q38" s="519"/>
      <c r="R38" s="463" t="s">
        <v>184</v>
      </c>
      <c r="S38" s="513"/>
      <c r="T38" s="513"/>
      <c r="U38" s="513"/>
      <c r="V38" s="514"/>
      <c r="W38" s="464">
        <v>3</v>
      </c>
      <c r="X38" s="520"/>
      <c r="Y38" s="521"/>
      <c r="Z38" s="521"/>
      <c r="AA38" s="521"/>
      <c r="AB38" s="521"/>
      <c r="AC38" s="521"/>
      <c r="AD38" s="521"/>
      <c r="AE38" s="521"/>
      <c r="AF38" s="522"/>
      <c r="AG38" s="496"/>
    </row>
    <row r="39" spans="1:33" ht="15" customHeight="1" x14ac:dyDescent="0.15">
      <c r="A39" s="507"/>
      <c r="B39" s="508"/>
      <c r="C39" s="439" t="s">
        <v>281</v>
      </c>
      <c r="D39" s="509"/>
      <c r="E39" s="510"/>
      <c r="F39" s="441">
        <v>9</v>
      </c>
      <c r="G39" s="511"/>
      <c r="H39" s="496"/>
      <c r="I39" s="496"/>
      <c r="J39" s="496"/>
      <c r="K39" s="496"/>
      <c r="L39" s="496"/>
      <c r="M39" s="496"/>
      <c r="N39" s="512"/>
      <c r="O39" s="496"/>
      <c r="Y39" s="496"/>
      <c r="Z39" s="496"/>
      <c r="AA39" s="496"/>
      <c r="AB39" s="496"/>
      <c r="AC39" s="496"/>
      <c r="AD39" s="496"/>
      <c r="AE39" s="496"/>
      <c r="AF39" s="496"/>
      <c r="AG39" s="496"/>
    </row>
    <row r="40" spans="1:33" ht="15" customHeight="1" x14ac:dyDescent="0.15">
      <c r="A40" s="507"/>
      <c r="B40" s="508"/>
      <c r="C40" s="439" t="s">
        <v>283</v>
      </c>
      <c r="D40" s="509"/>
      <c r="E40" s="510"/>
      <c r="F40" s="441">
        <v>9</v>
      </c>
      <c r="G40" s="511"/>
      <c r="H40" s="496"/>
      <c r="I40" s="496"/>
      <c r="J40" s="496"/>
      <c r="K40" s="496"/>
      <c r="L40" s="496"/>
      <c r="M40" s="496"/>
      <c r="N40" s="512"/>
      <c r="O40" s="496"/>
      <c r="Y40" s="496"/>
      <c r="Z40" s="496"/>
      <c r="AA40" s="496"/>
      <c r="AB40" s="496"/>
      <c r="AC40" s="496"/>
      <c r="AD40" s="496"/>
      <c r="AE40" s="496"/>
      <c r="AF40" s="496"/>
      <c r="AG40" s="496"/>
    </row>
    <row r="41" spans="1:33" ht="15" customHeight="1" x14ac:dyDescent="0.15">
      <c r="A41" s="507"/>
      <c r="B41" s="515"/>
      <c r="C41" s="439" t="s">
        <v>253</v>
      </c>
      <c r="D41" s="509"/>
      <c r="E41" s="510"/>
      <c r="F41" s="441">
        <v>9</v>
      </c>
      <c r="G41" s="511"/>
      <c r="H41" s="496"/>
      <c r="I41" s="496"/>
      <c r="J41" s="496"/>
      <c r="K41" s="496"/>
      <c r="L41" s="496"/>
      <c r="M41" s="496"/>
      <c r="N41" s="512"/>
      <c r="O41" s="496"/>
      <c r="P41" s="496"/>
      <c r="Q41" s="496"/>
      <c r="R41" s="496"/>
      <c r="S41" s="496"/>
      <c r="T41" s="496"/>
      <c r="U41" s="496"/>
      <c r="V41" s="496"/>
      <c r="W41" s="496"/>
      <c r="X41" s="496"/>
      <c r="Y41" s="496"/>
      <c r="Z41" s="496"/>
      <c r="AA41" s="496"/>
      <c r="AB41" s="496"/>
      <c r="AC41" s="496"/>
      <c r="AD41" s="496"/>
      <c r="AE41" s="496"/>
      <c r="AF41" s="496"/>
      <c r="AG41" s="496"/>
    </row>
    <row r="42" spans="1:33" ht="15" customHeight="1" x14ac:dyDescent="0.15">
      <c r="A42" s="507"/>
      <c r="B42" s="515"/>
      <c r="C42" s="439" t="s">
        <v>451</v>
      </c>
      <c r="D42" s="509"/>
      <c r="E42" s="510"/>
      <c r="F42" s="441">
        <v>9</v>
      </c>
      <c r="G42" s="511"/>
      <c r="H42" s="496"/>
      <c r="I42" s="496"/>
      <c r="J42" s="496"/>
      <c r="K42" s="496"/>
      <c r="L42" s="496"/>
      <c r="M42" s="496"/>
      <c r="N42" s="512"/>
      <c r="O42" s="496"/>
      <c r="P42" s="496"/>
      <c r="Q42" s="496"/>
      <c r="R42" s="496"/>
      <c r="S42" s="496"/>
      <c r="T42" s="496"/>
      <c r="U42" s="496"/>
      <c r="V42" s="496"/>
      <c r="W42" s="496"/>
      <c r="X42" s="496"/>
      <c r="Y42" s="496"/>
      <c r="Z42" s="496"/>
      <c r="AA42" s="496"/>
      <c r="AB42" s="496"/>
      <c r="AC42" s="496"/>
      <c r="AD42" s="496"/>
      <c r="AE42" s="496"/>
      <c r="AF42" s="496"/>
      <c r="AG42" s="496"/>
    </row>
    <row r="43" spans="1:33" ht="15" customHeight="1" x14ac:dyDescent="0.15">
      <c r="A43" s="507"/>
      <c r="B43" s="515"/>
      <c r="C43" s="439" t="s">
        <v>288</v>
      </c>
      <c r="D43" s="509"/>
      <c r="E43" s="510"/>
      <c r="F43" s="441">
        <v>9</v>
      </c>
      <c r="G43" s="511"/>
      <c r="H43" s="496"/>
      <c r="I43" s="496"/>
      <c r="J43" s="496"/>
      <c r="K43" s="496"/>
      <c r="L43" s="496"/>
      <c r="M43" s="496"/>
      <c r="N43" s="512"/>
      <c r="O43" s="496"/>
      <c r="AF43" s="496"/>
      <c r="AG43" s="496"/>
    </row>
    <row r="44" spans="1:33" ht="15" customHeight="1" x14ac:dyDescent="0.15">
      <c r="A44" s="507"/>
      <c r="B44" s="515"/>
      <c r="C44" s="439" t="s">
        <v>303</v>
      </c>
      <c r="D44" s="509"/>
      <c r="E44" s="510"/>
      <c r="F44" s="441">
        <v>9</v>
      </c>
      <c r="G44" s="511"/>
      <c r="H44" s="496"/>
      <c r="I44" s="496"/>
      <c r="J44" s="496"/>
      <c r="K44" s="496"/>
      <c r="L44" s="496"/>
      <c r="M44" s="496"/>
      <c r="N44" s="512"/>
      <c r="O44" s="496"/>
      <c r="AF44" s="496"/>
      <c r="AG44" s="496"/>
    </row>
    <row r="45" spans="1:33" ht="15" customHeight="1" x14ac:dyDescent="0.15">
      <c r="A45" s="507"/>
      <c r="B45" s="515"/>
      <c r="C45" s="439" t="s">
        <v>292</v>
      </c>
      <c r="D45" s="509"/>
      <c r="E45" s="510"/>
      <c r="F45" s="441">
        <v>9</v>
      </c>
      <c r="G45" s="511"/>
      <c r="H45" s="496"/>
      <c r="I45" s="496"/>
      <c r="J45" s="496"/>
      <c r="K45" s="496"/>
      <c r="L45" s="496"/>
      <c r="M45" s="496"/>
      <c r="N45" s="512"/>
      <c r="O45" s="496"/>
      <c r="AF45" s="496"/>
      <c r="AG45" s="496"/>
    </row>
    <row r="46" spans="1:33" ht="15" customHeight="1" x14ac:dyDescent="0.15">
      <c r="A46" s="507"/>
      <c r="B46" s="515"/>
      <c r="C46" s="446" t="s">
        <v>274</v>
      </c>
      <c r="D46" s="513"/>
      <c r="E46" s="514"/>
      <c r="F46" s="448">
        <v>1</v>
      </c>
      <c r="G46" s="511"/>
      <c r="H46" s="496"/>
      <c r="I46" s="496"/>
      <c r="J46" s="496"/>
      <c r="K46" s="496"/>
      <c r="L46" s="496"/>
      <c r="M46" s="496"/>
      <c r="N46" s="512"/>
      <c r="O46" s="496"/>
      <c r="AF46" s="496"/>
      <c r="AG46" s="496"/>
    </row>
    <row r="47" spans="1:33" ht="15" customHeight="1" x14ac:dyDescent="0.15">
      <c r="A47" s="517"/>
      <c r="B47" s="518"/>
      <c r="C47" s="518"/>
      <c r="D47" s="518"/>
      <c r="E47" s="518"/>
      <c r="F47" s="519"/>
      <c r="G47" s="520"/>
      <c r="H47" s="521"/>
      <c r="I47" s="521"/>
      <c r="J47" s="521"/>
      <c r="K47" s="521"/>
      <c r="L47" s="521"/>
      <c r="M47" s="521"/>
      <c r="N47" s="522"/>
      <c r="O47" s="496"/>
      <c r="AF47" s="496"/>
      <c r="AG47" s="496"/>
    </row>
    <row r="48" spans="1:33" ht="15" customHeight="1" x14ac:dyDescent="0.15">
      <c r="B48" s="496"/>
      <c r="C48" s="496"/>
      <c r="D48" s="496"/>
      <c r="E48" s="496"/>
      <c r="F48" s="496"/>
      <c r="G48" s="496"/>
      <c r="H48" s="496"/>
      <c r="I48" s="496"/>
      <c r="J48" s="496"/>
      <c r="K48" s="496"/>
      <c r="L48" s="496"/>
      <c r="M48" s="496"/>
      <c r="N48" s="496"/>
      <c r="O48" s="496"/>
      <c r="AF48" s="496"/>
      <c r="AG48" s="496"/>
    </row>
    <row r="49" spans="32:33" ht="15" customHeight="1" x14ac:dyDescent="0.15">
      <c r="AF49" s="496"/>
      <c r="AG49" s="496"/>
    </row>
    <row r="50" spans="32:33" ht="15" customHeight="1" x14ac:dyDescent="0.15">
      <c r="AG50" s="496"/>
    </row>
  </sheetData>
  <mergeCells count="37">
    <mergeCell ref="C11:F11"/>
    <mergeCell ref="W8:Y8"/>
    <mergeCell ref="H6:N6"/>
    <mergeCell ref="A1:E5"/>
    <mergeCell ref="F1:N5"/>
    <mergeCell ref="O1:Q1"/>
    <mergeCell ref="R1:T1"/>
    <mergeCell ref="U1:W1"/>
    <mergeCell ref="O3:Q7"/>
    <mergeCell ref="R3:T7"/>
    <mergeCell ref="H7:N7"/>
    <mergeCell ref="U3:W7"/>
    <mergeCell ref="A9:N9"/>
    <mergeCell ref="O9:T9"/>
    <mergeCell ref="W9:Y9"/>
    <mergeCell ref="A8:N8"/>
    <mergeCell ref="O8:T8"/>
    <mergeCell ref="A7:G7"/>
    <mergeCell ref="AE8:AF8"/>
    <mergeCell ref="AA3:AC3"/>
    <mergeCell ref="AD3:AF3"/>
    <mergeCell ref="AA4:AC7"/>
    <mergeCell ref="AD4:AF7"/>
    <mergeCell ref="A6:G6"/>
    <mergeCell ref="X3:Z7"/>
    <mergeCell ref="X1:AF1"/>
    <mergeCell ref="O2:Q2"/>
    <mergeCell ref="R2:T2"/>
    <mergeCell ref="U2:W2"/>
    <mergeCell ref="X2:Z2"/>
    <mergeCell ref="AA2:AC2"/>
    <mergeCell ref="AD2:AF2"/>
    <mergeCell ref="Z9:AA9"/>
    <mergeCell ref="AB9:AD9"/>
    <mergeCell ref="AE9:AF9"/>
    <mergeCell ref="Z8:AA8"/>
    <mergeCell ref="AB8:AD8"/>
  </mergeCells>
  <phoneticPr fontId="23"/>
  <printOptions horizontalCentered="1"/>
  <pageMargins left="0.47244094488188981" right="0.47244094488188981" top="0.55118110236220474" bottom="0.23622047244094491" header="0.23622047244094491" footer="0.15748031496062992"/>
  <pageSetup paperSize="9" scale="80" orientation="landscape" r:id="rId1"/>
  <headerFooter alignWithMargins="0">
    <oddHeader>&amp;L【営業秘密】</oddHeader>
    <oddFooter>&amp;R（様式2011.10）</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G45"/>
  <sheetViews>
    <sheetView showGridLines="0" topLeftCell="A28" zoomScale="75" workbookViewId="0">
      <selection sqref="A1:E5"/>
    </sheetView>
  </sheetViews>
  <sheetFormatPr defaultColWidth="4.25" defaultRowHeight="15" customHeight="1" x14ac:dyDescent="0.15"/>
  <cols>
    <col min="1" max="1" width="9" style="9" customWidth="1"/>
    <col min="2" max="16384" width="4.25" style="9"/>
  </cols>
  <sheetData>
    <row r="1" spans="1:33" s="270" customFormat="1" ht="12.75" customHeight="1" x14ac:dyDescent="0.15">
      <c r="A1" s="1188" t="s">
        <v>626</v>
      </c>
      <c r="B1" s="1189"/>
      <c r="C1" s="1189"/>
      <c r="D1" s="1189"/>
      <c r="E1" s="1190"/>
      <c r="F1" s="1197" t="s">
        <v>487</v>
      </c>
      <c r="G1" s="1189"/>
      <c r="H1" s="1189"/>
      <c r="I1" s="1189"/>
      <c r="J1" s="1189"/>
      <c r="K1" s="1189"/>
      <c r="L1" s="1189"/>
      <c r="M1" s="1189"/>
      <c r="N1" s="1190"/>
      <c r="O1" s="1177" t="s">
        <v>305</v>
      </c>
      <c r="P1" s="1177"/>
      <c r="Q1" s="1177"/>
      <c r="R1" s="1177" t="s">
        <v>306</v>
      </c>
      <c r="S1" s="1177"/>
      <c r="T1" s="1177"/>
      <c r="U1" s="1177" t="s">
        <v>237</v>
      </c>
      <c r="V1" s="1177"/>
      <c r="W1" s="1177"/>
      <c r="X1" s="1177" t="s">
        <v>307</v>
      </c>
      <c r="Y1" s="1177"/>
      <c r="Z1" s="1177"/>
      <c r="AA1" s="1177"/>
      <c r="AB1" s="1177"/>
      <c r="AC1" s="1177"/>
      <c r="AD1" s="1177"/>
      <c r="AE1" s="1177"/>
      <c r="AF1" s="1177"/>
    </row>
    <row r="2" spans="1:33" s="270" customFormat="1" ht="12.75" customHeight="1" x14ac:dyDescent="0.15">
      <c r="A2" s="1191"/>
      <c r="B2" s="1192"/>
      <c r="C2" s="1192"/>
      <c r="D2" s="1192"/>
      <c r="E2" s="1193"/>
      <c r="F2" s="1191"/>
      <c r="G2" s="1192"/>
      <c r="H2" s="1192"/>
      <c r="I2" s="1192"/>
      <c r="J2" s="1192"/>
      <c r="K2" s="1192"/>
      <c r="L2" s="1192"/>
      <c r="M2" s="1192"/>
      <c r="N2" s="1193"/>
      <c r="O2" s="1177" t="s">
        <v>488</v>
      </c>
      <c r="P2" s="1177"/>
      <c r="Q2" s="1177"/>
      <c r="R2" s="1177" t="s">
        <v>488</v>
      </c>
      <c r="S2" s="1177"/>
      <c r="T2" s="1177"/>
      <c r="U2" s="1177" t="s">
        <v>488</v>
      </c>
      <c r="V2" s="1177"/>
      <c r="W2" s="1177"/>
      <c r="X2" s="1187" t="s">
        <v>308</v>
      </c>
      <c r="Y2" s="1187"/>
      <c r="Z2" s="1187"/>
      <c r="AA2" s="1177" t="s">
        <v>306</v>
      </c>
      <c r="AB2" s="1177"/>
      <c r="AC2" s="1177"/>
      <c r="AD2" s="1177" t="s">
        <v>237</v>
      </c>
      <c r="AE2" s="1177"/>
      <c r="AF2" s="1177"/>
    </row>
    <row r="3" spans="1:33" s="270" customFormat="1" ht="12.75" customHeight="1" x14ac:dyDescent="0.15">
      <c r="A3" s="1191"/>
      <c r="B3" s="1192"/>
      <c r="C3" s="1192"/>
      <c r="D3" s="1192"/>
      <c r="E3" s="1193"/>
      <c r="F3" s="1191"/>
      <c r="G3" s="1192"/>
      <c r="H3" s="1192"/>
      <c r="I3" s="1192"/>
      <c r="J3" s="1192"/>
      <c r="K3" s="1192"/>
      <c r="L3" s="1192"/>
      <c r="M3" s="1192"/>
      <c r="N3" s="1193"/>
      <c r="O3" s="1177"/>
      <c r="P3" s="1177"/>
      <c r="Q3" s="1177"/>
      <c r="R3" s="1177"/>
      <c r="S3" s="1177"/>
      <c r="T3" s="1177"/>
      <c r="U3" s="1177"/>
      <c r="V3" s="1177"/>
      <c r="W3" s="1177"/>
      <c r="X3" s="1177"/>
      <c r="Y3" s="1177"/>
      <c r="Z3" s="1177"/>
      <c r="AA3" s="1177" t="s">
        <v>488</v>
      </c>
      <c r="AB3" s="1177"/>
      <c r="AC3" s="1177"/>
      <c r="AD3" s="1177" t="s">
        <v>488</v>
      </c>
      <c r="AE3" s="1177"/>
      <c r="AF3" s="1177"/>
    </row>
    <row r="4" spans="1:33" s="270" customFormat="1" ht="12.75" customHeight="1" x14ac:dyDescent="0.15">
      <c r="A4" s="1191"/>
      <c r="B4" s="1192"/>
      <c r="C4" s="1192"/>
      <c r="D4" s="1192"/>
      <c r="E4" s="1193"/>
      <c r="F4" s="1191"/>
      <c r="G4" s="1192"/>
      <c r="H4" s="1192"/>
      <c r="I4" s="1192"/>
      <c r="J4" s="1192"/>
      <c r="K4" s="1192"/>
      <c r="L4" s="1192"/>
      <c r="M4" s="1192"/>
      <c r="N4" s="1193"/>
      <c r="O4" s="1177"/>
      <c r="P4" s="1177"/>
      <c r="Q4" s="1177"/>
      <c r="R4" s="1177"/>
      <c r="S4" s="1177"/>
      <c r="T4" s="1177"/>
      <c r="U4" s="1177"/>
      <c r="V4" s="1177"/>
      <c r="W4" s="1177"/>
      <c r="X4" s="1177"/>
      <c r="Y4" s="1177"/>
      <c r="Z4" s="1177"/>
      <c r="AA4" s="1178"/>
      <c r="AB4" s="1179"/>
      <c r="AC4" s="1180"/>
      <c r="AD4" s="1178"/>
      <c r="AE4" s="1179"/>
      <c r="AF4" s="1180"/>
    </row>
    <row r="5" spans="1:33" s="270" customFormat="1" ht="12.75" customHeight="1" x14ac:dyDescent="0.15">
      <c r="A5" s="1194"/>
      <c r="B5" s="1195"/>
      <c r="C5" s="1195"/>
      <c r="D5" s="1195"/>
      <c r="E5" s="1196"/>
      <c r="F5" s="1194"/>
      <c r="G5" s="1195"/>
      <c r="H5" s="1195"/>
      <c r="I5" s="1195"/>
      <c r="J5" s="1195"/>
      <c r="K5" s="1195"/>
      <c r="L5" s="1195"/>
      <c r="M5" s="1195"/>
      <c r="N5" s="1196"/>
      <c r="O5" s="1177"/>
      <c r="P5" s="1177"/>
      <c r="Q5" s="1177"/>
      <c r="R5" s="1177"/>
      <c r="S5" s="1177"/>
      <c r="T5" s="1177"/>
      <c r="U5" s="1177"/>
      <c r="V5" s="1177"/>
      <c r="W5" s="1177"/>
      <c r="X5" s="1177"/>
      <c r="Y5" s="1177"/>
      <c r="Z5" s="1177"/>
      <c r="AA5" s="1181"/>
      <c r="AB5" s="1182"/>
      <c r="AC5" s="1183"/>
      <c r="AD5" s="1181"/>
      <c r="AE5" s="1182"/>
      <c r="AF5" s="1183"/>
    </row>
    <row r="6" spans="1:33" s="270" customFormat="1" ht="15" customHeight="1" x14ac:dyDescent="0.15">
      <c r="A6" s="1177" t="s">
        <v>465</v>
      </c>
      <c r="B6" s="1177"/>
      <c r="C6" s="1177"/>
      <c r="D6" s="1177"/>
      <c r="E6" s="1177"/>
      <c r="F6" s="1177"/>
      <c r="G6" s="1177"/>
      <c r="H6" s="1177" t="s">
        <v>466</v>
      </c>
      <c r="I6" s="1177"/>
      <c r="J6" s="1177"/>
      <c r="K6" s="1177"/>
      <c r="L6" s="1177"/>
      <c r="M6" s="1177"/>
      <c r="N6" s="1177"/>
      <c r="O6" s="1177"/>
      <c r="P6" s="1177"/>
      <c r="Q6" s="1177"/>
      <c r="R6" s="1177"/>
      <c r="S6" s="1177"/>
      <c r="T6" s="1177"/>
      <c r="U6" s="1177"/>
      <c r="V6" s="1177"/>
      <c r="W6" s="1177"/>
      <c r="X6" s="1177"/>
      <c r="Y6" s="1177"/>
      <c r="Z6" s="1177"/>
      <c r="AA6" s="1181"/>
      <c r="AB6" s="1182"/>
      <c r="AC6" s="1183"/>
      <c r="AD6" s="1181"/>
      <c r="AE6" s="1182"/>
      <c r="AF6" s="1183"/>
    </row>
    <row r="7" spans="1:33" s="270" customFormat="1" ht="15" customHeight="1" x14ac:dyDescent="0.15">
      <c r="A7" s="1177"/>
      <c r="B7" s="1177"/>
      <c r="C7" s="1177"/>
      <c r="D7" s="1177"/>
      <c r="E7" s="1177"/>
      <c r="F7" s="1177"/>
      <c r="G7" s="1177"/>
      <c r="H7" s="1177"/>
      <c r="I7" s="1177"/>
      <c r="J7" s="1177"/>
      <c r="K7" s="1177"/>
      <c r="L7" s="1177"/>
      <c r="M7" s="1177"/>
      <c r="N7" s="1177"/>
      <c r="O7" s="1177"/>
      <c r="P7" s="1177"/>
      <c r="Q7" s="1177"/>
      <c r="R7" s="1177"/>
      <c r="S7" s="1177"/>
      <c r="T7" s="1177"/>
      <c r="U7" s="1177"/>
      <c r="V7" s="1177"/>
      <c r="W7" s="1177"/>
      <c r="X7" s="1177"/>
      <c r="Y7" s="1177"/>
      <c r="Z7" s="1177"/>
      <c r="AA7" s="1184"/>
      <c r="AB7" s="1185"/>
      <c r="AC7" s="1186"/>
      <c r="AD7" s="1184"/>
      <c r="AE7" s="1185"/>
      <c r="AF7" s="1186"/>
    </row>
    <row r="8" spans="1:33" s="262" customFormat="1" ht="15" customHeight="1" x14ac:dyDescent="0.15">
      <c r="A8" s="783" t="s">
        <v>310</v>
      </c>
      <c r="B8" s="783"/>
      <c r="C8" s="783"/>
      <c r="D8" s="783"/>
      <c r="E8" s="783"/>
      <c r="F8" s="783"/>
      <c r="G8" s="783"/>
      <c r="H8" s="783"/>
      <c r="I8" s="783"/>
      <c r="J8" s="783"/>
      <c r="K8" s="783"/>
      <c r="L8" s="783"/>
      <c r="M8" s="783"/>
      <c r="N8" s="783"/>
      <c r="O8" s="783" t="s">
        <v>139</v>
      </c>
      <c r="P8" s="783"/>
      <c r="Q8" s="783"/>
      <c r="R8" s="783"/>
      <c r="S8" s="783"/>
      <c r="T8" s="783"/>
      <c r="U8" s="260" t="s">
        <v>489</v>
      </c>
      <c r="V8" s="261"/>
      <c r="W8" s="754"/>
      <c r="X8" s="755"/>
      <c r="Y8" s="756"/>
      <c r="Z8" s="757" t="s">
        <v>468</v>
      </c>
      <c r="AA8" s="758"/>
      <c r="AB8" s="759"/>
      <c r="AC8" s="755"/>
      <c r="AD8" s="756"/>
      <c r="AE8" s="757" t="s">
        <v>469</v>
      </c>
      <c r="AF8" s="758"/>
    </row>
    <row r="9" spans="1:33" s="262" customFormat="1" ht="15" customHeight="1" x14ac:dyDescent="0.15">
      <c r="A9" s="783"/>
      <c r="B9" s="783"/>
      <c r="C9" s="783"/>
      <c r="D9" s="783"/>
      <c r="E9" s="783"/>
      <c r="F9" s="783"/>
      <c r="G9" s="783"/>
      <c r="H9" s="783"/>
      <c r="I9" s="783"/>
      <c r="J9" s="783"/>
      <c r="K9" s="783"/>
      <c r="L9" s="783"/>
      <c r="M9" s="783"/>
      <c r="N9" s="783"/>
      <c r="O9" s="783"/>
      <c r="P9" s="783"/>
      <c r="Q9" s="783"/>
      <c r="R9" s="783"/>
      <c r="S9" s="783"/>
      <c r="T9" s="783"/>
      <c r="U9" s="263" t="s">
        <v>490</v>
      </c>
      <c r="V9" s="264"/>
      <c r="W9" s="748"/>
      <c r="X9" s="749"/>
      <c r="Y9" s="750"/>
      <c r="Z9" s="751" t="s">
        <v>471</v>
      </c>
      <c r="AA9" s="750"/>
      <c r="AB9" s="751"/>
      <c r="AC9" s="749"/>
      <c r="AD9" s="750"/>
      <c r="AE9" s="752"/>
      <c r="AF9" s="753"/>
    </row>
    <row r="11" spans="1:33" ht="15" customHeight="1" x14ac:dyDescent="0.15">
      <c r="A11" s="10" t="s">
        <v>208</v>
      </c>
      <c r="B11" s="11"/>
      <c r="C11" s="771" t="s">
        <v>141</v>
      </c>
      <c r="D11" s="772"/>
      <c r="E11" s="772"/>
      <c r="F11" s="77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15">
      <c r="A13" s="48"/>
      <c r="B13" s="49"/>
      <c r="C13" s="49"/>
      <c r="D13" s="49"/>
      <c r="E13" s="50" t="s">
        <v>423</v>
      </c>
      <c r="F13" s="789" t="s">
        <v>185</v>
      </c>
      <c r="G13" s="789" t="s">
        <v>163</v>
      </c>
      <c r="H13" s="789" t="s">
        <v>427</v>
      </c>
      <c r="I13" s="789" t="s">
        <v>429</v>
      </c>
      <c r="J13" s="789" t="s">
        <v>431</v>
      </c>
      <c r="K13" s="796" t="s">
        <v>184</v>
      </c>
      <c r="L13" s="792" t="s">
        <v>299</v>
      </c>
      <c r="M13" s="785" t="s">
        <v>300</v>
      </c>
      <c r="O13" s="25"/>
      <c r="P13" s="15"/>
      <c r="Q13" s="15"/>
      <c r="R13" s="15"/>
      <c r="S13" s="15"/>
      <c r="T13" s="15"/>
      <c r="U13" s="15"/>
      <c r="V13" s="15"/>
      <c r="W13" s="15"/>
      <c r="X13" s="15"/>
      <c r="Y13" s="15"/>
      <c r="Z13" s="15"/>
      <c r="AA13" s="15"/>
      <c r="AB13" s="15"/>
      <c r="AC13" s="15"/>
      <c r="AD13" s="15"/>
      <c r="AE13" s="15"/>
      <c r="AF13" s="26"/>
    </row>
    <row r="14" spans="1:33" ht="15" customHeight="1" x14ac:dyDescent="0.15">
      <c r="A14" s="52"/>
      <c r="B14" s="53"/>
      <c r="C14" s="53"/>
      <c r="D14" s="53"/>
      <c r="E14" s="54"/>
      <c r="F14" s="790"/>
      <c r="G14" s="790"/>
      <c r="H14" s="790"/>
      <c r="I14" s="790"/>
      <c r="J14" s="790"/>
      <c r="K14" s="797"/>
      <c r="L14" s="793"/>
      <c r="M14" s="786"/>
      <c r="O14" s="12"/>
      <c r="P14" s="13"/>
      <c r="Q14" s="13"/>
      <c r="R14" s="13"/>
      <c r="S14" s="13"/>
      <c r="T14" s="13"/>
      <c r="U14" s="13"/>
      <c r="V14" s="13"/>
      <c r="W14" s="13"/>
      <c r="X14" s="13"/>
      <c r="Y14" s="13"/>
      <c r="Z14" s="13"/>
      <c r="AA14" s="13"/>
      <c r="AB14" s="13"/>
      <c r="AC14" s="13"/>
      <c r="AD14" s="13"/>
      <c r="AE14" s="13"/>
      <c r="AF14" s="34"/>
    </row>
    <row r="15" spans="1:33" ht="15" customHeight="1" x14ac:dyDescent="0.15">
      <c r="A15" s="52"/>
      <c r="B15" s="53"/>
      <c r="C15" s="53"/>
      <c r="D15" s="53"/>
      <c r="E15" s="54"/>
      <c r="F15" s="790"/>
      <c r="G15" s="790"/>
      <c r="H15" s="790"/>
      <c r="I15" s="790"/>
      <c r="J15" s="790"/>
      <c r="K15" s="797"/>
      <c r="L15" s="793"/>
      <c r="M15" s="786"/>
      <c r="O15" s="12"/>
      <c r="P15" s="13"/>
      <c r="Q15" s="13"/>
      <c r="R15" s="13"/>
      <c r="S15" s="13"/>
      <c r="T15" s="13"/>
      <c r="U15" s="13"/>
      <c r="V15" s="13"/>
      <c r="W15" s="13"/>
      <c r="X15" s="13"/>
      <c r="Y15" s="13"/>
      <c r="Z15" s="13"/>
      <c r="AA15" s="13"/>
      <c r="AB15" s="13"/>
      <c r="AC15" s="13"/>
      <c r="AD15" s="13"/>
      <c r="AE15" s="13"/>
      <c r="AF15" s="34"/>
    </row>
    <row r="16" spans="1:33" ht="15" customHeight="1" x14ac:dyDescent="0.15">
      <c r="A16" s="52"/>
      <c r="B16" s="53"/>
      <c r="C16" s="53"/>
      <c r="D16" s="53"/>
      <c r="E16" s="54"/>
      <c r="F16" s="790"/>
      <c r="G16" s="790"/>
      <c r="H16" s="790"/>
      <c r="I16" s="790"/>
      <c r="J16" s="790"/>
      <c r="K16" s="797"/>
      <c r="L16" s="793"/>
      <c r="M16" s="786"/>
      <c r="O16" s="12"/>
      <c r="P16" s="13"/>
      <c r="Q16" s="13"/>
      <c r="R16" s="13"/>
      <c r="S16" s="13"/>
      <c r="T16" s="13"/>
      <c r="U16" s="13"/>
      <c r="V16" s="13"/>
      <c r="W16" s="13"/>
      <c r="X16" s="13"/>
      <c r="Y16" s="13"/>
      <c r="Z16" s="13"/>
      <c r="AA16" s="13"/>
      <c r="AB16" s="13"/>
      <c r="AC16" s="13"/>
      <c r="AD16" s="13"/>
      <c r="AE16" s="13"/>
      <c r="AF16" s="34"/>
    </row>
    <row r="17" spans="1:32" ht="15" customHeight="1" x14ac:dyDescent="0.15">
      <c r="A17" s="52"/>
      <c r="B17" s="53"/>
      <c r="C17" s="53"/>
      <c r="D17" s="53"/>
      <c r="E17" s="54"/>
      <c r="F17" s="790"/>
      <c r="G17" s="790"/>
      <c r="H17" s="790"/>
      <c r="I17" s="790"/>
      <c r="J17" s="790"/>
      <c r="K17" s="797"/>
      <c r="L17" s="793"/>
      <c r="M17" s="786"/>
      <c r="O17" s="12"/>
      <c r="P17" s="13"/>
      <c r="Q17" s="13"/>
      <c r="R17" s="13"/>
      <c r="S17" s="13"/>
      <c r="T17" s="13"/>
      <c r="U17" s="13"/>
      <c r="V17" s="13"/>
      <c r="W17" s="13"/>
      <c r="X17" s="13"/>
      <c r="Y17" s="13"/>
      <c r="Z17" s="13"/>
      <c r="AA17" s="13"/>
      <c r="AB17" s="13"/>
      <c r="AC17" s="13"/>
      <c r="AD17" s="13"/>
      <c r="AE17" s="13"/>
      <c r="AF17" s="34"/>
    </row>
    <row r="18" spans="1:32" ht="15" customHeight="1" x14ac:dyDescent="0.15">
      <c r="A18" s="52"/>
      <c r="B18" s="53"/>
      <c r="C18" s="53"/>
      <c r="D18" s="53"/>
      <c r="E18" s="54"/>
      <c r="F18" s="790"/>
      <c r="G18" s="790"/>
      <c r="H18" s="790"/>
      <c r="I18" s="790"/>
      <c r="J18" s="790"/>
      <c r="K18" s="797"/>
      <c r="L18" s="793"/>
      <c r="M18" s="786"/>
      <c r="O18" s="12"/>
      <c r="P18" s="13"/>
      <c r="Q18" s="13"/>
      <c r="R18" s="13"/>
      <c r="S18" s="13"/>
      <c r="T18" s="13"/>
      <c r="U18" s="13"/>
      <c r="V18" s="13"/>
      <c r="W18" s="13"/>
      <c r="X18" s="13"/>
      <c r="Y18" s="13"/>
      <c r="Z18" s="13"/>
      <c r="AA18" s="13"/>
      <c r="AB18" s="13"/>
      <c r="AC18" s="13"/>
      <c r="AD18" s="13"/>
      <c r="AE18" s="13"/>
      <c r="AF18" s="34"/>
    </row>
    <row r="19" spans="1:32" ht="15" customHeight="1" x14ac:dyDescent="0.15">
      <c r="A19" s="55" t="s">
        <v>413</v>
      </c>
      <c r="B19" s="56"/>
      <c r="C19" s="56"/>
      <c r="D19" s="56"/>
      <c r="E19" s="57"/>
      <c r="F19" s="790"/>
      <c r="G19" s="790"/>
      <c r="H19" s="790"/>
      <c r="I19" s="790"/>
      <c r="J19" s="790"/>
      <c r="K19" s="797"/>
      <c r="L19" s="793"/>
      <c r="M19" s="1198"/>
      <c r="O19" s="12"/>
      <c r="P19" s="13"/>
      <c r="Q19" s="13"/>
      <c r="R19" s="13"/>
      <c r="S19" s="13"/>
      <c r="T19" s="13"/>
      <c r="U19" s="13"/>
      <c r="V19" s="13"/>
      <c r="W19" s="13"/>
      <c r="X19" s="13"/>
      <c r="Y19" s="13"/>
      <c r="Z19" s="13"/>
      <c r="AA19" s="13"/>
      <c r="AB19" s="13"/>
      <c r="AC19" s="13"/>
      <c r="AD19" s="13"/>
      <c r="AE19" s="13"/>
      <c r="AF19" s="34"/>
    </row>
    <row r="20" spans="1:32" ht="15" customHeight="1" x14ac:dyDescent="0.15">
      <c r="A20" s="192" t="s">
        <v>414</v>
      </c>
      <c r="B20" s="22"/>
      <c r="C20" s="22"/>
      <c r="D20" s="22"/>
      <c r="E20" s="22"/>
      <c r="F20" s="194"/>
      <c r="G20" s="194"/>
      <c r="H20" s="194"/>
      <c r="I20" s="194"/>
      <c r="J20" s="194"/>
      <c r="K20" s="195"/>
      <c r="L20" s="196"/>
      <c r="M20" s="197"/>
      <c r="O20" s="12"/>
      <c r="P20" s="13"/>
      <c r="Q20" s="13"/>
      <c r="R20" s="13"/>
      <c r="S20" s="13"/>
      <c r="T20" s="13"/>
      <c r="U20" s="13"/>
      <c r="V20" s="13"/>
      <c r="W20" s="13"/>
      <c r="X20" s="13"/>
      <c r="Y20" s="13"/>
      <c r="Z20" s="13"/>
      <c r="AA20" s="13"/>
      <c r="AB20" s="13"/>
      <c r="AC20" s="13"/>
      <c r="AD20" s="13"/>
      <c r="AE20" s="13"/>
      <c r="AF20" s="34"/>
    </row>
    <row r="21" spans="1:32" ht="15" customHeight="1" x14ac:dyDescent="0.15">
      <c r="A21" s="198" t="s">
        <v>439</v>
      </c>
      <c r="B21" s="31" t="s">
        <v>416</v>
      </c>
      <c r="C21" s="31"/>
      <c r="D21" s="31"/>
      <c r="E21" s="32"/>
      <c r="F21" s="66">
        <v>1</v>
      </c>
      <c r="G21" s="66">
        <v>2</v>
      </c>
      <c r="H21" s="66">
        <v>3</v>
      </c>
      <c r="I21" s="66">
        <v>4</v>
      </c>
      <c r="J21" s="66">
        <v>5</v>
      </c>
      <c r="K21" s="68">
        <v>6</v>
      </c>
      <c r="L21" s="69">
        <f>SUM($F$21:$K$21)</f>
        <v>21</v>
      </c>
      <c r="M21" s="70">
        <f>IF($L$21=0,0,$L$21/$L$37*100)</f>
        <v>6.4024390243902438</v>
      </c>
      <c r="O21" s="12"/>
      <c r="P21" s="13"/>
      <c r="Q21" s="13"/>
      <c r="R21" s="13"/>
      <c r="S21" s="13"/>
      <c r="T21" s="13"/>
      <c r="U21" s="13"/>
      <c r="V21" s="13"/>
      <c r="W21" s="13"/>
      <c r="X21" s="13"/>
      <c r="Y21" s="13"/>
      <c r="Z21" s="13"/>
      <c r="AA21" s="13"/>
      <c r="AB21" s="13"/>
      <c r="AC21" s="13"/>
      <c r="AD21" s="13"/>
      <c r="AE21" s="13"/>
      <c r="AF21" s="34"/>
    </row>
    <row r="22" spans="1:32" ht="15" customHeight="1" x14ac:dyDescent="0.15">
      <c r="A22" s="198" t="s">
        <v>440</v>
      </c>
      <c r="B22" s="65" t="s">
        <v>417</v>
      </c>
      <c r="C22" s="31"/>
      <c r="D22" s="31"/>
      <c r="E22" s="32"/>
      <c r="F22" s="66">
        <v>6</v>
      </c>
      <c r="G22" s="66">
        <v>5</v>
      </c>
      <c r="H22" s="66">
        <v>4</v>
      </c>
      <c r="I22" s="66">
        <v>3</v>
      </c>
      <c r="J22" s="66">
        <v>2</v>
      </c>
      <c r="K22" s="68">
        <v>1</v>
      </c>
      <c r="L22" s="69">
        <f>SUM($F$22:$K$22)</f>
        <v>21</v>
      </c>
      <c r="M22" s="70">
        <f>IF($L$22=0,0,$L$22/$L$37*100)</f>
        <v>6.4024390243902438</v>
      </c>
      <c r="O22" s="12"/>
      <c r="P22" s="13"/>
      <c r="Q22" s="13"/>
      <c r="R22" s="13"/>
      <c r="S22" s="13"/>
      <c r="T22" s="13"/>
      <c r="U22" s="13"/>
      <c r="V22" s="13"/>
      <c r="W22" s="13"/>
      <c r="X22" s="13"/>
      <c r="Y22" s="13"/>
      <c r="Z22" s="13"/>
      <c r="AA22" s="13"/>
      <c r="AB22" s="13"/>
      <c r="AC22" s="13"/>
      <c r="AD22" s="13"/>
      <c r="AE22" s="13"/>
      <c r="AF22" s="34"/>
    </row>
    <row r="23" spans="1:32" ht="15" customHeight="1" x14ac:dyDescent="0.15">
      <c r="A23" s="198" t="s">
        <v>441</v>
      </c>
      <c r="B23" s="65" t="s">
        <v>419</v>
      </c>
      <c r="C23" s="31"/>
      <c r="D23" s="31"/>
      <c r="E23" s="32"/>
      <c r="F23" s="66">
        <v>4</v>
      </c>
      <c r="G23" s="66">
        <v>5</v>
      </c>
      <c r="H23" s="66">
        <v>6</v>
      </c>
      <c r="I23" s="66">
        <v>7</v>
      </c>
      <c r="J23" s="66">
        <v>2</v>
      </c>
      <c r="K23" s="68">
        <v>3</v>
      </c>
      <c r="L23" s="69">
        <f>SUM($F$23:$K$23)</f>
        <v>27</v>
      </c>
      <c r="M23" s="70">
        <f>IF($L$23=0,0,$L$23/$L$37*100)</f>
        <v>8.2317073170731714</v>
      </c>
      <c r="O23" s="12"/>
      <c r="P23" s="13"/>
      <c r="Q23" s="13"/>
      <c r="R23" s="13"/>
      <c r="S23" s="13"/>
      <c r="T23" s="13"/>
      <c r="U23" s="13"/>
      <c r="V23" s="13"/>
      <c r="W23" s="13"/>
      <c r="X23" s="13"/>
      <c r="Y23" s="13"/>
      <c r="Z23" s="13"/>
      <c r="AA23" s="13"/>
      <c r="AB23" s="13"/>
      <c r="AC23" s="13"/>
      <c r="AD23" s="13"/>
      <c r="AE23" s="13"/>
      <c r="AF23" s="34"/>
    </row>
    <row r="24" spans="1:32" ht="15" customHeight="1" x14ac:dyDescent="0.15">
      <c r="A24" s="198" t="s">
        <v>442</v>
      </c>
      <c r="B24" s="65" t="s">
        <v>285</v>
      </c>
      <c r="C24" s="31"/>
      <c r="D24" s="31"/>
      <c r="E24" s="32"/>
      <c r="F24" s="66">
        <v>5</v>
      </c>
      <c r="G24" s="66">
        <v>9</v>
      </c>
      <c r="H24" s="66">
        <v>1</v>
      </c>
      <c r="I24" s="66">
        <v>3</v>
      </c>
      <c r="J24" s="66">
        <v>5</v>
      </c>
      <c r="K24" s="68">
        <v>7</v>
      </c>
      <c r="L24" s="69">
        <f>SUM($F$24:$K$24)</f>
        <v>30</v>
      </c>
      <c r="M24" s="70">
        <f>IF($L$24=0,0,$L$24/$L$37*100)</f>
        <v>9.1463414634146343</v>
      </c>
      <c r="O24" s="12"/>
      <c r="P24" s="13"/>
      <c r="Q24" s="13"/>
      <c r="R24" s="13"/>
      <c r="S24" s="13"/>
      <c r="T24" s="13"/>
      <c r="U24" s="13"/>
      <c r="V24" s="13"/>
      <c r="W24" s="13"/>
      <c r="X24" s="13"/>
      <c r="Y24" s="13"/>
      <c r="Z24" s="13"/>
      <c r="AA24" s="13"/>
      <c r="AB24" s="13"/>
      <c r="AC24" s="13"/>
      <c r="AD24" s="13"/>
      <c r="AE24" s="13"/>
      <c r="AF24" s="34"/>
    </row>
    <row r="25" spans="1:32" ht="15" customHeight="1" x14ac:dyDescent="0.15">
      <c r="A25" s="198" t="s">
        <v>443</v>
      </c>
      <c r="B25" s="65" t="s">
        <v>420</v>
      </c>
      <c r="C25" s="31"/>
      <c r="D25" s="31"/>
      <c r="E25" s="32"/>
      <c r="F25" s="66">
        <v>2</v>
      </c>
      <c r="G25" s="66">
        <v>4</v>
      </c>
      <c r="H25" s="66">
        <v>6</v>
      </c>
      <c r="I25" s="66">
        <v>5</v>
      </c>
      <c r="J25" s="66">
        <v>7</v>
      </c>
      <c r="K25" s="68">
        <v>8</v>
      </c>
      <c r="L25" s="69">
        <f>SUM($F$25:$K$25)</f>
        <v>32</v>
      </c>
      <c r="M25" s="70">
        <f>IF($L$25=0,0,$L$25/$L$37*100)</f>
        <v>9.7560975609756095</v>
      </c>
      <c r="O25" s="12"/>
      <c r="P25" s="13"/>
      <c r="Q25" s="13"/>
      <c r="R25" s="13"/>
      <c r="S25" s="13"/>
      <c r="T25" s="13"/>
      <c r="U25" s="13"/>
      <c r="V25" s="13"/>
      <c r="W25" s="13"/>
      <c r="X25" s="13"/>
      <c r="Y25" s="13"/>
      <c r="Z25" s="13"/>
      <c r="AA25" s="13"/>
      <c r="AB25" s="13"/>
      <c r="AC25" s="13"/>
      <c r="AD25" s="13"/>
      <c r="AE25" s="13"/>
      <c r="AF25" s="34"/>
    </row>
    <row r="26" spans="1:32" ht="15" customHeight="1" x14ac:dyDescent="0.15">
      <c r="A26" s="198" t="s">
        <v>444</v>
      </c>
      <c r="B26" s="65" t="s">
        <v>421</v>
      </c>
      <c r="C26" s="31"/>
      <c r="D26" s="31"/>
      <c r="E26" s="32"/>
      <c r="F26" s="66">
        <v>1</v>
      </c>
      <c r="G26" s="66">
        <v>1</v>
      </c>
      <c r="H26" s="66">
        <v>1</v>
      </c>
      <c r="I26" s="66">
        <v>1</v>
      </c>
      <c r="J26" s="66">
        <v>1</v>
      </c>
      <c r="K26" s="68">
        <v>1</v>
      </c>
      <c r="L26" s="69">
        <f>SUM($F$26:$K$26)</f>
        <v>6</v>
      </c>
      <c r="M26" s="70">
        <f>IF($L$26=0,0,$L$26/$L$37*100)</f>
        <v>1.8292682926829267</v>
      </c>
      <c r="O26" s="12"/>
      <c r="P26" s="13"/>
      <c r="Q26" s="13"/>
      <c r="R26" s="13"/>
      <c r="S26" s="13"/>
      <c r="T26" s="13"/>
      <c r="U26" s="13"/>
      <c r="V26" s="13"/>
      <c r="W26" s="13"/>
      <c r="X26" s="13"/>
      <c r="Y26" s="13"/>
      <c r="Z26" s="13"/>
      <c r="AA26" s="13"/>
      <c r="AB26" s="13"/>
      <c r="AC26" s="13"/>
      <c r="AD26" s="13"/>
      <c r="AE26" s="13"/>
      <c r="AF26" s="34"/>
    </row>
    <row r="27" spans="1:32" ht="15" customHeight="1" x14ac:dyDescent="0.15">
      <c r="A27" s="71" t="s">
        <v>422</v>
      </c>
      <c r="B27" s="31"/>
      <c r="C27" s="31"/>
      <c r="D27" s="31"/>
      <c r="E27" s="32"/>
      <c r="F27" s="66">
        <v>8</v>
      </c>
      <c r="G27" s="66">
        <v>7</v>
      </c>
      <c r="H27" s="66">
        <v>6</v>
      </c>
      <c r="I27" s="66">
        <v>5</v>
      </c>
      <c r="J27" s="66">
        <v>4</v>
      </c>
      <c r="K27" s="68">
        <v>3</v>
      </c>
      <c r="L27" s="69">
        <f>SUM($F$27:$K$27)</f>
        <v>33</v>
      </c>
      <c r="M27" s="70">
        <f>IF($L$27=0,0,$L$27/$L$37*100)</f>
        <v>10.060975609756099</v>
      </c>
      <c r="O27" s="12"/>
      <c r="P27" s="13"/>
      <c r="Q27" s="13"/>
      <c r="R27" s="13"/>
      <c r="S27" s="13"/>
      <c r="T27" s="13"/>
      <c r="U27" s="13"/>
      <c r="V27" s="13"/>
      <c r="W27" s="13"/>
      <c r="X27" s="13"/>
      <c r="Y27" s="13"/>
      <c r="Z27" s="13"/>
      <c r="AA27" s="13"/>
      <c r="AB27" s="13"/>
      <c r="AC27" s="13"/>
      <c r="AD27" s="13"/>
      <c r="AE27" s="13"/>
      <c r="AF27" s="34"/>
    </row>
    <row r="28" spans="1:32" ht="15" customHeight="1" x14ac:dyDescent="0.15">
      <c r="A28" s="71" t="s">
        <v>425</v>
      </c>
      <c r="B28" s="31"/>
      <c r="C28" s="31"/>
      <c r="D28" s="31"/>
      <c r="E28" s="32"/>
      <c r="F28" s="66">
        <v>6</v>
      </c>
      <c r="G28" s="66">
        <v>7</v>
      </c>
      <c r="H28" s="66">
        <v>9</v>
      </c>
      <c r="I28" s="66">
        <v>0</v>
      </c>
      <c r="J28" s="66">
        <v>6</v>
      </c>
      <c r="K28" s="68">
        <v>5</v>
      </c>
      <c r="L28" s="69">
        <f>SUM($F$28:$K$28)</f>
        <v>33</v>
      </c>
      <c r="M28" s="70">
        <f>IF($L$28=0,0,$L$28/$L$37*100)</f>
        <v>10.060975609756099</v>
      </c>
      <c r="O28" s="12"/>
      <c r="P28" s="13"/>
      <c r="Q28" s="13"/>
      <c r="R28" s="13"/>
      <c r="S28" s="13"/>
      <c r="T28" s="13"/>
      <c r="U28" s="13"/>
      <c r="V28" s="13"/>
      <c r="W28" s="13"/>
      <c r="X28" s="13"/>
      <c r="Y28" s="13"/>
      <c r="Z28" s="13"/>
      <c r="AA28" s="13"/>
      <c r="AB28" s="13"/>
      <c r="AC28" s="13"/>
      <c r="AD28" s="13"/>
      <c r="AE28" s="13"/>
      <c r="AF28" s="34"/>
    </row>
    <row r="29" spans="1:32" ht="15" customHeight="1" x14ac:dyDescent="0.15">
      <c r="A29" s="71" t="s">
        <v>426</v>
      </c>
      <c r="B29" s="31"/>
      <c r="C29" s="31"/>
      <c r="D29" s="31"/>
      <c r="E29" s="32"/>
      <c r="F29" s="66">
        <v>7</v>
      </c>
      <c r="G29" s="66">
        <v>8</v>
      </c>
      <c r="H29" s="66">
        <v>9</v>
      </c>
      <c r="I29" s="66">
        <v>5</v>
      </c>
      <c r="J29" s="66">
        <v>4</v>
      </c>
      <c r="K29" s="68">
        <v>8</v>
      </c>
      <c r="L29" s="69">
        <f>SUM($F$29:$K$29)</f>
        <v>41</v>
      </c>
      <c r="M29" s="70">
        <f>IF($L$29=0,0,$L$29/$L$37*100)</f>
        <v>12.5</v>
      </c>
      <c r="O29" s="12"/>
      <c r="P29" s="13"/>
      <c r="Q29" s="13"/>
      <c r="R29" s="13"/>
      <c r="S29" s="13"/>
      <c r="T29" s="13"/>
      <c r="U29" s="13"/>
      <c r="V29" s="13"/>
      <c r="W29" s="13"/>
      <c r="X29" s="13"/>
      <c r="Y29" s="13"/>
      <c r="Z29" s="13"/>
      <c r="AA29" s="13"/>
      <c r="AB29" s="13"/>
      <c r="AC29" s="13"/>
      <c r="AD29" s="13"/>
      <c r="AE29" s="13"/>
      <c r="AF29" s="34"/>
    </row>
    <row r="30" spans="1:32" ht="15" customHeight="1" x14ac:dyDescent="0.15">
      <c r="A30" s="71" t="s">
        <v>428</v>
      </c>
      <c r="B30" s="31"/>
      <c r="C30" s="31"/>
      <c r="D30" s="31"/>
      <c r="E30" s="32"/>
      <c r="F30" s="66">
        <v>5</v>
      </c>
      <c r="G30" s="66">
        <v>8</v>
      </c>
      <c r="H30" s="66">
        <v>5</v>
      </c>
      <c r="I30" s="66">
        <v>3</v>
      </c>
      <c r="J30" s="66">
        <v>0</v>
      </c>
      <c r="K30" s="68">
        <v>4</v>
      </c>
      <c r="L30" s="69">
        <f>SUM($F$30:$K$30)</f>
        <v>25</v>
      </c>
      <c r="M30" s="70">
        <f>IF($L$30=0,0,$L$30/$L$37*100)</f>
        <v>7.6219512195121952</v>
      </c>
      <c r="O30" s="12"/>
      <c r="P30" s="13"/>
      <c r="Q30" s="13"/>
      <c r="R30" s="13"/>
      <c r="S30" s="13"/>
      <c r="T30" s="13"/>
      <c r="U30" s="13"/>
      <c r="V30" s="13"/>
      <c r="W30" s="13"/>
      <c r="X30" s="13"/>
      <c r="Y30" s="13"/>
      <c r="Z30" s="13"/>
      <c r="AA30" s="13"/>
      <c r="AB30" s="13"/>
      <c r="AC30" s="13"/>
      <c r="AD30" s="13"/>
      <c r="AE30" s="13"/>
      <c r="AF30" s="34"/>
    </row>
    <row r="31" spans="1:32" ht="15" customHeight="1" x14ac:dyDescent="0.15">
      <c r="A31" s="71" t="s">
        <v>430</v>
      </c>
      <c r="B31" s="31"/>
      <c r="C31" s="31"/>
      <c r="D31" s="31"/>
      <c r="E31" s="32"/>
      <c r="F31" s="66">
        <v>1</v>
      </c>
      <c r="G31" s="66">
        <v>1</v>
      </c>
      <c r="H31" s="66">
        <v>1</v>
      </c>
      <c r="I31" s="66">
        <v>1</v>
      </c>
      <c r="J31" s="66">
        <v>1</v>
      </c>
      <c r="K31" s="68">
        <v>1</v>
      </c>
      <c r="L31" s="69">
        <f>SUM($F$31:$K$31)</f>
        <v>6</v>
      </c>
      <c r="M31" s="70">
        <f>IF($L$31=0,0,$L$31/$L$37*100)</f>
        <v>1.8292682926829267</v>
      </c>
      <c r="O31" s="12"/>
      <c r="P31" s="13"/>
      <c r="Q31" s="13"/>
      <c r="R31" s="13"/>
      <c r="S31" s="13"/>
      <c r="T31" s="13"/>
      <c r="U31" s="13"/>
      <c r="V31" s="13"/>
      <c r="W31" s="13"/>
      <c r="X31" s="13"/>
      <c r="Y31" s="13"/>
      <c r="Z31" s="13"/>
      <c r="AA31" s="13"/>
      <c r="AB31" s="13"/>
      <c r="AC31" s="13"/>
      <c r="AD31" s="13"/>
      <c r="AE31" s="13"/>
      <c r="AF31" s="34"/>
    </row>
    <row r="32" spans="1:32" ht="15" customHeight="1" x14ac:dyDescent="0.15">
      <c r="A32" s="71" t="s">
        <v>277</v>
      </c>
      <c r="B32" s="31"/>
      <c r="C32" s="31"/>
      <c r="D32" s="31"/>
      <c r="E32" s="32"/>
      <c r="F32" s="66">
        <v>4</v>
      </c>
      <c r="G32" s="66">
        <v>7</v>
      </c>
      <c r="H32" s="66">
        <v>9</v>
      </c>
      <c r="I32" s="66">
        <v>2</v>
      </c>
      <c r="J32" s="66">
        <v>1</v>
      </c>
      <c r="K32" s="68">
        <v>1</v>
      </c>
      <c r="L32" s="69">
        <f>SUM($F$32:$K$32)</f>
        <v>24</v>
      </c>
      <c r="M32" s="70">
        <f>IF($L$32=0,0,$L$32/$L$37*100)</f>
        <v>7.3170731707317067</v>
      </c>
      <c r="O32" s="12"/>
      <c r="P32" s="13"/>
      <c r="Q32" s="13"/>
      <c r="R32" s="13"/>
      <c r="S32" s="13"/>
      <c r="T32" s="13"/>
      <c r="U32" s="13"/>
      <c r="V32" s="13"/>
      <c r="W32" s="13"/>
      <c r="X32" s="13"/>
      <c r="Y32" s="13"/>
      <c r="Z32" s="13"/>
      <c r="AA32" s="13"/>
      <c r="AB32" s="13"/>
      <c r="AC32" s="13"/>
      <c r="AD32" s="13"/>
      <c r="AE32" s="13"/>
      <c r="AF32" s="34"/>
    </row>
    <row r="33" spans="1:32" ht="15" customHeight="1" x14ac:dyDescent="0.15">
      <c r="A33" s="71" t="s">
        <v>285</v>
      </c>
      <c r="B33" s="31"/>
      <c r="C33" s="31"/>
      <c r="D33" s="31"/>
      <c r="E33" s="32"/>
      <c r="F33" s="66">
        <v>0</v>
      </c>
      <c r="G33" s="66">
        <v>1</v>
      </c>
      <c r="H33" s="66">
        <v>2</v>
      </c>
      <c r="I33" s="66">
        <v>2</v>
      </c>
      <c r="J33" s="66">
        <v>1</v>
      </c>
      <c r="K33" s="68">
        <v>0</v>
      </c>
      <c r="L33" s="69">
        <f>SUM($F$33:$K$33)</f>
        <v>6</v>
      </c>
      <c r="M33" s="70">
        <f>IF($L$33=0,0,$L$33/$L$37*100)</f>
        <v>1.8292682926829267</v>
      </c>
      <c r="O33" s="12"/>
      <c r="P33" s="13"/>
      <c r="Q33" s="13"/>
      <c r="R33" s="13"/>
      <c r="S33" s="13"/>
      <c r="T33" s="13"/>
      <c r="U33" s="13"/>
      <c r="V33" s="13"/>
      <c r="W33" s="13"/>
      <c r="X33" s="13"/>
      <c r="Y33" s="13"/>
      <c r="Z33" s="13"/>
      <c r="AA33" s="13"/>
      <c r="AB33" s="13"/>
      <c r="AC33" s="13"/>
      <c r="AD33" s="13"/>
      <c r="AE33" s="13"/>
      <c r="AF33" s="34"/>
    </row>
    <row r="34" spans="1:32" ht="15" customHeight="1" x14ac:dyDescent="0.15">
      <c r="A34" s="71" t="s">
        <v>432</v>
      </c>
      <c r="B34" s="31"/>
      <c r="C34" s="31"/>
      <c r="D34" s="31"/>
      <c r="E34" s="32"/>
      <c r="F34" s="66">
        <v>4</v>
      </c>
      <c r="G34" s="66">
        <v>0</v>
      </c>
      <c r="H34" s="66">
        <v>0</v>
      </c>
      <c r="I34" s="66">
        <v>8</v>
      </c>
      <c r="J34" s="66">
        <v>0</v>
      </c>
      <c r="K34" s="68">
        <v>0</v>
      </c>
      <c r="L34" s="69">
        <f>SUM($F$34:$K$34)</f>
        <v>12</v>
      </c>
      <c r="M34" s="70">
        <f>IF($L$34=0,0,$L$34/$L$37*100)</f>
        <v>3.6585365853658534</v>
      </c>
      <c r="O34" s="12"/>
      <c r="P34" s="13"/>
      <c r="Q34" s="13"/>
      <c r="R34" s="13"/>
      <c r="S34" s="13"/>
      <c r="T34" s="13"/>
      <c r="U34" s="13"/>
      <c r="V34" s="13"/>
      <c r="W34" s="13"/>
      <c r="X34" s="13"/>
      <c r="Y34" s="13"/>
      <c r="Z34" s="13"/>
      <c r="AA34" s="13"/>
      <c r="AB34" s="13"/>
      <c r="AC34" s="13"/>
      <c r="AD34" s="13"/>
      <c r="AE34" s="13"/>
      <c r="AF34" s="34"/>
    </row>
    <row r="35" spans="1:32" ht="15" customHeight="1" x14ac:dyDescent="0.15">
      <c r="A35" s="71" t="s">
        <v>433</v>
      </c>
      <c r="B35" s="31"/>
      <c r="C35" s="31"/>
      <c r="D35" s="31"/>
      <c r="E35" s="32"/>
      <c r="F35" s="66">
        <v>0</v>
      </c>
      <c r="G35" s="66">
        <v>0</v>
      </c>
      <c r="H35" s="66">
        <v>0</v>
      </c>
      <c r="I35" s="66">
        <v>8</v>
      </c>
      <c r="J35" s="66">
        <v>0</v>
      </c>
      <c r="K35" s="68">
        <v>0</v>
      </c>
      <c r="L35" s="69">
        <f>SUM($F$35:$K$35)</f>
        <v>8</v>
      </c>
      <c r="M35" s="70">
        <f>IF($L$35=0,0,$L$35/$L$37*100)</f>
        <v>2.4390243902439024</v>
      </c>
      <c r="O35" s="12"/>
      <c r="P35" s="13"/>
      <c r="Q35" s="13"/>
      <c r="R35" s="13"/>
      <c r="S35" s="13"/>
      <c r="T35" s="13"/>
      <c r="U35" s="13"/>
      <c r="V35" s="13"/>
      <c r="W35" s="13"/>
      <c r="X35" s="13"/>
      <c r="Y35" s="13"/>
      <c r="Z35" s="13"/>
      <c r="AA35" s="13"/>
      <c r="AB35" s="13"/>
      <c r="AC35" s="13"/>
      <c r="AD35" s="13"/>
      <c r="AE35" s="13"/>
      <c r="AF35" s="34"/>
    </row>
    <row r="36" spans="1:32" ht="15" customHeight="1" thickBot="1" x14ac:dyDescent="0.2">
      <c r="A36" s="199" t="s">
        <v>184</v>
      </c>
      <c r="B36" s="200"/>
      <c r="C36" s="200"/>
      <c r="D36" s="200"/>
      <c r="E36" s="193"/>
      <c r="F36" s="75">
        <v>0</v>
      </c>
      <c r="G36" s="75">
        <v>0</v>
      </c>
      <c r="H36" s="75">
        <v>0</v>
      </c>
      <c r="I36" s="75">
        <v>3</v>
      </c>
      <c r="J36" s="75">
        <v>0</v>
      </c>
      <c r="K36" s="77">
        <v>0</v>
      </c>
      <c r="L36" s="78">
        <f>SUM($F$36:$K$36)</f>
        <v>3</v>
      </c>
      <c r="M36" s="79">
        <f>IF($L$36=0,0,$L$36/$L$37*100)</f>
        <v>0.91463414634146334</v>
      </c>
      <c r="O36" s="12"/>
      <c r="P36" s="13"/>
      <c r="Q36" s="13"/>
      <c r="R36" s="13"/>
      <c r="S36" s="13"/>
      <c r="T36" s="13"/>
      <c r="U36" s="13"/>
      <c r="V36" s="13"/>
      <c r="W36" s="13"/>
      <c r="X36" s="13"/>
      <c r="Y36" s="13"/>
      <c r="Z36" s="13"/>
      <c r="AA36" s="13"/>
      <c r="AB36" s="13"/>
      <c r="AC36" s="13"/>
      <c r="AD36" s="13"/>
      <c r="AE36" s="13"/>
      <c r="AF36" s="34"/>
    </row>
    <row r="37" spans="1:32" ht="15" customHeight="1" thickTop="1" x14ac:dyDescent="0.15">
      <c r="A37" s="80" t="s">
        <v>299</v>
      </c>
      <c r="B37" s="81"/>
      <c r="C37" s="81"/>
      <c r="D37" s="81"/>
      <c r="E37" s="81"/>
      <c r="F37" s="82">
        <f>SUM($F$21:$F$36)</f>
        <v>54</v>
      </c>
      <c r="G37" s="82">
        <f>SUM($G$21:$G$36)</f>
        <v>65</v>
      </c>
      <c r="H37" s="82">
        <f>SUM($H$21:$H$36)</f>
        <v>62</v>
      </c>
      <c r="I37" s="82">
        <f>SUM($I$21:$I$36)</f>
        <v>60</v>
      </c>
      <c r="J37" s="82">
        <f>SUM($J$21:$J$36)</f>
        <v>39</v>
      </c>
      <c r="K37" s="83">
        <f>SUM($K$21:$K$36)</f>
        <v>48</v>
      </c>
      <c r="L37" s="84">
        <f>SUM($F$37:$K$37)</f>
        <v>328</v>
      </c>
      <c r="M37" s="85">
        <f>IF($L$37=0,0,$L$37/$L$37*100)</f>
        <v>100</v>
      </c>
      <c r="O37" s="12"/>
      <c r="P37" s="13"/>
      <c r="Q37" s="13"/>
      <c r="R37" s="13"/>
      <c r="S37" s="13"/>
      <c r="T37" s="13"/>
      <c r="U37" s="13"/>
      <c r="V37" s="13"/>
      <c r="W37" s="13"/>
      <c r="X37" s="13"/>
      <c r="Y37" s="13"/>
      <c r="Z37" s="13"/>
      <c r="AA37" s="13"/>
      <c r="AB37" s="13"/>
      <c r="AC37" s="13"/>
      <c r="AD37" s="13"/>
      <c r="AE37" s="13"/>
      <c r="AF37" s="34"/>
    </row>
    <row r="38" spans="1:32" ht="15" customHeight="1" x14ac:dyDescent="0.15">
      <c r="A38" s="87" t="s">
        <v>300</v>
      </c>
      <c r="B38" s="88"/>
      <c r="C38" s="88"/>
      <c r="D38" s="88"/>
      <c r="E38" s="88"/>
      <c r="F38" s="89">
        <f>IF($F$37=0,0,$F$37/$L$37*100)</f>
        <v>16.463414634146343</v>
      </c>
      <c r="G38" s="89">
        <f>IF($G$37=0,0,$G$37/$L$37*100)</f>
        <v>19.817073170731707</v>
      </c>
      <c r="H38" s="89">
        <f>IF($H$37=0,0,$H$37/$L$37*100)</f>
        <v>18.902439024390244</v>
      </c>
      <c r="I38" s="89">
        <f>IF($I$37=0,0,$I$37/$L$37*100)</f>
        <v>18.292682926829269</v>
      </c>
      <c r="J38" s="89">
        <f>IF($J$37=0,0,$J$37/$L$37*100)</f>
        <v>11.890243902439025</v>
      </c>
      <c r="K38" s="90">
        <f>IF($K$37=0,0,$K$37/$L$37*100)</f>
        <v>14.634146341463413</v>
      </c>
      <c r="L38" s="91">
        <f>IF($L$37=0,0,$L$37/$L$37*100)</f>
        <v>100</v>
      </c>
      <c r="M38" s="92" t="s">
        <v>302</v>
      </c>
      <c r="O38" s="12"/>
      <c r="P38" s="13"/>
      <c r="Q38" s="13"/>
      <c r="R38" s="13"/>
      <c r="S38" s="13"/>
      <c r="T38" s="13"/>
      <c r="U38" s="13"/>
      <c r="V38" s="13"/>
      <c r="W38" s="13"/>
      <c r="X38" s="13"/>
      <c r="Y38" s="13"/>
      <c r="Z38" s="13"/>
      <c r="AA38" s="13"/>
      <c r="AB38" s="13"/>
      <c r="AC38" s="13"/>
      <c r="AD38" s="13"/>
      <c r="AE38" s="13"/>
      <c r="AF38" s="34"/>
    </row>
    <row r="39" spans="1:32" ht="15" customHeight="1" x14ac:dyDescent="0.15">
      <c r="A39" s="18"/>
      <c r="B39" s="94"/>
      <c r="C39" s="94"/>
      <c r="D39" s="94"/>
      <c r="E39" s="94"/>
      <c r="F39" s="94"/>
      <c r="G39" s="94"/>
      <c r="H39" s="94"/>
      <c r="I39" s="94"/>
      <c r="J39" s="94"/>
      <c r="K39" s="94"/>
      <c r="L39" s="94"/>
      <c r="M39" s="19"/>
      <c r="O39" s="12"/>
      <c r="P39" s="13"/>
      <c r="Q39" s="13"/>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28"/>
      <c r="O40" s="12"/>
      <c r="P40" s="13"/>
      <c r="Q40" s="13"/>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28"/>
      <c r="O41" s="12"/>
      <c r="P41" s="13"/>
      <c r="Q41" s="13"/>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28"/>
      <c r="O42" s="12"/>
      <c r="P42" s="13"/>
      <c r="Q42" s="13"/>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28"/>
      <c r="O43" s="12"/>
      <c r="P43" s="13"/>
      <c r="Q43" s="13"/>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28"/>
      <c r="O44" s="12"/>
      <c r="P44" s="13"/>
      <c r="Q44" s="13"/>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40"/>
      <c r="O45" s="44"/>
      <c r="P45" s="45"/>
      <c r="Q45" s="45"/>
      <c r="R45" s="45"/>
      <c r="S45" s="45"/>
      <c r="T45" s="45"/>
      <c r="U45" s="45"/>
      <c r="V45" s="45"/>
      <c r="W45" s="45"/>
      <c r="X45" s="45"/>
      <c r="Y45" s="45"/>
      <c r="Z45" s="45"/>
      <c r="AA45" s="45"/>
      <c r="AB45" s="45"/>
      <c r="AC45" s="45"/>
      <c r="AD45" s="45"/>
      <c r="AE45" s="45"/>
      <c r="AF45" s="46"/>
    </row>
  </sheetData>
  <mergeCells count="45">
    <mergeCell ref="C11:F11"/>
    <mergeCell ref="J13:J19"/>
    <mergeCell ref="K13:K19"/>
    <mergeCell ref="L13:L19"/>
    <mergeCell ref="A1:E5"/>
    <mergeCell ref="F1:N5"/>
    <mergeCell ref="M13:M19"/>
    <mergeCell ref="H13:H19"/>
    <mergeCell ref="F13:F19"/>
    <mergeCell ref="G13:G19"/>
    <mergeCell ref="I13:I19"/>
    <mergeCell ref="O3:Q7"/>
    <mergeCell ref="R3:T7"/>
    <mergeCell ref="A6:G6"/>
    <mergeCell ref="H6:N6"/>
    <mergeCell ref="A7:G7"/>
    <mergeCell ref="H7:N7"/>
    <mergeCell ref="U1:W1"/>
    <mergeCell ref="X1:AF1"/>
    <mergeCell ref="AA2:AC2"/>
    <mergeCell ref="AD2:AF2"/>
    <mergeCell ref="O2:Q2"/>
    <mergeCell ref="R2:T2"/>
    <mergeCell ref="U2:W2"/>
    <mergeCell ref="X2:Z2"/>
    <mergeCell ref="O1:Q1"/>
    <mergeCell ref="R1:T1"/>
    <mergeCell ref="U3:W7"/>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48"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G45"/>
  <sheetViews>
    <sheetView showGridLines="0" topLeftCell="A31" zoomScale="75" workbookViewId="0">
      <selection sqref="A1:E5"/>
    </sheetView>
  </sheetViews>
  <sheetFormatPr defaultColWidth="4.25" defaultRowHeight="15" customHeight="1" x14ac:dyDescent="0.15"/>
  <cols>
    <col min="1" max="1" width="9" style="9" customWidth="1"/>
    <col min="2" max="16384" width="4.25" style="9"/>
  </cols>
  <sheetData>
    <row r="1" spans="1:33" s="270" customFormat="1" ht="12.75" customHeight="1" x14ac:dyDescent="0.15">
      <c r="A1" s="1188" t="s">
        <v>627</v>
      </c>
      <c r="B1" s="1189"/>
      <c r="C1" s="1189"/>
      <c r="D1" s="1189"/>
      <c r="E1" s="1190"/>
      <c r="F1" s="1197" t="s">
        <v>632</v>
      </c>
      <c r="G1" s="1189"/>
      <c r="H1" s="1189"/>
      <c r="I1" s="1189"/>
      <c r="J1" s="1189"/>
      <c r="K1" s="1189"/>
      <c r="L1" s="1189"/>
      <c r="M1" s="1189"/>
      <c r="N1" s="1190"/>
      <c r="O1" s="1177" t="s">
        <v>305</v>
      </c>
      <c r="P1" s="1177"/>
      <c r="Q1" s="1177"/>
      <c r="R1" s="1177" t="s">
        <v>306</v>
      </c>
      <c r="S1" s="1177"/>
      <c r="T1" s="1177"/>
      <c r="U1" s="1177" t="s">
        <v>237</v>
      </c>
      <c r="V1" s="1177"/>
      <c r="W1" s="1177"/>
      <c r="X1" s="1177" t="s">
        <v>307</v>
      </c>
      <c r="Y1" s="1177"/>
      <c r="Z1" s="1177"/>
      <c r="AA1" s="1177"/>
      <c r="AB1" s="1177"/>
      <c r="AC1" s="1177"/>
      <c r="AD1" s="1177"/>
      <c r="AE1" s="1177"/>
      <c r="AF1" s="1177"/>
    </row>
    <row r="2" spans="1:33" s="270" customFormat="1" ht="12.75" customHeight="1" x14ac:dyDescent="0.15">
      <c r="A2" s="1191"/>
      <c r="B2" s="1192"/>
      <c r="C2" s="1192"/>
      <c r="D2" s="1192"/>
      <c r="E2" s="1193"/>
      <c r="F2" s="1191"/>
      <c r="G2" s="1192"/>
      <c r="H2" s="1192"/>
      <c r="I2" s="1192"/>
      <c r="J2" s="1192"/>
      <c r="K2" s="1192"/>
      <c r="L2" s="1192"/>
      <c r="M2" s="1192"/>
      <c r="N2" s="1193"/>
      <c r="O2" s="1177" t="s">
        <v>473</v>
      </c>
      <c r="P2" s="1177"/>
      <c r="Q2" s="1177"/>
      <c r="R2" s="1177" t="s">
        <v>473</v>
      </c>
      <c r="S2" s="1177"/>
      <c r="T2" s="1177"/>
      <c r="U2" s="1177" t="s">
        <v>473</v>
      </c>
      <c r="V2" s="1177"/>
      <c r="W2" s="1177"/>
      <c r="X2" s="1187" t="s">
        <v>308</v>
      </c>
      <c r="Y2" s="1187"/>
      <c r="Z2" s="1187"/>
      <c r="AA2" s="1177" t="s">
        <v>306</v>
      </c>
      <c r="AB2" s="1177"/>
      <c r="AC2" s="1177"/>
      <c r="AD2" s="1177" t="s">
        <v>237</v>
      </c>
      <c r="AE2" s="1177"/>
      <c r="AF2" s="1177"/>
    </row>
    <row r="3" spans="1:33" s="270" customFormat="1" ht="12.75" customHeight="1" x14ac:dyDescent="0.15">
      <c r="A3" s="1191"/>
      <c r="B3" s="1192"/>
      <c r="C3" s="1192"/>
      <c r="D3" s="1192"/>
      <c r="E3" s="1193"/>
      <c r="F3" s="1191"/>
      <c r="G3" s="1192"/>
      <c r="H3" s="1192"/>
      <c r="I3" s="1192"/>
      <c r="J3" s="1192"/>
      <c r="K3" s="1192"/>
      <c r="L3" s="1192"/>
      <c r="M3" s="1192"/>
      <c r="N3" s="1193"/>
      <c r="O3" s="1177"/>
      <c r="P3" s="1177"/>
      <c r="Q3" s="1177"/>
      <c r="R3" s="1177"/>
      <c r="S3" s="1177"/>
      <c r="T3" s="1177"/>
      <c r="U3" s="1177"/>
      <c r="V3" s="1177"/>
      <c r="W3" s="1177"/>
      <c r="X3" s="1177"/>
      <c r="Y3" s="1177"/>
      <c r="Z3" s="1177"/>
      <c r="AA3" s="1177" t="s">
        <v>238</v>
      </c>
      <c r="AB3" s="1177"/>
      <c r="AC3" s="1177"/>
      <c r="AD3" s="1177" t="s">
        <v>238</v>
      </c>
      <c r="AE3" s="1177"/>
      <c r="AF3" s="1177"/>
    </row>
    <row r="4" spans="1:33" s="270" customFormat="1" ht="12.75" customHeight="1" x14ac:dyDescent="0.15">
      <c r="A4" s="1191"/>
      <c r="B4" s="1192"/>
      <c r="C4" s="1192"/>
      <c r="D4" s="1192"/>
      <c r="E4" s="1193"/>
      <c r="F4" s="1191"/>
      <c r="G4" s="1192"/>
      <c r="H4" s="1192"/>
      <c r="I4" s="1192"/>
      <c r="J4" s="1192"/>
      <c r="K4" s="1192"/>
      <c r="L4" s="1192"/>
      <c r="M4" s="1192"/>
      <c r="N4" s="1193"/>
      <c r="O4" s="1177"/>
      <c r="P4" s="1177"/>
      <c r="Q4" s="1177"/>
      <c r="R4" s="1177"/>
      <c r="S4" s="1177"/>
      <c r="T4" s="1177"/>
      <c r="U4" s="1177"/>
      <c r="V4" s="1177"/>
      <c r="W4" s="1177"/>
      <c r="X4" s="1177"/>
      <c r="Y4" s="1177"/>
      <c r="Z4" s="1177"/>
      <c r="AA4" s="1178"/>
      <c r="AB4" s="1179"/>
      <c r="AC4" s="1180"/>
      <c r="AD4" s="1178"/>
      <c r="AE4" s="1179"/>
      <c r="AF4" s="1180"/>
    </row>
    <row r="5" spans="1:33" s="270" customFormat="1" ht="12.75" customHeight="1" x14ac:dyDescent="0.15">
      <c r="A5" s="1194"/>
      <c r="B5" s="1195"/>
      <c r="C5" s="1195"/>
      <c r="D5" s="1195"/>
      <c r="E5" s="1196"/>
      <c r="F5" s="1194"/>
      <c r="G5" s="1195"/>
      <c r="H5" s="1195"/>
      <c r="I5" s="1195"/>
      <c r="J5" s="1195"/>
      <c r="K5" s="1195"/>
      <c r="L5" s="1195"/>
      <c r="M5" s="1195"/>
      <c r="N5" s="1196"/>
      <c r="O5" s="1177"/>
      <c r="P5" s="1177"/>
      <c r="Q5" s="1177"/>
      <c r="R5" s="1177"/>
      <c r="S5" s="1177"/>
      <c r="T5" s="1177"/>
      <c r="U5" s="1177"/>
      <c r="V5" s="1177"/>
      <c r="W5" s="1177"/>
      <c r="X5" s="1177"/>
      <c r="Y5" s="1177"/>
      <c r="Z5" s="1177"/>
      <c r="AA5" s="1181"/>
      <c r="AB5" s="1182"/>
      <c r="AC5" s="1183"/>
      <c r="AD5" s="1181"/>
      <c r="AE5" s="1182"/>
      <c r="AF5" s="1183"/>
    </row>
    <row r="6" spans="1:33" s="270" customFormat="1" ht="15" customHeight="1" x14ac:dyDescent="0.15">
      <c r="A6" s="1177" t="s">
        <v>465</v>
      </c>
      <c r="B6" s="1177"/>
      <c r="C6" s="1177"/>
      <c r="D6" s="1177"/>
      <c r="E6" s="1177"/>
      <c r="F6" s="1177"/>
      <c r="G6" s="1177"/>
      <c r="H6" s="1177" t="s">
        <v>466</v>
      </c>
      <c r="I6" s="1177"/>
      <c r="J6" s="1177"/>
      <c r="K6" s="1177"/>
      <c r="L6" s="1177"/>
      <c r="M6" s="1177"/>
      <c r="N6" s="1177"/>
      <c r="O6" s="1177"/>
      <c r="P6" s="1177"/>
      <c r="Q6" s="1177"/>
      <c r="R6" s="1177"/>
      <c r="S6" s="1177"/>
      <c r="T6" s="1177"/>
      <c r="U6" s="1177"/>
      <c r="V6" s="1177"/>
      <c r="W6" s="1177"/>
      <c r="X6" s="1177"/>
      <c r="Y6" s="1177"/>
      <c r="Z6" s="1177"/>
      <c r="AA6" s="1181"/>
      <c r="AB6" s="1182"/>
      <c r="AC6" s="1183"/>
      <c r="AD6" s="1181"/>
      <c r="AE6" s="1182"/>
      <c r="AF6" s="1183"/>
    </row>
    <row r="7" spans="1:33" s="270" customFormat="1" ht="15" customHeight="1" x14ac:dyDescent="0.15">
      <c r="A7" s="1177"/>
      <c r="B7" s="1177"/>
      <c r="C7" s="1177"/>
      <c r="D7" s="1177"/>
      <c r="E7" s="1177"/>
      <c r="F7" s="1177"/>
      <c r="G7" s="1177"/>
      <c r="H7" s="1177"/>
      <c r="I7" s="1177"/>
      <c r="J7" s="1177"/>
      <c r="K7" s="1177"/>
      <c r="L7" s="1177"/>
      <c r="M7" s="1177"/>
      <c r="N7" s="1177"/>
      <c r="O7" s="1177"/>
      <c r="P7" s="1177"/>
      <c r="Q7" s="1177"/>
      <c r="R7" s="1177"/>
      <c r="S7" s="1177"/>
      <c r="T7" s="1177"/>
      <c r="U7" s="1177"/>
      <c r="V7" s="1177"/>
      <c r="W7" s="1177"/>
      <c r="X7" s="1177"/>
      <c r="Y7" s="1177"/>
      <c r="Z7" s="1177"/>
      <c r="AA7" s="1184"/>
      <c r="AB7" s="1185"/>
      <c r="AC7" s="1186"/>
      <c r="AD7" s="1184"/>
      <c r="AE7" s="1185"/>
      <c r="AF7" s="1186"/>
    </row>
    <row r="8" spans="1:33" s="262" customFormat="1" ht="15" customHeight="1" x14ac:dyDescent="0.15">
      <c r="A8" s="783" t="s">
        <v>310</v>
      </c>
      <c r="B8" s="783"/>
      <c r="C8" s="783"/>
      <c r="D8" s="783"/>
      <c r="E8" s="783"/>
      <c r="F8" s="783"/>
      <c r="G8" s="783"/>
      <c r="H8" s="783"/>
      <c r="I8" s="783"/>
      <c r="J8" s="783"/>
      <c r="K8" s="783"/>
      <c r="L8" s="783"/>
      <c r="M8" s="783"/>
      <c r="N8" s="783"/>
      <c r="O8" s="783" t="s">
        <v>139</v>
      </c>
      <c r="P8" s="783"/>
      <c r="Q8" s="783"/>
      <c r="R8" s="783"/>
      <c r="S8" s="783"/>
      <c r="T8" s="783"/>
      <c r="U8" s="260" t="s">
        <v>634</v>
      </c>
      <c r="V8" s="261"/>
      <c r="W8" s="754"/>
      <c r="X8" s="755"/>
      <c r="Y8" s="756"/>
      <c r="Z8" s="757" t="s">
        <v>468</v>
      </c>
      <c r="AA8" s="758"/>
      <c r="AB8" s="759"/>
      <c r="AC8" s="755"/>
      <c r="AD8" s="756"/>
      <c r="AE8" s="757" t="s">
        <v>469</v>
      </c>
      <c r="AF8" s="758"/>
    </row>
    <row r="9" spans="1:33" s="262" customFormat="1" ht="15" customHeight="1" x14ac:dyDescent="0.15">
      <c r="A9" s="783"/>
      <c r="B9" s="783"/>
      <c r="C9" s="783"/>
      <c r="D9" s="783"/>
      <c r="E9" s="783"/>
      <c r="F9" s="783"/>
      <c r="G9" s="783"/>
      <c r="H9" s="783"/>
      <c r="I9" s="783"/>
      <c r="J9" s="783"/>
      <c r="K9" s="783"/>
      <c r="L9" s="783"/>
      <c r="M9" s="783"/>
      <c r="N9" s="783"/>
      <c r="O9" s="783"/>
      <c r="P9" s="783"/>
      <c r="Q9" s="783"/>
      <c r="R9" s="783"/>
      <c r="S9" s="783"/>
      <c r="T9" s="783"/>
      <c r="U9" s="263" t="s">
        <v>635</v>
      </c>
      <c r="V9" s="264"/>
      <c r="W9" s="748"/>
      <c r="X9" s="749"/>
      <c r="Y9" s="750"/>
      <c r="Z9" s="751" t="s">
        <v>471</v>
      </c>
      <c r="AA9" s="750"/>
      <c r="AB9" s="751"/>
      <c r="AC9" s="749"/>
      <c r="AD9" s="750"/>
      <c r="AE9" s="752"/>
      <c r="AF9" s="753"/>
    </row>
    <row r="11" spans="1:33" ht="15" customHeight="1" x14ac:dyDescent="0.15">
      <c r="A11" s="10" t="s">
        <v>208</v>
      </c>
      <c r="B11" s="11"/>
      <c r="C11" s="771" t="s">
        <v>141</v>
      </c>
      <c r="D11" s="772"/>
      <c r="E11" s="772"/>
      <c r="F11" s="77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15">
      <c r="A13" s="304"/>
      <c r="B13" s="305"/>
      <c r="C13" s="305"/>
      <c r="D13" s="305"/>
      <c r="E13" s="306" t="s">
        <v>423</v>
      </c>
      <c r="F13" s="1199" t="s">
        <v>185</v>
      </c>
      <c r="G13" s="1199" t="s">
        <v>163</v>
      </c>
      <c r="H13" s="1199" t="s">
        <v>427</v>
      </c>
      <c r="I13" s="1199" t="s">
        <v>429</v>
      </c>
      <c r="J13" s="1199" t="s">
        <v>431</v>
      </c>
      <c r="K13" s="1202" t="s">
        <v>184</v>
      </c>
      <c r="L13" s="1205" t="s">
        <v>299</v>
      </c>
      <c r="M13" s="1208" t="s">
        <v>300</v>
      </c>
      <c r="O13" s="25"/>
      <c r="P13" s="15"/>
      <c r="Q13" s="15"/>
      <c r="R13" s="15"/>
      <c r="S13" s="15"/>
      <c r="T13" s="15"/>
      <c r="U13" s="15"/>
      <c r="V13" s="15"/>
      <c r="W13" s="15"/>
      <c r="X13" s="15"/>
      <c r="Y13" s="15"/>
      <c r="Z13" s="15"/>
      <c r="AA13" s="15"/>
      <c r="AB13" s="15"/>
      <c r="AC13" s="15"/>
      <c r="AD13" s="15"/>
      <c r="AE13" s="15"/>
      <c r="AF13" s="26"/>
    </row>
    <row r="14" spans="1:33" ht="15" customHeight="1" x14ac:dyDescent="0.15">
      <c r="A14" s="307"/>
      <c r="B14" s="308"/>
      <c r="C14" s="308"/>
      <c r="D14" s="308"/>
      <c r="E14" s="309"/>
      <c r="F14" s="1200"/>
      <c r="G14" s="1200"/>
      <c r="H14" s="1200"/>
      <c r="I14" s="1200"/>
      <c r="J14" s="1200"/>
      <c r="K14" s="1203"/>
      <c r="L14" s="1206"/>
      <c r="M14" s="1209"/>
      <c r="O14" s="12"/>
      <c r="P14" s="13"/>
      <c r="Q14" s="13"/>
      <c r="R14" s="13"/>
      <c r="S14" s="13"/>
      <c r="T14" s="13"/>
      <c r="U14" s="13"/>
      <c r="V14" s="13"/>
      <c r="W14" s="13"/>
      <c r="X14" s="13"/>
      <c r="Y14" s="13"/>
      <c r="Z14" s="13"/>
      <c r="AA14" s="13"/>
      <c r="AB14" s="13"/>
      <c r="AC14" s="13"/>
      <c r="AD14" s="13"/>
      <c r="AE14" s="13"/>
      <c r="AF14" s="34"/>
    </row>
    <row r="15" spans="1:33" ht="15" customHeight="1" x14ac:dyDescent="0.15">
      <c r="A15" s="307"/>
      <c r="B15" s="308"/>
      <c r="C15" s="308"/>
      <c r="D15" s="308"/>
      <c r="E15" s="309"/>
      <c r="F15" s="1200"/>
      <c r="G15" s="1200"/>
      <c r="H15" s="1200"/>
      <c r="I15" s="1200"/>
      <c r="J15" s="1200"/>
      <c r="K15" s="1203"/>
      <c r="L15" s="1206"/>
      <c r="M15" s="1209"/>
      <c r="O15" s="12"/>
      <c r="P15" s="13"/>
      <c r="Q15" s="13"/>
      <c r="R15" s="13"/>
      <c r="S15" s="13"/>
      <c r="T15" s="13"/>
      <c r="U15" s="13"/>
      <c r="V15" s="13"/>
      <c r="W15" s="13"/>
      <c r="X15" s="13"/>
      <c r="Y15" s="13"/>
      <c r="Z15" s="13"/>
      <c r="AA15" s="13"/>
      <c r="AB15" s="13"/>
      <c r="AC15" s="13"/>
      <c r="AD15" s="13"/>
      <c r="AE15" s="13"/>
      <c r="AF15" s="34"/>
    </row>
    <row r="16" spans="1:33" ht="15" customHeight="1" x14ac:dyDescent="0.15">
      <c r="A16" s="307"/>
      <c r="B16" s="308"/>
      <c r="C16" s="308"/>
      <c r="D16" s="308"/>
      <c r="E16" s="309"/>
      <c r="F16" s="1200"/>
      <c r="G16" s="1200"/>
      <c r="H16" s="1200"/>
      <c r="I16" s="1200"/>
      <c r="J16" s="1200"/>
      <c r="K16" s="1203"/>
      <c r="L16" s="1206"/>
      <c r="M16" s="1209"/>
      <c r="O16" s="12"/>
      <c r="P16" s="13"/>
      <c r="Q16" s="13"/>
      <c r="R16" s="13"/>
      <c r="S16" s="13"/>
      <c r="T16" s="13"/>
      <c r="U16" s="13"/>
      <c r="V16" s="13"/>
      <c r="W16" s="13"/>
      <c r="X16" s="13"/>
      <c r="Y16" s="13"/>
      <c r="Z16" s="13"/>
      <c r="AA16" s="13"/>
      <c r="AB16" s="13"/>
      <c r="AC16" s="13"/>
      <c r="AD16" s="13"/>
      <c r="AE16" s="13"/>
      <c r="AF16" s="34"/>
    </row>
    <row r="17" spans="1:32" ht="15" customHeight="1" x14ac:dyDescent="0.15">
      <c r="A17" s="307"/>
      <c r="B17" s="308"/>
      <c r="C17" s="308"/>
      <c r="D17" s="308"/>
      <c r="E17" s="309"/>
      <c r="F17" s="1200"/>
      <c r="G17" s="1200"/>
      <c r="H17" s="1200"/>
      <c r="I17" s="1200"/>
      <c r="J17" s="1200"/>
      <c r="K17" s="1203"/>
      <c r="L17" s="1206"/>
      <c r="M17" s="1209"/>
      <c r="O17" s="12"/>
      <c r="P17" s="13"/>
      <c r="Q17" s="13"/>
      <c r="R17" s="13"/>
      <c r="S17" s="13"/>
      <c r="T17" s="13"/>
      <c r="U17" s="13"/>
      <c r="V17" s="13"/>
      <c r="W17" s="13"/>
      <c r="X17" s="13"/>
      <c r="Y17" s="13"/>
      <c r="Z17" s="13"/>
      <c r="AA17" s="13"/>
      <c r="AB17" s="13"/>
      <c r="AC17" s="13"/>
      <c r="AD17" s="13"/>
      <c r="AE17" s="13"/>
      <c r="AF17" s="34"/>
    </row>
    <row r="18" spans="1:32" ht="15" customHeight="1" x14ac:dyDescent="0.15">
      <c r="A18" s="307"/>
      <c r="B18" s="308"/>
      <c r="C18" s="308"/>
      <c r="D18" s="308"/>
      <c r="E18" s="309"/>
      <c r="F18" s="1200"/>
      <c r="G18" s="1200"/>
      <c r="H18" s="1200"/>
      <c r="I18" s="1200"/>
      <c r="J18" s="1200"/>
      <c r="K18" s="1203"/>
      <c r="L18" s="1206"/>
      <c r="M18" s="1209"/>
      <c r="O18" s="12"/>
      <c r="P18" s="13"/>
      <c r="Q18" s="13"/>
      <c r="R18" s="13"/>
      <c r="S18" s="13"/>
      <c r="T18" s="13"/>
      <c r="U18" s="13"/>
      <c r="V18" s="13"/>
      <c r="W18" s="13"/>
      <c r="X18" s="13"/>
      <c r="Y18" s="13"/>
      <c r="Z18" s="13"/>
      <c r="AA18" s="13"/>
      <c r="AB18" s="13"/>
      <c r="AC18" s="13"/>
      <c r="AD18" s="13"/>
      <c r="AE18" s="13"/>
      <c r="AF18" s="34"/>
    </row>
    <row r="19" spans="1:32" ht="15" customHeight="1" x14ac:dyDescent="0.15">
      <c r="A19" s="310" t="s">
        <v>636</v>
      </c>
      <c r="B19" s="311"/>
      <c r="C19" s="311"/>
      <c r="D19" s="311"/>
      <c r="E19" s="312"/>
      <c r="F19" s="1201"/>
      <c r="G19" s="1201"/>
      <c r="H19" s="1201"/>
      <c r="I19" s="1201"/>
      <c r="J19" s="1201"/>
      <c r="K19" s="1204"/>
      <c r="L19" s="1207"/>
      <c r="M19" s="1210"/>
      <c r="O19" s="12"/>
      <c r="P19" s="13"/>
      <c r="Q19" s="13"/>
      <c r="R19" s="13"/>
      <c r="S19" s="13"/>
      <c r="T19" s="13"/>
      <c r="U19" s="13"/>
      <c r="V19" s="13"/>
      <c r="W19" s="13"/>
      <c r="X19" s="13"/>
      <c r="Y19" s="13"/>
      <c r="Z19" s="13"/>
      <c r="AA19" s="13"/>
      <c r="AB19" s="13"/>
      <c r="AC19" s="13"/>
      <c r="AD19" s="13"/>
      <c r="AE19" s="13"/>
      <c r="AF19" s="34"/>
    </row>
    <row r="20" spans="1:32" ht="15" customHeight="1" x14ac:dyDescent="0.15">
      <c r="A20" s="313" t="s">
        <v>286</v>
      </c>
      <c r="B20" s="31"/>
      <c r="C20" s="31"/>
      <c r="D20" s="31"/>
      <c r="E20" s="31"/>
      <c r="F20" s="314">
        <v>1</v>
      </c>
      <c r="G20" s="314">
        <v>0</v>
      </c>
      <c r="H20" s="314">
        <v>0</v>
      </c>
      <c r="I20" s="314">
        <v>1</v>
      </c>
      <c r="J20" s="314">
        <v>0</v>
      </c>
      <c r="K20" s="315">
        <v>0</v>
      </c>
      <c r="L20" s="316">
        <f>SUM($F$20:$K$20)</f>
        <v>2</v>
      </c>
      <c r="M20" s="317">
        <f>IF($L$20=0,0,$L$20/$L$23*100)</f>
        <v>18.181818181818183</v>
      </c>
      <c r="O20" s="12"/>
      <c r="P20" s="13"/>
      <c r="Q20" s="13"/>
      <c r="R20" s="13"/>
      <c r="S20" s="13"/>
      <c r="T20" s="13"/>
      <c r="U20" s="13"/>
      <c r="V20" s="13"/>
      <c r="W20" s="13"/>
      <c r="X20" s="13"/>
      <c r="Y20" s="13"/>
      <c r="Z20" s="13"/>
      <c r="AA20" s="13"/>
      <c r="AB20" s="13"/>
      <c r="AC20" s="13"/>
      <c r="AD20" s="13"/>
      <c r="AE20" s="13"/>
      <c r="AF20" s="34"/>
    </row>
    <row r="21" spans="1:32" ht="15" customHeight="1" x14ac:dyDescent="0.15">
      <c r="A21" s="313" t="s">
        <v>288</v>
      </c>
      <c r="B21" s="31"/>
      <c r="C21" s="31"/>
      <c r="D21" s="31"/>
      <c r="E21" s="31"/>
      <c r="F21" s="318">
        <v>0</v>
      </c>
      <c r="G21" s="318">
        <v>2</v>
      </c>
      <c r="H21" s="318">
        <v>1</v>
      </c>
      <c r="I21" s="318">
        <v>0</v>
      </c>
      <c r="J21" s="318">
        <v>1</v>
      </c>
      <c r="K21" s="319">
        <v>1</v>
      </c>
      <c r="L21" s="320">
        <f>SUM($F$21:$K$21)</f>
        <v>5</v>
      </c>
      <c r="M21" s="317">
        <f>IF($L$21=0,0,$L$21/$L$23*100)</f>
        <v>45.454545454545453</v>
      </c>
      <c r="O21" s="12"/>
      <c r="P21" s="13"/>
      <c r="Q21" s="13"/>
      <c r="R21" s="13"/>
      <c r="S21" s="13"/>
      <c r="T21" s="13"/>
      <c r="U21" s="13"/>
      <c r="V21" s="13"/>
      <c r="W21" s="13"/>
      <c r="X21" s="13"/>
      <c r="Y21" s="13"/>
      <c r="Z21" s="13"/>
      <c r="AA21" s="13"/>
      <c r="AB21" s="13"/>
      <c r="AC21" s="13"/>
      <c r="AD21" s="13"/>
      <c r="AE21" s="13"/>
      <c r="AF21" s="34"/>
    </row>
    <row r="22" spans="1:32" ht="15" customHeight="1" thickBot="1" x14ac:dyDescent="0.2">
      <c r="A22" s="321" t="s">
        <v>303</v>
      </c>
      <c r="B22" s="200"/>
      <c r="C22" s="200"/>
      <c r="D22" s="200"/>
      <c r="E22" s="200"/>
      <c r="F22" s="322">
        <v>1</v>
      </c>
      <c r="G22" s="322">
        <v>1</v>
      </c>
      <c r="H22" s="322">
        <v>0</v>
      </c>
      <c r="I22" s="322">
        <v>1</v>
      </c>
      <c r="J22" s="322">
        <v>0</v>
      </c>
      <c r="K22" s="323">
        <v>1</v>
      </c>
      <c r="L22" s="324">
        <f>SUM($F$22:$K$22)</f>
        <v>4</v>
      </c>
      <c r="M22" s="325">
        <f>IF($L$22=0,0,$L$22/$L$23*100)</f>
        <v>36.363636363636367</v>
      </c>
      <c r="O22" s="12"/>
      <c r="P22" s="13"/>
      <c r="Q22" s="13"/>
      <c r="R22" s="13"/>
      <c r="S22" s="13"/>
      <c r="T22" s="13"/>
      <c r="U22" s="13"/>
      <c r="V22" s="13"/>
      <c r="W22" s="13"/>
      <c r="X22" s="13"/>
      <c r="Y22" s="13"/>
      <c r="Z22" s="13"/>
      <c r="AA22" s="13"/>
      <c r="AB22" s="13"/>
      <c r="AC22" s="13"/>
      <c r="AD22" s="13"/>
      <c r="AE22" s="13"/>
      <c r="AF22" s="34"/>
    </row>
    <row r="23" spans="1:32" ht="15" customHeight="1" thickTop="1" x14ac:dyDescent="0.15">
      <c r="A23" s="326" t="s">
        <v>299</v>
      </c>
      <c r="B23" s="81"/>
      <c r="C23" s="81"/>
      <c r="D23" s="81"/>
      <c r="E23" s="81"/>
      <c r="F23" s="327">
        <f>SUM($F$20:$F$22)</f>
        <v>2</v>
      </c>
      <c r="G23" s="327">
        <f>SUM($G$20:$G$22)</f>
        <v>3</v>
      </c>
      <c r="H23" s="327">
        <f>SUM($H$20:$H$22)</f>
        <v>1</v>
      </c>
      <c r="I23" s="327">
        <f>SUM($I$20:$I$22)</f>
        <v>2</v>
      </c>
      <c r="J23" s="327">
        <f>SUM($J$20:$J$22)</f>
        <v>1</v>
      </c>
      <c r="K23" s="328">
        <f>SUM($K$20:$K$22)</f>
        <v>2</v>
      </c>
      <c r="L23" s="329">
        <f>SUM($F$23:$K$23)</f>
        <v>11</v>
      </c>
      <c r="M23" s="330">
        <f>IF($L$23=0,0,$L$23/$L$23*100)</f>
        <v>100</v>
      </c>
      <c r="O23" s="12"/>
      <c r="P23" s="13"/>
      <c r="Q23" s="13"/>
      <c r="R23" s="13"/>
      <c r="S23" s="13"/>
      <c r="T23" s="13"/>
      <c r="U23" s="13"/>
      <c r="V23" s="13"/>
      <c r="W23" s="13"/>
      <c r="X23" s="13"/>
      <c r="Y23" s="13"/>
      <c r="Z23" s="13"/>
      <c r="AA23" s="13"/>
      <c r="AB23" s="13"/>
      <c r="AC23" s="13"/>
      <c r="AD23" s="13"/>
      <c r="AE23" s="13"/>
      <c r="AF23" s="34"/>
    </row>
    <row r="24" spans="1:32" ht="15" customHeight="1" x14ac:dyDescent="0.15">
      <c r="A24" s="331" t="s">
        <v>300</v>
      </c>
      <c r="B24" s="88"/>
      <c r="C24" s="88"/>
      <c r="D24" s="88"/>
      <c r="E24" s="88"/>
      <c r="F24" s="332">
        <f>IF($F$23=0,0,$F$23/$L$23*100)</f>
        <v>18.181818181818183</v>
      </c>
      <c r="G24" s="332">
        <f>IF($G$23=0,0,$G$23/$L$23*100)</f>
        <v>27.27272727272727</v>
      </c>
      <c r="H24" s="332">
        <f>IF($H$23=0,0,$H$23/$L$23*100)</f>
        <v>9.0909090909090917</v>
      </c>
      <c r="I24" s="332">
        <f>IF($I$23=0,0,$I$23/$L$23*100)</f>
        <v>18.181818181818183</v>
      </c>
      <c r="J24" s="332">
        <f>IF($J$23=0,0,$J$23/$L$23*100)</f>
        <v>9.0909090909090917</v>
      </c>
      <c r="K24" s="333">
        <f>IF($K$23=0,0,$K$23/$L$23*100)</f>
        <v>18.181818181818183</v>
      </c>
      <c r="L24" s="334">
        <f>IF($L$23=0,0,$L$23/$L$23*100)</f>
        <v>100</v>
      </c>
      <c r="M24" s="335" t="s">
        <v>637</v>
      </c>
      <c r="O24" s="12"/>
      <c r="P24" s="13"/>
      <c r="Q24" s="13"/>
      <c r="R24" s="13"/>
      <c r="S24" s="13"/>
      <c r="T24" s="13"/>
      <c r="U24" s="13"/>
      <c r="V24" s="13"/>
      <c r="W24" s="13"/>
      <c r="X24" s="13"/>
      <c r="Y24" s="13"/>
      <c r="Z24" s="13"/>
      <c r="AA24" s="13"/>
      <c r="AB24" s="13"/>
      <c r="AC24" s="13"/>
      <c r="AD24" s="13"/>
      <c r="AE24" s="13"/>
      <c r="AF24" s="34"/>
    </row>
    <row r="25" spans="1:32" ht="15" customHeight="1" x14ac:dyDescent="0.15">
      <c r="A25" s="18"/>
      <c r="B25" s="94"/>
      <c r="C25" s="94"/>
      <c r="D25" s="94"/>
      <c r="E25" s="94"/>
      <c r="F25" s="94"/>
      <c r="G25" s="94"/>
      <c r="H25" s="94"/>
      <c r="I25" s="94"/>
      <c r="J25" s="94"/>
      <c r="K25" s="94"/>
      <c r="L25" s="94"/>
      <c r="M25" s="19"/>
      <c r="O25" s="12"/>
      <c r="P25" s="13"/>
      <c r="Q25" s="13"/>
      <c r="R25" s="13"/>
      <c r="S25" s="13"/>
      <c r="T25" s="13"/>
      <c r="U25" s="13"/>
      <c r="V25" s="13"/>
      <c r="W25" s="13"/>
      <c r="X25" s="13"/>
      <c r="Y25" s="13"/>
      <c r="Z25" s="13"/>
      <c r="AA25" s="13"/>
      <c r="AB25" s="13"/>
      <c r="AC25" s="13"/>
      <c r="AD25" s="13"/>
      <c r="AE25" s="13"/>
      <c r="AF25" s="34"/>
    </row>
    <row r="26" spans="1:32" ht="15" customHeight="1" x14ac:dyDescent="0.15">
      <c r="A26" s="27"/>
      <c r="B26" s="36"/>
      <c r="C26" s="36"/>
      <c r="D26" s="36"/>
      <c r="E26" s="36"/>
      <c r="F26" s="36"/>
      <c r="G26" s="36"/>
      <c r="H26" s="36"/>
      <c r="I26" s="36"/>
      <c r="J26" s="36"/>
      <c r="K26" s="36"/>
      <c r="L26" s="36"/>
      <c r="M26" s="28"/>
      <c r="O26" s="12"/>
      <c r="P26" s="13"/>
      <c r="Q26" s="13"/>
      <c r="R26" s="13"/>
      <c r="S26" s="13"/>
      <c r="T26" s="13"/>
      <c r="U26" s="13"/>
      <c r="V26" s="13"/>
      <c r="W26" s="13"/>
      <c r="X26" s="13"/>
      <c r="Y26" s="13"/>
      <c r="Z26" s="13"/>
      <c r="AA26" s="13"/>
      <c r="AB26" s="13"/>
      <c r="AC26" s="13"/>
      <c r="AD26" s="13"/>
      <c r="AE26" s="13"/>
      <c r="AF26" s="34"/>
    </row>
    <row r="27" spans="1:32" ht="15" customHeight="1" x14ac:dyDescent="0.15">
      <c r="A27" s="27"/>
      <c r="B27" s="36"/>
      <c r="C27" s="36"/>
      <c r="D27" s="36"/>
      <c r="E27" s="36"/>
      <c r="F27" s="36"/>
      <c r="G27" s="36"/>
      <c r="H27" s="36"/>
      <c r="I27" s="36"/>
      <c r="J27" s="36"/>
      <c r="K27" s="36"/>
      <c r="L27" s="36"/>
      <c r="M27" s="28"/>
      <c r="O27" s="12"/>
      <c r="P27" s="13"/>
      <c r="Q27" s="13"/>
      <c r="R27" s="13"/>
      <c r="S27" s="13"/>
      <c r="T27" s="13"/>
      <c r="U27" s="13"/>
      <c r="V27" s="13"/>
      <c r="W27" s="13"/>
      <c r="X27" s="13"/>
      <c r="Y27" s="13"/>
      <c r="Z27" s="13"/>
      <c r="AA27" s="13"/>
      <c r="AB27" s="13"/>
      <c r="AC27" s="13"/>
      <c r="AD27" s="13"/>
      <c r="AE27" s="13"/>
      <c r="AF27" s="34"/>
    </row>
    <row r="28" spans="1:32" ht="15" customHeight="1" x14ac:dyDescent="0.15">
      <c r="A28" s="27"/>
      <c r="B28" s="36"/>
      <c r="C28" s="36"/>
      <c r="D28" s="36"/>
      <c r="E28" s="36"/>
      <c r="F28" s="36"/>
      <c r="G28" s="36"/>
      <c r="H28" s="36"/>
      <c r="I28" s="36"/>
      <c r="J28" s="36"/>
      <c r="K28" s="36"/>
      <c r="L28" s="36"/>
      <c r="M28" s="28"/>
      <c r="O28" s="12"/>
      <c r="P28" s="13"/>
      <c r="Q28" s="13"/>
      <c r="R28" s="13"/>
      <c r="S28" s="13"/>
      <c r="T28" s="13"/>
      <c r="U28" s="13"/>
      <c r="V28" s="13"/>
      <c r="W28" s="13"/>
      <c r="X28" s="13"/>
      <c r="Y28" s="13"/>
      <c r="Z28" s="13"/>
      <c r="AA28" s="13"/>
      <c r="AB28" s="13"/>
      <c r="AC28" s="13"/>
      <c r="AD28" s="13"/>
      <c r="AE28" s="13"/>
      <c r="AF28" s="34"/>
    </row>
    <row r="29" spans="1:32" ht="15" customHeight="1" x14ac:dyDescent="0.15">
      <c r="A29" s="27"/>
      <c r="B29" s="36"/>
      <c r="C29" s="36"/>
      <c r="D29" s="36"/>
      <c r="E29" s="36"/>
      <c r="F29" s="36"/>
      <c r="G29" s="36"/>
      <c r="H29" s="36"/>
      <c r="I29" s="36"/>
      <c r="J29" s="36"/>
      <c r="K29" s="36"/>
      <c r="L29" s="36"/>
      <c r="M29" s="28"/>
      <c r="O29" s="12"/>
      <c r="P29" s="13"/>
      <c r="Q29" s="13"/>
      <c r="R29" s="13"/>
      <c r="S29" s="13"/>
      <c r="T29" s="13"/>
      <c r="U29" s="13"/>
      <c r="V29" s="13"/>
      <c r="W29" s="13"/>
      <c r="X29" s="13"/>
      <c r="Y29" s="13"/>
      <c r="Z29" s="13"/>
      <c r="AA29" s="13"/>
      <c r="AB29" s="13"/>
      <c r="AC29" s="13"/>
      <c r="AD29" s="13"/>
      <c r="AE29" s="13"/>
      <c r="AF29" s="34"/>
    </row>
    <row r="30" spans="1:32" ht="15" customHeight="1" x14ac:dyDescent="0.15">
      <c r="A30" s="27"/>
      <c r="B30" s="36"/>
      <c r="C30" s="36"/>
      <c r="D30" s="36"/>
      <c r="E30" s="36"/>
      <c r="F30" s="36"/>
      <c r="G30" s="36"/>
      <c r="H30" s="36"/>
      <c r="I30" s="36"/>
      <c r="J30" s="36"/>
      <c r="K30" s="36"/>
      <c r="L30" s="36"/>
      <c r="M30" s="28"/>
      <c r="O30" s="12"/>
      <c r="P30" s="13"/>
      <c r="Q30" s="13"/>
      <c r="R30" s="13"/>
      <c r="S30" s="13"/>
      <c r="T30" s="13"/>
      <c r="U30" s="13"/>
      <c r="V30" s="13"/>
      <c r="W30" s="13"/>
      <c r="X30" s="13"/>
      <c r="Y30" s="13"/>
      <c r="Z30" s="13"/>
      <c r="AA30" s="13"/>
      <c r="AB30" s="13"/>
      <c r="AC30" s="13"/>
      <c r="AD30" s="13"/>
      <c r="AE30" s="13"/>
      <c r="AF30" s="34"/>
    </row>
    <row r="31" spans="1:32" ht="15" customHeight="1" x14ac:dyDescent="0.15">
      <c r="A31" s="27"/>
      <c r="B31" s="36"/>
      <c r="C31" s="36"/>
      <c r="D31" s="36"/>
      <c r="E31" s="36"/>
      <c r="F31" s="36"/>
      <c r="G31" s="36"/>
      <c r="H31" s="36"/>
      <c r="I31" s="36"/>
      <c r="J31" s="36"/>
      <c r="K31" s="36"/>
      <c r="L31" s="36"/>
      <c r="M31" s="28"/>
      <c r="O31" s="12"/>
      <c r="P31" s="13"/>
      <c r="Q31" s="13"/>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28"/>
      <c r="O32" s="12"/>
      <c r="P32" s="13"/>
      <c r="Q32" s="13"/>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28"/>
      <c r="O33" s="12"/>
      <c r="P33" s="13"/>
      <c r="Q33" s="13"/>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28"/>
      <c r="O34" s="12"/>
      <c r="P34" s="13"/>
      <c r="Q34" s="13"/>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28"/>
      <c r="O35" s="12"/>
      <c r="P35" s="13"/>
      <c r="Q35" s="13"/>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28"/>
      <c r="O36" s="12"/>
      <c r="P36" s="13"/>
      <c r="Q36" s="13"/>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28"/>
      <c r="O37" s="12"/>
      <c r="P37" s="13"/>
      <c r="Q37" s="13"/>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28"/>
      <c r="O38" s="12"/>
      <c r="P38" s="13"/>
      <c r="Q38" s="13"/>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28"/>
      <c r="O39" s="12"/>
      <c r="P39" s="13"/>
      <c r="Q39" s="13"/>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28"/>
      <c r="O40" s="12"/>
      <c r="P40" s="13"/>
      <c r="Q40" s="13"/>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28"/>
      <c r="O41" s="12"/>
      <c r="P41" s="13"/>
      <c r="Q41" s="13"/>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28"/>
      <c r="O42" s="12"/>
      <c r="P42" s="13"/>
      <c r="Q42" s="13"/>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28"/>
      <c r="O43" s="12"/>
      <c r="P43" s="13"/>
      <c r="Q43" s="13"/>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28"/>
      <c r="O44" s="12"/>
      <c r="P44" s="13"/>
      <c r="Q44" s="13"/>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40"/>
      <c r="O45" s="44"/>
      <c r="P45" s="45"/>
      <c r="Q45" s="45"/>
      <c r="R45" s="45"/>
      <c r="S45" s="45"/>
      <c r="T45" s="45"/>
      <c r="U45" s="45"/>
      <c r="V45" s="45"/>
      <c r="W45" s="45"/>
      <c r="X45" s="45"/>
      <c r="Y45" s="45"/>
      <c r="Z45" s="45"/>
      <c r="AA45" s="45"/>
      <c r="AB45" s="45"/>
      <c r="AC45" s="45"/>
      <c r="AD45" s="45"/>
      <c r="AE45" s="45"/>
      <c r="AF45" s="46"/>
    </row>
  </sheetData>
  <mergeCells count="45">
    <mergeCell ref="AB9:AD9"/>
    <mergeCell ref="AE9:AF9"/>
    <mergeCell ref="A8:N8"/>
    <mergeCell ref="O8:T8"/>
    <mergeCell ref="W8:Y8"/>
    <mergeCell ref="A9:N9"/>
    <mergeCell ref="O9:T9"/>
    <mergeCell ref="W9:Y9"/>
    <mergeCell ref="Z9:AA9"/>
    <mergeCell ref="Z8:AA8"/>
    <mergeCell ref="U3:W7"/>
    <mergeCell ref="X3:Z7"/>
    <mergeCell ref="AA3:AC3"/>
    <mergeCell ref="AB8:AD8"/>
    <mergeCell ref="AD3:AF3"/>
    <mergeCell ref="AA4:AC7"/>
    <mergeCell ref="AD4:AF7"/>
    <mergeCell ref="AE8:AF8"/>
    <mergeCell ref="U2:W2"/>
    <mergeCell ref="X2:Z2"/>
    <mergeCell ref="U1:W1"/>
    <mergeCell ref="X1:AF1"/>
    <mergeCell ref="AA2:AC2"/>
    <mergeCell ref="AD2:AF2"/>
    <mergeCell ref="A1:E5"/>
    <mergeCell ref="F1:N5"/>
    <mergeCell ref="O1:Q1"/>
    <mergeCell ref="R1:T1"/>
    <mergeCell ref="O3:Q7"/>
    <mergeCell ref="R3:T7"/>
    <mergeCell ref="A6:G6"/>
    <mergeCell ref="H6:N6"/>
    <mergeCell ref="A7:G7"/>
    <mergeCell ref="H7:N7"/>
    <mergeCell ref="O2:Q2"/>
    <mergeCell ref="R2:T2"/>
    <mergeCell ref="C11:F11"/>
    <mergeCell ref="J13:J19"/>
    <mergeCell ref="K13:K19"/>
    <mergeCell ref="L13:L19"/>
    <mergeCell ref="M13:M19"/>
    <mergeCell ref="F13:F19"/>
    <mergeCell ref="G13:G19"/>
    <mergeCell ref="H13:H19"/>
    <mergeCell ref="I13:I19"/>
  </mergeCells>
  <phoneticPr fontId="23"/>
  <pageMargins left="0.47244094488188981" right="0.47244094488188981" top="0.64"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AG95"/>
  <sheetViews>
    <sheetView showGridLines="0" topLeftCell="A31" zoomScale="75" workbookViewId="0">
      <selection sqref="A1:E5"/>
    </sheetView>
  </sheetViews>
  <sheetFormatPr defaultColWidth="4.25" defaultRowHeight="15" customHeight="1" x14ac:dyDescent="0.15"/>
  <cols>
    <col min="1" max="1" width="9" style="9" customWidth="1"/>
    <col min="2" max="10" width="4.25" style="9"/>
    <col min="11" max="11" width="4.25" style="9" customWidth="1"/>
    <col min="12" max="16384" width="4.25" style="9"/>
  </cols>
  <sheetData>
    <row r="1" spans="1:33" s="270" customFormat="1" ht="12.75" customHeight="1" x14ac:dyDescent="0.15">
      <c r="A1" s="1188" t="s">
        <v>688</v>
      </c>
      <c r="B1" s="1189"/>
      <c r="C1" s="1189"/>
      <c r="D1" s="1189"/>
      <c r="E1" s="1190"/>
      <c r="F1" s="1197" t="s">
        <v>633</v>
      </c>
      <c r="G1" s="1189"/>
      <c r="H1" s="1189"/>
      <c r="I1" s="1189"/>
      <c r="J1" s="1189"/>
      <c r="K1" s="1189"/>
      <c r="L1" s="1189"/>
      <c r="M1" s="1189"/>
      <c r="N1" s="1190"/>
      <c r="O1" s="1177" t="s">
        <v>305</v>
      </c>
      <c r="P1" s="1177"/>
      <c r="Q1" s="1177"/>
      <c r="R1" s="1177" t="s">
        <v>306</v>
      </c>
      <c r="S1" s="1177"/>
      <c r="T1" s="1177"/>
      <c r="U1" s="1177" t="s">
        <v>237</v>
      </c>
      <c r="V1" s="1177"/>
      <c r="W1" s="1177"/>
      <c r="X1" s="1177" t="s">
        <v>307</v>
      </c>
      <c r="Y1" s="1177"/>
      <c r="Z1" s="1177"/>
      <c r="AA1" s="1177"/>
      <c r="AB1" s="1177"/>
      <c r="AC1" s="1177"/>
      <c r="AD1" s="1177"/>
      <c r="AE1" s="1177"/>
      <c r="AF1" s="1177"/>
    </row>
    <row r="2" spans="1:33" s="270" customFormat="1" ht="12.75" customHeight="1" x14ac:dyDescent="0.15">
      <c r="A2" s="1191"/>
      <c r="B2" s="1192"/>
      <c r="C2" s="1192"/>
      <c r="D2" s="1192"/>
      <c r="E2" s="1193"/>
      <c r="F2" s="1191"/>
      <c r="G2" s="1192"/>
      <c r="H2" s="1192"/>
      <c r="I2" s="1192"/>
      <c r="J2" s="1192"/>
      <c r="K2" s="1192"/>
      <c r="L2" s="1192"/>
      <c r="M2" s="1192"/>
      <c r="N2" s="1193"/>
      <c r="O2" s="1177" t="s">
        <v>473</v>
      </c>
      <c r="P2" s="1177"/>
      <c r="Q2" s="1177"/>
      <c r="R2" s="1177" t="s">
        <v>473</v>
      </c>
      <c r="S2" s="1177"/>
      <c r="T2" s="1177"/>
      <c r="U2" s="1177" t="s">
        <v>473</v>
      </c>
      <c r="V2" s="1177"/>
      <c r="W2" s="1177"/>
      <c r="X2" s="1187" t="s">
        <v>308</v>
      </c>
      <c r="Y2" s="1187"/>
      <c r="Z2" s="1187"/>
      <c r="AA2" s="1177" t="s">
        <v>306</v>
      </c>
      <c r="AB2" s="1177"/>
      <c r="AC2" s="1177"/>
      <c r="AD2" s="1177" t="s">
        <v>237</v>
      </c>
      <c r="AE2" s="1177"/>
      <c r="AF2" s="1177"/>
    </row>
    <row r="3" spans="1:33" s="270" customFormat="1" ht="12.75" customHeight="1" x14ac:dyDescent="0.15">
      <c r="A3" s="1191"/>
      <c r="B3" s="1192"/>
      <c r="C3" s="1192"/>
      <c r="D3" s="1192"/>
      <c r="E3" s="1193"/>
      <c r="F3" s="1191"/>
      <c r="G3" s="1192"/>
      <c r="H3" s="1192"/>
      <c r="I3" s="1192"/>
      <c r="J3" s="1192"/>
      <c r="K3" s="1192"/>
      <c r="L3" s="1192"/>
      <c r="M3" s="1192"/>
      <c r="N3" s="1193"/>
      <c r="O3" s="1211"/>
      <c r="P3" s="1211"/>
      <c r="Q3" s="1211"/>
      <c r="R3" s="1211"/>
      <c r="S3" s="1211"/>
      <c r="T3" s="1211"/>
      <c r="U3" s="1211"/>
      <c r="V3" s="1211"/>
      <c r="W3" s="1211"/>
      <c r="X3" s="1211"/>
      <c r="Y3" s="1211"/>
      <c r="Z3" s="1211"/>
      <c r="AA3" s="1177" t="s">
        <v>238</v>
      </c>
      <c r="AB3" s="1177"/>
      <c r="AC3" s="1177"/>
      <c r="AD3" s="1177" t="s">
        <v>238</v>
      </c>
      <c r="AE3" s="1177"/>
      <c r="AF3" s="1177"/>
    </row>
    <row r="4" spans="1:33" s="270" customFormat="1" ht="12.75" customHeight="1" x14ac:dyDescent="0.15">
      <c r="A4" s="1191"/>
      <c r="B4" s="1192"/>
      <c r="C4" s="1192"/>
      <c r="D4" s="1192"/>
      <c r="E4" s="1193"/>
      <c r="F4" s="1191"/>
      <c r="G4" s="1192"/>
      <c r="H4" s="1192"/>
      <c r="I4" s="1192"/>
      <c r="J4" s="1192"/>
      <c r="K4" s="1192"/>
      <c r="L4" s="1192"/>
      <c r="M4" s="1192"/>
      <c r="N4" s="1193"/>
      <c r="O4" s="1211"/>
      <c r="P4" s="1211"/>
      <c r="Q4" s="1211"/>
      <c r="R4" s="1211"/>
      <c r="S4" s="1211"/>
      <c r="T4" s="1211"/>
      <c r="U4" s="1211"/>
      <c r="V4" s="1211"/>
      <c r="W4" s="1211"/>
      <c r="X4" s="1211"/>
      <c r="Y4" s="1211"/>
      <c r="Z4" s="1211"/>
      <c r="AA4" s="1212"/>
      <c r="AB4" s="1213"/>
      <c r="AC4" s="1214"/>
      <c r="AD4" s="1212"/>
      <c r="AE4" s="1213"/>
      <c r="AF4" s="1214"/>
    </row>
    <row r="5" spans="1:33" s="270" customFormat="1" ht="12.75" customHeight="1" x14ac:dyDescent="0.15">
      <c r="A5" s="1194"/>
      <c r="B5" s="1195"/>
      <c r="C5" s="1195"/>
      <c r="D5" s="1195"/>
      <c r="E5" s="1196"/>
      <c r="F5" s="1194"/>
      <c r="G5" s="1195"/>
      <c r="H5" s="1195"/>
      <c r="I5" s="1195"/>
      <c r="J5" s="1195"/>
      <c r="K5" s="1195"/>
      <c r="L5" s="1195"/>
      <c r="M5" s="1195"/>
      <c r="N5" s="1196"/>
      <c r="O5" s="1211"/>
      <c r="P5" s="1211"/>
      <c r="Q5" s="1211"/>
      <c r="R5" s="1211"/>
      <c r="S5" s="1211"/>
      <c r="T5" s="1211"/>
      <c r="U5" s="1211"/>
      <c r="V5" s="1211"/>
      <c r="W5" s="1211"/>
      <c r="X5" s="1211"/>
      <c r="Y5" s="1211"/>
      <c r="Z5" s="1211"/>
      <c r="AA5" s="1215"/>
      <c r="AB5" s="1216"/>
      <c r="AC5" s="1217"/>
      <c r="AD5" s="1215"/>
      <c r="AE5" s="1216"/>
      <c r="AF5" s="1217"/>
    </row>
    <row r="6" spans="1:33" s="270" customFormat="1" ht="12.75" customHeight="1" x14ac:dyDescent="0.15">
      <c r="A6" s="1177" t="s">
        <v>465</v>
      </c>
      <c r="B6" s="1177"/>
      <c r="C6" s="1177"/>
      <c r="D6" s="1177"/>
      <c r="E6" s="1177"/>
      <c r="F6" s="1177"/>
      <c r="G6" s="1177"/>
      <c r="H6" s="1177" t="s">
        <v>466</v>
      </c>
      <c r="I6" s="1177"/>
      <c r="J6" s="1177"/>
      <c r="K6" s="1177"/>
      <c r="L6" s="1177"/>
      <c r="M6" s="1177"/>
      <c r="N6" s="1177"/>
      <c r="O6" s="1211"/>
      <c r="P6" s="1211"/>
      <c r="Q6" s="1211"/>
      <c r="R6" s="1211"/>
      <c r="S6" s="1211"/>
      <c r="T6" s="1211"/>
      <c r="U6" s="1211"/>
      <c r="V6" s="1211"/>
      <c r="W6" s="1211"/>
      <c r="X6" s="1211"/>
      <c r="Y6" s="1211"/>
      <c r="Z6" s="1211"/>
      <c r="AA6" s="1215"/>
      <c r="AB6" s="1216"/>
      <c r="AC6" s="1217"/>
      <c r="AD6" s="1215"/>
      <c r="AE6" s="1216"/>
      <c r="AF6" s="1217"/>
    </row>
    <row r="7" spans="1:33" s="270" customFormat="1" ht="15" customHeight="1" x14ac:dyDescent="0.15">
      <c r="A7" s="1177"/>
      <c r="B7" s="1177"/>
      <c r="C7" s="1177"/>
      <c r="D7" s="1177"/>
      <c r="E7" s="1177"/>
      <c r="F7" s="1177"/>
      <c r="G7" s="1177"/>
      <c r="H7" s="1177"/>
      <c r="I7" s="1177"/>
      <c r="J7" s="1177"/>
      <c r="K7" s="1177"/>
      <c r="L7" s="1177"/>
      <c r="M7" s="1177"/>
      <c r="N7" s="1177"/>
      <c r="O7" s="1211"/>
      <c r="P7" s="1211"/>
      <c r="Q7" s="1211"/>
      <c r="R7" s="1211"/>
      <c r="S7" s="1211"/>
      <c r="T7" s="1211"/>
      <c r="U7" s="1211"/>
      <c r="V7" s="1211"/>
      <c r="W7" s="1211"/>
      <c r="X7" s="1211"/>
      <c r="Y7" s="1211"/>
      <c r="Z7" s="1211"/>
      <c r="AA7" s="1218"/>
      <c r="AB7" s="1219"/>
      <c r="AC7" s="1220"/>
      <c r="AD7" s="1218"/>
      <c r="AE7" s="1219"/>
      <c r="AF7" s="1220"/>
    </row>
    <row r="8" spans="1:33" s="270" customFormat="1" ht="15" customHeight="1" x14ac:dyDescent="0.15">
      <c r="A8" s="783" t="s">
        <v>310</v>
      </c>
      <c r="B8" s="783"/>
      <c r="C8" s="783"/>
      <c r="D8" s="783"/>
      <c r="E8" s="783"/>
      <c r="F8" s="783"/>
      <c r="G8" s="783"/>
      <c r="H8" s="783"/>
      <c r="I8" s="783"/>
      <c r="J8" s="783"/>
      <c r="K8" s="783"/>
      <c r="L8" s="783"/>
      <c r="M8" s="783"/>
      <c r="N8" s="783"/>
      <c r="O8" s="783" t="s">
        <v>139</v>
      </c>
      <c r="P8" s="783"/>
      <c r="Q8" s="783"/>
      <c r="R8" s="783"/>
      <c r="S8" s="783"/>
      <c r="T8" s="783"/>
      <c r="U8" s="260" t="s">
        <v>638</v>
      </c>
      <c r="V8" s="261"/>
      <c r="W8" s="754"/>
      <c r="X8" s="755"/>
      <c r="Y8" s="756"/>
      <c r="Z8" s="757" t="s">
        <v>468</v>
      </c>
      <c r="AA8" s="758"/>
      <c r="AB8" s="759"/>
      <c r="AC8" s="755"/>
      <c r="AD8" s="756"/>
      <c r="AE8" s="757" t="s">
        <v>469</v>
      </c>
      <c r="AF8" s="758"/>
    </row>
    <row r="9" spans="1:33" s="262" customFormat="1" ht="15" customHeight="1" x14ac:dyDescent="0.15">
      <c r="A9" s="783"/>
      <c r="B9" s="783"/>
      <c r="C9" s="783"/>
      <c r="D9" s="783"/>
      <c r="E9" s="783"/>
      <c r="F9" s="783"/>
      <c r="G9" s="783"/>
      <c r="H9" s="783"/>
      <c r="I9" s="783"/>
      <c r="J9" s="783"/>
      <c r="K9" s="783"/>
      <c r="L9" s="783"/>
      <c r="M9" s="783"/>
      <c r="N9" s="783"/>
      <c r="O9" s="783"/>
      <c r="P9" s="783"/>
      <c r="Q9" s="783"/>
      <c r="R9" s="783"/>
      <c r="S9" s="783"/>
      <c r="T9" s="783"/>
      <c r="U9" s="263" t="s">
        <v>639</v>
      </c>
      <c r="V9" s="264"/>
      <c r="W9" s="748"/>
      <c r="X9" s="749"/>
      <c r="Y9" s="750"/>
      <c r="Z9" s="751" t="s">
        <v>471</v>
      </c>
      <c r="AA9" s="750"/>
      <c r="AB9" s="751"/>
      <c r="AC9" s="749"/>
      <c r="AD9" s="750"/>
      <c r="AE9" s="752"/>
      <c r="AF9" s="753"/>
    </row>
    <row r="11" spans="1:33" ht="15" customHeight="1" x14ac:dyDescent="0.15">
      <c r="A11" s="10" t="s">
        <v>208</v>
      </c>
      <c r="B11" s="11"/>
      <c r="C11" s="771" t="s">
        <v>141</v>
      </c>
      <c r="D11" s="772"/>
      <c r="E11" s="772"/>
      <c r="F11" s="77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3"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15">
      <c r="A13" s="304"/>
      <c r="B13" s="305"/>
      <c r="C13" s="305"/>
      <c r="D13" s="305"/>
      <c r="E13" s="306" t="s">
        <v>631</v>
      </c>
      <c r="F13" s="1199" t="s">
        <v>286</v>
      </c>
      <c r="G13" s="1199" t="s">
        <v>288</v>
      </c>
      <c r="H13" s="1199" t="s">
        <v>303</v>
      </c>
      <c r="I13" s="1205" t="s">
        <v>299</v>
      </c>
      <c r="J13" s="1208" t="s">
        <v>300</v>
      </c>
      <c r="K13" s="13"/>
      <c r="L13" s="13"/>
      <c r="M13" s="13"/>
      <c r="O13" s="25"/>
      <c r="P13" s="15"/>
      <c r="Q13" s="15"/>
      <c r="R13" s="15"/>
      <c r="S13" s="15"/>
      <c r="T13" s="15"/>
      <c r="U13" s="15"/>
      <c r="V13" s="15"/>
      <c r="W13" s="15"/>
      <c r="X13" s="15"/>
      <c r="Y13" s="15"/>
      <c r="Z13" s="15"/>
      <c r="AA13" s="15"/>
      <c r="AB13" s="15"/>
      <c r="AC13" s="15"/>
      <c r="AD13" s="15"/>
      <c r="AE13" s="15"/>
      <c r="AF13" s="26"/>
    </row>
    <row r="14" spans="1:33" ht="15" customHeight="1" x14ac:dyDescent="0.15">
      <c r="A14" s="307"/>
      <c r="B14" s="308"/>
      <c r="C14" s="308"/>
      <c r="D14" s="308"/>
      <c r="E14" s="309"/>
      <c r="F14" s="1200"/>
      <c r="G14" s="1200"/>
      <c r="H14" s="1200"/>
      <c r="I14" s="1206"/>
      <c r="J14" s="1209"/>
      <c r="K14" s="13"/>
      <c r="L14" s="13"/>
      <c r="M14" s="13"/>
      <c r="O14" s="12"/>
      <c r="P14" s="13"/>
      <c r="Q14" s="13"/>
      <c r="R14" s="13"/>
      <c r="S14" s="13"/>
      <c r="T14" s="13"/>
      <c r="U14" s="13"/>
      <c r="V14" s="13"/>
      <c r="W14" s="13"/>
      <c r="X14" s="13"/>
      <c r="Y14" s="13"/>
      <c r="Z14" s="13"/>
      <c r="AA14" s="13"/>
      <c r="AB14" s="13"/>
      <c r="AC14" s="13"/>
      <c r="AD14" s="13"/>
      <c r="AE14" s="13"/>
      <c r="AF14" s="34"/>
    </row>
    <row r="15" spans="1:33" ht="15" customHeight="1" x14ac:dyDescent="0.15">
      <c r="A15" s="307"/>
      <c r="B15" s="308"/>
      <c r="C15" s="308"/>
      <c r="D15" s="308"/>
      <c r="E15" s="309"/>
      <c r="F15" s="1200"/>
      <c r="G15" s="1200"/>
      <c r="H15" s="1200"/>
      <c r="I15" s="1206"/>
      <c r="J15" s="1209"/>
      <c r="K15" s="13"/>
      <c r="L15" s="13"/>
      <c r="M15" s="13"/>
      <c r="O15" s="12"/>
      <c r="P15" s="13"/>
      <c r="Q15" s="13"/>
      <c r="R15" s="13"/>
      <c r="S15" s="13"/>
      <c r="T15" s="13"/>
      <c r="U15" s="13"/>
      <c r="V15" s="13"/>
      <c r="W15" s="13"/>
      <c r="X15" s="13"/>
      <c r="Y15" s="13"/>
      <c r="Z15" s="13"/>
      <c r="AA15" s="13"/>
      <c r="AB15" s="13"/>
      <c r="AC15" s="13"/>
      <c r="AD15" s="13"/>
      <c r="AE15" s="13"/>
      <c r="AF15" s="34"/>
    </row>
    <row r="16" spans="1:33" ht="15" customHeight="1" x14ac:dyDescent="0.15">
      <c r="A16" s="307"/>
      <c r="B16" s="308"/>
      <c r="C16" s="308"/>
      <c r="D16" s="308"/>
      <c r="E16" s="309"/>
      <c r="F16" s="1200"/>
      <c r="G16" s="1200"/>
      <c r="H16" s="1200"/>
      <c r="I16" s="1206"/>
      <c r="J16" s="1209"/>
      <c r="K16" s="13"/>
      <c r="L16" s="13"/>
      <c r="M16" s="13"/>
      <c r="O16" s="12"/>
      <c r="P16" s="13"/>
      <c r="Q16" s="13"/>
      <c r="R16" s="13"/>
      <c r="S16" s="13"/>
      <c r="T16" s="13"/>
      <c r="U16" s="13"/>
      <c r="V16" s="13"/>
      <c r="W16" s="13"/>
      <c r="X16" s="13"/>
      <c r="Y16" s="13"/>
      <c r="Z16" s="13"/>
      <c r="AA16" s="13"/>
      <c r="AB16" s="13"/>
      <c r="AC16" s="13"/>
      <c r="AD16" s="13"/>
      <c r="AE16" s="13"/>
      <c r="AF16" s="34"/>
    </row>
    <row r="17" spans="1:32" ht="15" customHeight="1" x14ac:dyDescent="0.15">
      <c r="A17" s="307"/>
      <c r="B17" s="308"/>
      <c r="C17" s="308"/>
      <c r="D17" s="308"/>
      <c r="E17" s="309"/>
      <c r="F17" s="1200"/>
      <c r="G17" s="1200"/>
      <c r="H17" s="1200"/>
      <c r="I17" s="1206"/>
      <c r="J17" s="1209"/>
      <c r="K17" s="13"/>
      <c r="L17" s="13"/>
      <c r="M17" s="13"/>
      <c r="O17" s="12"/>
      <c r="P17" s="13"/>
      <c r="Q17" s="13"/>
      <c r="R17" s="13"/>
      <c r="S17" s="13"/>
      <c r="T17" s="13"/>
      <c r="U17" s="13"/>
      <c r="V17" s="13"/>
      <c r="W17" s="13"/>
      <c r="X17" s="13"/>
      <c r="Y17" s="13"/>
      <c r="Z17" s="13"/>
      <c r="AA17" s="13"/>
      <c r="AB17" s="13"/>
      <c r="AC17" s="13"/>
      <c r="AD17" s="13"/>
      <c r="AE17" s="13"/>
      <c r="AF17" s="34"/>
    </row>
    <row r="18" spans="1:32" ht="15" customHeight="1" x14ac:dyDescent="0.15">
      <c r="A18" s="307"/>
      <c r="B18" s="308"/>
      <c r="C18" s="308"/>
      <c r="D18" s="308"/>
      <c r="E18" s="309"/>
      <c r="F18" s="1200"/>
      <c r="G18" s="1200"/>
      <c r="H18" s="1200"/>
      <c r="I18" s="1206"/>
      <c r="J18" s="1209"/>
      <c r="K18" s="13"/>
      <c r="L18" s="13"/>
      <c r="M18" s="13"/>
      <c r="O18" s="12"/>
      <c r="P18" s="13"/>
      <c r="Q18" s="13"/>
      <c r="R18" s="13"/>
      <c r="S18" s="13"/>
      <c r="T18" s="13"/>
      <c r="U18" s="13"/>
      <c r="V18" s="13"/>
      <c r="W18" s="13"/>
      <c r="X18" s="13"/>
      <c r="Y18" s="13"/>
      <c r="Z18" s="13"/>
      <c r="AA18" s="13"/>
      <c r="AB18" s="13"/>
      <c r="AC18" s="13"/>
      <c r="AD18" s="13"/>
      <c r="AE18" s="13"/>
      <c r="AF18" s="34"/>
    </row>
    <row r="19" spans="1:32" ht="15" customHeight="1" x14ac:dyDescent="0.15">
      <c r="A19" s="310" t="s">
        <v>413</v>
      </c>
      <c r="B19" s="311"/>
      <c r="C19" s="311"/>
      <c r="D19" s="311"/>
      <c r="E19" s="312"/>
      <c r="F19" s="1200"/>
      <c r="G19" s="1200"/>
      <c r="H19" s="1200"/>
      <c r="I19" s="1206"/>
      <c r="J19" s="1210"/>
      <c r="K19" s="13"/>
      <c r="L19" s="13"/>
      <c r="M19" s="13"/>
      <c r="O19" s="12"/>
      <c r="P19" s="13"/>
      <c r="Q19" s="13"/>
      <c r="R19" s="13"/>
      <c r="S19" s="13"/>
      <c r="T19" s="13"/>
      <c r="U19" s="13"/>
      <c r="V19" s="13"/>
      <c r="W19" s="13"/>
      <c r="X19" s="13"/>
      <c r="Y19" s="13"/>
      <c r="Z19" s="13"/>
      <c r="AA19" s="13"/>
      <c r="AB19" s="13"/>
      <c r="AC19" s="13"/>
      <c r="AD19" s="13"/>
      <c r="AE19" s="13"/>
      <c r="AF19" s="34"/>
    </row>
    <row r="20" spans="1:32" ht="15" customHeight="1" x14ac:dyDescent="0.15">
      <c r="A20" s="336" t="s">
        <v>414</v>
      </c>
      <c r="B20" s="22"/>
      <c r="C20" s="22"/>
      <c r="D20" s="22"/>
      <c r="E20" s="22"/>
      <c r="F20" s="337"/>
      <c r="G20" s="337"/>
      <c r="H20" s="337"/>
      <c r="I20" s="338"/>
      <c r="J20" s="339"/>
      <c r="K20" s="13"/>
      <c r="L20" s="13"/>
      <c r="M20" s="13"/>
      <c r="O20" s="12"/>
      <c r="P20" s="13"/>
      <c r="Q20" s="13"/>
      <c r="R20" s="13"/>
      <c r="S20" s="13"/>
      <c r="T20" s="13"/>
      <c r="U20" s="13"/>
      <c r="V20" s="13"/>
      <c r="W20" s="13"/>
      <c r="X20" s="13"/>
      <c r="Y20" s="13"/>
      <c r="Z20" s="13"/>
      <c r="AA20" s="13"/>
      <c r="AB20" s="13"/>
      <c r="AC20" s="13"/>
      <c r="AD20" s="13"/>
      <c r="AE20" s="13"/>
      <c r="AF20" s="34"/>
    </row>
    <row r="21" spans="1:32" ht="15" customHeight="1" x14ac:dyDescent="0.15">
      <c r="A21" s="198" t="s">
        <v>439</v>
      </c>
      <c r="B21" s="31" t="s">
        <v>416</v>
      </c>
      <c r="C21" s="31"/>
      <c r="D21" s="31"/>
      <c r="E21" s="31"/>
      <c r="F21" s="318">
        <v>1</v>
      </c>
      <c r="G21" s="318">
        <v>2</v>
      </c>
      <c r="H21" s="318">
        <v>3</v>
      </c>
      <c r="I21" s="320">
        <f>SUM($F$21:$H$21)</f>
        <v>6</v>
      </c>
      <c r="J21" s="340">
        <f>IF($I$21=0,0,$I$21/$I$37*100)</f>
        <v>24</v>
      </c>
      <c r="K21" s="13"/>
      <c r="L21" s="13"/>
      <c r="M21" s="13"/>
      <c r="O21" s="12"/>
      <c r="P21" s="13"/>
      <c r="Q21" s="13"/>
      <c r="R21" s="13"/>
      <c r="S21" s="13"/>
      <c r="T21" s="13"/>
      <c r="U21" s="13"/>
      <c r="V21" s="13"/>
      <c r="W21" s="13"/>
      <c r="X21" s="13"/>
      <c r="Y21" s="13"/>
      <c r="Z21" s="13"/>
      <c r="AA21" s="13"/>
      <c r="AB21" s="13"/>
      <c r="AC21" s="13"/>
      <c r="AD21" s="13"/>
      <c r="AE21" s="13"/>
      <c r="AF21" s="34"/>
    </row>
    <row r="22" spans="1:32" ht="15" customHeight="1" x14ac:dyDescent="0.15">
      <c r="A22" s="198" t="s">
        <v>440</v>
      </c>
      <c r="B22" s="341" t="s">
        <v>417</v>
      </c>
      <c r="C22" s="31"/>
      <c r="D22" s="31"/>
      <c r="E22" s="31"/>
      <c r="F22" s="318">
        <v>0</v>
      </c>
      <c r="G22" s="318">
        <v>3</v>
      </c>
      <c r="H22" s="318">
        <v>0</v>
      </c>
      <c r="I22" s="320">
        <f>SUM($F$22:$H$22)</f>
        <v>3</v>
      </c>
      <c r="J22" s="340">
        <f>IF($I$22=0,0,$I$22/$I$37*100)</f>
        <v>12</v>
      </c>
      <c r="K22" s="13"/>
      <c r="L22" s="13"/>
      <c r="M22" s="13"/>
      <c r="O22" s="12"/>
      <c r="P22" s="13"/>
      <c r="Q22" s="13"/>
      <c r="R22" s="13"/>
      <c r="S22" s="13"/>
      <c r="T22" s="13"/>
      <c r="U22" s="13"/>
      <c r="V22" s="13"/>
      <c r="W22" s="13"/>
      <c r="X22" s="13"/>
      <c r="Y22" s="13"/>
      <c r="Z22" s="13"/>
      <c r="AA22" s="13"/>
      <c r="AB22" s="13"/>
      <c r="AC22" s="13"/>
      <c r="AD22" s="13"/>
      <c r="AE22" s="13"/>
      <c r="AF22" s="34"/>
    </row>
    <row r="23" spans="1:32" ht="15" customHeight="1" x14ac:dyDescent="0.15">
      <c r="A23" s="198" t="s">
        <v>441</v>
      </c>
      <c r="B23" s="341" t="s">
        <v>419</v>
      </c>
      <c r="C23" s="31"/>
      <c r="D23" s="31"/>
      <c r="E23" s="31"/>
      <c r="F23" s="318">
        <v>1</v>
      </c>
      <c r="G23" s="318">
        <v>0</v>
      </c>
      <c r="H23" s="318">
        <v>1</v>
      </c>
      <c r="I23" s="320">
        <f>SUM($F$23:$H$23)</f>
        <v>2</v>
      </c>
      <c r="J23" s="340">
        <f>IF($I$23=0,0,$I$23/$I$37*100)</f>
        <v>8</v>
      </c>
      <c r="K23" s="13"/>
      <c r="L23" s="13"/>
      <c r="M23" s="13"/>
      <c r="O23" s="12"/>
      <c r="P23" s="13"/>
      <c r="Q23" s="13"/>
      <c r="R23" s="13"/>
      <c r="S23" s="13"/>
      <c r="T23" s="13"/>
      <c r="U23" s="13"/>
      <c r="V23" s="13"/>
      <c r="W23" s="13"/>
      <c r="X23" s="13"/>
      <c r="Y23" s="13"/>
      <c r="Z23" s="13"/>
      <c r="AA23" s="13"/>
      <c r="AB23" s="13"/>
      <c r="AC23" s="13"/>
      <c r="AD23" s="13"/>
      <c r="AE23" s="13"/>
      <c r="AF23" s="34"/>
    </row>
    <row r="24" spans="1:32" ht="15" customHeight="1" x14ac:dyDescent="0.15">
      <c r="A24" s="198" t="s">
        <v>442</v>
      </c>
      <c r="B24" s="341" t="s">
        <v>285</v>
      </c>
      <c r="C24" s="31"/>
      <c r="D24" s="31"/>
      <c r="E24" s="31"/>
      <c r="F24" s="318">
        <v>1</v>
      </c>
      <c r="G24" s="318">
        <v>0</v>
      </c>
      <c r="H24" s="318">
        <v>0</v>
      </c>
      <c r="I24" s="320">
        <f>SUM($F$24:$H$24)</f>
        <v>1</v>
      </c>
      <c r="J24" s="340">
        <f>IF($I$24=0,0,$I$24/$I$37*100)</f>
        <v>4</v>
      </c>
      <c r="K24" s="13"/>
      <c r="L24" s="13"/>
      <c r="M24" s="13"/>
      <c r="O24" s="12"/>
      <c r="P24" s="13"/>
      <c r="Q24" s="13"/>
      <c r="R24" s="13"/>
      <c r="S24" s="13"/>
      <c r="T24" s="13"/>
      <c r="U24" s="13"/>
      <c r="V24" s="13"/>
      <c r="W24" s="13"/>
      <c r="X24" s="13"/>
      <c r="Y24" s="13"/>
      <c r="Z24" s="13"/>
      <c r="AA24" s="13"/>
      <c r="AB24" s="13"/>
      <c r="AC24" s="13"/>
      <c r="AD24" s="13"/>
      <c r="AE24" s="13"/>
      <c r="AF24" s="34"/>
    </row>
    <row r="25" spans="1:32" ht="15" customHeight="1" x14ac:dyDescent="0.15">
      <c r="A25" s="198" t="s">
        <v>443</v>
      </c>
      <c r="B25" s="341" t="s">
        <v>420</v>
      </c>
      <c r="C25" s="31"/>
      <c r="D25" s="31"/>
      <c r="E25" s="31"/>
      <c r="F25" s="318">
        <v>0</v>
      </c>
      <c r="G25" s="318">
        <v>0</v>
      </c>
      <c r="H25" s="318">
        <v>1</v>
      </c>
      <c r="I25" s="320">
        <f>SUM($F$25:$H$25)</f>
        <v>1</v>
      </c>
      <c r="J25" s="340">
        <f>IF($I$25=0,0,$I$25/$I$37*100)</f>
        <v>4</v>
      </c>
      <c r="K25" s="13"/>
      <c r="L25" s="13"/>
      <c r="M25" s="13"/>
      <c r="O25" s="12"/>
      <c r="P25" s="13"/>
      <c r="Q25" s="13"/>
      <c r="R25" s="13"/>
      <c r="S25" s="13"/>
      <c r="T25" s="13"/>
      <c r="U25" s="13"/>
      <c r="V25" s="13"/>
      <c r="W25" s="13"/>
      <c r="X25" s="13"/>
      <c r="Y25" s="13"/>
      <c r="Z25" s="13"/>
      <c r="AA25" s="13"/>
      <c r="AB25" s="13"/>
      <c r="AC25" s="13"/>
      <c r="AD25" s="13"/>
      <c r="AE25" s="13"/>
      <c r="AF25" s="34"/>
    </row>
    <row r="26" spans="1:32" ht="15" customHeight="1" x14ac:dyDescent="0.15">
      <c r="A26" s="198" t="s">
        <v>444</v>
      </c>
      <c r="B26" s="341" t="s">
        <v>421</v>
      </c>
      <c r="C26" s="31"/>
      <c r="D26" s="31"/>
      <c r="E26" s="31"/>
      <c r="F26" s="318">
        <v>0</v>
      </c>
      <c r="G26" s="318">
        <v>1</v>
      </c>
      <c r="H26" s="318">
        <v>0</v>
      </c>
      <c r="I26" s="320">
        <f>SUM($F$26:$H$26)</f>
        <v>1</v>
      </c>
      <c r="J26" s="340">
        <f>IF($I$26=0,0,$I$26/$I$37*100)</f>
        <v>4</v>
      </c>
      <c r="K26" s="13"/>
      <c r="L26" s="13"/>
      <c r="M26" s="13"/>
      <c r="O26" s="12"/>
      <c r="P26" s="13"/>
      <c r="Q26" s="13"/>
      <c r="R26" s="13"/>
      <c r="S26" s="13"/>
      <c r="T26" s="13"/>
      <c r="U26" s="13"/>
      <c r="V26" s="13"/>
      <c r="W26" s="13"/>
      <c r="X26" s="13"/>
      <c r="Y26" s="13"/>
      <c r="Z26" s="13"/>
      <c r="AA26" s="13"/>
      <c r="AB26" s="13"/>
      <c r="AC26" s="13"/>
      <c r="AD26" s="13"/>
      <c r="AE26" s="13"/>
      <c r="AF26" s="34"/>
    </row>
    <row r="27" spans="1:32" ht="15" customHeight="1" x14ac:dyDescent="0.15">
      <c r="A27" s="313" t="s">
        <v>422</v>
      </c>
      <c r="B27" s="31"/>
      <c r="C27" s="31"/>
      <c r="D27" s="31"/>
      <c r="E27" s="31"/>
      <c r="F27" s="318">
        <v>1</v>
      </c>
      <c r="G27" s="318">
        <v>0</v>
      </c>
      <c r="H27" s="318">
        <v>0</v>
      </c>
      <c r="I27" s="320">
        <f>SUM($F$27:$H$27)</f>
        <v>1</v>
      </c>
      <c r="J27" s="340">
        <f>IF($I$27=0,0,$I$27/$I$37*100)</f>
        <v>4</v>
      </c>
      <c r="K27" s="13"/>
      <c r="L27" s="13"/>
      <c r="M27" s="13"/>
      <c r="O27" s="12"/>
      <c r="P27" s="13"/>
      <c r="Q27" s="13"/>
      <c r="R27" s="13"/>
      <c r="S27" s="13"/>
      <c r="T27" s="13"/>
      <c r="U27" s="13"/>
      <c r="V27" s="13"/>
      <c r="W27" s="13"/>
      <c r="X27" s="13"/>
      <c r="Y27" s="13"/>
      <c r="Z27" s="13"/>
      <c r="AA27" s="13"/>
      <c r="AB27" s="13"/>
      <c r="AC27" s="13"/>
      <c r="AD27" s="13"/>
      <c r="AE27" s="13"/>
      <c r="AF27" s="34"/>
    </row>
    <row r="28" spans="1:32" ht="15" customHeight="1" x14ac:dyDescent="0.15">
      <c r="A28" s="313" t="s">
        <v>425</v>
      </c>
      <c r="B28" s="31"/>
      <c r="C28" s="31"/>
      <c r="D28" s="31"/>
      <c r="E28" s="31"/>
      <c r="F28" s="318">
        <v>0</v>
      </c>
      <c r="G28" s="318">
        <v>0</v>
      </c>
      <c r="H28" s="318">
        <v>1</v>
      </c>
      <c r="I28" s="320">
        <f>SUM($F$28:$H$28)</f>
        <v>1</v>
      </c>
      <c r="J28" s="340">
        <f>IF($I$28=0,0,$I$28/$I$37*100)</f>
        <v>4</v>
      </c>
      <c r="K28" s="13"/>
      <c r="L28" s="13"/>
      <c r="M28" s="13"/>
      <c r="O28" s="12"/>
      <c r="P28" s="13"/>
      <c r="Q28" s="13"/>
      <c r="R28" s="13"/>
      <c r="S28" s="13"/>
      <c r="T28" s="13"/>
      <c r="U28" s="13"/>
      <c r="V28" s="13"/>
      <c r="W28" s="13"/>
      <c r="X28" s="13"/>
      <c r="Y28" s="13"/>
      <c r="Z28" s="13"/>
      <c r="AA28" s="13"/>
      <c r="AB28" s="13"/>
      <c r="AC28" s="13"/>
      <c r="AD28" s="13"/>
      <c r="AE28" s="13"/>
      <c r="AF28" s="34"/>
    </row>
    <row r="29" spans="1:32" ht="15" customHeight="1" x14ac:dyDescent="0.15">
      <c r="A29" s="313" t="s">
        <v>426</v>
      </c>
      <c r="B29" s="31"/>
      <c r="C29" s="31"/>
      <c r="D29" s="31"/>
      <c r="E29" s="31"/>
      <c r="F29" s="318">
        <v>0</v>
      </c>
      <c r="G29" s="318">
        <v>1</v>
      </c>
      <c r="H29" s="318">
        <v>0</v>
      </c>
      <c r="I29" s="320">
        <f>SUM($F$29:$H$29)</f>
        <v>1</v>
      </c>
      <c r="J29" s="340">
        <f>IF($I$29=0,0,$I$29/$I$37*100)</f>
        <v>4</v>
      </c>
      <c r="K29" s="13"/>
      <c r="L29" s="13"/>
      <c r="M29" s="13"/>
      <c r="O29" s="12"/>
      <c r="P29" s="13"/>
      <c r="Q29" s="13"/>
      <c r="R29" s="13"/>
      <c r="S29" s="13"/>
      <c r="T29" s="13"/>
      <c r="U29" s="13"/>
      <c r="V29" s="13"/>
      <c r="W29" s="13"/>
      <c r="X29" s="13"/>
      <c r="Y29" s="13"/>
      <c r="Z29" s="13"/>
      <c r="AA29" s="13"/>
      <c r="AB29" s="13"/>
      <c r="AC29" s="13"/>
      <c r="AD29" s="13"/>
      <c r="AE29" s="13"/>
      <c r="AF29" s="34"/>
    </row>
    <row r="30" spans="1:32" ht="15" customHeight="1" x14ac:dyDescent="0.15">
      <c r="A30" s="313" t="s">
        <v>428</v>
      </c>
      <c r="B30" s="31"/>
      <c r="C30" s="31"/>
      <c r="D30" s="31"/>
      <c r="E30" s="31"/>
      <c r="F30" s="318">
        <v>0</v>
      </c>
      <c r="G30" s="318">
        <v>1</v>
      </c>
      <c r="H30" s="318">
        <v>0</v>
      </c>
      <c r="I30" s="320">
        <f>SUM($F$30:$H$30)</f>
        <v>1</v>
      </c>
      <c r="J30" s="340">
        <f>IF($I$30=0,0,$I$30/$I$37*100)</f>
        <v>4</v>
      </c>
      <c r="K30" s="13"/>
      <c r="L30" s="13"/>
      <c r="M30" s="13"/>
      <c r="O30" s="12"/>
      <c r="P30" s="13"/>
      <c r="Q30" s="13"/>
      <c r="R30" s="13"/>
      <c r="S30" s="13"/>
      <c r="T30" s="13"/>
      <c r="U30" s="13"/>
      <c r="V30" s="13"/>
      <c r="W30" s="13"/>
      <c r="X30" s="13"/>
      <c r="Y30" s="13"/>
      <c r="Z30" s="13"/>
      <c r="AA30" s="13"/>
      <c r="AB30" s="13"/>
      <c r="AC30" s="13"/>
      <c r="AD30" s="13"/>
      <c r="AE30" s="13"/>
      <c r="AF30" s="34"/>
    </row>
    <row r="31" spans="1:32" ht="15" customHeight="1" x14ac:dyDescent="0.15">
      <c r="A31" s="313" t="s">
        <v>430</v>
      </c>
      <c r="B31" s="31"/>
      <c r="C31" s="31"/>
      <c r="D31" s="31"/>
      <c r="E31" s="31"/>
      <c r="F31" s="318">
        <v>0</v>
      </c>
      <c r="G31" s="318">
        <v>0</v>
      </c>
      <c r="H31" s="318">
        <v>1</v>
      </c>
      <c r="I31" s="320">
        <f>SUM($F$31:$H$31)</f>
        <v>1</v>
      </c>
      <c r="J31" s="340">
        <f>IF($I$31=0,0,$I$31/$I$37*100)</f>
        <v>4</v>
      </c>
      <c r="K31" s="13"/>
      <c r="L31" s="13"/>
      <c r="M31" s="13"/>
      <c r="O31" s="12"/>
      <c r="P31" s="13"/>
      <c r="Q31" s="13"/>
      <c r="R31" s="13"/>
      <c r="S31" s="13"/>
      <c r="T31" s="13"/>
      <c r="U31" s="13"/>
      <c r="V31" s="13"/>
      <c r="W31" s="13"/>
      <c r="X31" s="13"/>
      <c r="Y31" s="13"/>
      <c r="Z31" s="13"/>
      <c r="AA31" s="13"/>
      <c r="AB31" s="13"/>
      <c r="AC31" s="13"/>
      <c r="AD31" s="13"/>
      <c r="AE31" s="13"/>
      <c r="AF31" s="34"/>
    </row>
    <row r="32" spans="1:32" ht="15" customHeight="1" x14ac:dyDescent="0.15">
      <c r="A32" s="313" t="s">
        <v>277</v>
      </c>
      <c r="B32" s="31"/>
      <c r="C32" s="31"/>
      <c r="D32" s="31"/>
      <c r="E32" s="31"/>
      <c r="F32" s="318">
        <v>0</v>
      </c>
      <c r="G32" s="318">
        <v>0</v>
      </c>
      <c r="H32" s="318">
        <v>1</v>
      </c>
      <c r="I32" s="320">
        <f>SUM($F$32:$H$32)</f>
        <v>1</v>
      </c>
      <c r="J32" s="340">
        <f>IF($I$32=0,0,$I$32/$I$37*100)</f>
        <v>4</v>
      </c>
      <c r="K32" s="13"/>
      <c r="L32" s="13"/>
      <c r="M32" s="13"/>
      <c r="O32" s="12"/>
      <c r="P32" s="13"/>
      <c r="Q32" s="13"/>
      <c r="R32" s="13"/>
      <c r="S32" s="13"/>
      <c r="T32" s="13"/>
      <c r="U32" s="13"/>
      <c r="V32" s="13"/>
      <c r="W32" s="13"/>
      <c r="X32" s="13"/>
      <c r="Y32" s="13"/>
      <c r="Z32" s="13"/>
      <c r="AA32" s="13"/>
      <c r="AB32" s="13"/>
      <c r="AC32" s="13"/>
      <c r="AD32" s="13"/>
      <c r="AE32" s="13"/>
      <c r="AF32" s="34"/>
    </row>
    <row r="33" spans="1:32" ht="15" customHeight="1" x14ac:dyDescent="0.15">
      <c r="A33" s="313" t="s">
        <v>285</v>
      </c>
      <c r="B33" s="31"/>
      <c r="C33" s="31"/>
      <c r="D33" s="31"/>
      <c r="E33" s="31"/>
      <c r="F33" s="318">
        <v>0</v>
      </c>
      <c r="G33" s="318">
        <v>1</v>
      </c>
      <c r="H33" s="318">
        <v>0</v>
      </c>
      <c r="I33" s="320">
        <f>SUM($F$33:$H$33)</f>
        <v>1</v>
      </c>
      <c r="J33" s="340">
        <f>IF($I$33=0,0,$I$33/$I$37*100)</f>
        <v>4</v>
      </c>
      <c r="K33" s="13"/>
      <c r="L33" s="13"/>
      <c r="M33" s="13"/>
      <c r="O33" s="12"/>
      <c r="P33" s="13"/>
      <c r="Q33" s="13"/>
      <c r="R33" s="13"/>
      <c r="S33" s="13"/>
      <c r="T33" s="13"/>
      <c r="U33" s="13"/>
      <c r="V33" s="13"/>
      <c r="W33" s="13"/>
      <c r="X33" s="13"/>
      <c r="Y33" s="13"/>
      <c r="Z33" s="13"/>
      <c r="AA33" s="13"/>
      <c r="AB33" s="13"/>
      <c r="AC33" s="13"/>
      <c r="AD33" s="13"/>
      <c r="AE33" s="13"/>
      <c r="AF33" s="34"/>
    </row>
    <row r="34" spans="1:32" ht="15" customHeight="1" x14ac:dyDescent="0.15">
      <c r="A34" s="313" t="s">
        <v>432</v>
      </c>
      <c r="B34" s="31"/>
      <c r="C34" s="31"/>
      <c r="D34" s="31"/>
      <c r="E34" s="31"/>
      <c r="F34" s="318">
        <v>0</v>
      </c>
      <c r="G34" s="318">
        <v>2</v>
      </c>
      <c r="H34" s="318">
        <v>0</v>
      </c>
      <c r="I34" s="320">
        <f>SUM($F$34:$H$34)</f>
        <v>2</v>
      </c>
      <c r="J34" s="340">
        <f>IF($I$34=0,0,$I$34/$I$37*100)</f>
        <v>8</v>
      </c>
      <c r="K34" s="13"/>
      <c r="L34" s="13"/>
      <c r="M34" s="13"/>
      <c r="O34" s="12"/>
      <c r="P34" s="13"/>
      <c r="Q34" s="13"/>
      <c r="R34" s="13"/>
      <c r="S34" s="13"/>
      <c r="T34" s="13"/>
      <c r="U34" s="13"/>
      <c r="V34" s="13"/>
      <c r="W34" s="13"/>
      <c r="X34" s="13"/>
      <c r="Y34" s="13"/>
      <c r="Z34" s="13"/>
      <c r="AA34" s="13"/>
      <c r="AB34" s="13"/>
      <c r="AC34" s="13"/>
      <c r="AD34" s="13"/>
      <c r="AE34" s="13"/>
      <c r="AF34" s="34"/>
    </row>
    <row r="35" spans="1:32" ht="15" customHeight="1" x14ac:dyDescent="0.15">
      <c r="A35" s="313" t="s">
        <v>433</v>
      </c>
      <c r="B35" s="31"/>
      <c r="C35" s="31"/>
      <c r="D35" s="31"/>
      <c r="E35" s="31"/>
      <c r="F35" s="318">
        <v>0</v>
      </c>
      <c r="G35" s="318">
        <v>0</v>
      </c>
      <c r="H35" s="318">
        <v>1</v>
      </c>
      <c r="I35" s="320">
        <f>SUM($F$35:$H$35)</f>
        <v>1</v>
      </c>
      <c r="J35" s="340">
        <f>IF($I$35=0,0,$I$35/$I$37*100)</f>
        <v>4</v>
      </c>
      <c r="K35" s="13"/>
      <c r="L35" s="13"/>
      <c r="M35" s="13"/>
      <c r="O35" s="12"/>
      <c r="P35" s="13"/>
      <c r="Q35" s="13"/>
      <c r="R35" s="13"/>
      <c r="S35" s="13"/>
      <c r="T35" s="13"/>
      <c r="U35" s="13"/>
      <c r="V35" s="13"/>
      <c r="W35" s="13"/>
      <c r="X35" s="13"/>
      <c r="Y35" s="13"/>
      <c r="Z35" s="13"/>
      <c r="AA35" s="13"/>
      <c r="AB35" s="13"/>
      <c r="AC35" s="13"/>
      <c r="AD35" s="13"/>
      <c r="AE35" s="13"/>
      <c r="AF35" s="34"/>
    </row>
    <row r="36" spans="1:32" ht="15" customHeight="1" thickBot="1" x14ac:dyDescent="0.2">
      <c r="A36" s="321" t="s">
        <v>184</v>
      </c>
      <c r="B36" s="200"/>
      <c r="C36" s="200"/>
      <c r="D36" s="200"/>
      <c r="E36" s="200"/>
      <c r="F36" s="322">
        <v>0</v>
      </c>
      <c r="G36" s="322">
        <v>0</v>
      </c>
      <c r="H36" s="322">
        <v>1</v>
      </c>
      <c r="I36" s="324">
        <f>SUM($F$36:$H$36)</f>
        <v>1</v>
      </c>
      <c r="J36" s="325">
        <f>IF($I$36=0,0,$I$36/$I$37*100)</f>
        <v>4</v>
      </c>
      <c r="K36" s="13"/>
      <c r="L36" s="13"/>
      <c r="M36" s="13"/>
      <c r="O36" s="12"/>
      <c r="P36" s="13"/>
      <c r="Q36" s="13"/>
      <c r="R36" s="13"/>
      <c r="S36" s="13"/>
      <c r="T36" s="13"/>
      <c r="U36" s="13"/>
      <c r="V36" s="13"/>
      <c r="W36" s="13"/>
      <c r="X36" s="13"/>
      <c r="Y36" s="13"/>
      <c r="Z36" s="13"/>
      <c r="AA36" s="13"/>
      <c r="AB36" s="13"/>
      <c r="AC36" s="13"/>
      <c r="AD36" s="13"/>
      <c r="AE36" s="13"/>
      <c r="AF36" s="34"/>
    </row>
    <row r="37" spans="1:32" ht="15" customHeight="1" thickTop="1" x14ac:dyDescent="0.15">
      <c r="A37" s="326" t="s">
        <v>299</v>
      </c>
      <c r="B37" s="81"/>
      <c r="C37" s="81"/>
      <c r="D37" s="81"/>
      <c r="E37" s="81"/>
      <c r="F37" s="327">
        <f>SUM($F$21:$F$36)</f>
        <v>4</v>
      </c>
      <c r="G37" s="327">
        <f>SUM($G$21:$G$36)</f>
        <v>11</v>
      </c>
      <c r="H37" s="327">
        <f>SUM($H$21:$H$36)</f>
        <v>10</v>
      </c>
      <c r="I37" s="329">
        <f>SUM($F$37:$H$37)</f>
        <v>25</v>
      </c>
      <c r="J37" s="330">
        <f>IF($I$37=0,0,$I$37/$I$37*100)</f>
        <v>100</v>
      </c>
      <c r="K37" s="13"/>
      <c r="L37" s="13"/>
      <c r="M37" s="13"/>
      <c r="O37" s="12"/>
      <c r="P37" s="13"/>
      <c r="Q37" s="13"/>
      <c r="R37" s="13"/>
      <c r="S37" s="13"/>
      <c r="T37" s="13"/>
      <c r="U37" s="13"/>
      <c r="V37" s="13"/>
      <c r="W37" s="13"/>
      <c r="X37" s="13"/>
      <c r="Y37" s="13"/>
      <c r="Z37" s="13"/>
      <c r="AA37" s="13"/>
      <c r="AB37" s="13"/>
      <c r="AC37" s="13"/>
      <c r="AD37" s="13"/>
      <c r="AE37" s="13"/>
      <c r="AF37" s="34"/>
    </row>
    <row r="38" spans="1:32" ht="15" customHeight="1" x14ac:dyDescent="0.15">
      <c r="A38" s="331" t="s">
        <v>300</v>
      </c>
      <c r="B38" s="88"/>
      <c r="C38" s="88"/>
      <c r="D38" s="88"/>
      <c r="E38" s="88"/>
      <c r="F38" s="332">
        <f>IF($F$37=0,0,$F$37/$I$37*100)</f>
        <v>16</v>
      </c>
      <c r="G38" s="332">
        <f>IF($G$37=0,0,$G$37/$I$37*100)</f>
        <v>44</v>
      </c>
      <c r="H38" s="332">
        <f>IF($H$37=0,0,$H$37/$I$37*100)</f>
        <v>40</v>
      </c>
      <c r="I38" s="334">
        <f>IF($I$37=0,0,$I$37/$I$37*100)</f>
        <v>100</v>
      </c>
      <c r="J38" s="335" t="s">
        <v>302</v>
      </c>
      <c r="K38" s="13"/>
      <c r="L38" s="13"/>
      <c r="M38" s="13"/>
      <c r="O38" s="12"/>
      <c r="P38" s="13"/>
      <c r="Q38" s="13"/>
      <c r="R38" s="13"/>
      <c r="S38" s="13"/>
      <c r="T38" s="13"/>
      <c r="U38" s="13"/>
      <c r="V38" s="13"/>
      <c r="W38" s="13"/>
      <c r="X38" s="13"/>
      <c r="Y38" s="13"/>
      <c r="Z38" s="13"/>
      <c r="AA38" s="13"/>
      <c r="AB38" s="13"/>
      <c r="AC38" s="13"/>
      <c r="AD38" s="13"/>
      <c r="AE38" s="13"/>
      <c r="AF38" s="34"/>
    </row>
    <row r="39" spans="1:32" ht="15" customHeight="1" x14ac:dyDescent="0.15">
      <c r="A39" s="18"/>
      <c r="B39" s="94"/>
      <c r="C39" s="94"/>
      <c r="D39" s="94"/>
      <c r="E39" s="94"/>
      <c r="F39" s="94"/>
      <c r="G39" s="94"/>
      <c r="H39" s="94"/>
      <c r="I39" s="94"/>
      <c r="J39" s="19"/>
      <c r="K39" s="13"/>
      <c r="L39" s="13"/>
      <c r="M39" s="13"/>
      <c r="O39" s="12"/>
      <c r="P39" s="13"/>
      <c r="Q39" s="13"/>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28"/>
      <c r="K40" s="13"/>
      <c r="L40" s="13"/>
      <c r="M40" s="13"/>
      <c r="O40" s="12"/>
      <c r="P40" s="13"/>
      <c r="Q40" s="13"/>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28"/>
      <c r="K41" s="13"/>
      <c r="L41" s="13"/>
      <c r="M41" s="13"/>
      <c r="O41" s="12"/>
      <c r="P41" s="13"/>
      <c r="Q41" s="13"/>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28"/>
      <c r="K42" s="13"/>
      <c r="L42" s="13"/>
      <c r="M42" s="13"/>
      <c r="O42" s="12"/>
      <c r="P42" s="13"/>
      <c r="Q42" s="13"/>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28"/>
      <c r="K43" s="13"/>
      <c r="L43" s="13"/>
      <c r="M43" s="13"/>
      <c r="O43" s="12"/>
      <c r="P43" s="13"/>
      <c r="Q43" s="13"/>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28"/>
      <c r="K44" s="13"/>
      <c r="L44" s="13"/>
      <c r="M44" s="13"/>
      <c r="O44" s="12"/>
      <c r="P44" s="13"/>
      <c r="Q44" s="13"/>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40"/>
      <c r="K45" s="13"/>
      <c r="L45" s="13"/>
      <c r="M45" s="13"/>
      <c r="O45" s="44"/>
      <c r="P45" s="45"/>
      <c r="Q45" s="45"/>
      <c r="R45" s="45"/>
      <c r="S45" s="45"/>
      <c r="T45" s="45"/>
      <c r="U45" s="45"/>
      <c r="V45" s="45"/>
      <c r="W45" s="45"/>
      <c r="X45" s="45"/>
      <c r="Y45" s="45"/>
      <c r="Z45" s="45"/>
      <c r="AA45" s="45"/>
      <c r="AB45" s="45"/>
      <c r="AC45" s="45"/>
      <c r="AD45" s="45"/>
      <c r="AE45" s="45"/>
      <c r="AF45" s="46"/>
    </row>
    <row r="46" spans="1:32" ht="15" customHeight="1" x14ac:dyDescent="0.15">
      <c r="K46" s="13"/>
      <c r="L46" s="13"/>
      <c r="M46" s="13"/>
    </row>
    <row r="47" spans="1:32" ht="15" customHeight="1" x14ac:dyDescent="0.15">
      <c r="K47" s="13"/>
      <c r="L47" s="13"/>
      <c r="M47" s="13"/>
    </row>
    <row r="48" spans="1:32" ht="15" customHeight="1" x14ac:dyDescent="0.15">
      <c r="K48" s="13"/>
      <c r="L48" s="13"/>
      <c r="M48" s="13"/>
    </row>
    <row r="49" spans="11:13" ht="15" customHeight="1" x14ac:dyDescent="0.15">
      <c r="K49" s="13"/>
      <c r="L49" s="13"/>
      <c r="M49" s="13"/>
    </row>
    <row r="50" spans="11:13" ht="15" customHeight="1" x14ac:dyDescent="0.15">
      <c r="K50" s="13"/>
      <c r="L50" s="13"/>
      <c r="M50" s="13"/>
    </row>
    <row r="51" spans="11:13" ht="15" customHeight="1" x14ac:dyDescent="0.15">
      <c r="K51" s="13"/>
      <c r="L51" s="13"/>
      <c r="M51" s="13"/>
    </row>
    <row r="52" spans="11:13" ht="15" customHeight="1" x14ac:dyDescent="0.15">
      <c r="K52" s="13"/>
      <c r="L52" s="13"/>
      <c r="M52" s="13"/>
    </row>
    <row r="53" spans="11:13" ht="15" customHeight="1" x14ac:dyDescent="0.15">
      <c r="K53" s="13"/>
      <c r="L53" s="13"/>
      <c r="M53" s="13"/>
    </row>
    <row r="54" spans="11:13" ht="15" customHeight="1" x14ac:dyDescent="0.15">
      <c r="K54" s="13"/>
      <c r="L54" s="13"/>
      <c r="M54" s="13"/>
    </row>
    <row r="55" spans="11:13" ht="15" customHeight="1" x14ac:dyDescent="0.15">
      <c r="K55" s="13"/>
      <c r="L55" s="13"/>
      <c r="M55" s="13"/>
    </row>
    <row r="56" spans="11:13" ht="15" customHeight="1" x14ac:dyDescent="0.15">
      <c r="K56" s="13"/>
      <c r="L56" s="13"/>
      <c r="M56" s="13"/>
    </row>
    <row r="57" spans="11:13" ht="15" customHeight="1" x14ac:dyDescent="0.15">
      <c r="K57" s="13"/>
      <c r="L57" s="13"/>
      <c r="M57" s="13"/>
    </row>
    <row r="58" spans="11:13" ht="15" customHeight="1" x14ac:dyDescent="0.15">
      <c r="K58" s="13"/>
      <c r="L58" s="13"/>
      <c r="M58" s="13"/>
    </row>
    <row r="59" spans="11:13" ht="15" customHeight="1" x14ac:dyDescent="0.15">
      <c r="K59" s="13"/>
      <c r="L59" s="13"/>
    </row>
    <row r="60" spans="11:13" ht="15" customHeight="1" x14ac:dyDescent="0.15">
      <c r="K60" s="13"/>
      <c r="L60" s="13"/>
    </row>
    <row r="61" spans="11:13" ht="15" customHeight="1" x14ac:dyDescent="0.15">
      <c r="K61" s="13"/>
      <c r="L61" s="13"/>
    </row>
    <row r="62" spans="11:13" ht="15" customHeight="1" x14ac:dyDescent="0.15">
      <c r="K62" s="13"/>
      <c r="L62" s="13"/>
    </row>
    <row r="63" spans="11:13" ht="15" customHeight="1" x14ac:dyDescent="0.15">
      <c r="K63" s="13"/>
      <c r="L63" s="13"/>
    </row>
    <row r="64" spans="11:13" ht="15" customHeight="1" x14ac:dyDescent="0.15">
      <c r="K64" s="13"/>
      <c r="L64" s="13"/>
    </row>
    <row r="65" spans="12:12" ht="15" customHeight="1" x14ac:dyDescent="0.15">
      <c r="L65" s="13"/>
    </row>
    <row r="66" spans="12:12" ht="15" customHeight="1" x14ac:dyDescent="0.15">
      <c r="L66" s="13"/>
    </row>
    <row r="67" spans="12:12" ht="15" customHeight="1" x14ac:dyDescent="0.15">
      <c r="L67" s="13"/>
    </row>
    <row r="68" spans="12:12" ht="15" customHeight="1" x14ac:dyDescent="0.15">
      <c r="L68" s="13"/>
    </row>
    <row r="69" spans="12:12" ht="15" customHeight="1" x14ac:dyDescent="0.15">
      <c r="L69" s="13"/>
    </row>
    <row r="70" spans="12:12" ht="15" customHeight="1" x14ac:dyDescent="0.15">
      <c r="L70" s="13"/>
    </row>
    <row r="71" spans="12:12" ht="15" customHeight="1" x14ac:dyDescent="0.15">
      <c r="L71" s="13"/>
    </row>
    <row r="72" spans="12:12" ht="15" customHeight="1" x14ac:dyDescent="0.15">
      <c r="L72" s="13"/>
    </row>
    <row r="73" spans="12:12" ht="15" customHeight="1" x14ac:dyDescent="0.15">
      <c r="L73" s="13"/>
    </row>
    <row r="74" spans="12:12" ht="15" customHeight="1" x14ac:dyDescent="0.15">
      <c r="L74" s="13"/>
    </row>
    <row r="75" spans="12:12" ht="15" customHeight="1" x14ac:dyDescent="0.15">
      <c r="L75" s="13"/>
    </row>
    <row r="76" spans="12:12" ht="15" customHeight="1" x14ac:dyDescent="0.15">
      <c r="L76" s="13"/>
    </row>
    <row r="77" spans="12:12" ht="15" customHeight="1" x14ac:dyDescent="0.15">
      <c r="L77" s="13"/>
    </row>
    <row r="78" spans="12:12" ht="15" customHeight="1" x14ac:dyDescent="0.15">
      <c r="L78" s="13"/>
    </row>
    <row r="79" spans="12:12" ht="15" customHeight="1" x14ac:dyDescent="0.15">
      <c r="L79" s="13"/>
    </row>
    <row r="80" spans="12:12" ht="15" customHeight="1" x14ac:dyDescent="0.15">
      <c r="L80" s="13"/>
    </row>
    <row r="81" spans="12:12" ht="15" customHeight="1" x14ac:dyDescent="0.15">
      <c r="L81" s="13"/>
    </row>
    <row r="82" spans="12:12" ht="15" customHeight="1" x14ac:dyDescent="0.15">
      <c r="L82" s="13"/>
    </row>
    <row r="83" spans="12:12" ht="15" customHeight="1" x14ac:dyDescent="0.15">
      <c r="L83" s="13"/>
    </row>
    <row r="84" spans="12:12" ht="15" customHeight="1" x14ac:dyDescent="0.15">
      <c r="L84" s="13"/>
    </row>
    <row r="85" spans="12:12" ht="15" customHeight="1" x14ac:dyDescent="0.15">
      <c r="L85" s="13"/>
    </row>
    <row r="86" spans="12:12" ht="15" customHeight="1" x14ac:dyDescent="0.15">
      <c r="L86" s="13"/>
    </row>
    <row r="87" spans="12:12" ht="15" customHeight="1" x14ac:dyDescent="0.15">
      <c r="L87" s="13"/>
    </row>
    <row r="88" spans="12:12" ht="15" customHeight="1" x14ac:dyDescent="0.15">
      <c r="L88" s="13"/>
    </row>
    <row r="89" spans="12:12" ht="15" customHeight="1" x14ac:dyDescent="0.15">
      <c r="L89" s="13"/>
    </row>
    <row r="90" spans="12:12" ht="15" customHeight="1" x14ac:dyDescent="0.15">
      <c r="L90" s="13"/>
    </row>
    <row r="91" spans="12:12" ht="15" customHeight="1" x14ac:dyDescent="0.15">
      <c r="L91" s="13"/>
    </row>
    <row r="92" spans="12:12" ht="15" customHeight="1" x14ac:dyDescent="0.15">
      <c r="L92" s="13"/>
    </row>
    <row r="93" spans="12:12" ht="15" customHeight="1" x14ac:dyDescent="0.15">
      <c r="L93" s="13"/>
    </row>
    <row r="94" spans="12:12" ht="15" customHeight="1" x14ac:dyDescent="0.15">
      <c r="L94" s="13"/>
    </row>
    <row r="95" spans="12:12" ht="15" customHeight="1" x14ac:dyDescent="0.15">
      <c r="L95" s="13"/>
    </row>
  </sheetData>
  <mergeCells count="42">
    <mergeCell ref="AB9:AD9"/>
    <mergeCell ref="AE9:AF9"/>
    <mergeCell ref="A8:N8"/>
    <mergeCell ref="O8:T8"/>
    <mergeCell ref="W8:Y8"/>
    <mergeCell ref="A9:N9"/>
    <mergeCell ref="O9:T9"/>
    <mergeCell ref="W9:Y9"/>
    <mergeCell ref="Z9:AA9"/>
    <mergeCell ref="Z8:AA8"/>
    <mergeCell ref="U3:W7"/>
    <mergeCell ref="X3:Z7"/>
    <mergeCell ref="AA3:AC3"/>
    <mergeCell ref="AB8:AD8"/>
    <mergeCell ref="AD3:AF3"/>
    <mergeCell ref="AA4:AC7"/>
    <mergeCell ref="AD4:AF7"/>
    <mergeCell ref="AE8:AF8"/>
    <mergeCell ref="U2:W2"/>
    <mergeCell ref="X2:Z2"/>
    <mergeCell ref="U1:W1"/>
    <mergeCell ref="X1:AF1"/>
    <mergeCell ref="AA2:AC2"/>
    <mergeCell ref="AD2:AF2"/>
    <mergeCell ref="A1:E5"/>
    <mergeCell ref="F1:N5"/>
    <mergeCell ref="O1:Q1"/>
    <mergeCell ref="R1:T1"/>
    <mergeCell ref="O3:Q7"/>
    <mergeCell ref="R3:T7"/>
    <mergeCell ref="A6:G6"/>
    <mergeCell ref="H6:N6"/>
    <mergeCell ref="A7:G7"/>
    <mergeCell ref="H7:N7"/>
    <mergeCell ref="O2:Q2"/>
    <mergeCell ref="R2:T2"/>
    <mergeCell ref="C11:F11"/>
    <mergeCell ref="J13:J19"/>
    <mergeCell ref="H13:H19"/>
    <mergeCell ref="F13:F19"/>
    <mergeCell ref="G13:G19"/>
    <mergeCell ref="I13:I19"/>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1"/>
  </sheetPr>
  <dimension ref="A1:AF91"/>
  <sheetViews>
    <sheetView showGridLines="0" topLeftCell="A31" zoomScale="75" workbookViewId="0">
      <selection sqref="A1:E5"/>
    </sheetView>
  </sheetViews>
  <sheetFormatPr defaultColWidth="4.25" defaultRowHeight="15" customHeight="1" x14ac:dyDescent="0.15"/>
  <cols>
    <col min="1" max="1" width="9" style="425" customWidth="1"/>
    <col min="2" max="16384" width="4.25" style="425"/>
  </cols>
  <sheetData>
    <row r="1" spans="1:32" ht="12.75" customHeight="1" x14ac:dyDescent="0.15">
      <c r="A1" s="1236" t="s">
        <v>689</v>
      </c>
      <c r="B1" s="1237"/>
      <c r="C1" s="1237"/>
      <c r="D1" s="1237"/>
      <c r="E1" s="1238"/>
      <c r="F1" s="1245" t="s">
        <v>675</v>
      </c>
      <c r="G1" s="1237"/>
      <c r="H1" s="1237"/>
      <c r="I1" s="1237"/>
      <c r="J1" s="1237"/>
      <c r="K1" s="1237"/>
      <c r="L1" s="1237"/>
      <c r="M1" s="1237"/>
      <c r="N1" s="1238"/>
      <c r="O1" s="1230" t="s">
        <v>305</v>
      </c>
      <c r="P1" s="1230"/>
      <c r="Q1" s="1230"/>
      <c r="R1" s="1230" t="s">
        <v>306</v>
      </c>
      <c r="S1" s="1230"/>
      <c r="T1" s="1230"/>
      <c r="U1" s="1230" t="s">
        <v>237</v>
      </c>
      <c r="V1" s="1230"/>
      <c r="W1" s="1230"/>
      <c r="X1" s="1230" t="s">
        <v>307</v>
      </c>
      <c r="Y1" s="1230"/>
      <c r="Z1" s="1230"/>
      <c r="AA1" s="1230"/>
      <c r="AB1" s="1230"/>
      <c r="AC1" s="1230"/>
      <c r="AD1" s="1230"/>
      <c r="AE1" s="1230"/>
      <c r="AF1" s="1230"/>
    </row>
    <row r="2" spans="1:32" ht="12.75" customHeight="1" x14ac:dyDescent="0.15">
      <c r="A2" s="1239"/>
      <c r="B2" s="1240"/>
      <c r="C2" s="1240"/>
      <c r="D2" s="1240"/>
      <c r="E2" s="1241"/>
      <c r="F2" s="1239"/>
      <c r="G2" s="1240"/>
      <c r="H2" s="1240"/>
      <c r="I2" s="1240"/>
      <c r="J2" s="1240"/>
      <c r="K2" s="1240"/>
      <c r="L2" s="1240"/>
      <c r="M2" s="1240"/>
      <c r="N2" s="1241"/>
      <c r="O2" s="1230" t="s">
        <v>473</v>
      </c>
      <c r="P2" s="1230"/>
      <c r="Q2" s="1230"/>
      <c r="R2" s="1230" t="s">
        <v>473</v>
      </c>
      <c r="S2" s="1230"/>
      <c r="T2" s="1230"/>
      <c r="U2" s="1230" t="s">
        <v>473</v>
      </c>
      <c r="V2" s="1230"/>
      <c r="W2" s="1230"/>
      <c r="X2" s="1231" t="s">
        <v>308</v>
      </c>
      <c r="Y2" s="1231"/>
      <c r="Z2" s="1231"/>
      <c r="AA2" s="1230" t="s">
        <v>306</v>
      </c>
      <c r="AB2" s="1230"/>
      <c r="AC2" s="1230"/>
      <c r="AD2" s="1230" t="s">
        <v>237</v>
      </c>
      <c r="AE2" s="1230"/>
      <c r="AF2" s="1230"/>
    </row>
    <row r="3" spans="1:32" ht="12.75" customHeight="1" x14ac:dyDescent="0.15">
      <c r="A3" s="1239"/>
      <c r="B3" s="1240"/>
      <c r="C3" s="1240"/>
      <c r="D3" s="1240"/>
      <c r="E3" s="1241"/>
      <c r="F3" s="1239"/>
      <c r="G3" s="1240"/>
      <c r="H3" s="1240"/>
      <c r="I3" s="1240"/>
      <c r="J3" s="1240"/>
      <c r="K3" s="1240"/>
      <c r="L3" s="1240"/>
      <c r="M3" s="1240"/>
      <c r="N3" s="1241"/>
      <c r="O3" s="1232"/>
      <c r="P3" s="1232"/>
      <c r="Q3" s="1232"/>
      <c r="R3" s="1232"/>
      <c r="S3" s="1232"/>
      <c r="T3" s="1232"/>
      <c r="U3" s="1232"/>
      <c r="V3" s="1232"/>
      <c r="W3" s="1232"/>
      <c r="X3" s="1232"/>
      <c r="Y3" s="1232"/>
      <c r="Z3" s="1232"/>
      <c r="AA3" s="1230" t="s">
        <v>238</v>
      </c>
      <c r="AB3" s="1230"/>
      <c r="AC3" s="1230"/>
      <c r="AD3" s="1230" t="s">
        <v>238</v>
      </c>
      <c r="AE3" s="1230"/>
      <c r="AF3" s="1230"/>
    </row>
    <row r="4" spans="1:32" ht="12.75" customHeight="1" x14ac:dyDescent="0.15">
      <c r="A4" s="1239"/>
      <c r="B4" s="1240"/>
      <c r="C4" s="1240"/>
      <c r="D4" s="1240"/>
      <c r="E4" s="1241"/>
      <c r="F4" s="1239"/>
      <c r="G4" s="1240"/>
      <c r="H4" s="1240"/>
      <c r="I4" s="1240"/>
      <c r="J4" s="1240"/>
      <c r="K4" s="1240"/>
      <c r="L4" s="1240"/>
      <c r="M4" s="1240"/>
      <c r="N4" s="1241"/>
      <c r="O4" s="1232"/>
      <c r="P4" s="1232"/>
      <c r="Q4" s="1232"/>
      <c r="R4" s="1232"/>
      <c r="S4" s="1232"/>
      <c r="T4" s="1232"/>
      <c r="U4" s="1232"/>
      <c r="V4" s="1232"/>
      <c r="W4" s="1232"/>
      <c r="X4" s="1232"/>
      <c r="Y4" s="1232"/>
      <c r="Z4" s="1232"/>
      <c r="AA4" s="1246"/>
      <c r="AB4" s="1247"/>
      <c r="AC4" s="1248"/>
      <c r="AD4" s="1246"/>
      <c r="AE4" s="1247"/>
      <c r="AF4" s="1248"/>
    </row>
    <row r="5" spans="1:32" ht="12.75" customHeight="1" x14ac:dyDescent="0.15">
      <c r="A5" s="1242"/>
      <c r="B5" s="1243"/>
      <c r="C5" s="1243"/>
      <c r="D5" s="1243"/>
      <c r="E5" s="1244"/>
      <c r="F5" s="1242"/>
      <c r="G5" s="1243"/>
      <c r="H5" s="1243"/>
      <c r="I5" s="1243"/>
      <c r="J5" s="1243"/>
      <c r="K5" s="1243"/>
      <c r="L5" s="1243"/>
      <c r="M5" s="1243"/>
      <c r="N5" s="1244"/>
      <c r="O5" s="1232"/>
      <c r="P5" s="1232"/>
      <c r="Q5" s="1232"/>
      <c r="R5" s="1232"/>
      <c r="S5" s="1232"/>
      <c r="T5" s="1232"/>
      <c r="U5" s="1232"/>
      <c r="V5" s="1232"/>
      <c r="W5" s="1232"/>
      <c r="X5" s="1232"/>
      <c r="Y5" s="1232"/>
      <c r="Z5" s="1232"/>
      <c r="AA5" s="1249"/>
      <c r="AB5" s="1250"/>
      <c r="AC5" s="1251"/>
      <c r="AD5" s="1249"/>
      <c r="AE5" s="1250"/>
      <c r="AF5" s="1251"/>
    </row>
    <row r="6" spans="1:32" ht="12.75" customHeight="1" x14ac:dyDescent="0.15">
      <c r="A6" s="1230" t="s">
        <v>465</v>
      </c>
      <c r="B6" s="1230"/>
      <c r="C6" s="1230"/>
      <c r="D6" s="1230"/>
      <c r="E6" s="1230"/>
      <c r="F6" s="1230"/>
      <c r="G6" s="1230"/>
      <c r="H6" s="1230" t="s">
        <v>466</v>
      </c>
      <c r="I6" s="1230"/>
      <c r="J6" s="1230"/>
      <c r="K6" s="1230"/>
      <c r="L6" s="1230"/>
      <c r="M6" s="1230"/>
      <c r="N6" s="1230"/>
      <c r="O6" s="1232"/>
      <c r="P6" s="1232"/>
      <c r="Q6" s="1232"/>
      <c r="R6" s="1232"/>
      <c r="S6" s="1232"/>
      <c r="T6" s="1232"/>
      <c r="U6" s="1232"/>
      <c r="V6" s="1232"/>
      <c r="W6" s="1232"/>
      <c r="X6" s="1232"/>
      <c r="Y6" s="1232"/>
      <c r="Z6" s="1232"/>
      <c r="AA6" s="1249"/>
      <c r="AB6" s="1250"/>
      <c r="AC6" s="1251"/>
      <c r="AD6" s="1249"/>
      <c r="AE6" s="1250"/>
      <c r="AF6" s="1251"/>
    </row>
    <row r="7" spans="1:32" ht="15" customHeight="1" x14ac:dyDescent="0.15">
      <c r="A7" s="1230"/>
      <c r="B7" s="1230"/>
      <c r="C7" s="1230"/>
      <c r="D7" s="1230"/>
      <c r="E7" s="1230"/>
      <c r="F7" s="1230"/>
      <c r="G7" s="1230"/>
      <c r="H7" s="1230"/>
      <c r="I7" s="1230"/>
      <c r="J7" s="1230"/>
      <c r="K7" s="1230"/>
      <c r="L7" s="1230"/>
      <c r="M7" s="1230"/>
      <c r="N7" s="1230"/>
      <c r="O7" s="1232"/>
      <c r="P7" s="1232"/>
      <c r="Q7" s="1232"/>
      <c r="R7" s="1232"/>
      <c r="S7" s="1232"/>
      <c r="T7" s="1232"/>
      <c r="U7" s="1232"/>
      <c r="V7" s="1232"/>
      <c r="W7" s="1232"/>
      <c r="X7" s="1232"/>
      <c r="Y7" s="1232"/>
      <c r="Z7" s="1232"/>
      <c r="AA7" s="1252"/>
      <c r="AB7" s="1253"/>
      <c r="AC7" s="1254"/>
      <c r="AD7" s="1252"/>
      <c r="AE7" s="1253"/>
      <c r="AF7" s="1254"/>
    </row>
    <row r="8" spans="1:32" ht="15" customHeight="1" x14ac:dyDescent="0.15">
      <c r="A8" s="783" t="s">
        <v>310</v>
      </c>
      <c r="B8" s="783"/>
      <c r="C8" s="783"/>
      <c r="D8" s="783"/>
      <c r="E8" s="783"/>
      <c r="F8" s="783"/>
      <c r="G8" s="783"/>
      <c r="H8" s="783"/>
      <c r="I8" s="783"/>
      <c r="J8" s="783"/>
      <c r="K8" s="783"/>
      <c r="L8" s="783"/>
      <c r="M8" s="783"/>
      <c r="N8" s="783"/>
      <c r="O8" s="783" t="s">
        <v>139</v>
      </c>
      <c r="P8" s="783"/>
      <c r="Q8" s="783"/>
      <c r="R8" s="783"/>
      <c r="S8" s="783"/>
      <c r="T8" s="783"/>
      <c r="U8" s="260" t="s">
        <v>676</v>
      </c>
      <c r="V8" s="261"/>
      <c r="W8" s="754"/>
      <c r="X8" s="755"/>
      <c r="Y8" s="756"/>
      <c r="Z8" s="757" t="s">
        <v>468</v>
      </c>
      <c r="AA8" s="758"/>
      <c r="AB8" s="759"/>
      <c r="AC8" s="755"/>
      <c r="AD8" s="756"/>
      <c r="AE8" s="757" t="s">
        <v>469</v>
      </c>
      <c r="AF8" s="758"/>
    </row>
    <row r="9" spans="1:32" s="262" customFormat="1" ht="15" customHeight="1" x14ac:dyDescent="0.15">
      <c r="A9" s="783"/>
      <c r="B9" s="783"/>
      <c r="C9" s="783"/>
      <c r="D9" s="783"/>
      <c r="E9" s="783"/>
      <c r="F9" s="783"/>
      <c r="G9" s="783"/>
      <c r="H9" s="783"/>
      <c r="I9" s="783"/>
      <c r="J9" s="783"/>
      <c r="K9" s="783"/>
      <c r="L9" s="783"/>
      <c r="M9" s="783"/>
      <c r="N9" s="783"/>
      <c r="O9" s="783"/>
      <c r="P9" s="783"/>
      <c r="Q9" s="783"/>
      <c r="R9" s="783"/>
      <c r="S9" s="783"/>
      <c r="T9" s="783"/>
      <c r="U9" s="263" t="s">
        <v>677</v>
      </c>
      <c r="V9" s="264"/>
      <c r="W9" s="748"/>
      <c r="X9" s="749"/>
      <c r="Y9" s="750"/>
      <c r="Z9" s="751" t="s">
        <v>471</v>
      </c>
      <c r="AA9" s="750"/>
      <c r="AB9" s="751"/>
      <c r="AC9" s="749"/>
      <c r="AD9" s="750"/>
      <c r="AE9" s="752"/>
      <c r="AF9" s="753"/>
    </row>
    <row r="10" spans="1:32" s="262" customFormat="1" ht="15" customHeight="1" x14ac:dyDescent="0.15">
      <c r="A10" s="465"/>
      <c r="B10" s="465"/>
      <c r="C10" s="465"/>
      <c r="D10" s="465"/>
      <c r="E10" s="465"/>
      <c r="F10" s="465"/>
      <c r="G10" s="465"/>
      <c r="H10" s="465"/>
      <c r="I10" s="465"/>
      <c r="J10" s="466"/>
      <c r="K10" s="466"/>
      <c r="L10" s="466"/>
      <c r="M10" s="466"/>
      <c r="N10" s="466"/>
      <c r="O10" s="466"/>
      <c r="P10" s="466"/>
      <c r="Q10" s="466"/>
      <c r="R10" s="466"/>
      <c r="S10" s="466"/>
      <c r="T10" s="466"/>
      <c r="U10" s="467"/>
      <c r="V10" s="467"/>
      <c r="W10" s="465"/>
      <c r="X10" s="465"/>
      <c r="Y10" s="465"/>
      <c r="Z10" s="468"/>
      <c r="AA10" s="468"/>
      <c r="AB10" s="465"/>
      <c r="AC10" s="465"/>
      <c r="AD10" s="465"/>
      <c r="AE10" s="469"/>
      <c r="AF10" s="469"/>
    </row>
    <row r="11" spans="1:32" ht="15" customHeight="1" x14ac:dyDescent="0.15">
      <c r="A11" s="426" t="s">
        <v>208</v>
      </c>
      <c r="B11" s="427"/>
      <c r="C11" s="1227"/>
      <c r="D11" s="1228"/>
      <c r="E11" s="1228"/>
      <c r="F11" s="1229"/>
      <c r="G11" s="428"/>
      <c r="H11" s="428"/>
      <c r="I11" s="428"/>
      <c r="J11" s="428"/>
      <c r="K11" s="428"/>
      <c r="L11" s="428"/>
      <c r="M11" s="428"/>
      <c r="N11" s="428"/>
      <c r="O11" s="428"/>
      <c r="P11" s="428"/>
      <c r="Q11" s="428"/>
      <c r="R11" s="428"/>
      <c r="S11" s="428"/>
      <c r="T11" s="428"/>
      <c r="U11" s="428"/>
      <c r="V11" s="428"/>
      <c r="W11" s="428"/>
      <c r="X11" s="428"/>
      <c r="Y11" s="428"/>
      <c r="Z11" s="428"/>
      <c r="AA11" s="428"/>
      <c r="AB11" s="428"/>
      <c r="AC11" s="428"/>
    </row>
    <row r="12" spans="1:32" ht="15" customHeight="1" x14ac:dyDescent="0.15">
      <c r="A12" s="429"/>
      <c r="B12" s="429"/>
      <c r="C12" s="429"/>
      <c r="D12" s="429"/>
      <c r="E12" s="429"/>
      <c r="F12" s="429"/>
      <c r="G12" s="428"/>
      <c r="H12" s="428"/>
      <c r="I12" s="428"/>
      <c r="J12" s="428"/>
      <c r="K12" s="428"/>
      <c r="L12" s="428"/>
      <c r="M12" s="428"/>
      <c r="N12" s="428"/>
      <c r="O12" s="428"/>
      <c r="P12" s="428"/>
      <c r="Q12" s="428"/>
      <c r="R12" s="428"/>
      <c r="S12" s="428"/>
      <c r="T12" s="428"/>
      <c r="U12" s="428"/>
      <c r="V12" s="428"/>
      <c r="W12" s="428"/>
      <c r="X12" s="428"/>
      <c r="Y12" s="428"/>
      <c r="Z12" s="428"/>
      <c r="AA12" s="428"/>
      <c r="AB12" s="428"/>
      <c r="AC12" s="428"/>
      <c r="AD12" s="428"/>
    </row>
    <row r="13" spans="1:32" ht="15" customHeight="1" x14ac:dyDescent="0.15">
      <c r="A13" s="470"/>
      <c r="B13" s="471"/>
      <c r="C13" s="471"/>
      <c r="D13" s="471"/>
      <c r="E13" s="472" t="s">
        <v>233</v>
      </c>
      <c r="F13" s="1221" t="s">
        <v>674</v>
      </c>
      <c r="G13" s="1221" t="s">
        <v>281</v>
      </c>
      <c r="H13" s="1221" t="s">
        <v>678</v>
      </c>
      <c r="I13" s="1221" t="s">
        <v>679</v>
      </c>
      <c r="J13" s="1221" t="s">
        <v>451</v>
      </c>
      <c r="K13" s="1221" t="s">
        <v>114</v>
      </c>
      <c r="L13" s="1221" t="s">
        <v>115</v>
      </c>
      <c r="M13" s="1221" t="s">
        <v>680</v>
      </c>
      <c r="N13" s="1221" t="s">
        <v>274</v>
      </c>
      <c r="O13" s="1224" t="s">
        <v>299</v>
      </c>
      <c r="P13" s="1233" t="s">
        <v>300</v>
      </c>
      <c r="R13" s="434"/>
      <c r="S13" s="429"/>
      <c r="T13" s="429"/>
      <c r="U13" s="429"/>
      <c r="V13" s="429"/>
      <c r="W13" s="429"/>
      <c r="X13" s="429"/>
      <c r="Y13" s="429"/>
      <c r="Z13" s="429"/>
      <c r="AA13" s="429"/>
      <c r="AB13" s="429"/>
      <c r="AC13" s="429"/>
      <c r="AD13" s="429"/>
      <c r="AE13" s="429"/>
      <c r="AF13" s="435"/>
    </row>
    <row r="14" spans="1:32" ht="15" customHeight="1" x14ac:dyDescent="0.15">
      <c r="A14" s="473"/>
      <c r="B14" s="474"/>
      <c r="C14" s="474"/>
      <c r="D14" s="474"/>
      <c r="E14" s="475"/>
      <c r="F14" s="1222"/>
      <c r="G14" s="1222"/>
      <c r="H14" s="1222"/>
      <c r="I14" s="1222"/>
      <c r="J14" s="1222"/>
      <c r="K14" s="1222"/>
      <c r="L14" s="1222"/>
      <c r="M14" s="1222"/>
      <c r="N14" s="1222"/>
      <c r="O14" s="1225"/>
      <c r="P14" s="1234"/>
      <c r="R14" s="442"/>
      <c r="S14" s="428"/>
      <c r="T14" s="428"/>
      <c r="U14" s="428"/>
      <c r="V14" s="428"/>
      <c r="W14" s="428"/>
      <c r="X14" s="428"/>
      <c r="Y14" s="428"/>
      <c r="Z14" s="428"/>
      <c r="AA14" s="428"/>
      <c r="AB14" s="428"/>
      <c r="AC14" s="428"/>
      <c r="AD14" s="428"/>
      <c r="AE14" s="428"/>
      <c r="AF14" s="443"/>
    </row>
    <row r="15" spans="1:32" ht="15" customHeight="1" x14ac:dyDescent="0.15">
      <c r="A15" s="473"/>
      <c r="B15" s="474"/>
      <c r="C15" s="474"/>
      <c r="D15" s="474"/>
      <c r="E15" s="475"/>
      <c r="F15" s="1222"/>
      <c r="G15" s="1222"/>
      <c r="H15" s="1222"/>
      <c r="I15" s="1222"/>
      <c r="J15" s="1222"/>
      <c r="K15" s="1222"/>
      <c r="L15" s="1222"/>
      <c r="M15" s="1222"/>
      <c r="N15" s="1222"/>
      <c r="O15" s="1225"/>
      <c r="P15" s="1234"/>
      <c r="R15" s="442"/>
      <c r="S15" s="428"/>
      <c r="T15" s="428"/>
      <c r="U15" s="428"/>
      <c r="V15" s="428"/>
      <c r="W15" s="428"/>
      <c r="X15" s="428"/>
      <c r="Y15" s="428"/>
      <c r="Z15" s="428"/>
      <c r="AA15" s="428"/>
      <c r="AB15" s="428"/>
      <c r="AC15" s="428"/>
      <c r="AD15" s="428"/>
      <c r="AE15" s="428"/>
      <c r="AF15" s="443"/>
    </row>
    <row r="16" spans="1:32" ht="15" customHeight="1" x14ac:dyDescent="0.15">
      <c r="A16" s="473"/>
      <c r="B16" s="474"/>
      <c r="C16" s="474"/>
      <c r="D16" s="474"/>
      <c r="E16" s="475"/>
      <c r="F16" s="1222"/>
      <c r="G16" s="1222"/>
      <c r="H16" s="1222"/>
      <c r="I16" s="1222"/>
      <c r="J16" s="1222"/>
      <c r="K16" s="1222"/>
      <c r="L16" s="1222"/>
      <c r="M16" s="1222"/>
      <c r="N16" s="1222"/>
      <c r="O16" s="1225"/>
      <c r="P16" s="1234"/>
      <c r="R16" s="442"/>
      <c r="S16" s="428"/>
      <c r="T16" s="428"/>
      <c r="U16" s="428"/>
      <c r="V16" s="428"/>
      <c r="W16" s="428"/>
      <c r="X16" s="428"/>
      <c r="Y16" s="428"/>
      <c r="Z16" s="428"/>
      <c r="AA16" s="428"/>
      <c r="AB16" s="428"/>
      <c r="AC16" s="428"/>
      <c r="AD16" s="428"/>
      <c r="AE16" s="428"/>
      <c r="AF16" s="443"/>
    </row>
    <row r="17" spans="1:32" ht="15" customHeight="1" x14ac:dyDescent="0.15">
      <c r="A17" s="473"/>
      <c r="B17" s="474"/>
      <c r="C17" s="474"/>
      <c r="D17" s="474"/>
      <c r="E17" s="475"/>
      <c r="F17" s="1222"/>
      <c r="G17" s="1222"/>
      <c r="H17" s="1222"/>
      <c r="I17" s="1222"/>
      <c r="J17" s="1222"/>
      <c r="K17" s="1222"/>
      <c r="L17" s="1222"/>
      <c r="M17" s="1222"/>
      <c r="N17" s="1222"/>
      <c r="O17" s="1225"/>
      <c r="P17" s="1234"/>
      <c r="R17" s="442"/>
      <c r="S17" s="428"/>
      <c r="T17" s="428"/>
      <c r="U17" s="428"/>
      <c r="V17" s="428"/>
      <c r="W17" s="428"/>
      <c r="X17" s="428"/>
      <c r="Y17" s="428"/>
      <c r="Z17" s="428"/>
      <c r="AA17" s="428"/>
      <c r="AB17" s="428"/>
      <c r="AC17" s="428"/>
      <c r="AD17" s="428"/>
      <c r="AE17" s="428"/>
      <c r="AF17" s="443"/>
    </row>
    <row r="18" spans="1:32" ht="15" customHeight="1" x14ac:dyDescent="0.15">
      <c r="A18" s="473"/>
      <c r="B18" s="474"/>
      <c r="C18" s="474"/>
      <c r="D18" s="474"/>
      <c r="E18" s="475"/>
      <c r="F18" s="1222"/>
      <c r="G18" s="1222"/>
      <c r="H18" s="1222"/>
      <c r="I18" s="1222"/>
      <c r="J18" s="1222"/>
      <c r="K18" s="1222"/>
      <c r="L18" s="1222"/>
      <c r="M18" s="1222"/>
      <c r="N18" s="1222"/>
      <c r="O18" s="1225"/>
      <c r="P18" s="1234"/>
      <c r="R18" s="442"/>
      <c r="S18" s="428"/>
      <c r="T18" s="428"/>
      <c r="U18" s="428"/>
      <c r="V18" s="428"/>
      <c r="W18" s="428"/>
      <c r="X18" s="428"/>
      <c r="Y18" s="428"/>
      <c r="Z18" s="428"/>
      <c r="AA18" s="428"/>
      <c r="AB18" s="428"/>
      <c r="AC18" s="428"/>
      <c r="AD18" s="428"/>
      <c r="AE18" s="428"/>
      <c r="AF18" s="443"/>
    </row>
    <row r="19" spans="1:32" ht="15" customHeight="1" x14ac:dyDescent="0.15">
      <c r="A19" s="476" t="s">
        <v>648</v>
      </c>
      <c r="B19" s="477"/>
      <c r="C19" s="477"/>
      <c r="D19" s="477"/>
      <c r="E19" s="478"/>
      <c r="F19" s="1223"/>
      <c r="G19" s="1223"/>
      <c r="H19" s="1223"/>
      <c r="I19" s="1223"/>
      <c r="J19" s="1223"/>
      <c r="K19" s="1223"/>
      <c r="L19" s="1223"/>
      <c r="M19" s="1223"/>
      <c r="N19" s="1223"/>
      <c r="O19" s="1226"/>
      <c r="P19" s="1235"/>
      <c r="R19" s="442"/>
      <c r="S19" s="428"/>
      <c r="T19" s="428"/>
      <c r="U19" s="428"/>
      <c r="V19" s="428"/>
      <c r="W19" s="428"/>
      <c r="X19" s="428"/>
      <c r="Y19" s="428"/>
      <c r="Z19" s="428"/>
      <c r="AA19" s="428"/>
      <c r="AB19" s="428"/>
      <c r="AC19" s="428"/>
      <c r="AD19" s="428"/>
      <c r="AE19" s="428"/>
      <c r="AF19" s="443"/>
    </row>
    <row r="20" spans="1:32" ht="15" customHeight="1" x14ac:dyDescent="0.15">
      <c r="A20" s="479" t="s">
        <v>681</v>
      </c>
      <c r="B20" s="440"/>
      <c r="C20" s="440"/>
      <c r="D20" s="440"/>
      <c r="E20" s="440"/>
      <c r="F20" s="480">
        <v>1</v>
      </c>
      <c r="G20" s="480">
        <v>2</v>
      </c>
      <c r="H20" s="480">
        <v>3</v>
      </c>
      <c r="I20" s="480">
        <v>2</v>
      </c>
      <c r="J20" s="480">
        <v>0</v>
      </c>
      <c r="K20" s="480">
        <v>0</v>
      </c>
      <c r="L20" s="480">
        <v>0</v>
      </c>
      <c r="M20" s="480">
        <v>0</v>
      </c>
      <c r="N20" s="480">
        <v>0</v>
      </c>
      <c r="O20" s="481">
        <f>SUM($F$20:$N$20)</f>
        <v>8</v>
      </c>
      <c r="P20" s="482">
        <f>IF($O$20=0,0,$O$20/$O$29*100)</f>
        <v>6.0606060606060606</v>
      </c>
      <c r="R20" s="442"/>
      <c r="S20" s="428"/>
      <c r="T20" s="428"/>
      <c r="U20" s="428"/>
      <c r="V20" s="428"/>
      <c r="W20" s="428"/>
      <c r="X20" s="428"/>
      <c r="Y20" s="428"/>
      <c r="Z20" s="428"/>
      <c r="AA20" s="428"/>
      <c r="AB20" s="428"/>
      <c r="AC20" s="428"/>
      <c r="AD20" s="428"/>
      <c r="AE20" s="428"/>
      <c r="AF20" s="443"/>
    </row>
    <row r="21" spans="1:32" ht="15" customHeight="1" x14ac:dyDescent="0.15">
      <c r="A21" s="479" t="s">
        <v>682</v>
      </c>
      <c r="B21" s="440"/>
      <c r="C21" s="440"/>
      <c r="D21" s="440"/>
      <c r="E21" s="440"/>
      <c r="F21" s="480">
        <v>0</v>
      </c>
      <c r="G21" s="480">
        <v>0</v>
      </c>
      <c r="H21" s="480">
        <v>5</v>
      </c>
      <c r="I21" s="480">
        <v>7</v>
      </c>
      <c r="J21" s="480">
        <v>3</v>
      </c>
      <c r="K21" s="480">
        <v>0</v>
      </c>
      <c r="L21" s="480">
        <v>0</v>
      </c>
      <c r="M21" s="480">
        <v>0</v>
      </c>
      <c r="N21" s="480">
        <v>0</v>
      </c>
      <c r="O21" s="481">
        <f>SUM($F$21:$N$21)</f>
        <v>15</v>
      </c>
      <c r="P21" s="482">
        <f>IF($O$21=0,0,$O$21/$O$29*100)</f>
        <v>11.363636363636363</v>
      </c>
      <c r="R21" s="442"/>
      <c r="S21" s="428"/>
      <c r="T21" s="428"/>
      <c r="U21" s="428"/>
      <c r="V21" s="428"/>
      <c r="W21" s="428"/>
      <c r="X21" s="428"/>
      <c r="Y21" s="428"/>
      <c r="Z21" s="428"/>
      <c r="AA21" s="428"/>
      <c r="AB21" s="428"/>
      <c r="AC21" s="428"/>
      <c r="AD21" s="428"/>
      <c r="AE21" s="428"/>
      <c r="AF21" s="443"/>
    </row>
    <row r="22" spans="1:32" ht="15" customHeight="1" x14ac:dyDescent="0.15">
      <c r="A22" s="479" t="s">
        <v>683</v>
      </c>
      <c r="B22" s="483"/>
      <c r="C22" s="440"/>
      <c r="D22" s="440"/>
      <c r="E22" s="440"/>
      <c r="F22" s="480">
        <v>0</v>
      </c>
      <c r="G22" s="480">
        <v>0</v>
      </c>
      <c r="H22" s="480">
        <v>5</v>
      </c>
      <c r="I22" s="480">
        <v>3</v>
      </c>
      <c r="J22" s="480">
        <v>4</v>
      </c>
      <c r="K22" s="480">
        <v>0</v>
      </c>
      <c r="L22" s="480">
        <v>0</v>
      </c>
      <c r="M22" s="480">
        <v>0</v>
      </c>
      <c r="N22" s="480">
        <v>0</v>
      </c>
      <c r="O22" s="481">
        <f>SUM($F$22:$N$22)</f>
        <v>12</v>
      </c>
      <c r="P22" s="482">
        <f>IF($O$22=0,0,$O$22/$O$29*100)</f>
        <v>9.0909090909090917</v>
      </c>
      <c r="R22" s="442"/>
      <c r="S22" s="428"/>
      <c r="T22" s="428"/>
      <c r="U22" s="428"/>
      <c r="V22" s="428"/>
      <c r="W22" s="428"/>
      <c r="X22" s="428"/>
      <c r="Y22" s="428"/>
      <c r="Z22" s="428"/>
      <c r="AA22" s="428"/>
      <c r="AB22" s="428"/>
      <c r="AC22" s="428"/>
      <c r="AD22" s="428"/>
      <c r="AE22" s="428"/>
      <c r="AF22" s="443"/>
    </row>
    <row r="23" spans="1:32" ht="15" customHeight="1" x14ac:dyDescent="0.15">
      <c r="A23" s="479" t="s">
        <v>684</v>
      </c>
      <c r="B23" s="483"/>
      <c r="C23" s="440"/>
      <c r="D23" s="440"/>
      <c r="E23" s="440"/>
      <c r="F23" s="480">
        <v>0</v>
      </c>
      <c r="G23" s="480">
        <v>0</v>
      </c>
      <c r="H23" s="480">
        <v>7</v>
      </c>
      <c r="I23" s="480">
        <v>4</v>
      </c>
      <c r="J23" s="480">
        <v>3</v>
      </c>
      <c r="K23" s="480">
        <v>0</v>
      </c>
      <c r="L23" s="480">
        <v>0</v>
      </c>
      <c r="M23" s="480">
        <v>0</v>
      </c>
      <c r="N23" s="480">
        <v>0</v>
      </c>
      <c r="O23" s="481">
        <f>SUM($F$23:$N$23)</f>
        <v>14</v>
      </c>
      <c r="P23" s="482">
        <f>IF($O$23=0,0,$O$23/$O$29*100)</f>
        <v>10.606060606060606</v>
      </c>
      <c r="R23" s="442"/>
      <c r="S23" s="428"/>
      <c r="T23" s="428"/>
      <c r="U23" s="428"/>
      <c r="V23" s="428"/>
      <c r="W23" s="428"/>
      <c r="X23" s="428"/>
      <c r="Y23" s="428"/>
      <c r="Z23" s="428"/>
      <c r="AA23" s="428"/>
      <c r="AB23" s="428"/>
      <c r="AC23" s="428"/>
      <c r="AD23" s="428"/>
      <c r="AE23" s="428"/>
      <c r="AF23" s="443"/>
    </row>
    <row r="24" spans="1:32" ht="15" customHeight="1" x14ac:dyDescent="0.15">
      <c r="A24" s="479" t="s">
        <v>685</v>
      </c>
      <c r="B24" s="483"/>
      <c r="C24" s="440"/>
      <c r="D24" s="440"/>
      <c r="E24" s="440"/>
      <c r="F24" s="480">
        <v>1</v>
      </c>
      <c r="G24" s="480">
        <v>5</v>
      </c>
      <c r="H24" s="480">
        <v>3</v>
      </c>
      <c r="I24" s="480">
        <v>3</v>
      </c>
      <c r="J24" s="480">
        <v>0</v>
      </c>
      <c r="K24" s="480">
        <v>0</v>
      </c>
      <c r="L24" s="480">
        <v>0</v>
      </c>
      <c r="M24" s="480">
        <v>0</v>
      </c>
      <c r="N24" s="480">
        <v>0</v>
      </c>
      <c r="O24" s="481">
        <f>SUM($F$24:$N$24)</f>
        <v>12</v>
      </c>
      <c r="P24" s="482">
        <f>IF($O$24=0,0,$O$24/$O$29*100)</f>
        <v>9.0909090909090917</v>
      </c>
      <c r="R24" s="442"/>
      <c r="S24" s="428"/>
      <c r="T24" s="428"/>
      <c r="U24" s="428"/>
      <c r="V24" s="428"/>
      <c r="W24" s="428"/>
      <c r="X24" s="428"/>
      <c r="Y24" s="428"/>
      <c r="Z24" s="428"/>
      <c r="AA24" s="428"/>
      <c r="AB24" s="428"/>
      <c r="AC24" s="428"/>
      <c r="AD24" s="428"/>
      <c r="AE24" s="428"/>
      <c r="AF24" s="443"/>
    </row>
    <row r="25" spans="1:32" ht="15" customHeight="1" x14ac:dyDescent="0.15">
      <c r="A25" s="479" t="s">
        <v>277</v>
      </c>
      <c r="B25" s="483"/>
      <c r="C25" s="440"/>
      <c r="D25" s="440"/>
      <c r="E25" s="440"/>
      <c r="F25" s="480">
        <v>0</v>
      </c>
      <c r="G25" s="480">
        <v>0</v>
      </c>
      <c r="H25" s="480">
        <v>6</v>
      </c>
      <c r="I25" s="480">
        <v>4</v>
      </c>
      <c r="J25" s="480">
        <v>6</v>
      </c>
      <c r="K25" s="480">
        <v>7</v>
      </c>
      <c r="L25" s="480">
        <v>0</v>
      </c>
      <c r="M25" s="480">
        <v>0</v>
      </c>
      <c r="N25" s="480">
        <v>0</v>
      </c>
      <c r="O25" s="481">
        <f>SUM($F$25:$N$25)</f>
        <v>23</v>
      </c>
      <c r="P25" s="482">
        <f>IF($O$25=0,0,$O$25/$O$29*100)</f>
        <v>17.424242424242426</v>
      </c>
      <c r="R25" s="442"/>
      <c r="S25" s="428"/>
      <c r="T25" s="428"/>
      <c r="U25" s="428"/>
      <c r="V25" s="428"/>
      <c r="W25" s="428"/>
      <c r="X25" s="428"/>
      <c r="Y25" s="428"/>
      <c r="Z25" s="428"/>
      <c r="AA25" s="428"/>
      <c r="AB25" s="428"/>
      <c r="AC25" s="428"/>
      <c r="AD25" s="428"/>
      <c r="AE25" s="428"/>
      <c r="AF25" s="443"/>
    </row>
    <row r="26" spans="1:32" ht="15" customHeight="1" x14ac:dyDescent="0.15">
      <c r="A26" s="479" t="s">
        <v>686</v>
      </c>
      <c r="B26" s="483"/>
      <c r="C26" s="440"/>
      <c r="D26" s="440"/>
      <c r="E26" s="440"/>
      <c r="F26" s="480">
        <v>0</v>
      </c>
      <c r="G26" s="480">
        <v>2</v>
      </c>
      <c r="H26" s="480">
        <v>4</v>
      </c>
      <c r="I26" s="480">
        <v>6</v>
      </c>
      <c r="J26" s="480">
        <v>6</v>
      </c>
      <c r="K26" s="480">
        <v>5</v>
      </c>
      <c r="L26" s="480">
        <v>0</v>
      </c>
      <c r="M26" s="480">
        <v>0</v>
      </c>
      <c r="N26" s="480">
        <v>0</v>
      </c>
      <c r="O26" s="481">
        <f>SUM($F$26:$N$26)</f>
        <v>23</v>
      </c>
      <c r="P26" s="482">
        <f>IF($O$26=0,0,$O$26/$O$29*100)</f>
        <v>17.424242424242426</v>
      </c>
      <c r="R26" s="442"/>
      <c r="S26" s="428"/>
      <c r="T26" s="428"/>
      <c r="U26" s="428"/>
      <c r="V26" s="428"/>
      <c r="W26" s="428"/>
      <c r="X26" s="428"/>
      <c r="Y26" s="428"/>
      <c r="Z26" s="428"/>
      <c r="AA26" s="428"/>
      <c r="AB26" s="428"/>
      <c r="AC26" s="428"/>
      <c r="AD26" s="428"/>
      <c r="AE26" s="428"/>
      <c r="AF26" s="443"/>
    </row>
    <row r="27" spans="1:32" ht="15" customHeight="1" x14ac:dyDescent="0.15">
      <c r="A27" s="479" t="s">
        <v>279</v>
      </c>
      <c r="B27" s="440"/>
      <c r="C27" s="440"/>
      <c r="D27" s="440"/>
      <c r="E27" s="440"/>
      <c r="F27" s="480">
        <v>0</v>
      </c>
      <c r="G27" s="480">
        <v>0</v>
      </c>
      <c r="H27" s="480">
        <v>3</v>
      </c>
      <c r="I27" s="480">
        <v>6</v>
      </c>
      <c r="J27" s="480">
        <v>8</v>
      </c>
      <c r="K27" s="480">
        <v>6</v>
      </c>
      <c r="L27" s="480">
        <v>0</v>
      </c>
      <c r="M27" s="480">
        <v>0</v>
      </c>
      <c r="N27" s="480">
        <v>0</v>
      </c>
      <c r="O27" s="481">
        <f>SUM($F$27:$N$27)</f>
        <v>23</v>
      </c>
      <c r="P27" s="482">
        <f>IF($O$27=0,0,$O$27/$O$29*100)</f>
        <v>17.424242424242426</v>
      </c>
      <c r="R27" s="442"/>
      <c r="S27" s="428"/>
      <c r="T27" s="428"/>
      <c r="U27" s="428"/>
      <c r="V27" s="428"/>
      <c r="W27" s="428"/>
      <c r="X27" s="428"/>
      <c r="Y27" s="428"/>
      <c r="Z27" s="428"/>
      <c r="AA27" s="428"/>
      <c r="AB27" s="428"/>
      <c r="AC27" s="428"/>
      <c r="AD27" s="428"/>
      <c r="AE27" s="428"/>
      <c r="AF27" s="443"/>
    </row>
    <row r="28" spans="1:32" ht="15" customHeight="1" thickBot="1" x14ac:dyDescent="0.2">
      <c r="A28" s="479" t="s">
        <v>687</v>
      </c>
      <c r="B28" s="440"/>
      <c r="C28" s="440"/>
      <c r="D28" s="440"/>
      <c r="E28" s="440"/>
      <c r="F28" s="480">
        <v>0</v>
      </c>
      <c r="G28" s="480">
        <v>0</v>
      </c>
      <c r="H28" s="480">
        <v>1</v>
      </c>
      <c r="I28" s="480">
        <v>0</v>
      </c>
      <c r="J28" s="480">
        <v>1</v>
      </c>
      <c r="K28" s="480">
        <v>0</v>
      </c>
      <c r="L28" s="480">
        <v>0</v>
      </c>
      <c r="M28" s="480">
        <v>0</v>
      </c>
      <c r="N28" s="480">
        <v>0</v>
      </c>
      <c r="O28" s="481">
        <f>SUM($F$28:$N$28)</f>
        <v>2</v>
      </c>
      <c r="P28" s="482">
        <f>IF($O$28=0,0,$O$28/$O$29*100)</f>
        <v>1.5151515151515151</v>
      </c>
      <c r="R28" s="442"/>
      <c r="S28" s="428"/>
      <c r="T28" s="428"/>
      <c r="U28" s="428"/>
      <c r="V28" s="428"/>
      <c r="W28" s="428"/>
      <c r="X28" s="428"/>
      <c r="Y28" s="428"/>
      <c r="Z28" s="428"/>
      <c r="AA28" s="428"/>
      <c r="AB28" s="428"/>
      <c r="AC28" s="428"/>
      <c r="AD28" s="428"/>
      <c r="AE28" s="428"/>
      <c r="AF28" s="443"/>
    </row>
    <row r="29" spans="1:32" ht="15" customHeight="1" thickTop="1" x14ac:dyDescent="0.15">
      <c r="A29" s="484" t="s">
        <v>299</v>
      </c>
      <c r="B29" s="485"/>
      <c r="C29" s="485"/>
      <c r="D29" s="485"/>
      <c r="E29" s="485"/>
      <c r="F29" s="486">
        <f>SUM($F$20:$F$28)</f>
        <v>2</v>
      </c>
      <c r="G29" s="486">
        <f>SUM($G$20:$G$28)</f>
        <v>9</v>
      </c>
      <c r="H29" s="486">
        <f>SUM($H$20:$H$28)</f>
        <v>37</v>
      </c>
      <c r="I29" s="486">
        <f>SUM($I$20:$I$28)</f>
        <v>35</v>
      </c>
      <c r="J29" s="486">
        <f>SUM($J$20:$J$28)</f>
        <v>31</v>
      </c>
      <c r="K29" s="486">
        <f>SUM($K$20:$K$28)</f>
        <v>18</v>
      </c>
      <c r="L29" s="486">
        <f>SUM($L$20:$L$28)</f>
        <v>0</v>
      </c>
      <c r="M29" s="486">
        <f>SUM($M$20:$M$28)</f>
        <v>0</v>
      </c>
      <c r="N29" s="486">
        <f>SUM($N$20:$N$28)</f>
        <v>0</v>
      </c>
      <c r="O29" s="487">
        <f>SUM($F$29:$N$29)</f>
        <v>132</v>
      </c>
      <c r="P29" s="488">
        <f>IF($O$29=0,0,$O$29/$O$29*100)</f>
        <v>100</v>
      </c>
      <c r="R29" s="442"/>
      <c r="S29" s="428"/>
      <c r="T29" s="428"/>
      <c r="U29" s="428"/>
      <c r="V29" s="428"/>
      <c r="W29" s="428"/>
      <c r="X29" s="428"/>
      <c r="Y29" s="428"/>
      <c r="Z29" s="428"/>
      <c r="AA29" s="428"/>
      <c r="AB29" s="428"/>
      <c r="AC29" s="428"/>
      <c r="AD29" s="428"/>
      <c r="AE29" s="428"/>
      <c r="AF29" s="443"/>
    </row>
    <row r="30" spans="1:32" ht="15" customHeight="1" x14ac:dyDescent="0.15">
      <c r="A30" s="489" t="s">
        <v>300</v>
      </c>
      <c r="B30" s="447"/>
      <c r="C30" s="447"/>
      <c r="D30" s="447"/>
      <c r="E30" s="447"/>
      <c r="F30" s="490">
        <f>IF($F$29=0,0,$F$29/$O$29*100)</f>
        <v>1.5151515151515151</v>
      </c>
      <c r="G30" s="490">
        <f>IF($G$29=0,0,$G$29/$O$29*100)</f>
        <v>6.8181818181818175</v>
      </c>
      <c r="H30" s="490">
        <f>IF($H$29=0,0,$H$29/$O$29*100)</f>
        <v>28.030303030303028</v>
      </c>
      <c r="I30" s="490">
        <f>IF($I$29=0,0,$I$29/$O$29*100)</f>
        <v>26.515151515151516</v>
      </c>
      <c r="J30" s="490">
        <f>IF($J$29=0,0,$J$29/$O$29*100)</f>
        <v>23.484848484848484</v>
      </c>
      <c r="K30" s="490">
        <f>IF($K$29=0,0,$K$29/$O$29*100)</f>
        <v>13.636363636363635</v>
      </c>
      <c r="L30" s="490">
        <f>IF($L$29=0,0,$L$29/$O$29*100)</f>
        <v>0</v>
      </c>
      <c r="M30" s="490">
        <f>IF($M$29=0,0,$M$29/$O$29*100)</f>
        <v>0</v>
      </c>
      <c r="N30" s="490">
        <f>IF($N$29=0,0,$N$29/$O$29*100)</f>
        <v>0</v>
      </c>
      <c r="O30" s="491">
        <f>IF($O$29=0,0,$O$29/$O$29*100)</f>
        <v>100</v>
      </c>
      <c r="P30" s="492" t="s">
        <v>302</v>
      </c>
      <c r="R30" s="442"/>
      <c r="S30" s="428"/>
      <c r="T30" s="428"/>
      <c r="U30" s="428"/>
      <c r="V30" s="428"/>
      <c r="W30" s="428"/>
      <c r="X30" s="428"/>
      <c r="Y30" s="428"/>
      <c r="Z30" s="428"/>
      <c r="AA30" s="428"/>
      <c r="AB30" s="428"/>
      <c r="AC30" s="428"/>
      <c r="AD30" s="428"/>
      <c r="AE30" s="428"/>
      <c r="AF30" s="443"/>
    </row>
    <row r="31" spans="1:32" ht="15" customHeight="1" x14ac:dyDescent="0.15">
      <c r="A31" s="430"/>
      <c r="B31" s="452"/>
      <c r="C31" s="452"/>
      <c r="D31" s="452"/>
      <c r="E31" s="452"/>
      <c r="F31" s="452"/>
      <c r="G31" s="452"/>
      <c r="H31" s="452"/>
      <c r="I31" s="452"/>
      <c r="J31" s="452"/>
      <c r="K31" s="452"/>
      <c r="L31" s="452"/>
      <c r="M31" s="452"/>
      <c r="N31" s="452"/>
      <c r="O31" s="452"/>
      <c r="P31" s="431"/>
      <c r="R31" s="442"/>
      <c r="S31" s="428"/>
      <c r="T31" s="428"/>
      <c r="U31" s="428"/>
      <c r="V31" s="428"/>
      <c r="W31" s="428"/>
      <c r="X31" s="428"/>
      <c r="Y31" s="428"/>
      <c r="Z31" s="428"/>
      <c r="AA31" s="428"/>
      <c r="AB31" s="428"/>
      <c r="AC31" s="428"/>
      <c r="AD31" s="428"/>
      <c r="AE31" s="428"/>
      <c r="AF31" s="443"/>
    </row>
    <row r="32" spans="1:32" ht="15" customHeight="1" x14ac:dyDescent="0.15">
      <c r="A32" s="437"/>
      <c r="B32" s="451"/>
      <c r="C32" s="451"/>
      <c r="D32" s="451"/>
      <c r="E32" s="451"/>
      <c r="F32" s="451"/>
      <c r="G32" s="451"/>
      <c r="H32" s="451"/>
      <c r="I32" s="451"/>
      <c r="J32" s="451"/>
      <c r="K32" s="451"/>
      <c r="L32" s="451"/>
      <c r="M32" s="451"/>
      <c r="N32" s="451"/>
      <c r="O32" s="451"/>
      <c r="P32" s="438"/>
      <c r="R32" s="442"/>
      <c r="S32" s="428"/>
      <c r="T32" s="428"/>
      <c r="U32" s="428"/>
      <c r="V32" s="428"/>
      <c r="W32" s="428"/>
      <c r="X32" s="428"/>
      <c r="Y32" s="428"/>
      <c r="Z32" s="428"/>
      <c r="AA32" s="428"/>
      <c r="AB32" s="428"/>
      <c r="AC32" s="428"/>
      <c r="AD32" s="428"/>
      <c r="AE32" s="428"/>
      <c r="AF32" s="443"/>
    </row>
    <row r="33" spans="1:32" ht="15" customHeight="1" x14ac:dyDescent="0.15">
      <c r="A33" s="437"/>
      <c r="B33" s="451"/>
      <c r="C33" s="451"/>
      <c r="D33" s="451"/>
      <c r="E33" s="451"/>
      <c r="F33" s="451"/>
      <c r="G33" s="451"/>
      <c r="H33" s="451"/>
      <c r="I33" s="451"/>
      <c r="J33" s="451"/>
      <c r="K33" s="451"/>
      <c r="L33" s="451"/>
      <c r="M33" s="451"/>
      <c r="N33" s="451"/>
      <c r="O33" s="451"/>
      <c r="P33" s="438"/>
      <c r="R33" s="442"/>
      <c r="S33" s="428"/>
      <c r="T33" s="428"/>
      <c r="U33" s="428"/>
      <c r="V33" s="428"/>
      <c r="W33" s="428"/>
      <c r="X33" s="428"/>
      <c r="Y33" s="428"/>
      <c r="Z33" s="428"/>
      <c r="AA33" s="428"/>
      <c r="AB33" s="428"/>
      <c r="AC33" s="428"/>
      <c r="AD33" s="428"/>
      <c r="AE33" s="428"/>
      <c r="AF33" s="443"/>
    </row>
    <row r="34" spans="1:32" ht="15" customHeight="1" x14ac:dyDescent="0.15">
      <c r="A34" s="437"/>
      <c r="B34" s="451"/>
      <c r="C34" s="451"/>
      <c r="D34" s="451"/>
      <c r="E34" s="451"/>
      <c r="F34" s="451"/>
      <c r="G34" s="451"/>
      <c r="H34" s="451"/>
      <c r="I34" s="451"/>
      <c r="J34" s="451"/>
      <c r="K34" s="451"/>
      <c r="L34" s="451"/>
      <c r="M34" s="451"/>
      <c r="N34" s="451"/>
      <c r="O34" s="451"/>
      <c r="P34" s="438"/>
      <c r="R34" s="442"/>
      <c r="S34" s="428"/>
      <c r="T34" s="428"/>
      <c r="U34" s="428"/>
      <c r="V34" s="428"/>
      <c r="W34" s="428"/>
      <c r="X34" s="428"/>
      <c r="Y34" s="428"/>
      <c r="Z34" s="428"/>
      <c r="AA34" s="428"/>
      <c r="AB34" s="428"/>
      <c r="AC34" s="428"/>
      <c r="AD34" s="428"/>
      <c r="AE34" s="428"/>
      <c r="AF34" s="443"/>
    </row>
    <row r="35" spans="1:32" ht="15" customHeight="1" x14ac:dyDescent="0.15">
      <c r="A35" s="437"/>
      <c r="B35" s="451"/>
      <c r="C35" s="451"/>
      <c r="D35" s="451"/>
      <c r="E35" s="451"/>
      <c r="F35" s="451"/>
      <c r="G35" s="451"/>
      <c r="H35" s="451"/>
      <c r="I35" s="451"/>
      <c r="J35" s="451"/>
      <c r="K35" s="451"/>
      <c r="L35" s="451"/>
      <c r="M35" s="451"/>
      <c r="N35" s="451"/>
      <c r="O35" s="451"/>
      <c r="P35" s="438"/>
      <c r="R35" s="442"/>
      <c r="S35" s="428"/>
      <c r="T35" s="428"/>
      <c r="U35" s="428"/>
      <c r="V35" s="428"/>
      <c r="W35" s="428"/>
      <c r="X35" s="428"/>
      <c r="Y35" s="428"/>
      <c r="Z35" s="428"/>
      <c r="AA35" s="428"/>
      <c r="AB35" s="428"/>
      <c r="AC35" s="428"/>
      <c r="AD35" s="428"/>
      <c r="AE35" s="428"/>
      <c r="AF35" s="443"/>
    </row>
    <row r="36" spans="1:32" ht="15" customHeight="1" x14ac:dyDescent="0.15">
      <c r="A36" s="437"/>
      <c r="B36" s="451"/>
      <c r="C36" s="451"/>
      <c r="D36" s="451"/>
      <c r="E36" s="451"/>
      <c r="F36" s="451"/>
      <c r="G36" s="451"/>
      <c r="H36" s="451"/>
      <c r="I36" s="451"/>
      <c r="J36" s="451"/>
      <c r="K36" s="451"/>
      <c r="L36" s="451"/>
      <c r="M36" s="451"/>
      <c r="N36" s="451"/>
      <c r="O36" s="451"/>
      <c r="P36" s="438"/>
      <c r="R36" s="442"/>
      <c r="S36" s="428"/>
      <c r="T36" s="428"/>
      <c r="U36" s="428"/>
      <c r="V36" s="428"/>
      <c r="W36" s="428"/>
      <c r="X36" s="428"/>
      <c r="Y36" s="428"/>
      <c r="Z36" s="428"/>
      <c r="AA36" s="428"/>
      <c r="AB36" s="428"/>
      <c r="AC36" s="428"/>
      <c r="AD36" s="428"/>
      <c r="AE36" s="428"/>
      <c r="AF36" s="443"/>
    </row>
    <row r="37" spans="1:32" ht="15" customHeight="1" x14ac:dyDescent="0.15">
      <c r="A37" s="437"/>
      <c r="B37" s="451"/>
      <c r="C37" s="451"/>
      <c r="D37" s="451"/>
      <c r="E37" s="451"/>
      <c r="F37" s="451"/>
      <c r="G37" s="451"/>
      <c r="H37" s="451"/>
      <c r="I37" s="451"/>
      <c r="J37" s="451"/>
      <c r="K37" s="451"/>
      <c r="L37" s="451"/>
      <c r="M37" s="451"/>
      <c r="N37" s="451"/>
      <c r="O37" s="451"/>
      <c r="P37" s="438"/>
      <c r="R37" s="442"/>
      <c r="S37" s="428"/>
      <c r="T37" s="428"/>
      <c r="U37" s="428"/>
      <c r="V37" s="428"/>
      <c r="W37" s="428"/>
      <c r="X37" s="428"/>
      <c r="Y37" s="428"/>
      <c r="Z37" s="428"/>
      <c r="AA37" s="428"/>
      <c r="AB37" s="428"/>
      <c r="AC37" s="428"/>
      <c r="AD37" s="428"/>
      <c r="AE37" s="428"/>
      <c r="AF37" s="443"/>
    </row>
    <row r="38" spans="1:32" ht="15" customHeight="1" x14ac:dyDescent="0.15">
      <c r="A38" s="437"/>
      <c r="B38" s="451"/>
      <c r="C38" s="451"/>
      <c r="D38" s="451"/>
      <c r="E38" s="451"/>
      <c r="F38" s="451"/>
      <c r="G38" s="451"/>
      <c r="H38" s="451"/>
      <c r="I38" s="451"/>
      <c r="J38" s="451"/>
      <c r="K38" s="451"/>
      <c r="L38" s="451"/>
      <c r="M38" s="451"/>
      <c r="N38" s="451"/>
      <c r="O38" s="451"/>
      <c r="P38" s="438"/>
      <c r="R38" s="442"/>
      <c r="S38" s="428"/>
      <c r="T38" s="428"/>
      <c r="U38" s="428"/>
      <c r="V38" s="428"/>
      <c r="W38" s="428"/>
      <c r="X38" s="428"/>
      <c r="Y38" s="428"/>
      <c r="Z38" s="428"/>
      <c r="AA38" s="428"/>
      <c r="AB38" s="428"/>
      <c r="AC38" s="428"/>
      <c r="AD38" s="428"/>
      <c r="AE38" s="428"/>
      <c r="AF38" s="443"/>
    </row>
    <row r="39" spans="1:32" ht="15" customHeight="1" x14ac:dyDescent="0.15">
      <c r="A39" s="437"/>
      <c r="B39" s="451"/>
      <c r="C39" s="451"/>
      <c r="D39" s="451"/>
      <c r="E39" s="451"/>
      <c r="F39" s="451"/>
      <c r="G39" s="451"/>
      <c r="H39" s="451"/>
      <c r="I39" s="451"/>
      <c r="J39" s="451"/>
      <c r="K39" s="451"/>
      <c r="L39" s="451"/>
      <c r="M39" s="451"/>
      <c r="N39" s="451"/>
      <c r="O39" s="451"/>
      <c r="P39" s="438"/>
      <c r="R39" s="442"/>
      <c r="S39" s="428"/>
      <c r="T39" s="428"/>
      <c r="U39" s="428"/>
      <c r="V39" s="428"/>
      <c r="W39" s="428"/>
      <c r="X39" s="428"/>
      <c r="Y39" s="428"/>
      <c r="Z39" s="428"/>
      <c r="AA39" s="428"/>
      <c r="AB39" s="428"/>
      <c r="AC39" s="428"/>
      <c r="AD39" s="428"/>
      <c r="AE39" s="428"/>
      <c r="AF39" s="443"/>
    </row>
    <row r="40" spans="1:32" ht="15" customHeight="1" x14ac:dyDescent="0.15">
      <c r="A40" s="437"/>
      <c r="B40" s="451"/>
      <c r="C40" s="451"/>
      <c r="D40" s="451"/>
      <c r="E40" s="451"/>
      <c r="F40" s="451"/>
      <c r="G40" s="451"/>
      <c r="H40" s="451"/>
      <c r="I40" s="451"/>
      <c r="J40" s="451"/>
      <c r="K40" s="451"/>
      <c r="L40" s="451"/>
      <c r="M40" s="451"/>
      <c r="N40" s="451"/>
      <c r="O40" s="451"/>
      <c r="P40" s="438"/>
      <c r="R40" s="442"/>
      <c r="S40" s="428"/>
      <c r="T40" s="428"/>
      <c r="U40" s="428"/>
      <c r="V40" s="428"/>
      <c r="W40" s="428"/>
      <c r="X40" s="428"/>
      <c r="Y40" s="428"/>
      <c r="Z40" s="428"/>
      <c r="AA40" s="428"/>
      <c r="AB40" s="428"/>
      <c r="AC40" s="428"/>
      <c r="AD40" s="428"/>
      <c r="AE40" s="428"/>
      <c r="AF40" s="443"/>
    </row>
    <row r="41" spans="1:32" ht="15" customHeight="1" x14ac:dyDescent="0.15">
      <c r="A41" s="453"/>
      <c r="B41" s="454"/>
      <c r="C41" s="454"/>
      <c r="D41" s="454"/>
      <c r="E41" s="454"/>
      <c r="F41" s="454"/>
      <c r="G41" s="454"/>
      <c r="H41" s="454"/>
      <c r="I41" s="454"/>
      <c r="J41" s="454"/>
      <c r="K41" s="454"/>
      <c r="L41" s="454"/>
      <c r="M41" s="454"/>
      <c r="N41" s="454"/>
      <c r="O41" s="454"/>
      <c r="P41" s="455"/>
      <c r="R41" s="456"/>
      <c r="S41" s="457"/>
      <c r="T41" s="457"/>
      <c r="U41" s="457"/>
      <c r="V41" s="457"/>
      <c r="W41" s="457"/>
      <c r="X41" s="457"/>
      <c r="Y41" s="457"/>
      <c r="Z41" s="457"/>
      <c r="AA41" s="457"/>
      <c r="AB41" s="457"/>
      <c r="AC41" s="457"/>
      <c r="AD41" s="457"/>
      <c r="AE41" s="457"/>
      <c r="AF41" s="458"/>
    </row>
    <row r="42" spans="1:32" ht="15" customHeight="1" x14ac:dyDescent="0.15">
      <c r="K42" s="428"/>
      <c r="L42" s="428"/>
      <c r="M42" s="428"/>
    </row>
    <row r="43" spans="1:32" ht="15" customHeight="1" x14ac:dyDescent="0.15">
      <c r="K43" s="428"/>
      <c r="L43" s="428"/>
      <c r="M43" s="428"/>
    </row>
    <row r="44" spans="1:32" ht="15" customHeight="1" x14ac:dyDescent="0.15">
      <c r="K44" s="428"/>
      <c r="L44" s="428"/>
      <c r="M44" s="428"/>
    </row>
    <row r="45" spans="1:32" ht="15" customHeight="1" x14ac:dyDescent="0.15">
      <c r="K45" s="428"/>
      <c r="L45" s="428"/>
      <c r="M45" s="428"/>
    </row>
    <row r="46" spans="1:32" ht="15" customHeight="1" x14ac:dyDescent="0.15">
      <c r="K46" s="428"/>
      <c r="L46" s="428"/>
      <c r="M46" s="428"/>
    </row>
    <row r="47" spans="1:32" ht="15" customHeight="1" x14ac:dyDescent="0.15">
      <c r="K47" s="428"/>
      <c r="L47" s="428"/>
      <c r="M47" s="428"/>
    </row>
    <row r="48" spans="1:32" ht="15" customHeight="1" x14ac:dyDescent="0.15">
      <c r="K48" s="428"/>
      <c r="L48" s="428"/>
      <c r="M48" s="428"/>
    </row>
    <row r="49" spans="11:13" ht="15" customHeight="1" x14ac:dyDescent="0.15">
      <c r="K49" s="428"/>
      <c r="L49" s="428"/>
      <c r="M49" s="428"/>
    </row>
    <row r="50" spans="11:13" ht="15" customHeight="1" x14ac:dyDescent="0.15">
      <c r="K50" s="428"/>
      <c r="L50" s="428"/>
      <c r="M50" s="428"/>
    </row>
    <row r="51" spans="11:13" ht="15" customHeight="1" x14ac:dyDescent="0.15">
      <c r="K51" s="428"/>
      <c r="L51" s="428"/>
      <c r="M51" s="428"/>
    </row>
    <row r="52" spans="11:13" ht="15" customHeight="1" x14ac:dyDescent="0.15">
      <c r="K52" s="428"/>
      <c r="L52" s="428"/>
      <c r="M52" s="428"/>
    </row>
    <row r="53" spans="11:13" ht="15" customHeight="1" x14ac:dyDescent="0.15">
      <c r="K53" s="428"/>
      <c r="L53" s="428"/>
      <c r="M53" s="428"/>
    </row>
    <row r="54" spans="11:13" ht="15" customHeight="1" x14ac:dyDescent="0.15">
      <c r="K54" s="428"/>
      <c r="L54" s="428"/>
      <c r="M54" s="428"/>
    </row>
    <row r="55" spans="11:13" ht="15" customHeight="1" x14ac:dyDescent="0.15">
      <c r="K55" s="428"/>
      <c r="L55" s="428"/>
    </row>
    <row r="56" spans="11:13" ht="15" customHeight="1" x14ac:dyDescent="0.15">
      <c r="K56" s="428"/>
      <c r="L56" s="428"/>
    </row>
    <row r="57" spans="11:13" ht="15" customHeight="1" x14ac:dyDescent="0.15">
      <c r="K57" s="428"/>
      <c r="L57" s="428"/>
    </row>
    <row r="58" spans="11:13" ht="15" customHeight="1" x14ac:dyDescent="0.15">
      <c r="K58" s="428"/>
      <c r="L58" s="428"/>
    </row>
    <row r="59" spans="11:13" ht="15" customHeight="1" x14ac:dyDescent="0.15">
      <c r="K59" s="428"/>
      <c r="L59" s="428"/>
    </row>
    <row r="60" spans="11:13" ht="15" customHeight="1" x14ac:dyDescent="0.15">
      <c r="K60" s="428"/>
      <c r="L60" s="428"/>
    </row>
    <row r="61" spans="11:13" ht="15" customHeight="1" x14ac:dyDescent="0.15">
      <c r="L61" s="428"/>
    </row>
    <row r="62" spans="11:13" ht="15" customHeight="1" x14ac:dyDescent="0.15">
      <c r="L62" s="428"/>
    </row>
    <row r="63" spans="11:13" ht="15" customHeight="1" x14ac:dyDescent="0.15">
      <c r="L63" s="428"/>
    </row>
    <row r="64" spans="11:13" ht="15" customHeight="1" x14ac:dyDescent="0.15">
      <c r="L64" s="428"/>
    </row>
    <row r="65" spans="12:12" ht="15" customHeight="1" x14ac:dyDescent="0.15">
      <c r="L65" s="428"/>
    </row>
    <row r="66" spans="12:12" ht="15" customHeight="1" x14ac:dyDescent="0.15">
      <c r="L66" s="428"/>
    </row>
    <row r="67" spans="12:12" ht="15" customHeight="1" x14ac:dyDescent="0.15">
      <c r="L67" s="428"/>
    </row>
    <row r="68" spans="12:12" ht="15" customHeight="1" x14ac:dyDescent="0.15">
      <c r="L68" s="428"/>
    </row>
    <row r="69" spans="12:12" ht="15" customHeight="1" x14ac:dyDescent="0.15">
      <c r="L69" s="428"/>
    </row>
    <row r="70" spans="12:12" ht="15" customHeight="1" x14ac:dyDescent="0.15">
      <c r="L70" s="428"/>
    </row>
    <row r="71" spans="12:12" ht="15" customHeight="1" x14ac:dyDescent="0.15">
      <c r="L71" s="428"/>
    </row>
    <row r="72" spans="12:12" ht="15" customHeight="1" x14ac:dyDescent="0.15">
      <c r="L72" s="428"/>
    </row>
    <row r="73" spans="12:12" ht="15" customHeight="1" x14ac:dyDescent="0.15">
      <c r="L73" s="428"/>
    </row>
    <row r="74" spans="12:12" ht="15" customHeight="1" x14ac:dyDescent="0.15">
      <c r="L74" s="428"/>
    </row>
    <row r="75" spans="12:12" ht="15" customHeight="1" x14ac:dyDescent="0.15">
      <c r="L75" s="428"/>
    </row>
    <row r="76" spans="12:12" ht="15" customHeight="1" x14ac:dyDescent="0.15">
      <c r="L76" s="428"/>
    </row>
    <row r="77" spans="12:12" ht="15" customHeight="1" x14ac:dyDescent="0.15">
      <c r="L77" s="428"/>
    </row>
    <row r="78" spans="12:12" ht="15" customHeight="1" x14ac:dyDescent="0.15">
      <c r="L78" s="428"/>
    </row>
    <row r="79" spans="12:12" ht="15" customHeight="1" x14ac:dyDescent="0.15">
      <c r="L79" s="428"/>
    </row>
    <row r="80" spans="12:12" ht="15" customHeight="1" x14ac:dyDescent="0.15">
      <c r="L80" s="428"/>
    </row>
    <row r="81" spans="12:12" ht="15" customHeight="1" x14ac:dyDescent="0.15">
      <c r="L81" s="428"/>
    </row>
    <row r="82" spans="12:12" ht="15" customHeight="1" x14ac:dyDescent="0.15">
      <c r="L82" s="428"/>
    </row>
    <row r="83" spans="12:12" ht="15" customHeight="1" x14ac:dyDescent="0.15">
      <c r="L83" s="428"/>
    </row>
    <row r="84" spans="12:12" ht="15" customHeight="1" x14ac:dyDescent="0.15">
      <c r="L84" s="428"/>
    </row>
    <row r="85" spans="12:12" ht="15" customHeight="1" x14ac:dyDescent="0.15">
      <c r="L85" s="428"/>
    </row>
    <row r="86" spans="12:12" ht="15" customHeight="1" x14ac:dyDescent="0.15">
      <c r="L86" s="428"/>
    </row>
    <row r="87" spans="12:12" ht="15" customHeight="1" x14ac:dyDescent="0.15">
      <c r="L87" s="428"/>
    </row>
    <row r="88" spans="12:12" ht="15" customHeight="1" x14ac:dyDescent="0.15">
      <c r="L88" s="428"/>
    </row>
    <row r="89" spans="12:12" ht="15" customHeight="1" x14ac:dyDescent="0.15">
      <c r="L89" s="428"/>
    </row>
    <row r="90" spans="12:12" ht="15" customHeight="1" x14ac:dyDescent="0.15">
      <c r="L90" s="428"/>
    </row>
    <row r="91" spans="12:12" ht="15" customHeight="1" x14ac:dyDescent="0.15">
      <c r="L91" s="428"/>
    </row>
  </sheetData>
  <mergeCells count="48">
    <mergeCell ref="AE9:AF9"/>
    <mergeCell ref="AD3:AF3"/>
    <mergeCell ref="AB8:AD8"/>
    <mergeCell ref="AA4:AC7"/>
    <mergeCell ref="AD4:AF7"/>
    <mergeCell ref="AE8:AF8"/>
    <mergeCell ref="Z8:AA8"/>
    <mergeCell ref="Z9:AA9"/>
    <mergeCell ref="AB9:AD9"/>
    <mergeCell ref="P13:P19"/>
    <mergeCell ref="O3:Q7"/>
    <mergeCell ref="A9:N9"/>
    <mergeCell ref="U3:W7"/>
    <mergeCell ref="A6:G6"/>
    <mergeCell ref="A7:G7"/>
    <mergeCell ref="A1:E5"/>
    <mergeCell ref="A8:N8"/>
    <mergeCell ref="W9:Y9"/>
    <mergeCell ref="O8:T8"/>
    <mergeCell ref="O9:T9"/>
    <mergeCell ref="O1:Q1"/>
    <mergeCell ref="O2:Q2"/>
    <mergeCell ref="H6:N6"/>
    <mergeCell ref="H7:N7"/>
    <mergeCell ref="F1:N5"/>
    <mergeCell ref="AA2:AC2"/>
    <mergeCell ref="X2:Z2"/>
    <mergeCell ref="W8:Y8"/>
    <mergeCell ref="X1:AF1"/>
    <mergeCell ref="R1:T1"/>
    <mergeCell ref="U1:W1"/>
    <mergeCell ref="R2:T2"/>
    <mergeCell ref="AD2:AF2"/>
    <mergeCell ref="AA3:AC3"/>
    <mergeCell ref="X3:Z7"/>
    <mergeCell ref="R3:T7"/>
    <mergeCell ref="U2:W2"/>
    <mergeCell ref="F13:F19"/>
    <mergeCell ref="M13:M19"/>
    <mergeCell ref="O13:O19"/>
    <mergeCell ref="C11:F11"/>
    <mergeCell ref="I13:I19"/>
    <mergeCell ref="J13:J19"/>
    <mergeCell ref="K13:K19"/>
    <mergeCell ref="L13:L19"/>
    <mergeCell ref="H13:H19"/>
    <mergeCell ref="N13:N19"/>
    <mergeCell ref="G13:G19"/>
  </mergeCells>
  <phoneticPr fontId="23"/>
  <printOptions horizontalCentered="1"/>
  <pageMargins left="0.47244094488188981" right="0.47244094488188981" top="0.55118110236220474" bottom="0.31496062992125984" header="0.23622047244094491" footer="0.15748031496062992"/>
  <pageSetup paperSize="9" scale="95" orientation="landscape" r:id="rId1"/>
  <headerFooter alignWithMargins="0">
    <oddHeader>&amp;L【営業秘密】</oddHeader>
    <oddFooter xml:space="preserve">&amp;R（様式2011.10）
</oddFoot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AG64"/>
  <sheetViews>
    <sheetView showGridLines="0" topLeftCell="B37" zoomScale="85" zoomScaleNormal="85" workbookViewId="0">
      <selection activeCell="AL16" sqref="AL16"/>
    </sheetView>
  </sheetViews>
  <sheetFormatPr defaultColWidth="4.25" defaultRowHeight="15" customHeight="1" x14ac:dyDescent="0.15"/>
  <cols>
    <col min="1" max="1" width="9" style="9" customWidth="1"/>
    <col min="2" max="2" width="4.25" style="9"/>
    <col min="3" max="11" width="4.5" style="9" bestFit="1" customWidth="1"/>
    <col min="12" max="12" width="4.25" style="9"/>
    <col min="13" max="13" width="4.5" style="9" bestFit="1" customWidth="1"/>
    <col min="14" max="19" width="4.25" style="9"/>
    <col min="20" max="20" width="4.5" style="9" bestFit="1" customWidth="1"/>
    <col min="21" max="21" width="5" style="9" bestFit="1" customWidth="1"/>
    <col min="22" max="22" width="4.5" style="9" bestFit="1" customWidth="1"/>
    <col min="23" max="23" width="4.25" style="9"/>
    <col min="24" max="24" width="4.5" style="9" bestFit="1" customWidth="1"/>
    <col min="25" max="26" width="4.25" style="9"/>
    <col min="27" max="28" width="4.375" style="9" bestFit="1" customWidth="1"/>
    <col min="29" max="29" width="4.25" style="9"/>
    <col min="30" max="30" width="4.375" style="9" bestFit="1" customWidth="1"/>
    <col min="31" max="16384" width="4.25" style="9"/>
  </cols>
  <sheetData>
    <row r="1" spans="1:33" s="272" customFormat="1" ht="12.75" customHeight="1" x14ac:dyDescent="0.15">
      <c r="A1" s="1281" t="s">
        <v>491</v>
      </c>
      <c r="B1" s="1282"/>
      <c r="C1" s="1282"/>
      <c r="D1" s="1282"/>
      <c r="E1" s="1283"/>
      <c r="F1" s="1281" t="s">
        <v>83</v>
      </c>
      <c r="G1" s="1282"/>
      <c r="H1" s="1282"/>
      <c r="I1" s="1282"/>
      <c r="J1" s="1282"/>
      <c r="K1" s="1282"/>
      <c r="L1" s="1282"/>
      <c r="M1" s="1282"/>
      <c r="N1" s="1283"/>
      <c r="O1" s="1255" t="s">
        <v>305</v>
      </c>
      <c r="P1" s="1255"/>
      <c r="Q1" s="1255"/>
      <c r="R1" s="1255" t="s">
        <v>306</v>
      </c>
      <c r="S1" s="1255"/>
      <c r="T1" s="1255"/>
      <c r="U1" s="1255" t="s">
        <v>237</v>
      </c>
      <c r="V1" s="1255"/>
      <c r="W1" s="1255"/>
      <c r="X1" s="1255" t="s">
        <v>307</v>
      </c>
      <c r="Y1" s="1255"/>
      <c r="Z1" s="1255"/>
      <c r="AA1" s="1255"/>
      <c r="AB1" s="1255"/>
      <c r="AC1" s="1255"/>
      <c r="AD1" s="1255"/>
      <c r="AE1" s="1255"/>
      <c r="AF1" s="1255"/>
      <c r="AG1" s="271"/>
    </row>
    <row r="2" spans="1:33" s="272" customFormat="1" ht="12.75" customHeight="1" x14ac:dyDescent="0.15">
      <c r="A2" s="1284"/>
      <c r="B2" s="1285"/>
      <c r="C2" s="1285"/>
      <c r="D2" s="1285"/>
      <c r="E2" s="1286"/>
      <c r="F2" s="1284"/>
      <c r="G2" s="1285"/>
      <c r="H2" s="1285"/>
      <c r="I2" s="1285"/>
      <c r="J2" s="1285"/>
      <c r="K2" s="1285"/>
      <c r="L2" s="1285"/>
      <c r="M2" s="1285"/>
      <c r="N2" s="1286"/>
      <c r="O2" s="1255" t="s">
        <v>473</v>
      </c>
      <c r="P2" s="1255"/>
      <c r="Q2" s="1255"/>
      <c r="R2" s="1255" t="s">
        <v>473</v>
      </c>
      <c r="S2" s="1255"/>
      <c r="T2" s="1255"/>
      <c r="U2" s="1255" t="s">
        <v>473</v>
      </c>
      <c r="V2" s="1255"/>
      <c r="W2" s="1255"/>
      <c r="X2" s="1265" t="s">
        <v>308</v>
      </c>
      <c r="Y2" s="1265"/>
      <c r="Z2" s="1265"/>
      <c r="AA2" s="1255" t="s">
        <v>306</v>
      </c>
      <c r="AB2" s="1255"/>
      <c r="AC2" s="1255"/>
      <c r="AD2" s="1255" t="s">
        <v>237</v>
      </c>
      <c r="AE2" s="1255"/>
      <c r="AF2" s="1255"/>
      <c r="AG2" s="271"/>
    </row>
    <row r="3" spans="1:33" s="272" customFormat="1" ht="12.75" customHeight="1" x14ac:dyDescent="0.15">
      <c r="A3" s="1284"/>
      <c r="B3" s="1285"/>
      <c r="C3" s="1285"/>
      <c r="D3" s="1285"/>
      <c r="E3" s="1286"/>
      <c r="F3" s="1284"/>
      <c r="G3" s="1285"/>
      <c r="H3" s="1285"/>
      <c r="I3" s="1285"/>
      <c r="J3" s="1285"/>
      <c r="K3" s="1285"/>
      <c r="L3" s="1285"/>
      <c r="M3" s="1285"/>
      <c r="N3" s="1286"/>
      <c r="O3" s="1255"/>
      <c r="P3" s="1255"/>
      <c r="Q3" s="1255"/>
      <c r="R3" s="1255"/>
      <c r="S3" s="1255"/>
      <c r="T3" s="1255"/>
      <c r="U3" s="1255"/>
      <c r="V3" s="1255"/>
      <c r="W3" s="1255"/>
      <c r="X3" s="1255"/>
      <c r="Y3" s="1255"/>
      <c r="Z3" s="1255"/>
      <c r="AA3" s="1255" t="s">
        <v>238</v>
      </c>
      <c r="AB3" s="1255"/>
      <c r="AC3" s="1255"/>
      <c r="AD3" s="1255" t="s">
        <v>238</v>
      </c>
      <c r="AE3" s="1255"/>
      <c r="AF3" s="1255"/>
      <c r="AG3" s="271"/>
    </row>
    <row r="4" spans="1:33" s="272" customFormat="1" ht="12.75" customHeight="1" x14ac:dyDescent="0.15">
      <c r="A4" s="1284"/>
      <c r="B4" s="1285"/>
      <c r="C4" s="1285"/>
      <c r="D4" s="1285"/>
      <c r="E4" s="1286"/>
      <c r="F4" s="1284"/>
      <c r="G4" s="1285"/>
      <c r="H4" s="1285"/>
      <c r="I4" s="1285"/>
      <c r="J4" s="1285"/>
      <c r="K4" s="1285"/>
      <c r="L4" s="1285"/>
      <c r="M4" s="1285"/>
      <c r="N4" s="1286"/>
      <c r="O4" s="1255"/>
      <c r="P4" s="1255"/>
      <c r="Q4" s="1255"/>
      <c r="R4" s="1255"/>
      <c r="S4" s="1255"/>
      <c r="T4" s="1255"/>
      <c r="U4" s="1255"/>
      <c r="V4" s="1255"/>
      <c r="W4" s="1255"/>
      <c r="X4" s="1255"/>
      <c r="Y4" s="1255"/>
      <c r="Z4" s="1255"/>
      <c r="AA4" s="1256"/>
      <c r="AB4" s="1257"/>
      <c r="AC4" s="1258"/>
      <c r="AD4" s="1256"/>
      <c r="AE4" s="1257"/>
      <c r="AF4" s="1258"/>
      <c r="AG4" s="271"/>
    </row>
    <row r="5" spans="1:33" s="272" customFormat="1" ht="12.75" customHeight="1" x14ac:dyDescent="0.15">
      <c r="A5" s="1287"/>
      <c r="B5" s="1288"/>
      <c r="C5" s="1288"/>
      <c r="D5" s="1288"/>
      <c r="E5" s="1289"/>
      <c r="F5" s="1287"/>
      <c r="G5" s="1288"/>
      <c r="H5" s="1288"/>
      <c r="I5" s="1288"/>
      <c r="J5" s="1288"/>
      <c r="K5" s="1288"/>
      <c r="L5" s="1288"/>
      <c r="M5" s="1288"/>
      <c r="N5" s="1289"/>
      <c r="O5" s="1255"/>
      <c r="P5" s="1255"/>
      <c r="Q5" s="1255"/>
      <c r="R5" s="1255"/>
      <c r="S5" s="1255"/>
      <c r="T5" s="1255"/>
      <c r="U5" s="1255"/>
      <c r="V5" s="1255"/>
      <c r="W5" s="1255"/>
      <c r="X5" s="1255"/>
      <c r="Y5" s="1255"/>
      <c r="Z5" s="1255"/>
      <c r="AA5" s="1259"/>
      <c r="AB5" s="1260"/>
      <c r="AC5" s="1261"/>
      <c r="AD5" s="1259"/>
      <c r="AE5" s="1260"/>
      <c r="AF5" s="1261"/>
      <c r="AG5" s="271"/>
    </row>
    <row r="6" spans="1:33" s="272" customFormat="1" ht="15" customHeight="1" x14ac:dyDescent="0.15">
      <c r="A6" s="1255" t="s">
        <v>465</v>
      </c>
      <c r="B6" s="1255"/>
      <c r="C6" s="1255"/>
      <c r="D6" s="1255"/>
      <c r="E6" s="1255"/>
      <c r="F6" s="1255"/>
      <c r="G6" s="1255"/>
      <c r="H6" s="1255" t="s">
        <v>466</v>
      </c>
      <c r="I6" s="1255"/>
      <c r="J6" s="1255"/>
      <c r="K6" s="1255"/>
      <c r="L6" s="1255"/>
      <c r="M6" s="1255"/>
      <c r="N6" s="1255"/>
      <c r="O6" s="1255"/>
      <c r="P6" s="1255"/>
      <c r="Q6" s="1255"/>
      <c r="R6" s="1255"/>
      <c r="S6" s="1255"/>
      <c r="T6" s="1255"/>
      <c r="U6" s="1255"/>
      <c r="V6" s="1255"/>
      <c r="W6" s="1255"/>
      <c r="X6" s="1255"/>
      <c r="Y6" s="1255"/>
      <c r="Z6" s="1255"/>
      <c r="AA6" s="1259"/>
      <c r="AB6" s="1260"/>
      <c r="AC6" s="1261"/>
      <c r="AD6" s="1259"/>
      <c r="AE6" s="1260"/>
      <c r="AF6" s="1261"/>
      <c r="AG6" s="271"/>
    </row>
    <row r="7" spans="1:33" s="272" customFormat="1" ht="15" customHeight="1" x14ac:dyDescent="0.15">
      <c r="A7" s="1255"/>
      <c r="B7" s="1255"/>
      <c r="C7" s="1255"/>
      <c r="D7" s="1255"/>
      <c r="E7" s="1255"/>
      <c r="F7" s="1255"/>
      <c r="G7" s="1255"/>
      <c r="H7" s="1255"/>
      <c r="I7" s="1255"/>
      <c r="J7" s="1255"/>
      <c r="K7" s="1255"/>
      <c r="L7" s="1255"/>
      <c r="M7" s="1255"/>
      <c r="N7" s="1255"/>
      <c r="O7" s="1255"/>
      <c r="P7" s="1255"/>
      <c r="Q7" s="1255"/>
      <c r="R7" s="1255"/>
      <c r="S7" s="1255"/>
      <c r="T7" s="1255"/>
      <c r="U7" s="1255"/>
      <c r="V7" s="1255"/>
      <c r="W7" s="1255"/>
      <c r="X7" s="1255"/>
      <c r="Y7" s="1255"/>
      <c r="Z7" s="1255"/>
      <c r="AA7" s="1262"/>
      <c r="AB7" s="1263"/>
      <c r="AC7" s="1264"/>
      <c r="AD7" s="1262"/>
      <c r="AE7" s="1263"/>
      <c r="AF7" s="1264"/>
      <c r="AG7" s="271"/>
    </row>
    <row r="8" spans="1:33" s="262" customFormat="1" ht="15" customHeight="1" x14ac:dyDescent="0.15">
      <c r="A8" s="783" t="s">
        <v>310</v>
      </c>
      <c r="B8" s="783"/>
      <c r="C8" s="783"/>
      <c r="D8" s="783"/>
      <c r="E8" s="783"/>
      <c r="F8" s="783"/>
      <c r="G8" s="783"/>
      <c r="H8" s="783"/>
      <c r="I8" s="783"/>
      <c r="J8" s="783"/>
      <c r="K8" s="783"/>
      <c r="L8" s="783"/>
      <c r="M8" s="783"/>
      <c r="N8" s="783"/>
      <c r="O8" s="783" t="s">
        <v>139</v>
      </c>
      <c r="P8" s="783"/>
      <c r="Q8" s="783"/>
      <c r="R8" s="783"/>
      <c r="S8" s="783"/>
      <c r="T8" s="783"/>
      <c r="U8" s="260" t="s">
        <v>492</v>
      </c>
      <c r="V8" s="261"/>
      <c r="W8" s="754"/>
      <c r="X8" s="755"/>
      <c r="Y8" s="756"/>
      <c r="Z8" s="757" t="s">
        <v>468</v>
      </c>
      <c r="AA8" s="758"/>
      <c r="AB8" s="759"/>
      <c r="AC8" s="755"/>
      <c r="AD8" s="756"/>
      <c r="AE8" s="757" t="s">
        <v>469</v>
      </c>
      <c r="AF8" s="758"/>
      <c r="AG8" s="273"/>
    </row>
    <row r="9" spans="1:33" s="262" customFormat="1" ht="15" customHeight="1" x14ac:dyDescent="0.15">
      <c r="A9" s="783"/>
      <c r="B9" s="783"/>
      <c r="C9" s="783"/>
      <c r="D9" s="783"/>
      <c r="E9" s="783"/>
      <c r="F9" s="783"/>
      <c r="G9" s="783"/>
      <c r="H9" s="783"/>
      <c r="I9" s="783"/>
      <c r="J9" s="783"/>
      <c r="K9" s="783"/>
      <c r="L9" s="783"/>
      <c r="M9" s="783"/>
      <c r="N9" s="783"/>
      <c r="O9" s="783"/>
      <c r="P9" s="783"/>
      <c r="Q9" s="783"/>
      <c r="R9" s="783"/>
      <c r="S9" s="783"/>
      <c r="T9" s="783"/>
      <c r="U9" s="263" t="s">
        <v>493</v>
      </c>
      <c r="V9" s="264"/>
      <c r="W9" s="748"/>
      <c r="X9" s="749"/>
      <c r="Y9" s="750"/>
      <c r="Z9" s="751" t="s">
        <v>471</v>
      </c>
      <c r="AA9" s="750"/>
      <c r="AB9" s="751"/>
      <c r="AC9" s="749"/>
      <c r="AD9" s="750"/>
      <c r="AE9" s="752"/>
      <c r="AF9" s="753"/>
      <c r="AG9" s="273"/>
    </row>
    <row r="10" spans="1:33" ht="4.5" customHeight="1" x14ac:dyDescent="0.15"/>
    <row r="11" spans="1:33" s="203" customFormat="1" ht="10.5" customHeight="1" x14ac:dyDescent="0.15">
      <c r="A11" s="201" t="s">
        <v>445</v>
      </c>
      <c r="B11" s="201"/>
      <c r="C11" s="201"/>
      <c r="D11" s="201"/>
      <c r="E11" s="201"/>
      <c r="F11" s="201"/>
      <c r="G11" s="201"/>
      <c r="H11" s="201"/>
      <c r="I11" s="201"/>
      <c r="J11" s="201"/>
      <c r="K11" s="201"/>
      <c r="L11" s="201"/>
      <c r="M11" s="201"/>
      <c r="N11" s="201"/>
      <c r="O11" s="201"/>
      <c r="P11" s="202"/>
      <c r="Q11" s="201"/>
      <c r="R11" s="201" t="s">
        <v>446</v>
      </c>
      <c r="S11" s="201"/>
      <c r="T11" s="201"/>
      <c r="U11" s="201"/>
      <c r="V11" s="201"/>
      <c r="W11" s="201"/>
      <c r="X11" s="201"/>
      <c r="Y11" s="201"/>
      <c r="Z11" s="201"/>
      <c r="AA11" s="201"/>
      <c r="AB11" s="201"/>
      <c r="AC11" s="201"/>
      <c r="AD11" s="201"/>
      <c r="AE11" s="201"/>
      <c r="AF11" s="201"/>
    </row>
    <row r="12" spans="1:33" s="203" customFormat="1" ht="10.5" customHeight="1" x14ac:dyDescent="0.15">
      <c r="A12" s="1312" t="s">
        <v>186</v>
      </c>
      <c r="B12" s="1313"/>
      <c r="C12" s="204" t="s">
        <v>268</v>
      </c>
      <c r="D12" s="204" t="s">
        <v>447</v>
      </c>
      <c r="E12" s="1307" t="s">
        <v>448</v>
      </c>
      <c r="F12" s="1308"/>
      <c r="G12" s="1308"/>
      <c r="H12" s="1308"/>
      <c r="I12" s="1309"/>
      <c r="J12" s="204" t="s">
        <v>449</v>
      </c>
      <c r="K12" s="1307" t="s">
        <v>450</v>
      </c>
      <c r="L12" s="1308"/>
      <c r="M12" s="1308"/>
      <c r="N12" s="1308"/>
      <c r="O12" s="1309"/>
      <c r="P12" s="202"/>
      <c r="Q12" s="201"/>
      <c r="R12" s="1312" t="s">
        <v>186</v>
      </c>
      <c r="S12" s="1313"/>
      <c r="T12" s="204" t="s">
        <v>451</v>
      </c>
      <c r="U12" s="204" t="s">
        <v>452</v>
      </c>
      <c r="V12" s="1307" t="s">
        <v>453</v>
      </c>
      <c r="W12" s="1308"/>
      <c r="X12" s="1308"/>
      <c r="Y12" s="1308"/>
      <c r="Z12" s="1309"/>
      <c r="AA12" s="204" t="s">
        <v>454</v>
      </c>
      <c r="AB12" s="1307" t="s">
        <v>455</v>
      </c>
      <c r="AC12" s="1308"/>
      <c r="AD12" s="1308"/>
      <c r="AE12" s="1308"/>
      <c r="AF12" s="1309"/>
    </row>
    <row r="13" spans="1:33" s="203" customFormat="1" ht="10.5" customHeight="1" thickBot="1" x14ac:dyDescent="0.2">
      <c r="A13" s="1314"/>
      <c r="B13" s="1315"/>
      <c r="C13" s="207" t="s">
        <v>456</v>
      </c>
      <c r="D13" s="207" t="s">
        <v>457</v>
      </c>
      <c r="E13" s="205"/>
      <c r="F13" s="208" t="s">
        <v>458</v>
      </c>
      <c r="G13" s="206"/>
      <c r="H13" s="1310" t="s">
        <v>393</v>
      </c>
      <c r="I13" s="1311"/>
      <c r="J13" s="207" t="s">
        <v>267</v>
      </c>
      <c r="K13" s="209"/>
      <c r="L13" s="211" t="s">
        <v>458</v>
      </c>
      <c r="M13" s="210"/>
      <c r="N13" s="1310" t="s">
        <v>393</v>
      </c>
      <c r="O13" s="1311"/>
      <c r="P13" s="202"/>
      <c r="Q13" s="201"/>
      <c r="R13" s="1314"/>
      <c r="S13" s="1315"/>
      <c r="T13" s="207" t="s">
        <v>456</v>
      </c>
      <c r="U13" s="207" t="s">
        <v>459</v>
      </c>
      <c r="V13" s="205"/>
      <c r="W13" s="208" t="s">
        <v>458</v>
      </c>
      <c r="X13" s="206"/>
      <c r="Y13" s="1310" t="s">
        <v>393</v>
      </c>
      <c r="Z13" s="1311"/>
      <c r="AA13" s="207" t="s">
        <v>460</v>
      </c>
      <c r="AB13" s="209"/>
      <c r="AC13" s="211" t="s">
        <v>458</v>
      </c>
      <c r="AD13" s="210"/>
      <c r="AE13" s="1310" t="s">
        <v>393</v>
      </c>
      <c r="AF13" s="1311"/>
    </row>
    <row r="14" spans="1:33" s="203" customFormat="1" ht="10.5" customHeight="1" thickTop="1" x14ac:dyDescent="0.15">
      <c r="A14" s="212" t="s">
        <v>281</v>
      </c>
      <c r="B14" s="213"/>
      <c r="C14" s="214">
        <v>50</v>
      </c>
      <c r="D14" s="215">
        <v>5</v>
      </c>
      <c r="E14" s="216">
        <v>0.1</v>
      </c>
      <c r="F14" s="217" t="s">
        <v>461</v>
      </c>
      <c r="G14" s="218">
        <v>0.2</v>
      </c>
      <c r="H14" s="1297">
        <f>5/50</f>
        <v>0.1</v>
      </c>
      <c r="I14" s="1298"/>
      <c r="J14" s="214">
        <v>6</v>
      </c>
      <c r="K14" s="216">
        <v>0.1</v>
      </c>
      <c r="L14" s="217" t="s">
        <v>461</v>
      </c>
      <c r="M14" s="218">
        <v>0.5</v>
      </c>
      <c r="N14" s="1297">
        <f t="shared" ref="N14:N20" si="0">J14/C14</f>
        <v>0.12</v>
      </c>
      <c r="O14" s="1298"/>
      <c r="P14" s="202"/>
      <c r="Q14" s="201"/>
      <c r="R14" s="212" t="s">
        <v>462</v>
      </c>
      <c r="S14" s="213"/>
      <c r="T14" s="214">
        <v>5250</v>
      </c>
      <c r="U14" s="214">
        <v>3000</v>
      </c>
      <c r="V14" s="216">
        <v>0.2</v>
      </c>
      <c r="W14" s="217" t="s">
        <v>106</v>
      </c>
      <c r="X14" s="218">
        <v>0.5</v>
      </c>
      <c r="Y14" s="1297">
        <f>U14/T14</f>
        <v>0.5714285714285714</v>
      </c>
      <c r="Z14" s="1298"/>
      <c r="AA14" s="214">
        <v>190</v>
      </c>
      <c r="AB14" s="216">
        <v>0.04</v>
      </c>
      <c r="AC14" s="217" t="s">
        <v>106</v>
      </c>
      <c r="AD14" s="218">
        <v>0.08</v>
      </c>
      <c r="AE14" s="1297">
        <f>AA14/T14</f>
        <v>3.619047619047619E-2</v>
      </c>
      <c r="AF14" s="1298"/>
    </row>
    <row r="15" spans="1:33" s="203" customFormat="1" ht="10.5" customHeight="1" x14ac:dyDescent="0.15">
      <c r="A15" s="219" t="s">
        <v>283</v>
      </c>
      <c r="B15" s="220"/>
      <c r="C15" s="221">
        <v>90</v>
      </c>
      <c r="D15" s="222">
        <v>12</v>
      </c>
      <c r="E15" s="223">
        <v>0.1</v>
      </c>
      <c r="F15" s="224" t="s">
        <v>107</v>
      </c>
      <c r="G15" s="225">
        <v>0.2</v>
      </c>
      <c r="H15" s="1295">
        <f t="shared" ref="H15:H20" si="1">D15/C15</f>
        <v>0.13333333333333333</v>
      </c>
      <c r="I15" s="1296"/>
      <c r="J15" s="221">
        <v>18</v>
      </c>
      <c r="K15" s="223">
        <v>0.15</v>
      </c>
      <c r="L15" s="224" t="s">
        <v>107</v>
      </c>
      <c r="M15" s="225">
        <v>0.5</v>
      </c>
      <c r="N15" s="1295">
        <f t="shared" si="0"/>
        <v>0.2</v>
      </c>
      <c r="O15" s="1296"/>
      <c r="P15" s="202"/>
      <c r="Q15" s="201"/>
      <c r="R15" s="219" t="s">
        <v>288</v>
      </c>
      <c r="S15" s="220"/>
      <c r="T15" s="221">
        <v>4510</v>
      </c>
      <c r="U15" s="221">
        <v>2400</v>
      </c>
      <c r="V15" s="223">
        <v>0.4</v>
      </c>
      <c r="W15" s="224" t="s">
        <v>108</v>
      </c>
      <c r="X15" s="225">
        <v>0.5</v>
      </c>
      <c r="Y15" s="1295">
        <f>U15/T15</f>
        <v>0.53215077605321504</v>
      </c>
      <c r="Z15" s="1296"/>
      <c r="AA15" s="221">
        <v>310</v>
      </c>
      <c r="AB15" s="223">
        <v>0.03</v>
      </c>
      <c r="AC15" s="224" t="s">
        <v>108</v>
      </c>
      <c r="AD15" s="225">
        <v>0.06</v>
      </c>
      <c r="AE15" s="1295">
        <f>AA15/T15</f>
        <v>6.8736141906873618E-2</v>
      </c>
      <c r="AF15" s="1296"/>
    </row>
    <row r="16" spans="1:33" s="203" customFormat="1" ht="10.5" customHeight="1" x14ac:dyDescent="0.15">
      <c r="A16" s="219" t="s">
        <v>253</v>
      </c>
      <c r="B16" s="220"/>
      <c r="C16" s="221">
        <v>200</v>
      </c>
      <c r="D16" s="222">
        <v>36</v>
      </c>
      <c r="E16" s="223">
        <v>0.1</v>
      </c>
      <c r="F16" s="224" t="s">
        <v>109</v>
      </c>
      <c r="G16" s="225">
        <v>0.2</v>
      </c>
      <c r="H16" s="1295">
        <f t="shared" si="1"/>
        <v>0.18</v>
      </c>
      <c r="I16" s="1296"/>
      <c r="J16" s="221">
        <v>32</v>
      </c>
      <c r="K16" s="223">
        <v>0.15</v>
      </c>
      <c r="L16" s="224" t="s">
        <v>109</v>
      </c>
      <c r="M16" s="225">
        <v>0.3</v>
      </c>
      <c r="N16" s="1295">
        <f t="shared" si="0"/>
        <v>0.16</v>
      </c>
      <c r="O16" s="1296"/>
      <c r="P16" s="202"/>
      <c r="Q16" s="201"/>
      <c r="R16" s="219" t="s">
        <v>206</v>
      </c>
      <c r="S16" s="220"/>
      <c r="T16" s="221">
        <v>3500</v>
      </c>
      <c r="U16" s="221">
        <v>1900</v>
      </c>
      <c r="V16" s="223">
        <v>0.4</v>
      </c>
      <c r="W16" s="224" t="s">
        <v>109</v>
      </c>
      <c r="X16" s="225">
        <v>0.5</v>
      </c>
      <c r="Y16" s="1295">
        <f>U16/T16</f>
        <v>0.54285714285714282</v>
      </c>
      <c r="Z16" s="1296"/>
      <c r="AA16" s="221">
        <v>240</v>
      </c>
      <c r="AB16" s="223">
        <v>0.02</v>
      </c>
      <c r="AC16" s="224" t="s">
        <v>109</v>
      </c>
      <c r="AD16" s="225">
        <v>0.05</v>
      </c>
      <c r="AE16" s="1295">
        <f>AA16/T16</f>
        <v>6.8571428571428575E-2</v>
      </c>
      <c r="AF16" s="1296"/>
    </row>
    <row r="17" spans="1:32" s="203" customFormat="1" ht="10.5" customHeight="1" x14ac:dyDescent="0.15">
      <c r="A17" s="219" t="s">
        <v>286</v>
      </c>
      <c r="B17" s="220"/>
      <c r="C17" s="221">
        <v>300</v>
      </c>
      <c r="D17" s="222">
        <v>40</v>
      </c>
      <c r="E17" s="223">
        <v>0.1</v>
      </c>
      <c r="F17" s="224" t="s">
        <v>106</v>
      </c>
      <c r="G17" s="225">
        <v>0.2</v>
      </c>
      <c r="H17" s="1295">
        <f t="shared" si="1"/>
        <v>0.13333333333333333</v>
      </c>
      <c r="I17" s="1296"/>
      <c r="J17" s="221">
        <v>32</v>
      </c>
      <c r="K17" s="223">
        <v>0.15</v>
      </c>
      <c r="L17" s="224" t="s">
        <v>106</v>
      </c>
      <c r="M17" s="225">
        <v>0.3</v>
      </c>
      <c r="N17" s="1295">
        <f t="shared" si="0"/>
        <v>0.10666666666666667</v>
      </c>
      <c r="O17" s="1296"/>
      <c r="P17" s="202"/>
      <c r="Q17" s="201"/>
      <c r="R17" s="226" t="s">
        <v>713</v>
      </c>
      <c r="S17" s="227"/>
      <c r="T17" s="228">
        <v>10000</v>
      </c>
      <c r="U17" s="228">
        <v>12535</v>
      </c>
      <c r="V17" s="230"/>
      <c r="W17" s="231" t="s">
        <v>106</v>
      </c>
      <c r="X17" s="232"/>
      <c r="Y17" s="1305">
        <f>U17/T17</f>
        <v>1.2535000000000001</v>
      </c>
      <c r="Z17" s="1306"/>
      <c r="AA17" s="228">
        <v>10</v>
      </c>
      <c r="AB17" s="230"/>
      <c r="AC17" s="231" t="s">
        <v>106</v>
      </c>
      <c r="AD17" s="232"/>
      <c r="AE17" s="1305">
        <f>AA17/T17</f>
        <v>1E-3</v>
      </c>
      <c r="AF17" s="1306"/>
    </row>
    <row r="18" spans="1:32" s="203" customFormat="1" ht="10.5" customHeight="1" x14ac:dyDescent="0.15">
      <c r="A18" s="219" t="s">
        <v>288</v>
      </c>
      <c r="B18" s="220"/>
      <c r="C18" s="221">
        <v>200</v>
      </c>
      <c r="D18" s="222">
        <v>36</v>
      </c>
      <c r="E18" s="223">
        <v>0.1</v>
      </c>
      <c r="F18" s="224" t="s">
        <v>108</v>
      </c>
      <c r="G18" s="225">
        <v>0.2</v>
      </c>
      <c r="H18" s="1295">
        <f t="shared" si="1"/>
        <v>0.18</v>
      </c>
      <c r="I18" s="1296"/>
      <c r="J18" s="221">
        <v>32</v>
      </c>
      <c r="K18" s="223">
        <v>0.15</v>
      </c>
      <c r="L18" s="224" t="s">
        <v>108</v>
      </c>
      <c r="M18" s="225">
        <v>0.3</v>
      </c>
      <c r="N18" s="1295">
        <f t="shared" si="0"/>
        <v>0.16</v>
      </c>
      <c r="O18" s="1296"/>
      <c r="P18" s="202"/>
      <c r="Q18" s="201"/>
      <c r="T18" s="233" t="s">
        <v>110</v>
      </c>
    </row>
    <row r="19" spans="1:32" s="203" customFormat="1" ht="10.5" customHeight="1" x14ac:dyDescent="0.15">
      <c r="A19" s="219" t="s">
        <v>303</v>
      </c>
      <c r="B19" s="220"/>
      <c r="C19" s="221">
        <v>200</v>
      </c>
      <c r="D19" s="222">
        <v>36</v>
      </c>
      <c r="E19" s="223">
        <v>0.1</v>
      </c>
      <c r="F19" s="224" t="s">
        <v>108</v>
      </c>
      <c r="G19" s="225">
        <v>0.2</v>
      </c>
      <c r="H19" s="1295">
        <f t="shared" si="1"/>
        <v>0.18</v>
      </c>
      <c r="I19" s="1296"/>
      <c r="J19" s="221">
        <v>32</v>
      </c>
      <c r="K19" s="223">
        <v>0.15</v>
      </c>
      <c r="L19" s="224" t="s">
        <v>108</v>
      </c>
      <c r="M19" s="225">
        <v>0.3</v>
      </c>
      <c r="N19" s="1295">
        <f t="shared" si="0"/>
        <v>0.16</v>
      </c>
      <c r="O19" s="1296"/>
      <c r="P19" s="202"/>
      <c r="Q19" s="201"/>
    </row>
    <row r="20" spans="1:32" s="203" customFormat="1" ht="10.5" customHeight="1" x14ac:dyDescent="0.15">
      <c r="A20" s="226" t="s">
        <v>292</v>
      </c>
      <c r="B20" s="227"/>
      <c r="C20" s="228">
        <v>300</v>
      </c>
      <c r="D20" s="229">
        <v>40</v>
      </c>
      <c r="E20" s="230">
        <v>0.1</v>
      </c>
      <c r="F20" s="231" t="s">
        <v>111</v>
      </c>
      <c r="G20" s="232">
        <v>0.2</v>
      </c>
      <c r="H20" s="1305">
        <f t="shared" si="1"/>
        <v>0.13333333333333333</v>
      </c>
      <c r="I20" s="1306"/>
      <c r="J20" s="228">
        <v>18</v>
      </c>
      <c r="K20" s="230">
        <v>0.15</v>
      </c>
      <c r="L20" s="231" t="s">
        <v>111</v>
      </c>
      <c r="M20" s="232">
        <v>0.3</v>
      </c>
      <c r="N20" s="1305">
        <f t="shared" si="0"/>
        <v>0.06</v>
      </c>
      <c r="O20" s="1306"/>
      <c r="P20" s="202"/>
      <c r="Q20" s="201"/>
    </row>
    <row r="21" spans="1:32" s="203" customFormat="1" ht="3" customHeight="1" x14ac:dyDescent="0.15">
      <c r="A21" s="201"/>
      <c r="B21" s="201"/>
      <c r="C21" s="201"/>
      <c r="D21" s="201"/>
      <c r="E21" s="201"/>
      <c r="F21" s="201"/>
      <c r="G21" s="201"/>
      <c r="H21" s="201"/>
      <c r="I21" s="201"/>
      <c r="J21" s="201"/>
      <c r="K21" s="201"/>
      <c r="L21" s="201"/>
      <c r="M21" s="201"/>
      <c r="N21" s="201"/>
      <c r="O21" s="201"/>
      <c r="P21" s="202"/>
      <c r="Q21" s="201"/>
      <c r="R21" s="201"/>
      <c r="S21" s="201"/>
      <c r="T21" s="201"/>
      <c r="U21" s="201"/>
      <c r="V21" s="201"/>
      <c r="W21" s="201"/>
      <c r="X21" s="201"/>
      <c r="Y21" s="201"/>
      <c r="Z21" s="201"/>
      <c r="AA21" s="201"/>
      <c r="AB21" s="201"/>
      <c r="AC21" s="201"/>
      <c r="AD21" s="201"/>
      <c r="AE21" s="201"/>
      <c r="AF21" s="201"/>
    </row>
    <row r="22" spans="1:32" s="203" customFormat="1" ht="10.5" customHeight="1" x14ac:dyDescent="0.15">
      <c r="A22" s="201" t="s">
        <v>112</v>
      </c>
      <c r="B22" s="201"/>
      <c r="C22" s="201"/>
      <c r="D22" s="201"/>
      <c r="E22" s="201"/>
      <c r="F22" s="201"/>
      <c r="G22" s="201"/>
      <c r="H22" s="201"/>
      <c r="I22" s="201"/>
      <c r="J22" s="201"/>
      <c r="K22" s="201"/>
      <c r="L22" s="201"/>
      <c r="M22" s="201"/>
      <c r="N22" s="201"/>
      <c r="O22" s="201"/>
      <c r="P22" s="202"/>
      <c r="Q22" s="201"/>
      <c r="R22" s="201" t="s">
        <v>113</v>
      </c>
      <c r="S22" s="201"/>
      <c r="T22" s="201"/>
      <c r="U22" s="201"/>
      <c r="V22" s="201"/>
      <c r="W22" s="201"/>
      <c r="X22" s="201"/>
      <c r="Y22" s="201"/>
      <c r="Z22" s="201"/>
      <c r="AA22" s="201"/>
      <c r="AB22" s="201"/>
      <c r="AC22" s="201"/>
      <c r="AD22" s="201"/>
      <c r="AE22" s="201"/>
      <c r="AF22" s="201"/>
    </row>
    <row r="23" spans="1:32" s="201" customFormat="1" ht="15" customHeight="1" thickBot="1" x14ac:dyDescent="0.2">
      <c r="A23" s="234" t="s">
        <v>381</v>
      </c>
      <c r="B23" s="235"/>
      <c r="C23" s="236" t="s">
        <v>186</v>
      </c>
      <c r="D23" s="237" t="s">
        <v>281</v>
      </c>
      <c r="E23" s="237" t="s">
        <v>283</v>
      </c>
      <c r="F23" s="237" t="s">
        <v>253</v>
      </c>
      <c r="G23" s="237" t="s">
        <v>451</v>
      </c>
      <c r="H23" s="237" t="s">
        <v>114</v>
      </c>
      <c r="I23" s="237" t="s">
        <v>115</v>
      </c>
      <c r="J23" s="237" t="s">
        <v>292</v>
      </c>
      <c r="K23" s="1300" t="s">
        <v>299</v>
      </c>
      <c r="L23" s="1301"/>
      <c r="M23" s="1302" t="s">
        <v>116</v>
      </c>
      <c r="N23" s="1303"/>
      <c r="O23" s="1304"/>
      <c r="P23" s="238"/>
      <c r="Q23" s="239"/>
      <c r="R23" s="234" t="s">
        <v>381</v>
      </c>
      <c r="S23" s="235"/>
      <c r="T23" s="236" t="s">
        <v>186</v>
      </c>
      <c r="U23" s="1300" t="s">
        <v>451</v>
      </c>
      <c r="V23" s="1301"/>
      <c r="W23" s="1300" t="s">
        <v>288</v>
      </c>
      <c r="X23" s="1301"/>
      <c r="Y23" s="1300" t="s">
        <v>303</v>
      </c>
      <c r="Z23" s="1301"/>
      <c r="AA23" s="1322" t="s">
        <v>299</v>
      </c>
      <c r="AB23" s="1322"/>
      <c r="AC23" s="1302" t="s">
        <v>116</v>
      </c>
      <c r="AD23" s="1303"/>
      <c r="AE23" s="1303"/>
      <c r="AF23" s="1304"/>
    </row>
    <row r="24" spans="1:32" s="203" customFormat="1" ht="10.5" customHeight="1" thickTop="1" x14ac:dyDescent="0.15">
      <c r="A24" s="240" t="s">
        <v>280</v>
      </c>
      <c r="B24" s="241"/>
      <c r="C24" s="242"/>
      <c r="D24" s="243">
        <v>1</v>
      </c>
      <c r="E24" s="243">
        <v>0</v>
      </c>
      <c r="F24" s="243">
        <v>0</v>
      </c>
      <c r="G24" s="243">
        <v>2</v>
      </c>
      <c r="H24" s="243">
        <v>0</v>
      </c>
      <c r="I24" s="243">
        <v>2</v>
      </c>
      <c r="J24" s="243">
        <v>0</v>
      </c>
      <c r="K24" s="1290">
        <f>SUM($D$24:$J$24)</f>
        <v>5</v>
      </c>
      <c r="L24" s="1291"/>
      <c r="M24" s="1292"/>
      <c r="N24" s="1293"/>
      <c r="O24" s="1294"/>
      <c r="P24" s="244"/>
      <c r="Q24" s="245"/>
      <c r="R24" s="240" t="s">
        <v>117</v>
      </c>
      <c r="S24" s="241"/>
      <c r="T24" s="242"/>
      <c r="U24" s="1316">
        <v>0</v>
      </c>
      <c r="V24" s="1317"/>
      <c r="W24" s="1316">
        <v>15</v>
      </c>
      <c r="X24" s="1317"/>
      <c r="Y24" s="1316">
        <v>8</v>
      </c>
      <c r="Z24" s="1317"/>
      <c r="AA24" s="1299">
        <f>SUM($U$24:$Z$24)</f>
        <v>23</v>
      </c>
      <c r="AB24" s="1299"/>
      <c r="AC24" s="1329"/>
      <c r="AD24" s="1330"/>
      <c r="AE24" s="1330"/>
      <c r="AF24" s="1331"/>
    </row>
    <row r="25" spans="1:32" s="203" customFormat="1" ht="10.5" customHeight="1" x14ac:dyDescent="0.15">
      <c r="A25" s="219" t="s">
        <v>282</v>
      </c>
      <c r="B25" s="246"/>
      <c r="C25" s="247"/>
      <c r="D25" s="248">
        <v>1</v>
      </c>
      <c r="E25" s="248">
        <v>1</v>
      </c>
      <c r="F25" s="248">
        <v>0</v>
      </c>
      <c r="G25" s="248">
        <v>0</v>
      </c>
      <c r="H25" s="248">
        <v>1</v>
      </c>
      <c r="I25" s="248">
        <v>0</v>
      </c>
      <c r="J25" s="248">
        <v>1</v>
      </c>
      <c r="K25" s="1272">
        <f>SUM($D$25:$J$25)</f>
        <v>4</v>
      </c>
      <c r="L25" s="1273"/>
      <c r="M25" s="1269"/>
      <c r="N25" s="1270"/>
      <c r="O25" s="1271"/>
      <c r="P25" s="244"/>
      <c r="Q25" s="245"/>
      <c r="R25" s="219" t="s">
        <v>118</v>
      </c>
      <c r="S25" s="246"/>
      <c r="T25" s="247"/>
      <c r="U25" s="1318">
        <v>0</v>
      </c>
      <c r="V25" s="1319"/>
      <c r="W25" s="1318">
        <v>36</v>
      </c>
      <c r="X25" s="1319"/>
      <c r="Y25" s="1318">
        <v>10</v>
      </c>
      <c r="Z25" s="1319"/>
      <c r="AA25" s="1321">
        <f>SUM($U$25:$Z$25)</f>
        <v>46</v>
      </c>
      <c r="AB25" s="1321"/>
      <c r="AC25" s="1332"/>
      <c r="AD25" s="1333"/>
      <c r="AE25" s="1333"/>
      <c r="AF25" s="1334"/>
    </row>
    <row r="26" spans="1:32" s="203" customFormat="1" ht="10.5" customHeight="1" x14ac:dyDescent="0.15">
      <c r="A26" s="219" t="s">
        <v>284</v>
      </c>
      <c r="B26" s="246"/>
      <c r="C26" s="247"/>
      <c r="D26" s="248">
        <v>1</v>
      </c>
      <c r="E26" s="248">
        <v>0</v>
      </c>
      <c r="F26" s="248">
        <v>0</v>
      </c>
      <c r="G26" s="248">
        <v>1</v>
      </c>
      <c r="H26" s="248">
        <v>0</v>
      </c>
      <c r="I26" s="248">
        <v>0</v>
      </c>
      <c r="J26" s="248">
        <v>0</v>
      </c>
      <c r="K26" s="1272">
        <f>SUM($D$26:$J$26)</f>
        <v>2</v>
      </c>
      <c r="L26" s="1273"/>
      <c r="M26" s="1269"/>
      <c r="N26" s="1270"/>
      <c r="O26" s="1271"/>
      <c r="P26" s="244"/>
      <c r="Q26" s="245"/>
      <c r="R26" s="219" t="s">
        <v>427</v>
      </c>
      <c r="S26" s="246"/>
      <c r="T26" s="247"/>
      <c r="U26" s="1318">
        <v>0</v>
      </c>
      <c r="V26" s="1319"/>
      <c r="W26" s="1318">
        <v>10</v>
      </c>
      <c r="X26" s="1319"/>
      <c r="Y26" s="1318">
        <v>3</v>
      </c>
      <c r="Z26" s="1319"/>
      <c r="AA26" s="1321">
        <f>SUM($U$26:$Z$26)</f>
        <v>13</v>
      </c>
      <c r="AB26" s="1321"/>
      <c r="AC26" s="1332"/>
      <c r="AD26" s="1333"/>
      <c r="AE26" s="1333"/>
      <c r="AF26" s="1334"/>
    </row>
    <row r="27" spans="1:32" s="203" customFormat="1" ht="10.5" customHeight="1" x14ac:dyDescent="0.15">
      <c r="A27" s="219" t="s">
        <v>285</v>
      </c>
      <c r="B27" s="246"/>
      <c r="C27" s="247"/>
      <c r="D27" s="248">
        <v>0</v>
      </c>
      <c r="E27" s="248">
        <v>1</v>
      </c>
      <c r="F27" s="248">
        <v>3</v>
      </c>
      <c r="G27" s="248">
        <v>0</v>
      </c>
      <c r="H27" s="248">
        <v>0</v>
      </c>
      <c r="I27" s="248">
        <v>1</v>
      </c>
      <c r="J27" s="248">
        <v>3</v>
      </c>
      <c r="K27" s="1272">
        <f>SUM($D$27:$J$27)</f>
        <v>8</v>
      </c>
      <c r="L27" s="1273"/>
      <c r="M27" s="1269"/>
      <c r="N27" s="1270"/>
      <c r="O27" s="1271"/>
      <c r="P27" s="244"/>
      <c r="Q27" s="245"/>
      <c r="R27" s="219" t="s">
        <v>429</v>
      </c>
      <c r="S27" s="246"/>
      <c r="T27" s="247"/>
      <c r="U27" s="1318">
        <v>0</v>
      </c>
      <c r="V27" s="1319"/>
      <c r="W27" s="1318">
        <v>167</v>
      </c>
      <c r="X27" s="1319"/>
      <c r="Y27" s="1318">
        <v>142</v>
      </c>
      <c r="Z27" s="1319"/>
      <c r="AA27" s="1321">
        <f>SUM($U$27:$Z$27)</f>
        <v>309</v>
      </c>
      <c r="AB27" s="1321"/>
      <c r="AC27" s="1332"/>
      <c r="AD27" s="1333"/>
      <c r="AE27" s="1333"/>
      <c r="AF27" s="1334"/>
    </row>
    <row r="28" spans="1:32" s="203" customFormat="1" ht="10.5" customHeight="1" x14ac:dyDescent="0.15">
      <c r="A28" s="219" t="s">
        <v>287</v>
      </c>
      <c r="B28" s="246"/>
      <c r="C28" s="247"/>
      <c r="D28" s="248">
        <v>1</v>
      </c>
      <c r="E28" s="248">
        <v>2</v>
      </c>
      <c r="F28" s="248">
        <v>0</v>
      </c>
      <c r="G28" s="248">
        <v>0</v>
      </c>
      <c r="H28" s="248">
        <v>1</v>
      </c>
      <c r="I28" s="248">
        <v>0</v>
      </c>
      <c r="J28" s="248">
        <v>0</v>
      </c>
      <c r="K28" s="1272">
        <f>SUM($D$28:$J$28)</f>
        <v>4</v>
      </c>
      <c r="L28" s="1273"/>
      <c r="M28" s="1269"/>
      <c r="N28" s="1270"/>
      <c r="O28" s="1271"/>
      <c r="P28" s="244"/>
      <c r="Q28" s="245"/>
      <c r="R28" s="219" t="s">
        <v>431</v>
      </c>
      <c r="S28" s="246"/>
      <c r="T28" s="247"/>
      <c r="U28" s="1318">
        <v>0</v>
      </c>
      <c r="V28" s="1319"/>
      <c r="W28" s="1318">
        <v>72</v>
      </c>
      <c r="X28" s="1319"/>
      <c r="Y28" s="1318">
        <v>62</v>
      </c>
      <c r="Z28" s="1319"/>
      <c r="AA28" s="1321">
        <f>SUM($U$28:$Z$28)</f>
        <v>134</v>
      </c>
      <c r="AB28" s="1321"/>
      <c r="AC28" s="1332"/>
      <c r="AD28" s="1333"/>
      <c r="AE28" s="1333"/>
      <c r="AF28" s="1334"/>
    </row>
    <row r="29" spans="1:32" s="203" customFormat="1" ht="10.5" customHeight="1" thickBot="1" x14ac:dyDescent="0.2">
      <c r="A29" s="219" t="s">
        <v>289</v>
      </c>
      <c r="B29" s="246"/>
      <c r="C29" s="247"/>
      <c r="D29" s="248">
        <v>0</v>
      </c>
      <c r="E29" s="248">
        <v>0</v>
      </c>
      <c r="F29" s="248">
        <v>1</v>
      </c>
      <c r="G29" s="248">
        <v>0</v>
      </c>
      <c r="H29" s="248">
        <v>0</v>
      </c>
      <c r="I29" s="248">
        <v>0</v>
      </c>
      <c r="J29" s="248">
        <v>1</v>
      </c>
      <c r="K29" s="1272">
        <f>SUM($D$29:$J$29)</f>
        <v>2</v>
      </c>
      <c r="L29" s="1273"/>
      <c r="M29" s="1269"/>
      <c r="N29" s="1270"/>
      <c r="O29" s="1271"/>
      <c r="P29" s="244"/>
      <c r="Q29" s="245"/>
      <c r="R29" s="249" t="s">
        <v>274</v>
      </c>
      <c r="S29" s="250"/>
      <c r="T29" s="251"/>
      <c r="U29" s="1318">
        <v>0</v>
      </c>
      <c r="V29" s="1319"/>
      <c r="W29" s="1318">
        <v>10</v>
      </c>
      <c r="X29" s="1319"/>
      <c r="Y29" s="1318">
        <v>15</v>
      </c>
      <c r="Z29" s="1319"/>
      <c r="AA29" s="1335">
        <f>SUM($U$29:$Z$29)</f>
        <v>25</v>
      </c>
      <c r="AB29" s="1335"/>
      <c r="AC29" s="1323"/>
      <c r="AD29" s="1324"/>
      <c r="AE29" s="1324"/>
      <c r="AF29" s="1325"/>
    </row>
    <row r="30" spans="1:32" s="203" customFormat="1" ht="10.5" customHeight="1" thickTop="1" x14ac:dyDescent="0.15">
      <c r="A30" s="219" t="s">
        <v>291</v>
      </c>
      <c r="B30" s="246"/>
      <c r="C30" s="247"/>
      <c r="D30" s="248">
        <v>1</v>
      </c>
      <c r="E30" s="248">
        <v>0</v>
      </c>
      <c r="F30" s="248">
        <v>0</v>
      </c>
      <c r="G30" s="248">
        <v>0</v>
      </c>
      <c r="H30" s="248">
        <v>3</v>
      </c>
      <c r="I30" s="248">
        <v>0</v>
      </c>
      <c r="J30" s="248">
        <v>0</v>
      </c>
      <c r="K30" s="1272">
        <f>SUM($D$30:$J$30)</f>
        <v>4</v>
      </c>
      <c r="L30" s="1273"/>
      <c r="M30" s="1269"/>
      <c r="N30" s="1270"/>
      <c r="O30" s="1271"/>
      <c r="P30" s="244"/>
      <c r="Q30" s="245"/>
      <c r="R30" s="252" t="s">
        <v>299</v>
      </c>
      <c r="S30" s="253"/>
      <c r="T30" s="254"/>
      <c r="U30" s="1320">
        <f>SUM($U$24:$V$29)</f>
        <v>0</v>
      </c>
      <c r="V30" s="1320"/>
      <c r="W30" s="1320">
        <f>SUM($W$24:$X$29)</f>
        <v>310</v>
      </c>
      <c r="X30" s="1320"/>
      <c r="Y30" s="1320">
        <f>SUM($Y$24:$Z$29)</f>
        <v>240</v>
      </c>
      <c r="Z30" s="1320"/>
      <c r="AA30" s="1320">
        <f>SUM($U$30:$Z$30)</f>
        <v>550</v>
      </c>
      <c r="AB30" s="1320"/>
      <c r="AC30" s="1326"/>
      <c r="AD30" s="1327"/>
      <c r="AE30" s="1327"/>
      <c r="AF30" s="1328"/>
    </row>
    <row r="31" spans="1:32" s="203" customFormat="1" ht="10.5" customHeight="1" x14ac:dyDescent="0.15">
      <c r="A31" s="255" t="s">
        <v>293</v>
      </c>
      <c r="B31" s="256"/>
      <c r="C31" s="247"/>
      <c r="D31" s="248">
        <v>0</v>
      </c>
      <c r="E31" s="248">
        <v>0</v>
      </c>
      <c r="F31" s="248">
        <v>0</v>
      </c>
      <c r="G31" s="248">
        <v>1</v>
      </c>
      <c r="H31" s="248">
        <v>0</v>
      </c>
      <c r="I31" s="248">
        <v>3</v>
      </c>
      <c r="J31" s="248">
        <v>0</v>
      </c>
      <c r="K31" s="1272">
        <f>SUM($D$31:$J$31)</f>
        <v>4</v>
      </c>
      <c r="L31" s="1273"/>
      <c r="M31" s="1269"/>
      <c r="N31" s="1270"/>
      <c r="O31" s="1271"/>
      <c r="P31" s="244"/>
      <c r="Q31" s="201"/>
      <c r="R31" s="201"/>
      <c r="S31" s="201"/>
      <c r="T31" s="201"/>
      <c r="U31" s="201"/>
      <c r="V31" s="201"/>
      <c r="W31" s="201"/>
      <c r="X31" s="201"/>
      <c r="Y31" s="201"/>
      <c r="Z31" s="201"/>
      <c r="AA31" s="201"/>
      <c r="AB31" s="201"/>
      <c r="AC31" s="201"/>
      <c r="AD31" s="201"/>
      <c r="AE31" s="201"/>
      <c r="AF31" s="201"/>
    </row>
    <row r="32" spans="1:32" s="203" customFormat="1" ht="10.5" customHeight="1" thickBot="1" x14ac:dyDescent="0.2">
      <c r="A32" s="249" t="s">
        <v>274</v>
      </c>
      <c r="B32" s="250"/>
      <c r="C32" s="251"/>
      <c r="D32" s="257">
        <v>0</v>
      </c>
      <c r="E32" s="257">
        <v>1</v>
      </c>
      <c r="F32" s="257">
        <v>0</v>
      </c>
      <c r="G32" s="257">
        <v>0</v>
      </c>
      <c r="H32" s="257">
        <v>0</v>
      </c>
      <c r="I32" s="257">
        <v>0</v>
      </c>
      <c r="J32" s="257">
        <v>1</v>
      </c>
      <c r="K32" s="1274">
        <f>SUM($D$32:$J$32)</f>
        <v>2</v>
      </c>
      <c r="L32" s="1275"/>
      <c r="M32" s="1276"/>
      <c r="N32" s="1277"/>
      <c r="O32" s="1278"/>
      <c r="P32" s="244"/>
      <c r="Q32" s="201"/>
      <c r="R32" s="201"/>
      <c r="S32" s="201"/>
      <c r="T32" s="201"/>
      <c r="U32" s="201"/>
      <c r="V32" s="201"/>
      <c r="W32" s="201"/>
      <c r="X32" s="201"/>
      <c r="Y32" s="201"/>
      <c r="Z32" s="201"/>
      <c r="AA32" s="201"/>
      <c r="AB32" s="201"/>
      <c r="AC32" s="201"/>
      <c r="AD32" s="201"/>
      <c r="AE32" s="201"/>
      <c r="AF32" s="201"/>
    </row>
    <row r="33" spans="1:32" s="203" customFormat="1" ht="10.5" customHeight="1" thickTop="1" x14ac:dyDescent="0.15">
      <c r="A33" s="252" t="s">
        <v>299</v>
      </c>
      <c r="B33" s="253"/>
      <c r="C33" s="254"/>
      <c r="D33" s="258">
        <f>SUM($D$24:$D$32)</f>
        <v>5</v>
      </c>
      <c r="E33" s="258">
        <f>SUM($E$24:$E$32)</f>
        <v>5</v>
      </c>
      <c r="F33" s="258">
        <f>SUM($F$24:$F$32)</f>
        <v>4</v>
      </c>
      <c r="G33" s="258">
        <f>SUM($G$24:$G$32)</f>
        <v>4</v>
      </c>
      <c r="H33" s="258">
        <f>SUM($H$24:$H$32)</f>
        <v>5</v>
      </c>
      <c r="I33" s="258">
        <f>SUM($I$24:$I$32)</f>
        <v>6</v>
      </c>
      <c r="J33" s="258">
        <f>SUM($J$24:$J$32)</f>
        <v>6</v>
      </c>
      <c r="K33" s="1279">
        <f>SUM($D$33:$J$33)</f>
        <v>35</v>
      </c>
      <c r="L33" s="1280"/>
      <c r="M33" s="1266"/>
      <c r="N33" s="1267"/>
      <c r="O33" s="1268"/>
      <c r="P33" s="244"/>
      <c r="Q33" s="201"/>
      <c r="R33" s="201"/>
      <c r="S33" s="201"/>
      <c r="T33" s="201"/>
      <c r="U33" s="201"/>
      <c r="V33" s="201"/>
      <c r="W33" s="201"/>
      <c r="X33" s="201"/>
      <c r="Y33" s="201"/>
      <c r="Z33" s="201"/>
      <c r="AA33" s="201"/>
      <c r="AB33" s="201"/>
      <c r="AC33" s="201"/>
      <c r="AD33" s="201"/>
      <c r="AE33" s="201"/>
      <c r="AF33" s="201"/>
    </row>
    <row r="34" spans="1:32" s="203" customFormat="1" ht="3" customHeight="1" x14ac:dyDescent="0.15">
      <c r="A34" s="201"/>
      <c r="B34" s="201"/>
      <c r="C34" s="201"/>
      <c r="D34" s="201"/>
      <c r="E34" s="201"/>
      <c r="F34" s="201"/>
      <c r="G34" s="201"/>
      <c r="H34" s="201"/>
      <c r="I34" s="201"/>
      <c r="J34" s="201"/>
      <c r="K34" s="201"/>
      <c r="L34" s="201"/>
      <c r="M34" s="201"/>
      <c r="N34" s="201"/>
      <c r="O34" s="201"/>
      <c r="P34" s="202"/>
      <c r="Q34" s="201"/>
      <c r="R34" s="201"/>
      <c r="S34" s="201"/>
      <c r="T34" s="201"/>
      <c r="U34" s="201"/>
      <c r="V34" s="201"/>
      <c r="W34" s="201"/>
      <c r="X34" s="201"/>
      <c r="Y34" s="201"/>
      <c r="Z34" s="201"/>
      <c r="AA34" s="201"/>
      <c r="AB34" s="201"/>
      <c r="AC34" s="201"/>
      <c r="AD34" s="201"/>
      <c r="AE34" s="201"/>
      <c r="AF34" s="201"/>
    </row>
    <row r="35" spans="1:32" s="203" customFormat="1" ht="10.5" customHeight="1" x14ac:dyDescent="0.15">
      <c r="A35" s="201" t="s">
        <v>119</v>
      </c>
      <c r="B35" s="201"/>
      <c r="C35" s="201"/>
      <c r="D35" s="201"/>
      <c r="E35" s="201"/>
      <c r="F35" s="201"/>
      <c r="G35" s="201"/>
      <c r="H35" s="201"/>
      <c r="I35" s="201"/>
      <c r="J35" s="201"/>
      <c r="K35" s="201"/>
      <c r="L35" s="201"/>
      <c r="M35" s="201"/>
      <c r="N35" s="201"/>
      <c r="O35" s="201"/>
      <c r="P35" s="202"/>
      <c r="Q35" s="201"/>
      <c r="R35" s="201" t="s">
        <v>120</v>
      </c>
      <c r="S35" s="201"/>
      <c r="T35" s="201"/>
      <c r="U35" s="201"/>
      <c r="V35" s="201"/>
      <c r="W35" s="201"/>
      <c r="X35" s="201"/>
      <c r="Y35" s="201"/>
      <c r="Z35" s="201"/>
      <c r="AA35" s="201"/>
      <c r="AB35" s="201"/>
      <c r="AC35" s="201"/>
      <c r="AD35" s="201"/>
      <c r="AE35" s="201"/>
      <c r="AF35" s="201"/>
    </row>
    <row r="36" spans="1:32" s="201" customFormat="1" ht="15" customHeight="1" thickBot="1" x14ac:dyDescent="0.2">
      <c r="A36" s="234" t="s">
        <v>381</v>
      </c>
      <c r="B36" s="235"/>
      <c r="C36" s="236" t="s">
        <v>186</v>
      </c>
      <c r="D36" s="237" t="s">
        <v>281</v>
      </c>
      <c r="E36" s="237" t="s">
        <v>283</v>
      </c>
      <c r="F36" s="237" t="s">
        <v>253</v>
      </c>
      <c r="G36" s="237" t="s">
        <v>451</v>
      </c>
      <c r="H36" s="237" t="s">
        <v>114</v>
      </c>
      <c r="I36" s="237" t="s">
        <v>115</v>
      </c>
      <c r="J36" s="237" t="s">
        <v>292</v>
      </c>
      <c r="K36" s="1300" t="s">
        <v>299</v>
      </c>
      <c r="L36" s="1301"/>
      <c r="M36" s="1302" t="s">
        <v>116</v>
      </c>
      <c r="N36" s="1303"/>
      <c r="O36" s="1304"/>
      <c r="P36" s="238"/>
      <c r="R36" s="234" t="s">
        <v>381</v>
      </c>
      <c r="S36" s="235"/>
      <c r="T36" s="236" t="s">
        <v>186</v>
      </c>
      <c r="U36" s="1300" t="s">
        <v>451</v>
      </c>
      <c r="V36" s="1301"/>
      <c r="W36" s="1300" t="s">
        <v>288</v>
      </c>
      <c r="X36" s="1301"/>
      <c r="Y36" s="1300" t="s">
        <v>303</v>
      </c>
      <c r="Z36" s="1301"/>
      <c r="AA36" s="1322" t="s">
        <v>299</v>
      </c>
      <c r="AB36" s="1322"/>
      <c r="AC36" s="1302" t="s">
        <v>116</v>
      </c>
      <c r="AD36" s="1303"/>
      <c r="AE36" s="1303"/>
      <c r="AF36" s="1304"/>
    </row>
    <row r="37" spans="1:32" s="203" customFormat="1" ht="10.5" customHeight="1" thickTop="1" x14ac:dyDescent="0.15">
      <c r="A37" s="240" t="s">
        <v>269</v>
      </c>
      <c r="B37" s="241"/>
      <c r="C37" s="242"/>
      <c r="D37" s="243">
        <v>0</v>
      </c>
      <c r="E37" s="243">
        <v>1</v>
      </c>
      <c r="F37" s="243">
        <v>0</v>
      </c>
      <c r="G37" s="243">
        <v>0</v>
      </c>
      <c r="H37" s="243">
        <v>1</v>
      </c>
      <c r="I37" s="243">
        <v>0</v>
      </c>
      <c r="J37" s="243">
        <v>0</v>
      </c>
      <c r="K37" s="1290">
        <f>SUM($D$37:$J$37)</f>
        <v>2</v>
      </c>
      <c r="L37" s="1291"/>
      <c r="M37" s="1292"/>
      <c r="N37" s="1293"/>
      <c r="O37" s="1294"/>
      <c r="P37" s="244"/>
      <c r="Q37" s="201"/>
      <c r="R37" s="240" t="s">
        <v>121</v>
      </c>
      <c r="S37" s="241"/>
      <c r="T37" s="242"/>
      <c r="U37" s="1316">
        <v>0</v>
      </c>
      <c r="V37" s="1317"/>
      <c r="W37" s="1316">
        <v>45</v>
      </c>
      <c r="X37" s="1317"/>
      <c r="Y37" s="1316">
        <v>16</v>
      </c>
      <c r="Z37" s="1317"/>
      <c r="AA37" s="1299">
        <f>SUM($U$37:$Z$37)</f>
        <v>61</v>
      </c>
      <c r="AB37" s="1299"/>
      <c r="AC37" s="1329"/>
      <c r="AD37" s="1330"/>
      <c r="AE37" s="1330"/>
      <c r="AF37" s="1331"/>
    </row>
    <row r="38" spans="1:32" s="203" customFormat="1" ht="10.5" customHeight="1" x14ac:dyDescent="0.15">
      <c r="A38" s="219" t="s">
        <v>271</v>
      </c>
      <c r="B38" s="246"/>
      <c r="C38" s="247"/>
      <c r="D38" s="248">
        <v>1</v>
      </c>
      <c r="E38" s="248">
        <v>0</v>
      </c>
      <c r="F38" s="248">
        <v>3</v>
      </c>
      <c r="G38" s="248">
        <v>1</v>
      </c>
      <c r="H38" s="248">
        <v>0</v>
      </c>
      <c r="I38" s="248">
        <v>1</v>
      </c>
      <c r="J38" s="248">
        <v>0</v>
      </c>
      <c r="K38" s="1272">
        <f>SUM($D$38:$J$38)</f>
        <v>6</v>
      </c>
      <c r="L38" s="1273"/>
      <c r="M38" s="1269"/>
      <c r="N38" s="1270"/>
      <c r="O38" s="1271"/>
      <c r="P38" s="244"/>
      <c r="Q38" s="201"/>
      <c r="R38" s="219" t="s">
        <v>122</v>
      </c>
      <c r="S38" s="246"/>
      <c r="T38" s="247"/>
      <c r="U38" s="1318">
        <v>0</v>
      </c>
      <c r="V38" s="1319"/>
      <c r="W38" s="1318">
        <v>12</v>
      </c>
      <c r="X38" s="1319"/>
      <c r="Y38" s="1318">
        <v>18</v>
      </c>
      <c r="Z38" s="1319"/>
      <c r="AA38" s="1321">
        <f>SUM($U$38:$Z$38)</f>
        <v>30</v>
      </c>
      <c r="AB38" s="1321"/>
      <c r="AC38" s="1332"/>
      <c r="AD38" s="1333"/>
      <c r="AE38" s="1333"/>
      <c r="AF38" s="1334"/>
    </row>
    <row r="39" spans="1:32" s="203" customFormat="1" ht="10.5" customHeight="1" x14ac:dyDescent="0.15">
      <c r="A39" s="219" t="s">
        <v>273</v>
      </c>
      <c r="B39" s="246"/>
      <c r="C39" s="247"/>
      <c r="D39" s="248">
        <v>0</v>
      </c>
      <c r="E39" s="248">
        <v>1</v>
      </c>
      <c r="F39" s="248">
        <v>0</v>
      </c>
      <c r="G39" s="248">
        <v>0</v>
      </c>
      <c r="H39" s="248">
        <v>0</v>
      </c>
      <c r="I39" s="248">
        <v>0</v>
      </c>
      <c r="J39" s="248">
        <v>1</v>
      </c>
      <c r="K39" s="1272">
        <f>SUM($D$39:$J$39)</f>
        <v>2</v>
      </c>
      <c r="L39" s="1273"/>
      <c r="M39" s="1269"/>
      <c r="N39" s="1270"/>
      <c r="O39" s="1271"/>
      <c r="P39" s="244"/>
      <c r="Q39" s="201"/>
      <c r="R39" s="219" t="s">
        <v>123</v>
      </c>
      <c r="S39" s="246"/>
      <c r="T39" s="247"/>
      <c r="U39" s="1318">
        <v>0</v>
      </c>
      <c r="V39" s="1319"/>
      <c r="W39" s="1318">
        <v>19</v>
      </c>
      <c r="X39" s="1319"/>
      <c r="Y39" s="1318">
        <v>14</v>
      </c>
      <c r="Z39" s="1319"/>
      <c r="AA39" s="1321">
        <f>SUM($U$39:$Z$39)</f>
        <v>33</v>
      </c>
      <c r="AB39" s="1321"/>
      <c r="AC39" s="1332"/>
      <c r="AD39" s="1333"/>
      <c r="AE39" s="1333"/>
      <c r="AF39" s="1334"/>
    </row>
    <row r="40" spans="1:32" s="203" customFormat="1" ht="10.5" customHeight="1" x14ac:dyDescent="0.15">
      <c r="A40" s="219" t="s">
        <v>275</v>
      </c>
      <c r="B40" s="246"/>
      <c r="C40" s="247"/>
      <c r="D40" s="248">
        <v>2</v>
      </c>
      <c r="E40" s="248">
        <v>0</v>
      </c>
      <c r="F40" s="248">
        <v>0</v>
      </c>
      <c r="G40" s="248">
        <v>0</v>
      </c>
      <c r="H40" s="248">
        <v>1</v>
      </c>
      <c r="I40" s="248">
        <v>0</v>
      </c>
      <c r="J40" s="248">
        <v>0</v>
      </c>
      <c r="K40" s="1272">
        <f>SUM($D$40:$J$40)</f>
        <v>3</v>
      </c>
      <c r="L40" s="1273"/>
      <c r="M40" s="1269"/>
      <c r="N40" s="1270"/>
      <c r="O40" s="1271"/>
      <c r="P40" s="244"/>
      <c r="Q40" s="201"/>
      <c r="R40" s="219" t="s">
        <v>124</v>
      </c>
      <c r="S40" s="246"/>
      <c r="T40" s="247"/>
      <c r="U40" s="1318">
        <v>0</v>
      </c>
      <c r="V40" s="1319"/>
      <c r="W40" s="1318">
        <v>56</v>
      </c>
      <c r="X40" s="1319"/>
      <c r="Y40" s="1318">
        <v>19</v>
      </c>
      <c r="Z40" s="1319"/>
      <c r="AA40" s="1321">
        <f>SUM($U$40:$Z$40)</f>
        <v>75</v>
      </c>
      <c r="AB40" s="1321"/>
      <c r="AC40" s="1332"/>
      <c r="AD40" s="1333"/>
      <c r="AE40" s="1333"/>
      <c r="AF40" s="1334"/>
    </row>
    <row r="41" spans="1:32" s="203" customFormat="1" ht="10.5" customHeight="1" x14ac:dyDescent="0.15">
      <c r="A41" s="219" t="s">
        <v>276</v>
      </c>
      <c r="B41" s="246"/>
      <c r="C41" s="247"/>
      <c r="D41" s="248">
        <v>0</v>
      </c>
      <c r="E41" s="248">
        <v>3</v>
      </c>
      <c r="F41" s="248">
        <v>1</v>
      </c>
      <c r="G41" s="248">
        <v>1</v>
      </c>
      <c r="H41" s="248">
        <v>0</v>
      </c>
      <c r="I41" s="248">
        <v>1</v>
      </c>
      <c r="J41" s="248">
        <v>0</v>
      </c>
      <c r="K41" s="1272">
        <f>SUM($D$41:$J$41)</f>
        <v>6</v>
      </c>
      <c r="L41" s="1273"/>
      <c r="M41" s="1269"/>
      <c r="N41" s="1270"/>
      <c r="O41" s="1271"/>
      <c r="P41" s="244"/>
      <c r="Q41" s="201"/>
      <c r="R41" s="219" t="s">
        <v>125</v>
      </c>
      <c r="S41" s="246"/>
      <c r="T41" s="247"/>
      <c r="U41" s="1318">
        <v>0</v>
      </c>
      <c r="V41" s="1319"/>
      <c r="W41" s="1318">
        <v>174</v>
      </c>
      <c r="X41" s="1319"/>
      <c r="Y41" s="1318">
        <v>149</v>
      </c>
      <c r="Z41" s="1319"/>
      <c r="AA41" s="1321">
        <f>SUM($U$41:$Z$41)</f>
        <v>323</v>
      </c>
      <c r="AB41" s="1321"/>
      <c r="AC41" s="1332"/>
      <c r="AD41" s="1333"/>
      <c r="AE41" s="1333"/>
      <c r="AF41" s="1334"/>
    </row>
    <row r="42" spans="1:32" s="203" customFormat="1" ht="10.5" customHeight="1" thickBot="1" x14ac:dyDescent="0.2">
      <c r="A42" s="219" t="s">
        <v>277</v>
      </c>
      <c r="B42" s="246"/>
      <c r="C42" s="247"/>
      <c r="D42" s="248">
        <v>0</v>
      </c>
      <c r="E42" s="248">
        <v>0</v>
      </c>
      <c r="F42" s="248">
        <v>0</v>
      </c>
      <c r="G42" s="248">
        <v>0</v>
      </c>
      <c r="H42" s="248">
        <v>0</v>
      </c>
      <c r="I42" s="248">
        <v>0</v>
      </c>
      <c r="J42" s="248">
        <v>1</v>
      </c>
      <c r="K42" s="1272">
        <f>SUM($D$42:$J$42)</f>
        <v>1</v>
      </c>
      <c r="L42" s="1273"/>
      <c r="M42" s="1269"/>
      <c r="N42" s="1270"/>
      <c r="O42" s="1271"/>
      <c r="P42" s="244"/>
      <c r="Q42" s="201"/>
      <c r="R42" s="249" t="s">
        <v>274</v>
      </c>
      <c r="S42" s="250"/>
      <c r="T42" s="251"/>
      <c r="U42" s="1318">
        <v>0</v>
      </c>
      <c r="V42" s="1319"/>
      <c r="W42" s="1318">
        <v>4</v>
      </c>
      <c r="X42" s="1319"/>
      <c r="Y42" s="1318">
        <v>24</v>
      </c>
      <c r="Z42" s="1319"/>
      <c r="AA42" s="1335">
        <f>SUM($U$42:$Z$42)</f>
        <v>28</v>
      </c>
      <c r="AB42" s="1335"/>
      <c r="AC42" s="1323"/>
      <c r="AD42" s="1324"/>
      <c r="AE42" s="1324"/>
      <c r="AF42" s="1325"/>
    </row>
    <row r="43" spans="1:32" s="203" customFormat="1" ht="10.5" customHeight="1" thickTop="1" x14ac:dyDescent="0.15">
      <c r="A43" s="219" t="s">
        <v>278</v>
      </c>
      <c r="B43" s="246"/>
      <c r="C43" s="247"/>
      <c r="D43" s="248">
        <v>1</v>
      </c>
      <c r="E43" s="248">
        <v>0</v>
      </c>
      <c r="F43" s="248">
        <v>1</v>
      </c>
      <c r="G43" s="248">
        <v>0</v>
      </c>
      <c r="H43" s="248">
        <v>0</v>
      </c>
      <c r="I43" s="248">
        <v>0</v>
      </c>
      <c r="J43" s="248">
        <v>0</v>
      </c>
      <c r="K43" s="1272">
        <f>SUM($D$43:$J$43)</f>
        <v>2</v>
      </c>
      <c r="L43" s="1273"/>
      <c r="M43" s="1269"/>
      <c r="N43" s="1270"/>
      <c r="O43" s="1271"/>
      <c r="P43" s="244"/>
      <c r="R43" s="252" t="s">
        <v>299</v>
      </c>
      <c r="S43" s="253"/>
      <c r="T43" s="254"/>
      <c r="U43" s="1320">
        <f>SUM($U$37:$V$42)</f>
        <v>0</v>
      </c>
      <c r="V43" s="1320"/>
      <c r="W43" s="1320">
        <f>SUM($W$37:$X$42)</f>
        <v>310</v>
      </c>
      <c r="X43" s="1320"/>
      <c r="Y43" s="1320">
        <f>SUM($Y$37:$Z$42)</f>
        <v>240</v>
      </c>
      <c r="Z43" s="1320"/>
      <c r="AA43" s="1320">
        <f>SUM($U$43:$Z$43)</f>
        <v>550</v>
      </c>
      <c r="AB43" s="1320"/>
      <c r="AC43" s="1326"/>
      <c r="AD43" s="1327"/>
      <c r="AE43" s="1327"/>
      <c r="AF43" s="1328"/>
    </row>
    <row r="44" spans="1:32" s="203" customFormat="1" ht="10.5" customHeight="1" x14ac:dyDescent="0.15">
      <c r="A44" s="255" t="s">
        <v>279</v>
      </c>
      <c r="B44" s="256"/>
      <c r="C44" s="247"/>
      <c r="D44" s="248">
        <v>0</v>
      </c>
      <c r="E44" s="248">
        <v>0</v>
      </c>
      <c r="F44" s="248">
        <v>0</v>
      </c>
      <c r="G44" s="248">
        <v>1</v>
      </c>
      <c r="H44" s="248">
        <v>1</v>
      </c>
      <c r="I44" s="248">
        <v>0</v>
      </c>
      <c r="J44" s="248">
        <v>1</v>
      </c>
      <c r="K44" s="1272">
        <f>SUM($D$44:$J$44)</f>
        <v>3</v>
      </c>
      <c r="L44" s="1273"/>
      <c r="M44" s="1269"/>
      <c r="N44" s="1270"/>
      <c r="O44" s="1271"/>
      <c r="P44" s="244"/>
    </row>
    <row r="45" spans="1:32" s="203" customFormat="1" ht="10.5" customHeight="1" thickBot="1" x14ac:dyDescent="0.2">
      <c r="A45" s="249" t="s">
        <v>274</v>
      </c>
      <c r="B45" s="250"/>
      <c r="C45" s="251"/>
      <c r="D45" s="257">
        <v>0</v>
      </c>
      <c r="E45" s="257">
        <v>1</v>
      </c>
      <c r="F45" s="257">
        <v>0</v>
      </c>
      <c r="G45" s="257">
        <v>0</v>
      </c>
      <c r="H45" s="257">
        <v>0</v>
      </c>
      <c r="I45" s="257">
        <v>0</v>
      </c>
      <c r="J45" s="257">
        <v>0</v>
      </c>
      <c r="K45" s="1274">
        <f>SUM($D$45:$J$45)</f>
        <v>1</v>
      </c>
      <c r="L45" s="1275"/>
      <c r="M45" s="1276"/>
      <c r="N45" s="1277"/>
      <c r="O45" s="1278"/>
      <c r="P45" s="244"/>
    </row>
    <row r="46" spans="1:32" s="203" customFormat="1" ht="10.5" customHeight="1" thickTop="1" x14ac:dyDescent="0.15">
      <c r="A46" s="252" t="s">
        <v>299</v>
      </c>
      <c r="B46" s="253"/>
      <c r="C46" s="254"/>
      <c r="D46" s="258">
        <f>SUM($D$37:$D$45)</f>
        <v>4</v>
      </c>
      <c r="E46" s="258">
        <f>SUM($E$37:$E$45)</f>
        <v>6</v>
      </c>
      <c r="F46" s="258">
        <f>SUM($F$37:$F$45)</f>
        <v>5</v>
      </c>
      <c r="G46" s="258">
        <f>SUM($G$37:$G$45)</f>
        <v>3</v>
      </c>
      <c r="H46" s="258">
        <f>SUM($H$37:$H$45)</f>
        <v>3</v>
      </c>
      <c r="I46" s="258">
        <f>SUM($I$37:$I$45)</f>
        <v>2</v>
      </c>
      <c r="J46" s="258">
        <f>SUM($J$37:$J$45)</f>
        <v>3</v>
      </c>
      <c r="K46" s="1279">
        <f>SUM($D$46:$J$46)</f>
        <v>26</v>
      </c>
      <c r="L46" s="1280"/>
      <c r="M46" s="1266"/>
      <c r="N46" s="1267"/>
      <c r="O46" s="1268"/>
      <c r="P46" s="244"/>
    </row>
    <row r="47" spans="1:32" s="203" customFormat="1" ht="6" customHeight="1" x14ac:dyDescent="0.15">
      <c r="A47" s="201"/>
      <c r="B47" s="201"/>
      <c r="C47" s="201"/>
      <c r="D47" s="201"/>
      <c r="E47" s="201"/>
      <c r="F47" s="201"/>
      <c r="G47" s="201"/>
      <c r="H47" s="201"/>
      <c r="I47" s="201"/>
      <c r="J47" s="201"/>
      <c r="K47" s="201"/>
      <c r="L47" s="201"/>
      <c r="M47" s="201"/>
      <c r="N47" s="201"/>
      <c r="O47" s="201"/>
      <c r="P47" s="202"/>
    </row>
    <row r="48" spans="1:32" s="203" customFormat="1" ht="10.5" customHeight="1" x14ac:dyDescent="0.15">
      <c r="P48" s="202"/>
    </row>
    <row r="49" spans="16:16" s="203" customFormat="1" ht="10.5" customHeight="1" x14ac:dyDescent="0.15">
      <c r="P49" s="202"/>
    </row>
    <row r="50" spans="16:16" s="203" customFormat="1" ht="10.5" customHeight="1" x14ac:dyDescent="0.15">
      <c r="P50" s="202"/>
    </row>
    <row r="51" spans="16:16" s="203" customFormat="1" ht="10.5" customHeight="1" x14ac:dyDescent="0.15">
      <c r="P51" s="202"/>
    </row>
    <row r="52" spans="16:16" s="203" customFormat="1" ht="10.5" customHeight="1" x14ac:dyDescent="0.15">
      <c r="P52" s="202"/>
    </row>
    <row r="53" spans="16:16" s="203" customFormat="1" ht="10.5" customHeight="1" x14ac:dyDescent="0.15">
      <c r="P53" s="202"/>
    </row>
    <row r="54" spans="16:16" s="203" customFormat="1" ht="10.5" customHeight="1" x14ac:dyDescent="0.15">
      <c r="P54" s="202"/>
    </row>
    <row r="55" spans="16:16" s="203" customFormat="1" ht="10.5" customHeight="1" x14ac:dyDescent="0.15">
      <c r="P55" s="202"/>
    </row>
    <row r="56" spans="16:16" s="203" customFormat="1" ht="10.5" customHeight="1" x14ac:dyDescent="0.15">
      <c r="P56" s="202"/>
    </row>
    <row r="57" spans="16:16" s="203" customFormat="1" ht="10.5" customHeight="1" x14ac:dyDescent="0.15">
      <c r="P57" s="202"/>
    </row>
    <row r="58" spans="16:16" s="203" customFormat="1" ht="10.5" customHeight="1" x14ac:dyDescent="0.15">
      <c r="P58" s="202"/>
    </row>
    <row r="59" spans="16:16" s="203" customFormat="1" ht="10.5" customHeight="1" x14ac:dyDescent="0.15">
      <c r="P59" s="202"/>
    </row>
    <row r="60" spans="16:16" s="203" customFormat="1" ht="10.5" customHeight="1" x14ac:dyDescent="0.15">
      <c r="P60" s="202"/>
    </row>
    <row r="61" spans="16:16" s="203" customFormat="1" ht="10.5" customHeight="1" x14ac:dyDescent="0.15">
      <c r="P61" s="202"/>
    </row>
    <row r="62" spans="16:16" s="203" customFormat="1" ht="10.5" customHeight="1" x14ac:dyDescent="0.15">
      <c r="P62" s="202"/>
    </row>
    <row r="63" spans="16:16" s="203" customFormat="1" ht="10.5" customHeight="1" x14ac:dyDescent="0.15">
      <c r="P63" s="202"/>
    </row>
    <row r="64" spans="16:16" ht="6" customHeight="1" x14ac:dyDescent="0.15"/>
  </sheetData>
  <mergeCells count="192">
    <mergeCell ref="Y17:Z17"/>
    <mergeCell ref="AE17:AF17"/>
    <mergeCell ref="AC23:AF23"/>
    <mergeCell ref="AC24:AF24"/>
    <mergeCell ref="AC25:AF25"/>
    <mergeCell ref="AC36:AF36"/>
    <mergeCell ref="AC26:AF26"/>
    <mergeCell ref="AC27:AF27"/>
    <mergeCell ref="AC28:AF28"/>
    <mergeCell ref="AC29:AF29"/>
    <mergeCell ref="AC30:AF30"/>
    <mergeCell ref="AA29:AB29"/>
    <mergeCell ref="AA28:AB28"/>
    <mergeCell ref="AA36:AB36"/>
    <mergeCell ref="AA30:AB30"/>
    <mergeCell ref="Y36:Z36"/>
    <mergeCell ref="AC42:AF42"/>
    <mergeCell ref="AC43:AF43"/>
    <mergeCell ref="AC37:AF37"/>
    <mergeCell ref="AC38:AF38"/>
    <mergeCell ref="AC39:AF39"/>
    <mergeCell ref="AC40:AF40"/>
    <mergeCell ref="AC41:AF41"/>
    <mergeCell ref="Y38:Z38"/>
    <mergeCell ref="U39:V39"/>
    <mergeCell ref="W39:X39"/>
    <mergeCell ref="Y39:Z39"/>
    <mergeCell ref="U38:V38"/>
    <mergeCell ref="W38:X38"/>
    <mergeCell ref="AA42:AB42"/>
    <mergeCell ref="U43:V43"/>
    <mergeCell ref="W43:X43"/>
    <mergeCell ref="Y43:Z43"/>
    <mergeCell ref="AA43:AB43"/>
    <mergeCell ref="U42:V42"/>
    <mergeCell ref="W42:X42"/>
    <mergeCell ref="Y42:Z42"/>
    <mergeCell ref="AA40:AB40"/>
    <mergeCell ref="AA41:AB41"/>
    <mergeCell ref="AA38:AB38"/>
    <mergeCell ref="AA39:AB39"/>
    <mergeCell ref="U40:V40"/>
    <mergeCell ref="W40:X40"/>
    <mergeCell ref="Y40:Z40"/>
    <mergeCell ref="U41:V41"/>
    <mergeCell ref="W41:X41"/>
    <mergeCell ref="Y41:Z41"/>
    <mergeCell ref="AA23:AB23"/>
    <mergeCell ref="AA24:AB24"/>
    <mergeCell ref="AA25:AB25"/>
    <mergeCell ref="AA26:AB26"/>
    <mergeCell ref="Y27:Z27"/>
    <mergeCell ref="U28:V28"/>
    <mergeCell ref="AA27:AB27"/>
    <mergeCell ref="Y28:Z28"/>
    <mergeCell ref="Y26:Z26"/>
    <mergeCell ref="U25:V25"/>
    <mergeCell ref="Y25:Z25"/>
    <mergeCell ref="U26:V26"/>
    <mergeCell ref="Y23:Z23"/>
    <mergeCell ref="U24:V24"/>
    <mergeCell ref="W24:X24"/>
    <mergeCell ref="Y24:Z24"/>
    <mergeCell ref="U23:V23"/>
    <mergeCell ref="U27:V27"/>
    <mergeCell ref="W27:X27"/>
    <mergeCell ref="W30:X30"/>
    <mergeCell ref="M27:O27"/>
    <mergeCell ref="M28:O28"/>
    <mergeCell ref="W25:X25"/>
    <mergeCell ref="M26:O26"/>
    <mergeCell ref="W26:X26"/>
    <mergeCell ref="W28:X28"/>
    <mergeCell ref="U37:V37"/>
    <mergeCell ref="W37:X37"/>
    <mergeCell ref="M29:O29"/>
    <mergeCell ref="W29:X29"/>
    <mergeCell ref="M32:O32"/>
    <mergeCell ref="M33:O33"/>
    <mergeCell ref="M36:O36"/>
    <mergeCell ref="Y29:Z29"/>
    <mergeCell ref="Y30:Z30"/>
    <mergeCell ref="U30:V30"/>
    <mergeCell ref="Y37:Z37"/>
    <mergeCell ref="M30:O30"/>
    <mergeCell ref="U29:V29"/>
    <mergeCell ref="H16:I16"/>
    <mergeCell ref="K38:L38"/>
    <mergeCell ref="K26:L26"/>
    <mergeCell ref="H17:I17"/>
    <mergeCell ref="H20:I20"/>
    <mergeCell ref="K27:L27"/>
    <mergeCell ref="K28:L28"/>
    <mergeCell ref="K29:L29"/>
    <mergeCell ref="K23:L23"/>
    <mergeCell ref="K36:L36"/>
    <mergeCell ref="H18:I18"/>
    <mergeCell ref="H19:I19"/>
    <mergeCell ref="K30:L30"/>
    <mergeCell ref="V12:Z12"/>
    <mergeCell ref="AB12:AF12"/>
    <mergeCell ref="AE13:AF13"/>
    <mergeCell ref="Y13:Z13"/>
    <mergeCell ref="H14:I14"/>
    <mergeCell ref="H15:I15"/>
    <mergeCell ref="A12:B13"/>
    <mergeCell ref="E12:I12"/>
    <mergeCell ref="H13:I13"/>
    <mergeCell ref="N13:O13"/>
    <mergeCell ref="K12:O12"/>
    <mergeCell ref="R12:S13"/>
    <mergeCell ref="K41:L41"/>
    <mergeCell ref="M41:O41"/>
    <mergeCell ref="K39:L39"/>
    <mergeCell ref="K40:L40"/>
    <mergeCell ref="M38:O38"/>
    <mergeCell ref="M39:O39"/>
    <mergeCell ref="AE16:AF16"/>
    <mergeCell ref="Y16:Z16"/>
    <mergeCell ref="N14:O14"/>
    <mergeCell ref="N15:O15"/>
    <mergeCell ref="N16:O16"/>
    <mergeCell ref="Y14:Z14"/>
    <mergeCell ref="Y15:Z15"/>
    <mergeCell ref="AE14:AF14"/>
    <mergeCell ref="AE15:AF15"/>
    <mergeCell ref="AA37:AB37"/>
    <mergeCell ref="U36:V36"/>
    <mergeCell ref="M23:O23"/>
    <mergeCell ref="N17:O17"/>
    <mergeCell ref="N18:O18"/>
    <mergeCell ref="N19:O19"/>
    <mergeCell ref="N20:O20"/>
    <mergeCell ref="W23:X23"/>
    <mergeCell ref="W36:X36"/>
    <mergeCell ref="M46:O46"/>
    <mergeCell ref="M43:O43"/>
    <mergeCell ref="K44:L44"/>
    <mergeCell ref="M44:O44"/>
    <mergeCell ref="K45:L45"/>
    <mergeCell ref="M45:O45"/>
    <mergeCell ref="K43:L43"/>
    <mergeCell ref="K46:L46"/>
    <mergeCell ref="A1:E5"/>
    <mergeCell ref="F1:N5"/>
    <mergeCell ref="O1:Q1"/>
    <mergeCell ref="K42:L42"/>
    <mergeCell ref="M42:O42"/>
    <mergeCell ref="K24:L24"/>
    <mergeCell ref="M24:O24"/>
    <mergeCell ref="K25:L25"/>
    <mergeCell ref="M25:O25"/>
    <mergeCell ref="K33:L33"/>
    <mergeCell ref="K31:L31"/>
    <mergeCell ref="M31:O31"/>
    <mergeCell ref="K32:L32"/>
    <mergeCell ref="K37:L37"/>
    <mergeCell ref="M37:O37"/>
    <mergeCell ref="M40:O40"/>
    <mergeCell ref="R1:T1"/>
    <mergeCell ref="O3:Q7"/>
    <mergeCell ref="R3:T7"/>
    <mergeCell ref="A6:G6"/>
    <mergeCell ref="H6:N6"/>
    <mergeCell ref="A7:G7"/>
    <mergeCell ref="H7:N7"/>
    <mergeCell ref="U1:W1"/>
    <mergeCell ref="X1:AF1"/>
    <mergeCell ref="AA2:AC2"/>
    <mergeCell ref="AD2:AF2"/>
    <mergeCell ref="O2:Q2"/>
    <mergeCell ref="R2:T2"/>
    <mergeCell ref="U2:W2"/>
    <mergeCell ref="X2:Z2"/>
    <mergeCell ref="U3:W7"/>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&amp;C&amp;P／&amp;N&amp;R（様式2014.03）</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BA186DEF562B041A7F34BFFF1C1F03E" ma:contentTypeVersion="5" ma:contentTypeDescription="新しいドキュメントを作成します。" ma:contentTypeScope="" ma:versionID="d42deae5b85fa2260d62701dee602a38">
  <xsd:schema xmlns:xsd="http://www.w3.org/2001/XMLSchema" xmlns:xs="http://www.w3.org/2001/XMLSchema" xmlns:p="http://schemas.microsoft.com/office/2006/metadata/properties" xmlns:ns2="13831506-a54c-44b6-81ec-db683ac6e124" targetNamespace="http://schemas.microsoft.com/office/2006/metadata/properties" ma:root="true" ma:fieldsID="9e21faa8a3877d8c83684b14ccfbcef2" ns2:_="">
    <xsd:import namespace="13831506-a54c-44b6-81ec-db683ac6e12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831506-a54c-44b6-81ec-db683ac6e1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コンテンツ タイプ"/>
        <xsd:element ref="dc:title" minOccurs="0" maxOccurs="1" ma:index="3"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3462D77-AAE2-4A2A-A50C-0D7C9AC159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831506-a54c-44b6-81ec-db683ac6e1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87EBE3-A0EE-4018-939C-A25C512E61C7}">
  <ds:schemaRefs>
    <ds:schemaRef ds:uri="http://schemas.microsoft.com/sharepoint/v3/contenttype/forms"/>
  </ds:schemaRefs>
</ds:datastoreItem>
</file>

<file path=customXml/itemProps3.xml><?xml version="1.0" encoding="utf-8"?>
<ds:datastoreItem xmlns:ds="http://schemas.openxmlformats.org/officeDocument/2006/customXml" ds:itemID="{DD5F2043-444C-499A-AE43-E9C6115E6F30}">
  <ds:schemaRef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13831506-a54c-44b6-81ec-db683ac6e124"/>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18</vt:i4>
      </vt:variant>
    </vt:vector>
  </HeadingPairs>
  <TitlesOfParts>
    <vt:vector size="41" baseType="lpstr">
      <vt:lpstr>目次</vt:lpstr>
      <vt:lpstr>品質基準管理票（定量的観点）</vt:lpstr>
      <vt:lpstr>品質基準管理票（定性的観点）</vt:lpstr>
      <vt:lpstr>レビューチェックリスト</vt:lpstr>
      <vt:lpstr>レビュー指摘表</vt:lpstr>
      <vt:lpstr>レビュー状況管理表（統一）</vt:lpstr>
      <vt:lpstr>レビュー状況管理表（チームレビュー）</vt:lpstr>
      <vt:lpstr>レビュー状況管理表（プロジェクトレビュー）</vt:lpstr>
      <vt:lpstr>レビュー状況管理表（顧客レビュー）</vt:lpstr>
      <vt:lpstr>設計書指摘分析図（サマリ）</vt:lpstr>
      <vt:lpstr>設計書指摘分析図（指摘現象-指摘原因）</vt:lpstr>
      <vt:lpstr>設計書指摘分析図（指摘現象-混入工程）</vt:lpstr>
      <vt:lpstr>設計書指摘分析図（混入工程-指摘原因）</vt:lpstr>
      <vt:lpstr>不具合管理票</vt:lpstr>
      <vt:lpstr>不具合管理</vt:lpstr>
      <vt:lpstr>テスト状況管理表</vt:lpstr>
      <vt:lpstr>テスト詳細管理表</vt:lpstr>
      <vt:lpstr>テストエラー分析図（サマリ）</vt:lpstr>
      <vt:lpstr>テストエラー分析図（エラー現象‐エラー原因）</vt:lpstr>
      <vt:lpstr>テストエラー分析図（エラー現象‐摘出すべき工程）</vt:lpstr>
      <vt:lpstr>テストエラー分析図（摘出すべき工程‐エラー原因）</vt:lpstr>
      <vt:lpstr>テストエラー分析図（混入工程-混入要因）</vt:lpstr>
      <vt:lpstr>品質管理（分析サマリ）</vt:lpstr>
      <vt:lpstr>'テストエラー分析図（エラー現象‐エラー原因）'!Print_Titles</vt:lpstr>
      <vt:lpstr>'テストエラー分析図（エラー現象‐摘出すべき工程）'!Print_Titles</vt:lpstr>
      <vt:lpstr>'テストエラー分析図（摘出すべき工程‐エラー原因）'!Print_Titles</vt:lpstr>
      <vt:lpstr>テスト詳細管理表!Print_Titles</vt:lpstr>
      <vt:lpstr>レビューチェックリスト!Print_Titles</vt:lpstr>
      <vt:lpstr>レビュー指摘表!Print_Titles</vt:lpstr>
      <vt:lpstr>'レビュー状況管理表（チームレビュー）'!Print_Titles</vt:lpstr>
      <vt:lpstr>'レビュー状況管理表（プロジェクトレビュー）'!Print_Titles</vt:lpstr>
      <vt:lpstr>'レビュー状況管理表（顧客レビュー）'!Print_Titles</vt:lpstr>
      <vt:lpstr>'レビュー状況管理表（統一）'!Print_Titles</vt:lpstr>
      <vt:lpstr>'設計書指摘分析図（サマリ）'!Print_Titles</vt:lpstr>
      <vt:lpstr>'設計書指摘分析図（混入工程-指摘原因）'!Print_Titles</vt:lpstr>
      <vt:lpstr>'設計書指摘分析図（指摘現象-混入工程）'!Print_Titles</vt:lpstr>
      <vt:lpstr>'設計書指摘分析図（指摘現象-指摘原因）'!Print_Titles</vt:lpstr>
      <vt:lpstr>'品質管理（分析サマリ）'!Print_Titles</vt:lpstr>
      <vt:lpstr>'品質基準管理票（定性的観点）'!Print_Titles</vt:lpstr>
      <vt:lpstr>'品質基準管理票（定量的観点）'!Print_Titles</vt:lpstr>
      <vt:lpstr>不具合管理!Print_Titles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tM83275</dc:creator>
  <cp:lastModifiedBy>長田 昇-MSYS</cp:lastModifiedBy>
  <cp:lastPrinted>2017-03-29T01:45:56Z</cp:lastPrinted>
  <dcterms:created xsi:type="dcterms:W3CDTF">2010-03-11T07:22:40Z</dcterms:created>
  <dcterms:modified xsi:type="dcterms:W3CDTF">2019-04-14T08:39:38Z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0x010100FBA186DEF562B041A7F34BFFF1C1F03E</vt:lpwstr>
  </property>
</Properties>
</file>