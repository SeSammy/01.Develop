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defaultThemeVersion="124226"/>
  <mc:AlternateContent xmlns:mc="http://schemas.openxmlformats.org/markup-compatibility/2006">
    <mc:Choice Requires="x15">
      <x15ac:absPath xmlns:x15ac="http://schemas.microsoft.com/office/spreadsheetml/2010/11/ac" url="\\tam-fs01\project\SMFG更改2020\300_基本設計\02_IVR更改\10_基本設計書\AEP\"/>
    </mc:Choice>
  </mc:AlternateContent>
  <xr:revisionPtr revIDLastSave="0" documentId="13_ncr:1_{E9686C43-0EB8-41A4-9291-7436D7060F62}" xr6:coauthVersionLast="41" xr6:coauthVersionMax="41" xr10:uidLastSave="{00000000-0000-0000-0000-000000000000}"/>
  <bookViews>
    <workbookView xWindow="-120" yWindow="-120" windowWidth="20730" windowHeight="11160" activeTab="3" xr2:uid="{00000000-000D-0000-FFFF-FFFF00000000}"/>
  </bookViews>
  <sheets>
    <sheet name="表紙" sheetId="8" r:id="rId1"/>
    <sheet name="目次" sheetId="5" r:id="rId2"/>
    <sheet name="更新履歴" sheetId="6" r:id="rId3"/>
    <sheet name="1. 本番環境" sheetId="1" r:id="rId4"/>
    <sheet name="2. 研修環境" sheetId="2" r:id="rId5"/>
    <sheet name="3. 開発環境" sheetId="3" r:id="rId6"/>
  </sheets>
  <definedNames>
    <definedName name="KK" localSheetId="0">#REF!</definedName>
    <definedName name="KK">#REF!</definedName>
    <definedName name="_xlnm.Print_Area" localSheetId="3">'1. 本番環境'!$A$1:$CE$737</definedName>
    <definedName name="_xlnm.Print_Area" localSheetId="4">'2. 研修環境'!$A$1:$CE$589</definedName>
    <definedName name="_xlnm.Print_Area" localSheetId="5">'3. 開発環境'!$A$1:$CE$585</definedName>
    <definedName name="_xlnm.Print_Area" localSheetId="2">更新履歴!$A$1:$CE$44</definedName>
    <definedName name="_xlnm.Print_Area" localSheetId="0">表紙!$A$1:$AP$32</definedName>
    <definedName name="_xlnm.Print_Area" localSheetId="1">目次!$A$1:$CE$42</definedName>
    <definedName name="_xlnm.Print_Titles" localSheetId="3">'1. 本番環境'!$1:$7</definedName>
    <definedName name="_xlnm.Print_Titles" localSheetId="4">'2. 研修環境'!$1:$7</definedName>
    <definedName name="_xlnm.Print_Titles" localSheetId="5">'3. 開発環境'!$1:$7</definedName>
    <definedName name="_xlnm.Print_Titles" localSheetId="2">更新履歴!$1:$7</definedName>
    <definedName name="_xlnm.Print_Titles" localSheetId="1">目次!$1:$7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 i="8" l="1"/>
  <c r="BE461" i="3" l="1"/>
  <c r="BN461" i="3"/>
  <c r="BN460" i="3"/>
  <c r="BE459" i="3"/>
  <c r="BN459" i="3" s="1"/>
  <c r="BN458" i="3"/>
  <c r="BN457" i="3"/>
  <c r="BN456" i="3"/>
  <c r="BN455" i="3"/>
  <c r="BN454" i="3"/>
  <c r="BN453" i="3"/>
  <c r="BN452" i="3"/>
  <c r="BN451" i="3"/>
  <c r="BN450" i="3"/>
  <c r="BE423" i="2"/>
  <c r="BN423" i="2" s="1"/>
  <c r="BN422" i="2"/>
  <c r="BN420" i="2"/>
  <c r="BN419" i="2"/>
  <c r="BN418" i="2"/>
  <c r="BN417" i="2"/>
  <c r="BN416" i="2"/>
  <c r="BN415" i="2"/>
  <c r="BN414" i="2"/>
  <c r="BN413" i="2"/>
  <c r="BN412" i="2"/>
  <c r="BE421" i="2"/>
  <c r="BN421" i="2" s="1"/>
  <c r="BE544" i="1"/>
  <c r="BN544" i="1" s="1"/>
</calcChain>
</file>

<file path=xl/sharedStrings.xml><?xml version="1.0" encoding="utf-8"?>
<sst xmlns="http://schemas.openxmlformats.org/spreadsheetml/2006/main" count="1965" uniqueCount="950">
  <si>
    <t>ポート</t>
    <phoneticPr fontId="5"/>
  </si>
  <si>
    <t>ポートはセキュリティを考慮し、デフォルトとは違うポートを割り振る。</t>
    <rPh sb="11" eb="13">
      <t>コウリョ</t>
    </rPh>
    <rPh sb="22" eb="23">
      <t>チガ</t>
    </rPh>
    <rPh sb="28" eb="29">
      <t>ワ</t>
    </rPh>
    <rPh sb="30" eb="31">
      <t>フ</t>
    </rPh>
    <phoneticPr fontId="5"/>
  </si>
  <si>
    <t>2</t>
  </si>
  <si>
    <t>環境</t>
    <rPh sb="0" eb="2">
      <t>カンキョウ</t>
    </rPh>
    <phoneticPr fontId="5"/>
  </si>
  <si>
    <t>本番</t>
    <rPh sb="0" eb="2">
      <t>ホンバン</t>
    </rPh>
    <phoneticPr fontId="5"/>
  </si>
  <si>
    <t>研修</t>
    <rPh sb="0" eb="2">
      <t>ケンシュウ</t>
    </rPh>
    <phoneticPr fontId="5"/>
  </si>
  <si>
    <t>ポートはセキュリティを考慮し、デフォルトとは違うポートを割り振る。本番とはポート番号で切り替える。</t>
    <rPh sb="11" eb="13">
      <t>コウリョ</t>
    </rPh>
    <rPh sb="22" eb="23">
      <t>チガ</t>
    </rPh>
    <rPh sb="28" eb="29">
      <t>ワ</t>
    </rPh>
    <rPh sb="30" eb="31">
      <t>フ</t>
    </rPh>
    <rPh sb="33" eb="35">
      <t>ホンバン</t>
    </rPh>
    <rPh sb="40" eb="42">
      <t>バンゴウ</t>
    </rPh>
    <rPh sb="43" eb="44">
      <t>キ</t>
    </rPh>
    <rPh sb="45" eb="46">
      <t>カ</t>
    </rPh>
    <phoneticPr fontId="5"/>
  </si>
  <si>
    <t>⑤</t>
    <phoneticPr fontId="5"/>
  </si>
  <si>
    <t>ファイル→バッチ→共有ディスク</t>
    <rPh sb="9" eb="11">
      <t>キョウユウ</t>
    </rPh>
    <phoneticPr fontId="5"/>
  </si>
  <si>
    <t>⑥</t>
    <phoneticPr fontId="5"/>
  </si>
  <si>
    <t>HULFT転送したファイルを共有ディスクに180日間保存する。</t>
    <rPh sb="5" eb="7">
      <t>テンソウ</t>
    </rPh>
    <rPh sb="14" eb="16">
      <t>キョウユウ</t>
    </rPh>
    <rPh sb="24" eb="25">
      <t>ニチ</t>
    </rPh>
    <rPh sb="25" eb="26">
      <t>カン</t>
    </rPh>
    <rPh sb="26" eb="28">
      <t>ホゾン</t>
    </rPh>
    <phoneticPr fontId="5"/>
  </si>
  <si>
    <t>[表　1-2-1-3 物理ファイル格納領域　対象一覧]</t>
    <rPh sb="11" eb="13">
      <t>ブツリ</t>
    </rPh>
    <rPh sb="17" eb="19">
      <t>カクノウ</t>
    </rPh>
    <rPh sb="19" eb="21">
      <t>リョウイキ</t>
    </rPh>
    <rPh sb="22" eb="24">
      <t>タイショウ</t>
    </rPh>
    <rPh sb="24" eb="26">
      <t>イチラン</t>
    </rPh>
    <phoneticPr fontId="5"/>
  </si>
  <si>
    <t>資料請求受付ファイル</t>
    <rPh sb="0" eb="2">
      <t>シリョウ</t>
    </rPh>
    <rPh sb="2" eb="4">
      <t>セイキュウ</t>
    </rPh>
    <rPh sb="4" eb="6">
      <t>ウケツケ</t>
    </rPh>
    <phoneticPr fontId="5"/>
  </si>
  <si>
    <t>サイズ</t>
    <phoneticPr fontId="5"/>
  </si>
  <si>
    <t>保持期間</t>
    <rPh sb="0" eb="2">
      <t>ホジ</t>
    </rPh>
    <rPh sb="2" eb="4">
      <t>キカン</t>
    </rPh>
    <phoneticPr fontId="5"/>
  </si>
  <si>
    <t>180日</t>
    <rPh sb="3" eb="4">
      <t>ニチ</t>
    </rPh>
    <phoneticPr fontId="5"/>
  </si>
  <si>
    <t>録音テンポラリファイル</t>
  </si>
  <si>
    <t>7日</t>
    <rPh sb="1" eb="2">
      <t>ニチ</t>
    </rPh>
    <phoneticPr fontId="5"/>
  </si>
  <si>
    <t>バックアップ</t>
    <phoneticPr fontId="5"/>
  </si>
  <si>
    <t>MEMORY_TARGET</t>
  </si>
  <si>
    <t>OS、Oracle管理用（常駐プロセス等）、クラスタ用、その他（HULFT等）が利用するメモリーを除いた量をGB単位で切り捨て指定する。</t>
    <rPh sb="52" eb="53">
      <t>リョウ</t>
    </rPh>
    <rPh sb="56" eb="58">
      <t>タンイ</t>
    </rPh>
    <rPh sb="59" eb="60">
      <t>キ</t>
    </rPh>
    <rPh sb="61" eb="62">
      <t>ス</t>
    </rPh>
    <rPh sb="63" eb="65">
      <t>シテイ</t>
    </rPh>
    <phoneticPr fontId="11"/>
  </si>
  <si>
    <t>LISTENER_KENSYU</t>
    <phoneticPr fontId="5"/>
  </si>
  <si>
    <t>④</t>
    <phoneticPr fontId="5"/>
  </si>
  <si>
    <t>1-3-5-1.スキーマ一覧（業務AP用）</t>
    <rPh sb="12" eb="14">
      <t>イチラン</t>
    </rPh>
    <rPh sb="15" eb="17">
      <t>ギョウム</t>
    </rPh>
    <rPh sb="19" eb="20">
      <t>ヨウ</t>
    </rPh>
    <phoneticPr fontId="5"/>
  </si>
  <si>
    <t>表領域の断片化解消のため、月1回のインデックスの再作成をバッチ処理にて実行する。</t>
    <rPh sb="0" eb="1">
      <t>ヒョウ</t>
    </rPh>
    <rPh sb="1" eb="3">
      <t>リョウイキ</t>
    </rPh>
    <rPh sb="4" eb="7">
      <t>ダンペンカ</t>
    </rPh>
    <rPh sb="7" eb="9">
      <t>カイショウ</t>
    </rPh>
    <rPh sb="13" eb="14">
      <t>ツキ</t>
    </rPh>
    <rPh sb="15" eb="16">
      <t>カイ</t>
    </rPh>
    <rPh sb="24" eb="27">
      <t>サイサクセイ</t>
    </rPh>
    <rPh sb="31" eb="33">
      <t>ショリ</t>
    </rPh>
    <rPh sb="35" eb="37">
      <t>ジッコウ</t>
    </rPh>
    <phoneticPr fontId="5"/>
  </si>
  <si>
    <t>各ログファイルは、ローテーション後7日間経過したファイルは圧縮する。</t>
    <rPh sb="0" eb="1">
      <t>カク</t>
    </rPh>
    <rPh sb="16" eb="17">
      <t>ゴ</t>
    </rPh>
    <rPh sb="18" eb="20">
      <t>ニチカン</t>
    </rPh>
    <rPh sb="20" eb="22">
      <t>ケイカ</t>
    </rPh>
    <rPh sb="29" eb="31">
      <t>アッシュク</t>
    </rPh>
    <phoneticPr fontId="5"/>
  </si>
  <si>
    <t>ログファイルの形式はテキスト形式。</t>
    <rPh sb="7" eb="9">
      <t>ケイシキ</t>
    </rPh>
    <rPh sb="14" eb="16">
      <t>ケイシキ</t>
    </rPh>
    <phoneticPr fontId="5"/>
  </si>
  <si>
    <t>No.</t>
    <phoneticPr fontId="5"/>
  </si>
  <si>
    <t>ログファイル名</t>
    <rPh sb="6" eb="7">
      <t>メイ</t>
    </rPh>
    <phoneticPr fontId="5"/>
  </si>
  <si>
    <t>ログファイル概要</t>
    <rPh sb="6" eb="8">
      <t>ガイヨウ</t>
    </rPh>
    <phoneticPr fontId="5"/>
  </si>
  <si>
    <t>ログサイズ（目安）</t>
    <rPh sb="6" eb="8">
      <t>メヤス</t>
    </rPh>
    <phoneticPr fontId="5"/>
  </si>
  <si>
    <t>無</t>
    <rPh sb="0" eb="1">
      <t>ナシ</t>
    </rPh>
    <phoneticPr fontId="5"/>
  </si>
  <si>
    <t>1-3-8. OracleDB構成概念図</t>
    <rPh sb="15" eb="17">
      <t>コウセイ</t>
    </rPh>
    <rPh sb="17" eb="19">
      <t>ガイネン</t>
    </rPh>
    <rPh sb="19" eb="20">
      <t>ズ</t>
    </rPh>
    <phoneticPr fontId="5"/>
  </si>
  <si>
    <t>1-4.ログ設計</t>
    <rPh sb="6" eb="8">
      <t>セッケイ</t>
    </rPh>
    <phoneticPr fontId="5"/>
  </si>
  <si>
    <t>1-4-1. ログ管理</t>
    <rPh sb="9" eb="11">
      <t>カンリ</t>
    </rPh>
    <phoneticPr fontId="5"/>
  </si>
  <si>
    <t>IVR-DBのログ管理方式について、記載する。</t>
    <rPh sb="9" eb="11">
      <t>カンリ</t>
    </rPh>
    <rPh sb="11" eb="13">
      <t>ホウシキ</t>
    </rPh>
    <rPh sb="18" eb="20">
      <t>キサイ</t>
    </rPh>
    <phoneticPr fontId="5"/>
  </si>
  <si>
    <t>バッチ実行ログ</t>
    <rPh sb="3" eb="5">
      <t>ジッコウ</t>
    </rPh>
    <phoneticPr fontId="5"/>
  </si>
  <si>
    <t>oracle　アラートログ</t>
    <phoneticPr fontId="5"/>
  </si>
  <si>
    <t>oracle　トレースファイル</t>
    <phoneticPr fontId="5"/>
  </si>
  <si>
    <t>oracle　リスナーログ</t>
    <phoneticPr fontId="5"/>
  </si>
  <si>
    <t>接続に関するログ</t>
    <rPh sb="0" eb="2">
      <t>セツゾク</t>
    </rPh>
    <rPh sb="3" eb="4">
      <t>カン</t>
    </rPh>
    <phoneticPr fontId="5"/>
  </si>
  <si>
    <t>SQL実行内容に関するログ</t>
    <rPh sb="3" eb="5">
      <t>ジッコウ</t>
    </rPh>
    <rPh sb="5" eb="7">
      <t>ナイヨウ</t>
    </rPh>
    <rPh sb="8" eb="9">
      <t>カン</t>
    </rPh>
    <phoneticPr fontId="5"/>
  </si>
  <si>
    <t>バッチの実行ログ</t>
    <rPh sb="4" eb="6">
      <t>ジッコウ</t>
    </rPh>
    <phoneticPr fontId="5"/>
  </si>
  <si>
    <t>オラクルのアラートに関するログ</t>
    <rPh sb="10" eb="11">
      <t>カン</t>
    </rPh>
    <phoneticPr fontId="5"/>
  </si>
  <si>
    <t>受付履歴：ﾚｺｰﾄﾞ長（各100B）×1日件数（6000×24）≒（14MB）1日の削除ｻｲｽﾞ×3（資料・ｷｬﾝﾍﾟｰﾝ・通販）≒42MB</t>
    <phoneticPr fontId="5"/>
  </si>
  <si>
    <t>IVRログ：平均ﾚｺｰﾄﾞ長（5000B）×1日件数（6000×24）≒（686MB）1日の削除ｻｲｽﾞ</t>
    <rPh sb="6" eb="8">
      <t>ヘイキン</t>
    </rPh>
    <rPh sb="13" eb="14">
      <t>チョウ</t>
    </rPh>
    <rPh sb="23" eb="24">
      <t>ニチ</t>
    </rPh>
    <rPh sb="24" eb="26">
      <t>ケンスウ</t>
    </rPh>
    <rPh sb="44" eb="45">
      <t>ニチ</t>
    </rPh>
    <rPh sb="46" eb="48">
      <t>サクジョ</t>
    </rPh>
    <phoneticPr fontId="5"/>
  </si>
  <si>
    <t>上記から、IVR操作ログはIVR業務と直接関係のあるデータではなく、サイズも極端に大きくなるため、運用管理・障害対応で別運用が可能になるように表領域を分ける。</t>
    <rPh sb="0" eb="2">
      <t>ジョウキ</t>
    </rPh>
    <phoneticPr fontId="5"/>
  </si>
  <si>
    <t>送信済みの「資料請求受付データ」ファイルをRENAMEし、共有ディスクに移動格納する。
（保持期間180日を過ぎたものは削除する）
※前日障害で共有ディスクに移動できなかった場合を考慮し、ローカルにある「資料請求受付データ」はすべて移動する。</t>
    <rPh sb="0" eb="2">
      <t>ソウシン</t>
    </rPh>
    <rPh sb="2" eb="3">
      <t>ズ</t>
    </rPh>
    <rPh sb="6" eb="8">
      <t>シリョウ</t>
    </rPh>
    <rPh sb="8" eb="10">
      <t>セイキュウ</t>
    </rPh>
    <rPh sb="10" eb="12">
      <t>ウケツケ</t>
    </rPh>
    <rPh sb="29" eb="31">
      <t>キョウユウ</t>
    </rPh>
    <rPh sb="36" eb="38">
      <t>イドウ</t>
    </rPh>
    <rPh sb="38" eb="40">
      <t>カクノウ</t>
    </rPh>
    <rPh sb="45" eb="47">
      <t>ホジ</t>
    </rPh>
    <rPh sb="47" eb="49">
      <t>キカン</t>
    </rPh>
    <rPh sb="52" eb="53">
      <t>ニチ</t>
    </rPh>
    <rPh sb="54" eb="55">
      <t>ス</t>
    </rPh>
    <rPh sb="60" eb="62">
      <t>サクジョ</t>
    </rPh>
    <rPh sb="67" eb="69">
      <t>ゼンジツ</t>
    </rPh>
    <rPh sb="69" eb="71">
      <t>ショウガイ</t>
    </rPh>
    <rPh sb="72" eb="74">
      <t>キョウユウ</t>
    </rPh>
    <rPh sb="79" eb="81">
      <t>イドウ</t>
    </rPh>
    <rPh sb="87" eb="89">
      <t>バアイ</t>
    </rPh>
    <rPh sb="90" eb="92">
      <t>コウリョ</t>
    </rPh>
    <rPh sb="102" eb="104">
      <t>シリョウ</t>
    </rPh>
    <rPh sb="104" eb="106">
      <t>セイキュウ</t>
    </rPh>
    <rPh sb="106" eb="108">
      <t>ウケツケ</t>
    </rPh>
    <rPh sb="116" eb="118">
      <t>イドウ</t>
    </rPh>
    <phoneticPr fontId="5"/>
  </si>
  <si>
    <t>オラクルの更新履歴</t>
    <phoneticPr fontId="5"/>
  </si>
  <si>
    <t>オラクルの更新履歴の保存ログ</t>
    <rPh sb="10" eb="12">
      <t>ホゾン</t>
    </rPh>
    <phoneticPr fontId="5"/>
  </si>
  <si>
    <t>有</t>
    <rPh sb="0" eb="1">
      <t>アリ</t>
    </rPh>
    <phoneticPr fontId="5"/>
  </si>
  <si>
    <t>格納先</t>
    <rPh sb="0" eb="2">
      <t>カクノウ</t>
    </rPh>
    <rPh sb="2" eb="3">
      <t>サキ</t>
    </rPh>
    <phoneticPr fontId="5"/>
  </si>
  <si>
    <t>ローカル</t>
    <phoneticPr fontId="5"/>
  </si>
  <si>
    <t>共有</t>
    <rPh sb="0" eb="2">
      <t>キョウユウ</t>
    </rPh>
    <phoneticPr fontId="5"/>
  </si>
  <si>
    <t>oracle　REDOログ</t>
    <phoneticPr fontId="5"/>
  </si>
  <si>
    <t>oracle　アーカイブログ</t>
    <phoneticPr fontId="5"/>
  </si>
  <si>
    <t>oracle　DBAログインの監査ログ</t>
    <phoneticPr fontId="5"/>
  </si>
  <si>
    <t>DBA監査用のログ</t>
    <phoneticPr fontId="5"/>
  </si>
  <si>
    <t>・自動セグメント領域管理、エクステントはUNIFORM ALLOCATE管理を行い、削除した領域が再利用されやすいようにする。</t>
  </si>
  <si>
    <t>・alter table shrink を利用し、断片化の圧縮を行う。</t>
    <rPh sb="21" eb="23">
      <t>リヨウ</t>
    </rPh>
    <rPh sb="25" eb="28">
      <t>ダンペンカ</t>
    </rPh>
    <rPh sb="29" eb="31">
      <t>アッシュク</t>
    </rPh>
    <rPh sb="32" eb="33">
      <t>オコナ</t>
    </rPh>
    <phoneticPr fontId="5"/>
  </si>
  <si>
    <t>ハイウォーターマークの解消か完全にできるわけではないが、SQLの検索がFULLスキャンにならないように業務で検討することで問題にならないようにする。</t>
    <rPh sb="11" eb="13">
      <t>カイショウ</t>
    </rPh>
    <rPh sb="14" eb="16">
      <t>カンゼン</t>
    </rPh>
    <rPh sb="32" eb="34">
      <t>ケンサク</t>
    </rPh>
    <rPh sb="51" eb="53">
      <t>ギョウム</t>
    </rPh>
    <rPh sb="54" eb="56">
      <t>ケントウ</t>
    </rPh>
    <rPh sb="61" eb="63">
      <t>モンダイ</t>
    </rPh>
    <phoneticPr fontId="5"/>
  </si>
  <si>
    <t>【Active】ファイル→【Active】HULFT→IBMホスト</t>
    <phoneticPr fontId="5"/>
  </si>
  <si>
    <t>【Active】HULFTでローカルディスクの「資料請求受付データ」ファイルをIBMホストに配信する。</t>
    <rPh sb="24" eb="26">
      <t>シリョウ</t>
    </rPh>
    <rPh sb="26" eb="28">
      <t>セイキュウ</t>
    </rPh>
    <rPh sb="28" eb="30">
      <t>ウケツケ</t>
    </rPh>
    <rPh sb="46" eb="48">
      <t>ハイシン</t>
    </rPh>
    <phoneticPr fontId="5"/>
  </si>
  <si>
    <t>【Standby】送信済みの「資料請求受付データ」ファイルを共有ディスクに格納する。（保持期間180日）</t>
    <phoneticPr fontId="5"/>
  </si>
  <si>
    <t>MEMORY_MAX_TARGET</t>
    <phoneticPr fontId="5"/>
  </si>
  <si>
    <t>IVR-DBのリスナーについて記載する。
IPアドレスはクラスタ環境のため、論理IPアドレスを設定する</t>
    <rPh sb="15" eb="17">
      <t>キサイ</t>
    </rPh>
    <rPh sb="32" eb="34">
      <t>カンキョウ</t>
    </rPh>
    <rPh sb="38" eb="40">
      <t>ロンリ</t>
    </rPh>
    <rPh sb="47" eb="49">
      <t>セッテイ</t>
    </rPh>
    <phoneticPr fontId="5"/>
  </si>
  <si>
    <t>インデックスの再作成中はオンラインからの更新ロックがかかり、参照レスポンスの悪化が発生する。</t>
    <rPh sb="7" eb="10">
      <t>サイサクセイ</t>
    </rPh>
    <rPh sb="10" eb="11">
      <t>チュウ</t>
    </rPh>
    <rPh sb="20" eb="22">
      <t>コウシン</t>
    </rPh>
    <rPh sb="30" eb="32">
      <t>サンショウ</t>
    </rPh>
    <rPh sb="38" eb="40">
      <t>アッカ</t>
    </rPh>
    <rPh sb="41" eb="43">
      <t>ハッセイ</t>
    </rPh>
    <phoneticPr fontId="5"/>
  </si>
  <si>
    <t>PROCESSES</t>
    <phoneticPr fontId="5"/>
  </si>
  <si>
    <t>100MB</t>
    <phoneticPr fontId="5"/>
  </si>
  <si>
    <t>1GB</t>
    <phoneticPr fontId="5"/>
  </si>
  <si>
    <t>４GB</t>
    <phoneticPr fontId="5"/>
  </si>
  <si>
    <t>600MB</t>
    <phoneticPr fontId="5"/>
  </si>
  <si>
    <t>60MB</t>
    <phoneticPr fontId="5"/>
  </si>
  <si>
    <t>個人情報（※1）</t>
    <rPh sb="0" eb="2">
      <t>コジン</t>
    </rPh>
    <rPh sb="2" eb="4">
      <t>ジョウホウ</t>
    </rPh>
    <phoneticPr fontId="5"/>
  </si>
  <si>
    <t>バッチ→OracleClient→データベース</t>
    <phoneticPr fontId="5"/>
  </si>
  <si>
    <t>バッチからOracleClient経由で資料請求受付データの抽出SQLを発行する</t>
    <rPh sb="17" eb="19">
      <t>ケイユ</t>
    </rPh>
    <rPh sb="20" eb="22">
      <t>シリョウ</t>
    </rPh>
    <rPh sb="22" eb="24">
      <t>セイキュウ</t>
    </rPh>
    <rPh sb="24" eb="26">
      <t>ウケツケ</t>
    </rPh>
    <rPh sb="30" eb="32">
      <t>チュウシュツ</t>
    </rPh>
    <rPh sb="36" eb="38">
      <t>ハッコウ</t>
    </rPh>
    <phoneticPr fontId="5"/>
  </si>
  <si>
    <t>データベース→OracleClient→バッチ</t>
    <phoneticPr fontId="5"/>
  </si>
  <si>
    <t>データベースからOracleClient経由でSQLの結果をバッチに連携する</t>
    <rPh sb="27" eb="29">
      <t>ケッカ</t>
    </rPh>
    <rPh sb="34" eb="36">
      <t>レンケイ</t>
    </rPh>
    <phoneticPr fontId="5"/>
  </si>
  <si>
    <t>契約番号</t>
    <rPh sb="0" eb="2">
      <t>ケイヤク</t>
    </rPh>
    <rPh sb="2" eb="4">
      <t>バンゴウ</t>
    </rPh>
    <phoneticPr fontId="5"/>
  </si>
  <si>
    <t>システム名</t>
    <rPh sb="4" eb="5">
      <t>メイ</t>
    </rPh>
    <phoneticPr fontId="5"/>
  </si>
  <si>
    <t>承認者</t>
    <rPh sb="0" eb="2">
      <t>ショウニン</t>
    </rPh>
    <rPh sb="2" eb="3">
      <t>シャ</t>
    </rPh>
    <phoneticPr fontId="5"/>
  </si>
  <si>
    <t>作成者</t>
    <rPh sb="0" eb="2">
      <t>サクセイ</t>
    </rPh>
    <rPh sb="2" eb="3">
      <t>シャ</t>
    </rPh>
    <phoneticPr fontId="5"/>
  </si>
  <si>
    <t>プロジェクト名</t>
    <rPh sb="6" eb="7">
      <t>メイ</t>
    </rPh>
    <phoneticPr fontId="5"/>
  </si>
  <si>
    <t>サブシステム名</t>
    <rPh sb="6" eb="7">
      <t>メイ</t>
    </rPh>
    <phoneticPr fontId="5"/>
  </si>
  <si>
    <t>作成日</t>
    <rPh sb="0" eb="2">
      <t>サクセイ</t>
    </rPh>
    <rPh sb="2" eb="3">
      <t>ビ</t>
    </rPh>
    <phoneticPr fontId="5"/>
  </si>
  <si>
    <t>改定日</t>
    <rPh sb="0" eb="3">
      <t>カイテイビ</t>
    </rPh>
    <phoneticPr fontId="5"/>
  </si>
  <si>
    <t>承認日</t>
    <rPh sb="0" eb="2">
      <t>ショウニン</t>
    </rPh>
    <rPh sb="2" eb="3">
      <t>ビ</t>
    </rPh>
    <phoneticPr fontId="5"/>
  </si>
  <si>
    <t>版数</t>
    <rPh sb="0" eb="2">
      <t>ハンスウ</t>
    </rPh>
    <phoneticPr fontId="5"/>
  </si>
  <si>
    <t>2. 処理方式設計（研修）</t>
    <rPh sb="3" eb="5">
      <t>ショリ</t>
    </rPh>
    <rPh sb="5" eb="7">
      <t>ホウシキ</t>
    </rPh>
    <rPh sb="10" eb="12">
      <t>ケンシュウ</t>
    </rPh>
    <phoneticPr fontId="5"/>
  </si>
  <si>
    <t>2-1. 処理方式設計の目的と要件</t>
    <rPh sb="5" eb="7">
      <t>ショリ</t>
    </rPh>
    <rPh sb="7" eb="9">
      <t>ホウシキ</t>
    </rPh>
    <rPh sb="9" eb="11">
      <t>セッケイ</t>
    </rPh>
    <rPh sb="12" eb="14">
      <t>モクテキ</t>
    </rPh>
    <rPh sb="15" eb="17">
      <t>ヨウケン</t>
    </rPh>
    <phoneticPr fontId="5"/>
  </si>
  <si>
    <t>2-1-1. 処理方式設計の目的</t>
    <phoneticPr fontId="5"/>
  </si>
  <si>
    <t>2-1-2. 処理方式設計の要件と方針</t>
    <phoneticPr fontId="5"/>
  </si>
  <si>
    <t>No</t>
    <phoneticPr fontId="5"/>
  </si>
  <si>
    <t>SMCCのユーザ受け入れテスト用環境のため、IVRとして機能を果たすための必要最小構成とする。</t>
    <phoneticPr fontId="5"/>
  </si>
  <si>
    <t xml:space="preserve">SMCCのユーザ受け入れテスト用環境のため、拡張性は考慮しない
</t>
    <phoneticPr fontId="5"/>
  </si>
  <si>
    <t>-</t>
  </si>
  <si>
    <t>本番環境に影響を与えない構成とする。</t>
    <rPh sb="0" eb="2">
      <t>ホンバン</t>
    </rPh>
    <rPh sb="2" eb="4">
      <t>カンキョウ</t>
    </rPh>
    <rPh sb="5" eb="7">
      <t>エイキョウ</t>
    </rPh>
    <rPh sb="8" eb="9">
      <t>アタ</t>
    </rPh>
    <rPh sb="12" eb="14">
      <t>コウセイ</t>
    </rPh>
    <phoneticPr fontId="5"/>
  </si>
  <si>
    <t xml:space="preserve">本番環境と同一筐体であるが、インスタンスを分け、本番環境への影響が出ないよう考慮する。
</t>
    <rPh sb="0" eb="2">
      <t>ホンバン</t>
    </rPh>
    <rPh sb="2" eb="4">
      <t>カンキョウ</t>
    </rPh>
    <rPh sb="5" eb="7">
      <t>ドウイツ</t>
    </rPh>
    <rPh sb="7" eb="9">
      <t>キョウタイ</t>
    </rPh>
    <rPh sb="21" eb="22">
      <t>ワ</t>
    </rPh>
    <rPh sb="24" eb="26">
      <t>ホンバン</t>
    </rPh>
    <rPh sb="26" eb="28">
      <t>カンキョウ</t>
    </rPh>
    <rPh sb="30" eb="32">
      <t>エイキョウ</t>
    </rPh>
    <rPh sb="33" eb="34">
      <t>デ</t>
    </rPh>
    <rPh sb="38" eb="40">
      <t>コウリョ</t>
    </rPh>
    <phoneticPr fontId="5"/>
  </si>
  <si>
    <t>SMCCのユーザ受け入れテスト用環境であり、会員サービスを提供してないので、可用性は考慮しない</t>
    <phoneticPr fontId="5"/>
  </si>
  <si>
    <t>2-1-3. データベース利用データ要件</t>
    <rPh sb="13" eb="15">
      <t>リヨウ</t>
    </rPh>
    <rPh sb="18" eb="20">
      <t>ヨウケン</t>
    </rPh>
    <phoneticPr fontId="5"/>
  </si>
  <si>
    <t>・目的・要件</t>
    <rPh sb="4" eb="6">
      <t>ヨウケン</t>
    </rPh>
    <phoneticPr fontId="5"/>
  </si>
  <si>
    <t>SMCCのユーザ受け入れテスト用途での利用を主目的とする。</t>
    <rPh sb="8" eb="9">
      <t>ウ</t>
    </rPh>
    <rPh sb="10" eb="11">
      <t>イ</t>
    </rPh>
    <rPh sb="15" eb="17">
      <t>ヨウト</t>
    </rPh>
    <phoneticPr fontId="5"/>
  </si>
  <si>
    <t>2-2. 処理方式設計</t>
  </si>
  <si>
    <t>2-2-1. 処理方式設計（正常系）</t>
    <rPh sb="7" eb="9">
      <t>ショリ</t>
    </rPh>
    <rPh sb="9" eb="11">
      <t>ホウシキ</t>
    </rPh>
    <rPh sb="11" eb="13">
      <t>セッケイ</t>
    </rPh>
    <rPh sb="14" eb="16">
      <t>セイジョウ</t>
    </rPh>
    <rPh sb="16" eb="17">
      <t>ケイ</t>
    </rPh>
    <phoneticPr fontId="5"/>
  </si>
  <si>
    <t>[表　2-2-1-1 正常時処理内容一覧]</t>
    <rPh sb="1" eb="2">
      <t>ヒョウ</t>
    </rPh>
    <rPh sb="11" eb="13">
      <t>セイジョウ</t>
    </rPh>
    <rPh sb="13" eb="14">
      <t>ジ</t>
    </rPh>
    <rPh sb="14" eb="16">
      <t>ショリ</t>
    </rPh>
    <rPh sb="16" eb="18">
      <t>ナイヨウ</t>
    </rPh>
    <rPh sb="18" eb="20">
      <t>イチラン</t>
    </rPh>
    <phoneticPr fontId="5"/>
  </si>
  <si>
    <t>①</t>
    <phoneticPr fontId="5"/>
  </si>
  <si>
    <t>②</t>
    <phoneticPr fontId="5"/>
  </si>
  <si>
    <t>③</t>
    <phoneticPr fontId="5"/>
  </si>
  <si>
    <t>④</t>
    <phoneticPr fontId="5"/>
  </si>
  <si>
    <t>⑤</t>
  </si>
  <si>
    <t>HULFT転送したファイルを共有ディスクに保存する。</t>
    <rPh sb="5" eb="7">
      <t>テンソウ</t>
    </rPh>
    <rPh sb="14" eb="16">
      <t>キョウユウ</t>
    </rPh>
    <rPh sb="21" eb="23">
      <t>ホゾン</t>
    </rPh>
    <phoneticPr fontId="5"/>
  </si>
  <si>
    <t>⑥</t>
    <phoneticPr fontId="5"/>
  </si>
  <si>
    <t>[表　2-2-1-2 表領域格納内容一覧]</t>
    <rPh sb="11" eb="12">
      <t>ヒョウ</t>
    </rPh>
    <rPh sb="12" eb="14">
      <t>リョウイキ</t>
    </rPh>
    <rPh sb="14" eb="16">
      <t>カクノウ</t>
    </rPh>
    <rPh sb="16" eb="18">
      <t>ナイヨウ</t>
    </rPh>
    <rPh sb="18" eb="20">
      <t>イチラン</t>
    </rPh>
    <phoneticPr fontId="5"/>
  </si>
  <si>
    <t>データ</t>
    <phoneticPr fontId="5"/>
  </si>
  <si>
    <t>○</t>
    <phoneticPr fontId="5"/>
  </si>
  <si>
    <t>インデックス</t>
    <phoneticPr fontId="5"/>
  </si>
  <si>
    <t>2-2-2. 処理方式設計（異常系）</t>
    <rPh sb="7" eb="9">
      <t>ショリ</t>
    </rPh>
    <rPh sb="9" eb="11">
      <t>ホウシキ</t>
    </rPh>
    <rPh sb="11" eb="13">
      <t>セッケイ</t>
    </rPh>
    <rPh sb="14" eb="16">
      <t>イジョウ</t>
    </rPh>
    <rPh sb="16" eb="17">
      <t>ケイ</t>
    </rPh>
    <phoneticPr fontId="5"/>
  </si>
  <si>
    <t>研修IVR DBの障害時処理方式を下記に示す。</t>
    <rPh sb="0" eb="2">
      <t>ケンシュウ</t>
    </rPh>
    <rPh sb="9" eb="11">
      <t>ショウガイ</t>
    </rPh>
    <rPh sb="11" eb="12">
      <t>ジ</t>
    </rPh>
    <rPh sb="12" eb="14">
      <t>ショリ</t>
    </rPh>
    <rPh sb="14" eb="16">
      <t>ホウシキ</t>
    </rPh>
    <rPh sb="17" eb="19">
      <t>カキ</t>
    </rPh>
    <rPh sb="20" eb="21">
      <t>シメ</t>
    </rPh>
    <phoneticPr fontId="5"/>
  </si>
  <si>
    <t>[表　2-2-2-1 異常時処理内容一覧]</t>
    <rPh sb="1" eb="2">
      <t>ヒョウ</t>
    </rPh>
    <rPh sb="11" eb="13">
      <t>イジョウ</t>
    </rPh>
    <rPh sb="13" eb="14">
      <t>ジ</t>
    </rPh>
    <rPh sb="14" eb="16">
      <t>ショリ</t>
    </rPh>
    <rPh sb="16" eb="18">
      <t>ナイヨウ</t>
    </rPh>
    <rPh sb="18" eb="20">
      <t>イチラン</t>
    </rPh>
    <phoneticPr fontId="5"/>
  </si>
  <si>
    <t>A</t>
    <phoneticPr fontId="5"/>
  </si>
  <si>
    <t>Oracle/DB　研修インスタンス</t>
    <phoneticPr fontId="5"/>
  </si>
  <si>
    <t>A’</t>
    <phoneticPr fontId="5"/>
  </si>
  <si>
    <t>研修リスナー</t>
    <phoneticPr fontId="5"/>
  </si>
  <si>
    <t>B</t>
    <phoneticPr fontId="5"/>
  </si>
  <si>
    <t>IBMホスト</t>
    <phoneticPr fontId="5"/>
  </si>
  <si>
    <t>C</t>
    <phoneticPr fontId="5"/>
  </si>
  <si>
    <t>システム表領域研修の障害</t>
    <rPh sb="4" eb="5">
      <t>ヒョウ</t>
    </rPh>
    <rPh sb="5" eb="7">
      <t>リョウイキ</t>
    </rPh>
    <rPh sb="7" eb="9">
      <t>ケンシュウ</t>
    </rPh>
    <rPh sb="10" eb="12">
      <t>ショウガイ</t>
    </rPh>
    <phoneticPr fontId="5"/>
  </si>
  <si>
    <t>"A"と同じ動作になる。
障害内容によってはバックアップからの復旧を検討する必要がある。</t>
    <rPh sb="4" eb="5">
      <t>オナ</t>
    </rPh>
    <rPh sb="6" eb="8">
      <t>ドウサ</t>
    </rPh>
    <rPh sb="13" eb="15">
      <t>ショウガイ</t>
    </rPh>
    <rPh sb="15" eb="17">
      <t>ナイヨウ</t>
    </rPh>
    <rPh sb="31" eb="33">
      <t>フッキュウ</t>
    </rPh>
    <rPh sb="34" eb="36">
      <t>ケントウ</t>
    </rPh>
    <rPh sb="38" eb="40">
      <t>ヒツヨウ</t>
    </rPh>
    <phoneticPr fontId="5"/>
  </si>
  <si>
    <t>表領域研修０１～０４の障害</t>
    <rPh sb="0" eb="1">
      <t>ヒョウ</t>
    </rPh>
    <rPh sb="1" eb="3">
      <t>リョウイキ</t>
    </rPh>
    <rPh sb="3" eb="5">
      <t>ケンシュウ</t>
    </rPh>
    <rPh sb="11" eb="13">
      <t>ショウガイ</t>
    </rPh>
    <phoneticPr fontId="5"/>
  </si>
  <si>
    <t>D</t>
    <phoneticPr fontId="5"/>
  </si>
  <si>
    <t>本番インスタンス</t>
    <rPh sb="0" eb="2">
      <t>ホンバン</t>
    </rPh>
    <phoneticPr fontId="5"/>
  </si>
  <si>
    <t>[表　2-2-2-2 復旧時オペレーション一覧]</t>
    <rPh sb="1" eb="2">
      <t>ヒョウ</t>
    </rPh>
    <rPh sb="11" eb="13">
      <t>フッキュウ</t>
    </rPh>
    <rPh sb="13" eb="14">
      <t>ジ</t>
    </rPh>
    <rPh sb="21" eb="23">
      <t>イチラン</t>
    </rPh>
    <phoneticPr fontId="5"/>
  </si>
  <si>
    <t>A
A’</t>
    <phoneticPr fontId="5"/>
  </si>
  <si>
    <t>Oracle/DB
研修リスナー</t>
    <phoneticPr fontId="5"/>
  </si>
  <si>
    <t>特に対処は不要。
復旧後、各機能が利用できるようになる。</t>
    <rPh sb="0" eb="1">
      <t>トク</t>
    </rPh>
    <rPh sb="2" eb="4">
      <t>タイショ</t>
    </rPh>
    <rPh sb="5" eb="7">
      <t>フヨウ</t>
    </rPh>
    <rPh sb="9" eb="11">
      <t>フッキュウ</t>
    </rPh>
    <rPh sb="11" eb="12">
      <t>ゴ</t>
    </rPh>
    <rPh sb="13" eb="14">
      <t>カク</t>
    </rPh>
    <rPh sb="14" eb="16">
      <t>キノウ</t>
    </rPh>
    <rPh sb="17" eb="19">
      <t>リヨウ</t>
    </rPh>
    <phoneticPr fontId="5"/>
  </si>
  <si>
    <t>2-2-3. 処理方式設計（ホスト連携処理）</t>
    <rPh sb="17" eb="19">
      <t>レンケイ</t>
    </rPh>
    <rPh sb="19" eb="21">
      <t>ショリ</t>
    </rPh>
    <phoneticPr fontId="5"/>
  </si>
  <si>
    <t>概要図</t>
    <rPh sb="0" eb="2">
      <t>ガイヨウ</t>
    </rPh>
    <rPh sb="2" eb="3">
      <t>ズ</t>
    </rPh>
    <phoneticPr fontId="5"/>
  </si>
  <si>
    <t>[表　2-2-3-1 ホスト連携正常時処理内容一覧]</t>
    <rPh sb="1" eb="2">
      <t>ヒョウ</t>
    </rPh>
    <rPh sb="14" eb="16">
      <t>レンケイ</t>
    </rPh>
    <rPh sb="16" eb="18">
      <t>セイジョウ</t>
    </rPh>
    <rPh sb="18" eb="19">
      <t>ジ</t>
    </rPh>
    <rPh sb="19" eb="21">
      <t>ショリ</t>
    </rPh>
    <rPh sb="21" eb="23">
      <t>ナイヨウ</t>
    </rPh>
    <rPh sb="23" eb="25">
      <t>イチラン</t>
    </rPh>
    <phoneticPr fontId="5"/>
  </si>
  <si>
    <t>①</t>
    <phoneticPr fontId="5"/>
  </si>
  <si>
    <t>バッチ→OracleClient→データベース</t>
    <phoneticPr fontId="5"/>
  </si>
  <si>
    <t>バッチからOracleClient経由で資料請求受付データの抽出SQLを発行する</t>
    <rPh sb="20" eb="22">
      <t>シリョウ</t>
    </rPh>
    <rPh sb="22" eb="24">
      <t>セイキュウ</t>
    </rPh>
    <rPh sb="24" eb="26">
      <t>ウケツケ</t>
    </rPh>
    <rPh sb="30" eb="32">
      <t>チュウシュツ</t>
    </rPh>
    <rPh sb="36" eb="38">
      <t>ハッコウ</t>
    </rPh>
    <phoneticPr fontId="5"/>
  </si>
  <si>
    <t>②</t>
    <phoneticPr fontId="5"/>
  </si>
  <si>
    <t>データベース→OracleClient→バッチ</t>
    <phoneticPr fontId="5"/>
  </si>
  <si>
    <t>③</t>
    <phoneticPr fontId="5"/>
  </si>
  <si>
    <t>バッチ→ファイル</t>
    <phoneticPr fontId="5"/>
  </si>
  <si>
    <t>④</t>
    <phoneticPr fontId="5"/>
  </si>
  <si>
    <t>ファイル→HULFT→IBMホスト</t>
    <phoneticPr fontId="5"/>
  </si>
  <si>
    <t>送信済みの「資料請求受付データ」ファイルをRENAMEし、共有ディスクに移動格納する。
（保持期間180日を過ぎたものは削除する）
※本番環境と同じ機能を提供します。</t>
    <rPh sb="0" eb="2">
      <t>ソウシン</t>
    </rPh>
    <rPh sb="2" eb="3">
      <t>ズ</t>
    </rPh>
    <rPh sb="6" eb="8">
      <t>シリョウ</t>
    </rPh>
    <rPh sb="8" eb="10">
      <t>セイキュウ</t>
    </rPh>
    <rPh sb="10" eb="12">
      <t>ウケツケ</t>
    </rPh>
    <rPh sb="29" eb="31">
      <t>キョウユウ</t>
    </rPh>
    <rPh sb="36" eb="38">
      <t>イドウ</t>
    </rPh>
    <rPh sb="38" eb="40">
      <t>カクノウ</t>
    </rPh>
    <rPh sb="45" eb="47">
      <t>ホジ</t>
    </rPh>
    <rPh sb="47" eb="49">
      <t>キカン</t>
    </rPh>
    <rPh sb="52" eb="53">
      <t>ニチ</t>
    </rPh>
    <rPh sb="54" eb="55">
      <t>ス</t>
    </rPh>
    <rPh sb="60" eb="62">
      <t>サクジョ</t>
    </rPh>
    <rPh sb="67" eb="69">
      <t>ホンバン</t>
    </rPh>
    <rPh sb="69" eb="71">
      <t>カンキョウ</t>
    </rPh>
    <rPh sb="72" eb="73">
      <t>オナ</t>
    </rPh>
    <rPh sb="74" eb="76">
      <t>キノウ</t>
    </rPh>
    <rPh sb="77" eb="79">
      <t>テイキョウ</t>
    </rPh>
    <phoneticPr fontId="5"/>
  </si>
  <si>
    <t>2-3. 処理方式設計（Oracle）</t>
    <rPh sb="5" eb="7">
      <t>ショリ</t>
    </rPh>
    <rPh sb="7" eb="9">
      <t>ホウシキ</t>
    </rPh>
    <rPh sb="9" eb="11">
      <t>セッケイ</t>
    </rPh>
    <phoneticPr fontId="5"/>
  </si>
  <si>
    <t>2-3-1. Oracle設計方針</t>
    <rPh sb="13" eb="15">
      <t>セッケイ</t>
    </rPh>
    <rPh sb="15" eb="17">
      <t>ホウシン</t>
    </rPh>
    <phoneticPr fontId="5"/>
  </si>
  <si>
    <t>2-3-2. 処理設計方式（インスタンス設計）</t>
    <rPh sb="7" eb="9">
      <t>ショリ</t>
    </rPh>
    <rPh sb="9" eb="11">
      <t>セッケイ</t>
    </rPh>
    <rPh sb="11" eb="13">
      <t>ホウシキ</t>
    </rPh>
    <phoneticPr fontId="5"/>
  </si>
  <si>
    <t>IVR研修環境で利用するOracleデータベースのインスタンスを以下のように設定する。</t>
    <rPh sb="3" eb="5">
      <t>ケンシュウ</t>
    </rPh>
    <rPh sb="5" eb="7">
      <t>カンキョウ</t>
    </rPh>
    <rPh sb="8" eb="10">
      <t>リヨウ</t>
    </rPh>
    <rPh sb="32" eb="34">
      <t>イカ</t>
    </rPh>
    <rPh sb="38" eb="40">
      <t>セッテイ</t>
    </rPh>
    <phoneticPr fontId="5"/>
  </si>
  <si>
    <t>初期化パラメータファイルは動的パラメータSPFILEを使用し、動的に設定を変更できるようにする。</t>
  </si>
  <si>
    <t>No</t>
    <phoneticPr fontId="5"/>
  </si>
  <si>
    <t>1</t>
    <phoneticPr fontId="5"/>
  </si>
  <si>
    <t>DB_NAME</t>
    <phoneticPr fontId="5"/>
  </si>
  <si>
    <t>2</t>
    <phoneticPr fontId="5"/>
  </si>
  <si>
    <t>JAPANESE</t>
    <phoneticPr fontId="5"/>
  </si>
  <si>
    <t>3</t>
    <phoneticPr fontId="5"/>
  </si>
  <si>
    <t>JAPAN</t>
    <phoneticPr fontId="5"/>
  </si>
  <si>
    <t>4</t>
    <phoneticPr fontId="5"/>
  </si>
  <si>
    <t>キャラクタセット</t>
    <phoneticPr fontId="5"/>
  </si>
  <si>
    <t>DB</t>
    <phoneticPr fontId="5"/>
  </si>
  <si>
    <t>AL32UTF8</t>
    <phoneticPr fontId="5"/>
  </si>
  <si>
    <t>AL16UTF16</t>
  </si>
  <si>
    <t>5</t>
    <phoneticPr fontId="5"/>
  </si>
  <si>
    <t>メモリーを共有する共有サーバーモードより、専用サーバーモードのほうがレスポンスに優れているため、</t>
  </si>
  <si>
    <t>6</t>
    <phoneticPr fontId="5"/>
  </si>
  <si>
    <t>ブロックサイズ</t>
    <phoneticPr fontId="5"/>
  </si>
  <si>
    <t>8K</t>
    <phoneticPr fontId="5"/>
  </si>
  <si>
    <t>7</t>
    <phoneticPr fontId="5"/>
  </si>
  <si>
    <t>REDOLOG</t>
    <phoneticPr fontId="5"/>
  </si>
  <si>
    <t>8</t>
    <phoneticPr fontId="5"/>
  </si>
  <si>
    <t>する</t>
    <phoneticPr fontId="5"/>
  </si>
  <si>
    <t>9</t>
  </si>
  <si>
    <t>10</t>
  </si>
  <si>
    <t>LOG_BUFFER</t>
    <phoneticPr fontId="5"/>
  </si>
  <si>
    <t>１M</t>
  </si>
  <si>
    <t>11</t>
  </si>
  <si>
    <t>OPENCURSERS</t>
    <phoneticPr fontId="5"/>
  </si>
  <si>
    <t>1000</t>
    <phoneticPr fontId="5"/>
  </si>
  <si>
    <t>12</t>
  </si>
  <si>
    <t>PROCESSES</t>
    <phoneticPr fontId="5"/>
  </si>
  <si>
    <t>100</t>
    <phoneticPr fontId="5"/>
  </si>
  <si>
    <t>WAS1台からの最大プロセスは3で、障害で同数の接続が残ることを考慮し2倍とする、3×2＝6、バッファを見て100とする</t>
    <rPh sb="4" eb="5">
      <t>ダイ</t>
    </rPh>
    <rPh sb="8" eb="10">
      <t>サイダイ</t>
    </rPh>
    <rPh sb="18" eb="20">
      <t>ショウガイ</t>
    </rPh>
    <rPh sb="21" eb="23">
      <t>ドウスウ</t>
    </rPh>
    <rPh sb="24" eb="26">
      <t>セツゾク</t>
    </rPh>
    <rPh sb="27" eb="28">
      <t>ノコ</t>
    </rPh>
    <rPh sb="32" eb="34">
      <t>コウリョ</t>
    </rPh>
    <rPh sb="36" eb="37">
      <t>バイ</t>
    </rPh>
    <rPh sb="52" eb="53">
      <t>ミ</t>
    </rPh>
    <phoneticPr fontId="5"/>
  </si>
  <si>
    <t>SESSIONS</t>
    <phoneticPr fontId="5"/>
  </si>
  <si>
    <t>120</t>
    <phoneticPr fontId="5"/>
  </si>
  <si>
    <t>DBFILES</t>
    <phoneticPr fontId="5"/>
  </si>
  <si>
    <t>1024</t>
    <phoneticPr fontId="5"/>
  </si>
  <si>
    <t>RECYCLEBIN</t>
    <phoneticPr fontId="5"/>
  </si>
  <si>
    <t>OFF</t>
    <phoneticPr fontId="5"/>
  </si>
  <si>
    <t>16</t>
    <phoneticPr fontId="5"/>
  </si>
  <si>
    <t>UNDO_RETENTION</t>
  </si>
  <si>
    <t>－</t>
  </si>
  <si>
    <t>17</t>
    <phoneticPr fontId="5"/>
  </si>
  <si>
    <t>DB_FILE_MULTIBLOCK_READ_COUNT</t>
  </si>
  <si>
    <t>初期値で設定する。IVR－DBではテーブルの全表操作しないようにするチューニングするため、大きな値にしない。</t>
    <rPh sb="0" eb="3">
      <t>ショキチ</t>
    </rPh>
    <rPh sb="4" eb="6">
      <t>セッテイ</t>
    </rPh>
    <rPh sb="22" eb="23">
      <t>ゼン</t>
    </rPh>
    <rPh sb="23" eb="24">
      <t>ヒョウ</t>
    </rPh>
    <rPh sb="24" eb="26">
      <t>ソウサ</t>
    </rPh>
    <rPh sb="45" eb="46">
      <t>オオ</t>
    </rPh>
    <rPh sb="48" eb="49">
      <t>アタイ</t>
    </rPh>
    <phoneticPr fontId="5"/>
  </si>
  <si>
    <t>18</t>
    <phoneticPr fontId="5"/>
  </si>
  <si>
    <t>DB_CACHE_ADVICE</t>
  </si>
  <si>
    <t>OFF</t>
  </si>
  <si>
    <t>CONTROL_FILE_RECORD_KEEP_TIME</t>
  </si>
  <si>
    <t>バックアップ運用でリカバリ可能な日数を指定する。</t>
    <rPh sb="6" eb="8">
      <t>ウンヨウ</t>
    </rPh>
    <rPh sb="13" eb="15">
      <t>カノウ</t>
    </rPh>
    <rPh sb="16" eb="18">
      <t>ニッスウ</t>
    </rPh>
    <rPh sb="19" eb="21">
      <t>シテイ</t>
    </rPh>
    <phoneticPr fontId="5"/>
  </si>
  <si>
    <t>STATISTICS_LEVEL</t>
  </si>
  <si>
    <t>TYPICAL</t>
  </si>
  <si>
    <t>2-3-3. 処理設計方式（表領域設計）</t>
    <rPh sb="7" eb="9">
      <t>ショリ</t>
    </rPh>
    <rPh sb="9" eb="11">
      <t>セッケイ</t>
    </rPh>
    <rPh sb="11" eb="13">
      <t>ホウシキ</t>
    </rPh>
    <phoneticPr fontId="5"/>
  </si>
  <si>
    <t>IVR研修環境で利用するOracleデータベースの表領域を以下のように設定する。</t>
    <rPh sb="3" eb="5">
      <t>ケンシュウ</t>
    </rPh>
    <rPh sb="5" eb="7">
      <t>カンキョウ</t>
    </rPh>
    <rPh sb="8" eb="10">
      <t>リヨウ</t>
    </rPh>
    <rPh sb="25" eb="26">
      <t>ヒョウ</t>
    </rPh>
    <rPh sb="26" eb="28">
      <t>リョウイキ</t>
    </rPh>
    <rPh sb="29" eb="31">
      <t>イカ</t>
    </rPh>
    <rPh sb="35" eb="37">
      <t>セッテイ</t>
    </rPh>
    <phoneticPr fontId="5"/>
  </si>
  <si>
    <t>表領域の数、名称は本番環境と合わせる。</t>
    <rPh sb="0" eb="1">
      <t>ヒョウ</t>
    </rPh>
    <rPh sb="1" eb="3">
      <t>リョウイキ</t>
    </rPh>
    <rPh sb="4" eb="5">
      <t>カズ</t>
    </rPh>
    <rPh sb="6" eb="8">
      <t>メイショウ</t>
    </rPh>
    <rPh sb="9" eb="11">
      <t>ホンバン</t>
    </rPh>
    <rPh sb="11" eb="13">
      <t>カンキョウ</t>
    </rPh>
    <rPh sb="14" eb="15">
      <t>ア</t>
    </rPh>
    <phoneticPr fontId="5"/>
  </si>
  <si>
    <t>サイズ（概算）</t>
    <rPh sb="4" eb="6">
      <t>ガイサン</t>
    </rPh>
    <phoneticPr fontId="5"/>
  </si>
  <si>
    <t>システム表領域</t>
    <rPh sb="4" eb="5">
      <t>ヒョウ</t>
    </rPh>
    <rPh sb="5" eb="7">
      <t>リョウイキ</t>
    </rPh>
    <phoneticPr fontId="5"/>
  </si>
  <si>
    <t>500MB</t>
    <phoneticPr fontId="5"/>
  </si>
  <si>
    <t>一次表領域</t>
    <rPh sb="0" eb="2">
      <t>イチジ</t>
    </rPh>
    <rPh sb="2" eb="3">
      <t>ヒョウ</t>
    </rPh>
    <rPh sb="3" eb="5">
      <t>リョウイキ</t>
    </rPh>
    <phoneticPr fontId="5"/>
  </si>
  <si>
    <t>1.5GB</t>
  </si>
  <si>
    <t>1GB</t>
  </si>
  <si>
    <t>IVR業務データ・内部データ格納用</t>
    <rPh sb="3" eb="5">
      <t>ギョウム</t>
    </rPh>
    <rPh sb="9" eb="11">
      <t>ナイブ</t>
    </rPh>
    <phoneticPr fontId="5"/>
  </si>
  <si>
    <t>インデックス格納用</t>
    <rPh sb="6" eb="8">
      <t>カクノウ</t>
    </rPh>
    <rPh sb="8" eb="9">
      <t>ヨウ</t>
    </rPh>
    <phoneticPr fontId="5"/>
  </si>
  <si>
    <t>テーブル設計・処理設計が未確定のため、テーブルサイズの１／５を想定。</t>
    <rPh sb="4" eb="6">
      <t>セッケイ</t>
    </rPh>
    <rPh sb="7" eb="9">
      <t>ショリ</t>
    </rPh>
    <rPh sb="9" eb="11">
      <t>セッケイ</t>
    </rPh>
    <rPh sb="12" eb="15">
      <t>ミカクテイ</t>
    </rPh>
    <rPh sb="31" eb="33">
      <t>ソウテイ</t>
    </rPh>
    <phoneticPr fontId="5"/>
  </si>
  <si>
    <t>IVR操作ログ格納用</t>
    <rPh sb="3" eb="5">
      <t>ソウサ</t>
    </rPh>
    <rPh sb="7" eb="9">
      <t>カクノウ</t>
    </rPh>
    <rPh sb="9" eb="10">
      <t>ヨウ</t>
    </rPh>
    <phoneticPr fontId="5"/>
  </si>
  <si>
    <t>4.0G</t>
    <phoneticPr fontId="5"/>
  </si>
  <si>
    <t>IVR操作ログインデックス格納用</t>
    <rPh sb="3" eb="5">
      <t>ソウサ</t>
    </rPh>
    <rPh sb="13" eb="15">
      <t>カクノウ</t>
    </rPh>
    <rPh sb="15" eb="16">
      <t>ヨウ</t>
    </rPh>
    <phoneticPr fontId="5"/>
  </si>
  <si>
    <t>★１　SYSAUX 見積もり計算係数（概算）</t>
    <phoneticPr fontId="5"/>
  </si>
  <si>
    <t>60</t>
    <phoneticPr fontId="5"/>
  </si>
  <si>
    <t>7</t>
    <phoneticPr fontId="5"/>
  </si>
  <si>
    <t>40</t>
    <phoneticPr fontId="5"/>
  </si>
  <si>
    <t>0</t>
    <phoneticPr fontId="5"/>
  </si>
  <si>
    <t>パーティションなし</t>
    <phoneticPr fontId="5"/>
  </si>
  <si>
    <t>90</t>
    <phoneticPr fontId="5"/>
  </si>
  <si>
    <t>2</t>
    <phoneticPr fontId="5"/>
  </si>
  <si>
    <t>2-3-4. 処理設計方式（メモリ設計）</t>
    <rPh sb="7" eb="9">
      <t>ショリ</t>
    </rPh>
    <rPh sb="9" eb="11">
      <t>セッケイ</t>
    </rPh>
    <rPh sb="11" eb="13">
      <t>ホウシキ</t>
    </rPh>
    <phoneticPr fontId="5"/>
  </si>
  <si>
    <t>メモリ</t>
    <phoneticPr fontId="5"/>
  </si>
  <si>
    <t>MEMORY_TARGET</t>
    <phoneticPr fontId="5"/>
  </si>
  <si>
    <t>MEMORY_MAX_TARGET　と同じ値を指定する</t>
    <rPh sb="19" eb="20">
      <t>オナ</t>
    </rPh>
    <rPh sb="21" eb="22">
      <t>アタイ</t>
    </rPh>
    <rPh sb="23" eb="25">
      <t>シテイ</t>
    </rPh>
    <phoneticPr fontId="5"/>
  </si>
  <si>
    <t>MEMORY_MAX_TARGET</t>
    <phoneticPr fontId="5"/>
  </si>
  <si>
    <t>研修環境Oracleメモリ</t>
    <rPh sb="0" eb="2">
      <t>ケンシュウ</t>
    </rPh>
    <rPh sb="2" eb="4">
      <t>カンキョウ</t>
    </rPh>
    <phoneticPr fontId="5"/>
  </si>
  <si>
    <t>OS</t>
    <phoneticPr fontId="5"/>
  </si>
  <si>
    <t>1GB</t>
    <phoneticPr fontId="5"/>
  </si>
  <si>
    <t>ORACLE</t>
    <phoneticPr fontId="5"/>
  </si>
  <si>
    <t>50M</t>
    <phoneticPr fontId="5"/>
  </si>
  <si>
    <t xml:space="preserve">WAS1台につき最大１0プロセス×5M＝50M
</t>
    <rPh sb="8" eb="10">
      <t>サイダイ</t>
    </rPh>
    <phoneticPr fontId="5"/>
  </si>
  <si>
    <t>クラスタ</t>
    <phoneticPr fontId="5"/>
  </si>
  <si>
    <t>HULFTなど</t>
    <phoneticPr fontId="5"/>
  </si>
  <si>
    <t>No</t>
    <phoneticPr fontId="5"/>
  </si>
  <si>
    <t>デフォルト表領域</t>
    <phoneticPr fontId="5"/>
  </si>
  <si>
    <t>1</t>
    <phoneticPr fontId="5"/>
  </si>
  <si>
    <t>IVRUSR</t>
    <phoneticPr fontId="5"/>
  </si>
  <si>
    <t>IVRAP</t>
    <phoneticPr fontId="5"/>
  </si>
  <si>
    <t>3</t>
    <phoneticPr fontId="5"/>
  </si>
  <si>
    <t>IVRBAT</t>
    <phoneticPr fontId="5"/>
  </si>
  <si>
    <t>IVRKNR</t>
    <phoneticPr fontId="5"/>
  </si>
  <si>
    <t>IVR-DBのリスナーについて記載する。
IPアドレスは本番環境と同様に、論理IPアドレスを設定する</t>
    <rPh sb="15" eb="17">
      <t>キサイ</t>
    </rPh>
    <rPh sb="28" eb="30">
      <t>ホンバン</t>
    </rPh>
    <rPh sb="30" eb="32">
      <t>カンキョウ</t>
    </rPh>
    <rPh sb="33" eb="35">
      <t>ドウヨウ</t>
    </rPh>
    <rPh sb="37" eb="39">
      <t>ロンリ</t>
    </rPh>
    <rPh sb="46" eb="48">
      <t>セッテイ</t>
    </rPh>
    <phoneticPr fontId="5"/>
  </si>
  <si>
    <t>No</t>
  </si>
  <si>
    <t>プロトコル</t>
  </si>
  <si>
    <t>ポート</t>
  </si>
  <si>
    <t>1</t>
  </si>
  <si>
    <t>LISTENER</t>
  </si>
  <si>
    <t>TCP</t>
  </si>
  <si>
    <t>LISTENER_KENSYU</t>
  </si>
  <si>
    <t>承認</t>
    <rPh sb="0" eb="2">
      <t>ショウニン</t>
    </rPh>
    <phoneticPr fontId="5"/>
  </si>
  <si>
    <t>作成</t>
    <rPh sb="0" eb="2">
      <t>サクセイ</t>
    </rPh>
    <phoneticPr fontId="5"/>
  </si>
  <si>
    <t>Ver.</t>
    <phoneticPr fontId="5"/>
  </si>
  <si>
    <t>改定年月日</t>
    <rPh sb="0" eb="2">
      <t>カイテイ</t>
    </rPh>
    <rPh sb="2" eb="5">
      <t>ネンガッピ</t>
    </rPh>
    <phoneticPr fontId="5"/>
  </si>
  <si>
    <t>改定概要</t>
    <phoneticPr fontId="5"/>
  </si>
  <si>
    <t>改定者</t>
    <phoneticPr fontId="5"/>
  </si>
  <si>
    <t>2-3-5-1.スキーマ一覧</t>
    <rPh sb="12" eb="14">
      <t>イチラン</t>
    </rPh>
    <phoneticPr fontId="5"/>
  </si>
  <si>
    <t>2-3-5-2.権限設計</t>
    <rPh sb="8" eb="10">
      <t>ケンゲン</t>
    </rPh>
    <rPh sb="10" eb="12">
      <t>セッケイ</t>
    </rPh>
    <phoneticPr fontId="5"/>
  </si>
  <si>
    <t>2-3-6. 処理設計方式（リスナー設計）</t>
    <rPh sb="7" eb="9">
      <t>ショリ</t>
    </rPh>
    <rPh sb="9" eb="11">
      <t>セッケイ</t>
    </rPh>
    <rPh sb="11" eb="13">
      <t>ホウシキ</t>
    </rPh>
    <phoneticPr fontId="5"/>
  </si>
  <si>
    <t>2-3-6-1.リスナー覧</t>
    <rPh sb="12" eb="13">
      <t>ラン</t>
    </rPh>
    <phoneticPr fontId="5"/>
  </si>
  <si>
    <t>2-3-7. 処理設計方式（定期メンテナンス設計）</t>
    <rPh sb="7" eb="9">
      <t>ショリ</t>
    </rPh>
    <rPh sb="9" eb="11">
      <t>セッケイ</t>
    </rPh>
    <rPh sb="11" eb="13">
      <t>ホウシキ</t>
    </rPh>
    <phoneticPr fontId="5"/>
  </si>
  <si>
    <t>2-3-7-1. ファイルの断片化解消</t>
    <rPh sb="14" eb="17">
      <t>ダンペンカ</t>
    </rPh>
    <rPh sb="17" eb="19">
      <t>カイショウ</t>
    </rPh>
    <phoneticPr fontId="5"/>
  </si>
  <si>
    <t>2-3-8.OracleDB構成概念図（研修環境）</t>
    <rPh sb="14" eb="16">
      <t>コウセイ</t>
    </rPh>
    <rPh sb="16" eb="19">
      <t>ガイネンズ</t>
    </rPh>
    <rPh sb="20" eb="22">
      <t>ケンシュウ</t>
    </rPh>
    <rPh sb="22" eb="24">
      <t>カンキョウ</t>
    </rPh>
    <phoneticPr fontId="5"/>
  </si>
  <si>
    <t>データ（表領域）の断片化について</t>
    <phoneticPr fontId="5"/>
  </si>
  <si>
    <t>研修環境は修正量も少なく断片化が発生する頻度も少ないと思われため、考慮しない。</t>
    <rPh sb="0" eb="2">
      <t>ケンシュウ</t>
    </rPh>
    <rPh sb="2" eb="4">
      <t>カンキョウ</t>
    </rPh>
    <rPh sb="5" eb="7">
      <t>シュウセイ</t>
    </rPh>
    <rPh sb="7" eb="8">
      <t>リョウ</t>
    </rPh>
    <rPh sb="9" eb="10">
      <t>スク</t>
    </rPh>
    <rPh sb="12" eb="15">
      <t>ダンペンカ</t>
    </rPh>
    <rPh sb="16" eb="18">
      <t>ハッセイ</t>
    </rPh>
    <rPh sb="20" eb="22">
      <t>ヒンド</t>
    </rPh>
    <rPh sb="23" eb="24">
      <t>スク</t>
    </rPh>
    <rPh sb="27" eb="28">
      <t>オモ</t>
    </rPh>
    <rPh sb="33" eb="35">
      <t>コウリョ</t>
    </rPh>
    <phoneticPr fontId="5"/>
  </si>
  <si>
    <t>断片化によるレスポンスの悪化が派生した場合は、研修環境の利用を停止し、テーブルの再作成を手動で行うこととする。</t>
    <rPh sb="0" eb="3">
      <t>ダンペンカ</t>
    </rPh>
    <rPh sb="12" eb="14">
      <t>アッカ</t>
    </rPh>
    <rPh sb="15" eb="17">
      <t>ハセイ</t>
    </rPh>
    <rPh sb="19" eb="21">
      <t>バアイ</t>
    </rPh>
    <rPh sb="23" eb="25">
      <t>ケンシュウ</t>
    </rPh>
    <rPh sb="25" eb="27">
      <t>カンキョウ</t>
    </rPh>
    <rPh sb="28" eb="30">
      <t>リヨウ</t>
    </rPh>
    <rPh sb="31" eb="33">
      <t>テイシ</t>
    </rPh>
    <rPh sb="40" eb="43">
      <t>サイサクセイ</t>
    </rPh>
    <rPh sb="44" eb="46">
      <t>シュドウ</t>
    </rPh>
    <rPh sb="47" eb="48">
      <t>オコナ</t>
    </rPh>
    <phoneticPr fontId="5"/>
  </si>
  <si>
    <t>インデックスの断片化について</t>
    <phoneticPr fontId="5"/>
  </si>
  <si>
    <t>断片化によるレスポンスの悪化が派生した場合は、研修環境の利用を制限し、インデックスの再作成を手動で行うこととする。</t>
    <rPh sb="0" eb="3">
      <t>ダンペンカ</t>
    </rPh>
    <rPh sb="12" eb="14">
      <t>アッカ</t>
    </rPh>
    <rPh sb="15" eb="17">
      <t>ハセイ</t>
    </rPh>
    <rPh sb="19" eb="21">
      <t>バアイ</t>
    </rPh>
    <rPh sb="23" eb="25">
      <t>ケンシュウ</t>
    </rPh>
    <rPh sb="25" eb="27">
      <t>カンキョウ</t>
    </rPh>
    <rPh sb="28" eb="30">
      <t>リヨウ</t>
    </rPh>
    <rPh sb="31" eb="33">
      <t>セイゲン</t>
    </rPh>
    <rPh sb="42" eb="45">
      <t>サイサクセイ</t>
    </rPh>
    <rPh sb="46" eb="48">
      <t>シュドウ</t>
    </rPh>
    <rPh sb="49" eb="50">
      <t>オコナ</t>
    </rPh>
    <phoneticPr fontId="5"/>
  </si>
  <si>
    <t>それぞれのOracleインスタンスはシングル構成で、独立したDBとなる。</t>
    <rPh sb="22" eb="24">
      <t>コウセイ</t>
    </rPh>
    <rPh sb="26" eb="28">
      <t>ドクリツ</t>
    </rPh>
    <phoneticPr fontId="5"/>
  </si>
  <si>
    <t>フェイルバック中は研修データベースは使用できないが</t>
    <rPh sb="7" eb="8">
      <t>チュウ</t>
    </rPh>
    <rPh sb="9" eb="11">
      <t>ケンシュウ</t>
    </rPh>
    <rPh sb="18" eb="20">
      <t>シヨウ</t>
    </rPh>
    <phoneticPr fontId="5"/>
  </si>
  <si>
    <t>利用可能にすることができる。</t>
    <phoneticPr fontId="5"/>
  </si>
  <si>
    <t>※本番フェイルバック時には研修インスタンスを自動停止する。</t>
    <rPh sb="1" eb="3">
      <t>ホンバン</t>
    </rPh>
    <rPh sb="10" eb="11">
      <t>ジ</t>
    </rPh>
    <rPh sb="13" eb="15">
      <t>ケンシュウ</t>
    </rPh>
    <rPh sb="22" eb="24">
      <t>ジドウ</t>
    </rPh>
    <rPh sb="24" eb="26">
      <t>テイシ</t>
    </rPh>
    <phoneticPr fontId="5"/>
  </si>
  <si>
    <t>3-1. 処理方式設計の目的と要件</t>
    <rPh sb="5" eb="7">
      <t>ショリ</t>
    </rPh>
    <rPh sb="7" eb="9">
      <t>ホウシキ</t>
    </rPh>
    <rPh sb="9" eb="11">
      <t>セッケイ</t>
    </rPh>
    <rPh sb="12" eb="14">
      <t>モクテキ</t>
    </rPh>
    <rPh sb="15" eb="17">
      <t>ヨウケン</t>
    </rPh>
    <phoneticPr fontId="5"/>
  </si>
  <si>
    <t>3-1-1. 処理方式設計の目的</t>
    <phoneticPr fontId="5"/>
  </si>
  <si>
    <t>3-1-2. 処理方式設計の要件と方針</t>
    <phoneticPr fontId="5"/>
  </si>
  <si>
    <t>No</t>
    <phoneticPr fontId="5"/>
  </si>
  <si>
    <t>動作確認環境としてテストに使用するため、IVRとしての機能を果たすために必要な最小構成とする。</t>
    <phoneticPr fontId="5"/>
  </si>
  <si>
    <t>-</t>
    <phoneticPr fontId="5"/>
  </si>
  <si>
    <t>動作確認環境テスト用環境は最大受付呼数を10として設計を行う為、拡張性は考慮しない。</t>
    <phoneticPr fontId="5"/>
  </si>
  <si>
    <t>動作確認環境としてテストに使用するため、信頼性は考慮しない。</t>
    <phoneticPr fontId="5"/>
  </si>
  <si>
    <t>3-1-3. データベース利用データ要件</t>
    <rPh sb="13" eb="15">
      <t>リヨウ</t>
    </rPh>
    <rPh sb="18" eb="20">
      <t>ヨウケン</t>
    </rPh>
    <phoneticPr fontId="5"/>
  </si>
  <si>
    <t>IVRを本番環境へ導入する前に検証を行う環境でアプリケーションの動作確認を主目的とする。</t>
    <phoneticPr fontId="5"/>
  </si>
  <si>
    <t>3-2. 処理方式設計</t>
  </si>
  <si>
    <t>3-2-1. 処理方式設計（正常系）</t>
    <rPh sb="7" eb="9">
      <t>ショリ</t>
    </rPh>
    <rPh sb="9" eb="11">
      <t>ホウシキ</t>
    </rPh>
    <rPh sb="11" eb="13">
      <t>セッケイ</t>
    </rPh>
    <rPh sb="14" eb="16">
      <t>セイジョウ</t>
    </rPh>
    <rPh sb="16" eb="17">
      <t>ケイ</t>
    </rPh>
    <phoneticPr fontId="5"/>
  </si>
  <si>
    <t>[表　3-2-1-1 正常時処理内容一覧]</t>
    <rPh sb="1" eb="2">
      <t>ヒョウ</t>
    </rPh>
    <rPh sb="11" eb="13">
      <t>セイジョウ</t>
    </rPh>
    <rPh sb="13" eb="14">
      <t>ジ</t>
    </rPh>
    <rPh sb="14" eb="16">
      <t>ショリ</t>
    </rPh>
    <rPh sb="16" eb="18">
      <t>ナイヨウ</t>
    </rPh>
    <rPh sb="18" eb="20">
      <t>イチラン</t>
    </rPh>
    <phoneticPr fontId="5"/>
  </si>
  <si>
    <t>①</t>
    <phoneticPr fontId="5"/>
  </si>
  <si>
    <t>②</t>
    <phoneticPr fontId="5"/>
  </si>
  <si>
    <t>③</t>
    <phoneticPr fontId="5"/>
  </si>
  <si>
    <t>④</t>
    <phoneticPr fontId="5"/>
  </si>
  <si>
    <t>⑤</t>
    <phoneticPr fontId="5"/>
  </si>
  <si>
    <t>[表　3-2-1-2 表領域格納内容一覧]</t>
    <rPh sb="11" eb="12">
      <t>ヒョウ</t>
    </rPh>
    <rPh sb="12" eb="14">
      <t>リョウイキ</t>
    </rPh>
    <rPh sb="14" eb="16">
      <t>カクノウ</t>
    </rPh>
    <rPh sb="16" eb="18">
      <t>ナイヨウ</t>
    </rPh>
    <rPh sb="18" eb="20">
      <t>イチラン</t>
    </rPh>
    <phoneticPr fontId="5"/>
  </si>
  <si>
    <t>データ</t>
    <phoneticPr fontId="5"/>
  </si>
  <si>
    <t>○</t>
    <phoneticPr fontId="5"/>
  </si>
  <si>
    <t>インデックス</t>
    <phoneticPr fontId="5"/>
  </si>
  <si>
    <t>3-2-2. 処理方式設計（異常系）</t>
    <rPh sb="7" eb="9">
      <t>ショリ</t>
    </rPh>
    <rPh sb="9" eb="11">
      <t>ホウシキ</t>
    </rPh>
    <rPh sb="11" eb="13">
      <t>セッケイ</t>
    </rPh>
    <rPh sb="14" eb="16">
      <t>イジョウ</t>
    </rPh>
    <rPh sb="16" eb="17">
      <t>ケイ</t>
    </rPh>
    <phoneticPr fontId="5"/>
  </si>
  <si>
    <t>[表　3-2-2-1 異常時処理内容一覧]</t>
    <rPh sb="1" eb="2">
      <t>ヒョウ</t>
    </rPh>
    <rPh sb="11" eb="13">
      <t>イジョウ</t>
    </rPh>
    <rPh sb="13" eb="14">
      <t>ジ</t>
    </rPh>
    <rPh sb="14" eb="16">
      <t>ショリ</t>
    </rPh>
    <rPh sb="16" eb="18">
      <t>ナイヨウ</t>
    </rPh>
    <rPh sb="18" eb="20">
      <t>イチラン</t>
    </rPh>
    <phoneticPr fontId="5"/>
  </si>
  <si>
    <t>A</t>
    <phoneticPr fontId="5"/>
  </si>
  <si>
    <t>A’</t>
    <phoneticPr fontId="5"/>
  </si>
  <si>
    <t>B</t>
    <phoneticPr fontId="5"/>
  </si>
  <si>
    <t>IBMホスト</t>
    <phoneticPr fontId="5"/>
  </si>
  <si>
    <t>C</t>
    <phoneticPr fontId="5"/>
  </si>
  <si>
    <t>[表　3-2-2-2 復旧時オペレーション一覧]</t>
    <rPh sb="1" eb="2">
      <t>ヒョウ</t>
    </rPh>
    <rPh sb="11" eb="13">
      <t>フッキュウ</t>
    </rPh>
    <rPh sb="13" eb="14">
      <t>ジ</t>
    </rPh>
    <rPh sb="21" eb="23">
      <t>イチラン</t>
    </rPh>
    <phoneticPr fontId="5"/>
  </si>
  <si>
    <t>A
A’</t>
    <phoneticPr fontId="5"/>
  </si>
  <si>
    <t>3-2-3. 処理方式設計（ホスト連携処理）</t>
    <rPh sb="17" eb="19">
      <t>レンケイ</t>
    </rPh>
    <rPh sb="19" eb="21">
      <t>ショリ</t>
    </rPh>
    <phoneticPr fontId="5"/>
  </si>
  <si>
    <t>⑤</t>
    <phoneticPr fontId="5"/>
  </si>
  <si>
    <t>送信済みの「資料請求受付データ」ファイルをRENAMEし、共有ディスクに移動格納する。
（保持期間180日を過ぎたものは削除する）</t>
    <rPh sb="0" eb="2">
      <t>ソウシン</t>
    </rPh>
    <rPh sb="2" eb="3">
      <t>ズ</t>
    </rPh>
    <rPh sb="6" eb="8">
      <t>シリョウ</t>
    </rPh>
    <rPh sb="8" eb="10">
      <t>セイキュウ</t>
    </rPh>
    <rPh sb="10" eb="12">
      <t>ウケツケ</t>
    </rPh>
    <rPh sb="29" eb="31">
      <t>キョウユウ</t>
    </rPh>
    <rPh sb="36" eb="38">
      <t>イドウ</t>
    </rPh>
    <rPh sb="38" eb="40">
      <t>カクノウ</t>
    </rPh>
    <rPh sb="45" eb="47">
      <t>ホジ</t>
    </rPh>
    <rPh sb="47" eb="49">
      <t>キカン</t>
    </rPh>
    <rPh sb="52" eb="53">
      <t>ニチ</t>
    </rPh>
    <rPh sb="54" eb="55">
      <t>ス</t>
    </rPh>
    <rPh sb="60" eb="62">
      <t>サクジョ</t>
    </rPh>
    <phoneticPr fontId="5"/>
  </si>
  <si>
    <t>3-3. 処理方式設計（Oracle）</t>
    <rPh sb="5" eb="7">
      <t>ショリ</t>
    </rPh>
    <rPh sb="7" eb="9">
      <t>ホウシキ</t>
    </rPh>
    <rPh sb="9" eb="11">
      <t>セッケイ</t>
    </rPh>
    <phoneticPr fontId="5"/>
  </si>
  <si>
    <t>3-3-1. Oracle設計方針</t>
    <rPh sb="13" eb="15">
      <t>セッケイ</t>
    </rPh>
    <rPh sb="15" eb="17">
      <t>ホウシン</t>
    </rPh>
    <phoneticPr fontId="5"/>
  </si>
  <si>
    <t>3-3-2. 処理設計方式（インスタンス設計）</t>
    <rPh sb="7" eb="9">
      <t>ショリ</t>
    </rPh>
    <rPh sb="9" eb="11">
      <t>セッケイ</t>
    </rPh>
    <rPh sb="11" eb="13">
      <t>ホウシキ</t>
    </rPh>
    <phoneticPr fontId="5"/>
  </si>
  <si>
    <t>同時接続数8以上の値を設定する。</t>
    <rPh sb="0" eb="2">
      <t>ドウジ</t>
    </rPh>
    <rPh sb="2" eb="4">
      <t>セツゾク</t>
    </rPh>
    <rPh sb="4" eb="5">
      <t>スウ</t>
    </rPh>
    <rPh sb="6" eb="8">
      <t>イジョウ</t>
    </rPh>
    <rPh sb="9" eb="10">
      <t>アタイ</t>
    </rPh>
    <rPh sb="11" eb="13">
      <t>セッテイ</t>
    </rPh>
    <phoneticPr fontId="5"/>
  </si>
  <si>
    <t>16</t>
  </si>
  <si>
    <t>17</t>
  </si>
  <si>
    <t>18</t>
  </si>
  <si>
    <t>3-3-3. 処理設計方式（表領域設計）</t>
    <rPh sb="7" eb="9">
      <t>ショリ</t>
    </rPh>
    <rPh sb="9" eb="11">
      <t>セッケイ</t>
    </rPh>
    <rPh sb="11" eb="13">
      <t>ホウシキ</t>
    </rPh>
    <phoneticPr fontId="5"/>
  </si>
  <si>
    <t>3-3-4. 処理設計方式（メモリ設計）</t>
    <rPh sb="7" eb="9">
      <t>ショリ</t>
    </rPh>
    <rPh sb="9" eb="11">
      <t>セッケイ</t>
    </rPh>
    <rPh sb="11" eb="13">
      <t>ホウシキ</t>
    </rPh>
    <phoneticPr fontId="5"/>
  </si>
  <si>
    <t>OS、Oracle管理用（常駐プロセス等）、クラスタ用、その他（HULFT等）が利用するメモリーを除いた量をGB単位で切り捨て指定する。</t>
    <phoneticPr fontId="5"/>
  </si>
  <si>
    <t>-</t>
    <phoneticPr fontId="5"/>
  </si>
  <si>
    <t>3-3-5-1.スキーマ一覧</t>
    <rPh sb="12" eb="14">
      <t>イチラン</t>
    </rPh>
    <phoneticPr fontId="5"/>
  </si>
  <si>
    <t>3-3-5-2.権限設計</t>
    <rPh sb="8" eb="10">
      <t>ケンゲン</t>
    </rPh>
    <rPh sb="10" eb="12">
      <t>セッケイ</t>
    </rPh>
    <phoneticPr fontId="5"/>
  </si>
  <si>
    <t>3-3-6. 処理設計方式（リスナー設計）</t>
    <rPh sb="7" eb="9">
      <t>ショリ</t>
    </rPh>
    <rPh sb="9" eb="11">
      <t>セッケイ</t>
    </rPh>
    <rPh sb="11" eb="13">
      <t>ホウシキ</t>
    </rPh>
    <phoneticPr fontId="5"/>
  </si>
  <si>
    <t>3-3-6-1.リスナー覧</t>
    <rPh sb="12" eb="13">
      <t>ラン</t>
    </rPh>
    <phoneticPr fontId="5"/>
  </si>
  <si>
    <t>Activeインスタンスを停止し、Standbyインスタンスを起動する。</t>
    <rPh sb="13" eb="15">
      <t>テイシ</t>
    </rPh>
    <rPh sb="31" eb="33">
      <t>キドウ</t>
    </rPh>
    <phoneticPr fontId="5"/>
  </si>
  <si>
    <t>計算式　（PROCESSES×1.1）＋5（バックグラウンドプロセス）＝115　余裕を見て120とする。</t>
    <rPh sb="0" eb="2">
      <t>ケイサン</t>
    </rPh>
    <rPh sb="2" eb="3">
      <t>シキ</t>
    </rPh>
    <rPh sb="40" eb="42">
      <t>ヨユウ</t>
    </rPh>
    <rPh sb="43" eb="44">
      <t>ミ</t>
    </rPh>
    <phoneticPr fontId="5"/>
  </si>
  <si>
    <t xml:space="preserve">ソート対象データの最大サイズ×２　で計算する以下、試算元情報。  
 音声フロー：ソートする処理は存在しない。 
 管理画面：（ｷｬﾝﾍﾟｰﾝ受付（100B）＋通販受付（100B））×1500（1日件数）×120（保持日数）×8（同時接続）≒275MB 
 バッチ：資料請求（100B）×1500×120≒17MB　、分析ログ（100B）×1日呼（600×24）×30日≒410M 
 上記が同時実行されたとして、770MB  2倍して 1,540MB≒1.5GB </t>
    <phoneticPr fontId="21"/>
  </si>
  <si>
    <t>本番環境のインスタンス#1障害時に</t>
    <rPh sb="0" eb="2">
      <t>ホンバン</t>
    </rPh>
    <rPh sb="2" eb="4">
      <t>カンキョウ</t>
    </rPh>
    <rPh sb="13" eb="15">
      <t>ショウガイ</t>
    </rPh>
    <rPh sb="15" eb="16">
      <t>ジ</t>
    </rPh>
    <phoneticPr fontId="5"/>
  </si>
  <si>
    <t xml:space="preserve">ソート対象データの最大サイズ×２　で計算する以下、試算元情報。  
 音声フロー　：　ソートする処理は存在しない。 
 管理画面　：　（ｷｬﾝﾍﾟｰﾝ受付（100B）＋通販受付（100B））×1500（1日件数）×120（保持日数）×8（同時接続）≒275MB 
 バッチ　：　資料請求（100B）×1500×120≒17MB　、分析ログ（100B）×1日呼（600×24）×30日≒410M 
 上記が同時実行されたとして、770MB  2倍して 1,540MB≒1.5GB </t>
    <phoneticPr fontId="21"/>
  </si>
  <si>
    <t xml:space="preserve">オンライン処理での更新量：  
 管理画面からの更新はマスタメンテのみ。マスタメンテは少量更新のみと考え誤差レベルとする。 
 更新対象のレコード長はIVRログ：11622B、資料請求受付：100B、通販受付：100B、キャンペーン受付：100B。 
 ブロック（8194B）数ではIVR-ログ=2ブロック、他それぞれ1ブロック　合計：5ブロック 
 （1時間6000呼/60分）×20分保持×5ブロック×8KB ≒ 78MB </t>
    <phoneticPr fontId="21"/>
  </si>
  <si>
    <t xml:space="preserve">各履歴データの削除（保持期間外のデータを毎日1回削除する）：  
 IVRログ：平均レコード長（5000B）×1日件数（6000×24）≒（686MB）1日の削除サイズ 
 受付履歴：レコード長（各100B）×1日件数（6000×24）≒14MB×3（資料・ｷｬﾝﾍﾟｰﾝ・通販）≒42MB 
</t>
    <phoneticPr fontId="21"/>
  </si>
  <si>
    <t>分析対象ログ集計処理：時間別利用状況（30B）×（24×2（0.5時間単位））＋メニュー利用状況（100B）×1日≒1.5KB  
UNDO保持期間20分以内に上記処理が実行されるとして約810MB。オーバーヘッドを見て１G見積もる。</t>
    <phoneticPr fontId="21"/>
  </si>
  <si>
    <t xml:space="preserve">オンライン処理での更新量： 
 管理画面からの更新はマスタメンテのみ。マスタメンテは少量更新のみと考え誤差レベルとする。
 更新対象のレコード長はIVRログ：11622B、資料請求受付：100B、通販受付：100B、キャンペーン受付：100B。
 ブロック（8194B）数ではIVR-ログ=2ブロック、他それぞれ1ブロック　合計：5ブロック
 （1時間6000呼/60分）×20分保持×5ブロック×8KB ≒ 78MB
</t>
    <phoneticPr fontId="21"/>
  </si>
  <si>
    <t xml:space="preserve">各履歴データの削除（保持期間外のデータを毎日1回削除する）： 
 IVRログ：平均レコード長（5000B）×1日件数（6000×24）≒（686MB）1日の削除サイズ
 受付履歴：レコード長（各100B）×1日件数（6000×24）≒（14MB）1日の削除サイズ×3（資料・ｷｬﾝﾍﾟｰﾝ・通販）≒42MB
</t>
    <phoneticPr fontId="21"/>
  </si>
  <si>
    <t xml:space="preserve">分析対象ログ集計処理：時間別利用状況（30B）×（24×2（0.5時間単位））＋メニュー利用状況（100B）×1日≒1.5KB 
UNDO保持期間20分以内に上記処理が実行されるとして約810MB。オーバーヘッドを見て１G見積もる。 </t>
    <phoneticPr fontId="21"/>
  </si>
  <si>
    <t>1-1. 処理方式設計の目的と要件</t>
    <rPh sb="5" eb="7">
      <t>ショリ</t>
    </rPh>
    <rPh sb="7" eb="9">
      <t>ホウシキ</t>
    </rPh>
    <rPh sb="9" eb="11">
      <t>セッケイ</t>
    </rPh>
    <rPh sb="12" eb="14">
      <t>モクテキ</t>
    </rPh>
    <rPh sb="15" eb="17">
      <t>ヨウケン</t>
    </rPh>
    <phoneticPr fontId="5"/>
  </si>
  <si>
    <t>キャラクタセット</t>
    <phoneticPr fontId="5"/>
  </si>
  <si>
    <t>各国語</t>
    <rPh sb="0" eb="2">
      <t>カッコク</t>
    </rPh>
    <rPh sb="2" eb="3">
      <t>ゴ</t>
    </rPh>
    <phoneticPr fontId="5"/>
  </si>
  <si>
    <t>接続モード</t>
    <rPh sb="0" eb="2">
      <t>セツゾク</t>
    </rPh>
    <phoneticPr fontId="5"/>
  </si>
  <si>
    <t>専用サーバー</t>
    <rPh sb="0" eb="2">
      <t>センヨウ</t>
    </rPh>
    <phoneticPr fontId="5"/>
  </si>
  <si>
    <t>DB</t>
    <phoneticPr fontId="5"/>
  </si>
  <si>
    <t>アーカイブログ運用</t>
    <rPh sb="7" eb="9">
      <t>ウンヨウ</t>
    </rPh>
    <phoneticPr fontId="5"/>
  </si>
  <si>
    <t>方針・根拠</t>
    <rPh sb="0" eb="2">
      <t>ホウシン</t>
    </rPh>
    <rPh sb="3" eb="5">
      <t>コンキョ</t>
    </rPh>
    <phoneticPr fontId="5"/>
  </si>
  <si>
    <t>設定値</t>
    <rPh sb="0" eb="3">
      <t>セッテイチ</t>
    </rPh>
    <phoneticPr fontId="5"/>
  </si>
  <si>
    <t>設定項目</t>
    <rPh sb="0" eb="2">
      <t>セッテイ</t>
    </rPh>
    <rPh sb="2" eb="4">
      <t>コウモク</t>
    </rPh>
    <phoneticPr fontId="5"/>
  </si>
  <si>
    <t>No</t>
    <phoneticPr fontId="5"/>
  </si>
  <si>
    <t>1</t>
    <phoneticPr fontId="5"/>
  </si>
  <si>
    <t>2</t>
    <phoneticPr fontId="5"/>
  </si>
  <si>
    <t>3</t>
    <phoneticPr fontId="5"/>
  </si>
  <si>
    <t>4</t>
    <phoneticPr fontId="5"/>
  </si>
  <si>
    <t>AL32UTF8</t>
    <phoneticPr fontId="5"/>
  </si>
  <si>
    <t>5</t>
    <phoneticPr fontId="5"/>
  </si>
  <si>
    <t>ブロックサイズ</t>
    <phoneticPr fontId="5"/>
  </si>
  <si>
    <t>6</t>
    <phoneticPr fontId="5"/>
  </si>
  <si>
    <t>REDOLOG</t>
    <phoneticPr fontId="5"/>
  </si>
  <si>
    <t>レコード単位の検索、更新がメインとなり、追加更新処理も頻繁に発生するため、汎用的な値である８Kとする。</t>
    <rPh sb="4" eb="6">
      <t>タンイ</t>
    </rPh>
    <rPh sb="7" eb="9">
      <t>ケンサク</t>
    </rPh>
    <rPh sb="10" eb="12">
      <t>コウシン</t>
    </rPh>
    <rPh sb="20" eb="22">
      <t>ツイカ</t>
    </rPh>
    <rPh sb="22" eb="24">
      <t>コウシン</t>
    </rPh>
    <rPh sb="24" eb="26">
      <t>ショリ</t>
    </rPh>
    <rPh sb="27" eb="29">
      <t>ヒンパン</t>
    </rPh>
    <rPh sb="30" eb="32">
      <t>ハッセイ</t>
    </rPh>
    <rPh sb="37" eb="40">
      <t>ハンヨウテキ</t>
    </rPh>
    <rPh sb="41" eb="42">
      <t>アタイ</t>
    </rPh>
    <phoneticPr fontId="5"/>
  </si>
  <si>
    <t>3グループ、メンバー2重化</t>
    <rPh sb="11" eb="12">
      <t>ジュウ</t>
    </rPh>
    <rPh sb="12" eb="13">
      <t>カ</t>
    </rPh>
    <phoneticPr fontId="5"/>
  </si>
  <si>
    <t>用途</t>
    <rPh sb="0" eb="2">
      <t>ヨウト</t>
    </rPh>
    <phoneticPr fontId="11"/>
  </si>
  <si>
    <t>サイズ（概算）</t>
    <rPh sb="4" eb="6">
      <t>ガイサン</t>
    </rPh>
    <phoneticPr fontId="11"/>
  </si>
  <si>
    <t>方針・根拠</t>
  </si>
  <si>
    <t>インデックス格納用</t>
    <rPh sb="6" eb="8">
      <t>カクノウ</t>
    </rPh>
    <rPh sb="8" eb="9">
      <t>ヨウ</t>
    </rPh>
    <phoneticPr fontId="11"/>
  </si>
  <si>
    <t>IVR操作ログ格納用</t>
    <rPh sb="3" eb="5">
      <t>ソウサ</t>
    </rPh>
    <rPh sb="7" eb="9">
      <t>カクノウ</t>
    </rPh>
    <rPh sb="9" eb="10">
      <t>ヨウ</t>
    </rPh>
    <phoneticPr fontId="11"/>
  </si>
  <si>
    <t>IVR操作ログインデックス格納用</t>
    <rPh sb="3" eb="5">
      <t>ソウサ</t>
    </rPh>
    <rPh sb="13" eb="15">
      <t>カクノウ</t>
    </rPh>
    <rPh sb="15" eb="16">
      <t>ヨウ</t>
    </rPh>
    <phoneticPr fontId="11"/>
  </si>
  <si>
    <t>方針・根拠</t>
    <rPh sb="0" eb="2">
      <t>ホウシン</t>
    </rPh>
    <rPh sb="3" eb="5">
      <t>コンキョ</t>
    </rPh>
    <phoneticPr fontId="11"/>
  </si>
  <si>
    <t>メモリ</t>
    <phoneticPr fontId="11"/>
  </si>
  <si>
    <t>IVRで利用するOracleデータベースのインスタンスを以下のように設定する。</t>
    <rPh sb="4" eb="6">
      <t>リヨウ</t>
    </rPh>
    <rPh sb="28" eb="30">
      <t>イカ</t>
    </rPh>
    <rPh sb="34" eb="36">
      <t>セッテイ</t>
    </rPh>
    <phoneticPr fontId="5"/>
  </si>
  <si>
    <t>メモリーを共有する共有サーバーモードより、専用サーバーモードのほうがレスポンスに優れている、</t>
    <phoneticPr fontId="5"/>
  </si>
  <si>
    <t>7</t>
    <phoneticPr fontId="5"/>
  </si>
  <si>
    <t>言語設定</t>
    <rPh sb="0" eb="2">
      <t>ゲンゴ</t>
    </rPh>
    <rPh sb="2" eb="4">
      <t>セッテイ</t>
    </rPh>
    <phoneticPr fontId="5"/>
  </si>
  <si>
    <t>地域</t>
    <rPh sb="0" eb="2">
      <t>チイキ</t>
    </rPh>
    <phoneticPr fontId="5"/>
  </si>
  <si>
    <t>JAPANESE</t>
    <phoneticPr fontId="5"/>
  </si>
  <si>
    <t>JAPAN</t>
    <phoneticPr fontId="5"/>
  </si>
  <si>
    <t>8</t>
    <phoneticPr fontId="5"/>
  </si>
  <si>
    <t>制御ファイル</t>
    <rPh sb="0" eb="2">
      <t>セイギョ</t>
    </rPh>
    <phoneticPr fontId="5"/>
  </si>
  <si>
    <t>初期化パラメータファイルは動的パラメータSPFILEを使用し、動的に設定を変更できるようにする。</t>
    <rPh sb="0" eb="3">
      <t>ショキカ</t>
    </rPh>
    <rPh sb="13" eb="15">
      <t>ドウテキ</t>
    </rPh>
    <rPh sb="27" eb="29">
      <t>シヨウ</t>
    </rPh>
    <rPh sb="31" eb="33">
      <t>ドウテキ</t>
    </rPh>
    <rPh sb="34" eb="36">
      <t>セッテイ</t>
    </rPh>
    <rPh sb="37" eb="39">
      <t>ヘンコウ</t>
    </rPh>
    <phoneticPr fontId="5"/>
  </si>
  <si>
    <t>RECYCLEBIN</t>
    <phoneticPr fontId="5"/>
  </si>
  <si>
    <t>OFF</t>
    <phoneticPr fontId="5"/>
  </si>
  <si>
    <t>1000</t>
    <phoneticPr fontId="5"/>
  </si>
  <si>
    <t>DBFILES</t>
    <phoneticPr fontId="5"/>
  </si>
  <si>
    <t>1024</t>
    <phoneticPr fontId="5"/>
  </si>
  <si>
    <t>日本語環境。</t>
    <rPh sb="0" eb="3">
      <t>ニホンゴ</t>
    </rPh>
    <rPh sb="3" eb="5">
      <t>カンキョウ</t>
    </rPh>
    <phoneticPr fontId="5"/>
  </si>
  <si>
    <t>日本。</t>
    <rPh sb="0" eb="2">
      <t>ニホン</t>
    </rPh>
    <phoneticPr fontId="5"/>
  </si>
  <si>
    <t>する、ファイルを2重化する</t>
    <rPh sb="9" eb="10">
      <t>ジュウ</t>
    </rPh>
    <rPh sb="10" eb="11">
      <t>カ</t>
    </rPh>
    <phoneticPr fontId="5"/>
  </si>
  <si>
    <t>IVRで利用するOracleデータベースの表領域を以下のように設定する。</t>
    <rPh sb="4" eb="6">
      <t>リヨウ</t>
    </rPh>
    <rPh sb="21" eb="22">
      <t>ヒョウ</t>
    </rPh>
    <rPh sb="22" eb="24">
      <t>リョウイキ</t>
    </rPh>
    <rPh sb="25" eb="27">
      <t>イカ</t>
    </rPh>
    <rPh sb="31" eb="33">
      <t>セッテイ</t>
    </rPh>
    <phoneticPr fontId="5"/>
  </si>
  <si>
    <t>1. 処理設計方式（本番）</t>
    <rPh sb="3" eb="5">
      <t>ショリ</t>
    </rPh>
    <rPh sb="5" eb="7">
      <t>セッケイ</t>
    </rPh>
    <rPh sb="7" eb="9">
      <t>ホウシキ</t>
    </rPh>
    <rPh sb="10" eb="12">
      <t>ホンバン</t>
    </rPh>
    <phoneticPr fontId="5"/>
  </si>
  <si>
    <t>1-1-1. 処理方式設計の目的</t>
    <phoneticPr fontId="5"/>
  </si>
  <si>
    <t>1-1-2. 処理方式設計の要件と方針</t>
    <phoneticPr fontId="5"/>
  </si>
  <si>
    <t>No</t>
    <phoneticPr fontId="5"/>
  </si>
  <si>
    <t>分類</t>
    <rPh sb="0" eb="2">
      <t>ブンルイ</t>
    </rPh>
    <phoneticPr fontId="5"/>
  </si>
  <si>
    <t>設計要件</t>
    <rPh sb="0" eb="2">
      <t>セッケイ</t>
    </rPh>
    <rPh sb="2" eb="4">
      <t>ヨウケン</t>
    </rPh>
    <phoneticPr fontId="5"/>
  </si>
  <si>
    <t>機能実装方針</t>
    <rPh sb="0" eb="2">
      <t>キノウ</t>
    </rPh>
    <rPh sb="2" eb="4">
      <t>ジッソウ</t>
    </rPh>
    <rPh sb="4" eb="6">
      <t>ホウシン</t>
    </rPh>
    <phoneticPr fontId="5"/>
  </si>
  <si>
    <t>性能</t>
    <rPh sb="0" eb="2">
      <t>セイノウ</t>
    </rPh>
    <phoneticPr fontId="5"/>
  </si>
  <si>
    <t>拡張性</t>
    <rPh sb="0" eb="2">
      <t>カクチョウ</t>
    </rPh>
    <rPh sb="2" eb="3">
      <t>セイ</t>
    </rPh>
    <phoneticPr fontId="5"/>
  </si>
  <si>
    <t>信頼性</t>
    <rPh sb="0" eb="3">
      <t>シンライセイ</t>
    </rPh>
    <phoneticPr fontId="5"/>
  </si>
  <si>
    <t>自動音声応答サービスの提供に関わる機器及びネットワークに係るハードウェア的な障害に対し、SPOF(単一障害点)を排除する。</t>
    <phoneticPr fontId="5"/>
  </si>
  <si>
    <t>可用性</t>
    <rPh sb="0" eb="3">
      <t>カヨウセイ</t>
    </rPh>
    <phoneticPr fontId="5"/>
  </si>
  <si>
    <t>クラスタ構成および単一障害に伴う業務停止はしない構成とする。</t>
    <rPh sb="16" eb="18">
      <t>ギョウム</t>
    </rPh>
    <rPh sb="18" eb="20">
      <t>テイシ</t>
    </rPh>
    <phoneticPr fontId="5"/>
  </si>
  <si>
    <t>正常系</t>
    <rPh sb="0" eb="2">
      <t>セイジョウ</t>
    </rPh>
    <rPh sb="2" eb="3">
      <t>ケイ</t>
    </rPh>
    <phoneticPr fontId="5"/>
  </si>
  <si>
    <t>処理方式名</t>
    <rPh sb="0" eb="2">
      <t>ショリ</t>
    </rPh>
    <rPh sb="2" eb="4">
      <t>ホウシキ</t>
    </rPh>
    <rPh sb="4" eb="5">
      <t>メイ</t>
    </rPh>
    <phoneticPr fontId="5"/>
  </si>
  <si>
    <t>構成概念図</t>
    <rPh sb="0" eb="2">
      <t>コウセイ</t>
    </rPh>
    <rPh sb="2" eb="5">
      <t>ガイネンズ</t>
    </rPh>
    <phoneticPr fontId="5"/>
  </si>
  <si>
    <t>処理No.</t>
    <rPh sb="0" eb="2">
      <t>ショリ</t>
    </rPh>
    <phoneticPr fontId="5"/>
  </si>
  <si>
    <t>通信経路&lt;インターフェース&gt;</t>
    <rPh sb="0" eb="2">
      <t>ツウシン</t>
    </rPh>
    <rPh sb="2" eb="4">
      <t>ケイロ</t>
    </rPh>
    <phoneticPr fontId="5"/>
  </si>
  <si>
    <t>処理内容</t>
    <rPh sb="0" eb="2">
      <t>ショリ</t>
    </rPh>
    <rPh sb="2" eb="4">
      <t>ナイヨウ</t>
    </rPh>
    <phoneticPr fontId="5"/>
  </si>
  <si>
    <t>IVR DBの正常時処理方式を下記に示す。</t>
    <rPh sb="7" eb="9">
      <t>セイジョウ</t>
    </rPh>
    <rPh sb="9" eb="10">
      <t>ジ</t>
    </rPh>
    <rPh sb="10" eb="12">
      <t>ショリ</t>
    </rPh>
    <rPh sb="12" eb="14">
      <t>ホウシキ</t>
    </rPh>
    <rPh sb="15" eb="17">
      <t>カキ</t>
    </rPh>
    <rPh sb="18" eb="19">
      <t>シメ</t>
    </rPh>
    <phoneticPr fontId="5"/>
  </si>
  <si>
    <t>IVR DB処理方式</t>
    <rPh sb="6" eb="8">
      <t>ショリ</t>
    </rPh>
    <rPh sb="8" eb="10">
      <t>ホウシキ</t>
    </rPh>
    <phoneticPr fontId="5"/>
  </si>
  <si>
    <t>障害箇所</t>
    <rPh sb="0" eb="2">
      <t>ショウガイ</t>
    </rPh>
    <rPh sb="2" eb="4">
      <t>カショ</t>
    </rPh>
    <phoneticPr fontId="5"/>
  </si>
  <si>
    <t>障害時動作</t>
    <rPh sb="0" eb="2">
      <t>ショウガイ</t>
    </rPh>
    <rPh sb="2" eb="3">
      <t>ジ</t>
    </rPh>
    <rPh sb="3" eb="5">
      <t>ドウサ</t>
    </rPh>
    <phoneticPr fontId="5"/>
  </si>
  <si>
    <t>B</t>
    <phoneticPr fontId="5"/>
  </si>
  <si>
    <t>B</t>
    <phoneticPr fontId="5"/>
  </si>
  <si>
    <t>IBMホスト</t>
    <phoneticPr fontId="5"/>
  </si>
  <si>
    <t>資料請求受付データファイルの転送に失敗する。単独処理のため音声フローの実行には影響がない。
障害復旧後に手動でHULFTの再配信を実施する。</t>
    <rPh sb="0" eb="2">
      <t>シリョウ</t>
    </rPh>
    <rPh sb="2" eb="4">
      <t>セイキュウ</t>
    </rPh>
    <rPh sb="4" eb="6">
      <t>ウケツケ</t>
    </rPh>
    <rPh sb="14" eb="16">
      <t>テンソウ</t>
    </rPh>
    <rPh sb="17" eb="19">
      <t>シッパイ</t>
    </rPh>
    <rPh sb="22" eb="24">
      <t>タンドク</t>
    </rPh>
    <rPh sb="24" eb="26">
      <t>ショリ</t>
    </rPh>
    <rPh sb="29" eb="31">
      <t>オンセイ</t>
    </rPh>
    <rPh sb="35" eb="37">
      <t>ジッコウ</t>
    </rPh>
    <rPh sb="39" eb="41">
      <t>エイキョウ</t>
    </rPh>
    <rPh sb="46" eb="48">
      <t>ショウガイ</t>
    </rPh>
    <rPh sb="48" eb="50">
      <t>フッキュウ</t>
    </rPh>
    <rPh sb="50" eb="51">
      <t>ゴ</t>
    </rPh>
    <rPh sb="52" eb="54">
      <t>シュドウ</t>
    </rPh>
    <rPh sb="61" eb="64">
      <t>サイハイシン</t>
    </rPh>
    <rPh sb="65" eb="67">
      <t>ジッシ</t>
    </rPh>
    <phoneticPr fontId="5"/>
  </si>
  <si>
    <t>A</t>
    <phoneticPr fontId="5"/>
  </si>
  <si>
    <t>復旧時オペレーション</t>
    <rPh sb="0" eb="2">
      <t>フッキュウ</t>
    </rPh>
    <rPh sb="2" eb="3">
      <t>ジ</t>
    </rPh>
    <phoneticPr fontId="5"/>
  </si>
  <si>
    <t>次回HULFT起動時に再接続を行うため、特に対処は不要。</t>
    <rPh sb="0" eb="2">
      <t>ジカイ</t>
    </rPh>
    <rPh sb="7" eb="9">
      <t>キドウ</t>
    </rPh>
    <rPh sb="9" eb="10">
      <t>ジ</t>
    </rPh>
    <rPh sb="11" eb="14">
      <t>サイセツゾク</t>
    </rPh>
    <rPh sb="15" eb="16">
      <t>オコナ</t>
    </rPh>
    <rPh sb="20" eb="21">
      <t>トク</t>
    </rPh>
    <rPh sb="22" eb="24">
      <t>タイショ</t>
    </rPh>
    <rPh sb="25" eb="27">
      <t>フヨウ</t>
    </rPh>
    <phoneticPr fontId="5"/>
  </si>
  <si>
    <t>異常系</t>
    <rPh sb="0" eb="2">
      <t>イジョウ</t>
    </rPh>
    <rPh sb="2" eb="3">
      <t>ケイ</t>
    </rPh>
    <phoneticPr fontId="5"/>
  </si>
  <si>
    <t>IVR DB障害時処理方式</t>
    <rPh sb="6" eb="8">
      <t>ショウガイ</t>
    </rPh>
    <rPh sb="8" eb="9">
      <t>ジ</t>
    </rPh>
    <rPh sb="9" eb="11">
      <t>ショリ</t>
    </rPh>
    <rPh sb="11" eb="13">
      <t>ホウシキ</t>
    </rPh>
    <phoneticPr fontId="5"/>
  </si>
  <si>
    <t>IVR DBの障害時処理方式を下記に示す。</t>
    <rPh sb="7" eb="9">
      <t>ショウガイ</t>
    </rPh>
    <rPh sb="9" eb="10">
      <t>ジ</t>
    </rPh>
    <rPh sb="10" eb="12">
      <t>ショリ</t>
    </rPh>
    <rPh sb="12" eb="14">
      <t>ホウシキ</t>
    </rPh>
    <rPh sb="15" eb="17">
      <t>カキ</t>
    </rPh>
    <rPh sb="18" eb="19">
      <t>シメ</t>
    </rPh>
    <phoneticPr fontId="5"/>
  </si>
  <si>
    <t>C</t>
    <phoneticPr fontId="5"/>
  </si>
  <si>
    <t>共有　ディスク</t>
    <rPh sb="0" eb="2">
      <t>キョウユウ</t>
    </rPh>
    <phoneticPr fontId="5"/>
  </si>
  <si>
    <t>1-2. 処理方式設計</t>
  </si>
  <si>
    <t>1-2-1. 処理方式設計（正常系）</t>
    <rPh sb="7" eb="9">
      <t>ショリ</t>
    </rPh>
    <rPh sb="9" eb="11">
      <t>ホウシキ</t>
    </rPh>
    <rPh sb="11" eb="13">
      <t>セッケイ</t>
    </rPh>
    <rPh sb="14" eb="16">
      <t>セイジョウ</t>
    </rPh>
    <rPh sb="16" eb="17">
      <t>ケイ</t>
    </rPh>
    <phoneticPr fontId="5"/>
  </si>
  <si>
    <t>1-2-2. 処理方式設計（異常系）</t>
    <rPh sb="7" eb="9">
      <t>ショリ</t>
    </rPh>
    <rPh sb="9" eb="11">
      <t>ホウシキ</t>
    </rPh>
    <rPh sb="11" eb="13">
      <t>セッケイ</t>
    </rPh>
    <rPh sb="14" eb="16">
      <t>イジョウ</t>
    </rPh>
    <rPh sb="16" eb="17">
      <t>ケイ</t>
    </rPh>
    <phoneticPr fontId="5"/>
  </si>
  <si>
    <t>1-3. 処理方式設計（Oracle）</t>
    <rPh sb="5" eb="7">
      <t>ショリ</t>
    </rPh>
    <rPh sb="7" eb="9">
      <t>ホウシキ</t>
    </rPh>
    <rPh sb="9" eb="11">
      <t>セッケイ</t>
    </rPh>
    <phoneticPr fontId="5"/>
  </si>
  <si>
    <t>1-3-1. Oracle設計方針</t>
    <rPh sb="13" eb="15">
      <t>セッケイ</t>
    </rPh>
    <rPh sb="15" eb="17">
      <t>ホウシン</t>
    </rPh>
    <phoneticPr fontId="5"/>
  </si>
  <si>
    <t>1-3-2. 処理設計方式（インスタンス設計）</t>
    <rPh sb="7" eb="9">
      <t>ショリ</t>
    </rPh>
    <rPh sb="9" eb="11">
      <t>セッケイ</t>
    </rPh>
    <rPh sb="11" eb="13">
      <t>ホウシキ</t>
    </rPh>
    <phoneticPr fontId="5"/>
  </si>
  <si>
    <t>1-3-3. 処理設計方式（表領域設計）</t>
    <rPh sb="7" eb="9">
      <t>ショリ</t>
    </rPh>
    <rPh sb="9" eb="11">
      <t>セッケイ</t>
    </rPh>
    <rPh sb="11" eb="13">
      <t>ホウシキ</t>
    </rPh>
    <phoneticPr fontId="5"/>
  </si>
  <si>
    <t>1-3-4. 処理設計方式（メモリ設計）</t>
    <rPh sb="7" eb="9">
      <t>ショリ</t>
    </rPh>
    <rPh sb="9" eb="11">
      <t>セッケイ</t>
    </rPh>
    <rPh sb="11" eb="13">
      <t>ホウシキ</t>
    </rPh>
    <phoneticPr fontId="5"/>
  </si>
  <si>
    <t>Oracleデータベースのデータを格納している。参照・更新を行う。</t>
    <rPh sb="17" eb="19">
      <t>カクノウ</t>
    </rPh>
    <rPh sb="24" eb="26">
      <t>サンショウ</t>
    </rPh>
    <rPh sb="27" eb="29">
      <t>コウシン</t>
    </rPh>
    <rPh sb="30" eb="31">
      <t>オコナ</t>
    </rPh>
    <phoneticPr fontId="5"/>
  </si>
  <si>
    <t>表領域</t>
    <rPh sb="0" eb="1">
      <t>ヒョウ</t>
    </rPh>
    <rPh sb="1" eb="3">
      <t>リョウイキ</t>
    </rPh>
    <phoneticPr fontId="5"/>
  </si>
  <si>
    <t>A’</t>
    <phoneticPr fontId="5"/>
  </si>
  <si>
    <t>"A"と同じ動作になる。</t>
    <rPh sb="4" eb="5">
      <t>オナ</t>
    </rPh>
    <rPh sb="6" eb="8">
      <t>ドウサ</t>
    </rPh>
    <phoneticPr fontId="5"/>
  </si>
  <si>
    <t>Oracle/DB　本番インスタンス</t>
    <rPh sb="10" eb="12">
      <t>ホンバン</t>
    </rPh>
    <phoneticPr fontId="5"/>
  </si>
  <si>
    <t>システム表領域の障害</t>
    <rPh sb="4" eb="5">
      <t>ヒョウ</t>
    </rPh>
    <rPh sb="5" eb="7">
      <t>リョウイキ</t>
    </rPh>
    <rPh sb="8" eb="10">
      <t>ショウガイ</t>
    </rPh>
    <phoneticPr fontId="5"/>
  </si>
  <si>
    <t>表領域０１～０４の障害</t>
    <rPh sb="0" eb="1">
      <t>ヒョウ</t>
    </rPh>
    <rPh sb="1" eb="3">
      <t>リョウイキ</t>
    </rPh>
    <rPh sb="9" eb="11">
      <t>ショウガイ</t>
    </rPh>
    <phoneticPr fontId="5"/>
  </si>
  <si>
    <t>A
A’</t>
    <phoneticPr fontId="5"/>
  </si>
  <si>
    <t>"A"と同じ動作になる。
障害内容によってはバックアップからの復旧を検討する必要がある。
長時DB停止の場合の音声フロー側動作は、アプリ設計、運用設計にて検討する。</t>
    <rPh sb="4" eb="5">
      <t>オナ</t>
    </rPh>
    <rPh sb="6" eb="8">
      <t>ドウサ</t>
    </rPh>
    <rPh sb="13" eb="15">
      <t>ショウガイ</t>
    </rPh>
    <rPh sb="15" eb="17">
      <t>ナイヨウ</t>
    </rPh>
    <rPh sb="31" eb="33">
      <t>フッキュウ</t>
    </rPh>
    <rPh sb="34" eb="36">
      <t>ケントウ</t>
    </rPh>
    <rPh sb="38" eb="40">
      <t>ヒツヨウ</t>
    </rPh>
    <rPh sb="45" eb="47">
      <t>チョウジ</t>
    </rPh>
    <rPh sb="49" eb="51">
      <t>テイシ</t>
    </rPh>
    <rPh sb="52" eb="54">
      <t>バアイ</t>
    </rPh>
    <rPh sb="55" eb="57">
      <t>オンセイ</t>
    </rPh>
    <rPh sb="60" eb="61">
      <t>ガワ</t>
    </rPh>
    <rPh sb="61" eb="63">
      <t>ドウサ</t>
    </rPh>
    <rPh sb="68" eb="70">
      <t>セッケイ</t>
    </rPh>
    <rPh sb="71" eb="73">
      <t>ウンヨウ</t>
    </rPh>
    <rPh sb="73" eb="75">
      <t>セッケイ</t>
    </rPh>
    <rPh sb="77" eb="79">
      <t>ケントウ</t>
    </rPh>
    <phoneticPr fontId="5"/>
  </si>
  <si>
    <t>本番リスナー</t>
    <rPh sb="0" eb="2">
      <t>ホンバン</t>
    </rPh>
    <phoneticPr fontId="5"/>
  </si>
  <si>
    <t>"A"と同じオペレーションになる。</t>
    <rPh sb="4" eb="5">
      <t>オナ</t>
    </rPh>
    <phoneticPr fontId="5"/>
  </si>
  <si>
    <t>－</t>
    <phoneticPr fontId="5"/>
  </si>
  <si>
    <t>DB_NAME</t>
    <phoneticPr fontId="5"/>
  </si>
  <si>
    <t>システム表領域</t>
    <rPh sb="4" eb="5">
      <t>ヒョウ</t>
    </rPh>
    <rPh sb="5" eb="7">
      <t>リョウイキ</t>
    </rPh>
    <phoneticPr fontId="11"/>
  </si>
  <si>
    <t>補助表領域（SYSAUX)</t>
    <rPh sb="0" eb="2">
      <t>ホジョ</t>
    </rPh>
    <rPh sb="2" eb="3">
      <t>ヒョウ</t>
    </rPh>
    <rPh sb="3" eb="5">
      <t>リョウイキ</t>
    </rPh>
    <phoneticPr fontId="5"/>
  </si>
  <si>
    <t>AWRスナップショット間隔　</t>
    <rPh sb="11" eb="13">
      <t>カンカク</t>
    </rPh>
    <phoneticPr fontId="5"/>
  </si>
  <si>
    <t>AWRスナップショット保存日数</t>
    <rPh sb="11" eb="13">
      <t>ホゾン</t>
    </rPh>
    <rPh sb="13" eb="15">
      <t>ニッスウ</t>
    </rPh>
    <phoneticPr fontId="5"/>
  </si>
  <si>
    <t>アクティブセッションの平均数　</t>
    <rPh sb="11" eb="13">
      <t>ヘイキン</t>
    </rPh>
    <rPh sb="13" eb="14">
      <t>スウ</t>
    </rPh>
    <phoneticPr fontId="5"/>
  </si>
  <si>
    <t>概算　IVRログ(1)＋分析結果(2)＋マスタ（15）＋受付データ（3）＋IVR設定（10）＋予備(9)　=　40</t>
    <rPh sb="0" eb="2">
      <t>ガイサン</t>
    </rPh>
    <rPh sb="12" eb="14">
      <t>ブンセキ</t>
    </rPh>
    <rPh sb="14" eb="16">
      <t>ケッカ</t>
    </rPh>
    <rPh sb="28" eb="30">
      <t>ウケツケ</t>
    </rPh>
    <rPh sb="40" eb="42">
      <t>セッテイ</t>
    </rPh>
    <rPh sb="47" eb="49">
      <t>ヨビ</t>
    </rPh>
    <phoneticPr fontId="5"/>
  </si>
  <si>
    <t>パーティション数</t>
    <rPh sb="7" eb="8">
      <t>スウ</t>
    </rPh>
    <phoneticPr fontId="5"/>
  </si>
  <si>
    <t>オプティマイザ統計の保存日数</t>
    <rPh sb="7" eb="9">
      <t>トウケイ</t>
    </rPh>
    <rPh sb="10" eb="12">
      <t>ホゾン</t>
    </rPh>
    <rPh sb="12" eb="14">
      <t>ニッスウ</t>
    </rPh>
    <phoneticPr fontId="5"/>
  </si>
  <si>
    <t>DMLアクティビティの頻度</t>
    <rPh sb="11" eb="13">
      <t>ヒンド</t>
    </rPh>
    <phoneticPr fontId="5"/>
  </si>
  <si>
    <t>1:row、2:midium、3:hight  　midiumを選択</t>
    <rPh sb="32" eb="34">
      <t>センタク</t>
    </rPh>
    <phoneticPr fontId="5"/>
  </si>
  <si>
    <t>AWR分析の利用は未定のため初期値設定</t>
    <rPh sb="3" eb="5">
      <t>ブンセキ</t>
    </rPh>
    <rPh sb="6" eb="8">
      <t>リヨウ</t>
    </rPh>
    <rPh sb="9" eb="11">
      <t>ミテイ</t>
    </rPh>
    <rPh sb="14" eb="17">
      <t>ショキチ</t>
    </rPh>
    <rPh sb="17" eb="19">
      <t>セッテイ</t>
    </rPh>
    <phoneticPr fontId="5"/>
  </si>
  <si>
    <t>係数内容</t>
    <rPh sb="0" eb="2">
      <t>ケイスウ</t>
    </rPh>
    <rPh sb="2" eb="4">
      <t>ナイヨウ</t>
    </rPh>
    <phoneticPr fontId="5"/>
  </si>
  <si>
    <t>設定値</t>
    <rPh sb="0" eb="2">
      <t>セッテイ</t>
    </rPh>
    <rPh sb="2" eb="3">
      <t>チ</t>
    </rPh>
    <phoneticPr fontId="5"/>
  </si>
  <si>
    <t>根拠</t>
    <rPh sb="0" eb="2">
      <t>コンキョ</t>
    </rPh>
    <phoneticPr fontId="5"/>
  </si>
  <si>
    <t>計算ツール　utlsyxsz.sql　を利用して計算する。　係数概算は後述★１　SYSAUX 見積もり計算係数（概算）　を参照</t>
    <rPh sb="0" eb="2">
      <t>ケイサン</t>
    </rPh>
    <rPh sb="20" eb="22">
      <t>リヨウ</t>
    </rPh>
    <rPh sb="24" eb="26">
      <t>ケイサン</t>
    </rPh>
    <rPh sb="30" eb="32">
      <t>ケイスウ</t>
    </rPh>
    <rPh sb="32" eb="34">
      <t>ガイサン</t>
    </rPh>
    <rPh sb="35" eb="37">
      <t>コウジュツ</t>
    </rPh>
    <rPh sb="61" eb="63">
      <t>サンショウ</t>
    </rPh>
    <phoneticPr fontId="5"/>
  </si>
  <si>
    <t>計算</t>
    <rPh sb="0" eb="2">
      <t>ケイサン</t>
    </rPh>
    <phoneticPr fontId="5"/>
  </si>
  <si>
    <t>一次表領域</t>
    <rPh sb="0" eb="2">
      <t>イチジ</t>
    </rPh>
    <rPh sb="2" eb="3">
      <t>ヒョウ</t>
    </rPh>
    <rPh sb="3" eb="5">
      <t>リョウイキ</t>
    </rPh>
    <phoneticPr fontId="11"/>
  </si>
  <si>
    <t>UNDO表領域</t>
    <rPh sb="4" eb="5">
      <t>ヒョウ</t>
    </rPh>
    <rPh sb="5" eb="7">
      <t>リョウイキ</t>
    </rPh>
    <phoneticPr fontId="5"/>
  </si>
  <si>
    <t>1GB</t>
    <phoneticPr fontId="5"/>
  </si>
  <si>
    <t>合計</t>
    <rPh sb="0" eb="2">
      <t>ゴウケイ</t>
    </rPh>
    <phoneticPr fontId="5"/>
  </si>
  <si>
    <t>OS</t>
    <phoneticPr fontId="5"/>
  </si>
  <si>
    <t>その他</t>
    <rPh sb="2" eb="3">
      <t>タ</t>
    </rPh>
    <phoneticPr fontId="5"/>
  </si>
  <si>
    <t>1GB未満</t>
    <rPh sb="3" eb="5">
      <t>ミマン</t>
    </rPh>
    <phoneticPr fontId="5"/>
  </si>
  <si>
    <t>500M</t>
    <phoneticPr fontId="5"/>
  </si>
  <si>
    <t>研修環境Oracleメモリ</t>
    <rPh sb="0" eb="2">
      <t>ケンシュウ</t>
    </rPh>
    <rPh sb="2" eb="4">
      <t>カンキョウ</t>
    </rPh>
    <phoneticPr fontId="11"/>
  </si>
  <si>
    <t>100M程度</t>
    <rPh sb="4" eb="6">
      <t>テイド</t>
    </rPh>
    <phoneticPr fontId="5"/>
  </si>
  <si>
    <t>OS要件</t>
    <rPh sb="2" eb="4">
      <t>ヨウケン</t>
    </rPh>
    <phoneticPr fontId="5"/>
  </si>
  <si>
    <t>Oracleプロセス（バックグラウンドプロセスで２００M程度、リスナーのメモリを考慮しても1GB以下に収まる想定）</t>
    <rPh sb="28" eb="30">
      <t>テイド</t>
    </rPh>
    <rPh sb="40" eb="42">
      <t>コウリョ</t>
    </rPh>
    <rPh sb="48" eb="50">
      <t>イカ</t>
    </rPh>
    <rPh sb="51" eb="52">
      <t>オサ</t>
    </rPh>
    <rPh sb="54" eb="56">
      <t>ソウテイ</t>
    </rPh>
    <phoneticPr fontId="5"/>
  </si>
  <si>
    <t>★１　SYSAUX 見積もり計算係数（概算）</t>
    <phoneticPr fontId="5"/>
  </si>
  <si>
    <t>ORACLE</t>
    <phoneticPr fontId="5"/>
  </si>
  <si>
    <t>①</t>
    <phoneticPr fontId="5"/>
  </si>
  <si>
    <t>②</t>
    <phoneticPr fontId="5"/>
  </si>
  <si>
    <t>③</t>
    <phoneticPr fontId="5"/>
  </si>
  <si>
    <t>④</t>
    <phoneticPr fontId="5"/>
  </si>
  <si>
    <t>⑤</t>
    <phoneticPr fontId="5"/>
  </si>
  <si>
    <t>IVRログ</t>
  </si>
  <si>
    <t>資料受付データ</t>
  </si>
  <si>
    <t>通販受付データ</t>
  </si>
  <si>
    <t>キャンペーン受付データ</t>
  </si>
  <si>
    <t>IVR設定DBデータ(マスタデータ)</t>
  </si>
  <si>
    <t>IVR統計出力データ(メニュー利用状況)</t>
  </si>
  <si>
    <t>IVR統計出力データ(最大ポート利用数)</t>
  </si>
  <si>
    <t>1-1-3. データベース格納データ要件</t>
    <rPh sb="13" eb="15">
      <t>カクノウ</t>
    </rPh>
    <rPh sb="18" eb="20">
      <t>ヨウケン</t>
    </rPh>
    <phoneticPr fontId="5"/>
  </si>
  <si>
    <t>No</t>
    <phoneticPr fontId="5"/>
  </si>
  <si>
    <t>データ名</t>
    <rPh sb="3" eb="4">
      <t>メイ</t>
    </rPh>
    <phoneticPr fontId="5"/>
  </si>
  <si>
    <t>データ内容</t>
    <rPh sb="3" eb="5">
      <t>ナイヨウ</t>
    </rPh>
    <phoneticPr fontId="5"/>
  </si>
  <si>
    <t>IVRでの操作ログ</t>
    <rPh sb="5" eb="7">
      <t>ソウサ</t>
    </rPh>
    <phoneticPr fontId="5"/>
  </si>
  <si>
    <t>資料受付履歴データ</t>
    <rPh sb="0" eb="2">
      <t>シリョウ</t>
    </rPh>
    <rPh sb="2" eb="4">
      <t>ウケツケ</t>
    </rPh>
    <rPh sb="4" eb="6">
      <t>リレキ</t>
    </rPh>
    <phoneticPr fontId="5"/>
  </si>
  <si>
    <t>通販受付履歴データ</t>
    <rPh sb="0" eb="2">
      <t>ツウハン</t>
    </rPh>
    <rPh sb="2" eb="4">
      <t>ウケツケ</t>
    </rPh>
    <rPh sb="4" eb="6">
      <t>リレキ</t>
    </rPh>
    <phoneticPr fontId="5"/>
  </si>
  <si>
    <t>キャンペーン受付履歴データ</t>
    <rPh sb="6" eb="8">
      <t>ウケツケ</t>
    </rPh>
    <rPh sb="8" eb="10">
      <t>リレキ</t>
    </rPh>
    <phoneticPr fontId="5"/>
  </si>
  <si>
    <t>IVR用マスタデータ、ホリデーテーブル、営業時間データ</t>
    <rPh sb="3" eb="4">
      <t>ヨウ</t>
    </rPh>
    <rPh sb="20" eb="22">
      <t>エイギョウ</t>
    </rPh>
    <rPh sb="22" eb="24">
      <t>ジカン</t>
    </rPh>
    <phoneticPr fontId="5"/>
  </si>
  <si>
    <t>分析結果データ</t>
    <rPh sb="0" eb="2">
      <t>ブンセキ</t>
    </rPh>
    <rPh sb="2" eb="4">
      <t>ケッカ</t>
    </rPh>
    <phoneticPr fontId="5"/>
  </si>
  <si>
    <t>本番０１</t>
  </si>
  <si>
    <t>本番０２</t>
  </si>
  <si>
    <t>本番０３</t>
  </si>
  <si>
    <t>本番０４</t>
  </si>
  <si>
    <t>研修０１</t>
  </si>
  <si>
    <t>研修０２</t>
  </si>
  <si>
    <t>研修０３</t>
  </si>
  <si>
    <t>研修０４</t>
  </si>
  <si>
    <t>種別</t>
    <rPh sb="0" eb="2">
      <t>シュベツ</t>
    </rPh>
    <phoneticPr fontId="5"/>
  </si>
  <si>
    <t>IVRログ</t>
    <phoneticPr fontId="5"/>
  </si>
  <si>
    <t>業務データ</t>
    <rPh sb="0" eb="2">
      <t>ギョウム</t>
    </rPh>
    <phoneticPr fontId="5"/>
  </si>
  <si>
    <t>データ種別</t>
    <rPh sb="3" eb="5">
      <t>シュベツ</t>
    </rPh>
    <phoneticPr fontId="5"/>
  </si>
  <si>
    <t>分析</t>
    <rPh sb="0" eb="2">
      <t>ブンセキ</t>
    </rPh>
    <phoneticPr fontId="5"/>
  </si>
  <si>
    <t>業務データ・マスタ・格納用</t>
    <rPh sb="0" eb="2">
      <t>ギョウム</t>
    </rPh>
    <phoneticPr fontId="11"/>
  </si>
  <si>
    <t>マスタデータ</t>
    <phoneticPr fontId="5"/>
  </si>
  <si>
    <t>9</t>
    <phoneticPr fontId="5"/>
  </si>
  <si>
    <t>10</t>
    <phoneticPr fontId="5"/>
  </si>
  <si>
    <t>11</t>
    <phoneticPr fontId="5"/>
  </si>
  <si>
    <t>12</t>
    <phoneticPr fontId="5"/>
  </si>
  <si>
    <t>データ</t>
    <phoneticPr fontId="5"/>
  </si>
  <si>
    <t>○</t>
    <phoneticPr fontId="5"/>
  </si>
  <si>
    <t>インデックス</t>
    <phoneticPr fontId="5"/>
  </si>
  <si>
    <t>Oracle/DB
本番リスナー</t>
    <rPh sb="10" eb="12">
      <t>ホンバン</t>
    </rPh>
    <phoneticPr fontId="5"/>
  </si>
  <si>
    <t>IVR-DBとして必要な要件を記載する。</t>
    <rPh sb="9" eb="11">
      <t>ヒツヨウ</t>
    </rPh>
    <rPh sb="12" eb="14">
      <t>ヨウケン</t>
    </rPh>
    <rPh sb="15" eb="17">
      <t>キサイ</t>
    </rPh>
    <phoneticPr fontId="5"/>
  </si>
  <si>
    <t>３グループ作成し、冗長性を高める為、各グループメンバーを２重化する。</t>
    <rPh sb="5" eb="7">
      <t>サクセイ</t>
    </rPh>
    <rPh sb="9" eb="12">
      <t>ジョウチョウセイ</t>
    </rPh>
    <rPh sb="13" eb="14">
      <t>タカ</t>
    </rPh>
    <rPh sb="16" eb="17">
      <t>タメ</t>
    </rPh>
    <rPh sb="18" eb="19">
      <t>カク</t>
    </rPh>
    <rPh sb="29" eb="30">
      <t>ジュウ</t>
    </rPh>
    <rPh sb="30" eb="31">
      <t>カ</t>
    </rPh>
    <phoneticPr fontId="5"/>
  </si>
  <si>
    <t>日中にログスイッチが頻繁に発生しないサイズ（１～２時間でファイルが切り替わる程度のサイズ）とする。</t>
    <rPh sb="0" eb="2">
      <t>ニッチュウ</t>
    </rPh>
    <rPh sb="10" eb="12">
      <t>ヒンパン</t>
    </rPh>
    <rPh sb="13" eb="15">
      <t>ハッセイ</t>
    </rPh>
    <rPh sb="25" eb="27">
      <t>ジカン</t>
    </rPh>
    <rPh sb="33" eb="34">
      <t>キ</t>
    </rPh>
    <rPh sb="35" eb="36">
      <t>カ</t>
    </rPh>
    <rPh sb="38" eb="40">
      <t>テイド</t>
    </rPh>
    <phoneticPr fontId="5"/>
  </si>
  <si>
    <t>アーカイブログモードでの運用とする。冗長性を高める為、ファイルを２重化する。</t>
    <rPh sb="12" eb="14">
      <t>ウンヨウ</t>
    </rPh>
    <rPh sb="33" eb="34">
      <t>ジュウ</t>
    </rPh>
    <rPh sb="34" eb="35">
      <t>カ</t>
    </rPh>
    <phoneticPr fontId="5"/>
  </si>
  <si>
    <t>LOG_BUFFER</t>
    <phoneticPr fontId="5"/>
  </si>
  <si>
    <t>１M</t>
    <phoneticPr fontId="5"/>
  </si>
  <si>
    <t>１度の処理で大量更新発生しないシステムのため、１Mで指定し、問題があれば見直す対象とする。</t>
    <rPh sb="1" eb="2">
      <t>ド</t>
    </rPh>
    <rPh sb="3" eb="5">
      <t>ショリ</t>
    </rPh>
    <rPh sb="6" eb="8">
      <t>タイリョウ</t>
    </rPh>
    <rPh sb="8" eb="10">
      <t>コウシン</t>
    </rPh>
    <rPh sb="10" eb="12">
      <t>ハッセイ</t>
    </rPh>
    <rPh sb="26" eb="28">
      <t>シテイ</t>
    </rPh>
    <rPh sb="30" eb="32">
      <t>モンダイ</t>
    </rPh>
    <rPh sb="36" eb="38">
      <t>ミナオ</t>
    </rPh>
    <rPh sb="39" eb="41">
      <t>タイショウ</t>
    </rPh>
    <phoneticPr fontId="5"/>
  </si>
  <si>
    <t>OPEN_CURSORS</t>
    <phoneticPr fontId="5"/>
  </si>
  <si>
    <t>ゴミ箱を利用した、フラッシュバックリカバリー機能は利用しない。</t>
    <rPh sb="2" eb="3">
      <t>バコ</t>
    </rPh>
    <rPh sb="4" eb="6">
      <t>リヨウ</t>
    </rPh>
    <rPh sb="22" eb="24">
      <t>キノウ</t>
    </rPh>
    <rPh sb="25" eb="27">
      <t>リヨウ</t>
    </rPh>
    <phoneticPr fontId="5"/>
  </si>
  <si>
    <t>UNDO_RETENTION</t>
    <phoneticPr fontId="5"/>
  </si>
  <si>
    <t>専用サーバーモードを選択する。</t>
    <rPh sb="0" eb="2">
      <t>センヨウ</t>
    </rPh>
    <rPh sb="10" eb="12">
      <t>センタク</t>
    </rPh>
    <phoneticPr fontId="5"/>
  </si>
  <si>
    <t>8K</t>
    <phoneticPr fontId="5"/>
  </si>
  <si>
    <t>19</t>
  </si>
  <si>
    <t>通常運用ではCPUに負荷がかかるため、OFFにする。</t>
    <rPh sb="0" eb="2">
      <t>ツウジョウ</t>
    </rPh>
    <rPh sb="2" eb="4">
      <t>ウンヨウ</t>
    </rPh>
    <rPh sb="10" eb="12">
      <t>フカ</t>
    </rPh>
    <phoneticPr fontId="5"/>
  </si>
  <si>
    <t>自動管理機能を利用するため、初期値で設定する。</t>
    <rPh sb="0" eb="2">
      <t>ジドウ</t>
    </rPh>
    <rPh sb="2" eb="4">
      <t>カンリ</t>
    </rPh>
    <rPh sb="4" eb="6">
      <t>キノウ</t>
    </rPh>
    <rPh sb="7" eb="9">
      <t>リヨウ</t>
    </rPh>
    <rPh sb="14" eb="17">
      <t>ショキチ</t>
    </rPh>
    <rPh sb="18" eb="20">
      <t>セッテイ</t>
    </rPh>
    <phoneticPr fontId="5"/>
  </si>
  <si>
    <t>DB_FILE_MULTIBLOCK_READ_COUNT</t>
    <phoneticPr fontId="5"/>
  </si>
  <si>
    <t>DB_CACHE_ADVICE</t>
    <phoneticPr fontId="5"/>
  </si>
  <si>
    <t>CONTROL_FILE_RECORD_KEEP_TIME</t>
    <phoneticPr fontId="5"/>
  </si>
  <si>
    <t>STATISTICS_LEVEL</t>
    <phoneticPr fontId="5"/>
  </si>
  <si>
    <t>TYPICAL</t>
    <phoneticPr fontId="5"/>
  </si>
  <si>
    <t>統計情報の取得</t>
    <rPh sb="0" eb="2">
      <t>トウケイ</t>
    </rPh>
    <rPh sb="2" eb="4">
      <t>ジョウホウ</t>
    </rPh>
    <rPh sb="5" eb="7">
      <t>シュトク</t>
    </rPh>
    <phoneticPr fontId="5"/>
  </si>
  <si>
    <t>統計情報の取得は自動収集する。１日１回夜間バッチ後の実施するように時間調整する。</t>
    <rPh sb="0" eb="2">
      <t>トウケイ</t>
    </rPh>
    <rPh sb="2" eb="4">
      <t>ジョウホウ</t>
    </rPh>
    <rPh sb="5" eb="7">
      <t>シュトク</t>
    </rPh>
    <rPh sb="8" eb="10">
      <t>ジドウ</t>
    </rPh>
    <rPh sb="10" eb="12">
      <t>シュウシュウ</t>
    </rPh>
    <rPh sb="16" eb="17">
      <t>ニチ</t>
    </rPh>
    <rPh sb="18" eb="19">
      <t>カイ</t>
    </rPh>
    <rPh sb="19" eb="21">
      <t>ヤカン</t>
    </rPh>
    <rPh sb="24" eb="25">
      <t>ゴ</t>
    </rPh>
    <rPh sb="26" eb="28">
      <t>ジッシ</t>
    </rPh>
    <rPh sb="33" eb="35">
      <t>ジカン</t>
    </rPh>
    <rPh sb="35" eb="37">
      <t>チョウセイ</t>
    </rPh>
    <phoneticPr fontId="5"/>
  </si>
  <si>
    <t>20</t>
  </si>
  <si>
    <t>自動</t>
    <rPh sb="0" eb="2">
      <t>ジドウ</t>
    </rPh>
    <phoneticPr fontId="5"/>
  </si>
  <si>
    <t>自動セグメント領域管理を行う。エクステントはUNIFORM ALLOCATE管理を行いデータの断片化を防ぐ。</t>
    <rPh sb="0" eb="2">
      <t>ジドウ</t>
    </rPh>
    <rPh sb="7" eb="9">
      <t>リョウイキ</t>
    </rPh>
    <rPh sb="9" eb="11">
      <t>カンリ</t>
    </rPh>
    <rPh sb="12" eb="13">
      <t>オコナ</t>
    </rPh>
    <rPh sb="38" eb="40">
      <t>カンリ</t>
    </rPh>
    <rPh sb="41" eb="42">
      <t>オコナ</t>
    </rPh>
    <rPh sb="47" eb="50">
      <t>ダンペンカ</t>
    </rPh>
    <rPh sb="51" eb="52">
      <t>フセ</t>
    </rPh>
    <phoneticPr fontId="5"/>
  </si>
  <si>
    <t>500MB</t>
    <phoneticPr fontId="5"/>
  </si>
  <si>
    <t>1GB</t>
    <phoneticPr fontId="5"/>
  </si>
  <si>
    <t>各表領域の自動拡張はしない。ただし、システム表領域は障害がDB全体に及ぶこと、拡張幅が少ないこと、正確な見積もりができないことから自動拡張とする。</t>
    <rPh sb="0" eb="2">
      <t>カクヒョウ</t>
    </rPh>
    <rPh sb="2" eb="4">
      <t>リョウイキ</t>
    </rPh>
    <rPh sb="5" eb="7">
      <t>ジドウ</t>
    </rPh>
    <rPh sb="7" eb="9">
      <t>カクチョウ</t>
    </rPh>
    <rPh sb="22" eb="23">
      <t>ヒョウ</t>
    </rPh>
    <rPh sb="23" eb="25">
      <t>リョウイキ</t>
    </rPh>
    <rPh sb="26" eb="28">
      <t>ショウガイ</t>
    </rPh>
    <rPh sb="31" eb="33">
      <t>ゼンタイ</t>
    </rPh>
    <rPh sb="34" eb="35">
      <t>オヨ</t>
    </rPh>
    <rPh sb="39" eb="41">
      <t>カクチョウ</t>
    </rPh>
    <rPh sb="41" eb="42">
      <t>ハバ</t>
    </rPh>
    <rPh sb="43" eb="44">
      <t>スク</t>
    </rPh>
    <rPh sb="49" eb="51">
      <t>セイカク</t>
    </rPh>
    <rPh sb="52" eb="54">
      <t>ミツ</t>
    </rPh>
    <rPh sb="65" eb="67">
      <t>ジドウ</t>
    </rPh>
    <rPh sb="67" eb="69">
      <t>カクチョウ</t>
    </rPh>
    <phoneticPr fontId="5"/>
  </si>
  <si>
    <t>表領域を構成するデータファイル最大数、通常は表領域あたり１０程度で作成する、大きめに設定しておく。</t>
    <rPh sb="0" eb="1">
      <t>ヒョウ</t>
    </rPh>
    <rPh sb="1" eb="3">
      <t>リョウイキ</t>
    </rPh>
    <rPh sb="4" eb="6">
      <t>コウセイ</t>
    </rPh>
    <rPh sb="15" eb="17">
      <t>サイダイ</t>
    </rPh>
    <rPh sb="17" eb="18">
      <t>スウ</t>
    </rPh>
    <rPh sb="19" eb="21">
      <t>ツウジョウ</t>
    </rPh>
    <rPh sb="22" eb="23">
      <t>ヒョウ</t>
    </rPh>
    <rPh sb="23" eb="25">
      <t>リョウイキ</t>
    </rPh>
    <rPh sb="30" eb="32">
      <t>テイド</t>
    </rPh>
    <rPh sb="33" eb="35">
      <t>サクセイ</t>
    </rPh>
    <rPh sb="38" eb="39">
      <t>オオ</t>
    </rPh>
    <rPh sb="42" eb="44">
      <t>セッテイ</t>
    </rPh>
    <phoneticPr fontId="5"/>
  </si>
  <si>
    <t>１セッションションでのカーソル数、多くても100以下と考えるが、エラーが起きないように大きめに設定しておく。</t>
    <rPh sb="15" eb="16">
      <t>スウ</t>
    </rPh>
    <rPh sb="17" eb="18">
      <t>オオ</t>
    </rPh>
    <rPh sb="24" eb="26">
      <t>イカ</t>
    </rPh>
    <rPh sb="27" eb="28">
      <t>カンガ</t>
    </rPh>
    <rPh sb="36" eb="37">
      <t>オ</t>
    </rPh>
    <rPh sb="43" eb="44">
      <t>オオ</t>
    </rPh>
    <rPh sb="47" eb="49">
      <t>セッテイ</t>
    </rPh>
    <phoneticPr fontId="5"/>
  </si>
  <si>
    <t>インデックスとデータのテーブルスペースは分ける。また、データの利用、運用方法が違うものは分けるように検討する。</t>
    <rPh sb="20" eb="21">
      <t>ワ</t>
    </rPh>
    <rPh sb="31" eb="33">
      <t>リヨウ</t>
    </rPh>
    <rPh sb="34" eb="36">
      <t>ウンヨウ</t>
    </rPh>
    <rPh sb="36" eb="38">
      <t>ホウホウ</t>
    </rPh>
    <rPh sb="39" eb="40">
      <t>チガ</t>
    </rPh>
    <rPh sb="44" eb="45">
      <t>ワ</t>
    </rPh>
    <rPh sb="50" eb="52">
      <t>ケントウ</t>
    </rPh>
    <phoneticPr fontId="5"/>
  </si>
  <si>
    <t>UNDO表領域は自動拡張しない設定ため、自動管理される。</t>
    <rPh sb="4" eb="5">
      <t>ヒョウ</t>
    </rPh>
    <rPh sb="5" eb="7">
      <t>リョウイキ</t>
    </rPh>
    <rPh sb="8" eb="10">
      <t>ジドウ</t>
    </rPh>
    <rPh sb="10" eb="12">
      <t>カクチョウ</t>
    </rPh>
    <rPh sb="15" eb="17">
      <t>セッテイ</t>
    </rPh>
    <rPh sb="20" eb="22">
      <t>ジドウ</t>
    </rPh>
    <rPh sb="22" eb="24">
      <t>カンリ</t>
    </rPh>
    <phoneticPr fontId="5"/>
  </si>
  <si>
    <t>ただし、夜間バッチでの１処理あたり再長時間を20分以内と見積もり、UNDO表領域をサイジングする。</t>
    <rPh sb="12" eb="14">
      <t>ショリ</t>
    </rPh>
    <rPh sb="17" eb="18">
      <t>サイ</t>
    </rPh>
    <rPh sb="18" eb="19">
      <t>チョウ</t>
    </rPh>
    <rPh sb="37" eb="38">
      <t>ヒョウ</t>
    </rPh>
    <rPh sb="38" eb="40">
      <t>リョウイキ</t>
    </rPh>
    <phoneticPr fontId="5"/>
  </si>
  <si>
    <t>更新対象のレコード長はIVRログ：11622B、資料請求受付：100B、通販受付：100B、キャンペーン受付：100B。</t>
  </si>
  <si>
    <t>（1時間6000呼/60分）×20分保持×5ブロック×8KB ≒ 78MB</t>
  </si>
  <si>
    <t>初期を500MBにし、構築完了時に実サイズを確認し、調整する。</t>
    <rPh sb="0" eb="2">
      <t>ショキ</t>
    </rPh>
    <rPh sb="11" eb="13">
      <t>コウチク</t>
    </rPh>
    <rPh sb="13" eb="15">
      <t>カンリョウ</t>
    </rPh>
    <rPh sb="15" eb="16">
      <t>ジ</t>
    </rPh>
    <rPh sb="17" eb="18">
      <t>ジツ</t>
    </rPh>
    <rPh sb="22" eb="24">
      <t>カクニン</t>
    </rPh>
    <rPh sb="26" eb="28">
      <t>チョウセイ</t>
    </rPh>
    <phoneticPr fontId="5"/>
  </si>
  <si>
    <t>ブロック（8194B）数ではIVR-ログ=2ブロック、他それぞれ1ブロック　合計：5ブロック</t>
  </si>
  <si>
    <t>分析対象ログ集計処理：時間別利用状況（30B）×（24×2（0.5時間単位））＋メニュー利用状況（100B）×1日≒1.5KB</t>
    <rPh sb="0" eb="2">
      <t>ブンセキ</t>
    </rPh>
    <rPh sb="2" eb="4">
      <t>タイショウ</t>
    </rPh>
    <rPh sb="6" eb="8">
      <t>シュウケイ</t>
    </rPh>
    <rPh sb="8" eb="10">
      <t>ショリ</t>
    </rPh>
    <phoneticPr fontId="5"/>
  </si>
  <si>
    <t>オンライン処理での更新量：</t>
    <rPh sb="5" eb="7">
      <t>ショリ</t>
    </rPh>
    <rPh sb="9" eb="11">
      <t>コウシン</t>
    </rPh>
    <rPh sb="11" eb="12">
      <t>リョウ</t>
    </rPh>
    <phoneticPr fontId="5"/>
  </si>
  <si>
    <t>管理画面からの更新はマスタメンテのみ。マスタメンテは少量更新のみと考え誤差レベルとする。</t>
  </si>
  <si>
    <t>UNDO保持期間20分以内に上記処理が実行されるとして約810MB。オーバーヘッドを見て１G見積もる。</t>
    <rPh sb="4" eb="6">
      <t>ホジ</t>
    </rPh>
    <rPh sb="6" eb="8">
      <t>キカン</t>
    </rPh>
    <rPh sb="10" eb="11">
      <t>フン</t>
    </rPh>
    <rPh sb="11" eb="13">
      <t>イナイ</t>
    </rPh>
    <rPh sb="14" eb="16">
      <t>ジョウキ</t>
    </rPh>
    <rPh sb="16" eb="18">
      <t>ショリ</t>
    </rPh>
    <rPh sb="19" eb="21">
      <t>ジッコウ</t>
    </rPh>
    <rPh sb="27" eb="28">
      <t>ヤク</t>
    </rPh>
    <rPh sb="42" eb="43">
      <t>ミ</t>
    </rPh>
    <rPh sb="46" eb="48">
      <t>ミツ</t>
    </rPh>
    <phoneticPr fontId="5"/>
  </si>
  <si>
    <t>初期を500Mとし、テストフェーズでチューニングする。</t>
    <rPh sb="0" eb="2">
      <t>ショキ</t>
    </rPh>
    <phoneticPr fontId="5"/>
  </si>
  <si>
    <t>ユーザ（スキーマ）名</t>
    <rPh sb="9" eb="10">
      <t>メイ</t>
    </rPh>
    <phoneticPr fontId="5"/>
  </si>
  <si>
    <t>デフォルト表領域</t>
    <phoneticPr fontId="5"/>
  </si>
  <si>
    <t>デフォルト一時表領域</t>
    <rPh sb="5" eb="7">
      <t>イチジ</t>
    </rPh>
    <phoneticPr fontId="5"/>
  </si>
  <si>
    <t>一次表領域</t>
  </si>
  <si>
    <t>業務データ・マスタ・格納用</t>
  </si>
  <si>
    <t>4</t>
  </si>
  <si>
    <t>用途</t>
    <rPh sb="0" eb="2">
      <t>ヨウト</t>
    </rPh>
    <phoneticPr fontId="5"/>
  </si>
  <si>
    <t>概要</t>
    <rPh sb="0" eb="2">
      <t>ガイヨウ</t>
    </rPh>
    <phoneticPr fontId="5"/>
  </si>
  <si>
    <t>テーブル・オブジェクトの作成・所有者</t>
    <rPh sb="12" eb="14">
      <t>サクセイ</t>
    </rPh>
    <rPh sb="15" eb="18">
      <t>ショユウシャ</t>
    </rPh>
    <phoneticPr fontId="5"/>
  </si>
  <si>
    <t>音声フローからのログイン用</t>
    <rPh sb="0" eb="2">
      <t>オンセイ</t>
    </rPh>
    <rPh sb="12" eb="13">
      <t>ヨウ</t>
    </rPh>
    <phoneticPr fontId="5"/>
  </si>
  <si>
    <t>1-3-5-2.権限設計</t>
    <rPh sb="8" eb="10">
      <t>ケンゲン</t>
    </rPh>
    <rPh sb="10" eb="12">
      <t>セッケイ</t>
    </rPh>
    <phoneticPr fontId="5"/>
  </si>
  <si>
    <t>必要権限</t>
    <rPh sb="0" eb="2">
      <t>ヒツヨウ</t>
    </rPh>
    <rPh sb="2" eb="4">
      <t>ケンゲン</t>
    </rPh>
    <phoneticPr fontId="5"/>
  </si>
  <si>
    <t>テーブルの参照、データの更新・追加・削除</t>
    <rPh sb="5" eb="7">
      <t>サンショウ</t>
    </rPh>
    <rPh sb="12" eb="14">
      <t>コウシン</t>
    </rPh>
    <rPh sb="15" eb="17">
      <t>ツイカ</t>
    </rPh>
    <rPh sb="18" eb="20">
      <t>サクジョ</t>
    </rPh>
    <phoneticPr fontId="5"/>
  </si>
  <si>
    <t>1-3-6. 処理設計方式（リスナー設計）</t>
    <rPh sb="7" eb="9">
      <t>ショリ</t>
    </rPh>
    <rPh sb="9" eb="11">
      <t>セッケイ</t>
    </rPh>
    <rPh sb="11" eb="13">
      <t>ホウシキ</t>
    </rPh>
    <phoneticPr fontId="5"/>
  </si>
  <si>
    <t>1-3-6-1.リスナー覧</t>
    <rPh sb="12" eb="13">
      <t>ラン</t>
    </rPh>
    <phoneticPr fontId="5"/>
  </si>
  <si>
    <t>プロトコル</t>
    <phoneticPr fontId="5"/>
  </si>
  <si>
    <t>TCP</t>
    <phoneticPr fontId="5"/>
  </si>
  <si>
    <t>リスナー名</t>
    <rPh sb="4" eb="5">
      <t>メイ</t>
    </rPh>
    <phoneticPr fontId="5"/>
  </si>
  <si>
    <t>60</t>
    <phoneticPr fontId="5"/>
  </si>
  <si>
    <t>7</t>
    <phoneticPr fontId="5"/>
  </si>
  <si>
    <t>40</t>
    <phoneticPr fontId="5"/>
  </si>
  <si>
    <t>0</t>
    <phoneticPr fontId="5"/>
  </si>
  <si>
    <t>パーティションなし</t>
    <phoneticPr fontId="5"/>
  </si>
  <si>
    <t>90</t>
    <phoneticPr fontId="5"/>
  </si>
  <si>
    <t>2</t>
    <phoneticPr fontId="5"/>
  </si>
  <si>
    <t>1-3-7. 処理設計方式（定期メンテナンス設計）</t>
    <rPh sb="7" eb="9">
      <t>ショリ</t>
    </rPh>
    <rPh sb="9" eb="11">
      <t>セッケイ</t>
    </rPh>
    <rPh sb="11" eb="13">
      <t>ホウシキ</t>
    </rPh>
    <phoneticPr fontId="5"/>
  </si>
  <si>
    <t>データベースオブジェクトの定期メンテナンスの方針につい記載する。</t>
    <rPh sb="13" eb="15">
      <t>テイキ</t>
    </rPh>
    <rPh sb="22" eb="24">
      <t>ホウシン</t>
    </rPh>
    <rPh sb="27" eb="29">
      <t>キサイ</t>
    </rPh>
    <phoneticPr fontId="5"/>
  </si>
  <si>
    <t>1-3-7-1. ファイルの断片化解消</t>
    <rPh sb="14" eb="17">
      <t>ダンペンカ</t>
    </rPh>
    <rPh sb="17" eb="19">
      <t>カイショウ</t>
    </rPh>
    <phoneticPr fontId="5"/>
  </si>
  <si>
    <t>そのため、断片化しにくいように設計する。</t>
    <rPh sb="5" eb="8">
      <t>ダンペンカ</t>
    </rPh>
    <rPh sb="15" eb="17">
      <t>セッケイ</t>
    </rPh>
    <phoneticPr fontId="5"/>
  </si>
  <si>
    <t>表領域の断片化解消には、テーブルの再作成を行うしかない為、通常運用時には解消できない。</t>
    <rPh sb="0" eb="1">
      <t>ヒョウ</t>
    </rPh>
    <rPh sb="1" eb="3">
      <t>リョウイキ</t>
    </rPh>
    <rPh sb="4" eb="7">
      <t>ダンペンカ</t>
    </rPh>
    <rPh sb="7" eb="9">
      <t>カイショウ</t>
    </rPh>
    <rPh sb="17" eb="20">
      <t>サイサクセイ</t>
    </rPh>
    <rPh sb="21" eb="22">
      <t>オコナ</t>
    </rPh>
    <rPh sb="27" eb="28">
      <t>タメ</t>
    </rPh>
    <rPh sb="29" eb="31">
      <t>ツウジョウ</t>
    </rPh>
    <rPh sb="31" eb="33">
      <t>ウンヨウ</t>
    </rPh>
    <rPh sb="33" eb="34">
      <t>ジ</t>
    </rPh>
    <rPh sb="36" eb="38">
      <t>カイショウ</t>
    </rPh>
    <phoneticPr fontId="5"/>
  </si>
  <si>
    <t>データ（表領域）の断片化について</t>
    <phoneticPr fontId="5"/>
  </si>
  <si>
    <t>インデックスの断片化について</t>
    <phoneticPr fontId="5"/>
  </si>
  <si>
    <t>[表　1-2-2-1 異常時処理内容一覧]</t>
    <rPh sb="1" eb="2">
      <t>ヒョウ</t>
    </rPh>
    <rPh sb="11" eb="13">
      <t>イジョウ</t>
    </rPh>
    <rPh sb="13" eb="14">
      <t>ジ</t>
    </rPh>
    <rPh sb="14" eb="16">
      <t>ショリ</t>
    </rPh>
    <rPh sb="16" eb="18">
      <t>ナイヨウ</t>
    </rPh>
    <rPh sb="18" eb="20">
      <t>イチラン</t>
    </rPh>
    <phoneticPr fontId="5"/>
  </si>
  <si>
    <t>[表　1-2-1-2 表領域格納内容一覧]</t>
    <rPh sb="11" eb="12">
      <t>ヒョウ</t>
    </rPh>
    <rPh sb="12" eb="14">
      <t>リョウイキ</t>
    </rPh>
    <rPh sb="14" eb="16">
      <t>カクノウ</t>
    </rPh>
    <rPh sb="16" eb="18">
      <t>ナイヨウ</t>
    </rPh>
    <rPh sb="18" eb="20">
      <t>イチラン</t>
    </rPh>
    <phoneticPr fontId="5"/>
  </si>
  <si>
    <t>[表　1-2-1-1 正常時処理内容一覧]</t>
    <rPh sb="1" eb="2">
      <t>ヒョウ</t>
    </rPh>
    <rPh sb="11" eb="13">
      <t>セイジョウ</t>
    </rPh>
    <rPh sb="13" eb="14">
      <t>ジ</t>
    </rPh>
    <rPh sb="14" eb="16">
      <t>ショリ</t>
    </rPh>
    <rPh sb="16" eb="18">
      <t>ナイヨウ</t>
    </rPh>
    <rPh sb="18" eb="20">
      <t>イチラン</t>
    </rPh>
    <phoneticPr fontId="5"/>
  </si>
  <si>
    <t>[表　1-2-2-2 復旧時オペレーション一覧]</t>
    <rPh sb="1" eb="2">
      <t>ヒョウ</t>
    </rPh>
    <rPh sb="11" eb="13">
      <t>フッキュウ</t>
    </rPh>
    <rPh sb="13" eb="14">
      <t>ジ</t>
    </rPh>
    <rPh sb="21" eb="23">
      <t>イチラン</t>
    </rPh>
    <phoneticPr fontId="5"/>
  </si>
  <si>
    <t>AL16UTF16</t>
    <phoneticPr fontId="5"/>
  </si>
  <si>
    <t>初期値</t>
    <rPh sb="0" eb="3">
      <t>ショキチ</t>
    </rPh>
    <phoneticPr fontId="5"/>
  </si>
  <si>
    <t>経路</t>
    <rPh sb="0" eb="2">
      <t>ケイロ</t>
    </rPh>
    <phoneticPr fontId="5"/>
  </si>
  <si>
    <t>④</t>
    <phoneticPr fontId="5"/>
  </si>
  <si>
    <t>HULFTでローカルディスクの「資料請求受付データ」ファイルをIBMホストに配信する。</t>
    <rPh sb="16" eb="18">
      <t>シリョウ</t>
    </rPh>
    <rPh sb="18" eb="20">
      <t>セイキュウ</t>
    </rPh>
    <rPh sb="20" eb="22">
      <t>ウケツケ</t>
    </rPh>
    <rPh sb="38" eb="40">
      <t>ハイシン</t>
    </rPh>
    <phoneticPr fontId="5"/>
  </si>
  <si>
    <t>バッチ→ファイル</t>
    <phoneticPr fontId="5"/>
  </si>
  <si>
    <t>ファイル→HULFT→IBMホスト</t>
    <phoneticPr fontId="5"/>
  </si>
  <si>
    <t>概要図（正常時）</t>
    <rPh sb="0" eb="2">
      <t>ガイヨウ</t>
    </rPh>
    <rPh sb="2" eb="3">
      <t>ズ</t>
    </rPh>
    <rPh sb="4" eb="5">
      <t>セイ</t>
    </rPh>
    <rPh sb="5" eb="7">
      <t>ジョウジ</t>
    </rPh>
    <phoneticPr fontId="5"/>
  </si>
  <si>
    <t>障害時処理内容</t>
    <rPh sb="0" eb="2">
      <t>ショウガイ</t>
    </rPh>
    <rPh sb="2" eb="3">
      <t>ジ</t>
    </rPh>
    <rPh sb="3" eb="5">
      <t>ショリ</t>
    </rPh>
    <rPh sb="5" eb="7">
      <t>ナイヨウ</t>
    </rPh>
    <phoneticPr fontId="5"/>
  </si>
  <si>
    <t>障害時経路</t>
    <rPh sb="0" eb="2">
      <t>ショウガイ</t>
    </rPh>
    <rPh sb="2" eb="3">
      <t>ジ</t>
    </rPh>
    <rPh sb="3" eb="5">
      <t>ケイロ</t>
    </rPh>
    <phoneticPr fontId="5"/>
  </si>
  <si>
    <t>[表　1-2-3-1 ホスト連携正常時処理内容一覧]</t>
    <rPh sb="1" eb="2">
      <t>ヒョウ</t>
    </rPh>
    <rPh sb="14" eb="16">
      <t>レンケイ</t>
    </rPh>
    <rPh sb="16" eb="18">
      <t>セイジョウ</t>
    </rPh>
    <rPh sb="18" eb="19">
      <t>ジ</t>
    </rPh>
    <rPh sb="19" eb="21">
      <t>ショリ</t>
    </rPh>
    <rPh sb="21" eb="23">
      <t>ナイヨウ</t>
    </rPh>
    <rPh sb="23" eb="25">
      <t>イチラン</t>
    </rPh>
    <phoneticPr fontId="5"/>
  </si>
  <si>
    <t>OSの文字コードと合わせる。</t>
    <rPh sb="3" eb="5">
      <t>モジ</t>
    </rPh>
    <rPh sb="9" eb="10">
      <t>ア</t>
    </rPh>
    <phoneticPr fontId="5"/>
  </si>
  <si>
    <t>1-2-3. 処理方式設計（ホスト連携処理）</t>
    <rPh sb="17" eb="19">
      <t>レンケイ</t>
    </rPh>
    <rPh sb="19" eb="21">
      <t>ショリ</t>
    </rPh>
    <phoneticPr fontId="5"/>
  </si>
  <si>
    <t>LISTENER</t>
    <phoneticPr fontId="5"/>
  </si>
  <si>
    <t>13</t>
  </si>
  <si>
    <t>14</t>
  </si>
  <si>
    <t>15</t>
  </si>
  <si>
    <t>16</t>
    <phoneticPr fontId="5"/>
  </si>
  <si>
    <t>17</t>
    <phoneticPr fontId="5"/>
  </si>
  <si>
    <t>18</t>
    <phoneticPr fontId="5"/>
  </si>
  <si>
    <t>21</t>
  </si>
  <si>
    <t>SESSIONS</t>
    <phoneticPr fontId="5"/>
  </si>
  <si>
    <t>初期値で設定する。IVR－DBではテーブルの全表操作しないようにチューニングするため、大きな値にしない。</t>
    <rPh sb="0" eb="3">
      <t>ショキチ</t>
    </rPh>
    <rPh sb="4" eb="6">
      <t>セッテイ</t>
    </rPh>
    <rPh sb="22" eb="23">
      <t>ゼン</t>
    </rPh>
    <rPh sb="23" eb="24">
      <t>ヒョウ</t>
    </rPh>
    <rPh sb="24" eb="26">
      <t>ソウサ</t>
    </rPh>
    <rPh sb="43" eb="44">
      <t>オオ</t>
    </rPh>
    <rPh sb="46" eb="47">
      <t>アタイ</t>
    </rPh>
    <phoneticPr fontId="5"/>
  </si>
  <si>
    <t>バックアップ運用設計でリカバリ可能な日数を指定する。</t>
    <rPh sb="6" eb="8">
      <t>ウンヨウ</t>
    </rPh>
    <rPh sb="8" eb="10">
      <t>セッケイ</t>
    </rPh>
    <rPh sb="15" eb="17">
      <t>カノウ</t>
    </rPh>
    <rPh sb="18" eb="20">
      <t>ニッスウ</t>
    </rPh>
    <rPh sb="21" eb="23">
      <t>シテイ</t>
    </rPh>
    <phoneticPr fontId="5"/>
  </si>
  <si>
    <t>4.0GB未満</t>
    <rPh sb="5" eb="7">
      <t>ミマン</t>
    </rPh>
    <phoneticPr fontId="5"/>
  </si>
  <si>
    <t>クラスタ</t>
    <phoneticPr fontId="5"/>
  </si>
  <si>
    <t>1GB</t>
    <phoneticPr fontId="5"/>
  </si>
  <si>
    <t>HULFTなど</t>
    <phoneticPr fontId="5"/>
  </si>
  <si>
    <t>また、IVRDBへのアクセスは特定のユーザのみである。</t>
    <rPh sb="15" eb="17">
      <t>トクテイ</t>
    </rPh>
    <phoneticPr fontId="5"/>
  </si>
  <si>
    <t>IVR更改のDBサーバが使用する共有ディスク領域は、</t>
    <rPh sb="3" eb="5">
      <t>コウカイ</t>
    </rPh>
    <rPh sb="12" eb="14">
      <t>シヨウ</t>
    </rPh>
    <rPh sb="16" eb="18">
      <t>キョウユウ</t>
    </rPh>
    <rPh sb="22" eb="24">
      <t>リョウイキ</t>
    </rPh>
    <phoneticPr fontId="5"/>
  </si>
  <si>
    <t>共有ディスク上に存在するデータファイルは、</t>
    <rPh sb="0" eb="2">
      <t>キョウユウ</t>
    </rPh>
    <rPh sb="6" eb="7">
      <t>ジョウ</t>
    </rPh>
    <rPh sb="8" eb="10">
      <t>ソンザイ</t>
    </rPh>
    <phoneticPr fontId="5"/>
  </si>
  <si>
    <t>研修０５</t>
    <rPh sb="0" eb="2">
      <t>ケンシュウ</t>
    </rPh>
    <phoneticPr fontId="21"/>
  </si>
  <si>
    <t>研修０１</t>
    <rPh sb="0" eb="2">
      <t>ケンシュウ</t>
    </rPh>
    <phoneticPr fontId="21"/>
  </si>
  <si>
    <t>研修０２</t>
    <rPh sb="0" eb="2">
      <t>ケンシュウ</t>
    </rPh>
    <phoneticPr fontId="21"/>
  </si>
  <si>
    <t>研修０３</t>
    <rPh sb="0" eb="2">
      <t>ケンシュウ</t>
    </rPh>
    <phoneticPr fontId="21"/>
  </si>
  <si>
    <t>研修０４</t>
    <rPh sb="0" eb="2">
      <t>ケンシュウ</t>
    </rPh>
    <phoneticPr fontId="21"/>
  </si>
  <si>
    <t>（ＱＤＫ）ログテーブル</t>
  </si>
  <si>
    <t>（ＱＤＫ）アップロード履歴</t>
  </si>
  <si>
    <t>QDKのユーザ管理、リリース履歴格納用。1000回のリリース作業を想定。</t>
    <rPh sb="7" eb="9">
      <t>カンリ</t>
    </rPh>
    <rPh sb="14" eb="16">
      <t>リレキ</t>
    </rPh>
    <rPh sb="16" eb="18">
      <t>カクノウ</t>
    </rPh>
    <rPh sb="18" eb="19">
      <t>ヨウ</t>
    </rPh>
    <rPh sb="24" eb="25">
      <t>カイ</t>
    </rPh>
    <rPh sb="30" eb="32">
      <t>サギョウ</t>
    </rPh>
    <rPh sb="33" eb="35">
      <t>ソウテイ</t>
    </rPh>
    <phoneticPr fontId="5"/>
  </si>
  <si>
    <t>QDK用データ格納用</t>
  </si>
  <si>
    <t>QDK用データ格納用</t>
    <rPh sb="3" eb="4">
      <t>ヨウ</t>
    </rPh>
    <rPh sb="7" eb="9">
      <t>カクノウ</t>
    </rPh>
    <rPh sb="9" eb="10">
      <t>ヨウ</t>
    </rPh>
    <phoneticPr fontId="5"/>
  </si>
  <si>
    <t>5</t>
  </si>
  <si>
    <t>KISUSR02</t>
  </si>
  <si>
    <t>KISUSR03</t>
  </si>
  <si>
    <t>KISUSR04</t>
  </si>
  <si>
    <t>KISUSR01</t>
    <phoneticPr fontId="5"/>
  </si>
  <si>
    <t>KIKUSR01</t>
    <phoneticPr fontId="5"/>
  </si>
  <si>
    <t>KIKUSR02</t>
  </si>
  <si>
    <t>KIKUSR03</t>
  </si>
  <si>
    <t>KIKUSR04</t>
  </si>
  <si>
    <t>KIKQDK01</t>
    <phoneticPr fontId="5"/>
  </si>
  <si>
    <t>テーブル・インデックスの追加・削除。</t>
    <rPh sb="12" eb="14">
      <t>ツイカ</t>
    </rPh>
    <rPh sb="15" eb="17">
      <t>サクジョ</t>
    </rPh>
    <phoneticPr fontId="5"/>
  </si>
  <si>
    <t>バッチ→OracleClient→データベース</t>
    <phoneticPr fontId="5"/>
  </si>
  <si>
    <t>⑥</t>
    <phoneticPr fontId="5"/>
  </si>
  <si>
    <t>【Standby】サーバ上のファイルを手動で【Active】サーバの同じディレクトリにコピーする。</t>
    <rPh sb="12" eb="13">
      <t>ジョウ</t>
    </rPh>
    <rPh sb="19" eb="21">
      <t>シュドウ</t>
    </rPh>
    <rPh sb="34" eb="35">
      <t>オナ</t>
    </rPh>
    <phoneticPr fontId="5"/>
  </si>
  <si>
    <t>【Standby】ファイル→【Active】ファイル</t>
    <phoneticPr fontId="5"/>
  </si>
  <si>
    <t>ファイル→バッチ→共有ディスク</t>
    <phoneticPr fontId="5"/>
  </si>
  <si>
    <t>２重化（２ファイル）</t>
    <rPh sb="1" eb="2">
      <t>ジュウ</t>
    </rPh>
    <rPh sb="2" eb="3">
      <t>カ</t>
    </rPh>
    <phoneticPr fontId="5"/>
  </si>
  <si>
    <t>冗長化のため、制御ファイルを２重化する。</t>
    <rPh sb="0" eb="2">
      <t>ジョウチョウ</t>
    </rPh>
    <rPh sb="2" eb="3">
      <t>カ</t>
    </rPh>
    <rPh sb="7" eb="9">
      <t>セイギョ</t>
    </rPh>
    <rPh sb="15" eb="16">
      <t>ジュウ</t>
    </rPh>
    <rPh sb="16" eb="17">
      <t>カ</t>
    </rPh>
    <phoneticPr fontId="5"/>
  </si>
  <si>
    <t>2GB</t>
    <phoneticPr fontId="5"/>
  </si>
  <si>
    <t>③バッチ
　シーケンス処理の為、最大ソート実行の処理を検討。
　・メニュー利用状況：分析ログ（205B）×1日（71415×10）≒140MB</t>
    <phoneticPr fontId="5"/>
  </si>
  <si>
    <t>①音声フロー
　・キャンペーン受付履歴照会：40MB　、会員番号帯マスタ：1MB以下でそれぞれ同時実行数20
　　800MB+20MB=820MB
     ※上記以外の処理はインデックスユニークスキャンの為、一時表領域は使用しない。</t>
    <phoneticPr fontId="5"/>
  </si>
  <si>
    <t xml:space="preserve">②管理画面
　利用者が限られていて、同じ処理を複数人で行うことはない為、同時実行は考慮不要。
　履歴をソート、レンジスキャンする。最大31日分
　・キャンペーン受付履歴：14MB、資料請求受付履歴：11MB　各2倍の領域が必要　28MB+22MB=50MB
</t>
    <rPh sb="104" eb="105">
      <t>カク</t>
    </rPh>
    <phoneticPr fontId="5"/>
  </si>
  <si>
    <t xml:space="preserve">
(①+②+③)*安全係数(1.5)=1515MB　
よって表領域サイズは2GBとする（データファイルは1GB単位のため）</t>
    <phoneticPr fontId="5"/>
  </si>
  <si>
    <t>30G</t>
    <phoneticPr fontId="11"/>
  </si>
  <si>
    <t>18G</t>
    <phoneticPr fontId="11"/>
  </si>
  <si>
    <t>36G</t>
    <phoneticPr fontId="11"/>
  </si>
  <si>
    <t>テーブルサイズと同等のサイズを設定。</t>
    <rPh sb="8" eb="10">
      <t>ドウトウ</t>
    </rPh>
    <rPh sb="15" eb="17">
      <t>セッテイ</t>
    </rPh>
    <phoneticPr fontId="11"/>
  </si>
  <si>
    <t>他システムからはアクセス不可。</t>
    <phoneticPr fontId="5"/>
  </si>
  <si>
    <t>週次でフルバックアップ、日次で差分バックアップを取得する。</t>
    <phoneticPr fontId="5"/>
  </si>
  <si>
    <t>テーブルの参照、データの更新・追加・削除。</t>
    <rPh sb="5" eb="7">
      <t>サンショウ</t>
    </rPh>
    <rPh sb="12" eb="14">
      <t>コウシン</t>
    </rPh>
    <rPh sb="15" eb="17">
      <t>ツイカ</t>
    </rPh>
    <rPh sb="18" eb="20">
      <t>サクジョ</t>
    </rPh>
    <phoneticPr fontId="5"/>
  </si>
  <si>
    <t>テーブルの参照、データの更新・追加・削除、バッチ処理用の一時的なワークテーブルの追加・削除（truncate）、プロシージャの作成。</t>
    <rPh sb="5" eb="7">
      <t>サンショウ</t>
    </rPh>
    <rPh sb="12" eb="14">
      <t>コウシン</t>
    </rPh>
    <rPh sb="15" eb="17">
      <t>ツイカ</t>
    </rPh>
    <rPh sb="18" eb="20">
      <t>サクジョ</t>
    </rPh>
    <rPh sb="24" eb="26">
      <t>ショリ</t>
    </rPh>
    <rPh sb="26" eb="27">
      <t>ヨウ</t>
    </rPh>
    <rPh sb="28" eb="30">
      <t>イチジ</t>
    </rPh>
    <rPh sb="30" eb="31">
      <t>テキ</t>
    </rPh>
    <rPh sb="40" eb="42">
      <t>ツイカ</t>
    </rPh>
    <rPh sb="43" eb="45">
      <t>サクジョ</t>
    </rPh>
    <rPh sb="63" eb="65">
      <t>サクセイ</t>
    </rPh>
    <phoneticPr fontId="5"/>
  </si>
  <si>
    <t>対象種別</t>
    <rPh sb="0" eb="2">
      <t>タイショウ</t>
    </rPh>
    <rPh sb="2" eb="4">
      <t>シュベツ</t>
    </rPh>
    <phoneticPr fontId="5"/>
  </si>
  <si>
    <t>内容</t>
    <rPh sb="0" eb="2">
      <t>ナイヨウ</t>
    </rPh>
    <phoneticPr fontId="5"/>
  </si>
  <si>
    <t>内部ＤＢ</t>
    <rPh sb="0" eb="2">
      <t>ナイブ</t>
    </rPh>
    <phoneticPr fontId="5"/>
  </si>
  <si>
    <t>IVR設定DBデータ</t>
    <rPh sb="3" eb="5">
      <t>セッテイ</t>
    </rPh>
    <phoneticPr fontId="5"/>
  </si>
  <si>
    <t>資料受付データ</t>
    <rPh sb="0" eb="2">
      <t>シリョウ</t>
    </rPh>
    <rPh sb="2" eb="4">
      <t>ウケツケ</t>
    </rPh>
    <phoneticPr fontId="5"/>
  </si>
  <si>
    <t>キャンペーン受付データ</t>
    <rPh sb="6" eb="8">
      <t>ウケツケ</t>
    </rPh>
    <phoneticPr fontId="5"/>
  </si>
  <si>
    <t>通販受付データ</t>
    <rPh sb="0" eb="2">
      <t>ツウハン</t>
    </rPh>
    <rPh sb="2" eb="4">
      <t>ウケツケ</t>
    </rPh>
    <phoneticPr fontId="5"/>
  </si>
  <si>
    <t>現行内部DBテーブル</t>
    <rPh sb="0" eb="2">
      <t>ゲンコウ</t>
    </rPh>
    <rPh sb="2" eb="4">
      <t>ナイブ</t>
    </rPh>
    <phoneticPr fontId="5"/>
  </si>
  <si>
    <t>IVR設定DBデータ</t>
    <phoneticPr fontId="5"/>
  </si>
  <si>
    <t>IVR統計出力データ(最大ポート利用数)</t>
    <phoneticPr fontId="5"/>
  </si>
  <si>
    <t>IVR統計出力データ(メニュー利用状況)</t>
    <phoneticPr fontId="5"/>
  </si>
  <si>
    <t>NO</t>
    <phoneticPr fontId="5"/>
  </si>
  <si>
    <t>2</t>
    <phoneticPr fontId="5"/>
  </si>
  <si>
    <t>3</t>
  </si>
  <si>
    <t>6</t>
  </si>
  <si>
    <t>7</t>
  </si>
  <si>
    <t>8</t>
  </si>
  <si>
    <t>以下の値に安全率1.25倍かけ、キリのいい数値になるように調整</t>
    <rPh sb="0" eb="2">
      <t>イカ</t>
    </rPh>
    <phoneticPr fontId="5"/>
  </si>
  <si>
    <t>想定サイズ（GB）</t>
    <rPh sb="0" eb="2">
      <t>ソウテイ</t>
    </rPh>
    <phoneticPr fontId="5"/>
  </si>
  <si>
    <t>見積りサイズ（GB）</t>
    <rPh sb="0" eb="2">
      <t>ミツ</t>
    </rPh>
    <phoneticPr fontId="5"/>
  </si>
  <si>
    <t>最大同時接続数</t>
    <rPh sb="0" eb="2">
      <t>サイダイ</t>
    </rPh>
    <rPh sb="2" eb="4">
      <t>ドウジ</t>
    </rPh>
    <rPh sb="4" eb="6">
      <t>セツゾク</t>
    </rPh>
    <rPh sb="6" eb="7">
      <t>スウ</t>
    </rPh>
    <phoneticPr fontId="5"/>
  </si>
  <si>
    <t>★３　IVR操作履歴ログの再計算</t>
    <rPh sb="6" eb="8">
      <t>ソウサ</t>
    </rPh>
    <rPh sb="8" eb="10">
      <t>リレキ</t>
    </rPh>
    <rPh sb="13" eb="16">
      <t>サイケイサン</t>
    </rPh>
    <phoneticPr fontId="5"/>
  </si>
  <si>
    <t>★２　各データサイズ見積もり</t>
    <rPh sb="3" eb="4">
      <t>カク</t>
    </rPh>
    <rPh sb="10" eb="12">
      <t>ミツ</t>
    </rPh>
    <phoneticPr fontId="5"/>
  </si>
  <si>
    <t>QDK用データ</t>
    <rPh sb="3" eb="4">
      <t>ヨウ</t>
    </rPh>
    <phoneticPr fontId="5"/>
  </si>
  <si>
    <t>QDKのユーザ管理、リリース履歴格納用</t>
    <phoneticPr fontId="5"/>
  </si>
  <si>
    <t>9.4G</t>
    <phoneticPr fontId="5"/>
  </si>
  <si>
    <t>2.0G</t>
    <phoneticPr fontId="5"/>
  </si>
  <si>
    <t>IVR操作ログ格納用</t>
  </si>
  <si>
    <t>ログデータ</t>
    <phoneticPr fontId="5"/>
  </si>
  <si>
    <t>IVR操作ログ</t>
  </si>
  <si>
    <t>受付履歴データ</t>
    <rPh sb="0" eb="2">
      <t>ウケツケ</t>
    </rPh>
    <rPh sb="2" eb="4">
      <t>リレキ</t>
    </rPh>
    <phoneticPr fontId="5"/>
  </si>
  <si>
    <t>IVR業務データ・内部データ格納用のインデックスと合わせ２GBとする。</t>
    <rPh sb="25" eb="26">
      <t>ア</t>
    </rPh>
    <phoneticPr fontId="5"/>
  </si>
  <si>
    <t>後述★２　各データサイズ見積もり参照</t>
    <rPh sb="0" eb="2">
      <t>コウジュツ</t>
    </rPh>
    <rPh sb="5" eb="6">
      <t>カク</t>
    </rPh>
    <rPh sb="12" eb="14">
      <t>ミツ</t>
    </rPh>
    <rPh sb="16" eb="18">
      <t>サンショウ</t>
    </rPh>
    <phoneticPr fontId="11"/>
  </si>
  <si>
    <t>後述★２　各データサイズ見積もり参照。</t>
    <rPh sb="0" eb="2">
      <t>コウジュツ</t>
    </rPh>
    <rPh sb="5" eb="6">
      <t>カク</t>
    </rPh>
    <rPh sb="12" eb="14">
      <t>ミツ</t>
    </rPh>
    <rPh sb="16" eb="18">
      <t>サンショウ</t>
    </rPh>
    <phoneticPr fontId="11"/>
  </si>
  <si>
    <t>IVR操作履歴ログは後述★３参照。</t>
    <rPh sb="3" eb="5">
      <t>ソウサ</t>
    </rPh>
    <rPh sb="5" eb="7">
      <t>リレキ</t>
    </rPh>
    <rPh sb="10" eb="12">
      <t>コウジュツ</t>
    </rPh>
    <rPh sb="14" eb="16">
      <t>サンショウ</t>
    </rPh>
    <phoneticPr fontId="11"/>
  </si>
  <si>
    <t>1ファイル3Mとして100ファイルが保存される想定　3M×100=300M×1.5＝450MB</t>
    <rPh sb="18" eb="20">
      <t>ホゾン</t>
    </rPh>
    <rPh sb="23" eb="25">
      <t>ソウテイ</t>
    </rPh>
    <phoneticPr fontId="5"/>
  </si>
  <si>
    <t>450M</t>
    <phoneticPr fontId="5"/>
  </si>
  <si>
    <t>－</t>
    <phoneticPr fontId="5"/>
  </si>
  <si>
    <t>⑦</t>
    <phoneticPr fontId="5"/>
  </si>
  <si>
    <t>⑧</t>
    <phoneticPr fontId="5"/>
  </si>
  <si>
    <t>キャンペーン受付ファイル</t>
    <rPh sb="6" eb="8">
      <t>ウケツケ</t>
    </rPh>
    <phoneticPr fontId="5"/>
  </si>
  <si>
    <t>D</t>
    <phoneticPr fontId="5"/>
  </si>
  <si>
    <t>キャンペーン受付データファイルの転送に失敗する。単独処理のため音声フローの実行には影響がない。
障害復旧後に手動でHULFTの再配信を実施する。</t>
    <rPh sb="6" eb="8">
      <t>ウケツケ</t>
    </rPh>
    <rPh sb="16" eb="18">
      <t>テンソウ</t>
    </rPh>
    <rPh sb="19" eb="21">
      <t>シッパイ</t>
    </rPh>
    <rPh sb="24" eb="26">
      <t>タンドク</t>
    </rPh>
    <rPh sb="26" eb="28">
      <t>ショリ</t>
    </rPh>
    <rPh sb="31" eb="33">
      <t>オンセイ</t>
    </rPh>
    <rPh sb="37" eb="39">
      <t>ジッコウ</t>
    </rPh>
    <rPh sb="41" eb="43">
      <t>エイキョウ</t>
    </rPh>
    <rPh sb="48" eb="50">
      <t>ショウガイ</t>
    </rPh>
    <rPh sb="50" eb="52">
      <t>フッキュウ</t>
    </rPh>
    <rPh sb="52" eb="53">
      <t>ゴ</t>
    </rPh>
    <rPh sb="54" eb="56">
      <t>シュドウ</t>
    </rPh>
    <rPh sb="63" eb="66">
      <t>サイハイシン</t>
    </rPh>
    <rPh sb="67" eb="69">
      <t>ジッシ</t>
    </rPh>
    <phoneticPr fontId="5"/>
  </si>
  <si>
    <t>①</t>
    <phoneticPr fontId="5"/>
  </si>
  <si>
    <t>バッチ→OracleClient→データベース</t>
    <phoneticPr fontId="5"/>
  </si>
  <si>
    <t>バッチからOracleClient経由でキャンペーン受付データの抽出SQLを発行する</t>
    <rPh sb="17" eb="19">
      <t>ケイユ</t>
    </rPh>
    <rPh sb="26" eb="28">
      <t>ウケツケ</t>
    </rPh>
    <rPh sb="32" eb="34">
      <t>チュウシュツ</t>
    </rPh>
    <rPh sb="38" eb="40">
      <t>ハッコウ</t>
    </rPh>
    <phoneticPr fontId="5"/>
  </si>
  <si>
    <t>②</t>
    <phoneticPr fontId="5"/>
  </si>
  <si>
    <t>データベース→OracleClient→バッチ</t>
    <phoneticPr fontId="5"/>
  </si>
  <si>
    <t>③</t>
    <phoneticPr fontId="5"/>
  </si>
  <si>
    <t>バッチ→ファイル</t>
    <phoneticPr fontId="5"/>
  </si>
  <si>
    <t>④</t>
    <phoneticPr fontId="5"/>
  </si>
  <si>
    <t>⑤</t>
    <phoneticPr fontId="5"/>
  </si>
  <si>
    <t>送信済みの「キャンペーン受付データ」ファイルをRENAMEし、共有ディスクに移動格納する。
（保持期間180日を過ぎたものは削除する）
※前日障害で共有ディスクに移動できなかった場合を考慮し、ローカルにある「キャンペーン受付データ」はすべて移動する。</t>
    <rPh sb="0" eb="2">
      <t>ソウシン</t>
    </rPh>
    <rPh sb="2" eb="3">
      <t>ズ</t>
    </rPh>
    <rPh sb="12" eb="14">
      <t>ウケツケ</t>
    </rPh>
    <rPh sb="31" eb="33">
      <t>キョウユウ</t>
    </rPh>
    <rPh sb="38" eb="40">
      <t>イドウ</t>
    </rPh>
    <rPh sb="40" eb="42">
      <t>カクノウ</t>
    </rPh>
    <rPh sb="47" eb="49">
      <t>ホジ</t>
    </rPh>
    <rPh sb="49" eb="51">
      <t>キカン</t>
    </rPh>
    <rPh sb="54" eb="55">
      <t>ニチ</t>
    </rPh>
    <rPh sb="56" eb="57">
      <t>ス</t>
    </rPh>
    <rPh sb="62" eb="64">
      <t>サクジョ</t>
    </rPh>
    <rPh sb="69" eb="71">
      <t>ゼンジツ</t>
    </rPh>
    <rPh sb="71" eb="73">
      <t>ショウガイ</t>
    </rPh>
    <rPh sb="74" eb="76">
      <t>キョウユウ</t>
    </rPh>
    <rPh sb="81" eb="83">
      <t>イドウ</t>
    </rPh>
    <rPh sb="89" eb="91">
      <t>バアイ</t>
    </rPh>
    <rPh sb="92" eb="94">
      <t>コウリョ</t>
    </rPh>
    <rPh sb="110" eb="112">
      <t>ウケツケ</t>
    </rPh>
    <rPh sb="120" eb="122">
      <t>イドウ</t>
    </rPh>
    <phoneticPr fontId="5"/>
  </si>
  <si>
    <t>①</t>
    <phoneticPr fontId="5"/>
  </si>
  <si>
    <t>バッチ→OracleClient→データベース</t>
    <phoneticPr fontId="5"/>
  </si>
  <si>
    <t>②</t>
    <phoneticPr fontId="5"/>
  </si>
  <si>
    <t>データベース→OracleClient→バッチ</t>
    <phoneticPr fontId="5"/>
  </si>
  <si>
    <t>③</t>
    <phoneticPr fontId="5"/>
  </si>
  <si>
    <t>【Standby】ファイル→【Active】ファイル</t>
    <phoneticPr fontId="5"/>
  </si>
  <si>
    <t>⑥</t>
    <phoneticPr fontId="5"/>
  </si>
  <si>
    <t>ファイル→バッチ→共有ディスク</t>
    <phoneticPr fontId="5"/>
  </si>
  <si>
    <t>【Standby】送信済みの「キャンペーン受付データ」ファイルを共有ディスクに格納する。（保持期間180日）</t>
    <phoneticPr fontId="5"/>
  </si>
  <si>
    <t>⑥</t>
    <phoneticPr fontId="5"/>
  </si>
  <si>
    <t>⑦</t>
    <phoneticPr fontId="5"/>
  </si>
  <si>
    <t>D</t>
    <phoneticPr fontId="5"/>
  </si>
  <si>
    <t>データベース→OracleClient→バッチ</t>
    <phoneticPr fontId="5"/>
  </si>
  <si>
    <t>③</t>
    <phoneticPr fontId="5"/>
  </si>
  <si>
    <t>バッチ→ファイル</t>
    <phoneticPr fontId="5"/>
  </si>
  <si>
    <t>④</t>
    <phoneticPr fontId="5"/>
  </si>
  <si>
    <t>⑤</t>
    <phoneticPr fontId="5"/>
  </si>
  <si>
    <t>送信済みの「キャンペーン受付データ」ファイルをRENAMEし、共有ディスクに移動格納する。
（保持期間180日を過ぎたものは削除する）</t>
    <rPh sb="0" eb="2">
      <t>ソウシン</t>
    </rPh>
    <rPh sb="2" eb="3">
      <t>ズ</t>
    </rPh>
    <rPh sb="12" eb="14">
      <t>ウケツケ</t>
    </rPh>
    <rPh sb="31" eb="33">
      <t>キョウユウ</t>
    </rPh>
    <rPh sb="38" eb="40">
      <t>イドウ</t>
    </rPh>
    <rPh sb="40" eb="42">
      <t>カクノウ</t>
    </rPh>
    <rPh sb="47" eb="49">
      <t>ホジ</t>
    </rPh>
    <rPh sb="49" eb="51">
      <t>キカン</t>
    </rPh>
    <rPh sb="54" eb="55">
      <t>ニチ</t>
    </rPh>
    <rPh sb="56" eb="57">
      <t>ス</t>
    </rPh>
    <rPh sb="62" eb="64">
      <t>サクジョ</t>
    </rPh>
    <phoneticPr fontId="5"/>
  </si>
  <si>
    <t>バッチからOracleClient経由でキャンペーン受付データの抽出SQLを発行する</t>
    <rPh sb="26" eb="28">
      <t>ウケツケ</t>
    </rPh>
    <rPh sb="32" eb="34">
      <t>チュウシュツ</t>
    </rPh>
    <rPh sb="38" eb="40">
      <t>ハッコウ</t>
    </rPh>
    <phoneticPr fontId="5"/>
  </si>
  <si>
    <t>【Standby】ファイル→【Active】ファイル</t>
    <phoneticPr fontId="5"/>
  </si>
  <si>
    <t>⑥</t>
    <phoneticPr fontId="5"/>
  </si>
  <si>
    <t>ファイル→バッチ→共有ディスク</t>
    <phoneticPr fontId="5"/>
  </si>
  <si>
    <t>【Standby】送信済みの「キャンペーン受付データ」ファイルを共有ディスクに格納する。（保持期間180日）</t>
    <phoneticPr fontId="5"/>
  </si>
  <si>
    <t>管理画面サーバ→OracleDB</t>
    <phoneticPr fontId="5"/>
  </si>
  <si>
    <t>音声フロー→OracleDB</t>
    <phoneticPr fontId="5"/>
  </si>
  <si>
    <t>常時オンライン実行。
音声フロー用のマスタ、制御情報を参照する。受付履歴の書き込みを行う。</t>
    <phoneticPr fontId="5"/>
  </si>
  <si>
    <t>管理画面起動時、随時オンライン実行。
マスタメンテナンス、受付履歴の参照、音声登録、分析業務を行う。</t>
    <phoneticPr fontId="5"/>
  </si>
  <si>
    <t>⑦</t>
    <phoneticPr fontId="5"/>
  </si>
  <si>
    <t>⑧</t>
    <phoneticPr fontId="5"/>
  </si>
  <si>
    <t>E</t>
    <phoneticPr fontId="5"/>
  </si>
  <si>
    <t>送信済みの「キャンペーン受付データ」ファイルをRENAMEし、共有ディスクに移動格納する。
（保持期間180日を過ぎたものは削除する）
※本番環境と同じ機能を提供します。</t>
    <rPh sb="0" eb="2">
      <t>ソウシン</t>
    </rPh>
    <rPh sb="2" eb="3">
      <t>ズ</t>
    </rPh>
    <rPh sb="12" eb="14">
      <t>ウケツケ</t>
    </rPh>
    <rPh sb="31" eb="33">
      <t>キョウユウ</t>
    </rPh>
    <rPh sb="38" eb="40">
      <t>イドウ</t>
    </rPh>
    <rPh sb="40" eb="42">
      <t>カクノウ</t>
    </rPh>
    <rPh sb="47" eb="49">
      <t>ホジ</t>
    </rPh>
    <rPh sb="49" eb="51">
      <t>キカン</t>
    </rPh>
    <rPh sb="54" eb="55">
      <t>ニチ</t>
    </rPh>
    <rPh sb="56" eb="57">
      <t>ス</t>
    </rPh>
    <rPh sb="62" eb="64">
      <t>サクジョ</t>
    </rPh>
    <rPh sb="69" eb="71">
      <t>ホンバン</t>
    </rPh>
    <rPh sb="71" eb="73">
      <t>カンキョウ</t>
    </rPh>
    <rPh sb="74" eb="75">
      <t>オナ</t>
    </rPh>
    <rPh sb="76" eb="78">
      <t>キノウ</t>
    </rPh>
    <rPh sb="79" eb="81">
      <t>テイキョウ</t>
    </rPh>
    <phoneticPr fontId="5"/>
  </si>
  <si>
    <t>音声フロー→OracleDB</t>
    <phoneticPr fontId="21"/>
  </si>
  <si>
    <t>管理画面サーバ→OracleDB</t>
    <phoneticPr fontId="21"/>
  </si>
  <si>
    <t>常時オンライン実行。
音声フロー用のマスタ、制御情報を参照する。受付履歴の書き込みを行う。</t>
    <phoneticPr fontId="5"/>
  </si>
  <si>
    <t>管理画面起動時、随時オンライン実行。
マスタメンテナンス、受付履歴の参照、音声登録、分析業務を行う。</t>
    <phoneticPr fontId="21"/>
  </si>
  <si>
    <t>音声フロー→OracleDB</t>
    <phoneticPr fontId="5"/>
  </si>
  <si>
    <t>管理画面サーバ→OracleDB</t>
    <phoneticPr fontId="5"/>
  </si>
  <si>
    <t>常時オンライン実行。
音声フロー用のマスタ、制御情報を参照する。受付履歴の書き込みを行う。</t>
    <phoneticPr fontId="5"/>
  </si>
  <si>
    <t>管理画面起動時、随時オンライン実行。
マスタメンテナンス、受付履歴の参照、音声登録、分析業務を行う。</t>
    <phoneticPr fontId="5"/>
  </si>
  <si>
    <t>1-2. 処理方式設計</t>
    <phoneticPr fontId="5"/>
  </si>
  <si>
    <t>2-2. 処理方式設計</t>
    <phoneticPr fontId="5"/>
  </si>
  <si>
    <t>3-2. 処理方式設計</t>
    <phoneticPr fontId="21"/>
  </si>
  <si>
    <t>1日の想定1M×180日=180M バッファを入れて200M</t>
    <rPh sb="1" eb="2">
      <t>ニチ</t>
    </rPh>
    <rPh sb="3" eb="5">
      <t>ソウテイ</t>
    </rPh>
    <rPh sb="11" eb="12">
      <t>ニチ</t>
    </rPh>
    <rPh sb="23" eb="24">
      <t>イ</t>
    </rPh>
    <phoneticPr fontId="5"/>
  </si>
  <si>
    <t>1日の想定1M×180日=180M バッファを入れて200M</t>
    <phoneticPr fontId="5"/>
  </si>
  <si>
    <t>200M</t>
    <phoneticPr fontId="5"/>
  </si>
  <si>
    <t>200M</t>
    <phoneticPr fontId="5"/>
  </si>
  <si>
    <t>集配信HUB</t>
    <rPh sb="0" eb="1">
      <t>シュウ</t>
    </rPh>
    <rPh sb="1" eb="3">
      <t>ハイシン</t>
    </rPh>
    <phoneticPr fontId="5"/>
  </si>
  <si>
    <t>1-2-4. 処理方式設計（集配信HUB連携処理）</t>
    <rPh sb="14" eb="16">
      <t>シュウハイ</t>
    </rPh>
    <rPh sb="16" eb="17">
      <t>シン</t>
    </rPh>
    <rPh sb="20" eb="22">
      <t>レンケイ</t>
    </rPh>
    <rPh sb="22" eb="24">
      <t>ショリ</t>
    </rPh>
    <phoneticPr fontId="5"/>
  </si>
  <si>
    <t>ファイル→HULFT→集配信HUB</t>
    <rPh sb="11" eb="13">
      <t>シュウハイ</t>
    </rPh>
    <rPh sb="13" eb="14">
      <t>シン</t>
    </rPh>
    <phoneticPr fontId="5"/>
  </si>
  <si>
    <t>HULFTでローカルディスクの「キャンペーン受付データ」ファイルを集配信HUBに配信する。</t>
    <rPh sb="22" eb="24">
      <t>ウケツケ</t>
    </rPh>
    <rPh sb="33" eb="35">
      <t>シュウハイ</t>
    </rPh>
    <rPh sb="35" eb="36">
      <t>シン</t>
    </rPh>
    <rPh sb="40" eb="42">
      <t>ハイシン</t>
    </rPh>
    <phoneticPr fontId="5"/>
  </si>
  <si>
    <t>[表　1-2-4-1 集配信HUB連携正常時処理内容一覧]</t>
    <rPh sb="1" eb="2">
      <t>ヒョウ</t>
    </rPh>
    <rPh sb="11" eb="13">
      <t>シュウハイ</t>
    </rPh>
    <rPh sb="13" eb="14">
      <t>シン</t>
    </rPh>
    <rPh sb="17" eb="19">
      <t>レンケイ</t>
    </rPh>
    <rPh sb="19" eb="21">
      <t>セイジョウ</t>
    </rPh>
    <rPh sb="21" eb="22">
      <t>ジ</t>
    </rPh>
    <rPh sb="22" eb="24">
      <t>ショリ</t>
    </rPh>
    <rPh sb="24" eb="26">
      <t>ナイヨウ</t>
    </rPh>
    <rPh sb="26" eb="28">
      <t>イチラン</t>
    </rPh>
    <phoneticPr fontId="5"/>
  </si>
  <si>
    <t>【Active】ファイル→【Active】HULFT→集配信HUB</t>
    <rPh sb="27" eb="29">
      <t>シュウハイ</t>
    </rPh>
    <rPh sb="29" eb="30">
      <t>シン</t>
    </rPh>
    <phoneticPr fontId="5"/>
  </si>
  <si>
    <t>【Active】HULFTでローカルディスクの「キャンペーン受付データ」ファイルを集配信HUBに配信する。</t>
    <rPh sb="30" eb="32">
      <t>ウケツケ</t>
    </rPh>
    <rPh sb="41" eb="43">
      <t>シュウハイ</t>
    </rPh>
    <rPh sb="43" eb="44">
      <t>シン</t>
    </rPh>
    <rPh sb="48" eb="50">
      <t>ハイシン</t>
    </rPh>
    <phoneticPr fontId="5"/>
  </si>
  <si>
    <t>2-2-4. 処理方式設計（集配信HUB連携処理）</t>
    <rPh sb="14" eb="16">
      <t>シュウハイ</t>
    </rPh>
    <rPh sb="16" eb="17">
      <t>シン</t>
    </rPh>
    <rPh sb="20" eb="22">
      <t>レンケイ</t>
    </rPh>
    <rPh sb="22" eb="24">
      <t>ショリ</t>
    </rPh>
    <phoneticPr fontId="5"/>
  </si>
  <si>
    <t>[表　2-2-4-1 集配信HUB連携正常時処理内容一覧]</t>
    <rPh sb="1" eb="2">
      <t>ヒョウ</t>
    </rPh>
    <rPh sb="11" eb="13">
      <t>シュウハイ</t>
    </rPh>
    <rPh sb="13" eb="14">
      <t>シン</t>
    </rPh>
    <rPh sb="17" eb="19">
      <t>レンケイ</t>
    </rPh>
    <rPh sb="19" eb="21">
      <t>セイジョウ</t>
    </rPh>
    <rPh sb="21" eb="22">
      <t>ジ</t>
    </rPh>
    <rPh sb="22" eb="24">
      <t>ショリ</t>
    </rPh>
    <rPh sb="24" eb="26">
      <t>ナイヨウ</t>
    </rPh>
    <rPh sb="26" eb="28">
      <t>イチラン</t>
    </rPh>
    <phoneticPr fontId="5"/>
  </si>
  <si>
    <t>ファイル→HULFT→集配信HUB</t>
    <rPh sb="11" eb="12">
      <t>シュウ</t>
    </rPh>
    <rPh sb="12" eb="14">
      <t>ハイシン</t>
    </rPh>
    <phoneticPr fontId="5"/>
  </si>
  <si>
    <t>3-2-4. 処理方式設計（集配信HUB連携処理）</t>
    <rPh sb="14" eb="16">
      <t>シュウハイ</t>
    </rPh>
    <rPh sb="16" eb="17">
      <t>シン</t>
    </rPh>
    <rPh sb="20" eb="22">
      <t>レンケイ</t>
    </rPh>
    <rPh sb="22" eb="24">
      <t>ショリ</t>
    </rPh>
    <phoneticPr fontId="5"/>
  </si>
  <si>
    <t>HULFTでローカルディスクの「キャンペーン受付データ」ファイルを集配信HUBに配信する。</t>
    <rPh sb="22" eb="24">
      <t>ウケツケ</t>
    </rPh>
    <rPh sb="33" eb="34">
      <t>シュウ</t>
    </rPh>
    <rPh sb="34" eb="36">
      <t>ハイシン</t>
    </rPh>
    <rPh sb="40" eb="42">
      <t>ハイシン</t>
    </rPh>
    <phoneticPr fontId="5"/>
  </si>
  <si>
    <t>[表　3-2-4-1 集配信HUB連携正常時処理内容一覧]</t>
    <rPh sb="1" eb="2">
      <t>ヒョウ</t>
    </rPh>
    <rPh sb="11" eb="12">
      <t>シュウ</t>
    </rPh>
    <rPh sb="12" eb="14">
      <t>ハイシン</t>
    </rPh>
    <rPh sb="17" eb="19">
      <t>レンケイ</t>
    </rPh>
    <rPh sb="19" eb="21">
      <t>セイジョウ</t>
    </rPh>
    <rPh sb="21" eb="22">
      <t>ジ</t>
    </rPh>
    <rPh sb="22" eb="24">
      <t>ショリ</t>
    </rPh>
    <rPh sb="24" eb="26">
      <t>ナイヨウ</t>
    </rPh>
    <rPh sb="26" eb="28">
      <t>イチラン</t>
    </rPh>
    <phoneticPr fontId="5"/>
  </si>
  <si>
    <t>上記A、B、Dの各項目に対する復旧時オペレーションについて記載する。</t>
    <phoneticPr fontId="5"/>
  </si>
  <si>
    <t>上記A、B、Eの各項目に対する復旧時オペレーションについて記載する。</t>
    <phoneticPr fontId="5"/>
  </si>
  <si>
    <t>将来的に6カ月保持に変更になった場合を考慮し、4.5×6=27G　表領域サイズを30GBとする。</t>
    <phoneticPr fontId="5"/>
  </si>
  <si>
    <t>MSYS
杉田</t>
    <rPh sb="5" eb="7">
      <t>スギタ</t>
    </rPh>
    <phoneticPr fontId="5"/>
  </si>
  <si>
    <t>MSYS
八代</t>
    <rPh sb="5" eb="7">
      <t>ヤシロ</t>
    </rPh>
    <phoneticPr fontId="5"/>
  </si>
  <si>
    <r>
      <t>DBサーバ基本設計書（</t>
    </r>
    <r>
      <rPr>
        <b/>
        <sz val="28"/>
        <color rgb="FFFF0000"/>
        <rFont val="ＭＳ Ｐゴシック"/>
        <family val="3"/>
        <charset val="128"/>
      </rPr>
      <t>AEP</t>
    </r>
    <r>
      <rPr>
        <b/>
        <sz val="28"/>
        <color indexed="8"/>
        <rFont val="ＭＳ Ｐゴシック"/>
        <family val="3"/>
        <charset val="128"/>
      </rPr>
      <t>基盤編）</t>
    </r>
    <phoneticPr fontId="5"/>
  </si>
  <si>
    <t>(180382)【IVR】システム更改</t>
    <phoneticPr fontId="5"/>
  </si>
  <si>
    <t>(180382)【IVR】システム更改</t>
    <phoneticPr fontId="5"/>
  </si>
  <si>
    <t>SMCC  IVR</t>
    <phoneticPr fontId="5"/>
  </si>
  <si>
    <r>
      <t xml:space="preserve">3. </t>
    </r>
    <r>
      <rPr>
        <sz val="10"/>
        <color rgb="FFFF0000"/>
        <rFont val="ＭＳ Ｐゴシック"/>
        <family val="3"/>
        <charset val="128"/>
      </rPr>
      <t>開発</t>
    </r>
    <r>
      <rPr>
        <sz val="10"/>
        <rFont val="ＭＳ Ｐゴシック"/>
        <family val="3"/>
        <charset val="128"/>
      </rPr>
      <t>環境</t>
    </r>
    <rPh sb="3" eb="5">
      <t>カイハツ</t>
    </rPh>
    <phoneticPr fontId="5"/>
  </si>
  <si>
    <t>2. 研修環境</t>
    <phoneticPr fontId="5"/>
  </si>
  <si>
    <t>1. 本番環境</t>
    <phoneticPr fontId="5"/>
  </si>
  <si>
    <r>
      <rPr>
        <b/>
        <u/>
        <sz val="14"/>
        <rFont val="ＭＳ Ｐゴシック"/>
        <family val="3"/>
        <charset val="128"/>
      </rPr>
      <t>DBサーバ基本設計書（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本番環境</t>
    </r>
    <rPh sb="5" eb="7">
      <t>キホン</t>
    </rPh>
    <rPh sb="7" eb="9">
      <t>セッケイ</t>
    </rPh>
    <rPh sb="9" eb="10">
      <t>ショ</t>
    </rPh>
    <rPh sb="21" eb="23">
      <t>ホンバン</t>
    </rPh>
    <rPh sb="23" eb="25">
      <t>カンキョウ</t>
    </rPh>
    <phoneticPr fontId="6"/>
  </si>
  <si>
    <r>
      <rPr>
        <b/>
        <u/>
        <sz val="14"/>
        <rFont val="ＭＳ Ｐゴシック"/>
        <family val="3"/>
        <charset val="128"/>
      </rPr>
      <t>DBサーバ基本設計書（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研修環境</t>
    </r>
    <rPh sb="21" eb="23">
      <t>ケンシュウ</t>
    </rPh>
    <phoneticPr fontId="5"/>
  </si>
  <si>
    <r>
      <rPr>
        <b/>
        <u/>
        <sz val="14"/>
        <rFont val="ＭＳ Ｐゴシック"/>
        <family val="3"/>
        <charset val="128"/>
      </rPr>
      <t>DBサーバ基本設計書（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t>
    </r>
    <r>
      <rPr>
        <b/>
        <sz val="14"/>
        <color rgb="FFFF0000"/>
        <rFont val="ＭＳ Ｐゴシック"/>
        <family val="3"/>
        <charset val="128"/>
      </rPr>
      <t>開発</t>
    </r>
    <r>
      <rPr>
        <b/>
        <sz val="14"/>
        <rFont val="ＭＳ Ｐゴシック"/>
        <family val="3"/>
        <charset val="128"/>
      </rPr>
      <t>環境</t>
    </r>
    <rPh sb="5" eb="7">
      <t>キホン</t>
    </rPh>
    <rPh sb="7" eb="9">
      <t>セッケイ</t>
    </rPh>
    <rPh sb="9" eb="10">
      <t>ショ</t>
    </rPh>
    <rPh sb="21" eb="23">
      <t>カイハツ</t>
    </rPh>
    <rPh sb="23" eb="25">
      <t>カンキョウ</t>
    </rPh>
    <phoneticPr fontId="5"/>
  </si>
  <si>
    <t>1.0</t>
    <phoneticPr fontId="5"/>
  </si>
  <si>
    <t>初版
※AEPはAVPの後継バージョンのため、現行設計書である「AVP基盤設計書」を基にAEP基盤の内容へ改訂。</t>
    <rPh sb="0" eb="2">
      <t>ショハン</t>
    </rPh>
    <rPh sb="12" eb="14">
      <t>コウケイ</t>
    </rPh>
    <rPh sb="23" eb="25">
      <t>ゲンコウ</t>
    </rPh>
    <rPh sb="25" eb="28">
      <t>セッケイショ</t>
    </rPh>
    <rPh sb="35" eb="37">
      <t>キバン</t>
    </rPh>
    <rPh sb="37" eb="40">
      <t>セッケイショ</t>
    </rPh>
    <rPh sb="42" eb="43">
      <t>モト</t>
    </rPh>
    <rPh sb="47" eb="49">
      <t>キバン</t>
    </rPh>
    <rPh sb="50" eb="52">
      <t>ナイヨウ</t>
    </rPh>
    <rPh sb="53" eb="55">
      <t>カイテイ</t>
    </rPh>
    <phoneticPr fontId="5"/>
  </si>
  <si>
    <t>MSYS　杉田</t>
    <rPh sb="5" eb="7">
      <t>スギタ</t>
    </rPh>
    <phoneticPr fontId="5"/>
  </si>
  <si>
    <r>
      <t>&lt;CPU/メモリ/ディスク&gt;
CPU：</t>
    </r>
    <r>
      <rPr>
        <sz val="10"/>
        <color rgb="FFFF0000"/>
        <rFont val="ＭＳ Ｐゴシック"/>
        <family val="3"/>
        <charset val="128"/>
      </rPr>
      <t>Xeon E5-2699v4 （2.20GHz, 4C）</t>
    </r>
    <r>
      <rPr>
        <sz val="10"/>
        <rFont val="ＭＳ Ｐゴシック"/>
        <family val="3"/>
        <charset val="128"/>
      </rPr>
      <t xml:space="preserve">
メモリ：</t>
    </r>
    <r>
      <rPr>
        <sz val="10"/>
        <color rgb="FFFF0000"/>
        <rFont val="ＭＳ Ｐゴシック"/>
        <family val="3"/>
        <charset val="128"/>
      </rPr>
      <t>16GB</t>
    </r>
    <r>
      <rPr>
        <sz val="10"/>
        <rFont val="ＭＳ Ｐゴシック"/>
        <family val="3"/>
        <charset val="128"/>
      </rPr>
      <t xml:space="preserve">
ディスク：</t>
    </r>
    <r>
      <rPr>
        <sz val="10"/>
        <color rgb="FFFF0000"/>
        <rFont val="ＭＳ Ｐゴシック"/>
        <family val="3"/>
        <charset val="128"/>
      </rPr>
      <t>130GB＋200GB（DBデータ）</t>
    </r>
    <r>
      <rPr>
        <sz val="10"/>
        <rFont val="ＭＳ Ｐゴシック"/>
        <family val="3"/>
        <charset val="128"/>
      </rPr>
      <t xml:space="preserve">
設計根拠は</t>
    </r>
    <r>
      <rPr>
        <b/>
        <u/>
        <sz val="10"/>
        <rFont val="ＭＳ Ｐゴシック"/>
        <family val="3"/>
        <charset val="128"/>
      </rPr>
      <t>『要件定義書 「03-05 リソース見積根拠」』</t>
    </r>
    <r>
      <rPr>
        <sz val="10"/>
        <rFont val="ＭＳ Ｐゴシック"/>
        <family val="3"/>
        <charset val="128"/>
      </rPr>
      <t xml:space="preserve">参照のこと。
</t>
    </r>
    <phoneticPr fontId="5"/>
  </si>
  <si>
    <t>SLA報告により、IVR-DBサーバリソース（CPU、メモリ）が不足状態となった場合を検知し、拡張を検討する。</t>
    <phoneticPr fontId="5"/>
  </si>
  <si>
    <t>CPU、メモリに空きがある場合はスケールアップ、空きが無い場合はスケールアウトにて対応する。</t>
    <phoneticPr fontId="5"/>
  </si>
  <si>
    <r>
      <t>JP1/AJS</t>
    </r>
    <r>
      <rPr>
        <sz val="10"/>
        <color rgb="FFFF0000"/>
        <rFont val="ＭＳ Ｐゴシック"/>
        <family val="3"/>
        <charset val="128"/>
      </rPr>
      <t>3</t>
    </r>
    <r>
      <rPr>
        <sz val="10"/>
        <rFont val="ＭＳ Ｐゴシック"/>
        <family val="3"/>
        <charset val="128"/>
      </rPr>
      <t>→バッチ→OracleCliant→OracleDB</t>
    </r>
    <phoneticPr fontId="5"/>
  </si>
  <si>
    <r>
      <t>JP1/AJS</t>
    </r>
    <r>
      <rPr>
        <sz val="10"/>
        <color rgb="FFFF0000"/>
        <rFont val="ＭＳ Ｐゴシック"/>
        <family val="3"/>
        <charset val="128"/>
      </rPr>
      <t>3</t>
    </r>
    <r>
      <rPr>
        <sz val="10"/>
        <rFont val="ＭＳ Ｐゴシック"/>
        <family val="3"/>
        <charset val="128"/>
      </rPr>
      <t>→バッチ→HULFT→IBMホスト</t>
    </r>
    <phoneticPr fontId="5"/>
  </si>
  <si>
    <r>
      <t>JP1/AJS</t>
    </r>
    <r>
      <rPr>
        <sz val="10"/>
        <color rgb="FFFF0000"/>
        <rFont val="ＭＳ Ｐゴシック"/>
        <family val="3"/>
        <charset val="128"/>
      </rPr>
      <t>3</t>
    </r>
    <r>
      <rPr>
        <sz val="10"/>
        <rFont val="ＭＳ Ｐゴシック"/>
        <family val="3"/>
        <charset val="128"/>
      </rPr>
      <t>→バッチ→HULFT→集配信HUB</t>
    </r>
    <rPh sb="19" eb="21">
      <t>シュウハイ</t>
    </rPh>
    <rPh sb="21" eb="22">
      <t>シン</t>
    </rPh>
    <phoneticPr fontId="5"/>
  </si>
  <si>
    <r>
      <t>1日1回日次バッチ実行。JP1/AJS</t>
    </r>
    <r>
      <rPr>
        <sz val="10"/>
        <color rgb="FFFF0000"/>
        <rFont val="ＭＳ Ｐゴシック"/>
        <family val="3"/>
        <charset val="128"/>
      </rPr>
      <t>3</t>
    </r>
    <r>
      <rPr>
        <sz val="10"/>
        <rFont val="ＭＳ Ｐゴシック"/>
        <family val="3"/>
        <charset val="128"/>
      </rPr>
      <t>より、バッチスクリプトを実行し、OracleClient経由で資料請求受付データファイルをローカルディスクに作成。</t>
    </r>
    <rPh sb="1" eb="2">
      <t>ニチ</t>
    </rPh>
    <rPh sb="3" eb="4">
      <t>カイ</t>
    </rPh>
    <rPh sb="4" eb="6">
      <t>ニチジ</t>
    </rPh>
    <rPh sb="9" eb="11">
      <t>ジッコウ</t>
    </rPh>
    <rPh sb="32" eb="34">
      <t>ジッコウ</t>
    </rPh>
    <rPh sb="48" eb="50">
      <t>ケイユ</t>
    </rPh>
    <rPh sb="51" eb="53">
      <t>シリョウ</t>
    </rPh>
    <rPh sb="53" eb="55">
      <t>セイキュウ</t>
    </rPh>
    <rPh sb="55" eb="57">
      <t>ウケツケ</t>
    </rPh>
    <rPh sb="74" eb="76">
      <t>サクセイ</t>
    </rPh>
    <phoneticPr fontId="5"/>
  </si>
  <si>
    <r>
      <t>1日1回No3の後続バッチとして実行。
JP1/AJS</t>
    </r>
    <r>
      <rPr>
        <sz val="10"/>
        <color rgb="FFFF0000"/>
        <rFont val="ＭＳ Ｐゴシック"/>
        <family val="3"/>
        <charset val="128"/>
      </rPr>
      <t>3</t>
    </r>
    <r>
      <rPr>
        <sz val="10"/>
        <rFont val="ＭＳ Ｐゴシック"/>
        <family val="3"/>
        <charset val="128"/>
      </rPr>
      <t>より、バッチスクリプトを実行、HULFTでIBMホストに資料請求受付データファイルを転送。</t>
    </r>
    <rPh sb="8" eb="10">
      <t>コウゾク</t>
    </rPh>
    <rPh sb="16" eb="18">
      <t>ジッコウ</t>
    </rPh>
    <rPh sb="56" eb="58">
      <t>シリョウ</t>
    </rPh>
    <rPh sb="58" eb="60">
      <t>セイキュウ</t>
    </rPh>
    <rPh sb="60" eb="62">
      <t>ウケツケ</t>
    </rPh>
    <rPh sb="70" eb="72">
      <t>テンソウ</t>
    </rPh>
    <phoneticPr fontId="5"/>
  </si>
  <si>
    <r>
      <t>1日1回日次バッチ実行。JP1/AJS</t>
    </r>
    <r>
      <rPr>
        <sz val="10"/>
        <color rgb="FFFF0000"/>
        <rFont val="ＭＳ Ｐゴシック"/>
        <family val="3"/>
        <charset val="128"/>
      </rPr>
      <t>3</t>
    </r>
    <r>
      <rPr>
        <sz val="10"/>
        <rFont val="ＭＳ Ｐゴシック"/>
        <family val="3"/>
        <charset val="128"/>
      </rPr>
      <t>より、バッチスクリプトを実行し、OracleClient経由でキャンペーン受付データファイルをローカルディスクに作成。</t>
    </r>
    <rPh sb="1" eb="2">
      <t>ニチ</t>
    </rPh>
    <rPh sb="3" eb="4">
      <t>カイ</t>
    </rPh>
    <rPh sb="4" eb="6">
      <t>ニチジ</t>
    </rPh>
    <rPh sb="9" eb="11">
      <t>ジッコウ</t>
    </rPh>
    <rPh sb="32" eb="34">
      <t>ジッコウ</t>
    </rPh>
    <rPh sb="48" eb="50">
      <t>ケイユ</t>
    </rPh>
    <rPh sb="57" eb="59">
      <t>ウケツケ</t>
    </rPh>
    <rPh sb="76" eb="78">
      <t>サクセイ</t>
    </rPh>
    <phoneticPr fontId="5"/>
  </si>
  <si>
    <r>
      <t>1日1回No7の後続バッチとして実行。
JP1/AJS</t>
    </r>
    <r>
      <rPr>
        <sz val="10"/>
        <color rgb="FFFF0000"/>
        <rFont val="ＭＳ Ｐゴシック"/>
        <family val="3"/>
        <charset val="128"/>
      </rPr>
      <t>3</t>
    </r>
    <r>
      <rPr>
        <sz val="10"/>
        <rFont val="ＭＳ Ｐゴシック"/>
        <family val="3"/>
        <charset val="128"/>
      </rPr>
      <t>より、バッチスクリプトを実行、HULFTで集配信HUBにキャンペーン受付データファイルを転送。</t>
    </r>
    <rPh sb="8" eb="10">
      <t>コウゾク</t>
    </rPh>
    <rPh sb="16" eb="18">
      <t>ジッコウ</t>
    </rPh>
    <rPh sb="49" eb="50">
      <t>シュウ</t>
    </rPh>
    <rPh sb="50" eb="52">
      <t>ハイシン</t>
    </rPh>
    <rPh sb="62" eb="64">
      <t>ウケツケ</t>
    </rPh>
    <rPh sb="72" eb="74">
      <t>テンソウ</t>
    </rPh>
    <phoneticPr fontId="5"/>
  </si>
  <si>
    <r>
      <t>JP1/AJS</t>
    </r>
    <r>
      <rPr>
        <sz val="10"/>
        <color rgb="FFFF0000"/>
        <rFont val="ＭＳ Ｐゴシック"/>
        <family val="3"/>
        <charset val="128"/>
      </rPr>
      <t>3</t>
    </r>
    <r>
      <rPr>
        <sz val="10"/>
        <rFont val="ＭＳ Ｐゴシック"/>
        <family val="3"/>
        <charset val="128"/>
      </rPr>
      <t>→バッチ→OracleClient→OracleDB</t>
    </r>
    <phoneticPr fontId="5"/>
  </si>
  <si>
    <r>
      <t>JP1/AJS</t>
    </r>
    <r>
      <rPr>
        <sz val="10"/>
        <color rgb="FFFF0000"/>
        <rFont val="ＭＳ Ｐゴシック"/>
        <family val="3"/>
        <charset val="128"/>
      </rPr>
      <t>3</t>
    </r>
    <r>
      <rPr>
        <sz val="10"/>
        <rFont val="ＭＳ Ｐゴシック"/>
        <family val="3"/>
        <charset val="128"/>
      </rPr>
      <t>→バッチ→HULFT→IBMホスト</t>
    </r>
    <phoneticPr fontId="5"/>
  </si>
  <si>
    <r>
      <t>随時必要な時に手動でバッチ実行。JP1/AJS</t>
    </r>
    <r>
      <rPr>
        <sz val="10"/>
        <color rgb="FFFF0000"/>
        <rFont val="ＭＳ Ｐゴシック"/>
        <family val="3"/>
        <charset val="128"/>
      </rPr>
      <t>3</t>
    </r>
    <r>
      <rPr>
        <sz val="10"/>
        <rFont val="ＭＳ Ｐゴシック"/>
        <family val="3"/>
        <charset val="128"/>
      </rPr>
      <t>より、バッチスクリプトを実行し、OracleClient経由で資料請求受付データファイルを作成する。</t>
    </r>
    <rPh sb="0" eb="2">
      <t>ズイジ</t>
    </rPh>
    <rPh sb="2" eb="4">
      <t>ヒツヨウ</t>
    </rPh>
    <rPh sb="5" eb="6">
      <t>トキ</t>
    </rPh>
    <rPh sb="7" eb="9">
      <t>シュドウ</t>
    </rPh>
    <rPh sb="13" eb="15">
      <t>ジッコウ</t>
    </rPh>
    <rPh sb="36" eb="38">
      <t>ジッコウ</t>
    </rPh>
    <rPh sb="55" eb="57">
      <t>シリョウ</t>
    </rPh>
    <rPh sb="57" eb="59">
      <t>セイキュウ</t>
    </rPh>
    <rPh sb="59" eb="61">
      <t>ウケツケ</t>
    </rPh>
    <rPh sb="69" eb="71">
      <t>サクセイ</t>
    </rPh>
    <phoneticPr fontId="5"/>
  </si>
  <si>
    <r>
      <t>No3の後続バッチとして実行。
JP1/AJS</t>
    </r>
    <r>
      <rPr>
        <sz val="10"/>
        <color rgb="FFFF0000"/>
        <rFont val="ＭＳ Ｐゴシック"/>
        <family val="3"/>
        <charset val="128"/>
      </rPr>
      <t>3</t>
    </r>
    <r>
      <rPr>
        <sz val="10"/>
        <rFont val="ＭＳ Ｐゴシック"/>
        <family val="3"/>
        <charset val="128"/>
      </rPr>
      <t>より、バッチスクリプトを実行、HULFTでIBMホストに資料請求受付データファイルを転送する。</t>
    </r>
    <rPh sb="4" eb="6">
      <t>コウゾク</t>
    </rPh>
    <rPh sb="12" eb="14">
      <t>ジッコウ</t>
    </rPh>
    <rPh sb="52" eb="54">
      <t>シリョウ</t>
    </rPh>
    <rPh sb="54" eb="56">
      <t>セイキュウ</t>
    </rPh>
    <rPh sb="56" eb="58">
      <t>ウケツケ</t>
    </rPh>
    <rPh sb="66" eb="68">
      <t>テンソウ</t>
    </rPh>
    <phoneticPr fontId="5"/>
  </si>
  <si>
    <r>
      <t>随時必要な時に手動でバッチ実行。JP1/AJS</t>
    </r>
    <r>
      <rPr>
        <sz val="10"/>
        <color rgb="FFFF0000"/>
        <rFont val="ＭＳ Ｐゴシック"/>
        <family val="3"/>
        <charset val="128"/>
      </rPr>
      <t>3</t>
    </r>
    <r>
      <rPr>
        <sz val="10"/>
        <rFont val="ＭＳ Ｐゴシック"/>
        <family val="3"/>
        <charset val="128"/>
      </rPr>
      <t>より、バッチスクリプトを実行し、OracleClient経由でキャンペーン受付データファイルを作成する。</t>
    </r>
    <rPh sb="0" eb="2">
      <t>ズイジ</t>
    </rPh>
    <rPh sb="2" eb="4">
      <t>ヒツヨウ</t>
    </rPh>
    <rPh sb="5" eb="6">
      <t>トキ</t>
    </rPh>
    <rPh sb="7" eb="9">
      <t>シュドウ</t>
    </rPh>
    <rPh sb="13" eb="15">
      <t>ジッコウ</t>
    </rPh>
    <rPh sb="36" eb="38">
      <t>ジッコウ</t>
    </rPh>
    <rPh sb="61" eb="63">
      <t>ウケツケ</t>
    </rPh>
    <rPh sb="71" eb="73">
      <t>サクセイ</t>
    </rPh>
    <phoneticPr fontId="5"/>
  </si>
  <si>
    <r>
      <t>No3の後続バッチとして実行。
JP1/AJS</t>
    </r>
    <r>
      <rPr>
        <sz val="10"/>
        <color rgb="FFFF0000"/>
        <rFont val="ＭＳ Ｐゴシック"/>
        <family val="3"/>
        <charset val="128"/>
      </rPr>
      <t>3</t>
    </r>
    <r>
      <rPr>
        <sz val="10"/>
        <rFont val="ＭＳ Ｐゴシック"/>
        <family val="3"/>
        <charset val="128"/>
      </rPr>
      <t>より、バッチスクリプトを実行、HULFTで集配信HUBにキャンペーン受付データファイルを転送する。</t>
    </r>
    <rPh sb="4" eb="6">
      <t>コウゾク</t>
    </rPh>
    <rPh sb="12" eb="14">
      <t>ジッコウ</t>
    </rPh>
    <rPh sb="45" eb="47">
      <t>シュウハイ</t>
    </rPh>
    <rPh sb="47" eb="48">
      <t>シン</t>
    </rPh>
    <rPh sb="58" eb="60">
      <t>ウケツケ</t>
    </rPh>
    <rPh sb="68" eb="70">
      <t>テンソウ</t>
    </rPh>
    <phoneticPr fontId="5"/>
  </si>
  <si>
    <r>
      <t>JP1/AJS</t>
    </r>
    <r>
      <rPr>
        <sz val="10"/>
        <color rgb="FFFF0000"/>
        <rFont val="ＭＳ Ｐゴシック"/>
        <family val="3"/>
        <charset val="128"/>
      </rPr>
      <t>3</t>
    </r>
    <r>
      <rPr>
        <sz val="10"/>
        <rFont val="ＭＳ Ｐゴシック"/>
        <family val="3"/>
        <charset val="128"/>
      </rPr>
      <t>→バッチ→OracleDB</t>
    </r>
    <phoneticPr fontId="5"/>
  </si>
  <si>
    <r>
      <t>JP1/AJS</t>
    </r>
    <r>
      <rPr>
        <sz val="10"/>
        <color rgb="FFFF0000"/>
        <rFont val="ＭＳ Ｐゴシック"/>
        <family val="3"/>
        <charset val="128"/>
      </rPr>
      <t>3</t>
    </r>
    <r>
      <rPr>
        <sz val="10"/>
        <rFont val="ＭＳ Ｐゴシック"/>
        <family val="3"/>
        <charset val="128"/>
      </rPr>
      <t>→バッチ→HULFT→IBMホスト</t>
    </r>
    <phoneticPr fontId="21"/>
  </si>
  <si>
    <r>
      <t>JP1/AJS</t>
    </r>
    <r>
      <rPr>
        <sz val="10"/>
        <color rgb="FFFF0000"/>
        <rFont val="ＭＳ Ｐゴシック"/>
        <family val="3"/>
        <charset val="128"/>
      </rPr>
      <t>3</t>
    </r>
    <r>
      <rPr>
        <sz val="10"/>
        <rFont val="ＭＳ Ｐゴシック"/>
        <family val="3"/>
        <charset val="128"/>
      </rPr>
      <t>→バッチ→OracleDB</t>
    </r>
    <phoneticPr fontId="5"/>
  </si>
  <si>
    <r>
      <t>JP1/AJS</t>
    </r>
    <r>
      <rPr>
        <sz val="10"/>
        <color rgb="FFFF0000"/>
        <rFont val="ＭＳ Ｐゴシック"/>
        <family val="3"/>
        <charset val="128"/>
      </rPr>
      <t>3</t>
    </r>
    <r>
      <rPr>
        <sz val="10"/>
        <rFont val="ＭＳ Ｐゴシック"/>
        <family val="3"/>
        <charset val="128"/>
      </rPr>
      <t>→バッチ→HULFT→集配信HUB</t>
    </r>
    <rPh sb="19" eb="20">
      <t>シュウ</t>
    </rPh>
    <rPh sb="20" eb="22">
      <t>ハイシン</t>
    </rPh>
    <phoneticPr fontId="5"/>
  </si>
  <si>
    <r>
      <t>随時必要な時に手動でバッチ実行。
JP1/AJS</t>
    </r>
    <r>
      <rPr>
        <sz val="10"/>
        <color rgb="FFFF0000"/>
        <rFont val="ＭＳ Ｐゴシック"/>
        <family val="3"/>
        <charset val="128"/>
      </rPr>
      <t>3</t>
    </r>
    <r>
      <rPr>
        <sz val="10"/>
        <rFont val="ＭＳ Ｐゴシック"/>
        <family val="3"/>
        <charset val="128"/>
      </rPr>
      <t>より、バッチスクリプトを実行し、資料請求受付データファイルを作成する。</t>
    </r>
    <rPh sb="37" eb="39">
      <t>ジッコウ</t>
    </rPh>
    <rPh sb="41" eb="43">
      <t>シリョウ</t>
    </rPh>
    <rPh sb="43" eb="45">
      <t>セイキュウ</t>
    </rPh>
    <rPh sb="45" eb="47">
      <t>ウケツケ</t>
    </rPh>
    <rPh sb="55" eb="57">
      <t>サクセイ</t>
    </rPh>
    <phoneticPr fontId="5"/>
  </si>
  <si>
    <r>
      <t>No3の後続バッチとして実行。
JP1/AJS</t>
    </r>
    <r>
      <rPr>
        <sz val="10"/>
        <color rgb="FFFF0000"/>
        <rFont val="ＭＳ Ｐゴシック"/>
        <family val="3"/>
        <charset val="128"/>
      </rPr>
      <t>3</t>
    </r>
    <r>
      <rPr>
        <sz val="10"/>
        <rFont val="ＭＳ Ｐゴシック"/>
        <family val="3"/>
        <charset val="128"/>
      </rPr>
      <t>より、バッチスクリプトを実行、HULFTでIBMホストに資料請求受付データファイルを転送する。</t>
    </r>
    <rPh sb="52" eb="54">
      <t>シリョウ</t>
    </rPh>
    <rPh sb="54" eb="56">
      <t>セイキュウ</t>
    </rPh>
    <rPh sb="56" eb="58">
      <t>ウケツケ</t>
    </rPh>
    <rPh sb="66" eb="68">
      <t>テンソウ</t>
    </rPh>
    <phoneticPr fontId="5"/>
  </si>
  <si>
    <r>
      <t>随時必要な時に手動でバッチ実行。
JP1/AJS</t>
    </r>
    <r>
      <rPr>
        <sz val="10"/>
        <color rgb="FFFF0000"/>
        <rFont val="ＭＳ Ｐゴシック"/>
        <family val="3"/>
        <charset val="128"/>
      </rPr>
      <t>3</t>
    </r>
    <r>
      <rPr>
        <sz val="10"/>
        <rFont val="ＭＳ Ｐゴシック"/>
        <family val="3"/>
        <charset val="128"/>
      </rPr>
      <t>より、バッチスクリプトを実行し、キャンペーン受付データファイルを作成する。</t>
    </r>
    <rPh sb="0" eb="2">
      <t>ズイジ</t>
    </rPh>
    <rPh sb="2" eb="4">
      <t>ヒツヨウ</t>
    </rPh>
    <rPh sb="5" eb="6">
      <t>トキ</t>
    </rPh>
    <rPh sb="7" eb="9">
      <t>シュドウ</t>
    </rPh>
    <rPh sb="13" eb="15">
      <t>ジッコウ</t>
    </rPh>
    <rPh sb="37" eb="39">
      <t>ジッコウ</t>
    </rPh>
    <rPh sb="47" eb="49">
      <t>ウケツケ</t>
    </rPh>
    <rPh sb="57" eb="59">
      <t>サクセイ</t>
    </rPh>
    <phoneticPr fontId="5"/>
  </si>
  <si>
    <r>
      <t>No6の後続バッチとして実行。
JP1/AJS</t>
    </r>
    <r>
      <rPr>
        <sz val="10"/>
        <color rgb="FFFF0000"/>
        <rFont val="ＭＳ Ｐゴシック"/>
        <family val="3"/>
        <charset val="128"/>
      </rPr>
      <t>3</t>
    </r>
    <r>
      <rPr>
        <sz val="10"/>
        <rFont val="ＭＳ Ｐゴシック"/>
        <family val="3"/>
        <charset val="128"/>
      </rPr>
      <t>より、バッチスクリプトを実行、HULFTで集配信HUBにキャンペーン受付データファイルを転送する。</t>
    </r>
    <rPh sb="4" eb="6">
      <t>コウゾク</t>
    </rPh>
    <rPh sb="12" eb="14">
      <t>ジッコウ</t>
    </rPh>
    <rPh sb="45" eb="47">
      <t>シュウハイ</t>
    </rPh>
    <rPh sb="47" eb="48">
      <t>シン</t>
    </rPh>
    <rPh sb="58" eb="60">
      <t>ウケツケ</t>
    </rPh>
    <rPh sb="68" eb="70">
      <t>テンソウ</t>
    </rPh>
    <phoneticPr fontId="5"/>
  </si>
  <si>
    <t xml:space="preserve">OracleDB→共有ディスク
</t>
    <rPh sb="9" eb="11">
      <t>キョウユウ</t>
    </rPh>
    <phoneticPr fontId="5"/>
  </si>
  <si>
    <t xml:space="preserve">バッチ→共有ディスク
</t>
    <rPh sb="4" eb="6">
      <t>キョウユウ</t>
    </rPh>
    <phoneticPr fontId="5"/>
  </si>
  <si>
    <r>
      <t>障害箇所復旧後、フェイルバックする。
JP1/AJS</t>
    </r>
    <r>
      <rPr>
        <sz val="10"/>
        <color rgb="FFFF0000"/>
        <rFont val="ＭＳ Ｐゴシック"/>
        <family val="3"/>
        <charset val="128"/>
      </rPr>
      <t>3</t>
    </r>
    <r>
      <rPr>
        <sz val="10"/>
        <rFont val="ＭＳ Ｐゴシック"/>
        <family val="3"/>
        <charset val="128"/>
      </rPr>
      <t>もOracleと同時にフェイルバックする。
JP1/AJS</t>
    </r>
    <r>
      <rPr>
        <sz val="10"/>
        <color rgb="FFFF0000"/>
        <rFont val="ＭＳ Ｐゴシック"/>
        <family val="3"/>
        <charset val="128"/>
      </rPr>
      <t>3</t>
    </r>
    <r>
      <rPr>
        <sz val="10"/>
        <rFont val="ＭＳ Ｐゴシック"/>
        <family val="3"/>
        <charset val="128"/>
      </rPr>
      <t>障害発生時に手起動で復旧していない場合は、障害発生ジョブから再実行する。
音声フローはフェイルバック時に接続中の呼はエラー発生のアナウンスが流れ、終了する。フェイルバック後は正常に接続される。</t>
    </r>
    <rPh sb="35" eb="37">
      <t>ドウジ</t>
    </rPh>
    <rPh sb="57" eb="59">
      <t>ショウガイ</t>
    </rPh>
    <rPh sb="59" eb="61">
      <t>ハッセイ</t>
    </rPh>
    <rPh sb="61" eb="62">
      <t>ジ</t>
    </rPh>
    <rPh sb="63" eb="64">
      <t>テ</t>
    </rPh>
    <rPh sb="64" eb="66">
      <t>キドウ</t>
    </rPh>
    <rPh sb="67" eb="69">
      <t>フッキュウ</t>
    </rPh>
    <rPh sb="74" eb="76">
      <t>バアイ</t>
    </rPh>
    <rPh sb="78" eb="80">
      <t>ショウガイ</t>
    </rPh>
    <rPh sb="80" eb="82">
      <t>ハッセイ</t>
    </rPh>
    <rPh sb="87" eb="90">
      <t>サイジッコウ</t>
    </rPh>
    <rPh sb="94" eb="96">
      <t>オンセイ</t>
    </rPh>
    <rPh sb="107" eb="108">
      <t>ジ</t>
    </rPh>
    <rPh sb="144" eb="146">
      <t>セイジョウ</t>
    </rPh>
    <phoneticPr fontId="5"/>
  </si>
  <si>
    <t>600</t>
    <phoneticPr fontId="5"/>
  </si>
  <si>
    <r>
      <t>WAS1台からの接続プロセスは100で</t>
    </r>
    <r>
      <rPr>
        <sz val="10"/>
        <color rgb="FFFF0000"/>
        <rFont val="ＭＳ Ｐゴシック"/>
        <family val="3"/>
        <charset val="128"/>
      </rPr>
      <t>4</t>
    </r>
    <r>
      <rPr>
        <sz val="10"/>
        <rFont val="ＭＳ Ｐゴシック"/>
        <family val="3"/>
        <charset val="128"/>
      </rPr>
      <t>台、Oracleの常駐プロセスを考慮し、100×</t>
    </r>
    <r>
      <rPr>
        <sz val="10"/>
        <color rgb="FFFF0000"/>
        <rFont val="ＭＳ Ｐゴシック"/>
        <family val="3"/>
        <charset val="128"/>
      </rPr>
      <t>4</t>
    </r>
    <r>
      <rPr>
        <sz val="10"/>
        <rFont val="ＭＳ Ｐゴシック"/>
        <family val="3"/>
        <charset val="128"/>
      </rPr>
      <t>+200＝</t>
    </r>
    <r>
      <rPr>
        <sz val="10"/>
        <color rgb="FFFF0000"/>
        <rFont val="ＭＳ Ｐゴシック"/>
        <family val="3"/>
        <charset val="128"/>
      </rPr>
      <t>600</t>
    </r>
    <r>
      <rPr>
        <sz val="10"/>
        <rFont val="ＭＳ Ｐゴシック"/>
        <family val="3"/>
        <charset val="128"/>
      </rPr>
      <t>。</t>
    </r>
    <rPh sb="4" eb="5">
      <t>ダイ</t>
    </rPh>
    <rPh sb="8" eb="10">
      <t>セツゾク</t>
    </rPh>
    <rPh sb="20" eb="21">
      <t>ダイ</t>
    </rPh>
    <rPh sb="29" eb="31">
      <t>ジョウチュウ</t>
    </rPh>
    <rPh sb="36" eb="38">
      <t>コウリョ</t>
    </rPh>
    <phoneticPr fontId="5"/>
  </si>
  <si>
    <r>
      <t>計算式　（PROCESSES×1.1）＋5（バックグラウンドプロセス）＝</t>
    </r>
    <r>
      <rPr>
        <sz val="10"/>
        <color rgb="FFFF0000"/>
        <rFont val="ＭＳ Ｐゴシック"/>
        <family val="3"/>
        <charset val="128"/>
      </rPr>
      <t>665</t>
    </r>
    <rPh sb="0" eb="2">
      <t>ケイサン</t>
    </rPh>
    <rPh sb="2" eb="3">
      <t>シキ</t>
    </rPh>
    <phoneticPr fontId="5"/>
  </si>
  <si>
    <t>665</t>
    <phoneticPr fontId="5"/>
  </si>
  <si>
    <t>１カ月あたり保持件数（1日あたり71,415呼×10操作×31日保存=22,138,650件）×205byte＝4329MB</t>
    <rPh sb="2" eb="3">
      <t>ゲツ</t>
    </rPh>
    <rPh sb="6" eb="8">
      <t>ホジ</t>
    </rPh>
    <rPh sb="8" eb="10">
      <t>ケンスウ</t>
    </rPh>
    <rPh sb="12" eb="13">
      <t>ニチ</t>
    </rPh>
    <rPh sb="22" eb="23">
      <t>コ</t>
    </rPh>
    <rPh sb="26" eb="28">
      <t>ソウサ</t>
    </rPh>
    <rPh sb="31" eb="32">
      <t>ニチ</t>
    </rPh>
    <rPh sb="32" eb="34">
      <t>ホゾン</t>
    </rPh>
    <rPh sb="45" eb="46">
      <t>ケン</t>
    </rPh>
    <phoneticPr fontId="5"/>
  </si>
  <si>
    <r>
      <rPr>
        <sz val="10"/>
        <color rgb="FFFF0000"/>
        <rFont val="ＭＳ Ｐゴシック"/>
        <family val="3"/>
        <charset val="128"/>
      </rPr>
      <t>4</t>
    </r>
    <r>
      <rPr>
        <sz val="10"/>
        <rFont val="ＭＳ Ｐゴシック"/>
        <family val="3"/>
        <charset val="128"/>
      </rPr>
      <t>G以上</t>
    </r>
    <rPh sb="2" eb="4">
      <t>イジョウ</t>
    </rPh>
    <phoneticPr fontId="5"/>
  </si>
  <si>
    <r>
      <t>WAS1台につき最大200プロセス×</t>
    </r>
    <r>
      <rPr>
        <sz val="10"/>
        <color rgb="FFFF0000"/>
        <rFont val="ＭＳ Ｐゴシック"/>
        <family val="3"/>
        <charset val="128"/>
      </rPr>
      <t>4</t>
    </r>
    <r>
      <rPr>
        <sz val="10"/>
        <rFont val="ＭＳ Ｐゴシック"/>
        <family val="3"/>
        <charset val="128"/>
      </rPr>
      <t>（WAS台数）×5M＝</t>
    </r>
    <r>
      <rPr>
        <sz val="10"/>
        <color rgb="FFFF0000"/>
        <rFont val="ＭＳ Ｐゴシック"/>
        <family val="3"/>
        <charset val="128"/>
      </rPr>
      <t>4</t>
    </r>
    <r>
      <rPr>
        <sz val="10"/>
        <rFont val="ＭＳ Ｐゴシック"/>
        <family val="3"/>
        <charset val="128"/>
      </rPr>
      <t>G
障害時には最大2倍のセッションが必要になるが、WASの最大接続プロセス数が障害時の想定であるため、2重障害にならない限り</t>
    </r>
    <r>
      <rPr>
        <sz val="10"/>
        <color rgb="FFFF0000"/>
        <rFont val="ＭＳ Ｐゴシック"/>
        <family val="3"/>
        <charset val="128"/>
      </rPr>
      <t>4</t>
    </r>
    <r>
      <rPr>
        <sz val="10"/>
        <rFont val="ＭＳ Ｐゴシック"/>
        <family val="3"/>
        <charset val="128"/>
      </rPr>
      <t>Gを超えることははない。</t>
    </r>
    <rPh sb="8" eb="10">
      <t>サイダイ</t>
    </rPh>
    <rPh sb="23" eb="25">
      <t>ダイスウ</t>
    </rPh>
    <rPh sb="33" eb="35">
      <t>ショウガイ</t>
    </rPh>
    <rPh sb="35" eb="36">
      <t>ジ</t>
    </rPh>
    <rPh sb="38" eb="40">
      <t>サイダイ</t>
    </rPh>
    <rPh sb="41" eb="42">
      <t>バイ</t>
    </rPh>
    <rPh sb="49" eb="51">
      <t>ヒツヨウ</t>
    </rPh>
    <rPh sb="60" eb="62">
      <t>サイダイ</t>
    </rPh>
    <rPh sb="62" eb="64">
      <t>セツゾク</t>
    </rPh>
    <rPh sb="68" eb="69">
      <t>スウ</t>
    </rPh>
    <rPh sb="70" eb="72">
      <t>ショウガイ</t>
    </rPh>
    <rPh sb="72" eb="73">
      <t>ジ</t>
    </rPh>
    <rPh sb="74" eb="76">
      <t>ソウテイ</t>
    </rPh>
    <rPh sb="83" eb="84">
      <t>ジュウ</t>
    </rPh>
    <rPh sb="84" eb="86">
      <t>ショウガイ</t>
    </rPh>
    <rPh sb="91" eb="92">
      <t>カギ</t>
    </rPh>
    <rPh sb="96" eb="97">
      <t>コ</t>
    </rPh>
    <phoneticPr fontId="5"/>
  </si>
  <si>
    <t>データベースオブジェクトの定期メンテナンスの方針について記載する。</t>
    <rPh sb="13" eb="15">
      <t>テイキ</t>
    </rPh>
    <rPh sb="22" eb="24">
      <t>ホウシン</t>
    </rPh>
    <rPh sb="28" eb="30">
      <t>キサイ</t>
    </rPh>
    <phoneticPr fontId="5"/>
  </si>
  <si>
    <t>「管理画面サーバ」の利用時間外の夜間で、音声フローの利用が少ない時間帯でインデックスの再作成を行うように検討する。</t>
    <rPh sb="1" eb="3">
      <t>カンリ</t>
    </rPh>
    <rPh sb="3" eb="5">
      <t>ガメン</t>
    </rPh>
    <rPh sb="10" eb="12">
      <t>リヨウ</t>
    </rPh>
    <rPh sb="12" eb="14">
      <t>ジカン</t>
    </rPh>
    <rPh sb="14" eb="15">
      <t>ガイ</t>
    </rPh>
    <rPh sb="16" eb="18">
      <t>ヤカン</t>
    </rPh>
    <rPh sb="20" eb="22">
      <t>オンセイ</t>
    </rPh>
    <rPh sb="26" eb="28">
      <t>リヨウ</t>
    </rPh>
    <rPh sb="29" eb="30">
      <t>スク</t>
    </rPh>
    <rPh sb="32" eb="35">
      <t>ジカンタイ</t>
    </rPh>
    <rPh sb="43" eb="46">
      <t>サイサクセイ</t>
    </rPh>
    <rPh sb="47" eb="48">
      <t>オコナ</t>
    </rPh>
    <rPh sb="52" eb="54">
      <t>ケントウ</t>
    </rPh>
    <phoneticPr fontId="5"/>
  </si>
  <si>
    <t>オンラインからの即時更新は「管理画面サーバ」からの更新だけであり、音声フローからはディレードバッチで一定間隔での実行を行う想定である。</t>
    <rPh sb="8" eb="10">
      <t>ソクジ</t>
    </rPh>
    <rPh sb="10" eb="12">
      <t>コウシン</t>
    </rPh>
    <rPh sb="14" eb="16">
      <t>カンリ</t>
    </rPh>
    <rPh sb="16" eb="18">
      <t>ガメン</t>
    </rPh>
    <rPh sb="25" eb="27">
      <t>コウシン</t>
    </rPh>
    <rPh sb="33" eb="35">
      <t>オンセイ</t>
    </rPh>
    <rPh sb="50" eb="52">
      <t>イッテイ</t>
    </rPh>
    <rPh sb="52" eb="54">
      <t>カンカク</t>
    </rPh>
    <rPh sb="56" eb="58">
      <t>ジッコウ</t>
    </rPh>
    <rPh sb="59" eb="60">
      <t>オコナ</t>
    </rPh>
    <rPh sb="61" eb="63">
      <t>ソウテイ</t>
    </rPh>
    <phoneticPr fontId="5"/>
  </si>
  <si>
    <t>データベースサーバに関する処理方式を定義し、要件定義で実施した、データベースの性能要件、信頼性要件、可用性要件を受け、各々の妥当性を明確にする。</t>
    <rPh sb="10" eb="11">
      <t>カン</t>
    </rPh>
    <rPh sb="13" eb="15">
      <t>ショリ</t>
    </rPh>
    <rPh sb="15" eb="17">
      <t>ホウシキ</t>
    </rPh>
    <rPh sb="18" eb="20">
      <t>テイギ</t>
    </rPh>
    <rPh sb="22" eb="24">
      <t>ヨウケン</t>
    </rPh>
    <rPh sb="24" eb="26">
      <t>テイギ</t>
    </rPh>
    <rPh sb="27" eb="29">
      <t>ジッシ</t>
    </rPh>
    <rPh sb="39" eb="41">
      <t>セイノウ</t>
    </rPh>
    <rPh sb="41" eb="43">
      <t>ヨウケン</t>
    </rPh>
    <rPh sb="44" eb="47">
      <t>シンライセイ</t>
    </rPh>
    <rPh sb="47" eb="49">
      <t>ヨウケン</t>
    </rPh>
    <rPh sb="50" eb="53">
      <t>カヨウセイ</t>
    </rPh>
    <rPh sb="53" eb="55">
      <t>ヨウケン</t>
    </rPh>
    <rPh sb="56" eb="57">
      <t>ウ</t>
    </rPh>
    <rPh sb="59" eb="61">
      <t>オノオノ</t>
    </rPh>
    <rPh sb="62" eb="65">
      <t>ダトウセイ</t>
    </rPh>
    <rPh sb="66" eb="68">
      <t>メイカク</t>
    </rPh>
    <phoneticPr fontId="5"/>
  </si>
  <si>
    <t>DBサーバの処理方式設計の要件と方針を示す。</t>
    <rPh sb="6" eb="8">
      <t>ショリ</t>
    </rPh>
    <rPh sb="8" eb="10">
      <t>ホウシキ</t>
    </rPh>
    <rPh sb="10" eb="12">
      <t>セッケイ</t>
    </rPh>
    <rPh sb="13" eb="15">
      <t>ヨウケン</t>
    </rPh>
    <rPh sb="16" eb="18">
      <t>ホウシン</t>
    </rPh>
    <rPh sb="19" eb="20">
      <t>シメ</t>
    </rPh>
    <phoneticPr fontId="5"/>
  </si>
  <si>
    <t>サーバ側の接続障害</t>
    <phoneticPr fontId="5"/>
  </si>
  <si>
    <t>バッチからIVR－DBサーバのローカルディスクに「資料請求受付データ」ファイルを出力する。</t>
    <rPh sb="25" eb="27">
      <t>シリョウ</t>
    </rPh>
    <rPh sb="27" eb="29">
      <t>セイキュウ</t>
    </rPh>
    <rPh sb="29" eb="31">
      <t>ウケツケ</t>
    </rPh>
    <rPh sb="40" eb="42">
      <t>シュツリョク</t>
    </rPh>
    <phoneticPr fontId="5"/>
  </si>
  <si>
    <t>バッチからIVR－DBサーバのローカルディスクに「キャンペーン受付データ」ファイルを出力する。</t>
    <rPh sb="31" eb="33">
      <t>ウケツケ</t>
    </rPh>
    <rPh sb="42" eb="44">
      <t>シュツリョク</t>
    </rPh>
    <phoneticPr fontId="5"/>
  </si>
  <si>
    <t>クラスタ構成とするため、Standbyサーバのインスタンスは停止しておく。</t>
    <rPh sb="4" eb="6">
      <t>コウセイ</t>
    </rPh>
    <rPh sb="30" eb="32">
      <t>テイシ</t>
    </rPh>
    <phoneticPr fontId="5"/>
  </si>
  <si>
    <t xml:space="preserve">IVR専用のDBサーバであり、他システムでのメモリ共有は考慮不要とし、レスポンスを最大限に考慮するため、
OS、Oracle管理用（常駐プロセス等）、クラスタ用、その他（HULFT等）が利用するメモリーを除いたメモリーのうち、40%をOracleインスタンスの利用量として算出し、テストフェーズでチューニングする。
</t>
    <rPh sb="15" eb="16">
      <t>タ</t>
    </rPh>
    <rPh sb="79" eb="80">
      <t>ヨウ</t>
    </rPh>
    <phoneticPr fontId="11"/>
  </si>
  <si>
    <r>
      <t>ログの保存日数は180日とする。ログローテーションについては、</t>
    </r>
    <r>
      <rPr>
        <sz val="10"/>
        <color rgb="FFFF0000"/>
        <rFont val="ＭＳ Ｐゴシック"/>
        <family val="3"/>
        <charset val="128"/>
      </rPr>
      <t>運用ツールの機能</t>
    </r>
    <r>
      <rPr>
        <sz val="10"/>
        <rFont val="ＭＳ Ｐゴシック"/>
        <family val="3"/>
        <charset val="128"/>
      </rPr>
      <t>を使用し、日次ローテーションを実施する。</t>
    </r>
    <rPh sb="3" eb="5">
      <t>ホゾン</t>
    </rPh>
    <rPh sb="5" eb="7">
      <t>ニッスウ</t>
    </rPh>
    <rPh sb="11" eb="12">
      <t>ニチ</t>
    </rPh>
    <rPh sb="40" eb="42">
      <t>シヨウ</t>
    </rPh>
    <rPh sb="44" eb="46">
      <t>ニチジ</t>
    </rPh>
    <rPh sb="54" eb="56">
      <t>ジッシ</t>
    </rPh>
    <phoneticPr fontId="5"/>
  </si>
  <si>
    <t>ＤＢサーバ毎にインスタンスを作成する。</t>
    <rPh sb="5" eb="6">
      <t>ゴト</t>
    </rPh>
    <rPh sb="14" eb="16">
      <t>サクセイ</t>
    </rPh>
    <phoneticPr fontId="12"/>
  </si>
  <si>
    <t>Activeサーバ上のインスタンスが通常起動され、</t>
    <rPh sb="9" eb="10">
      <t>ジョウ</t>
    </rPh>
    <rPh sb="18" eb="20">
      <t>ツウジョウ</t>
    </rPh>
    <rPh sb="20" eb="22">
      <t>キドウ</t>
    </rPh>
    <phoneticPr fontId="12"/>
  </si>
  <si>
    <t>Standbyサーバのインスタンスは停止しておく。</t>
    <rPh sb="18" eb="20">
      <t>テイシ</t>
    </rPh>
    <phoneticPr fontId="12"/>
  </si>
  <si>
    <t>Activeサーバのインスタンスに障害が発生した場合に、</t>
    <rPh sb="17" eb="19">
      <t>ショウガイ</t>
    </rPh>
    <rPh sb="20" eb="22">
      <t>ハッセイ</t>
    </rPh>
    <rPh sb="24" eb="26">
      <t>バアイ</t>
    </rPh>
    <phoneticPr fontId="12"/>
  </si>
  <si>
    <t>Activeサーバのインスタンスを停止し、</t>
    <rPh sb="17" eb="19">
      <t>テイシ</t>
    </rPh>
    <phoneticPr fontId="12"/>
  </si>
  <si>
    <t>Standbyサーバのインスタンスを起動する。</t>
    <phoneticPr fontId="5"/>
  </si>
  <si>
    <t>利用者からは同じデータベースとして認識され、サーバは意識しない。</t>
    <rPh sb="0" eb="2">
      <t>リヨウ</t>
    </rPh>
    <rPh sb="2" eb="3">
      <t>シャ</t>
    </rPh>
    <rPh sb="6" eb="7">
      <t>オナ</t>
    </rPh>
    <rPh sb="17" eb="19">
      <t>ニンシキ</t>
    </rPh>
    <rPh sb="26" eb="28">
      <t>イシキ</t>
    </rPh>
    <phoneticPr fontId="12"/>
  </si>
  <si>
    <t>本番ＤＢサーバには研修環境が同居する。</t>
    <rPh sb="0" eb="2">
      <t>ホンバン</t>
    </rPh>
    <rPh sb="9" eb="11">
      <t>ケンシュウ</t>
    </rPh>
    <rPh sb="11" eb="13">
      <t>カンキョウ</t>
    </rPh>
    <rPh sb="14" eb="16">
      <t>ドウキョ</t>
    </rPh>
    <phoneticPr fontId="12"/>
  </si>
  <si>
    <t>Oracleデータベースの冗長化を行うため、インスタンスはサーバごとに同一設定のものが作成される。</t>
    <rPh sb="35" eb="37">
      <t>ドウイツ</t>
    </rPh>
    <rPh sb="37" eb="39">
      <t>セッテイ</t>
    </rPh>
    <rPh sb="43" eb="45">
      <t>サクセイ</t>
    </rPh>
    <phoneticPr fontId="5"/>
  </si>
  <si>
    <t>その他データベースサーバで必要とするメモリ</t>
    <rPh sb="2" eb="3">
      <t>タ</t>
    </rPh>
    <rPh sb="13" eb="15">
      <t>ヒツヨウ</t>
    </rPh>
    <phoneticPr fontId="11"/>
  </si>
  <si>
    <t>サーバ側の接続障害</t>
    <phoneticPr fontId="5"/>
  </si>
  <si>
    <t>ＤＢサーバ毎にインスタンスを作成する。</t>
    <rPh sb="5" eb="6">
      <t>ゴト</t>
    </rPh>
    <rPh sb="14" eb="16">
      <t>サクセイ</t>
    </rPh>
    <phoneticPr fontId="5"/>
  </si>
  <si>
    <t>Activeサーバ上のインスタンス#1が通常起動され、</t>
    <rPh sb="9" eb="10">
      <t>ジョウ</t>
    </rPh>
    <rPh sb="20" eb="22">
      <t>ツウジョウ</t>
    </rPh>
    <rPh sb="22" eb="24">
      <t>キドウ</t>
    </rPh>
    <phoneticPr fontId="5"/>
  </si>
  <si>
    <t>StandbyサーバのORACLEサービスは停止状態となる。</t>
    <rPh sb="22" eb="24">
      <t>テイシ</t>
    </rPh>
    <rPh sb="24" eb="26">
      <t>ジョウタイ</t>
    </rPh>
    <phoneticPr fontId="5"/>
  </si>
  <si>
    <t>研修環境のActiveサーバのインスタンスも自動停止する。</t>
    <rPh sb="0" eb="2">
      <t>ケンシュウ</t>
    </rPh>
    <rPh sb="2" eb="4">
      <t>カンキョウ</t>
    </rPh>
    <rPh sb="22" eb="24">
      <t>ジドウ</t>
    </rPh>
    <rPh sb="24" eb="26">
      <t>テイシ</t>
    </rPh>
    <phoneticPr fontId="5"/>
  </si>
  <si>
    <t>必要であれば、Standbyサーバの研修インスタンス#2を手動で起動させ、</t>
    <rPh sb="0" eb="2">
      <t>ヒツヨウ</t>
    </rPh>
    <rPh sb="18" eb="20">
      <t>ケンシュウ</t>
    </rPh>
    <rPh sb="29" eb="31">
      <t>シュドウ</t>
    </rPh>
    <rPh sb="32" eb="34">
      <t>キドウ</t>
    </rPh>
    <phoneticPr fontId="5"/>
  </si>
  <si>
    <t>研修データベースは本番ＤＢサーバと同居する。</t>
    <rPh sb="9" eb="11">
      <t>ホンバン</t>
    </rPh>
    <rPh sb="17" eb="19">
      <t>ドウキョ</t>
    </rPh>
    <phoneticPr fontId="5"/>
  </si>
  <si>
    <t>その他データベースサーバで必要とするメモリ</t>
    <rPh sb="2" eb="3">
      <t>タ</t>
    </rPh>
    <rPh sb="13" eb="15">
      <t>ヒツヨウ</t>
    </rPh>
    <phoneticPr fontId="5"/>
  </si>
  <si>
    <t>サーバ側の接続障害</t>
    <phoneticPr fontId="21"/>
  </si>
  <si>
    <r>
      <t>IVR</t>
    </r>
    <r>
      <rPr>
        <sz val="10"/>
        <color rgb="FFFF0000"/>
        <rFont val="ＭＳ Ｐゴシック"/>
        <family val="3"/>
        <charset val="128"/>
      </rPr>
      <t>開発</t>
    </r>
    <r>
      <rPr>
        <sz val="10"/>
        <rFont val="ＭＳ Ｐゴシック"/>
        <family val="3"/>
        <charset val="128"/>
      </rPr>
      <t>環境で利用するOracleデータベースのインスタンスを以下のように設定する。</t>
    </r>
    <rPh sb="3" eb="5">
      <t>カイハツ</t>
    </rPh>
    <rPh sb="5" eb="7">
      <t>カンキョウ</t>
    </rPh>
    <rPh sb="8" eb="10">
      <t>リヨウ</t>
    </rPh>
    <rPh sb="32" eb="34">
      <t>イカ</t>
    </rPh>
    <rPh sb="38" eb="40">
      <t>セッテイ</t>
    </rPh>
    <phoneticPr fontId="5"/>
  </si>
  <si>
    <r>
      <t>IVR</t>
    </r>
    <r>
      <rPr>
        <sz val="10"/>
        <color rgb="FFFF0000"/>
        <rFont val="ＭＳ Ｐゴシック"/>
        <family val="3"/>
        <charset val="128"/>
      </rPr>
      <t>開発</t>
    </r>
    <r>
      <rPr>
        <sz val="10"/>
        <rFont val="ＭＳ Ｐゴシック"/>
        <family val="3"/>
        <charset val="128"/>
      </rPr>
      <t>環境で利用するOracleデータベースの表領域を以下のように設定する。</t>
    </r>
    <rPh sb="3" eb="5">
      <t>カイハツ</t>
    </rPh>
    <rPh sb="5" eb="7">
      <t>カンキョウ</t>
    </rPh>
    <rPh sb="8" eb="10">
      <t>リヨウ</t>
    </rPh>
    <rPh sb="25" eb="26">
      <t>ヒョウ</t>
    </rPh>
    <rPh sb="26" eb="28">
      <t>リョウイキ</t>
    </rPh>
    <rPh sb="29" eb="31">
      <t>イカ</t>
    </rPh>
    <rPh sb="35" eb="37">
      <t>セッテイ</t>
    </rPh>
    <phoneticPr fontId="5"/>
  </si>
  <si>
    <t xml:space="preserve">IVR専用のDBサーバであり、他システムでのメモリ共有は考慮不要とし、レスポンスを最大限に考慮するため、
OS、Oracle管理用（常駐プロセス等）、クラスタ用、その他（HULFT等）が利用するメモリーを除いたメモリーのうち、40%をOracleインスタンスの利用量として算出し、テストフェーズでチューニングする。
</t>
    <rPh sb="15" eb="16">
      <t>タ</t>
    </rPh>
    <rPh sb="79" eb="80">
      <t>ヨウ</t>
    </rPh>
    <phoneticPr fontId="5"/>
  </si>
  <si>
    <t>Activeサーバ上のインスタンスが通常起動され、</t>
    <rPh sb="9" eb="10">
      <t>ジョウ</t>
    </rPh>
    <rPh sb="18" eb="20">
      <t>ツウジョウ</t>
    </rPh>
    <rPh sb="20" eb="22">
      <t>キドウ</t>
    </rPh>
    <phoneticPr fontId="5"/>
  </si>
  <si>
    <t>Standbyサーバのンスタンスは停止しておく。</t>
    <rPh sb="17" eb="19">
      <t>テイシ</t>
    </rPh>
    <phoneticPr fontId="5"/>
  </si>
  <si>
    <t>Activeサーバのインスタンスに障害が発生した場合に、</t>
    <rPh sb="17" eb="19">
      <t>ショウガイ</t>
    </rPh>
    <rPh sb="20" eb="22">
      <t>ハッセイ</t>
    </rPh>
    <rPh sb="24" eb="26">
      <t>バアイ</t>
    </rPh>
    <phoneticPr fontId="5"/>
  </si>
  <si>
    <t>利用者からは同じデータベースとして認識され、サーバは意識しない。</t>
    <rPh sb="0" eb="2">
      <t>リヨウ</t>
    </rPh>
    <rPh sb="2" eb="3">
      <t>シャ</t>
    </rPh>
    <rPh sb="6" eb="7">
      <t>オナ</t>
    </rPh>
    <rPh sb="17" eb="19">
      <t>ニンシキ</t>
    </rPh>
    <rPh sb="26" eb="28">
      <t>イシキ</t>
    </rPh>
    <phoneticPr fontId="5"/>
  </si>
  <si>
    <r>
      <t>3-3-7. ＩＶＲ-ＤＢサーバイメージ図（</t>
    </r>
    <r>
      <rPr>
        <sz val="10"/>
        <color rgb="FFFF0000"/>
        <rFont val="ＭＳ Ｐゴシック"/>
        <family val="3"/>
        <charset val="128"/>
      </rPr>
      <t>開発</t>
    </r>
    <r>
      <rPr>
        <sz val="10"/>
        <rFont val="ＭＳ Ｐゴシック"/>
        <family val="3"/>
        <charset val="128"/>
      </rPr>
      <t>環境）</t>
    </r>
    <rPh sb="20" eb="21">
      <t>ズ</t>
    </rPh>
    <rPh sb="22" eb="24">
      <t>カイハツ</t>
    </rPh>
    <rPh sb="24" eb="26">
      <t>カンキョウ</t>
    </rPh>
    <phoneticPr fontId="5"/>
  </si>
  <si>
    <t>本番インスタンスのフェイルバック後、Activeサーバの研修インスタンス#1を起動させる。
復旧後、各機能が利用できるようになる。</t>
    <rPh sb="0" eb="2">
      <t>ホンバン</t>
    </rPh>
    <rPh sb="16" eb="17">
      <t>ゴ</t>
    </rPh>
    <rPh sb="28" eb="30">
      <t>ケンシュウ</t>
    </rPh>
    <rPh sb="39" eb="41">
      <t>キドウ</t>
    </rPh>
    <phoneticPr fontId="5"/>
  </si>
  <si>
    <r>
      <t xml:space="preserve">データベースにはOracle Database </t>
    </r>
    <r>
      <rPr>
        <sz val="10"/>
        <color rgb="FFFF0000"/>
        <rFont val="ＭＳ Ｐゴシック"/>
        <family val="3"/>
        <charset val="128"/>
      </rPr>
      <t>12cR2</t>
    </r>
    <r>
      <rPr>
        <sz val="10"/>
        <rFont val="ＭＳ Ｐゴシック"/>
        <family val="3"/>
        <charset val="128"/>
      </rPr>
      <t>を使用する。</t>
    </r>
    <phoneticPr fontId="5"/>
  </si>
  <si>
    <r>
      <t>障害箇所復旧後、フェイルバックする。
JP1/AJS</t>
    </r>
    <r>
      <rPr>
        <sz val="10"/>
        <color rgb="FFFF0000"/>
        <rFont val="ＭＳ Ｐゴシック"/>
        <family val="3"/>
        <charset val="128"/>
      </rPr>
      <t>3</t>
    </r>
    <r>
      <rPr>
        <sz val="10"/>
        <rFont val="ＭＳ Ｐゴシック"/>
        <family val="3"/>
        <charset val="128"/>
      </rPr>
      <t>もOracleと同時にフェイルバックする。
JP1/AJS</t>
    </r>
    <r>
      <rPr>
        <sz val="10"/>
        <color rgb="FFFF0000"/>
        <rFont val="ＭＳ Ｐゴシック"/>
        <family val="3"/>
        <charset val="128"/>
      </rPr>
      <t>3</t>
    </r>
    <r>
      <rPr>
        <sz val="10"/>
        <rFont val="ＭＳ Ｐゴシック"/>
        <family val="3"/>
        <charset val="128"/>
      </rPr>
      <t>障害発生時に手起動で復旧していない場合は、障害発生ジョブから再実行する。
音声フローはフェイルバック時に接続中の呼はエラー発生のアナウンスが流れ、終了する。フェイルバック後は正常に接続される。</t>
    </r>
    <rPh sb="94" eb="96">
      <t>オンセイ</t>
    </rPh>
    <rPh sb="107" eb="108">
      <t>ジ</t>
    </rPh>
    <rPh sb="144" eb="146">
      <t>セイジョウ</t>
    </rPh>
    <phoneticPr fontId="5"/>
  </si>
  <si>
    <r>
      <t>各表領域の名前は</t>
    </r>
    <r>
      <rPr>
        <sz val="10"/>
        <color rgb="FFFF0000"/>
        <rFont val="ＭＳ Ｐゴシック"/>
        <family val="3"/>
        <charset val="128"/>
      </rPr>
      <t>現行の名称を踏襲する。</t>
    </r>
    <rPh sb="0" eb="1">
      <t>カク</t>
    </rPh>
    <rPh sb="1" eb="2">
      <t>ヒョウ</t>
    </rPh>
    <rPh sb="2" eb="4">
      <t>リョウイキ</t>
    </rPh>
    <rPh sb="5" eb="7">
      <t>ナマエ</t>
    </rPh>
    <phoneticPr fontId="11"/>
  </si>
  <si>
    <t>現行の名称を踏襲する。</t>
    <phoneticPr fontId="5"/>
  </si>
  <si>
    <t>現行の名称を踏襲する。</t>
    <phoneticPr fontId="5"/>
  </si>
  <si>
    <t>現行の設定を踏襲する。</t>
    <rPh sb="3" eb="5">
      <t>セッテイ</t>
    </rPh>
    <phoneticPr fontId="5"/>
  </si>
  <si>
    <t xml:space="preserve">自動メモリー管理を有効にし、OracleDBの使用メモリーの合計使用値を設定する。（設定範囲内でメモリーは自動管理となる。）
</t>
    <phoneticPr fontId="5"/>
  </si>
  <si>
    <t>開発データベースは仮想サーバ上で構築する。</t>
    <rPh sb="0" eb="2">
      <t>カイハツ</t>
    </rPh>
    <rPh sb="9" eb="11">
      <t>カソウ</t>
    </rPh>
    <rPh sb="14" eb="15">
      <t>ジョウ</t>
    </rPh>
    <rPh sb="16" eb="18">
      <t>コウチク</t>
    </rPh>
    <phoneticPr fontId="5"/>
  </si>
  <si>
    <r>
      <t>3. 処理方式設計（</t>
    </r>
    <r>
      <rPr>
        <sz val="10"/>
        <color rgb="FFFF0000"/>
        <rFont val="ＭＳ Ｐゴシック"/>
        <family val="3"/>
        <charset val="128"/>
      </rPr>
      <t>開発</t>
    </r>
    <r>
      <rPr>
        <sz val="10"/>
        <rFont val="ＭＳ Ｐゴシック"/>
        <family val="3"/>
        <charset val="128"/>
      </rPr>
      <t>）</t>
    </r>
    <rPh sb="3" eb="5">
      <t>ショリ</t>
    </rPh>
    <rPh sb="5" eb="7">
      <t>ホウシキ</t>
    </rPh>
    <rPh sb="10" eb="12">
      <t>カイハツ</t>
    </rPh>
    <phoneticPr fontId="5"/>
  </si>
  <si>
    <t>2019/1/11</t>
    <phoneticPr fontId="5"/>
  </si>
  <si>
    <t>LifeKeeper　シスログ</t>
    <phoneticPr fontId="5"/>
  </si>
  <si>
    <t>LifeKeeper本体に出力されるログ</t>
    <rPh sb="10" eb="12">
      <t>ホンタイ</t>
    </rPh>
    <rPh sb="13" eb="15">
      <t>シュツリョク</t>
    </rPh>
    <phoneticPr fontId="5"/>
  </si>
  <si>
    <t>LifeKeeperがsyslogへ出力するログ</t>
    <rPh sb="18" eb="20">
      <t>シュツリョク</t>
    </rPh>
    <phoneticPr fontId="5"/>
  </si>
  <si>
    <t>LifeKeeper　本体のログ</t>
    <rPh sb="11" eb="13">
      <t>ホンタイ</t>
    </rPh>
    <phoneticPr fontId="5"/>
  </si>
  <si>
    <t>200</t>
    <phoneticPr fontId="5"/>
  </si>
  <si>
    <r>
      <t>&lt;CPU/メモリ/ディスク&gt;
CPU：</t>
    </r>
    <r>
      <rPr>
        <sz val="10"/>
        <color rgb="FFFF0000"/>
        <rFont val="ＭＳ Ｐゴシック"/>
        <family val="3"/>
        <charset val="128"/>
      </rPr>
      <t>Xeon E5-2699v4 （2.20GHz, 4C）</t>
    </r>
    <r>
      <rPr>
        <sz val="10"/>
        <rFont val="ＭＳ Ｐゴシック"/>
        <family val="3"/>
        <charset val="128"/>
      </rPr>
      <t xml:space="preserve">
メモリ：</t>
    </r>
    <r>
      <rPr>
        <sz val="10"/>
        <color rgb="FFFF0000"/>
        <rFont val="ＭＳ Ｐゴシック"/>
        <family val="3"/>
        <charset val="128"/>
      </rPr>
      <t>16GB</t>
    </r>
    <r>
      <rPr>
        <sz val="10"/>
        <rFont val="ＭＳ Ｐゴシック"/>
        <family val="3"/>
        <charset val="128"/>
      </rPr>
      <t xml:space="preserve">
ディスク：</t>
    </r>
    <r>
      <rPr>
        <sz val="10"/>
        <color rgb="FFFF0000"/>
        <rFont val="ＭＳ Ｐゴシック"/>
        <family val="3"/>
        <charset val="128"/>
      </rPr>
      <t>130GB＋200GB（DBデータ）</t>
    </r>
    <r>
      <rPr>
        <sz val="10"/>
        <rFont val="ＭＳ Ｐゴシック"/>
        <family val="3"/>
        <charset val="128"/>
      </rPr>
      <t xml:space="preserve">
設計根拠は</t>
    </r>
    <r>
      <rPr>
        <b/>
        <u/>
        <sz val="10"/>
        <rFont val="ＭＳ Ｐゴシック"/>
        <family val="3"/>
        <charset val="128"/>
      </rPr>
      <t>『要件定義書 「03-05 リソース見積根拠」』</t>
    </r>
    <r>
      <rPr>
        <sz val="10"/>
        <rFont val="ＭＳ Ｐゴシック"/>
        <family val="3"/>
        <charset val="128"/>
      </rPr>
      <t xml:space="preserve">参照のこと。
</t>
    </r>
    <phoneticPr fontId="5"/>
  </si>
  <si>
    <t>2GB</t>
    <phoneticPr fontId="5"/>
  </si>
  <si>
    <r>
      <t>現行で研修DBのメモリ枯渇が発生しているため、メモリの割り当てを現行の500MBから更改後は2GBへ増強する。
設計根拠は</t>
    </r>
    <r>
      <rPr>
        <b/>
        <u/>
        <sz val="10"/>
        <color rgb="FFFF0000"/>
        <rFont val="ＭＳ Ｐゴシック"/>
        <family val="3"/>
        <charset val="128"/>
      </rPr>
      <t>『要件定義書 「03-05 リソース見積根拠」』</t>
    </r>
    <r>
      <rPr>
        <sz val="10"/>
        <color rgb="FFFF0000"/>
        <rFont val="ＭＳ Ｐゴシック"/>
        <family val="3"/>
        <charset val="128"/>
      </rPr>
      <t>参照のこと。</t>
    </r>
    <rPh sb="27" eb="28">
      <t>ワ</t>
    </rPh>
    <rPh sb="29" eb="30">
      <t>ア</t>
    </rPh>
    <rPh sb="42" eb="44">
      <t>コウカイ</t>
    </rPh>
    <rPh sb="44" eb="45">
      <t>ゴ</t>
    </rPh>
    <phoneticPr fontId="5"/>
  </si>
  <si>
    <r>
      <t xml:space="preserve">サーバは本番DBと同居するため、本番に影響を与えない最小値を検討する。
</t>
    </r>
    <r>
      <rPr>
        <sz val="10"/>
        <color rgb="FFFF0000"/>
        <rFont val="ＭＳ Ｐゴシック"/>
        <family val="3"/>
        <charset val="128"/>
      </rPr>
      <t>現行における研修DBのメモリ使用状況より、最大2GBとする。
設計根拠は</t>
    </r>
    <r>
      <rPr>
        <b/>
        <u/>
        <sz val="10"/>
        <color rgb="FFFF0000"/>
        <rFont val="ＭＳ Ｐゴシック"/>
        <family val="3"/>
        <charset val="128"/>
      </rPr>
      <t>『要件定義書 「03-05 リソース見積根拠」』</t>
    </r>
    <r>
      <rPr>
        <sz val="10"/>
        <color rgb="FFFF0000"/>
        <rFont val="ＭＳ Ｐゴシック"/>
        <family val="3"/>
        <charset val="128"/>
      </rPr>
      <t>参照のこと。</t>
    </r>
    <r>
      <rPr>
        <sz val="10"/>
        <rFont val="ＭＳ Ｐゴシック"/>
        <family val="3"/>
        <charset val="128"/>
      </rPr>
      <t xml:space="preserve">
</t>
    </r>
    <rPh sb="50" eb="52">
      <t>シヨウ</t>
    </rPh>
    <rPh sb="52" eb="54">
      <t>ジョウキョウ</t>
    </rPh>
    <rPh sb="57" eb="59">
      <t>サイダイ</t>
    </rPh>
    <phoneticPr fontId="5"/>
  </si>
  <si>
    <r>
      <t>本来、</t>
    </r>
    <r>
      <rPr>
        <sz val="10"/>
        <color rgb="FFFF0000"/>
        <rFont val="ＭＳ Ｐゴシック"/>
        <family val="3"/>
        <charset val="128"/>
      </rPr>
      <t>開発</t>
    </r>
    <r>
      <rPr>
        <sz val="10"/>
        <rFont val="ＭＳ Ｐゴシック"/>
        <family val="3"/>
        <charset val="128"/>
      </rPr>
      <t>環境は常時運用サービスを提供してないので。可用性は考慮しない。</t>
    </r>
    <rPh sb="3" eb="5">
      <t>カイハツ</t>
    </rPh>
    <rPh sb="8" eb="10">
      <t>ジョウジ</t>
    </rPh>
    <rPh sb="10" eb="12">
      <t>ウンヨウ</t>
    </rPh>
    <phoneticPr fontId="5"/>
  </si>
  <si>
    <t>開発０１</t>
    <rPh sb="0" eb="2">
      <t>カイハツ</t>
    </rPh>
    <phoneticPr fontId="21"/>
  </si>
  <si>
    <t>開発０２</t>
    <phoneticPr fontId="21"/>
  </si>
  <si>
    <t>開発０３</t>
    <phoneticPr fontId="21"/>
  </si>
  <si>
    <t>開発０４</t>
    <phoneticPr fontId="21"/>
  </si>
  <si>
    <r>
      <t>Oracle/DB　</t>
    </r>
    <r>
      <rPr>
        <sz val="10"/>
        <color rgb="FFFF0000"/>
        <rFont val="ＭＳ Ｐゴシック"/>
        <family val="3"/>
        <charset val="128"/>
      </rPr>
      <t>開発</t>
    </r>
    <r>
      <rPr>
        <sz val="10"/>
        <rFont val="ＭＳ Ｐゴシック"/>
        <family val="3"/>
        <charset val="128"/>
      </rPr>
      <t>インスタンス</t>
    </r>
    <rPh sb="10" eb="12">
      <t>カイハツ</t>
    </rPh>
    <phoneticPr fontId="5"/>
  </si>
  <si>
    <r>
      <rPr>
        <sz val="10"/>
        <color rgb="FFFF0000"/>
        <rFont val="ＭＳ Ｐゴシック"/>
        <family val="3"/>
        <charset val="128"/>
      </rPr>
      <t>開発</t>
    </r>
    <r>
      <rPr>
        <sz val="10"/>
        <rFont val="ＭＳ Ｐゴシック"/>
        <family val="3"/>
        <charset val="128"/>
      </rPr>
      <t>リスナー</t>
    </r>
    <rPh sb="0" eb="2">
      <t>カイハツ</t>
    </rPh>
    <phoneticPr fontId="5"/>
  </si>
  <si>
    <r>
      <t xml:space="preserve">Oracle/DB
</t>
    </r>
    <r>
      <rPr>
        <sz val="10"/>
        <color rgb="FFFF0000"/>
        <rFont val="ＭＳ Ｐゴシック"/>
        <family val="3"/>
        <charset val="128"/>
      </rPr>
      <t>開発</t>
    </r>
    <r>
      <rPr>
        <sz val="10"/>
        <rFont val="ＭＳ Ｐゴシック"/>
        <family val="3"/>
        <charset val="128"/>
      </rPr>
      <t>リスナー</t>
    </r>
    <rPh sb="10" eb="12">
      <t>カイハツ</t>
    </rPh>
    <phoneticPr fontId="5"/>
  </si>
  <si>
    <t>開発</t>
    <rPh sb="0" eb="2">
      <t>カイハツ</t>
    </rPh>
    <phoneticPr fontId="5"/>
  </si>
  <si>
    <t>ユーザ表領域</t>
    <rPh sb="3" eb="4">
      <t>ヒョウ</t>
    </rPh>
    <rPh sb="4" eb="6">
      <t>リョウイキ</t>
    </rPh>
    <phoneticPr fontId="11"/>
  </si>
  <si>
    <t>ユーザテーブル数　</t>
    <rPh sb="7" eb="8">
      <t>スウ</t>
    </rPh>
    <phoneticPr fontId="5"/>
  </si>
  <si>
    <t>ユーザプロセス</t>
    <phoneticPr fontId="5"/>
  </si>
  <si>
    <t>1-3-5. 処理設計方式（スキーマ・ユーザ設計）</t>
    <rPh sb="7" eb="9">
      <t>ショリ</t>
    </rPh>
    <rPh sb="9" eb="11">
      <t>セッケイ</t>
    </rPh>
    <rPh sb="11" eb="13">
      <t>ホウシキ</t>
    </rPh>
    <phoneticPr fontId="5"/>
  </si>
  <si>
    <t>IVR-DBのスキーマ・ユーザについて記載する。
オブジェクトの所有ユーザスキーマは1つとし、他のユーザはそのスキーマのオブジェクトを参照・更新する権限を与えることとする。
セキュリティの観点から、管理ユーザ以外にテーブルのDROP・CREATE権限は与えない。
初期ユーザは最低限必要なシステムユーザを除き、削除する。
システム管理ユーザのパスワードはデフォルトを使用しないようにする。</t>
    <rPh sb="19" eb="21">
      <t>キサイ</t>
    </rPh>
    <rPh sb="32" eb="34">
      <t>ショユウ</t>
    </rPh>
    <rPh sb="47" eb="48">
      <t>タ</t>
    </rPh>
    <rPh sb="67" eb="69">
      <t>サンショウ</t>
    </rPh>
    <rPh sb="70" eb="72">
      <t>コウシン</t>
    </rPh>
    <rPh sb="74" eb="76">
      <t>ケンゲン</t>
    </rPh>
    <rPh sb="77" eb="78">
      <t>アタ</t>
    </rPh>
    <rPh sb="94" eb="96">
      <t>カンテン</t>
    </rPh>
    <rPh sb="99" eb="101">
      <t>カンリ</t>
    </rPh>
    <rPh sb="104" eb="106">
      <t>イガイ</t>
    </rPh>
    <rPh sb="123" eb="125">
      <t>ケンゲン</t>
    </rPh>
    <rPh sb="126" eb="127">
      <t>アタ</t>
    </rPh>
    <phoneticPr fontId="5"/>
  </si>
  <si>
    <t>管理ユーザ</t>
    <rPh sb="0" eb="2">
      <t>カンリ</t>
    </rPh>
    <phoneticPr fontId="5"/>
  </si>
  <si>
    <t>アプリユーザ</t>
    <phoneticPr fontId="5"/>
  </si>
  <si>
    <t>バッチユーザ</t>
    <phoneticPr fontId="5"/>
  </si>
  <si>
    <t>バッチ実行ユーザ</t>
    <rPh sb="3" eb="5">
      <t>ジッコウ</t>
    </rPh>
    <phoneticPr fontId="5"/>
  </si>
  <si>
    <t>管理画面ユーザ</t>
    <rPh sb="0" eb="2">
      <t>カンリ</t>
    </rPh>
    <rPh sb="2" eb="4">
      <t>ガメン</t>
    </rPh>
    <phoneticPr fontId="5"/>
  </si>
  <si>
    <t>管理画面利用者用ユーザ</t>
    <rPh sb="0" eb="2">
      <t>カンリ</t>
    </rPh>
    <rPh sb="2" eb="4">
      <t>ガメン</t>
    </rPh>
    <rPh sb="4" eb="7">
      <t>リヨウシャ</t>
    </rPh>
    <rPh sb="7" eb="8">
      <t>ヨウ</t>
    </rPh>
    <phoneticPr fontId="5"/>
  </si>
  <si>
    <t>テーブル・インデックスの追加・削除、ビュー、プロシージャの作成。ユーザへの権限付与。</t>
    <rPh sb="12" eb="14">
      <t>ツイカ</t>
    </rPh>
    <rPh sb="15" eb="17">
      <t>サクジョ</t>
    </rPh>
    <rPh sb="29" eb="31">
      <t>サクセイ</t>
    </rPh>
    <rPh sb="37" eb="39">
      <t>ケンゲン</t>
    </rPh>
    <rPh sb="39" eb="41">
      <t>フヨ</t>
    </rPh>
    <phoneticPr fontId="5"/>
  </si>
  <si>
    <t>環境としては本番データベースと同じ論理構成を必要とする。（表領域名、スキーマ・ユーザ名、テーブル名、テーブルレイアウト、インデックス）</t>
    <rPh sb="0" eb="2">
      <t>カンキョウ</t>
    </rPh>
    <rPh sb="6" eb="8">
      <t>ホンバン</t>
    </rPh>
    <rPh sb="15" eb="16">
      <t>オナ</t>
    </rPh>
    <rPh sb="17" eb="19">
      <t>ロンリ</t>
    </rPh>
    <rPh sb="19" eb="21">
      <t>コウセイ</t>
    </rPh>
    <rPh sb="22" eb="24">
      <t>ヒツヨウ</t>
    </rPh>
    <phoneticPr fontId="5"/>
  </si>
  <si>
    <t>（ＱＤＫ）ユーザ管理</t>
    <phoneticPr fontId="5"/>
  </si>
  <si>
    <t>ユーザ表領域</t>
    <rPh sb="3" eb="4">
      <t>ヒョウ</t>
    </rPh>
    <rPh sb="4" eb="6">
      <t>リョウイキ</t>
    </rPh>
    <phoneticPr fontId="5"/>
  </si>
  <si>
    <t>2-3-5. 処理設計方式（スキーマ・ユーザ設計）</t>
    <rPh sb="7" eb="9">
      <t>ショリ</t>
    </rPh>
    <rPh sb="9" eb="11">
      <t>セッケイ</t>
    </rPh>
    <rPh sb="11" eb="13">
      <t>ホウシキ</t>
    </rPh>
    <phoneticPr fontId="5"/>
  </si>
  <si>
    <t>IVR-DBのスキーマ・ユーザについて記載する。
オブジェクトの所有ユーザスキーマは1つとし、他のユーザはそのスキーマのオブジェクトを参照・更新する権限を与えることとする。
セキュリティの観点から、管理ユーザ以外にテーブルのDROP・CREATE権限は与えない。</t>
    <rPh sb="19" eb="21">
      <t>キサイ</t>
    </rPh>
    <rPh sb="32" eb="34">
      <t>ショユウ</t>
    </rPh>
    <rPh sb="47" eb="48">
      <t>タ</t>
    </rPh>
    <rPh sb="67" eb="69">
      <t>サンショウ</t>
    </rPh>
    <rPh sb="70" eb="72">
      <t>コウシン</t>
    </rPh>
    <rPh sb="74" eb="76">
      <t>ケンゲン</t>
    </rPh>
    <rPh sb="77" eb="78">
      <t>アタ</t>
    </rPh>
    <rPh sb="94" eb="96">
      <t>カンテン</t>
    </rPh>
    <rPh sb="99" eb="101">
      <t>カンリ</t>
    </rPh>
    <rPh sb="104" eb="106">
      <t>イガイ</t>
    </rPh>
    <rPh sb="123" eb="125">
      <t>ケンゲン</t>
    </rPh>
    <rPh sb="126" eb="127">
      <t>アタ</t>
    </rPh>
    <phoneticPr fontId="5"/>
  </si>
  <si>
    <t>アプリユーザ</t>
    <phoneticPr fontId="5"/>
  </si>
  <si>
    <t>QDKユーザ</t>
    <phoneticPr fontId="5"/>
  </si>
  <si>
    <t>QDKで利用するユーザ</t>
    <rPh sb="4" eb="6">
      <t>リヨウ</t>
    </rPh>
    <phoneticPr fontId="5"/>
  </si>
  <si>
    <t>環境としては本番データベースと同じ物理構成・論理構成を必要とする。（表領域名、スキーマ・ユーザ名、テーブル名、テーブルレイアウト、インデックス）</t>
    <rPh sb="0" eb="2">
      <t>カンキョウ</t>
    </rPh>
    <rPh sb="6" eb="8">
      <t>ホンバン</t>
    </rPh>
    <rPh sb="15" eb="16">
      <t>オナ</t>
    </rPh>
    <rPh sb="17" eb="19">
      <t>ブツリ</t>
    </rPh>
    <rPh sb="19" eb="21">
      <t>コウセイ</t>
    </rPh>
    <rPh sb="22" eb="24">
      <t>ロンリ</t>
    </rPh>
    <rPh sb="24" eb="26">
      <t>コウセイ</t>
    </rPh>
    <rPh sb="27" eb="29">
      <t>ヒツヨウ</t>
    </rPh>
    <rPh sb="34" eb="35">
      <t>オモテ</t>
    </rPh>
    <rPh sb="35" eb="37">
      <t>リョウイキ</t>
    </rPh>
    <rPh sb="37" eb="38">
      <t>メイ</t>
    </rPh>
    <rPh sb="47" eb="48">
      <t>メイ</t>
    </rPh>
    <rPh sb="53" eb="54">
      <t>メイ</t>
    </rPh>
    <phoneticPr fontId="5"/>
  </si>
  <si>
    <t>ユーザプロセス</t>
    <phoneticPr fontId="21"/>
  </si>
  <si>
    <t>3-3-5. 処理設計方式（スキーマ・ユーザ設計）</t>
    <rPh sb="7" eb="9">
      <t>ショリ</t>
    </rPh>
    <rPh sb="9" eb="11">
      <t>セッケイ</t>
    </rPh>
    <rPh sb="11" eb="13">
      <t>ホウシキ</t>
    </rPh>
    <phoneticPr fontId="5"/>
  </si>
  <si>
    <t>1.1</t>
    <phoneticPr fontId="5"/>
  </si>
  <si>
    <t>2019/1/16</t>
    <phoneticPr fontId="5"/>
  </si>
  <si>
    <t>JRIレビュー指摘の反映</t>
    <rPh sb="7" eb="9">
      <t>シテキ</t>
    </rPh>
    <rPh sb="10" eb="12">
      <t>ハンエイ</t>
    </rPh>
    <phoneticPr fontId="5"/>
  </si>
  <si>
    <t>DBサーバはクラスタ構成としており、DB障害発生時には自動的にStandbyDBにフェイルオーバする。フェイルオーバ中の数分間はイベントハンドラ（エラーアナウンス）が実行される。</t>
    <rPh sb="58" eb="59">
      <t>チュウ</t>
    </rPh>
    <rPh sb="60" eb="62">
      <t>スウフン</t>
    </rPh>
    <rPh sb="62" eb="63">
      <t>カン</t>
    </rPh>
    <phoneticPr fontId="5"/>
  </si>
  <si>
    <t>概要図（異常時・フェイルオーバ中）</t>
    <rPh sb="0" eb="2">
      <t>ガイヨウ</t>
    </rPh>
    <rPh sb="2" eb="3">
      <t>ズ</t>
    </rPh>
    <rPh sb="4" eb="6">
      <t>イジョウ</t>
    </rPh>
    <rPh sb="6" eb="7">
      <t>ジ</t>
    </rPh>
    <rPh sb="15" eb="16">
      <t>チュウ</t>
    </rPh>
    <phoneticPr fontId="5"/>
  </si>
  <si>
    <r>
      <t>JP1/AJS</t>
    </r>
    <r>
      <rPr>
        <sz val="10"/>
        <color rgb="FFFF0000"/>
        <rFont val="ＭＳ Ｐゴシック"/>
        <family val="3"/>
        <charset val="128"/>
      </rPr>
      <t>3</t>
    </r>
    <r>
      <rPr>
        <sz val="10"/>
        <rFont val="ＭＳ Ｐゴシック"/>
        <family val="3"/>
        <charset val="128"/>
      </rPr>
      <t>もOracleと同時にフェイルオーバするためStandbyで自動実行する。</t>
    </r>
    <rPh sb="16" eb="18">
      <t>ドウジ</t>
    </rPh>
    <rPh sb="38" eb="40">
      <t>ジドウ</t>
    </rPh>
    <rPh sb="40" eb="42">
      <t>ジッコウ</t>
    </rPh>
    <phoneticPr fontId="5"/>
  </si>
  <si>
    <r>
      <t>ただし、HULFTはActiveにしか存在しないため、フェイルオーバ中はJP1/AJS</t>
    </r>
    <r>
      <rPr>
        <sz val="10"/>
        <color rgb="FFFF0000"/>
        <rFont val="ＭＳ Ｐゴシック"/>
        <family val="3"/>
        <charset val="128"/>
      </rPr>
      <t>3</t>
    </r>
    <r>
      <rPr>
        <sz val="10"/>
        <rFont val="ＭＳ Ｐゴシック"/>
        <family val="3"/>
        <charset val="128"/>
      </rPr>
      <t>からの実行は行わず、手起動でシェルを実行する。</t>
    </r>
    <rPh sb="19" eb="21">
      <t>ソンザイ</t>
    </rPh>
    <rPh sb="34" eb="35">
      <t>チュウ</t>
    </rPh>
    <rPh sb="47" eb="49">
      <t>ジッコウ</t>
    </rPh>
    <rPh sb="50" eb="51">
      <t>オコナ</t>
    </rPh>
    <rPh sb="54" eb="55">
      <t>テ</t>
    </rPh>
    <rPh sb="55" eb="57">
      <t>キドウ</t>
    </rPh>
    <rPh sb="62" eb="64">
      <t>ジッコウ</t>
    </rPh>
    <phoneticPr fontId="5"/>
  </si>
  <si>
    <t>[表　1-2-3-2 ホスト連携フェイルオーバ時処理内容一覧]</t>
    <rPh sb="1" eb="2">
      <t>ヒョウ</t>
    </rPh>
    <rPh sb="14" eb="16">
      <t>レンケイ</t>
    </rPh>
    <rPh sb="23" eb="24">
      <t>ジ</t>
    </rPh>
    <rPh sb="24" eb="26">
      <t>ショリ</t>
    </rPh>
    <rPh sb="26" eb="28">
      <t>ナイヨウ</t>
    </rPh>
    <rPh sb="28" eb="30">
      <t>イチラン</t>
    </rPh>
    <phoneticPr fontId="5"/>
  </si>
  <si>
    <t>[表　1-2-4-2 集配信HUB連携フェイルオーバ時処理内容一覧]</t>
    <rPh sb="1" eb="2">
      <t>ヒョウ</t>
    </rPh>
    <rPh sb="11" eb="13">
      <t>シュウハイ</t>
    </rPh>
    <rPh sb="13" eb="14">
      <t>シン</t>
    </rPh>
    <rPh sb="17" eb="19">
      <t>レンケイ</t>
    </rPh>
    <rPh sb="26" eb="27">
      <t>ジ</t>
    </rPh>
    <rPh sb="27" eb="29">
      <t>ショリ</t>
    </rPh>
    <rPh sb="29" eb="31">
      <t>ナイヨウ</t>
    </rPh>
    <rPh sb="31" eb="33">
      <t>イチラン</t>
    </rPh>
    <phoneticPr fontId="5"/>
  </si>
  <si>
    <t xml:space="preserve">研修環境自体の可用性は考慮しないが、本番環境と同一筐体であるため、インスタンスを分け、本番環境への影響が出ないようにする。
研修環境はシングル構成とし、本番環境フェイルオーバ時に強制停止する。
本番環境フェイルオーバ後に、本番環境のフェイルオーバ先サーバにて研修環境のインスタンスを手動で起動させる。
</t>
    <rPh sb="0" eb="2">
      <t>ケンシュウ</t>
    </rPh>
    <rPh sb="2" eb="4">
      <t>カンキョウ</t>
    </rPh>
    <rPh sb="4" eb="6">
      <t>ジタイ</t>
    </rPh>
    <rPh sb="7" eb="10">
      <t>カヨウセイ</t>
    </rPh>
    <rPh sb="11" eb="13">
      <t>コウリョ</t>
    </rPh>
    <rPh sb="18" eb="20">
      <t>ホンバン</t>
    </rPh>
    <rPh sb="20" eb="22">
      <t>カンキョウ</t>
    </rPh>
    <rPh sb="23" eb="25">
      <t>ドウイツ</t>
    </rPh>
    <rPh sb="25" eb="27">
      <t>キョウタイ</t>
    </rPh>
    <rPh sb="40" eb="41">
      <t>ワ</t>
    </rPh>
    <rPh sb="43" eb="45">
      <t>ホンバン</t>
    </rPh>
    <rPh sb="45" eb="47">
      <t>カンキョウ</t>
    </rPh>
    <rPh sb="49" eb="51">
      <t>エイキョウ</t>
    </rPh>
    <rPh sb="52" eb="53">
      <t>デ</t>
    </rPh>
    <rPh sb="62" eb="64">
      <t>ケンシュウ</t>
    </rPh>
    <rPh sb="64" eb="66">
      <t>カンキョウ</t>
    </rPh>
    <rPh sb="71" eb="73">
      <t>コウセイ</t>
    </rPh>
    <rPh sb="76" eb="78">
      <t>ホンバン</t>
    </rPh>
    <rPh sb="78" eb="80">
      <t>カンキョウ</t>
    </rPh>
    <rPh sb="87" eb="88">
      <t>ジ</t>
    </rPh>
    <rPh sb="89" eb="91">
      <t>キョウセイ</t>
    </rPh>
    <rPh sb="91" eb="93">
      <t>テイシ</t>
    </rPh>
    <rPh sb="97" eb="99">
      <t>ホンバン</t>
    </rPh>
    <rPh sb="99" eb="101">
      <t>カンキョウ</t>
    </rPh>
    <rPh sb="108" eb="109">
      <t>ゴ</t>
    </rPh>
    <phoneticPr fontId="5"/>
  </si>
  <si>
    <t xml:space="preserve">研修インスタンスの障害ではフェイルオーバはしない。
管理者が手動でインスタンスを停止し、障害復旧後に再起動を行う。
障害復旧の間は音声フロー・管理画面サーバ・ファイル出力バッチ共に利用できない。
</t>
    <rPh sb="0" eb="2">
      <t>ケンシュウ</t>
    </rPh>
    <rPh sb="9" eb="11">
      <t>ショウガイ</t>
    </rPh>
    <rPh sb="26" eb="29">
      <t>カンリシャ</t>
    </rPh>
    <rPh sb="30" eb="32">
      <t>シュドウ</t>
    </rPh>
    <rPh sb="40" eb="42">
      <t>テイシ</t>
    </rPh>
    <rPh sb="44" eb="46">
      <t>ショウガイ</t>
    </rPh>
    <rPh sb="46" eb="48">
      <t>フッキュウ</t>
    </rPh>
    <rPh sb="48" eb="49">
      <t>ゴ</t>
    </rPh>
    <rPh sb="50" eb="53">
      <t>サイキドウ</t>
    </rPh>
    <rPh sb="54" eb="55">
      <t>オコナ</t>
    </rPh>
    <rPh sb="58" eb="60">
      <t>ショウガイ</t>
    </rPh>
    <rPh sb="60" eb="62">
      <t>フッキュウ</t>
    </rPh>
    <rPh sb="63" eb="64">
      <t>アイダ</t>
    </rPh>
    <rPh sb="65" eb="67">
      <t>オンセイ</t>
    </rPh>
    <rPh sb="71" eb="73">
      <t>カンリ</t>
    </rPh>
    <rPh sb="73" eb="75">
      <t>ガメン</t>
    </rPh>
    <rPh sb="83" eb="85">
      <t>シュツリョク</t>
    </rPh>
    <rPh sb="88" eb="89">
      <t>トモ</t>
    </rPh>
    <rPh sb="90" eb="92">
      <t>リヨウ</t>
    </rPh>
    <phoneticPr fontId="5"/>
  </si>
  <si>
    <t>本番インスタンスの障害により、フェイルオーバが起こると研修インスタンスは強制停止し、フェイルバック完了まで音声フロー・管理画面サーバ・ファイル出力バッチ共に利用できない。
必要であれば管理者が手動でStandbyサーバの研修インスタンス#2を起動させる。</t>
    <rPh sb="0" eb="2">
      <t>ホンバン</t>
    </rPh>
    <rPh sb="9" eb="11">
      <t>ショウガイ</t>
    </rPh>
    <rPh sb="23" eb="24">
      <t>オ</t>
    </rPh>
    <rPh sb="27" eb="29">
      <t>ケンシュウ</t>
    </rPh>
    <rPh sb="36" eb="38">
      <t>キョウセイ</t>
    </rPh>
    <rPh sb="38" eb="40">
      <t>テイシ</t>
    </rPh>
    <rPh sb="49" eb="51">
      <t>カンリョウ</t>
    </rPh>
    <rPh sb="53" eb="55">
      <t>オンセイ</t>
    </rPh>
    <rPh sb="59" eb="61">
      <t>カンリ</t>
    </rPh>
    <rPh sb="61" eb="63">
      <t>ガメン</t>
    </rPh>
    <rPh sb="71" eb="73">
      <t>シュツリョク</t>
    </rPh>
    <rPh sb="76" eb="77">
      <t>トモ</t>
    </rPh>
    <rPh sb="78" eb="80">
      <t>リヨウ</t>
    </rPh>
    <rPh sb="86" eb="88">
      <t>ヒツヨウ</t>
    </rPh>
    <rPh sb="92" eb="95">
      <t>カンリシャ</t>
    </rPh>
    <rPh sb="96" eb="98">
      <t>シュドウ</t>
    </rPh>
    <rPh sb="110" eb="112">
      <t>ケンシュウ</t>
    </rPh>
    <rPh sb="121" eb="123">
      <t>キドウ</t>
    </rPh>
    <phoneticPr fontId="5"/>
  </si>
  <si>
    <t>Standbyサーバにフェイルオーバする際</t>
    <phoneticPr fontId="21"/>
  </si>
  <si>
    <t>[表　3-2-4-2 集配信HUB連携フェイルオーバ時処理内容一覧]</t>
    <rPh sb="1" eb="2">
      <t>ヒョウ</t>
    </rPh>
    <rPh sb="11" eb="13">
      <t>シュウハイ</t>
    </rPh>
    <rPh sb="13" eb="14">
      <t>シン</t>
    </rPh>
    <rPh sb="17" eb="19">
      <t>レンケイ</t>
    </rPh>
    <rPh sb="26" eb="27">
      <t>ジ</t>
    </rPh>
    <rPh sb="27" eb="29">
      <t>ショリ</t>
    </rPh>
    <rPh sb="29" eb="31">
      <t>ナイヨウ</t>
    </rPh>
    <rPh sb="31" eb="33">
      <t>イチラン</t>
    </rPh>
    <phoneticPr fontId="5"/>
  </si>
  <si>
    <r>
      <t>（※1）個人情報：</t>
    </r>
    <r>
      <rPr>
        <sz val="10"/>
        <color rgb="FFFF0000"/>
        <rFont val="ＭＳ Ｐゴシック"/>
        <family val="3"/>
        <charset val="128"/>
      </rPr>
      <t>「会員番号」「暗証番号」「発信者番号」「会員電話番号」「会員名称」「生年月日」「口座番号」「カード有効期限」</t>
    </r>
    <rPh sb="4" eb="6">
      <t>コジン</t>
    </rPh>
    <rPh sb="6" eb="8">
      <t>ジョウホウ</t>
    </rPh>
    <phoneticPr fontId="5"/>
  </si>
  <si>
    <r>
      <t>IVRの最大</t>
    </r>
    <r>
      <rPr>
        <sz val="10"/>
        <color rgb="FFFF0000"/>
        <rFont val="ＭＳ Ｐゴシック"/>
        <family val="3"/>
        <charset val="128"/>
      </rPr>
      <t>400</t>
    </r>
    <r>
      <rPr>
        <sz val="10"/>
        <rFont val="ＭＳ Ｐゴシック"/>
        <family val="3"/>
        <charset val="128"/>
      </rPr>
      <t>セッション、同時</t>
    </r>
    <r>
      <rPr>
        <sz val="10"/>
        <color rgb="FFFF0000"/>
        <rFont val="ＭＳ Ｐゴシック"/>
        <family val="3"/>
        <charset val="128"/>
      </rPr>
      <t>200</t>
    </r>
    <r>
      <rPr>
        <sz val="10"/>
        <rFont val="ＭＳ Ｐゴシック"/>
        <family val="3"/>
        <charset val="128"/>
      </rPr>
      <t>セッション＋管理画面の10</t>
    </r>
    <r>
      <rPr>
        <sz val="10"/>
        <rFont val="ＭＳ Ｐゴシック"/>
        <family val="3"/>
        <charset val="128"/>
      </rPr>
      <t>セッションの接続で処理の遅延が発生しないこと。
現行と同じ性能が得られること。</t>
    </r>
    <rPh sb="4" eb="6">
      <t>サイダイ</t>
    </rPh>
    <rPh sb="15" eb="17">
      <t>ドウジ</t>
    </rPh>
    <rPh sb="26" eb="28">
      <t>カンリ</t>
    </rPh>
    <rPh sb="28" eb="30">
      <t>ガメン</t>
    </rPh>
    <rPh sb="39" eb="41">
      <t>セツゾク</t>
    </rPh>
    <rPh sb="42" eb="44">
      <t>ショリ</t>
    </rPh>
    <rPh sb="45" eb="47">
      <t>チエン</t>
    </rPh>
    <rPh sb="48" eb="50">
      <t>ハッセイ</t>
    </rPh>
    <rPh sb="57" eb="59">
      <t>ゲンコウ</t>
    </rPh>
    <rPh sb="60" eb="61">
      <t>オナ</t>
    </rPh>
    <rPh sb="62" eb="64">
      <t>セイノウ</t>
    </rPh>
    <rPh sb="65" eb="66">
      <t>エ</t>
    </rPh>
    <phoneticPr fontId="5"/>
  </si>
  <si>
    <t>1.2</t>
    <phoneticPr fontId="5"/>
  </si>
  <si>
    <t>SMCCレビュー指摘の反映</t>
    <rPh sb="8" eb="10">
      <t>シテキ</t>
    </rPh>
    <rPh sb="11" eb="13">
      <t>ハンエイ</t>
    </rPh>
    <phoneticPr fontId="5"/>
  </si>
  <si>
    <t>2019/2/1</t>
    <phoneticPr fontId="5"/>
  </si>
  <si>
    <r>
      <rPr>
        <b/>
        <u/>
        <sz val="14"/>
        <rFont val="ＭＳ Ｐゴシック"/>
        <family val="3"/>
        <charset val="128"/>
      </rPr>
      <t>DBサーバ基本設計書（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更新履歴</t>
    </r>
    <rPh sb="5" eb="7">
      <t>キホン</t>
    </rPh>
    <rPh sb="7" eb="9">
      <t>セッケイ</t>
    </rPh>
    <rPh sb="9" eb="10">
      <t>ショ</t>
    </rPh>
    <rPh sb="21" eb="23">
      <t>コウシン</t>
    </rPh>
    <rPh sb="23" eb="25">
      <t>リレキ</t>
    </rPh>
    <phoneticPr fontId="5"/>
  </si>
  <si>
    <r>
      <rPr>
        <b/>
        <u/>
        <sz val="14"/>
        <rFont val="ＭＳ Ｐゴシック"/>
        <family val="3"/>
        <charset val="128"/>
      </rPr>
      <t>DBサーバ基本設計書（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目次</t>
    </r>
    <rPh sb="5" eb="7">
      <t>キホン</t>
    </rPh>
    <rPh sb="7" eb="9">
      <t>セッケイ</t>
    </rPh>
    <rPh sb="9" eb="10">
      <t>ショ</t>
    </rPh>
    <rPh sb="21" eb="23">
      <t>モクジ</t>
    </rPh>
    <phoneticPr fontId="5"/>
  </si>
  <si>
    <t>MSYS
梅原</t>
    <rPh sb="5" eb="7">
      <t>ウメハラ</t>
    </rPh>
    <phoneticPr fontId="5"/>
  </si>
  <si>
    <t>MSYS
池之上</t>
    <rPh sb="5" eb="8">
      <t>イケノウエ</t>
    </rPh>
    <phoneticPr fontId="5"/>
  </si>
  <si>
    <t>1.3</t>
    <phoneticPr fontId="5"/>
  </si>
  <si>
    <t>2019/4/12</t>
    <phoneticPr fontId="5"/>
  </si>
  <si>
    <t>MSYS　池之上</t>
    <rPh sb="5" eb="8">
      <t>イケノウエ</t>
    </rPh>
    <phoneticPr fontId="5"/>
  </si>
  <si>
    <r>
      <t>障害発生でStandbyのDBにフェイルオーバし、新規接続はStandbyサーバに切り替わる。
接続中の呼はエラー発生のアナウンスが流れ、終了する。フェイルオーバ後はStandbyDBに接続される。
※障害時のWAS側の動作詳細については</t>
    </r>
    <r>
      <rPr>
        <b/>
        <u/>
        <sz val="10"/>
        <color rgb="FFFF0000"/>
        <rFont val="ＭＳ Ｐゴシック"/>
        <family val="3"/>
        <charset val="128"/>
      </rPr>
      <t>『基本設計書 「APサーバ基本設計書（AEP基盤編）」』</t>
    </r>
    <r>
      <rPr>
        <sz val="10"/>
        <rFont val="ＭＳ Ｐゴシック"/>
        <family val="3"/>
        <charset val="128"/>
      </rPr>
      <t>に記載。
夜間バッチ処理は異常終了する。障害復旧後に手動でバッチの再実行を実施する。
JP1/AJS</t>
    </r>
    <r>
      <rPr>
        <sz val="10"/>
        <color rgb="FFFF0000"/>
        <rFont val="ＭＳ Ｐゴシック"/>
        <family val="3"/>
        <charset val="128"/>
      </rPr>
      <t>3</t>
    </r>
    <r>
      <rPr>
        <sz val="10"/>
        <rFont val="ＭＳ Ｐゴシック"/>
        <family val="3"/>
        <charset val="128"/>
      </rPr>
      <t>もOracleと同時にフェイルオーバする。フェイルオーバ中はバッチはStandby機で起動する。
ただし、HULFTがActive機にしか存在しないため、HULFT送信バッチはActive機側で手起動する。
※JP1/AJS</t>
    </r>
    <r>
      <rPr>
        <sz val="10"/>
        <color rgb="FFFF0000"/>
        <rFont val="ＭＳ Ｐゴシック"/>
        <family val="3"/>
        <charset val="128"/>
      </rPr>
      <t>3</t>
    </r>
    <r>
      <rPr>
        <sz val="10"/>
        <rFont val="ＭＳ Ｐゴシック"/>
        <family val="3"/>
        <charset val="128"/>
      </rPr>
      <t xml:space="preserve">障害時はフェイルオーバしない。障害発生時はバッチ手起動で対応する。
</t>
    </r>
    <r>
      <rPr>
        <sz val="10"/>
        <color rgb="FFC00000"/>
        <rFont val="ＭＳ Ｐゴシック"/>
        <family val="3"/>
        <charset val="128"/>
      </rPr>
      <t>フェイルオーバ時にJP1/AJS3にて実行中のジョブは異常終了する。ジョブは、DBからのデータ抽出処理のみであり、DB更新処理は実施しないため、異常終了したジョブやフェイルオーバ中に起動時刻を過ぎたジョブは、前回ステータスに関わらず再実行する。</t>
    </r>
    <rPh sb="48" eb="50">
      <t>セツゾク</t>
    </rPh>
    <rPh sb="50" eb="51">
      <t>チュウ</t>
    </rPh>
    <rPh sb="52" eb="53">
      <t>コ</t>
    </rPh>
    <rPh sb="81" eb="82">
      <t>ゴ</t>
    </rPh>
    <rPh sb="93" eb="95">
      <t>セツゾク</t>
    </rPh>
    <rPh sb="101" eb="103">
      <t>ショウガイ</t>
    </rPh>
    <rPh sb="103" eb="104">
      <t>ジ</t>
    </rPh>
    <rPh sb="108" eb="109">
      <t>ガワ</t>
    </rPh>
    <rPh sb="110" eb="112">
      <t>ドウサ</t>
    </rPh>
    <rPh sb="112" eb="114">
      <t>ショウサイ</t>
    </rPh>
    <rPh sb="152" eb="154">
      <t>ヤカン</t>
    </rPh>
    <rPh sb="157" eb="159">
      <t>ショリ</t>
    </rPh>
    <rPh sb="160" eb="162">
      <t>イジョウ</t>
    </rPh>
    <rPh sb="162" eb="164">
      <t>シュウリョウ</t>
    </rPh>
    <rPh sb="167" eb="169">
      <t>ショウガイ</t>
    </rPh>
    <rPh sb="169" eb="171">
      <t>フッキュウ</t>
    </rPh>
    <rPh sb="171" eb="172">
      <t>ゴ</t>
    </rPh>
    <rPh sb="173" eb="175">
      <t>シュドウ</t>
    </rPh>
    <rPh sb="180" eb="183">
      <t>サイジッコウ</t>
    </rPh>
    <rPh sb="184" eb="186">
      <t>ジッシ</t>
    </rPh>
    <phoneticPr fontId="5"/>
  </si>
  <si>
    <r>
      <t>障害発生でStandbyDBにフェイルオーバし、新規接続はStandbyサーバに切り替わる。
接続中の呼はエラー発生のアナウンスが流れ、終了する。フェイルオーバ後はStandbyDBに接続される。
※障害時のWAS側の動作詳細については</t>
    </r>
    <r>
      <rPr>
        <b/>
        <u/>
        <sz val="10"/>
        <color rgb="FFFF0000"/>
        <rFont val="ＭＳ Ｐゴシック"/>
        <family val="3"/>
        <charset val="128"/>
      </rPr>
      <t>『基本設計書 「APサーバ基本設計書（AEP基盤編）」』</t>
    </r>
    <r>
      <rPr>
        <sz val="10"/>
        <rFont val="ＭＳ Ｐゴシック"/>
        <family val="3"/>
        <charset val="128"/>
      </rPr>
      <t>に記載。
夜間バッチ実行中の障害は異常終了する。障害復旧後に手動でバッチの再実行を実施する。
フェイルオーバ後はOracleClient経由でStandbyDBに接続され、処理される。
JP1/AJS</t>
    </r>
    <r>
      <rPr>
        <sz val="10"/>
        <color rgb="FFFF0000"/>
        <rFont val="ＭＳ Ｐゴシック"/>
        <family val="3"/>
        <charset val="128"/>
      </rPr>
      <t>3</t>
    </r>
    <r>
      <rPr>
        <sz val="10"/>
        <rFont val="ＭＳ Ｐゴシック"/>
        <family val="3"/>
        <charset val="128"/>
      </rPr>
      <t>もOracleと同時にフェイルオーバする。フェイルオーバ中はバッチはStandby機で起動する。
ただし、HULFTがActive機にしか存在しないため、HULFT送信バッチはActive機側で手起動する。
※JP1/AJS</t>
    </r>
    <r>
      <rPr>
        <sz val="10"/>
        <color rgb="FFFF0000"/>
        <rFont val="ＭＳ Ｐゴシック"/>
        <family val="3"/>
        <charset val="128"/>
      </rPr>
      <t>3</t>
    </r>
    <r>
      <rPr>
        <sz val="10"/>
        <rFont val="ＭＳ Ｐゴシック"/>
        <family val="3"/>
        <charset val="128"/>
      </rPr>
      <t xml:space="preserve">障害時はフェイルオーバしない。障害発生時はバッチ手起動で対応する。
</t>
    </r>
    <r>
      <rPr>
        <sz val="10"/>
        <color rgb="FFC00000"/>
        <rFont val="ＭＳ Ｐゴシック"/>
        <family val="3"/>
        <charset val="128"/>
      </rPr>
      <t>障害期間中に実行すべきジョブが有った場合、障害状況に応じた復旧対応（ジョブ再実行、個別に手動でレコード更新等）を実施する。</t>
    </r>
    <rPh sb="47" eb="49">
      <t>セツゾク</t>
    </rPh>
    <rPh sb="49" eb="50">
      <t>チュウ</t>
    </rPh>
    <rPh sb="51" eb="52">
      <t>コ</t>
    </rPh>
    <rPh sb="80" eb="81">
      <t>ゴ</t>
    </rPh>
    <rPh sb="92" eb="94">
      <t>セツゾク</t>
    </rPh>
    <rPh sb="100" eb="102">
      <t>ショウガイ</t>
    </rPh>
    <rPh sb="102" eb="103">
      <t>ジ</t>
    </rPh>
    <rPh sb="107" eb="108">
      <t>ガワ</t>
    </rPh>
    <rPh sb="109" eb="111">
      <t>ドウサ</t>
    </rPh>
    <rPh sb="111" eb="113">
      <t>ショウサイ</t>
    </rPh>
    <rPh sb="119" eb="121">
      <t>キホン</t>
    </rPh>
    <rPh sb="121" eb="124">
      <t>セッケイショ</t>
    </rPh>
    <rPh sb="151" eb="153">
      <t>ヤカン</t>
    </rPh>
    <rPh sb="156" eb="159">
      <t>ジッコウチュウ</t>
    </rPh>
    <rPh sb="160" eb="162">
      <t>ショウガイ</t>
    </rPh>
    <rPh sb="163" eb="165">
      <t>イジョウ</t>
    </rPh>
    <rPh sb="165" eb="167">
      <t>シュウリョウ</t>
    </rPh>
    <rPh sb="170" eb="172">
      <t>ショウガイ</t>
    </rPh>
    <rPh sb="172" eb="174">
      <t>フッキュウ</t>
    </rPh>
    <rPh sb="174" eb="175">
      <t>ゴ</t>
    </rPh>
    <rPh sb="176" eb="178">
      <t>シュドウ</t>
    </rPh>
    <rPh sb="183" eb="186">
      <t>サイジッコウ</t>
    </rPh>
    <rPh sb="187" eb="189">
      <t>ジッシ</t>
    </rPh>
    <rPh sb="232" eb="234">
      <t>ショリ</t>
    </rPh>
    <rPh sb="255" eb="257">
      <t>ドウジ</t>
    </rPh>
    <rPh sb="275" eb="276">
      <t>チュウ</t>
    </rPh>
    <rPh sb="290" eb="292">
      <t>キドウ</t>
    </rPh>
    <rPh sb="312" eb="313">
      <t>キ</t>
    </rPh>
    <rPh sb="316" eb="318">
      <t>ソンザイ</t>
    </rPh>
    <rPh sb="329" eb="331">
      <t>ソウシン</t>
    </rPh>
    <rPh sb="341" eb="342">
      <t>キ</t>
    </rPh>
    <rPh sb="342" eb="343">
      <t>ガワ</t>
    </rPh>
    <rPh sb="344" eb="345">
      <t>テ</t>
    </rPh>
    <rPh sb="345" eb="347">
      <t>キドウ</t>
    </rPh>
    <rPh sb="360" eb="362">
      <t>ショウガイ</t>
    </rPh>
    <rPh sb="362" eb="363">
      <t>ジ</t>
    </rPh>
    <rPh sb="375" eb="377">
      <t>ショウガイ</t>
    </rPh>
    <rPh sb="377" eb="379">
      <t>ハッセイ</t>
    </rPh>
    <rPh sb="379" eb="380">
      <t>ジ</t>
    </rPh>
    <rPh sb="384" eb="385">
      <t>テ</t>
    </rPh>
    <rPh sb="385" eb="387">
      <t>キドウ</t>
    </rPh>
    <rPh sb="388" eb="390">
      <t>タイオウ</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</si>
</sst>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 "/>
    <numFmt numFmtId="177" formatCode="0.00_ "/>
    <numFmt numFmtId="178" formatCode="0_ "/>
    <numFmt numFmtId="179" formatCode="0.00000_ "/>
    <numFmt numFmtId="180" formatCode="0.0_);[Red]\(0.0\)"/>
  </numFmts>
  <fonts count="48" x14ac:knownFonts="1">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1"/>
      <color indexed="8"/>
      <name val="ＭＳ Ｐゴシック"/>
      <family val="3"/>
      <charset val="128"/>
    </font>
    <font>
      <sz val="9"/>
      <name val="MS UI Gothic"/>
      <family val="3"/>
      <charset val="128"/>
    </font>
    <font>
      <sz val="6"/>
      <name val="ＭＳ Ｐゴシック"/>
      <family val="3"/>
      <charset val="128"/>
    </font>
    <font>
      <sz val="6"/>
      <name val="ＭＳ Ｐゴシック"/>
      <family val="3"/>
      <charset val="128"/>
    </font>
    <font>
      <b/>
      <u/>
      <sz val="10"/>
      <name val="ＭＳ Ｐゴシック"/>
      <family val="3"/>
      <charset val="128"/>
    </font>
    <font>
      <sz val="10"/>
      <color indexed="9"/>
      <name val="ＭＳ Ｐゴシック"/>
      <family val="3"/>
      <charset val="128"/>
    </font>
    <font>
      <sz val="9"/>
      <name val="ＭＳ Ｐゴシック"/>
      <family val="3"/>
      <charset val="128"/>
    </font>
    <font>
      <sz val="10"/>
      <color indexed="9"/>
      <name val="ＭＳ Ｐゴシック"/>
      <family val="3"/>
      <charset val="128"/>
    </font>
    <font>
      <sz val="10"/>
      <color indexed="30"/>
      <name val="ＭＳ Ｐゴシック"/>
      <family val="3"/>
      <charset val="128"/>
    </font>
    <font>
      <sz val="11"/>
      <name val="ＭＳ Ｐゴシック"/>
      <family val="3"/>
      <charset val="128"/>
    </font>
    <font>
      <sz val="10"/>
      <color indexed="12"/>
      <name val="ＭＳ Ｐゴシック"/>
      <family val="3"/>
      <charset val="128"/>
    </font>
    <font>
      <sz val="11"/>
      <color indexed="9"/>
      <name val="ＭＳ Ｐゴシック"/>
      <family val="3"/>
      <charset val="128"/>
    </font>
    <font>
      <sz val="6"/>
      <name val="ＭＳ Ｐゴシック"/>
      <family val="3"/>
      <charset val="128"/>
    </font>
    <font>
      <sz val="10"/>
      <color indexed="10"/>
      <name val="ＭＳ Ｐゴシック"/>
      <family val="3"/>
      <charset val="128"/>
    </font>
    <font>
      <sz val="11"/>
      <color indexed="9"/>
      <name val="ＭＳ Ｐゴシック"/>
      <family val="3"/>
      <charset val="128"/>
    </font>
    <font>
      <sz val="10"/>
      <color indexed="9"/>
      <name val="ＭＳ Ｐゴシック"/>
      <family val="3"/>
      <charset val="128"/>
    </font>
    <font>
      <sz val="10"/>
      <color indexed="30"/>
      <name val="ＭＳ Ｐゴシック"/>
      <family val="3"/>
      <charset val="128"/>
    </font>
    <font>
      <sz val="11"/>
      <name val="ＭＳ Ｐゴシック"/>
      <family val="3"/>
      <charset val="128"/>
    </font>
    <font>
      <sz val="10"/>
      <color indexed="10"/>
      <name val="ＭＳ Ｐゴシック"/>
      <family val="3"/>
      <charset val="128"/>
    </font>
    <font>
      <sz val="11"/>
      <color indexed="8"/>
      <name val="ＭＳ Ｐゴシック"/>
      <family val="3"/>
      <charset val="128"/>
    </font>
    <font>
      <sz val="6"/>
      <name val="ＭＳ Ｐゴシック"/>
      <family val="3"/>
      <charset val="128"/>
    </font>
    <font>
      <b/>
      <sz val="28"/>
      <color indexed="8"/>
      <name val="ＭＳ Ｐゴシック"/>
      <family val="3"/>
      <charset val="128"/>
    </font>
    <font>
      <sz val="14"/>
      <name val="ＭＳ Ｐゴシック"/>
      <family val="3"/>
      <charset val="128"/>
    </font>
    <font>
      <sz val="10"/>
      <color indexed="8"/>
      <name val="ＭＳ Ｐゴシック"/>
      <family val="3"/>
      <charset val="128"/>
    </font>
    <font>
      <sz val="11"/>
      <color theme="1"/>
      <name val="ＭＳ Ｐゴシック"/>
      <family val="3"/>
      <charset val="128"/>
      <scheme val="minor"/>
    </font>
    <font>
      <sz val="11"/>
      <color theme="0"/>
      <name val="ＭＳ Ｐゴシック"/>
      <family val="3"/>
      <charset val="128"/>
      <scheme val="minor"/>
    </font>
    <font>
      <sz val="11"/>
      <color rgb="FFFF0000"/>
      <name val="ＭＳ Ｐゴシック"/>
      <family val="3"/>
      <charset val="128"/>
      <scheme val="minor"/>
    </font>
    <font>
      <sz val="10"/>
      <color rgb="FF0000FF"/>
      <name val="ＭＳ Ｐゴシック"/>
      <family val="3"/>
      <charset val="128"/>
    </font>
    <font>
      <sz val="10"/>
      <color rgb="FFFF0000"/>
      <name val="ＭＳ Ｐゴシック"/>
      <family val="3"/>
      <charset val="128"/>
    </font>
    <font>
      <sz val="11"/>
      <name val="ＭＳ Ｐゴシック"/>
      <family val="3"/>
      <charset val="128"/>
      <scheme val="minor"/>
    </font>
    <font>
      <sz val="10"/>
      <color theme="0"/>
      <name val="ＭＳ Ｐゴシック"/>
      <family val="3"/>
      <charset val="128"/>
    </font>
    <font>
      <sz val="10"/>
      <color theme="1"/>
      <name val="ＭＳ Ｐゴシック"/>
      <family val="3"/>
      <charset val="128"/>
      <scheme val="minor"/>
    </font>
    <font>
      <sz val="10"/>
      <color theme="0"/>
      <name val="ＭＳ Ｐゴシック"/>
      <family val="3"/>
      <charset val="128"/>
      <scheme val="minor"/>
    </font>
    <font>
      <sz val="6"/>
      <name val="ＭＳ Ｐゴシック"/>
      <family val="3"/>
      <charset val="128"/>
      <scheme val="minor"/>
    </font>
    <font>
      <b/>
      <sz val="28"/>
      <color rgb="FFFF0000"/>
      <name val="ＭＳ Ｐゴシック"/>
      <family val="3"/>
      <charset val="128"/>
    </font>
    <font>
      <b/>
      <u/>
      <sz val="14"/>
      <color rgb="FFFF0000"/>
      <name val="ＭＳ Ｐゴシック"/>
      <family val="3"/>
      <charset val="128"/>
    </font>
    <font>
      <b/>
      <sz val="14"/>
      <color rgb="FFFF0000"/>
      <name val="ＭＳ Ｐゴシック"/>
      <family val="3"/>
      <charset val="128"/>
    </font>
    <font>
      <b/>
      <u/>
      <sz val="10"/>
      <color rgb="FFFF0000"/>
      <name val="ＭＳ Ｐゴシック"/>
      <family val="3"/>
      <charset val="128"/>
    </font>
    <font>
      <sz val="10"/>
      <color rgb="FFC00000"/>
      <name val="ＭＳ Ｐゴシック"/>
      <family val="3"/>
      <charset val="128"/>
    </font>
  </fonts>
  <fills count="8">
    <fill>
      <patternFill patternType="none"/>
    </fill>
    <fill>
      <patternFill patternType="gray125"/>
    </fill>
    <fill>
      <patternFill patternType="solid">
        <fgColor indexed="12"/>
        <bgColor indexed="64"/>
      </patternFill>
    </fill>
    <fill>
      <patternFill patternType="solid">
        <fgColor indexed="30"/>
        <bgColor indexed="64"/>
      </patternFill>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0000FF"/>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7">
    <xf numFmtId="0" fontId="0" fillId="0" borderId="0">
      <alignment vertical="center"/>
    </xf>
    <xf numFmtId="0" fontId="2" fillId="0" borderId="0"/>
    <xf numFmtId="0" fontId="9" fillId="0" borderId="0">
      <alignment vertical="center"/>
    </xf>
    <xf numFmtId="0" fontId="1" fillId="0" borderId="0">
      <alignment vertical="center"/>
    </xf>
    <xf numFmtId="0" fontId="1" fillId="0" borderId="0">
      <alignment vertical="center"/>
    </xf>
    <xf numFmtId="0" fontId="33" fillId="0" borderId="0">
      <alignment vertical="center"/>
    </xf>
    <xf numFmtId="0" fontId="1" fillId="0" borderId="0">
      <alignment vertical="center"/>
    </xf>
    <xf numFmtId="0" fontId="33" fillId="0" borderId="0">
      <alignment vertical="center"/>
    </xf>
    <xf numFmtId="0" fontId="1" fillId="0" borderId="0">
      <alignment vertical="center"/>
    </xf>
    <xf numFmtId="0" fontId="10" fillId="0" borderId="0"/>
    <xf numFmtId="0" fontId="2" fillId="0" borderId="0"/>
    <xf numFmtId="0" fontId="33" fillId="0" borderId="0">
      <alignment vertical="center"/>
    </xf>
    <xf numFmtId="0" fontId="2" fillId="0" borderId="0">
      <alignment vertical="center"/>
    </xf>
    <xf numFmtId="0" fontId="2" fillId="0" borderId="0"/>
    <xf numFmtId="0" fontId="2" fillId="0" borderId="0"/>
    <xf numFmtId="0" fontId="2" fillId="0" borderId="0"/>
    <xf numFmtId="0" fontId="2" fillId="0" borderId="0"/>
  </cellStyleXfs>
  <cellXfs count="1046">
    <xf numFmtId="0" fontId="0" fillId="0" borderId="0" xfId="0">
      <alignment vertical="center"/>
    </xf>
    <xf numFmtId="0" fontId="7" fillId="0" borderId="0" xfId="13" applyFont="1"/>
    <xf numFmtId="0" fontId="8" fillId="0" borderId="0" xfId="13" applyFont="1"/>
    <xf numFmtId="0" fontId="8" fillId="0" borderId="0" xfId="13" applyFont="1" applyBorder="1"/>
    <xf numFmtId="0" fontId="8" fillId="0" borderId="0" xfId="1" applyFont="1"/>
    <xf numFmtId="49" fontId="8" fillId="0" borderId="0" xfId="1" applyNumberFormat="1" applyFont="1" applyBorder="1" applyAlignment="1">
      <alignment horizontal="left" vertical="top" wrapText="1"/>
    </xf>
    <xf numFmtId="0" fontId="8" fillId="0" borderId="0" xfId="1" applyFont="1" applyAlignment="1">
      <alignment horizontal="center" vertical="center"/>
    </xf>
    <xf numFmtId="49" fontId="8" fillId="0" borderId="0" xfId="1" applyNumberFormat="1" applyFont="1" applyBorder="1" applyAlignment="1">
      <alignment vertical="top" wrapText="1"/>
    </xf>
    <xf numFmtId="49" fontId="8" fillId="0" borderId="0" xfId="1" applyNumberFormat="1" applyFont="1" applyBorder="1" applyAlignment="1">
      <alignment horizontal="left" vertical="top"/>
    </xf>
    <xf numFmtId="0" fontId="8" fillId="0" borderId="0" xfId="1" applyFont="1" applyAlignment="1"/>
    <xf numFmtId="49" fontId="8" fillId="0" borderId="0" xfId="1" applyNumberFormat="1" applyFont="1" applyFill="1" applyBorder="1" applyAlignment="1">
      <alignment horizontal="left" vertical="top" wrapText="1"/>
    </xf>
    <xf numFmtId="49" fontId="8" fillId="0" borderId="0" xfId="1" applyNumberFormat="1" applyFont="1" applyFill="1" applyBorder="1" applyAlignment="1">
      <alignment vertical="top" wrapText="1"/>
    </xf>
    <xf numFmtId="49" fontId="8" fillId="0" borderId="0" xfId="1" applyNumberFormat="1" applyFont="1" applyFill="1" applyBorder="1" applyAlignment="1">
      <alignment vertical="top"/>
    </xf>
    <xf numFmtId="49" fontId="8" fillId="0" borderId="1" xfId="1" applyNumberFormat="1" applyFont="1" applyBorder="1" applyAlignment="1">
      <alignment horizontal="left" vertical="top"/>
    </xf>
    <xf numFmtId="49" fontId="8" fillId="0" borderId="2" xfId="1" applyNumberFormat="1" applyFont="1" applyBorder="1" applyAlignment="1">
      <alignment horizontal="left" vertical="top"/>
    </xf>
    <xf numFmtId="49" fontId="8" fillId="0" borderId="3" xfId="1" applyNumberFormat="1" applyFont="1" applyBorder="1" applyAlignment="1">
      <alignment horizontal="left" vertical="top"/>
    </xf>
    <xf numFmtId="49" fontId="8" fillId="0" borderId="4" xfId="1" applyNumberFormat="1" applyFont="1" applyBorder="1" applyAlignment="1">
      <alignment horizontal="left" vertical="top"/>
    </xf>
    <xf numFmtId="0" fontId="8" fillId="0" borderId="0" xfId="1" applyFont="1" applyBorder="1" applyAlignment="1">
      <alignment vertical="top"/>
    </xf>
    <xf numFmtId="49" fontId="8" fillId="0" borderId="5" xfId="1" applyNumberFormat="1" applyFont="1" applyBorder="1" applyAlignment="1">
      <alignment horizontal="left" vertical="top"/>
    </xf>
    <xf numFmtId="0" fontId="8" fillId="0" borderId="0" xfId="1" applyFont="1" applyBorder="1" applyAlignment="1">
      <alignment horizontal="center" vertical="top"/>
    </xf>
    <xf numFmtId="49" fontId="8" fillId="0" borderId="0" xfId="1" applyNumberFormat="1" applyFont="1" applyBorder="1" applyAlignment="1">
      <alignment vertical="top"/>
    </xf>
    <xf numFmtId="0" fontId="8" fillId="0" borderId="0" xfId="1" applyFont="1" applyFill="1" applyBorder="1" applyAlignment="1">
      <alignment vertical="top"/>
    </xf>
    <xf numFmtId="49" fontId="8" fillId="0" borderId="0" xfId="1" applyNumberFormat="1" applyFont="1" applyFill="1" applyBorder="1" applyAlignment="1">
      <alignment vertical="center"/>
    </xf>
    <xf numFmtId="49" fontId="8" fillId="0" borderId="0" xfId="1" applyNumberFormat="1" applyFont="1" applyFill="1" applyBorder="1" applyAlignment="1">
      <alignment vertical="center" wrapText="1"/>
    </xf>
    <xf numFmtId="0" fontId="8" fillId="0" borderId="0" xfId="1" applyFont="1" applyBorder="1" applyAlignment="1">
      <alignment horizontal="left" vertical="top"/>
    </xf>
    <xf numFmtId="49" fontId="8" fillId="0" borderId="6" xfId="1" applyNumberFormat="1" applyFont="1" applyBorder="1" applyAlignment="1">
      <alignment horizontal="left" vertical="top"/>
    </xf>
    <xf numFmtId="0" fontId="8" fillId="0" borderId="7" xfId="1" applyFont="1" applyBorder="1" applyAlignment="1">
      <alignment vertical="top"/>
    </xf>
    <xf numFmtId="49" fontId="8" fillId="0" borderId="7" xfId="1" applyNumberFormat="1" applyFont="1" applyBorder="1" applyAlignment="1">
      <alignment vertical="top"/>
    </xf>
    <xf numFmtId="49" fontId="8" fillId="0" borderId="8" xfId="1" applyNumberFormat="1" applyFont="1" applyBorder="1" applyAlignment="1">
      <alignment horizontal="left" vertical="top"/>
    </xf>
    <xf numFmtId="0" fontId="8" fillId="0" borderId="0" xfId="1" applyFont="1" applyBorder="1" applyAlignment="1"/>
    <xf numFmtId="49" fontId="8" fillId="0" borderId="7" xfId="1" applyNumberFormat="1" applyFont="1" applyBorder="1" applyAlignment="1">
      <alignment horizontal="left" vertical="top"/>
    </xf>
    <xf numFmtId="49" fontId="8" fillId="0" borderId="9" xfId="1" applyNumberFormat="1" applyFont="1" applyFill="1" applyBorder="1" applyAlignment="1">
      <alignment vertical="top"/>
    </xf>
    <xf numFmtId="49" fontId="8" fillId="0" borderId="10" xfId="1" applyNumberFormat="1" applyFont="1" applyFill="1" applyBorder="1" applyAlignment="1">
      <alignment vertical="top"/>
    </xf>
    <xf numFmtId="49" fontId="8" fillId="0" borderId="11" xfId="1" applyNumberFormat="1" applyFont="1" applyFill="1" applyBorder="1" applyAlignment="1">
      <alignment vertical="top"/>
    </xf>
    <xf numFmtId="49" fontId="8" fillId="0" borderId="12" xfId="1" applyNumberFormat="1" applyFont="1" applyFill="1" applyBorder="1" applyAlignment="1">
      <alignment vertical="top"/>
    </xf>
    <xf numFmtId="49" fontId="8" fillId="0" borderId="13" xfId="1" applyNumberFormat="1" applyFont="1" applyFill="1" applyBorder="1" applyAlignment="1">
      <alignment vertical="top"/>
    </xf>
    <xf numFmtId="49" fontId="8" fillId="0" borderId="14" xfId="1" applyNumberFormat="1" applyFont="1" applyFill="1" applyBorder="1" applyAlignment="1">
      <alignment vertical="top"/>
    </xf>
    <xf numFmtId="49" fontId="8" fillId="0" borderId="15" xfId="1" applyNumberFormat="1" applyFont="1" applyFill="1" applyBorder="1" applyAlignment="1">
      <alignment vertical="top"/>
    </xf>
    <xf numFmtId="49" fontId="8" fillId="0" borderId="16" xfId="1" applyNumberFormat="1" applyFont="1" applyFill="1" applyBorder="1" applyAlignment="1">
      <alignment vertical="top"/>
    </xf>
    <xf numFmtId="49" fontId="8" fillId="0" borderId="17" xfId="1" applyNumberFormat="1" applyFont="1" applyFill="1" applyBorder="1" applyAlignment="1">
      <alignment vertical="top"/>
    </xf>
    <xf numFmtId="49" fontId="8" fillId="0" borderId="18" xfId="1" applyNumberFormat="1" applyFont="1" applyFill="1" applyBorder="1" applyAlignment="1">
      <alignment vertical="top"/>
    </xf>
    <xf numFmtId="49" fontId="8" fillId="0" borderId="19" xfId="1" applyNumberFormat="1" applyFont="1" applyFill="1" applyBorder="1" applyAlignment="1">
      <alignment vertical="top"/>
    </xf>
    <xf numFmtId="49" fontId="8" fillId="0" borderId="16" xfId="1" applyNumberFormat="1" applyFont="1" applyBorder="1" applyAlignment="1">
      <alignment vertical="top"/>
    </xf>
    <xf numFmtId="49" fontId="8" fillId="0" borderId="17" xfId="1" applyNumberFormat="1" applyFont="1" applyBorder="1" applyAlignment="1">
      <alignment vertical="top"/>
    </xf>
    <xf numFmtId="0" fontId="8" fillId="0" borderId="19" xfId="1" applyFont="1" applyBorder="1" applyAlignment="1">
      <alignment vertical="top"/>
    </xf>
    <xf numFmtId="0" fontId="8" fillId="0" borderId="9" xfId="1" applyFont="1" applyBorder="1" applyAlignment="1">
      <alignment vertical="top"/>
    </xf>
    <xf numFmtId="0" fontId="8" fillId="0" borderId="18" xfId="1" applyFont="1" applyBorder="1" applyAlignment="1">
      <alignment vertical="top"/>
    </xf>
    <xf numFmtId="0" fontId="8" fillId="0" borderId="10" xfId="1" applyFont="1" applyBorder="1" applyAlignment="1">
      <alignment vertical="top"/>
    </xf>
    <xf numFmtId="0" fontId="8" fillId="0" borderId="11" xfId="1" applyFont="1" applyBorder="1" applyAlignment="1">
      <alignment vertical="top"/>
    </xf>
    <xf numFmtId="49" fontId="8" fillId="0" borderId="0" xfId="1" applyNumberFormat="1" applyFont="1" applyFill="1" applyBorder="1" applyAlignment="1">
      <alignment horizontal="left" vertical="top"/>
    </xf>
    <xf numFmtId="49" fontId="8" fillId="0" borderId="0" xfId="1" applyNumberFormat="1" applyFont="1" applyFill="1" applyBorder="1" applyAlignment="1">
      <alignment horizontal="center" vertical="top"/>
    </xf>
    <xf numFmtId="0" fontId="8" fillId="0" borderId="15" xfId="0" applyFont="1" applyBorder="1" applyAlignment="1">
      <alignment vertical="top"/>
    </xf>
    <xf numFmtId="0" fontId="8" fillId="0" borderId="16" xfId="0" applyFont="1" applyBorder="1" applyAlignment="1">
      <alignment vertical="top"/>
    </xf>
    <xf numFmtId="0" fontId="8" fillId="0" borderId="17" xfId="0" applyFont="1" applyBorder="1" applyAlignment="1">
      <alignment vertical="top"/>
    </xf>
    <xf numFmtId="0" fontId="8" fillId="0" borderId="0" xfId="0" applyFont="1" applyBorder="1" applyAlignment="1">
      <alignment vertical="top"/>
    </xf>
    <xf numFmtId="0" fontId="8" fillId="0" borderId="18" xfId="0" applyFont="1" applyBorder="1" applyAlignment="1">
      <alignment vertical="top"/>
    </xf>
    <xf numFmtId="0" fontId="8" fillId="0" borderId="10" xfId="0" applyFont="1" applyBorder="1" applyAlignment="1">
      <alignment vertical="top"/>
    </xf>
    <xf numFmtId="0" fontId="8" fillId="0" borderId="11" xfId="0" applyFont="1" applyBorder="1" applyAlignment="1">
      <alignment vertical="top"/>
    </xf>
    <xf numFmtId="0" fontId="8" fillId="0" borderId="0" xfId="0" applyFont="1" applyBorder="1" applyAlignment="1">
      <alignment vertical="top" wrapText="1"/>
    </xf>
    <xf numFmtId="0" fontId="8" fillId="0" borderId="19" xfId="1" applyFont="1" applyFill="1" applyBorder="1" applyAlignment="1">
      <alignment vertical="top"/>
    </xf>
    <xf numFmtId="0" fontId="8" fillId="0" borderId="18" xfId="1" applyFont="1" applyFill="1" applyBorder="1" applyAlignment="1">
      <alignment vertical="top"/>
    </xf>
    <xf numFmtId="49" fontId="8" fillId="0" borderId="15" xfId="1" applyNumberFormat="1" applyFont="1" applyFill="1" applyBorder="1" applyAlignment="1">
      <alignment horizontal="left" vertical="top"/>
    </xf>
    <xf numFmtId="49" fontId="8" fillId="0" borderId="16" xfId="1" applyNumberFormat="1" applyFont="1" applyFill="1" applyBorder="1" applyAlignment="1">
      <alignment horizontal="left" vertical="top"/>
    </xf>
    <xf numFmtId="49" fontId="8" fillId="0" borderId="17" xfId="1" applyNumberFormat="1" applyFont="1" applyFill="1" applyBorder="1" applyAlignment="1">
      <alignment horizontal="left" vertical="top"/>
    </xf>
    <xf numFmtId="49" fontId="8" fillId="0" borderId="19" xfId="1" applyNumberFormat="1" applyFont="1" applyFill="1" applyBorder="1" applyAlignment="1">
      <alignment horizontal="left" vertical="top"/>
    </xf>
    <xf numFmtId="49" fontId="8" fillId="0" borderId="9" xfId="1" applyNumberFormat="1" applyFont="1" applyFill="1" applyBorder="1" applyAlignment="1">
      <alignment horizontal="left" vertical="top"/>
    </xf>
    <xf numFmtId="49" fontId="8" fillId="0" borderId="16" xfId="16" applyNumberFormat="1" applyFont="1" applyFill="1" applyBorder="1" applyAlignment="1">
      <alignment horizontal="left" vertical="top"/>
    </xf>
    <xf numFmtId="49" fontId="16" fillId="2" borderId="12" xfId="16" applyNumberFormat="1" applyFont="1" applyFill="1" applyBorder="1" applyAlignment="1">
      <alignment horizontal="left" vertical="top"/>
    </xf>
    <xf numFmtId="49" fontId="16" fillId="2" borderId="13" xfId="16" applyNumberFormat="1" applyFont="1" applyFill="1" applyBorder="1" applyAlignment="1">
      <alignment horizontal="left" vertical="top"/>
    </xf>
    <xf numFmtId="0" fontId="16" fillId="2" borderId="13" xfId="1" applyFont="1" applyFill="1" applyBorder="1" applyAlignment="1">
      <alignment vertical="top"/>
    </xf>
    <xf numFmtId="49" fontId="16" fillId="2" borderId="14" xfId="1" applyNumberFormat="1" applyFont="1" applyFill="1" applyBorder="1" applyAlignment="1">
      <alignment horizontal="left" vertical="top"/>
    </xf>
    <xf numFmtId="49" fontId="16" fillId="2" borderId="12" xfId="1" applyNumberFormat="1" applyFont="1" applyFill="1" applyBorder="1" applyAlignment="1">
      <alignment horizontal="left" vertical="top"/>
    </xf>
    <xf numFmtId="49" fontId="16" fillId="2" borderId="13" xfId="1" applyNumberFormat="1" applyFont="1" applyFill="1" applyBorder="1" applyAlignment="1">
      <alignment horizontal="left" vertical="top"/>
    </xf>
    <xf numFmtId="0" fontId="8" fillId="0" borderId="0" xfId="1" applyFont="1" applyBorder="1"/>
    <xf numFmtId="0" fontId="8" fillId="0" borderId="7" xfId="1" applyFont="1" applyBorder="1" applyAlignment="1"/>
    <xf numFmtId="0" fontId="8" fillId="0" borderId="1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horizontal="left" vertical="top"/>
    </xf>
    <xf numFmtId="0" fontId="8" fillId="0" borderId="0" xfId="0" applyFont="1" applyBorder="1" applyAlignment="1">
      <alignment horizontal="left" vertical="top" wrapText="1"/>
    </xf>
    <xf numFmtId="0" fontId="8" fillId="0" borderId="0" xfId="0" applyFont="1" applyBorder="1" applyAlignment="1">
      <alignment horizontal="center" vertical="center" wrapText="1"/>
    </xf>
    <xf numFmtId="0" fontId="8" fillId="0" borderId="16" xfId="0" applyFont="1" applyBorder="1" applyAlignment="1">
      <alignment vertical="top" wrapText="1"/>
    </xf>
    <xf numFmtId="0" fontId="8" fillId="0" borderId="17"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49" fontId="8" fillId="0" borderId="2" xfId="1" applyNumberFormat="1" applyFont="1" applyBorder="1" applyAlignment="1">
      <alignment horizontal="left" vertical="top" wrapText="1"/>
    </xf>
    <xf numFmtId="0" fontId="8" fillId="0" borderId="2" xfId="1" applyFont="1" applyBorder="1"/>
    <xf numFmtId="49" fontId="8" fillId="0" borderId="2" xfId="1" applyNumberFormat="1" applyFont="1" applyFill="1" applyBorder="1" applyAlignment="1">
      <alignment vertical="center" wrapText="1"/>
    </xf>
    <xf numFmtId="49" fontId="8" fillId="0" borderId="2" xfId="1" applyNumberFormat="1" applyFont="1" applyFill="1" applyBorder="1" applyAlignment="1">
      <alignment vertical="top" wrapText="1"/>
    </xf>
    <xf numFmtId="49" fontId="8" fillId="0" borderId="2" xfId="1" applyNumberFormat="1" applyFont="1" applyFill="1" applyBorder="1" applyAlignment="1">
      <alignment vertical="top"/>
    </xf>
    <xf numFmtId="0" fontId="8" fillId="0" borderId="5" xfId="1" applyFont="1" applyBorder="1"/>
    <xf numFmtId="49" fontId="8" fillId="0" borderId="4" xfId="1" applyNumberFormat="1" applyFont="1" applyBorder="1" applyAlignment="1">
      <alignment horizontal="left" vertical="top" wrapText="1"/>
    </xf>
    <xf numFmtId="0" fontId="8" fillId="0" borderId="0" xfId="1" applyFont="1" applyBorder="1" applyAlignment="1">
      <alignment wrapText="1"/>
    </xf>
    <xf numFmtId="0" fontId="8" fillId="0" borderId="5" xfId="1" applyFont="1" applyBorder="1" applyAlignment="1">
      <alignment wrapText="1"/>
    </xf>
    <xf numFmtId="0" fontId="8" fillId="0" borderId="0" xfId="1" applyFont="1" applyAlignment="1">
      <alignment wrapText="1"/>
    </xf>
    <xf numFmtId="0" fontId="8" fillId="0" borderId="5" xfId="1" applyFont="1" applyBorder="1" applyAlignment="1"/>
    <xf numFmtId="49" fontId="8" fillId="0" borderId="0" xfId="16" applyNumberFormat="1" applyFont="1" applyFill="1" applyBorder="1" applyAlignment="1">
      <alignment horizontal="left" vertical="top" wrapText="1"/>
    </xf>
    <xf numFmtId="0" fontId="8" fillId="0" borderId="4" xfId="1" applyFont="1" applyBorder="1" applyAlignment="1">
      <alignment horizontal="left" vertical="top"/>
    </xf>
    <xf numFmtId="0" fontId="8" fillId="0" borderId="4" xfId="13" applyFont="1" applyBorder="1" applyAlignment="1">
      <alignment vertical="top"/>
    </xf>
    <xf numFmtId="0" fontId="8" fillId="0" borderId="0" xfId="13" applyFont="1" applyBorder="1" applyAlignment="1">
      <alignment vertical="top"/>
    </xf>
    <xf numFmtId="0" fontId="8" fillId="0" borderId="5" xfId="13" applyFont="1" applyBorder="1"/>
    <xf numFmtId="0" fontId="8" fillId="0" borderId="6" xfId="13" applyFont="1" applyBorder="1" applyAlignment="1">
      <alignment vertical="top"/>
    </xf>
    <xf numFmtId="0" fontId="8" fillId="0" borderId="7" xfId="13" applyFont="1" applyBorder="1" applyAlignment="1">
      <alignment vertical="top"/>
    </xf>
    <xf numFmtId="0" fontId="8" fillId="0" borderId="7" xfId="13" applyFont="1" applyBorder="1"/>
    <xf numFmtId="0" fontId="8" fillId="0" borderId="7" xfId="0" applyFont="1" applyBorder="1" applyAlignment="1">
      <alignment vertical="top" wrapText="1"/>
    </xf>
    <xf numFmtId="0" fontId="8" fillId="0" borderId="8" xfId="13" applyFont="1" applyBorder="1"/>
    <xf numFmtId="0" fontId="8" fillId="0" borderId="2" xfId="13" applyFont="1" applyBorder="1"/>
    <xf numFmtId="0" fontId="8" fillId="0" borderId="1" xfId="13" applyFont="1" applyBorder="1"/>
    <xf numFmtId="0" fontId="8" fillId="0" borderId="3" xfId="13" applyFont="1" applyBorder="1"/>
    <xf numFmtId="0" fontId="8" fillId="0" borderId="4" xfId="13" applyFont="1" applyBorder="1"/>
    <xf numFmtId="0" fontId="8" fillId="0" borderId="6" xfId="13" applyFont="1" applyBorder="1"/>
    <xf numFmtId="0" fontId="8" fillId="0" borderId="15" xfId="0" applyFont="1" applyFill="1" applyBorder="1" applyAlignment="1">
      <alignment horizontal="left" vertical="top"/>
    </xf>
    <xf numFmtId="0" fontId="8" fillId="0" borderId="16" xfId="0" applyFont="1" applyFill="1" applyBorder="1" applyAlignment="1">
      <alignment horizontal="left" vertical="top"/>
    </xf>
    <xf numFmtId="0" fontId="8" fillId="0" borderId="16" xfId="0" applyFont="1" applyFill="1" applyBorder="1" applyAlignment="1">
      <alignment horizontal="left" vertical="top" wrapText="1"/>
    </xf>
    <xf numFmtId="0" fontId="8" fillId="0" borderId="19" xfId="0" applyFont="1" applyFill="1" applyBorder="1" applyAlignment="1">
      <alignment horizontal="left" vertical="top" wrapText="1"/>
    </xf>
    <xf numFmtId="0" fontId="8" fillId="0" borderId="0" xfId="0" applyFont="1" applyFill="1" applyBorder="1" applyAlignment="1">
      <alignment horizontal="left" vertical="top" wrapText="1"/>
    </xf>
    <xf numFmtId="49" fontId="16" fillId="2" borderId="12" xfId="1" applyNumberFormat="1" applyFont="1" applyFill="1" applyBorder="1" applyAlignment="1">
      <alignment vertical="top"/>
    </xf>
    <xf numFmtId="49" fontId="16" fillId="2" borderId="14" xfId="1" applyNumberFormat="1" applyFont="1" applyFill="1" applyBorder="1" applyAlignment="1">
      <alignment vertical="top"/>
    </xf>
    <xf numFmtId="49" fontId="16" fillId="2" borderId="13" xfId="1" applyNumberFormat="1" applyFont="1" applyFill="1" applyBorder="1" applyAlignment="1">
      <alignment vertical="top"/>
    </xf>
    <xf numFmtId="0" fontId="14" fillId="3" borderId="12" xfId="0" applyFont="1" applyFill="1" applyBorder="1" applyAlignment="1">
      <alignment vertical="center"/>
    </xf>
    <xf numFmtId="0" fontId="14" fillId="3" borderId="13" xfId="0" applyFont="1" applyFill="1" applyBorder="1" applyAlignment="1">
      <alignment vertical="center"/>
    </xf>
    <xf numFmtId="0" fontId="14" fillId="3" borderId="13" xfId="0" applyFont="1" applyFill="1" applyBorder="1" applyAlignment="1">
      <alignment horizontal="center" vertical="top"/>
    </xf>
    <xf numFmtId="0" fontId="14" fillId="3" borderId="12" xfId="0" applyFont="1" applyFill="1" applyBorder="1" applyAlignment="1">
      <alignment vertical="top"/>
    </xf>
    <xf numFmtId="0" fontId="14" fillId="3" borderId="13" xfId="0" applyFont="1" applyFill="1" applyBorder="1" applyAlignment="1">
      <alignment vertical="top"/>
    </xf>
    <xf numFmtId="0" fontId="8" fillId="0" borderId="13" xfId="13" applyFont="1" applyBorder="1"/>
    <xf numFmtId="0" fontId="8" fillId="0" borderId="0" xfId="0" applyFont="1" applyFill="1" applyBorder="1" applyAlignment="1">
      <alignment horizontal="left" vertical="top"/>
    </xf>
    <xf numFmtId="0" fontId="8" fillId="0" borderId="9" xfId="0" applyFont="1" applyFill="1" applyBorder="1" applyAlignment="1">
      <alignment horizontal="left" vertical="top"/>
    </xf>
    <xf numFmtId="0" fontId="8" fillId="0" borderId="19" xfId="0" applyFont="1" applyFill="1" applyBorder="1" applyAlignment="1">
      <alignment horizontal="left" vertical="top"/>
    </xf>
    <xf numFmtId="49" fontId="8" fillId="0" borderId="19" xfId="1" applyNumberFormat="1" applyFont="1" applyFill="1" applyBorder="1" applyAlignment="1">
      <alignment horizontal="center" vertical="top"/>
    </xf>
    <xf numFmtId="49" fontId="8" fillId="0" borderId="9" xfId="1" applyNumberFormat="1" applyFont="1" applyFill="1" applyBorder="1" applyAlignment="1">
      <alignment horizontal="center" vertical="top"/>
    </xf>
    <xf numFmtId="49" fontId="8" fillId="0" borderId="18" xfId="1" applyNumberFormat="1" applyFont="1" applyFill="1" applyBorder="1" applyAlignment="1">
      <alignment horizontal="center" vertical="top"/>
    </xf>
    <xf numFmtId="49" fontId="8" fillId="0" borderId="11" xfId="1" applyNumberFormat="1" applyFont="1" applyFill="1" applyBorder="1" applyAlignment="1">
      <alignment horizontal="center" vertical="top"/>
    </xf>
    <xf numFmtId="49" fontId="17" fillId="0" borderId="0" xfId="1" applyNumberFormat="1" applyFont="1" applyFill="1" applyBorder="1" applyAlignment="1">
      <alignment vertical="top"/>
    </xf>
    <xf numFmtId="0" fontId="8" fillId="0" borderId="13" xfId="0" applyFont="1" applyBorder="1" applyAlignment="1">
      <alignment vertical="top"/>
    </xf>
    <xf numFmtId="0" fontId="14" fillId="3" borderId="14" xfId="0" applyFont="1" applyFill="1" applyBorder="1" applyAlignment="1">
      <alignment vertical="top"/>
    </xf>
    <xf numFmtId="0" fontId="17" fillId="0" borderId="13" xfId="0" applyFont="1" applyBorder="1" applyAlignment="1">
      <alignment vertical="top"/>
    </xf>
    <xf numFmtId="0" fontId="8" fillId="0" borderId="14" xfId="0" applyFont="1" applyBorder="1" applyAlignment="1">
      <alignment vertical="top"/>
    </xf>
    <xf numFmtId="0" fontId="14" fillId="0" borderId="19" xfId="0" applyFont="1" applyFill="1" applyBorder="1" applyAlignment="1">
      <alignment vertical="top"/>
    </xf>
    <xf numFmtId="0" fontId="14" fillId="0" borderId="0" xfId="0" applyFont="1" applyFill="1" applyBorder="1" applyAlignment="1">
      <alignment vertical="top"/>
    </xf>
    <xf numFmtId="0" fontId="8" fillId="0" borderId="19" xfId="0" applyFont="1" applyFill="1" applyBorder="1" applyAlignment="1">
      <alignment vertical="top"/>
    </xf>
    <xf numFmtId="0" fontId="8" fillId="0" borderId="0" xfId="0" applyFont="1" applyFill="1" applyBorder="1" applyAlignment="1">
      <alignment vertical="top"/>
    </xf>
    <xf numFmtId="49" fontId="8" fillId="0" borderId="7" xfId="1" applyNumberFormat="1" applyFont="1" applyBorder="1" applyAlignment="1">
      <alignment horizontal="left" vertical="top" wrapText="1"/>
    </xf>
    <xf numFmtId="0" fontId="8" fillId="0" borderId="7" xfId="1" applyFont="1" applyBorder="1"/>
    <xf numFmtId="0" fontId="8" fillId="0" borderId="8" xfId="0" applyFont="1" applyBorder="1" applyAlignment="1">
      <alignment vertical="top" wrapText="1"/>
    </xf>
    <xf numFmtId="49" fontId="17" fillId="0" borderId="0" xfId="1" applyNumberFormat="1" applyFont="1" applyFill="1" applyBorder="1" applyAlignment="1">
      <alignment vertical="center"/>
    </xf>
    <xf numFmtId="0" fontId="8" fillId="0" borderId="17" xfId="0" applyFont="1" applyFill="1" applyBorder="1" applyAlignment="1">
      <alignment horizontal="left" vertical="top"/>
    </xf>
    <xf numFmtId="0" fontId="8" fillId="0" borderId="12" xfId="0" applyFont="1" applyBorder="1" applyAlignment="1">
      <alignment vertical="top"/>
    </xf>
    <xf numFmtId="0" fontId="8" fillId="0" borderId="12" xfId="13" applyFont="1" applyBorder="1"/>
    <xf numFmtId="0" fontId="18" fillId="0" borderId="18" xfId="0" applyFont="1" applyBorder="1" applyAlignment="1">
      <alignment horizontal="left" vertical="top"/>
    </xf>
    <xf numFmtId="0" fontId="18" fillId="0" borderId="10" xfId="0" applyFont="1" applyBorder="1" applyAlignment="1">
      <alignment horizontal="left" vertical="top"/>
    </xf>
    <xf numFmtId="0" fontId="8" fillId="0" borderId="18" xfId="0" applyFont="1" applyFill="1" applyBorder="1" applyAlignment="1">
      <alignment horizontal="left" vertical="top"/>
    </xf>
    <xf numFmtId="0" fontId="8" fillId="0" borderId="10" xfId="0" applyFont="1" applyFill="1" applyBorder="1" applyAlignment="1">
      <alignment horizontal="left" vertical="top"/>
    </xf>
    <xf numFmtId="0" fontId="8" fillId="0" borderId="11" xfId="0" applyFont="1" applyFill="1" applyBorder="1" applyAlignment="1">
      <alignment horizontal="left" vertical="top"/>
    </xf>
    <xf numFmtId="49" fontId="8" fillId="0" borderId="12" xfId="1" quotePrefix="1" applyNumberFormat="1" applyFont="1" applyFill="1" applyBorder="1" applyAlignment="1">
      <alignment vertical="top"/>
    </xf>
    <xf numFmtId="0" fontId="8" fillId="0" borderId="15" xfId="1" applyFont="1" applyBorder="1" applyAlignment="1">
      <alignment vertical="top"/>
    </xf>
    <xf numFmtId="0" fontId="8" fillId="0" borderId="16" xfId="1" applyFont="1" applyBorder="1" applyAlignment="1">
      <alignment vertical="top"/>
    </xf>
    <xf numFmtId="49" fontId="8" fillId="0" borderId="10" xfId="1" applyNumberFormat="1" applyFont="1" applyBorder="1" applyAlignment="1">
      <alignment vertical="top"/>
    </xf>
    <xf numFmtId="0" fontId="17" fillId="0" borderId="0" xfId="1" applyFont="1" applyBorder="1" applyAlignment="1">
      <alignment vertical="top"/>
    </xf>
    <xf numFmtId="0" fontId="14" fillId="0" borderId="7" xfId="0" applyFont="1" applyFill="1" applyBorder="1" applyAlignment="1">
      <alignment horizontal="center" vertical="top" textRotation="255" wrapText="1"/>
    </xf>
    <xf numFmtId="0" fontId="8" fillId="0" borderId="2" xfId="1" applyFont="1" applyBorder="1" applyAlignment="1">
      <alignment vertical="top"/>
    </xf>
    <xf numFmtId="49" fontId="8" fillId="0" borderId="2" xfId="1" applyNumberFormat="1" applyFont="1" applyBorder="1" applyAlignment="1">
      <alignment vertical="top"/>
    </xf>
    <xf numFmtId="49" fontId="8" fillId="0" borderId="7" xfId="1" applyNumberFormat="1" applyFont="1" applyFill="1" applyBorder="1" applyAlignment="1">
      <alignment vertical="center"/>
    </xf>
    <xf numFmtId="49" fontId="8" fillId="0" borderId="20" xfId="1" applyNumberFormat="1" applyFont="1" applyFill="1" applyBorder="1" applyAlignment="1">
      <alignment vertical="top"/>
    </xf>
    <xf numFmtId="49" fontId="8" fillId="0" borderId="21" xfId="1" applyNumberFormat="1" applyFont="1" applyFill="1" applyBorder="1" applyAlignment="1">
      <alignment vertical="top"/>
    </xf>
    <xf numFmtId="49" fontId="8" fillId="0" borderId="7" xfId="1" applyNumberFormat="1" applyFont="1" applyFill="1" applyBorder="1" applyAlignment="1">
      <alignment vertical="top"/>
    </xf>
    <xf numFmtId="49" fontId="8" fillId="0" borderId="12" xfId="1" applyNumberFormat="1" applyFont="1" applyFill="1" applyBorder="1" applyAlignment="1">
      <alignment vertical="center"/>
    </xf>
    <xf numFmtId="49" fontId="8" fillId="0" borderId="22" xfId="1" applyNumberFormat="1" applyFont="1" applyFill="1" applyBorder="1" applyAlignment="1">
      <alignment vertical="top"/>
    </xf>
    <xf numFmtId="0" fontId="17" fillId="0" borderId="0" xfId="0" applyFont="1" applyFill="1" applyBorder="1" applyAlignment="1">
      <alignment horizontal="left" vertical="top"/>
    </xf>
    <xf numFmtId="0" fontId="17" fillId="0" borderId="0" xfId="0" applyFont="1" applyFill="1" applyBorder="1" applyAlignment="1">
      <alignment horizontal="left" vertical="top" wrapText="1"/>
    </xf>
    <xf numFmtId="0" fontId="19" fillId="0" borderId="0" xfId="13" applyFont="1" applyBorder="1"/>
    <xf numFmtId="0" fontId="8" fillId="0" borderId="0" xfId="13" applyFont="1" applyBorder="1" applyAlignment="1">
      <alignment horizontal="left"/>
    </xf>
    <xf numFmtId="49" fontId="24" fillId="2" borderId="12" xfId="1" applyNumberFormat="1" applyFont="1" applyFill="1" applyBorder="1" applyAlignment="1">
      <alignment vertical="top"/>
    </xf>
    <xf numFmtId="49" fontId="24" fillId="2" borderId="13" xfId="1" applyNumberFormat="1" applyFont="1" applyFill="1" applyBorder="1" applyAlignment="1">
      <alignment vertical="top"/>
    </xf>
    <xf numFmtId="49" fontId="24" fillId="2" borderId="14" xfId="1" applyNumberFormat="1" applyFont="1" applyFill="1" applyBorder="1" applyAlignment="1">
      <alignment vertical="top"/>
    </xf>
    <xf numFmtId="0" fontId="8" fillId="0" borderId="14" xfId="13" applyFont="1" applyBorder="1"/>
    <xf numFmtId="0" fontId="8" fillId="0" borderId="12" xfId="0" applyFont="1" applyFill="1" applyBorder="1" applyAlignment="1">
      <alignment horizontal="left" vertical="top"/>
    </xf>
    <xf numFmtId="0" fontId="8" fillId="0" borderId="13" xfId="0" applyFont="1" applyFill="1" applyBorder="1" applyAlignment="1">
      <alignment horizontal="left" vertical="top"/>
    </xf>
    <xf numFmtId="49" fontId="8" fillId="0" borderId="19" xfId="1" applyNumberFormat="1" applyFont="1" applyBorder="1" applyAlignment="1">
      <alignment vertical="top"/>
    </xf>
    <xf numFmtId="0" fontId="2" fillId="0" borderId="18"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18" xfId="0" applyFont="1" applyBorder="1" applyAlignment="1">
      <alignment horizontal="left" vertical="top" wrapText="1"/>
    </xf>
    <xf numFmtId="0" fontId="2" fillId="0" borderId="10" xfId="0" applyFont="1" applyBorder="1" applyAlignment="1">
      <alignment horizontal="left" vertical="top" wrapText="1"/>
    </xf>
    <xf numFmtId="0" fontId="26" fillId="0" borderId="18"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8" fillId="0" borderId="20" xfId="0" applyFont="1" applyBorder="1" applyAlignment="1">
      <alignment vertical="top"/>
    </xf>
    <xf numFmtId="0" fontId="8" fillId="0" borderId="21" xfId="0" applyFont="1" applyBorder="1" applyAlignment="1">
      <alignment vertical="top"/>
    </xf>
    <xf numFmtId="0" fontId="8" fillId="0" borderId="22" xfId="0" applyFont="1" applyBorder="1" applyAlignment="1">
      <alignment vertical="top"/>
    </xf>
    <xf numFmtId="0" fontId="17" fillId="0" borderId="20" xfId="0" applyFont="1" applyBorder="1" applyAlignment="1">
      <alignment vertical="top"/>
    </xf>
    <xf numFmtId="0" fontId="8" fillId="0" borderId="23" xfId="0" applyFont="1" applyFill="1" applyBorder="1" applyAlignment="1">
      <alignment vertical="top"/>
    </xf>
    <xf numFmtId="0" fontId="8" fillId="0" borderId="7" xfId="0" applyFont="1" applyFill="1" applyBorder="1" applyAlignment="1">
      <alignment vertical="top"/>
    </xf>
    <xf numFmtId="0" fontId="8" fillId="0" borderId="19" xfId="0" applyFont="1" applyBorder="1" applyAlignment="1">
      <alignment vertical="top"/>
    </xf>
    <xf numFmtId="0" fontId="8" fillId="0" borderId="9" xfId="0" applyFont="1" applyBorder="1" applyAlignment="1">
      <alignment vertical="top"/>
    </xf>
    <xf numFmtId="0" fontId="8" fillId="0" borderId="7" xfId="0" applyFont="1" applyBorder="1" applyAlignment="1">
      <alignment horizontal="center" vertical="center" wrapText="1"/>
    </xf>
    <xf numFmtId="0" fontId="8" fillId="0" borderId="7" xfId="0" applyFont="1" applyBorder="1" applyAlignment="1">
      <alignment horizontal="left" vertical="top"/>
    </xf>
    <xf numFmtId="0" fontId="8" fillId="0" borderId="7" xfId="0" applyFont="1" applyBorder="1" applyAlignment="1">
      <alignment horizontal="left" vertical="top" wrapText="1"/>
    </xf>
    <xf numFmtId="49" fontId="22" fillId="0" borderId="1" xfId="1" applyNumberFormat="1" applyFont="1" applyBorder="1" applyAlignment="1">
      <alignment horizontal="left" vertical="top"/>
    </xf>
    <xf numFmtId="49" fontId="22" fillId="0" borderId="2" xfId="1" applyNumberFormat="1" applyFont="1" applyBorder="1" applyAlignment="1">
      <alignment horizontal="left" vertical="top" wrapText="1"/>
    </xf>
    <xf numFmtId="0" fontId="22" fillId="0" borderId="2" xfId="1" applyFont="1" applyBorder="1"/>
    <xf numFmtId="49" fontId="22" fillId="0" borderId="2" xfId="1" applyNumberFormat="1" applyFont="1" applyFill="1" applyBorder="1" applyAlignment="1">
      <alignment vertical="center" wrapText="1"/>
    </xf>
    <xf numFmtId="49" fontId="22" fillId="0" borderId="2" xfId="1" applyNumberFormat="1" applyFont="1" applyFill="1" applyBorder="1" applyAlignment="1">
      <alignment vertical="top" wrapText="1"/>
    </xf>
    <xf numFmtId="49" fontId="22" fillId="0" borderId="2" xfId="1" applyNumberFormat="1" applyFont="1" applyFill="1" applyBorder="1" applyAlignment="1">
      <alignment vertical="top"/>
    </xf>
    <xf numFmtId="49" fontId="22" fillId="0" borderId="3" xfId="1" applyNumberFormat="1" applyFont="1" applyBorder="1" applyAlignment="1">
      <alignment horizontal="left" vertical="top"/>
    </xf>
    <xf numFmtId="0" fontId="22" fillId="0" borderId="0" xfId="1" applyFont="1"/>
    <xf numFmtId="49" fontId="22" fillId="0" borderId="4" xfId="1" applyNumberFormat="1" applyFont="1" applyBorder="1" applyAlignment="1">
      <alignment horizontal="left" vertical="top"/>
    </xf>
    <xf numFmtId="49" fontId="22" fillId="0" borderId="0" xfId="1" applyNumberFormat="1" applyFont="1" applyBorder="1" applyAlignment="1">
      <alignment horizontal="left" vertical="top" wrapText="1"/>
    </xf>
    <xf numFmtId="49" fontId="22" fillId="0" borderId="0" xfId="1" applyNumberFormat="1" applyFont="1" applyFill="1" applyBorder="1" applyAlignment="1">
      <alignment vertical="top"/>
    </xf>
    <xf numFmtId="49" fontId="22" fillId="0" borderId="0" xfId="1" applyNumberFormat="1" applyFont="1" applyFill="1" applyBorder="1" applyAlignment="1">
      <alignment vertical="top" wrapText="1"/>
    </xf>
    <xf numFmtId="49" fontId="22" fillId="0" borderId="5" xfId="1" applyNumberFormat="1" applyFont="1" applyBorder="1" applyAlignment="1">
      <alignment horizontal="left" vertical="top"/>
    </xf>
    <xf numFmtId="49" fontId="22" fillId="0" borderId="0" xfId="1" applyNumberFormat="1" applyFont="1" applyBorder="1" applyAlignment="1">
      <alignment horizontal="left" vertical="top"/>
    </xf>
    <xf numFmtId="0" fontId="22" fillId="0" borderId="0" xfId="1" applyFont="1" applyBorder="1"/>
    <xf numFmtId="0" fontId="22" fillId="0" borderId="5" xfId="1" applyFont="1" applyBorder="1"/>
    <xf numFmtId="0" fontId="22" fillId="0" borderId="0" xfId="0" applyFont="1" applyBorder="1" applyAlignment="1">
      <alignment vertical="top" wrapText="1"/>
    </xf>
    <xf numFmtId="49" fontId="22" fillId="0" borderId="4" xfId="1" applyNumberFormat="1" applyFont="1" applyBorder="1" applyAlignment="1">
      <alignment horizontal="left" vertical="top" wrapText="1"/>
    </xf>
    <xf numFmtId="0" fontId="22" fillId="0" borderId="0" xfId="1" applyFont="1" applyBorder="1" applyAlignment="1">
      <alignment wrapText="1"/>
    </xf>
    <xf numFmtId="0" fontId="22" fillId="0" borderId="5" xfId="1" applyFont="1" applyBorder="1" applyAlignment="1">
      <alignment wrapText="1"/>
    </xf>
    <xf numFmtId="0" fontId="22" fillId="0" borderId="0" xfId="1" applyFont="1" applyAlignment="1">
      <alignment wrapText="1"/>
    </xf>
    <xf numFmtId="0" fontId="22" fillId="0" borderId="0" xfId="1" applyFont="1" applyBorder="1" applyAlignment="1"/>
    <xf numFmtId="0" fontId="22" fillId="0" borderId="5" xfId="1" applyFont="1" applyBorder="1" applyAlignment="1"/>
    <xf numFmtId="0" fontId="22" fillId="0" borderId="0" xfId="1" applyFont="1" applyAlignment="1"/>
    <xf numFmtId="49" fontId="22" fillId="0" borderId="0" xfId="16" applyNumberFormat="1" applyFont="1" applyFill="1" applyBorder="1" applyAlignment="1">
      <alignment horizontal="left" vertical="top" wrapText="1"/>
    </xf>
    <xf numFmtId="0" fontId="22" fillId="0" borderId="4" xfId="1" applyFont="1" applyBorder="1" applyAlignment="1">
      <alignment horizontal="left" vertical="top"/>
    </xf>
    <xf numFmtId="0" fontId="22" fillId="0" borderId="0" xfId="1" applyFont="1" applyBorder="1" applyAlignment="1">
      <alignment horizontal="left" vertical="top"/>
    </xf>
    <xf numFmtId="0" fontId="22" fillId="0" borderId="4" xfId="13" applyFont="1" applyBorder="1" applyAlignment="1">
      <alignment vertical="top"/>
    </xf>
    <xf numFmtId="0" fontId="22" fillId="0" borderId="0" xfId="13" applyFont="1" applyBorder="1" applyAlignment="1">
      <alignment vertical="top"/>
    </xf>
    <xf numFmtId="0" fontId="22" fillId="0" borderId="0" xfId="13" applyFont="1" applyBorder="1"/>
    <xf numFmtId="0" fontId="22" fillId="0" borderId="5" xfId="13" applyFont="1" applyBorder="1"/>
    <xf numFmtId="0" fontId="22" fillId="0" borderId="0" xfId="13" applyFont="1"/>
    <xf numFmtId="0" fontId="22" fillId="0" borderId="4" xfId="13" applyFont="1" applyBorder="1"/>
    <xf numFmtId="0" fontId="22" fillId="0" borderId="6" xfId="13" applyFont="1" applyBorder="1" applyAlignment="1">
      <alignment vertical="top"/>
    </xf>
    <xf numFmtId="0" fontId="22" fillId="0" borderId="7" xfId="13" applyFont="1" applyBorder="1" applyAlignment="1">
      <alignment vertical="top"/>
    </xf>
    <xf numFmtId="0" fontId="22" fillId="0" borderId="7" xfId="13" applyFont="1" applyBorder="1"/>
    <xf numFmtId="0" fontId="22" fillId="0" borderId="7" xfId="0" applyFont="1" applyFill="1" applyBorder="1" applyAlignment="1">
      <alignment vertical="top" textRotation="255" wrapText="1"/>
    </xf>
    <xf numFmtId="0" fontId="22" fillId="0" borderId="7" xfId="0" applyFont="1" applyFill="1" applyBorder="1" applyAlignment="1">
      <alignment vertical="top" wrapText="1"/>
    </xf>
    <xf numFmtId="0" fontId="22" fillId="0" borderId="7" xfId="0" applyFont="1" applyBorder="1" applyAlignment="1">
      <alignment vertical="top" wrapText="1"/>
    </xf>
    <xf numFmtId="0" fontId="22" fillId="0" borderId="8" xfId="13" applyFont="1" applyBorder="1"/>
    <xf numFmtId="0" fontId="22" fillId="0" borderId="1" xfId="13" applyFont="1" applyBorder="1"/>
    <xf numFmtId="0" fontId="22" fillId="0" borderId="2" xfId="13" applyFont="1" applyBorder="1"/>
    <xf numFmtId="0" fontId="22" fillId="0" borderId="3" xfId="13" applyFont="1" applyBorder="1"/>
    <xf numFmtId="0" fontId="22" fillId="0" borderId="6" xfId="13" applyFont="1" applyBorder="1"/>
    <xf numFmtId="49" fontId="22" fillId="0" borderId="0" xfId="1" applyNumberFormat="1" applyFont="1" applyFill="1" applyBorder="1" applyAlignment="1">
      <alignment vertical="center"/>
    </xf>
    <xf numFmtId="0" fontId="22" fillId="0" borderId="16" xfId="0" applyFont="1" applyBorder="1" applyAlignment="1">
      <alignment vertical="top" wrapText="1"/>
    </xf>
    <xf numFmtId="0" fontId="22" fillId="0" borderId="17" xfId="0" applyFont="1" applyBorder="1" applyAlignment="1">
      <alignment vertical="top" wrapText="1"/>
    </xf>
    <xf numFmtId="0" fontId="22" fillId="0" borderId="0" xfId="0" applyFont="1" applyBorder="1" applyAlignment="1">
      <alignment vertical="top"/>
    </xf>
    <xf numFmtId="0" fontId="22" fillId="0" borderId="9" xfId="0" applyFont="1" applyBorder="1" applyAlignment="1">
      <alignment vertical="top" wrapText="1"/>
    </xf>
    <xf numFmtId="0" fontId="22" fillId="0" borderId="10" xfId="0" applyFont="1" applyBorder="1" applyAlignment="1">
      <alignment vertical="top" wrapText="1"/>
    </xf>
    <xf numFmtId="0" fontId="22" fillId="0" borderId="11" xfId="0" applyFont="1" applyBorder="1" applyAlignment="1">
      <alignment vertical="top" wrapText="1"/>
    </xf>
    <xf numFmtId="49" fontId="14" fillId="2" borderId="12" xfId="1" applyNumberFormat="1" applyFont="1" applyFill="1" applyBorder="1" applyAlignment="1">
      <alignment vertical="top"/>
    </xf>
    <xf numFmtId="49" fontId="14" fillId="2" borderId="14" xfId="1" applyNumberFormat="1" applyFont="1" applyFill="1" applyBorder="1" applyAlignment="1">
      <alignment vertical="top"/>
    </xf>
    <xf numFmtId="49" fontId="14" fillId="2" borderId="13" xfId="1" applyNumberFormat="1" applyFont="1" applyFill="1" applyBorder="1" applyAlignment="1">
      <alignment vertical="top"/>
    </xf>
    <xf numFmtId="49" fontId="14" fillId="2" borderId="12" xfId="1" applyNumberFormat="1" applyFont="1" applyFill="1" applyBorder="1" applyAlignment="1">
      <alignment horizontal="left" vertical="top"/>
    </xf>
    <xf numFmtId="49" fontId="14" fillId="2" borderId="13" xfId="1" applyNumberFormat="1" applyFont="1" applyFill="1" applyBorder="1" applyAlignment="1">
      <alignment horizontal="left" vertical="top"/>
    </xf>
    <xf numFmtId="49" fontId="14" fillId="2" borderId="14" xfId="1" applyNumberFormat="1" applyFont="1" applyFill="1" applyBorder="1" applyAlignment="1">
      <alignment horizontal="left" vertical="top"/>
    </xf>
    <xf numFmtId="49" fontId="14" fillId="2" borderId="12" xfId="16" applyNumberFormat="1" applyFont="1" applyFill="1" applyBorder="1" applyAlignment="1">
      <alignment horizontal="left" vertical="top"/>
    </xf>
    <xf numFmtId="49" fontId="14" fillId="2" borderId="13" xfId="16" applyNumberFormat="1" applyFont="1" applyFill="1" applyBorder="1" applyAlignment="1">
      <alignment horizontal="left" vertical="top"/>
    </xf>
    <xf numFmtId="0" fontId="14" fillId="2" borderId="13" xfId="1" applyFont="1" applyFill="1" applyBorder="1" applyAlignment="1">
      <alignment vertical="top"/>
    </xf>
    <xf numFmtId="49" fontId="8" fillId="0" borderId="15" xfId="16" applyNumberFormat="1" applyFont="1" applyFill="1" applyBorder="1" applyAlignment="1">
      <alignment horizontal="left" vertical="top"/>
    </xf>
    <xf numFmtId="49" fontId="8" fillId="0" borderId="15" xfId="1" applyNumberFormat="1" applyFont="1" applyBorder="1" applyAlignment="1">
      <alignment vertical="top"/>
    </xf>
    <xf numFmtId="49" fontId="17" fillId="0" borderId="16" xfId="1" applyNumberFormat="1" applyFont="1" applyBorder="1" applyAlignment="1">
      <alignment vertical="top"/>
    </xf>
    <xf numFmtId="49" fontId="17" fillId="0" borderId="17" xfId="1" applyNumberFormat="1" applyFont="1" applyBorder="1" applyAlignment="1">
      <alignment vertical="top"/>
    </xf>
    <xf numFmtId="49" fontId="17" fillId="0" borderId="0" xfId="1" applyNumberFormat="1" applyFont="1" applyBorder="1" applyAlignment="1">
      <alignment vertical="top"/>
    </xf>
    <xf numFmtId="49" fontId="17" fillId="0" borderId="9" xfId="1" applyNumberFormat="1" applyFont="1" applyBorder="1" applyAlignment="1">
      <alignment vertical="top"/>
    </xf>
    <xf numFmtId="49" fontId="17" fillId="0" borderId="19" xfId="1" applyNumberFormat="1" applyFont="1" applyBorder="1" applyAlignment="1">
      <alignment vertical="top"/>
    </xf>
    <xf numFmtId="49" fontId="17" fillId="0" borderId="18" xfId="1" applyNumberFormat="1" applyFont="1" applyBorder="1" applyAlignment="1">
      <alignment vertical="top"/>
    </xf>
    <xf numFmtId="49" fontId="17" fillId="0" borderId="10" xfId="1" applyNumberFormat="1" applyFont="1" applyBorder="1" applyAlignment="1">
      <alignment vertical="top"/>
    </xf>
    <xf numFmtId="49" fontId="17" fillId="0" borderId="11" xfId="1" applyNumberFormat="1" applyFont="1" applyBorder="1" applyAlignment="1">
      <alignment vertical="top"/>
    </xf>
    <xf numFmtId="0" fontId="25" fillId="0" borderId="18" xfId="1" applyFont="1" applyBorder="1" applyAlignment="1">
      <alignment vertical="top"/>
    </xf>
    <xf numFmtId="0" fontId="25" fillId="0" borderId="19" xfId="1" applyFont="1" applyBorder="1" applyAlignment="1">
      <alignment vertical="top"/>
    </xf>
    <xf numFmtId="49" fontId="27" fillId="0" borderId="4" xfId="1" applyNumberFormat="1" applyFont="1" applyBorder="1" applyAlignment="1">
      <alignment horizontal="left" vertical="top"/>
    </xf>
    <xf numFmtId="49" fontId="27" fillId="0" borderId="0" xfId="1" applyNumberFormat="1" applyFont="1" applyBorder="1" applyAlignment="1">
      <alignment horizontal="left" vertical="top" wrapText="1"/>
    </xf>
    <xf numFmtId="49" fontId="27" fillId="0" borderId="0" xfId="1" applyNumberFormat="1" applyFont="1" applyFill="1" applyBorder="1" applyAlignment="1">
      <alignment vertical="top" wrapText="1"/>
    </xf>
    <xf numFmtId="49" fontId="27" fillId="0" borderId="0" xfId="1" applyNumberFormat="1" applyFont="1" applyFill="1" applyBorder="1" applyAlignment="1">
      <alignment vertical="top"/>
    </xf>
    <xf numFmtId="49" fontId="27" fillId="0" borderId="5" xfId="1" applyNumberFormat="1" applyFont="1" applyBorder="1" applyAlignment="1">
      <alignment horizontal="left" vertical="top"/>
    </xf>
    <xf numFmtId="0" fontId="27" fillId="0" borderId="0" xfId="1" applyFont="1"/>
    <xf numFmtId="0" fontId="27" fillId="0" borderId="0" xfId="1" applyFont="1" applyBorder="1"/>
    <xf numFmtId="49" fontId="27" fillId="0" borderId="0" xfId="1" applyNumberFormat="1" applyFont="1" applyBorder="1" applyAlignment="1">
      <alignment horizontal="left" vertical="top"/>
    </xf>
    <xf numFmtId="0" fontId="27" fillId="0" borderId="5" xfId="1" applyFont="1" applyBorder="1"/>
    <xf numFmtId="0" fontId="27" fillId="0" borderId="0" xfId="0" applyFont="1" applyBorder="1" applyAlignment="1">
      <alignment vertical="top" wrapText="1"/>
    </xf>
    <xf numFmtId="0" fontId="27" fillId="0" borderId="16" xfId="0" applyFont="1" applyBorder="1" applyAlignment="1">
      <alignment vertical="top" wrapText="1"/>
    </xf>
    <xf numFmtId="0" fontId="27" fillId="0" borderId="17" xfId="0" applyFont="1" applyBorder="1" applyAlignment="1">
      <alignment vertical="top" wrapText="1"/>
    </xf>
    <xf numFmtId="49" fontId="27" fillId="0" borderId="4" xfId="1" applyNumberFormat="1" applyFont="1" applyBorder="1" applyAlignment="1">
      <alignment horizontal="left" vertical="top" wrapText="1"/>
    </xf>
    <xf numFmtId="0" fontId="27" fillId="0" borderId="0" xfId="1" applyFont="1" applyBorder="1" applyAlignment="1">
      <alignment wrapText="1"/>
    </xf>
    <xf numFmtId="0" fontId="27" fillId="0" borderId="0" xfId="0" applyFont="1" applyBorder="1" applyAlignment="1">
      <alignment vertical="top"/>
    </xf>
    <xf numFmtId="0" fontId="27" fillId="0" borderId="9" xfId="0" applyFont="1" applyBorder="1" applyAlignment="1">
      <alignment vertical="top" wrapText="1"/>
    </xf>
    <xf numFmtId="0" fontId="27" fillId="0" borderId="5" xfId="1" applyFont="1" applyBorder="1" applyAlignment="1">
      <alignment wrapText="1"/>
    </xf>
    <xf numFmtId="0" fontId="27" fillId="0" borderId="0" xfId="1" applyFont="1" applyAlignment="1">
      <alignment wrapText="1"/>
    </xf>
    <xf numFmtId="0" fontId="27" fillId="0" borderId="0" xfId="1" applyFont="1" applyBorder="1" applyAlignment="1"/>
    <xf numFmtId="0" fontId="27" fillId="0" borderId="5" xfId="1" applyFont="1" applyBorder="1" applyAlignment="1"/>
    <xf numFmtId="0" fontId="27" fillId="0" borderId="0" xfId="1" applyFont="1" applyAlignment="1"/>
    <xf numFmtId="49" fontId="27" fillId="0" borderId="0" xfId="16" applyNumberFormat="1" applyFont="1" applyFill="1" applyBorder="1" applyAlignment="1">
      <alignment horizontal="left" vertical="top" wrapText="1"/>
    </xf>
    <xf numFmtId="0" fontId="27" fillId="0" borderId="4" xfId="1" applyFont="1" applyBorder="1" applyAlignment="1">
      <alignment horizontal="left" vertical="top"/>
    </xf>
    <xf numFmtId="0" fontId="27" fillId="0" borderId="0" xfId="1" applyFont="1" applyBorder="1" applyAlignment="1">
      <alignment horizontal="left" vertical="top"/>
    </xf>
    <xf numFmtId="0" fontId="27" fillId="0" borderId="4" xfId="13" applyFont="1" applyBorder="1" applyAlignment="1">
      <alignment vertical="top"/>
    </xf>
    <xf numFmtId="0" fontId="27" fillId="0" borderId="0" xfId="13" applyFont="1" applyBorder="1" applyAlignment="1">
      <alignment vertical="top"/>
    </xf>
    <xf numFmtId="0" fontId="27" fillId="0" borderId="0" xfId="13" applyFont="1" applyBorder="1"/>
    <xf numFmtId="0" fontId="27" fillId="0" borderId="5" xfId="13" applyFont="1" applyBorder="1"/>
    <xf numFmtId="0" fontId="27" fillId="0" borderId="0" xfId="13" applyFont="1"/>
    <xf numFmtId="0" fontId="27" fillId="0" borderId="4" xfId="13" applyFont="1" applyBorder="1"/>
    <xf numFmtId="0" fontId="27" fillId="0" borderId="10" xfId="0" applyFont="1" applyBorder="1" applyAlignment="1">
      <alignment vertical="top" wrapText="1"/>
    </xf>
    <xf numFmtId="0" fontId="27" fillId="0" borderId="11" xfId="0" applyFont="1" applyBorder="1" applyAlignment="1">
      <alignment vertical="top" wrapText="1"/>
    </xf>
    <xf numFmtId="0" fontId="27" fillId="0" borderId="6" xfId="13" applyFont="1" applyBorder="1" applyAlignment="1">
      <alignment vertical="top"/>
    </xf>
    <xf numFmtId="0" fontId="27" fillId="0" borderId="7" xfId="13" applyFont="1" applyBorder="1" applyAlignment="1">
      <alignment vertical="top"/>
    </xf>
    <xf numFmtId="0" fontId="27" fillId="0" borderId="7" xfId="13" applyFont="1" applyBorder="1"/>
    <xf numFmtId="0" fontId="27" fillId="0" borderId="7" xfId="0" applyFont="1" applyFill="1" applyBorder="1" applyAlignment="1">
      <alignment vertical="top" textRotation="255" wrapText="1"/>
    </xf>
    <xf numFmtId="0" fontId="27" fillId="0" borderId="7" xfId="0" applyFont="1" applyFill="1" applyBorder="1" applyAlignment="1">
      <alignment vertical="top" wrapText="1"/>
    </xf>
    <xf numFmtId="0" fontId="27" fillId="0" borderId="7" xfId="0" applyFont="1" applyBorder="1" applyAlignment="1">
      <alignment vertical="top" wrapText="1"/>
    </xf>
    <xf numFmtId="0" fontId="27" fillId="0" borderId="8" xfId="13" applyFont="1" applyBorder="1"/>
    <xf numFmtId="0" fontId="27" fillId="0" borderId="1" xfId="13" applyFont="1" applyBorder="1"/>
    <xf numFmtId="0" fontId="27" fillId="0" borderId="2" xfId="13" applyFont="1" applyBorder="1"/>
    <xf numFmtId="0" fontId="27" fillId="0" borderId="3" xfId="13" applyFont="1" applyBorder="1"/>
    <xf numFmtId="0" fontId="24" fillId="3" borderId="12" xfId="0" applyFont="1" applyFill="1" applyBorder="1" applyAlignment="1">
      <alignment vertical="center"/>
    </xf>
    <xf numFmtId="0" fontId="24" fillId="3" borderId="13" xfId="0" applyFont="1" applyFill="1" applyBorder="1" applyAlignment="1">
      <alignment vertical="center"/>
    </xf>
    <xf numFmtId="0" fontId="24" fillId="3" borderId="13" xfId="0" applyFont="1" applyFill="1" applyBorder="1" applyAlignment="1">
      <alignment vertical="top"/>
    </xf>
    <xf numFmtId="0" fontId="24" fillId="3" borderId="13" xfId="0" applyFont="1" applyFill="1" applyBorder="1" applyAlignment="1">
      <alignment horizontal="center" vertical="top"/>
    </xf>
    <xf numFmtId="0" fontId="24" fillId="3" borderId="14" xfId="0" applyFont="1" applyFill="1" applyBorder="1" applyAlignment="1">
      <alignment vertical="top"/>
    </xf>
    <xf numFmtId="0" fontId="24" fillId="3" borderId="12" xfId="0" applyFont="1" applyFill="1" applyBorder="1" applyAlignment="1">
      <alignment vertical="top"/>
    </xf>
    <xf numFmtId="0" fontId="27" fillId="0" borderId="6" xfId="13" applyFont="1" applyBorder="1"/>
    <xf numFmtId="49" fontId="27" fillId="0" borderId="1" xfId="1" applyNumberFormat="1" applyFont="1" applyBorder="1" applyAlignment="1">
      <alignment horizontal="left" vertical="top"/>
    </xf>
    <xf numFmtId="49" fontId="27" fillId="0" borderId="2" xfId="1" applyNumberFormat="1" applyFont="1" applyBorder="1" applyAlignment="1">
      <alignment horizontal="left" vertical="top" wrapText="1"/>
    </xf>
    <xf numFmtId="0" fontId="27" fillId="0" borderId="2" xfId="1" applyFont="1" applyBorder="1"/>
    <xf numFmtId="49" fontId="27" fillId="0" borderId="2" xfId="1" applyNumberFormat="1" applyFont="1" applyFill="1" applyBorder="1" applyAlignment="1">
      <alignment vertical="center" wrapText="1"/>
    </xf>
    <xf numFmtId="49" fontId="27" fillId="0" borderId="2" xfId="1" applyNumberFormat="1" applyFont="1" applyFill="1" applyBorder="1" applyAlignment="1">
      <alignment vertical="top" wrapText="1"/>
    </xf>
    <xf numFmtId="49" fontId="27" fillId="0" borderId="2" xfId="1" applyNumberFormat="1" applyFont="1" applyFill="1" applyBorder="1" applyAlignment="1">
      <alignment vertical="top"/>
    </xf>
    <xf numFmtId="49" fontId="27" fillId="0" borderId="3" xfId="1" applyNumberFormat="1" applyFont="1" applyBorder="1" applyAlignment="1">
      <alignment horizontal="left" vertical="top"/>
    </xf>
    <xf numFmtId="49" fontId="27" fillId="0" borderId="0" xfId="1" applyNumberFormat="1" applyFont="1" applyFill="1" applyBorder="1" applyAlignment="1">
      <alignment vertical="center"/>
    </xf>
    <xf numFmtId="0" fontId="26" fillId="0" borderId="18" xfId="0" applyFont="1" applyBorder="1" applyAlignment="1">
      <alignment horizontal="left" vertical="top" wrapText="1"/>
    </xf>
    <xf numFmtId="0" fontId="26" fillId="0" borderId="10" xfId="0" applyFont="1" applyBorder="1" applyAlignment="1">
      <alignment horizontal="left" vertical="top" wrapText="1"/>
    </xf>
    <xf numFmtId="49" fontId="24" fillId="2" borderId="12" xfId="1" applyNumberFormat="1" applyFont="1" applyFill="1" applyBorder="1" applyAlignment="1">
      <alignment horizontal="left" vertical="top"/>
    </xf>
    <xf numFmtId="49" fontId="24" fillId="2" borderId="13" xfId="1" applyNumberFormat="1" applyFont="1" applyFill="1" applyBorder="1" applyAlignment="1">
      <alignment horizontal="left" vertical="top"/>
    </xf>
    <xf numFmtId="49" fontId="24" fillId="2" borderId="14" xfId="1" applyNumberFormat="1" applyFont="1" applyFill="1" applyBorder="1" applyAlignment="1">
      <alignment horizontal="left" vertical="top"/>
    </xf>
    <xf numFmtId="49" fontId="24" fillId="2" borderId="12" xfId="16" applyNumberFormat="1" applyFont="1" applyFill="1" applyBorder="1" applyAlignment="1">
      <alignment horizontal="left" vertical="top"/>
    </xf>
    <xf numFmtId="49" fontId="24" fillId="2" borderId="13" xfId="16" applyNumberFormat="1" applyFont="1" applyFill="1" applyBorder="1" applyAlignment="1">
      <alignment horizontal="left" vertical="top"/>
    </xf>
    <xf numFmtId="0" fontId="24" fillId="2" borderId="13" xfId="1" applyFont="1" applyFill="1" applyBorder="1" applyAlignment="1">
      <alignment vertical="top"/>
    </xf>
    <xf numFmtId="0" fontId="14" fillId="3" borderId="19" xfId="13" applyFont="1" applyFill="1" applyBorder="1" applyAlignment="1">
      <alignment horizontal="center" vertical="top"/>
    </xf>
    <xf numFmtId="0" fontId="14" fillId="3" borderId="0" xfId="13" applyFont="1" applyFill="1" applyBorder="1" applyAlignment="1">
      <alignment horizontal="center" vertical="top"/>
    </xf>
    <xf numFmtId="0" fontId="14" fillId="3" borderId="9" xfId="13" applyFont="1" applyFill="1" applyBorder="1" applyAlignment="1">
      <alignment horizontal="center" vertical="top"/>
    </xf>
    <xf numFmtId="49" fontId="8" fillId="0" borderId="2" xfId="1" applyNumberFormat="1" applyFont="1" applyFill="1" applyBorder="1" applyAlignment="1">
      <alignment vertical="center"/>
    </xf>
    <xf numFmtId="0" fontId="0" fillId="0" borderId="0" xfId="0" applyFill="1" applyBorder="1" applyAlignment="1">
      <alignment vertical="center"/>
    </xf>
    <xf numFmtId="0" fontId="7" fillId="0" borderId="0" xfId="1" applyFont="1"/>
    <xf numFmtId="49" fontId="8" fillId="0" borderId="1" xfId="1" applyNumberFormat="1" applyFont="1" applyBorder="1" applyAlignment="1">
      <alignment vertical="top"/>
    </xf>
    <xf numFmtId="49" fontId="8" fillId="0" borderId="3" xfId="1" applyNumberFormat="1" applyFont="1" applyBorder="1" applyAlignment="1">
      <alignment vertical="top"/>
    </xf>
    <xf numFmtId="49" fontId="8" fillId="0" borderId="0" xfId="1" applyNumberFormat="1" applyFont="1" applyAlignment="1">
      <alignment vertical="top"/>
    </xf>
    <xf numFmtId="49" fontId="8" fillId="0" borderId="4" xfId="1" applyNumberFormat="1" applyFont="1" applyBorder="1" applyAlignment="1">
      <alignment vertical="top"/>
    </xf>
    <xf numFmtId="49" fontId="8" fillId="0" borderId="0" xfId="16" applyNumberFormat="1" applyFont="1" applyFill="1" applyBorder="1" applyAlignment="1">
      <alignment vertical="top"/>
    </xf>
    <xf numFmtId="49" fontId="8" fillId="0" borderId="5" xfId="1" applyNumberFormat="1" applyFont="1" applyBorder="1" applyAlignment="1">
      <alignment vertical="top"/>
    </xf>
    <xf numFmtId="49" fontId="8" fillId="0" borderId="0" xfId="16" applyNumberFormat="1" applyFont="1" applyFill="1" applyBorder="1" applyAlignment="1">
      <alignment horizontal="right" vertical="top"/>
    </xf>
    <xf numFmtId="0" fontId="8" fillId="0" borderId="0" xfId="1" applyFont="1" applyFill="1" applyBorder="1" applyAlignment="1">
      <alignment vertical="center"/>
    </xf>
    <xf numFmtId="49" fontId="8" fillId="0" borderId="6" xfId="1" applyNumberFormat="1" applyFont="1" applyBorder="1" applyAlignment="1">
      <alignment vertical="top"/>
    </xf>
    <xf numFmtId="49" fontId="8" fillId="0" borderId="7" xfId="16" applyNumberFormat="1" applyFont="1" applyFill="1" applyBorder="1" applyAlignment="1">
      <alignment vertical="top"/>
    </xf>
    <xf numFmtId="49" fontId="8" fillId="0" borderId="7" xfId="16" applyNumberFormat="1" applyFont="1" applyFill="1" applyBorder="1" applyAlignment="1">
      <alignment horizontal="right" vertical="top"/>
    </xf>
    <xf numFmtId="49" fontId="8" fillId="0" borderId="8" xfId="1" applyNumberFormat="1" applyFont="1" applyBorder="1" applyAlignment="1">
      <alignment vertical="top"/>
    </xf>
    <xf numFmtId="0" fontId="8" fillId="0" borderId="0" xfId="1" applyFont="1" applyAlignment="1">
      <alignment vertical="top"/>
    </xf>
    <xf numFmtId="49" fontId="36" fillId="0" borderId="0" xfId="1" applyNumberFormat="1" applyFont="1" applyFill="1" applyBorder="1" applyAlignment="1">
      <alignment horizontal="left" vertical="top"/>
    </xf>
    <xf numFmtId="0" fontId="36" fillId="0" borderId="0" xfId="1" applyFont="1" applyAlignment="1"/>
    <xf numFmtId="0" fontId="8" fillId="0" borderId="13" xfId="13" applyFont="1" applyBorder="1" applyAlignment="1">
      <alignment horizontal="center"/>
    </xf>
    <xf numFmtId="0" fontId="36" fillId="0" borderId="0" xfId="1" applyFont="1" applyBorder="1" applyAlignment="1">
      <alignment vertical="top"/>
    </xf>
    <xf numFmtId="49" fontId="8" fillId="0" borderId="9" xfId="1" applyNumberFormat="1" applyFont="1" applyBorder="1" applyAlignment="1">
      <alignment vertical="top"/>
    </xf>
    <xf numFmtId="49" fontId="8" fillId="0" borderId="18" xfId="1" applyNumberFormat="1" applyFont="1" applyBorder="1" applyAlignment="1">
      <alignment vertical="top"/>
    </xf>
    <xf numFmtId="49" fontId="8" fillId="0" borderId="11" xfId="1" applyNumberFormat="1" applyFont="1" applyBorder="1" applyAlignment="1">
      <alignment vertical="top"/>
    </xf>
    <xf numFmtId="0" fontId="36" fillId="0" borderId="0" xfId="0" applyFont="1" applyFill="1" applyBorder="1" applyAlignment="1">
      <alignment horizontal="left" vertical="top" shrinkToFit="1"/>
    </xf>
    <xf numFmtId="0" fontId="36" fillId="0" borderId="0" xfId="0" applyFont="1" applyFill="1" applyBorder="1" applyAlignment="1">
      <alignment vertical="top" shrinkToFit="1"/>
    </xf>
    <xf numFmtId="0" fontId="8" fillId="4" borderId="12" xfId="0" applyFont="1" applyFill="1" applyBorder="1">
      <alignment vertical="center"/>
    </xf>
    <xf numFmtId="0" fontId="8" fillId="4" borderId="13" xfId="0" applyFont="1" applyFill="1" applyBorder="1">
      <alignment vertical="center"/>
    </xf>
    <xf numFmtId="0" fontId="8" fillId="4" borderId="14" xfId="0" applyFont="1" applyFill="1" applyBorder="1">
      <alignment vertical="center"/>
    </xf>
    <xf numFmtId="176" fontId="0" fillId="0" borderId="0" xfId="0" applyNumberFormat="1">
      <alignment vertical="center"/>
    </xf>
    <xf numFmtId="0" fontId="15" fillId="6" borderId="0" xfId="15" applyFont="1" applyFill="1" applyBorder="1" applyAlignment="1"/>
    <xf numFmtId="49" fontId="8" fillId="0" borderId="7" xfId="1" applyNumberFormat="1" applyFont="1" applyFill="1" applyBorder="1" applyAlignment="1">
      <alignment vertical="top" wrapText="1"/>
    </xf>
    <xf numFmtId="0" fontId="8" fillId="0" borderId="0" xfId="13" applyFont="1" applyFill="1" applyBorder="1"/>
    <xf numFmtId="0" fontId="8" fillId="0" borderId="13" xfId="13" applyFont="1" applyFill="1" applyBorder="1"/>
    <xf numFmtId="0" fontId="8" fillId="0" borderId="14" xfId="13" applyFont="1" applyFill="1" applyBorder="1"/>
    <xf numFmtId="0" fontId="37" fillId="0" borderId="13" xfId="13" applyFont="1" applyFill="1" applyBorder="1"/>
    <xf numFmtId="0" fontId="8" fillId="0" borderId="12" xfId="13" applyFont="1" applyFill="1" applyBorder="1"/>
    <xf numFmtId="0" fontId="38" fillId="0" borderId="18" xfId="0" applyFont="1" applyBorder="1" applyAlignment="1">
      <alignment horizontal="left" vertical="top" wrapText="1"/>
    </xf>
    <xf numFmtId="0" fontId="38" fillId="0" borderId="10" xfId="0" applyFont="1" applyBorder="1" applyAlignment="1">
      <alignment horizontal="left" vertical="top" wrapText="1"/>
    </xf>
    <xf numFmtId="49" fontId="8" fillId="0" borderId="0" xfId="1" applyNumberFormat="1" applyFont="1" applyBorder="1" applyAlignment="1">
      <alignment horizontal="left" vertical="top" wrapText="1"/>
    </xf>
    <xf numFmtId="49" fontId="8" fillId="0" borderId="0" xfId="1" applyNumberFormat="1" applyFont="1" applyBorder="1" applyAlignment="1">
      <alignment vertical="top"/>
    </xf>
    <xf numFmtId="49" fontId="8" fillId="0" borderId="0" xfId="1" applyNumberFormat="1" applyFont="1" applyFill="1" applyBorder="1" applyAlignment="1">
      <alignment vertical="top"/>
    </xf>
    <xf numFmtId="0" fontId="8" fillId="0" borderId="15" xfId="0" applyFont="1" applyBorder="1" applyAlignment="1">
      <alignment vertical="top"/>
    </xf>
    <xf numFmtId="49" fontId="8" fillId="0" borderId="0" xfId="1" applyNumberFormat="1" applyFont="1" applyFill="1" applyBorder="1" applyAlignment="1">
      <alignment horizontal="left" vertical="top" wrapText="1"/>
    </xf>
    <xf numFmtId="49" fontId="37" fillId="0" borderId="12" xfId="1" applyNumberFormat="1" applyFont="1" applyFill="1" applyBorder="1" applyAlignment="1">
      <alignment vertical="top"/>
    </xf>
    <xf numFmtId="49" fontId="8" fillId="6" borderId="4" xfId="1" applyNumberFormat="1" applyFont="1" applyFill="1" applyBorder="1" applyAlignment="1">
      <alignment horizontal="left" vertical="top"/>
    </xf>
    <xf numFmtId="49" fontId="8" fillId="6" borderId="0" xfId="1" applyNumberFormat="1" applyFont="1" applyFill="1" applyBorder="1" applyAlignment="1">
      <alignment horizontal="left" vertical="top"/>
    </xf>
    <xf numFmtId="0" fontId="8" fillId="6" borderId="0" xfId="1" applyFont="1" applyFill="1" applyBorder="1" applyAlignment="1"/>
    <xf numFmtId="49" fontId="8" fillId="6" borderId="5" xfId="1" applyNumberFormat="1" applyFont="1" applyFill="1" applyBorder="1" applyAlignment="1">
      <alignment horizontal="left" vertical="top"/>
    </xf>
    <xf numFmtId="0" fontId="8" fillId="6" borderId="0" xfId="1" applyFont="1" applyFill="1" applyAlignment="1"/>
    <xf numFmtId="0" fontId="8" fillId="6" borderId="0" xfId="1" applyFont="1" applyFill="1"/>
    <xf numFmtId="0" fontId="8" fillId="6" borderId="0" xfId="0" applyFont="1" applyFill="1" applyBorder="1" applyAlignment="1">
      <alignment vertical="top" wrapText="1"/>
    </xf>
    <xf numFmtId="0" fontId="8" fillId="6" borderId="19" xfId="1" applyFont="1" applyFill="1" applyBorder="1" applyAlignment="1">
      <alignment vertical="top"/>
    </xf>
    <xf numFmtId="49" fontId="8" fillId="6" borderId="0" xfId="1" applyNumberFormat="1" applyFont="1" applyFill="1" applyBorder="1" applyAlignment="1">
      <alignment vertical="top"/>
    </xf>
    <xf numFmtId="49" fontId="8" fillId="6" borderId="9" xfId="1" applyNumberFormat="1" applyFont="1" applyFill="1" applyBorder="1" applyAlignment="1">
      <alignment vertical="top"/>
    </xf>
    <xf numFmtId="0" fontId="8" fillId="6" borderId="0" xfId="1" applyFont="1" applyFill="1" applyBorder="1"/>
    <xf numFmtId="49" fontId="8" fillId="6" borderId="0" xfId="1" applyNumberFormat="1" applyFont="1" applyFill="1" applyBorder="1" applyAlignment="1">
      <alignment vertical="center"/>
    </xf>
    <xf numFmtId="49" fontId="8" fillId="6" borderId="12" xfId="1" applyNumberFormat="1" applyFont="1" applyFill="1" applyBorder="1" applyAlignment="1">
      <alignment vertical="top"/>
    </xf>
    <xf numFmtId="49" fontId="8" fillId="6" borderId="13" xfId="1" applyNumberFormat="1" applyFont="1" applyFill="1" applyBorder="1" applyAlignment="1">
      <alignment vertical="top"/>
    </xf>
    <xf numFmtId="49" fontId="8" fillId="6" borderId="14" xfId="1" applyNumberFormat="1" applyFont="1" applyFill="1" applyBorder="1" applyAlignment="1">
      <alignment vertical="top"/>
    </xf>
    <xf numFmtId="49" fontId="37" fillId="6" borderId="12" xfId="1" applyNumberFormat="1" applyFont="1" applyFill="1" applyBorder="1" applyAlignment="1">
      <alignment vertical="top"/>
    </xf>
    <xf numFmtId="49" fontId="8" fillId="6" borderId="12" xfId="1" quotePrefix="1" applyNumberFormat="1" applyFont="1" applyFill="1" applyBorder="1" applyAlignment="1">
      <alignment vertical="top"/>
    </xf>
    <xf numFmtId="49" fontId="17" fillId="6" borderId="0" xfId="1" applyNumberFormat="1" applyFont="1" applyFill="1" applyBorder="1" applyAlignment="1">
      <alignment vertical="center"/>
    </xf>
    <xf numFmtId="49" fontId="17" fillId="6" borderId="0" xfId="1" applyNumberFormat="1" applyFont="1" applyFill="1" applyBorder="1" applyAlignment="1">
      <alignment vertical="top"/>
    </xf>
    <xf numFmtId="49" fontId="8" fillId="6" borderId="0" xfId="1" applyNumberFormat="1" applyFont="1" applyFill="1" applyBorder="1" applyAlignment="1">
      <alignment vertical="top"/>
    </xf>
    <xf numFmtId="49" fontId="37" fillId="6" borderId="12" xfId="1" quotePrefix="1" applyNumberFormat="1" applyFont="1" applyFill="1" applyBorder="1" applyAlignment="1">
      <alignment vertical="top"/>
    </xf>
    <xf numFmtId="49" fontId="8" fillId="0" borderId="0" xfId="1" applyNumberFormat="1" applyFont="1" applyFill="1" applyBorder="1" applyAlignment="1">
      <alignment vertical="top"/>
    </xf>
    <xf numFmtId="49" fontId="8" fillId="0" borderId="0" xfId="1" applyNumberFormat="1" applyFont="1" applyFill="1" applyBorder="1" applyAlignment="1">
      <alignment vertical="top" wrapText="1"/>
    </xf>
    <xf numFmtId="0" fontId="35" fillId="0" borderId="24" xfId="0" applyFont="1" applyBorder="1" applyAlignment="1">
      <alignment horizontal="center" vertical="center" wrapText="1"/>
    </xf>
    <xf numFmtId="0" fontId="35" fillId="0" borderId="24" xfId="0" applyFont="1" applyBorder="1" applyAlignment="1">
      <alignment horizontal="center" vertical="center"/>
    </xf>
    <xf numFmtId="0" fontId="20" fillId="0" borderId="25" xfId="0" applyFont="1" applyBorder="1" applyAlignment="1">
      <alignment vertical="center" wrapText="1"/>
    </xf>
    <xf numFmtId="0" fontId="20" fillId="0" borderId="26" xfId="0" applyFont="1" applyBorder="1" applyAlignment="1">
      <alignment vertical="center" wrapText="1"/>
    </xf>
    <xf numFmtId="0" fontId="20" fillId="0" borderId="27" xfId="0" applyFont="1" applyBorder="1" applyAlignment="1">
      <alignment vertical="center" wrapText="1"/>
    </xf>
    <xf numFmtId="0" fontId="20" fillId="0" borderId="0" xfId="0" applyFont="1" applyAlignment="1">
      <alignment vertical="center" wrapText="1"/>
    </xf>
    <xf numFmtId="0" fontId="20" fillId="0" borderId="28" xfId="0" applyFont="1" applyBorder="1" applyAlignment="1">
      <alignment vertical="center" wrapText="1"/>
    </xf>
    <xf numFmtId="0" fontId="20" fillId="0" borderId="29" xfId="0" applyFont="1" applyBorder="1" applyAlignment="1">
      <alignment vertical="center" wrapText="1"/>
    </xf>
    <xf numFmtId="0" fontId="30" fillId="0" borderId="30" xfId="0" applyFont="1" applyBorder="1" applyAlignment="1">
      <alignment horizontal="center" vertical="center"/>
    </xf>
    <xf numFmtId="0" fontId="30" fillId="0" borderId="26" xfId="0" applyFont="1" applyBorder="1" applyAlignment="1">
      <alignment horizontal="center" vertical="center"/>
    </xf>
    <xf numFmtId="0" fontId="30" fillId="0" borderId="31" xfId="0" applyFont="1" applyBorder="1" applyAlignment="1">
      <alignment horizontal="center" vertical="center"/>
    </xf>
    <xf numFmtId="0" fontId="30" fillId="0" borderId="19" xfId="0" applyFont="1" applyBorder="1" applyAlignment="1">
      <alignment horizontal="center" vertical="center"/>
    </xf>
    <xf numFmtId="0" fontId="30" fillId="0" borderId="0" xfId="0" applyFont="1" applyBorder="1" applyAlignment="1">
      <alignment horizontal="center" vertical="center"/>
    </xf>
    <xf numFmtId="0" fontId="30" fillId="0" borderId="9" xfId="0" applyFont="1" applyBorder="1" applyAlignment="1">
      <alignment horizontal="center" vertical="center"/>
    </xf>
    <xf numFmtId="0" fontId="30" fillId="0" borderId="32" xfId="0" applyFont="1" applyBorder="1" applyAlignment="1">
      <alignment horizontal="center" vertical="center"/>
    </xf>
    <xf numFmtId="0" fontId="30" fillId="0" borderId="29" xfId="0" applyFont="1" applyBorder="1" applyAlignment="1">
      <alignment horizontal="center" vertical="center"/>
    </xf>
    <xf numFmtId="0" fontId="30" fillId="0" borderId="33" xfId="0" applyFont="1" applyBorder="1" applyAlignment="1">
      <alignment horizontal="center" vertical="center"/>
    </xf>
    <xf numFmtId="0" fontId="0" fillId="0" borderId="30" xfId="0" applyBorder="1" applyAlignment="1">
      <alignment vertical="center"/>
    </xf>
    <xf numFmtId="0" fontId="0" fillId="0" borderId="26" xfId="0" applyBorder="1" applyAlignment="1">
      <alignment vertical="center"/>
    </xf>
    <xf numFmtId="0" fontId="0" fillId="0" borderId="34" xfId="0" applyBorder="1" applyAlignment="1">
      <alignment vertical="center"/>
    </xf>
    <xf numFmtId="0" fontId="0" fillId="0" borderId="19" xfId="0" applyBorder="1" applyAlignment="1">
      <alignment vertical="center"/>
    </xf>
    <xf numFmtId="0" fontId="0" fillId="0" borderId="0" xfId="0" applyAlignment="1">
      <alignment vertical="center"/>
    </xf>
    <xf numFmtId="0" fontId="0" fillId="0" borderId="35" xfId="0" applyBorder="1" applyAlignment="1">
      <alignment vertical="center"/>
    </xf>
    <xf numFmtId="0" fontId="0" fillId="0" borderId="32" xfId="0" applyBorder="1" applyAlignment="1">
      <alignment vertical="center"/>
    </xf>
    <xf numFmtId="0" fontId="0" fillId="0" borderId="29" xfId="0" applyBorder="1" applyAlignment="1">
      <alignment vertical="center"/>
    </xf>
    <xf numFmtId="0" fontId="0" fillId="0" borderId="36" xfId="0" applyBorder="1" applyAlignment="1">
      <alignment vertical="center"/>
    </xf>
    <xf numFmtId="0" fontId="0" fillId="0" borderId="24" xfId="0" applyBorder="1" applyAlignment="1">
      <alignment horizontal="center" vertical="center"/>
    </xf>
    <xf numFmtId="14" fontId="35" fillId="0" borderId="24" xfId="0" applyNumberFormat="1" applyFont="1" applyBorder="1" applyAlignment="1">
      <alignment horizontal="center" vertical="center"/>
    </xf>
    <xf numFmtId="49" fontId="8" fillId="0" borderId="0" xfId="16" applyNumberFormat="1" applyFont="1" applyFill="1" applyBorder="1" applyAlignment="1">
      <alignment vertical="top" wrapText="1"/>
    </xf>
    <xf numFmtId="49" fontId="8" fillId="0" borderId="7" xfId="16" applyNumberFormat="1" applyFont="1" applyFill="1" applyBorder="1" applyAlignment="1">
      <alignment vertical="top" wrapText="1"/>
    </xf>
    <xf numFmtId="0" fontId="37" fillId="0" borderId="15" xfId="13" applyFont="1" applyBorder="1" applyAlignment="1">
      <alignment horizontal="center" vertical="center"/>
    </xf>
    <xf numFmtId="0" fontId="37" fillId="0" borderId="16" xfId="13" applyFont="1" applyBorder="1" applyAlignment="1">
      <alignment horizontal="center" vertical="center"/>
    </xf>
    <xf numFmtId="0" fontId="37" fillId="0" borderId="17" xfId="13" applyFont="1" applyBorder="1" applyAlignment="1">
      <alignment horizontal="center" vertical="center"/>
    </xf>
    <xf numFmtId="0" fontId="37" fillId="0" borderId="18" xfId="13" applyFont="1" applyBorder="1" applyAlignment="1">
      <alignment horizontal="center" vertical="center"/>
    </xf>
    <xf numFmtId="0" fontId="37" fillId="0" borderId="10" xfId="13" applyFont="1" applyBorder="1" applyAlignment="1">
      <alignment horizontal="center" vertical="center"/>
    </xf>
    <xf numFmtId="0" fontId="37" fillId="0" borderId="11" xfId="13" applyFont="1" applyBorder="1" applyAlignment="1">
      <alignment horizontal="center" vertical="center"/>
    </xf>
    <xf numFmtId="0" fontId="8" fillId="0" borderId="12" xfId="13" applyFont="1" applyBorder="1" applyAlignment="1">
      <alignment horizontal="center" vertical="center"/>
    </xf>
    <xf numFmtId="0" fontId="8" fillId="0" borderId="13" xfId="13" applyFont="1" applyBorder="1" applyAlignment="1">
      <alignment horizontal="center" vertical="center"/>
    </xf>
    <xf numFmtId="0" fontId="8" fillId="0" borderId="14" xfId="13" applyFont="1" applyBorder="1" applyAlignment="1">
      <alignment horizontal="center" vertical="center"/>
    </xf>
    <xf numFmtId="14" fontId="37" fillId="0" borderId="12" xfId="13" applyNumberFormat="1" applyFont="1" applyBorder="1" applyAlignment="1">
      <alignment horizontal="center" vertical="center"/>
    </xf>
    <xf numFmtId="14" fontId="37" fillId="0" borderId="13" xfId="13" applyNumberFormat="1" applyFont="1" applyBorder="1" applyAlignment="1">
      <alignment horizontal="center" vertical="center"/>
    </xf>
    <xf numFmtId="0" fontId="37" fillId="0" borderId="13" xfId="13" applyFont="1" applyBorder="1" applyAlignment="1">
      <alignment horizontal="center" vertical="center"/>
    </xf>
    <xf numFmtId="0" fontId="37" fillId="0" borderId="14" xfId="13" applyFont="1" applyBorder="1" applyAlignment="1">
      <alignment horizontal="center" vertical="center"/>
    </xf>
    <xf numFmtId="14" fontId="8" fillId="0" borderId="12" xfId="13" applyNumberFormat="1" applyFont="1" applyBorder="1" applyAlignment="1">
      <alignment horizontal="center" vertical="center" wrapText="1"/>
    </xf>
    <xf numFmtId="14" fontId="8" fillId="0" borderId="13" xfId="13" applyNumberFormat="1" applyFont="1" applyBorder="1" applyAlignment="1">
      <alignment horizontal="center" vertical="center" wrapText="1"/>
    </xf>
    <xf numFmtId="0" fontId="8" fillId="0" borderId="13" xfId="13" applyFont="1" applyBorder="1" applyAlignment="1">
      <alignment horizontal="center" vertical="center" wrapText="1"/>
    </xf>
    <xf numFmtId="0" fontId="8" fillId="0" borderId="14" xfId="13" applyFont="1" applyBorder="1" applyAlignment="1">
      <alignment horizontal="center" vertical="center" wrapText="1"/>
    </xf>
    <xf numFmtId="0" fontId="8" fillId="0" borderId="12" xfId="13" applyFont="1" applyBorder="1" applyAlignment="1">
      <alignment horizontal="center" vertical="center" wrapText="1"/>
    </xf>
    <xf numFmtId="0" fontId="8" fillId="0" borderId="15" xfId="13" applyFont="1" applyBorder="1" applyAlignment="1">
      <alignment horizontal="center" vertical="center"/>
    </xf>
    <xf numFmtId="0" fontId="8" fillId="0" borderId="16" xfId="13" applyFont="1" applyBorder="1" applyAlignment="1">
      <alignment horizontal="center" vertical="center"/>
    </xf>
    <xf numFmtId="0" fontId="8" fillId="0" borderId="17" xfId="13" applyFont="1" applyBorder="1" applyAlignment="1">
      <alignment horizontal="center" vertical="center"/>
    </xf>
    <xf numFmtId="0" fontId="8" fillId="0" borderId="18" xfId="13" applyFont="1" applyBorder="1" applyAlignment="1">
      <alignment horizontal="center" vertical="center"/>
    </xf>
    <xf numFmtId="0" fontId="8" fillId="0" borderId="10" xfId="13" applyFont="1" applyBorder="1" applyAlignment="1">
      <alignment horizontal="center" vertical="center"/>
    </xf>
    <xf numFmtId="0" fontId="8" fillId="0" borderId="11" xfId="13" applyFont="1" applyBorder="1" applyAlignment="1">
      <alignment horizontal="center" vertical="center"/>
    </xf>
    <xf numFmtId="0" fontId="31" fillId="0" borderId="0" xfId="14" applyFont="1" applyAlignment="1">
      <alignment horizontal="center"/>
    </xf>
    <xf numFmtId="0" fontId="37" fillId="0" borderId="15" xfId="13" applyFont="1" applyFill="1" applyBorder="1" applyAlignment="1">
      <alignment horizontal="center" vertical="center" wrapText="1"/>
    </xf>
    <xf numFmtId="0" fontId="37" fillId="0" borderId="16" xfId="13" applyFont="1" applyFill="1" applyBorder="1" applyAlignment="1">
      <alignment horizontal="center" vertical="center"/>
    </xf>
    <xf numFmtId="0" fontId="37" fillId="0" borderId="17" xfId="13" applyFont="1" applyFill="1" applyBorder="1" applyAlignment="1">
      <alignment horizontal="center" vertical="center"/>
    </xf>
    <xf numFmtId="0" fontId="37" fillId="0" borderId="19" xfId="13" applyFont="1" applyFill="1" applyBorder="1" applyAlignment="1">
      <alignment horizontal="center" vertical="center"/>
    </xf>
    <xf numFmtId="0" fontId="37" fillId="0" borderId="0" xfId="13" applyFont="1" applyFill="1" applyBorder="1" applyAlignment="1">
      <alignment horizontal="center" vertical="center"/>
    </xf>
    <xf numFmtId="0" fontId="37" fillId="0" borderId="9" xfId="13" applyFont="1" applyFill="1" applyBorder="1" applyAlignment="1">
      <alignment horizontal="center" vertical="center"/>
    </xf>
    <xf numFmtId="0" fontId="37" fillId="0" borderId="18" xfId="13" applyFont="1" applyFill="1" applyBorder="1" applyAlignment="1">
      <alignment horizontal="center" vertical="center"/>
    </xf>
    <xf numFmtId="0" fontId="37" fillId="0" borderId="10" xfId="13" applyFont="1" applyFill="1" applyBorder="1" applyAlignment="1">
      <alignment horizontal="center" vertical="center"/>
    </xf>
    <xf numFmtId="0" fontId="37" fillId="0" borderId="11" xfId="13" applyFont="1" applyFill="1" applyBorder="1" applyAlignment="1">
      <alignment horizontal="center" vertical="center"/>
    </xf>
    <xf numFmtId="0" fontId="8" fillId="0" borderId="15" xfId="13" applyFont="1" applyBorder="1" applyAlignment="1">
      <alignment horizontal="center" vertical="center" textRotation="255"/>
    </xf>
    <xf numFmtId="0" fontId="8" fillId="0" borderId="17" xfId="13" applyFont="1" applyBorder="1" applyAlignment="1">
      <alignment horizontal="center" vertical="center" textRotation="255"/>
    </xf>
    <xf numFmtId="0" fontId="8" fillId="0" borderId="19" xfId="13" applyFont="1" applyBorder="1" applyAlignment="1">
      <alignment horizontal="center" vertical="center" textRotation="255"/>
    </xf>
    <xf numFmtId="0" fontId="8" fillId="0" borderId="9" xfId="13" applyFont="1" applyBorder="1" applyAlignment="1">
      <alignment horizontal="center" vertical="center" textRotation="255"/>
    </xf>
    <xf numFmtId="0" fontId="8" fillId="0" borderId="18" xfId="13" applyFont="1" applyBorder="1" applyAlignment="1">
      <alignment horizontal="center" vertical="center" textRotation="255"/>
    </xf>
    <xf numFmtId="0" fontId="8" fillId="0" borderId="11" xfId="13" applyFont="1" applyBorder="1" applyAlignment="1">
      <alignment horizontal="center" vertical="center" textRotation="255"/>
    </xf>
    <xf numFmtId="176" fontId="8" fillId="0" borderId="12" xfId="13" quotePrefix="1" applyNumberFormat="1" applyFont="1" applyBorder="1" applyAlignment="1">
      <alignment horizontal="center" vertical="center"/>
    </xf>
    <xf numFmtId="176" fontId="8" fillId="0" borderId="13" xfId="13" applyNumberFormat="1" applyFont="1" applyBorder="1" applyAlignment="1">
      <alignment horizontal="center" vertical="center"/>
    </xf>
    <xf numFmtId="176" fontId="8" fillId="0" borderId="14" xfId="13" applyNumberFormat="1" applyFont="1" applyBorder="1" applyAlignment="1">
      <alignment horizontal="center" vertical="center"/>
    </xf>
    <xf numFmtId="49" fontId="8" fillId="0" borderId="37" xfId="1" applyNumberFormat="1" applyFont="1" applyBorder="1" applyAlignment="1">
      <alignment horizontal="center" vertical="top"/>
    </xf>
    <xf numFmtId="49" fontId="8" fillId="0" borderId="38" xfId="1" applyNumberFormat="1" applyFont="1" applyBorder="1" applyAlignment="1">
      <alignment horizontal="center" vertical="top"/>
    </xf>
    <xf numFmtId="49" fontId="8" fillId="0" borderId="37" xfId="1" applyNumberFormat="1" applyFont="1" applyBorder="1" applyAlignment="1">
      <alignment vertical="top"/>
    </xf>
    <xf numFmtId="49" fontId="8" fillId="0" borderId="38" xfId="1" applyNumberFormat="1" applyFont="1" applyBorder="1" applyAlignment="1">
      <alignment vertical="top"/>
    </xf>
    <xf numFmtId="49" fontId="37" fillId="0" borderId="37" xfId="1" applyNumberFormat="1" applyFont="1" applyBorder="1" applyAlignment="1">
      <alignment horizontal="center" vertical="top"/>
    </xf>
    <xf numFmtId="49" fontId="37" fillId="0" borderId="38" xfId="1" applyNumberFormat="1" applyFont="1" applyBorder="1" applyAlignment="1">
      <alignment horizontal="center" vertical="top"/>
    </xf>
    <xf numFmtId="49" fontId="37" fillId="0" borderId="37" xfId="1" applyNumberFormat="1" applyFont="1" applyBorder="1" applyAlignment="1">
      <alignment vertical="top" wrapText="1"/>
    </xf>
    <xf numFmtId="49" fontId="37" fillId="0" borderId="37" xfId="1" applyNumberFormat="1" applyFont="1" applyBorder="1" applyAlignment="1">
      <alignment vertical="top"/>
    </xf>
    <xf numFmtId="49" fontId="37" fillId="0" borderId="38" xfId="1" applyNumberFormat="1" applyFont="1" applyBorder="1" applyAlignment="1">
      <alignment vertical="top"/>
    </xf>
    <xf numFmtId="49" fontId="14" fillId="2" borderId="37" xfId="16" applyNumberFormat="1" applyFont="1" applyFill="1" applyBorder="1" applyAlignment="1">
      <alignment horizontal="center" vertical="center"/>
    </xf>
    <xf numFmtId="49" fontId="14" fillId="2" borderId="38" xfId="16" applyNumberFormat="1" applyFont="1" applyFill="1" applyBorder="1" applyAlignment="1">
      <alignment horizontal="center" vertical="center"/>
    </xf>
    <xf numFmtId="49" fontId="14" fillId="2" borderId="37" xfId="16" applyNumberFormat="1" applyFont="1" applyFill="1" applyBorder="1" applyAlignment="1">
      <alignment horizontal="center" vertical="center" wrapText="1"/>
    </xf>
    <xf numFmtId="176" fontId="37" fillId="0" borderId="12" xfId="13" quotePrefix="1" applyNumberFormat="1" applyFont="1" applyBorder="1" applyAlignment="1">
      <alignment horizontal="center" vertical="center"/>
    </xf>
    <xf numFmtId="176" fontId="37" fillId="0" borderId="13" xfId="13" applyNumberFormat="1" applyFont="1" applyBorder="1" applyAlignment="1">
      <alignment horizontal="center" vertical="center"/>
    </xf>
    <xf numFmtId="176" fontId="37" fillId="0" borderId="14" xfId="13" applyNumberFormat="1" applyFont="1" applyBorder="1" applyAlignment="1">
      <alignment horizontal="center" vertical="center"/>
    </xf>
    <xf numFmtId="0" fontId="14" fillId="3" borderId="12" xfId="13" applyFont="1" applyFill="1" applyBorder="1" applyAlignment="1">
      <alignment horizontal="center" vertical="top"/>
    </xf>
    <xf numFmtId="0" fontId="14" fillId="3" borderId="13" xfId="13" applyFont="1" applyFill="1" applyBorder="1" applyAlignment="1">
      <alignment horizontal="center" vertical="top"/>
    </xf>
    <xf numFmtId="0" fontId="14" fillId="3" borderId="14" xfId="13" applyFont="1" applyFill="1" applyBorder="1" applyAlignment="1">
      <alignment horizontal="center" vertical="top"/>
    </xf>
    <xf numFmtId="0" fontId="8" fillId="0" borderId="12" xfId="0" applyFont="1" applyFill="1" applyBorder="1" applyAlignment="1">
      <alignment horizontal="left" vertical="top" shrinkToFit="1"/>
    </xf>
    <xf numFmtId="0" fontId="8" fillId="0" borderId="13" xfId="0" applyFont="1" applyFill="1" applyBorder="1" applyAlignment="1">
      <alignment horizontal="left" vertical="top" shrinkToFit="1"/>
    </xf>
    <xf numFmtId="0" fontId="8" fillId="0" borderId="14" xfId="0" applyFont="1" applyFill="1" applyBorder="1" applyAlignment="1">
      <alignment horizontal="left" vertical="top" shrinkToFit="1"/>
    </xf>
    <xf numFmtId="0" fontId="8" fillId="0" borderId="12" xfId="0" applyFont="1" applyFill="1" applyBorder="1" applyAlignment="1">
      <alignment vertical="top" shrinkToFit="1"/>
    </xf>
    <xf numFmtId="0" fontId="8" fillId="0" borderId="13" xfId="0" applyFont="1" applyFill="1" applyBorder="1" applyAlignment="1">
      <alignment vertical="top" shrinkToFit="1"/>
    </xf>
    <xf numFmtId="0" fontId="8" fillId="0" borderId="14" xfId="0" applyFont="1" applyFill="1" applyBorder="1" applyAlignment="1">
      <alignment vertical="top" shrinkToFit="1"/>
    </xf>
    <xf numFmtId="0" fontId="14" fillId="3" borderId="15" xfId="13" applyFont="1" applyFill="1" applyBorder="1" applyAlignment="1">
      <alignment horizontal="center" vertical="top"/>
    </xf>
    <xf numFmtId="0" fontId="14" fillId="3" borderId="16" xfId="13" applyFont="1" applyFill="1" applyBorder="1" applyAlignment="1">
      <alignment horizontal="center" vertical="top"/>
    </xf>
    <xf numFmtId="0" fontId="14" fillId="3" borderId="17" xfId="13" applyFont="1" applyFill="1" applyBorder="1" applyAlignment="1">
      <alignment horizontal="center" vertical="top"/>
    </xf>
    <xf numFmtId="0" fontId="8" fillId="0" borderId="15" xfId="0" applyFont="1" applyFill="1" applyBorder="1" applyAlignment="1">
      <alignment horizontal="left" vertical="top" shrinkToFit="1"/>
    </xf>
    <xf numFmtId="0" fontId="8" fillId="0" borderId="16" xfId="0" applyFont="1" applyFill="1" applyBorder="1" applyAlignment="1">
      <alignment horizontal="left" vertical="top" shrinkToFit="1"/>
    </xf>
    <xf numFmtId="0" fontId="8" fillId="0" borderId="17" xfId="0" applyFont="1" applyFill="1" applyBorder="1" applyAlignment="1">
      <alignment horizontal="left" vertical="top" shrinkToFit="1"/>
    </xf>
    <xf numFmtId="0" fontId="8" fillId="0" borderId="12" xfId="0" applyFont="1" applyFill="1" applyBorder="1" applyAlignment="1">
      <alignment horizontal="left" vertical="top" wrapText="1"/>
    </xf>
    <xf numFmtId="0" fontId="8" fillId="0" borderId="13" xfId="0" applyFont="1" applyFill="1" applyBorder="1" applyAlignment="1">
      <alignment horizontal="left" vertical="top" wrapText="1"/>
    </xf>
    <xf numFmtId="0" fontId="8" fillId="0" borderId="14" xfId="0" applyFont="1" applyFill="1" applyBorder="1" applyAlignment="1">
      <alignment horizontal="left" vertical="top" wrapText="1"/>
    </xf>
    <xf numFmtId="0" fontId="8" fillId="0" borderId="15" xfId="0" applyFont="1" applyFill="1" applyBorder="1" applyAlignment="1">
      <alignment horizontal="left" vertical="top"/>
    </xf>
    <xf numFmtId="0" fontId="8" fillId="0" borderId="16" xfId="0" applyFont="1" applyFill="1" applyBorder="1" applyAlignment="1">
      <alignment horizontal="left" vertical="top"/>
    </xf>
    <xf numFmtId="0" fontId="8" fillId="0" borderId="17" xfId="0" applyFont="1" applyFill="1" applyBorder="1" applyAlignment="1">
      <alignment horizontal="left" vertical="top"/>
    </xf>
    <xf numFmtId="0" fontId="8" fillId="0" borderId="19" xfId="0" applyFont="1" applyFill="1" applyBorder="1" applyAlignment="1">
      <alignment horizontal="left" vertical="top"/>
    </xf>
    <xf numFmtId="0" fontId="8" fillId="0" borderId="0" xfId="0" applyFont="1" applyFill="1" applyBorder="1" applyAlignment="1">
      <alignment horizontal="left" vertical="top"/>
    </xf>
    <xf numFmtId="0" fontId="8" fillId="0" borderId="9" xfId="0" applyFont="1" applyFill="1" applyBorder="1" applyAlignment="1">
      <alignment horizontal="left" vertical="top"/>
    </xf>
    <xf numFmtId="0" fontId="8" fillId="0" borderId="18" xfId="0" applyFont="1" applyFill="1" applyBorder="1" applyAlignment="1">
      <alignment horizontal="left" vertical="top"/>
    </xf>
    <xf numFmtId="0" fontId="8" fillId="0" borderId="10" xfId="0" applyFont="1" applyFill="1" applyBorder="1" applyAlignment="1">
      <alignment horizontal="left" vertical="top"/>
    </xf>
    <xf numFmtId="0" fontId="8" fillId="0" borderId="11" xfId="0" applyFont="1" applyFill="1" applyBorder="1" applyAlignment="1">
      <alignment horizontal="left" vertical="top"/>
    </xf>
    <xf numFmtId="0" fontId="8" fillId="0" borderId="15" xfId="0" applyFont="1" applyFill="1" applyBorder="1" applyAlignment="1">
      <alignment horizontal="left" vertical="top" wrapText="1"/>
    </xf>
    <xf numFmtId="0" fontId="8" fillId="0" borderId="16" xfId="0" applyFont="1" applyFill="1" applyBorder="1" applyAlignment="1">
      <alignment horizontal="left" vertical="top" wrapText="1"/>
    </xf>
    <xf numFmtId="0" fontId="8" fillId="0" borderId="17" xfId="0" applyFont="1" applyFill="1" applyBorder="1" applyAlignment="1">
      <alignment horizontal="left" vertical="top" wrapText="1"/>
    </xf>
    <xf numFmtId="0" fontId="8" fillId="0" borderId="19"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9" xfId="0" applyFont="1" applyFill="1" applyBorder="1" applyAlignment="1">
      <alignment horizontal="left" vertical="top" wrapText="1"/>
    </xf>
    <xf numFmtId="0" fontId="8" fillId="0" borderId="18" xfId="0" applyFont="1" applyFill="1" applyBorder="1" applyAlignment="1">
      <alignment horizontal="left" vertical="top" wrapText="1"/>
    </xf>
    <xf numFmtId="0" fontId="8" fillId="0" borderId="10" xfId="0" applyFont="1" applyFill="1" applyBorder="1" applyAlignment="1">
      <alignment horizontal="left" vertical="top" wrapText="1"/>
    </xf>
    <xf numFmtId="0" fontId="8" fillId="0" borderId="11" xfId="0" applyFont="1" applyFill="1" applyBorder="1" applyAlignment="1">
      <alignment horizontal="left" vertical="top" wrapText="1"/>
    </xf>
    <xf numFmtId="0" fontId="14" fillId="3" borderId="19" xfId="13" applyFont="1" applyFill="1" applyBorder="1" applyAlignment="1">
      <alignment horizontal="center" vertical="top"/>
    </xf>
    <xf numFmtId="0" fontId="14" fillId="3" borderId="0" xfId="13" applyFont="1" applyFill="1" applyBorder="1" applyAlignment="1">
      <alignment horizontal="center" vertical="top"/>
    </xf>
    <xf numFmtId="0" fontId="14" fillId="3" borderId="9" xfId="13" applyFont="1" applyFill="1" applyBorder="1" applyAlignment="1">
      <alignment horizontal="center" vertical="top"/>
    </xf>
    <xf numFmtId="0" fontId="14" fillId="3" borderId="18" xfId="13" applyFont="1" applyFill="1" applyBorder="1" applyAlignment="1">
      <alignment horizontal="center" vertical="top"/>
    </xf>
    <xf numFmtId="0" fontId="14" fillId="3" borderId="10" xfId="13" applyFont="1" applyFill="1" applyBorder="1" applyAlignment="1">
      <alignment horizontal="center" vertical="top"/>
    </xf>
    <xf numFmtId="0" fontId="14" fillId="3" borderId="11" xfId="13" applyFont="1" applyFill="1" applyBorder="1" applyAlignment="1">
      <alignment horizontal="center" vertical="top"/>
    </xf>
    <xf numFmtId="0" fontId="8" fillId="0" borderId="10" xfId="13" applyFont="1" applyBorder="1" applyAlignment="1">
      <alignment horizontal="center"/>
    </xf>
    <xf numFmtId="0" fontId="14" fillId="3" borderId="12" xfId="0" applyFont="1" applyFill="1" applyBorder="1" applyAlignment="1">
      <alignment horizontal="center" vertical="center"/>
    </xf>
    <xf numFmtId="0" fontId="14" fillId="3" borderId="13" xfId="0" applyFont="1" applyFill="1" applyBorder="1" applyAlignment="1">
      <alignment horizontal="center" vertical="center"/>
    </xf>
    <xf numFmtId="0" fontId="14" fillId="3" borderId="14" xfId="0" applyFont="1" applyFill="1" applyBorder="1" applyAlignment="1">
      <alignment horizontal="center" vertical="center"/>
    </xf>
    <xf numFmtId="0" fontId="14" fillId="3" borderId="12" xfId="0" applyFont="1" applyFill="1" applyBorder="1" applyAlignment="1">
      <alignment horizontal="center" vertical="top" wrapText="1"/>
    </xf>
    <xf numFmtId="0" fontId="14" fillId="3" borderId="13" xfId="0" applyFont="1" applyFill="1" applyBorder="1" applyAlignment="1">
      <alignment horizontal="center" vertical="top" wrapText="1"/>
    </xf>
    <xf numFmtId="0" fontId="14" fillId="3" borderId="14" xfId="0" applyFont="1" applyFill="1" applyBorder="1" applyAlignment="1">
      <alignment horizontal="center" vertical="top" wrapText="1"/>
    </xf>
    <xf numFmtId="180" fontId="40" fillId="4" borderId="12" xfId="0" applyNumberFormat="1" applyFont="1" applyFill="1" applyBorder="1">
      <alignment vertical="center"/>
    </xf>
    <xf numFmtId="180" fontId="40" fillId="4" borderId="13" xfId="0" applyNumberFormat="1" applyFont="1" applyFill="1" applyBorder="1">
      <alignment vertical="center"/>
    </xf>
    <xf numFmtId="180" fontId="40" fillId="4" borderId="14" xfId="0" applyNumberFormat="1" applyFont="1" applyFill="1" applyBorder="1">
      <alignment vertical="center"/>
    </xf>
    <xf numFmtId="0" fontId="0" fillId="0" borderId="18" xfId="0" applyBorder="1" applyAlignment="1">
      <alignment horizontal="center" vertical="top"/>
    </xf>
    <xf numFmtId="0" fontId="0" fillId="0" borderId="10" xfId="0" applyBorder="1" applyAlignment="1">
      <alignment horizontal="center" vertical="top"/>
    </xf>
    <xf numFmtId="0" fontId="0" fillId="0" borderId="11" xfId="0" applyBorder="1" applyAlignment="1">
      <alignment horizontal="center" vertical="top"/>
    </xf>
    <xf numFmtId="0" fontId="2" fillId="0" borderId="18"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18"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39" fillId="3" borderId="15" xfId="13" applyFont="1" applyFill="1" applyBorder="1" applyAlignment="1">
      <alignment horizontal="center" vertical="top"/>
    </xf>
    <xf numFmtId="0" fontId="39" fillId="3" borderId="16" xfId="13" applyFont="1" applyFill="1" applyBorder="1" applyAlignment="1">
      <alignment horizontal="center" vertical="top"/>
    </xf>
    <xf numFmtId="0" fontId="39" fillId="3" borderId="17" xfId="13" applyFont="1" applyFill="1" applyBorder="1" applyAlignment="1">
      <alignment horizontal="center" vertical="top"/>
    </xf>
    <xf numFmtId="0" fontId="39" fillId="3" borderId="19" xfId="13" applyFont="1" applyFill="1" applyBorder="1" applyAlignment="1">
      <alignment horizontal="center" vertical="top"/>
    </xf>
    <xf numFmtId="0" fontId="39" fillId="3" borderId="0" xfId="13" applyFont="1" applyFill="1" applyBorder="1" applyAlignment="1">
      <alignment horizontal="center" vertical="top"/>
    </xf>
    <xf numFmtId="0" fontId="39" fillId="3" borderId="9" xfId="13" applyFont="1" applyFill="1" applyBorder="1" applyAlignment="1">
      <alignment horizontal="center" vertical="top"/>
    </xf>
    <xf numFmtId="0" fontId="34" fillId="0" borderId="18" xfId="0" applyFont="1" applyBorder="1" applyAlignment="1">
      <alignment horizontal="center" vertical="top"/>
    </xf>
    <xf numFmtId="0" fontId="34" fillId="0" borderId="10" xfId="0" applyFont="1" applyBorder="1" applyAlignment="1">
      <alignment horizontal="center" vertical="top"/>
    </xf>
    <xf numFmtId="0" fontId="34" fillId="0" borderId="11" xfId="0" applyFont="1" applyBorder="1" applyAlignment="1">
      <alignment horizontal="center" vertical="top"/>
    </xf>
    <xf numFmtId="0" fontId="14" fillId="3" borderId="12" xfId="0" applyFont="1" applyFill="1" applyBorder="1" applyAlignment="1">
      <alignment horizontal="center" vertical="top"/>
    </xf>
    <xf numFmtId="0" fontId="14" fillId="3" borderId="13" xfId="0" applyFont="1" applyFill="1" applyBorder="1" applyAlignment="1">
      <alignment horizontal="center" vertical="top"/>
    </xf>
    <xf numFmtId="0" fontId="14" fillId="3" borderId="14" xfId="0" applyFont="1" applyFill="1" applyBorder="1" applyAlignment="1">
      <alignment horizontal="center" vertical="top"/>
    </xf>
    <xf numFmtId="0" fontId="0" fillId="0" borderId="19" xfId="0" applyBorder="1" applyAlignment="1">
      <alignment horizontal="center" vertical="top"/>
    </xf>
    <xf numFmtId="0" fontId="0" fillId="0" borderId="0" xfId="0" applyBorder="1" applyAlignment="1">
      <alignment horizontal="center" vertical="top"/>
    </xf>
    <xf numFmtId="0" fontId="0" fillId="0" borderId="9" xfId="0" applyBorder="1" applyAlignment="1">
      <alignment horizontal="center" vertical="top"/>
    </xf>
    <xf numFmtId="0" fontId="8" fillId="0" borderId="15" xfId="13" applyFont="1" applyBorder="1" applyAlignment="1">
      <alignment vertical="top"/>
    </xf>
    <xf numFmtId="0" fontId="8" fillId="0" borderId="16" xfId="13" applyFont="1" applyBorder="1" applyAlignment="1">
      <alignment vertical="top"/>
    </xf>
    <xf numFmtId="0" fontId="8" fillId="0" borderId="17" xfId="13" applyFont="1" applyBorder="1" applyAlignment="1">
      <alignment vertical="top"/>
    </xf>
    <xf numFmtId="0" fontId="38" fillId="0" borderId="19" xfId="0" applyFont="1" applyBorder="1" applyAlignment="1">
      <alignment vertical="top"/>
    </xf>
    <xf numFmtId="0" fontId="38" fillId="0" borderId="0" xfId="0" applyFont="1" applyBorder="1" applyAlignment="1">
      <alignment vertical="top"/>
    </xf>
    <xf numFmtId="0" fontId="38" fillId="0" borderId="9" xfId="0" applyFont="1" applyBorder="1" applyAlignment="1">
      <alignment vertical="top"/>
    </xf>
    <xf numFmtId="0" fontId="38" fillId="0" borderId="18" xfId="0" applyFont="1" applyBorder="1" applyAlignment="1">
      <alignment vertical="top"/>
    </xf>
    <xf numFmtId="0" fontId="38" fillId="0" borderId="10" xfId="0" applyFont="1" applyBorder="1" applyAlignment="1">
      <alignment vertical="top"/>
    </xf>
    <xf numFmtId="0" fontId="38" fillId="0" borderId="11" xfId="0" applyFont="1" applyBorder="1" applyAlignment="1">
      <alignment vertical="top"/>
    </xf>
    <xf numFmtId="0" fontId="8" fillId="0" borderId="15" xfId="13" applyFont="1" applyBorder="1" applyAlignment="1">
      <alignment horizontal="left" vertical="top" wrapText="1"/>
    </xf>
    <xf numFmtId="0" fontId="8" fillId="0" borderId="16" xfId="13" applyFont="1" applyBorder="1" applyAlignment="1">
      <alignment horizontal="left" vertical="top"/>
    </xf>
    <xf numFmtId="0" fontId="8" fillId="0" borderId="17" xfId="13" applyFont="1" applyBorder="1" applyAlignment="1">
      <alignment horizontal="left" vertical="top"/>
    </xf>
    <xf numFmtId="0" fontId="38" fillId="0" borderId="19" xfId="0" applyFont="1" applyBorder="1" applyAlignment="1">
      <alignment horizontal="left" vertical="top"/>
    </xf>
    <xf numFmtId="0" fontId="38" fillId="0" borderId="0" xfId="0" applyFont="1" applyBorder="1" applyAlignment="1">
      <alignment horizontal="left" vertical="top"/>
    </xf>
    <xf numFmtId="0" fontId="38" fillId="0" borderId="9" xfId="0" applyFont="1" applyBorder="1" applyAlignment="1">
      <alignment horizontal="left" vertical="top"/>
    </xf>
    <xf numFmtId="0" fontId="38" fillId="0" borderId="18" xfId="0" applyFont="1" applyBorder="1" applyAlignment="1">
      <alignment horizontal="left" vertical="top"/>
    </xf>
    <xf numFmtId="0" fontId="38" fillId="0" borderId="10" xfId="0" applyFont="1" applyBorder="1" applyAlignment="1">
      <alignment horizontal="left" vertical="top"/>
    </xf>
    <xf numFmtId="0" fontId="38" fillId="0" borderId="11" xfId="0" applyFont="1" applyBorder="1" applyAlignment="1">
      <alignment horizontal="left" vertical="top"/>
    </xf>
    <xf numFmtId="0" fontId="14" fillId="3" borderId="15" xfId="0" applyFont="1" applyFill="1" applyBorder="1" applyAlignment="1">
      <alignment horizontal="center" vertical="center" wrapText="1"/>
    </xf>
    <xf numFmtId="0" fontId="14" fillId="3" borderId="16" xfId="0" applyFont="1" applyFill="1" applyBorder="1" applyAlignment="1">
      <alignment horizontal="center" vertical="center"/>
    </xf>
    <xf numFmtId="0" fontId="14" fillId="3" borderId="17" xfId="0" applyFont="1" applyFill="1" applyBorder="1" applyAlignment="1">
      <alignment horizontal="center" vertical="center"/>
    </xf>
    <xf numFmtId="0" fontId="14" fillId="3" borderId="19" xfId="0" applyFont="1" applyFill="1" applyBorder="1" applyAlignment="1">
      <alignment horizontal="center" vertical="center" wrapText="1"/>
    </xf>
    <xf numFmtId="0" fontId="14" fillId="3" borderId="0"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19" xfId="0" applyFont="1" applyFill="1" applyBorder="1" applyAlignment="1">
      <alignment horizontal="center" vertical="center"/>
    </xf>
    <xf numFmtId="0" fontId="14" fillId="3" borderId="15" xfId="0" applyFont="1" applyFill="1" applyBorder="1" applyAlignment="1">
      <alignment horizontal="center" vertical="top"/>
    </xf>
    <xf numFmtId="0" fontId="14" fillId="3" borderId="16" xfId="0" applyFont="1" applyFill="1" applyBorder="1" applyAlignment="1">
      <alignment horizontal="center" vertical="top"/>
    </xf>
    <xf numFmtId="0" fontId="14" fillId="3" borderId="17" xfId="0" applyFont="1" applyFill="1" applyBorder="1" applyAlignment="1">
      <alignment horizontal="center" vertical="top"/>
    </xf>
    <xf numFmtId="0" fontId="14" fillId="3" borderId="19" xfId="0" applyFont="1" applyFill="1" applyBorder="1" applyAlignment="1">
      <alignment horizontal="center" vertical="top"/>
    </xf>
    <xf numFmtId="0" fontId="14" fillId="3" borderId="0" xfId="0" applyFont="1" applyFill="1" applyBorder="1" applyAlignment="1">
      <alignment horizontal="center" vertical="top"/>
    </xf>
    <xf numFmtId="0" fontId="14" fillId="3" borderId="9" xfId="0" applyFont="1" applyFill="1" applyBorder="1" applyAlignment="1">
      <alignment horizontal="center" vertical="top"/>
    </xf>
    <xf numFmtId="0" fontId="8" fillId="0" borderId="12" xfId="0" applyFont="1" applyFill="1" applyBorder="1" applyAlignment="1">
      <alignment horizontal="left" vertical="top"/>
    </xf>
    <xf numFmtId="0" fontId="8" fillId="0" borderId="13" xfId="0" applyFont="1" applyFill="1" applyBorder="1" applyAlignment="1">
      <alignment horizontal="left" vertical="top"/>
    </xf>
    <xf numFmtId="0" fontId="8" fillId="0" borderId="14" xfId="0" applyFont="1" applyFill="1" applyBorder="1" applyAlignment="1">
      <alignment horizontal="left" vertical="top"/>
    </xf>
    <xf numFmtId="49" fontId="8" fillId="0" borderId="12" xfId="1" applyNumberFormat="1" applyFont="1" applyFill="1" applyBorder="1" applyAlignment="1">
      <alignment horizontal="center" vertical="top"/>
    </xf>
    <xf numFmtId="49" fontId="8" fillId="0" borderId="14" xfId="1" applyNumberFormat="1" applyFont="1" applyFill="1" applyBorder="1" applyAlignment="1">
      <alignment horizontal="center" vertical="top"/>
    </xf>
    <xf numFmtId="0" fontId="8" fillId="6" borderId="15" xfId="0" applyFont="1" applyFill="1" applyBorder="1" applyAlignment="1">
      <alignment vertical="top" wrapText="1"/>
    </xf>
    <xf numFmtId="0" fontId="8" fillId="6" borderId="16" xfId="0" applyFont="1" applyFill="1" applyBorder="1" applyAlignment="1">
      <alignment vertical="top" wrapText="1"/>
    </xf>
    <xf numFmtId="0" fontId="8" fillId="6" borderId="17" xfId="0" applyFont="1" applyFill="1" applyBorder="1" applyAlignment="1">
      <alignment vertical="top" wrapText="1"/>
    </xf>
    <xf numFmtId="0" fontId="8" fillId="6" borderId="18" xfId="0" applyFont="1" applyFill="1" applyBorder="1" applyAlignment="1">
      <alignment vertical="top" wrapText="1"/>
    </xf>
    <xf numFmtId="0" fontId="8" fillId="6" borderId="10" xfId="0" applyFont="1" applyFill="1" applyBorder="1" applyAlignment="1">
      <alignment vertical="top" wrapText="1"/>
    </xf>
    <xf numFmtId="0" fontId="8" fillId="6" borderId="11" xfId="0" applyFont="1" applyFill="1" applyBorder="1" applyAlignment="1">
      <alignment vertical="top" wrapText="1"/>
    </xf>
    <xf numFmtId="49" fontId="8" fillId="0" borderId="15" xfId="1" applyNumberFormat="1" applyFont="1" applyFill="1" applyBorder="1" applyAlignment="1">
      <alignment horizontal="center" vertical="top"/>
    </xf>
    <xf numFmtId="49" fontId="8" fillId="0" borderId="17" xfId="1" applyNumberFormat="1" applyFont="1" applyFill="1" applyBorder="1" applyAlignment="1">
      <alignment horizontal="center" vertical="top"/>
    </xf>
    <xf numFmtId="49" fontId="8" fillId="0" borderId="12" xfId="1" applyNumberFormat="1" applyFont="1" applyFill="1" applyBorder="1" applyAlignment="1">
      <alignment horizontal="left" vertical="top"/>
    </xf>
    <xf numFmtId="49" fontId="8" fillId="0" borderId="13" xfId="1" applyNumberFormat="1" applyFont="1" applyFill="1" applyBorder="1" applyAlignment="1">
      <alignment horizontal="left" vertical="top"/>
    </xf>
    <xf numFmtId="49" fontId="8" fillId="0" borderId="14" xfId="1" applyNumberFormat="1" applyFont="1" applyFill="1" applyBorder="1" applyAlignment="1">
      <alignment horizontal="left" vertical="top"/>
    </xf>
    <xf numFmtId="49" fontId="8" fillId="0" borderId="15" xfId="1" applyNumberFormat="1" applyFont="1" applyFill="1" applyBorder="1" applyAlignment="1">
      <alignment vertical="top" wrapText="1"/>
    </xf>
    <xf numFmtId="49" fontId="8" fillId="0" borderId="16" xfId="1" applyNumberFormat="1" applyFont="1" applyFill="1" applyBorder="1" applyAlignment="1">
      <alignment vertical="top" wrapText="1"/>
    </xf>
    <xf numFmtId="49" fontId="8" fillId="0" borderId="17" xfId="1" applyNumberFormat="1" applyFont="1" applyFill="1" applyBorder="1" applyAlignment="1">
      <alignment vertical="top" wrapText="1"/>
    </xf>
    <xf numFmtId="49" fontId="8" fillId="0" borderId="19" xfId="1" applyNumberFormat="1" applyFont="1" applyFill="1" applyBorder="1" applyAlignment="1">
      <alignment vertical="top" wrapText="1"/>
    </xf>
    <xf numFmtId="49" fontId="8" fillId="0" borderId="0" xfId="1" applyNumberFormat="1" applyFont="1" applyFill="1" applyBorder="1" applyAlignment="1">
      <alignment vertical="top" wrapText="1"/>
    </xf>
    <xf numFmtId="49" fontId="8" fillId="0" borderId="9" xfId="1" applyNumberFormat="1" applyFont="1" applyFill="1" applyBorder="1" applyAlignment="1">
      <alignment vertical="top" wrapText="1"/>
    </xf>
    <xf numFmtId="49" fontId="8" fillId="0" borderId="0" xfId="1" applyNumberFormat="1" applyFont="1" applyFill="1" applyBorder="1" applyAlignment="1">
      <alignment vertical="top"/>
    </xf>
    <xf numFmtId="49" fontId="8" fillId="0" borderId="9" xfId="1" applyNumberFormat="1" applyFont="1" applyFill="1" applyBorder="1" applyAlignment="1">
      <alignment vertical="top"/>
    </xf>
    <xf numFmtId="49" fontId="8" fillId="0" borderId="19" xfId="1" applyNumberFormat="1" applyFont="1" applyFill="1" applyBorder="1" applyAlignment="1">
      <alignment vertical="top"/>
    </xf>
    <xf numFmtId="49" fontId="8" fillId="0" borderId="15" xfId="1" applyNumberFormat="1" applyFont="1" applyFill="1" applyBorder="1" applyAlignment="1">
      <alignment vertical="top" shrinkToFit="1"/>
    </xf>
    <xf numFmtId="49" fontId="8" fillId="0" borderId="16" xfId="1" applyNumberFormat="1" applyFont="1" applyFill="1" applyBorder="1" applyAlignment="1">
      <alignment vertical="top" shrinkToFit="1"/>
    </xf>
    <xf numFmtId="49" fontId="8" fillId="0" borderId="17" xfId="1" applyNumberFormat="1" applyFont="1" applyFill="1" applyBorder="1" applyAlignment="1">
      <alignment vertical="top" shrinkToFit="1"/>
    </xf>
    <xf numFmtId="49" fontId="8" fillId="0" borderId="19" xfId="1" applyNumberFormat="1" applyFont="1" applyFill="1" applyBorder="1" applyAlignment="1">
      <alignment vertical="top" shrinkToFit="1"/>
    </xf>
    <xf numFmtId="49" fontId="8" fillId="0" borderId="0" xfId="1" applyNumberFormat="1" applyFont="1" applyFill="1" applyBorder="1" applyAlignment="1">
      <alignment vertical="top" shrinkToFit="1"/>
    </xf>
    <xf numFmtId="49" fontId="8" fillId="0" borderId="9" xfId="1" applyNumberFormat="1" applyFont="1" applyFill="1" applyBorder="1" applyAlignment="1">
      <alignment vertical="top" shrinkToFit="1"/>
    </xf>
    <xf numFmtId="49" fontId="8" fillId="0" borderId="18" xfId="1" applyNumberFormat="1" applyFont="1" applyFill="1" applyBorder="1" applyAlignment="1">
      <alignment vertical="top" shrinkToFit="1"/>
    </xf>
    <xf numFmtId="49" fontId="8" fillId="0" borderId="10" xfId="1" applyNumberFormat="1" applyFont="1" applyFill="1" applyBorder="1" applyAlignment="1">
      <alignment vertical="top" shrinkToFit="1"/>
    </xf>
    <xf numFmtId="49" fontId="8" fillId="0" borderId="11" xfId="1" applyNumberFormat="1" applyFont="1" applyFill="1" applyBorder="1" applyAlignment="1">
      <alignment vertical="top" shrinkToFit="1"/>
    </xf>
    <xf numFmtId="0" fontId="39" fillId="7" borderId="12" xfId="0" applyFont="1" applyFill="1" applyBorder="1" applyAlignment="1">
      <alignment horizontal="center" vertical="center"/>
    </xf>
    <xf numFmtId="0" fontId="39" fillId="7" borderId="13" xfId="0" applyFont="1" applyFill="1" applyBorder="1" applyAlignment="1">
      <alignment horizontal="center" vertical="center"/>
    </xf>
    <xf numFmtId="0" fontId="39" fillId="7" borderId="14" xfId="0" applyFont="1" applyFill="1" applyBorder="1" applyAlignment="1">
      <alignment horizontal="center" vertical="center"/>
    </xf>
    <xf numFmtId="179" fontId="39" fillId="7" borderId="19" xfId="0" applyNumberFormat="1" applyFont="1" applyFill="1" applyBorder="1" applyAlignment="1">
      <alignment horizontal="center" vertical="center"/>
    </xf>
    <xf numFmtId="179" fontId="39" fillId="7" borderId="0" xfId="0" applyNumberFormat="1" applyFont="1" applyFill="1" applyBorder="1" applyAlignment="1">
      <alignment horizontal="center" vertical="center"/>
    </xf>
    <xf numFmtId="49" fontId="8" fillId="0" borderId="15" xfId="1" applyNumberFormat="1" applyFont="1" applyBorder="1" applyAlignment="1">
      <alignment vertical="top" wrapText="1"/>
    </xf>
    <xf numFmtId="49" fontId="8" fillId="0" borderId="16" xfId="1" applyNumberFormat="1" applyFont="1" applyBorder="1" applyAlignment="1">
      <alignment vertical="top"/>
    </xf>
    <xf numFmtId="49" fontId="8" fillId="0" borderId="17" xfId="1" applyNumberFormat="1" applyFont="1" applyBorder="1" applyAlignment="1">
      <alignment vertical="top"/>
    </xf>
    <xf numFmtId="49" fontId="8" fillId="0" borderId="19" xfId="1" applyNumberFormat="1" applyFont="1" applyBorder="1" applyAlignment="1">
      <alignment vertical="top"/>
    </xf>
    <xf numFmtId="49" fontId="8" fillId="0" borderId="0" xfId="1" applyNumberFormat="1" applyFont="1" applyBorder="1" applyAlignment="1">
      <alignment vertical="top"/>
    </xf>
    <xf numFmtId="49" fontId="8" fillId="0" borderId="9" xfId="1" applyNumberFormat="1" applyFont="1" applyBorder="1" applyAlignment="1">
      <alignment vertical="top"/>
    </xf>
    <xf numFmtId="49" fontId="8" fillId="0" borderId="18" xfId="1" applyNumberFormat="1" applyFont="1" applyBorder="1" applyAlignment="1">
      <alignment vertical="top"/>
    </xf>
    <xf numFmtId="49" fontId="8" fillId="0" borderId="10" xfId="1" applyNumberFormat="1" applyFont="1" applyBorder="1" applyAlignment="1">
      <alignment vertical="top"/>
    </xf>
    <xf numFmtId="49" fontId="8" fillId="0" borderId="11" xfId="1" applyNumberFormat="1" applyFont="1" applyBorder="1" applyAlignment="1">
      <alignment vertical="top"/>
    </xf>
    <xf numFmtId="0" fontId="8" fillId="0" borderId="15" xfId="0" applyFont="1" applyBorder="1" applyAlignment="1">
      <alignment vertical="top" wrapText="1"/>
    </xf>
    <xf numFmtId="0" fontId="8" fillId="0" borderId="16" xfId="0" applyFont="1" applyBorder="1" applyAlignment="1">
      <alignment vertical="top" wrapText="1"/>
    </xf>
    <xf numFmtId="0" fontId="8" fillId="0" borderId="17" xfId="0" applyFont="1" applyBorder="1" applyAlignment="1">
      <alignment vertical="top" wrapText="1"/>
    </xf>
    <xf numFmtId="0" fontId="8" fillId="0" borderId="19" xfId="0" applyFont="1" applyBorder="1" applyAlignment="1">
      <alignment vertical="top" wrapText="1"/>
    </xf>
    <xf numFmtId="0" fontId="8" fillId="0" borderId="0" xfId="0" applyFont="1" applyBorder="1" applyAlignment="1">
      <alignment vertical="top" wrapText="1"/>
    </xf>
    <xf numFmtId="0" fontId="8" fillId="0" borderId="9" xfId="0" applyFont="1" applyBorder="1" applyAlignment="1">
      <alignment vertical="top" wrapText="1"/>
    </xf>
    <xf numFmtId="0" fontId="8" fillId="0" borderId="18"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49" fontId="8" fillId="0" borderId="16" xfId="1" applyNumberFormat="1" applyFont="1" applyFill="1" applyBorder="1" applyAlignment="1">
      <alignment vertical="top"/>
    </xf>
    <xf numFmtId="49" fontId="8" fillId="0" borderId="17" xfId="1" applyNumberFormat="1" applyFont="1" applyFill="1" applyBorder="1" applyAlignment="1">
      <alignment vertical="top"/>
    </xf>
    <xf numFmtId="49" fontId="8" fillId="0" borderId="18" xfId="1" applyNumberFormat="1" applyFont="1" applyFill="1" applyBorder="1" applyAlignment="1">
      <alignment vertical="top"/>
    </xf>
    <xf numFmtId="49" fontId="8" fillId="0" borderId="10" xfId="1" applyNumberFormat="1" applyFont="1" applyFill="1" applyBorder="1" applyAlignment="1">
      <alignment vertical="top"/>
    </xf>
    <xf numFmtId="49" fontId="8" fillId="0" borderId="11" xfId="1" applyNumberFormat="1" applyFont="1" applyFill="1" applyBorder="1" applyAlignment="1">
      <alignment vertical="top"/>
    </xf>
    <xf numFmtId="0" fontId="8" fillId="0" borderId="12" xfId="13" applyFont="1" applyFill="1" applyBorder="1" applyAlignment="1">
      <alignment horizontal="center" vertical="top" shrinkToFit="1"/>
    </xf>
    <xf numFmtId="0" fontId="8" fillId="0" borderId="13" xfId="13" applyFont="1" applyFill="1" applyBorder="1" applyAlignment="1">
      <alignment horizontal="center" vertical="top" shrinkToFit="1"/>
    </xf>
    <xf numFmtId="0" fontId="8" fillId="0" borderId="14" xfId="13" applyFont="1" applyFill="1" applyBorder="1" applyAlignment="1">
      <alignment horizontal="center" vertical="top" shrinkToFit="1"/>
    </xf>
    <xf numFmtId="0" fontId="8" fillId="0" borderId="12" xfId="13" applyFont="1" applyFill="1" applyBorder="1" applyAlignment="1">
      <alignment horizontal="left" vertical="top"/>
    </xf>
    <xf numFmtId="0" fontId="8" fillId="0" borderId="13" xfId="13" applyFont="1" applyFill="1" applyBorder="1" applyAlignment="1">
      <alignment horizontal="left" vertical="top"/>
    </xf>
    <xf numFmtId="0" fontId="8" fillId="0" borderId="14" xfId="13" applyFont="1" applyFill="1" applyBorder="1" applyAlignment="1">
      <alignment horizontal="left" vertical="top"/>
    </xf>
    <xf numFmtId="0" fontId="37" fillId="0" borderId="12" xfId="13" applyFont="1" applyFill="1" applyBorder="1" applyAlignment="1">
      <alignment horizontal="center" vertical="top"/>
    </xf>
    <xf numFmtId="0" fontId="37" fillId="0" borderId="13" xfId="13" applyFont="1" applyFill="1" applyBorder="1" applyAlignment="1">
      <alignment horizontal="center" vertical="top"/>
    </xf>
    <xf numFmtId="0" fontId="37" fillId="0" borderId="14" xfId="13" applyFont="1" applyFill="1" applyBorder="1" applyAlignment="1">
      <alignment horizontal="center" vertical="top"/>
    </xf>
    <xf numFmtId="0" fontId="24" fillId="2" borderId="24" xfId="13" applyFont="1" applyFill="1" applyBorder="1" applyAlignment="1">
      <alignment horizontal="center" vertical="top"/>
    </xf>
    <xf numFmtId="0" fontId="37" fillId="0" borderId="12" xfId="13" applyFont="1" applyFill="1" applyBorder="1" applyAlignment="1">
      <alignment horizontal="left" vertical="top" wrapText="1"/>
    </xf>
    <xf numFmtId="0" fontId="37" fillId="0" borderId="13" xfId="13" applyFont="1" applyFill="1" applyBorder="1" applyAlignment="1">
      <alignment horizontal="left" vertical="top" wrapText="1"/>
    </xf>
    <xf numFmtId="0" fontId="37" fillId="0" borderId="14" xfId="13" applyFont="1" applyFill="1" applyBorder="1" applyAlignment="1">
      <alignment horizontal="left" vertical="top" wrapText="1"/>
    </xf>
    <xf numFmtId="0" fontId="37" fillId="6" borderId="12" xfId="13" applyFont="1" applyFill="1" applyBorder="1" applyAlignment="1">
      <alignment horizontal="left" vertical="top"/>
    </xf>
    <xf numFmtId="0" fontId="37" fillId="6" borderId="13" xfId="13" applyFont="1" applyFill="1" applyBorder="1" applyAlignment="1">
      <alignment horizontal="left" vertical="top"/>
    </xf>
    <xf numFmtId="0" fontId="37" fillId="6" borderId="14" xfId="13" applyFont="1" applyFill="1" applyBorder="1" applyAlignment="1">
      <alignment horizontal="left" vertical="top"/>
    </xf>
    <xf numFmtId="0" fontId="37" fillId="0" borderId="12" xfId="13" applyFont="1" applyFill="1" applyBorder="1" applyAlignment="1">
      <alignment horizontal="center" vertical="center"/>
    </xf>
    <xf numFmtId="0" fontId="37" fillId="0" borderId="13" xfId="13" applyFont="1" applyFill="1" applyBorder="1" applyAlignment="1">
      <alignment horizontal="center" vertical="center"/>
    </xf>
    <xf numFmtId="0" fontId="37" fillId="0" borderId="14" xfId="13" applyFont="1" applyFill="1" applyBorder="1" applyAlignment="1">
      <alignment horizontal="center" vertical="center"/>
    </xf>
    <xf numFmtId="0" fontId="8" fillId="0" borderId="12" xfId="13" applyFont="1" applyFill="1" applyBorder="1" applyAlignment="1">
      <alignment horizontal="center" vertical="top"/>
    </xf>
    <xf numFmtId="0" fontId="8" fillId="0" borderId="13" xfId="13" applyFont="1" applyFill="1" applyBorder="1" applyAlignment="1">
      <alignment horizontal="center" vertical="top"/>
    </xf>
    <xf numFmtId="0" fontId="8" fillId="0" borderId="14" xfId="13" applyFont="1" applyFill="1" applyBorder="1" applyAlignment="1">
      <alignment horizontal="center" vertical="top"/>
    </xf>
    <xf numFmtId="0" fontId="8" fillId="0" borderId="12" xfId="13" applyFont="1" applyFill="1" applyBorder="1" applyAlignment="1">
      <alignment horizontal="left" vertical="top" wrapText="1"/>
    </xf>
    <xf numFmtId="0" fontId="8" fillId="0" borderId="13" xfId="13" applyFont="1" applyFill="1" applyBorder="1" applyAlignment="1">
      <alignment horizontal="left" vertical="top" wrapText="1"/>
    </xf>
    <xf numFmtId="0" fontId="8" fillId="0" borderId="14" xfId="13" applyFont="1" applyFill="1" applyBorder="1" applyAlignment="1">
      <alignment horizontal="left" vertical="top" wrapText="1"/>
    </xf>
    <xf numFmtId="0" fontId="8" fillId="0" borderId="12" xfId="13" applyFont="1" applyBorder="1" applyAlignment="1">
      <alignment horizontal="center"/>
    </xf>
    <xf numFmtId="0" fontId="8" fillId="0" borderId="13" xfId="13" applyFont="1" applyBorder="1" applyAlignment="1">
      <alignment horizontal="center"/>
    </xf>
    <xf numFmtId="0" fontId="8" fillId="0" borderId="14" xfId="13" applyFont="1" applyBorder="1" applyAlignment="1">
      <alignment horizontal="center"/>
    </xf>
    <xf numFmtId="49" fontId="8" fillId="0" borderId="12" xfId="1" applyNumberFormat="1" applyFont="1" applyFill="1" applyBorder="1" applyAlignment="1">
      <alignment vertical="top" shrinkToFit="1"/>
    </xf>
    <xf numFmtId="0" fontId="2" fillId="0" borderId="13" xfId="0" applyFont="1" applyBorder="1" applyAlignment="1">
      <alignment vertical="top" shrinkToFit="1"/>
    </xf>
    <xf numFmtId="0" fontId="2" fillId="0" borderId="14" xfId="0" applyFont="1" applyBorder="1" applyAlignment="1">
      <alignment vertical="top" shrinkToFit="1"/>
    </xf>
    <xf numFmtId="0" fontId="14" fillId="3" borderId="12" xfId="0" applyFont="1" applyFill="1" applyBorder="1" applyAlignment="1">
      <alignment vertical="top" wrapText="1"/>
    </xf>
    <xf numFmtId="0" fontId="14" fillId="3" borderId="13" xfId="0" applyFont="1" applyFill="1" applyBorder="1" applyAlignment="1">
      <alignment vertical="top" wrapText="1"/>
    </xf>
    <xf numFmtId="0" fontId="14" fillId="3" borderId="14" xfId="0" applyFont="1" applyFill="1" applyBorder="1" applyAlignment="1">
      <alignment vertical="top" wrapText="1"/>
    </xf>
    <xf numFmtId="0" fontId="15" fillId="0" borderId="12" xfId="13" applyFont="1" applyBorder="1" applyAlignment="1">
      <alignment horizontal="center"/>
    </xf>
    <xf numFmtId="0" fontId="15" fillId="0" borderId="13" xfId="13" applyFont="1" applyBorder="1" applyAlignment="1">
      <alignment horizontal="center"/>
    </xf>
    <xf numFmtId="0" fontId="15" fillId="0" borderId="14" xfId="13" applyFont="1" applyBorder="1" applyAlignment="1">
      <alignment horizontal="center"/>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9" xfId="0" applyFont="1" applyBorder="1" applyAlignment="1">
      <alignment horizontal="left" vertical="top" wrapText="1"/>
    </xf>
    <xf numFmtId="0" fontId="2" fillId="0" borderId="0" xfId="0" applyFont="1" applyBorder="1" applyAlignment="1">
      <alignment horizontal="left" vertical="top" wrapText="1"/>
    </xf>
    <xf numFmtId="0" fontId="2" fillId="0" borderId="9" xfId="0" applyFont="1" applyBorder="1" applyAlignment="1">
      <alignment horizontal="left" vertical="top" wrapText="1"/>
    </xf>
    <xf numFmtId="0" fontId="14" fillId="3" borderId="16"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8" fillId="0" borderId="15" xfId="0" applyFont="1" applyBorder="1" applyAlignment="1">
      <alignment horizontal="left" vertical="top"/>
    </xf>
    <xf numFmtId="0" fontId="8" fillId="0" borderId="16" xfId="0" applyFont="1" applyBorder="1" applyAlignment="1">
      <alignment horizontal="left" vertical="top"/>
    </xf>
    <xf numFmtId="0" fontId="8" fillId="0" borderId="17" xfId="0" applyFont="1" applyBorder="1" applyAlignment="1">
      <alignment horizontal="left" vertical="top"/>
    </xf>
    <xf numFmtId="0" fontId="8" fillId="0" borderId="19" xfId="0" applyFont="1" applyBorder="1" applyAlignment="1">
      <alignment horizontal="left" vertical="top"/>
    </xf>
    <xf numFmtId="0" fontId="8" fillId="0" borderId="0" xfId="0" applyFont="1" applyBorder="1" applyAlignment="1">
      <alignment horizontal="left" vertical="top"/>
    </xf>
    <xf numFmtId="0" fontId="8" fillId="0" borderId="9" xfId="0" applyFont="1" applyBorder="1" applyAlignment="1">
      <alignment horizontal="left" vertical="top"/>
    </xf>
    <xf numFmtId="0" fontId="8" fillId="0" borderId="18"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5" xfId="0" applyFont="1" applyBorder="1" applyAlignment="1">
      <alignment horizontal="left" vertical="top" wrapText="1"/>
    </xf>
    <xf numFmtId="0" fontId="8" fillId="0" borderId="16" xfId="0" applyFont="1" applyBorder="1" applyAlignment="1">
      <alignment horizontal="left" vertical="top" wrapText="1"/>
    </xf>
    <xf numFmtId="0" fontId="8" fillId="0" borderId="17" xfId="0" applyFont="1" applyBorder="1" applyAlignment="1">
      <alignment horizontal="left" vertical="top" wrapText="1"/>
    </xf>
    <xf numFmtId="0" fontId="8" fillId="0" borderId="19" xfId="0" applyFont="1" applyBorder="1" applyAlignment="1">
      <alignment horizontal="left" vertical="top" wrapText="1"/>
    </xf>
    <xf numFmtId="0" fontId="8" fillId="0" borderId="0" xfId="0" applyFont="1" applyBorder="1" applyAlignment="1">
      <alignment horizontal="left" vertical="top" wrapText="1"/>
    </xf>
    <xf numFmtId="0" fontId="8" fillId="0" borderId="9" xfId="0" applyFont="1" applyBorder="1" applyAlignment="1">
      <alignment horizontal="left" vertical="top" wrapText="1"/>
    </xf>
    <xf numFmtId="0" fontId="8" fillId="0" borderId="18"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14" fillId="3" borderId="24" xfId="0" applyFont="1" applyFill="1" applyBorder="1" applyAlignment="1">
      <alignment horizontal="center" vertical="top"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3" fillId="0" borderId="0" xfId="13" applyFont="1" applyAlignment="1">
      <alignment horizontal="center" vertical="center"/>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8" fillId="0" borderId="18"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5" xfId="13" applyFont="1" applyBorder="1" applyAlignment="1">
      <alignment vertical="top" wrapText="1"/>
    </xf>
    <xf numFmtId="0" fontId="0" fillId="0" borderId="19" xfId="0" applyBorder="1" applyAlignment="1">
      <alignment vertical="top"/>
    </xf>
    <xf numFmtId="0" fontId="0" fillId="0" borderId="0" xfId="0" applyBorder="1" applyAlignment="1">
      <alignment vertical="top"/>
    </xf>
    <xf numFmtId="0" fontId="0" fillId="0" borderId="9" xfId="0" applyBorder="1" applyAlignment="1">
      <alignment vertical="top"/>
    </xf>
    <xf numFmtId="0" fontId="0" fillId="0" borderId="18"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8" fillId="0" borderId="12" xfId="0" applyFont="1" applyFill="1" applyBorder="1" applyAlignment="1">
      <alignment vertical="top"/>
    </xf>
    <xf numFmtId="0" fontId="8" fillId="0" borderId="13" xfId="0" applyFont="1" applyFill="1" applyBorder="1" applyAlignment="1">
      <alignment vertical="top"/>
    </xf>
    <xf numFmtId="0" fontId="8" fillId="0" borderId="14" xfId="0" applyFont="1" applyFill="1" applyBorder="1" applyAlignment="1">
      <alignment vertical="top"/>
    </xf>
    <xf numFmtId="0" fontId="14" fillId="3" borderId="24" xfId="0" applyFont="1" applyFill="1" applyBorder="1" applyAlignment="1">
      <alignment horizontal="center" vertical="center" wrapText="1"/>
    </xf>
    <xf numFmtId="0" fontId="14" fillId="3" borderId="15" xfId="0" applyFont="1" applyFill="1" applyBorder="1" applyAlignment="1">
      <alignment horizontal="center" vertical="top" textRotation="255" wrapText="1"/>
    </xf>
    <xf numFmtId="0" fontId="14" fillId="3" borderId="16" xfId="0" applyFont="1" applyFill="1" applyBorder="1" applyAlignment="1">
      <alignment horizontal="center" vertical="top" textRotation="255" wrapText="1"/>
    </xf>
    <xf numFmtId="0" fontId="14" fillId="3" borderId="17" xfId="0" applyFont="1" applyFill="1" applyBorder="1" applyAlignment="1">
      <alignment horizontal="center" vertical="top" textRotation="255" wrapText="1"/>
    </xf>
    <xf numFmtId="0" fontId="14" fillId="3" borderId="19" xfId="0" applyFont="1" applyFill="1" applyBorder="1" applyAlignment="1">
      <alignment horizontal="center" vertical="top" textRotation="255" wrapText="1"/>
    </xf>
    <xf numFmtId="0" fontId="14" fillId="3" borderId="0" xfId="0" applyFont="1" applyFill="1" applyBorder="1" applyAlignment="1">
      <alignment horizontal="center" vertical="top" textRotation="255" wrapText="1"/>
    </xf>
    <xf numFmtId="0" fontId="14" fillId="3" borderId="9" xfId="0" applyFont="1" applyFill="1" applyBorder="1" applyAlignment="1">
      <alignment horizontal="center" vertical="top" textRotation="255" wrapText="1"/>
    </xf>
    <xf numFmtId="0" fontId="14" fillId="3" borderId="18" xfId="0" applyFont="1" applyFill="1" applyBorder="1" applyAlignment="1">
      <alignment horizontal="center" vertical="top" textRotation="255" wrapText="1"/>
    </xf>
    <xf numFmtId="0" fontId="14" fillId="3" borderId="10" xfId="0" applyFont="1" applyFill="1" applyBorder="1" applyAlignment="1">
      <alignment horizontal="center" vertical="top" textRotation="255" wrapText="1"/>
    </xf>
    <xf numFmtId="0" fontId="14" fillId="3" borderId="11" xfId="0" applyFont="1" applyFill="1" applyBorder="1" applyAlignment="1">
      <alignment horizontal="center" vertical="top" textRotation="255" wrapText="1"/>
    </xf>
    <xf numFmtId="0" fontId="8" fillId="0" borderId="15" xfId="0" applyFont="1"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0" xfId="0" applyAlignment="1">
      <alignment vertical="top"/>
    </xf>
    <xf numFmtId="0" fontId="14" fillId="3" borderId="12" xfId="0" applyFont="1" applyFill="1" applyBorder="1" applyAlignment="1">
      <alignment horizontal="center" vertical="center" wrapText="1"/>
    </xf>
    <xf numFmtId="0" fontId="8" fillId="0" borderId="24" xfId="0" applyFont="1" applyBorder="1" applyAlignment="1">
      <alignment horizontal="left" vertical="top"/>
    </xf>
    <xf numFmtId="0" fontId="8" fillId="0" borderId="24" xfId="0" applyFont="1" applyBorder="1" applyAlignment="1">
      <alignment horizontal="left" vertical="top" wrapText="1"/>
    </xf>
    <xf numFmtId="0" fontId="8" fillId="6" borderId="15" xfId="13" applyFont="1" applyFill="1" applyBorder="1" applyAlignment="1">
      <alignment horizontal="left" vertical="top" wrapText="1"/>
    </xf>
    <xf numFmtId="0" fontId="8" fillId="6" borderId="16" xfId="13" applyFont="1" applyFill="1" applyBorder="1" applyAlignment="1">
      <alignment horizontal="left" vertical="top"/>
    </xf>
    <xf numFmtId="0" fontId="8" fillId="6" borderId="17" xfId="13" applyFont="1" applyFill="1" applyBorder="1" applyAlignment="1">
      <alignment horizontal="left" vertical="top"/>
    </xf>
    <xf numFmtId="0" fontId="2" fillId="6" borderId="19" xfId="0" applyFont="1" applyFill="1" applyBorder="1" applyAlignment="1">
      <alignment horizontal="left" vertical="top"/>
    </xf>
    <xf numFmtId="0" fontId="2" fillId="6" borderId="0" xfId="0" applyFont="1" applyFill="1" applyBorder="1" applyAlignment="1">
      <alignment horizontal="left" vertical="top"/>
    </xf>
    <xf numFmtId="0" fontId="2" fillId="6" borderId="9" xfId="0" applyFont="1" applyFill="1" applyBorder="1" applyAlignment="1">
      <alignment horizontal="left" vertical="top"/>
    </xf>
    <xf numFmtId="0" fontId="2" fillId="6" borderId="18" xfId="0" applyFont="1" applyFill="1" applyBorder="1" applyAlignment="1">
      <alignment horizontal="left" vertical="top"/>
    </xf>
    <xf numFmtId="0" fontId="2" fillId="6" borderId="10" xfId="0" applyFont="1" applyFill="1" applyBorder="1" applyAlignment="1">
      <alignment horizontal="left" vertical="top"/>
    </xf>
    <xf numFmtId="0" fontId="2" fillId="6" borderId="11" xfId="0" applyFont="1" applyFill="1" applyBorder="1" applyAlignment="1">
      <alignment horizontal="left" vertical="top"/>
    </xf>
    <xf numFmtId="0" fontId="18" fillId="0" borderId="13" xfId="0" applyFont="1" applyBorder="1" applyAlignment="1">
      <alignment horizontal="left" vertical="top"/>
    </xf>
    <xf numFmtId="0" fontId="18" fillId="0" borderId="14" xfId="0" applyFont="1" applyBorder="1" applyAlignment="1">
      <alignment horizontal="left" vertical="top"/>
    </xf>
    <xf numFmtId="49" fontId="8" fillId="6" borderId="12" xfId="1" applyNumberFormat="1" applyFont="1" applyFill="1" applyBorder="1" applyAlignment="1">
      <alignment horizontal="center" vertical="top"/>
    </xf>
    <xf numFmtId="49" fontId="8" fillId="6" borderId="14" xfId="1" applyNumberFormat="1" applyFont="1" applyFill="1" applyBorder="1" applyAlignment="1">
      <alignment horizontal="center" vertical="top"/>
    </xf>
    <xf numFmtId="0" fontId="8" fillId="0" borderId="15" xfId="0" applyFont="1" applyFill="1" applyBorder="1" applyAlignment="1">
      <alignment vertical="top" wrapText="1"/>
    </xf>
    <xf numFmtId="0" fontId="8" fillId="0" borderId="16" xfId="0" applyFont="1" applyFill="1" applyBorder="1" applyAlignment="1">
      <alignment vertical="top"/>
    </xf>
    <xf numFmtId="0" fontId="8" fillId="0" borderId="17" xfId="0" applyFont="1" applyFill="1" applyBorder="1" applyAlignment="1">
      <alignment vertical="top"/>
    </xf>
    <xf numFmtId="0" fontId="8" fillId="0" borderId="18" xfId="0" applyFont="1" applyFill="1" applyBorder="1" applyAlignment="1">
      <alignment vertical="top"/>
    </xf>
    <xf numFmtId="0" fontId="8" fillId="0" borderId="10" xfId="0" applyFont="1" applyFill="1" applyBorder="1" applyAlignment="1">
      <alignment vertical="top"/>
    </xf>
    <xf numFmtId="0" fontId="8" fillId="0" borderId="11" xfId="0" applyFont="1" applyFill="1" applyBorder="1" applyAlignment="1">
      <alignment vertical="top"/>
    </xf>
    <xf numFmtId="0" fontId="0" fillId="0" borderId="19" xfId="0" applyBorder="1" applyAlignment="1">
      <alignment horizontal="left" vertical="top"/>
    </xf>
    <xf numFmtId="0" fontId="0" fillId="0" borderId="0" xfId="0" applyBorder="1" applyAlignment="1">
      <alignment horizontal="left" vertical="top"/>
    </xf>
    <xf numFmtId="0" fontId="0" fillId="0" borderId="9" xfId="0" applyBorder="1" applyAlignment="1">
      <alignment horizontal="left" vertical="top"/>
    </xf>
    <xf numFmtId="0" fontId="0" fillId="0" borderId="18"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26" fillId="0" borderId="18"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14" fillId="3" borderId="24" xfId="0" applyFont="1" applyFill="1" applyBorder="1" applyAlignment="1">
      <alignment horizontal="center" vertical="center"/>
    </xf>
    <xf numFmtId="0" fontId="14" fillId="3" borderId="22" xfId="0" applyFont="1" applyFill="1" applyBorder="1" applyAlignment="1">
      <alignment horizontal="center" vertical="top"/>
    </xf>
    <xf numFmtId="0" fontId="14" fillId="3" borderId="20" xfId="0" applyFont="1" applyFill="1" applyBorder="1" applyAlignment="1">
      <alignment horizontal="center" vertical="top"/>
    </xf>
    <xf numFmtId="0" fontId="14" fillId="3" borderId="21" xfId="0" applyFont="1" applyFill="1" applyBorder="1" applyAlignment="1">
      <alignment horizontal="center" vertical="top"/>
    </xf>
    <xf numFmtId="0" fontId="14" fillId="2" borderId="12" xfId="13" applyFont="1" applyFill="1" applyBorder="1" applyAlignment="1">
      <alignment horizontal="center" vertical="top"/>
    </xf>
    <xf numFmtId="0" fontId="14" fillId="2" borderId="13" xfId="13" applyFont="1" applyFill="1" applyBorder="1" applyAlignment="1">
      <alignment horizontal="center" vertical="top"/>
    </xf>
    <xf numFmtId="0" fontId="14" fillId="2" borderId="14" xfId="13" applyFont="1" applyFill="1" applyBorder="1" applyAlignment="1">
      <alignment horizontal="center" vertical="top"/>
    </xf>
    <xf numFmtId="0" fontId="14" fillId="2" borderId="12" xfId="0" applyFont="1" applyFill="1" applyBorder="1" applyAlignment="1">
      <alignment horizontal="center" vertical="top"/>
    </xf>
    <xf numFmtId="0" fontId="14" fillId="2" borderId="13" xfId="0" applyFont="1" applyFill="1" applyBorder="1" applyAlignment="1">
      <alignment horizontal="center" vertical="top"/>
    </xf>
    <xf numFmtId="0" fontId="14" fillId="2" borderId="14" xfId="0" applyFont="1" applyFill="1" applyBorder="1" applyAlignment="1">
      <alignment horizontal="center" vertical="top"/>
    </xf>
    <xf numFmtId="0" fontId="14" fillId="2" borderId="15" xfId="13" applyFont="1" applyFill="1" applyBorder="1" applyAlignment="1">
      <alignment horizontal="center" vertical="top"/>
    </xf>
    <xf numFmtId="0" fontId="14" fillId="2" borderId="16" xfId="13" applyFont="1" applyFill="1" applyBorder="1" applyAlignment="1">
      <alignment horizontal="center" vertical="top"/>
    </xf>
    <xf numFmtId="0" fontId="14" fillId="2" borderId="17" xfId="13" applyFont="1" applyFill="1" applyBorder="1" applyAlignment="1">
      <alignment horizontal="center" vertical="top"/>
    </xf>
    <xf numFmtId="0" fontId="8" fillId="4" borderId="12" xfId="0" applyFont="1" applyFill="1" applyBorder="1" applyAlignment="1">
      <alignment horizontal="left" vertical="center"/>
    </xf>
    <xf numFmtId="0" fontId="8" fillId="4" borderId="13" xfId="0" applyFont="1" applyFill="1" applyBorder="1" applyAlignment="1">
      <alignment horizontal="left" vertical="center"/>
    </xf>
    <xf numFmtId="0" fontId="8" fillId="4" borderId="14" xfId="0" applyFont="1" applyFill="1" applyBorder="1" applyAlignment="1">
      <alignment horizontal="left" vertical="center"/>
    </xf>
    <xf numFmtId="49" fontId="8" fillId="0" borderId="12" xfId="1" applyNumberFormat="1" applyFont="1" applyBorder="1" applyAlignment="1">
      <alignment horizontal="center" vertical="top"/>
    </xf>
    <xf numFmtId="49" fontId="8" fillId="0" borderId="13" xfId="1" applyNumberFormat="1" applyFont="1" applyBorder="1" applyAlignment="1">
      <alignment horizontal="center" vertical="top"/>
    </xf>
    <xf numFmtId="49" fontId="8" fillId="0" borderId="14" xfId="1" applyNumberFormat="1" applyFont="1" applyBorder="1" applyAlignment="1">
      <alignment horizontal="center" vertical="top"/>
    </xf>
    <xf numFmtId="176" fontId="32" fillId="5" borderId="12" xfId="0" applyNumberFormat="1" applyFont="1" applyFill="1" applyBorder="1">
      <alignment vertical="center"/>
    </xf>
    <xf numFmtId="176" fontId="32" fillId="5" borderId="13" xfId="0" applyNumberFormat="1" applyFont="1" applyFill="1" applyBorder="1">
      <alignment vertical="center"/>
    </xf>
    <xf numFmtId="176" fontId="32" fillId="5" borderId="14" xfId="0" applyNumberFormat="1" applyFont="1" applyFill="1" applyBorder="1">
      <alignment vertical="center"/>
    </xf>
    <xf numFmtId="0" fontId="40" fillId="5" borderId="12" xfId="0" applyFont="1" applyFill="1" applyBorder="1" applyAlignment="1">
      <alignment vertical="center"/>
    </xf>
    <xf numFmtId="0" fontId="40" fillId="5" borderId="13" xfId="0" applyFont="1" applyFill="1" applyBorder="1" applyAlignment="1">
      <alignment vertical="center"/>
    </xf>
    <xf numFmtId="0" fontId="40" fillId="5" borderId="14" xfId="0" applyFont="1" applyFill="1" applyBorder="1" applyAlignment="1">
      <alignment vertical="center"/>
    </xf>
    <xf numFmtId="180" fontId="40" fillId="4" borderId="15" xfId="0" applyNumberFormat="1" applyFont="1" applyFill="1" applyBorder="1">
      <alignment vertical="center"/>
    </xf>
    <xf numFmtId="180" fontId="40" fillId="4" borderId="16" xfId="0" applyNumberFormat="1" applyFont="1" applyFill="1" applyBorder="1">
      <alignment vertical="center"/>
    </xf>
    <xf numFmtId="180" fontId="40" fillId="4" borderId="17" xfId="0" applyNumberFormat="1" applyFont="1" applyFill="1" applyBorder="1">
      <alignment vertical="center"/>
    </xf>
    <xf numFmtId="180" fontId="40" fillId="4" borderId="19" xfId="0" applyNumberFormat="1" applyFont="1" applyFill="1" applyBorder="1">
      <alignment vertical="center"/>
    </xf>
    <xf numFmtId="180" fontId="40" fillId="4" borderId="0" xfId="0" applyNumberFormat="1" applyFont="1" applyFill="1" applyBorder="1">
      <alignment vertical="center"/>
    </xf>
    <xf numFmtId="180" fontId="40" fillId="4" borderId="9" xfId="0" applyNumberFormat="1" applyFont="1" applyFill="1" applyBorder="1">
      <alignment vertical="center"/>
    </xf>
    <xf numFmtId="178" fontId="32" fillId="5" borderId="18" xfId="0" applyNumberFormat="1" applyFont="1" applyFill="1" applyBorder="1">
      <alignment vertical="center"/>
    </xf>
    <xf numFmtId="178" fontId="32" fillId="5" borderId="10" xfId="0" applyNumberFormat="1" applyFont="1" applyFill="1" applyBorder="1">
      <alignment vertical="center"/>
    </xf>
    <xf numFmtId="178" fontId="32" fillId="5" borderId="11" xfId="0" applyNumberFormat="1" applyFont="1" applyFill="1" applyBorder="1">
      <alignment vertical="center"/>
    </xf>
    <xf numFmtId="49" fontId="39" fillId="7" borderId="12" xfId="1" applyNumberFormat="1" applyFont="1" applyFill="1" applyBorder="1" applyAlignment="1">
      <alignment horizontal="center" vertical="top"/>
    </xf>
    <xf numFmtId="49" fontId="39" fillId="7" borderId="13" xfId="1" applyNumberFormat="1" applyFont="1" applyFill="1" applyBorder="1" applyAlignment="1">
      <alignment horizontal="center" vertical="top"/>
    </xf>
    <xf numFmtId="49" fontId="39" fillId="7" borderId="14" xfId="1" applyNumberFormat="1" applyFont="1" applyFill="1" applyBorder="1" applyAlignment="1">
      <alignment horizontal="center" vertical="top"/>
    </xf>
    <xf numFmtId="0" fontId="8" fillId="0" borderId="12" xfId="0" applyFont="1" applyFill="1" applyBorder="1" applyAlignment="1">
      <alignment vertical="top" wrapText="1"/>
    </xf>
    <xf numFmtId="0" fontId="8" fillId="0" borderId="13" xfId="0" applyFont="1" applyFill="1" applyBorder="1" applyAlignment="1">
      <alignment vertical="top" wrapText="1"/>
    </xf>
    <xf numFmtId="0" fontId="8" fillId="0" borderId="14" xfId="0" applyFont="1" applyFill="1" applyBorder="1" applyAlignment="1">
      <alignment vertical="top" wrapText="1"/>
    </xf>
    <xf numFmtId="0" fontId="20" fillId="0" borderId="19" xfId="0" applyFont="1" applyBorder="1" applyAlignment="1">
      <alignment horizontal="center" vertical="top"/>
    </xf>
    <xf numFmtId="0" fontId="20" fillId="0" borderId="0" xfId="0" applyFont="1" applyAlignment="1">
      <alignment horizontal="center" vertical="top"/>
    </xf>
    <xf numFmtId="0" fontId="20" fillId="0" borderId="9" xfId="0" applyFont="1" applyBorder="1" applyAlignment="1">
      <alignment horizontal="center" vertical="top"/>
    </xf>
    <xf numFmtId="0" fontId="20" fillId="0" borderId="18" xfId="0" applyFont="1" applyBorder="1" applyAlignment="1">
      <alignment horizontal="center" vertical="top"/>
    </xf>
    <xf numFmtId="0" fontId="20" fillId="0" borderId="10" xfId="0" applyFont="1" applyBorder="1" applyAlignment="1">
      <alignment horizontal="center" vertical="top"/>
    </xf>
    <xf numFmtId="0" fontId="20" fillId="0" borderId="11" xfId="0" applyFont="1" applyBorder="1" applyAlignment="1">
      <alignment horizontal="center" vertical="top"/>
    </xf>
    <xf numFmtId="0" fontId="2" fillId="0" borderId="19" xfId="0" applyFont="1" applyBorder="1" applyAlignment="1">
      <alignment vertical="top"/>
    </xf>
    <xf numFmtId="0" fontId="2" fillId="0" borderId="0" xfId="0" applyFont="1" applyAlignment="1">
      <alignment vertical="top"/>
    </xf>
    <xf numFmtId="0" fontId="2" fillId="0" borderId="9" xfId="0" applyFont="1" applyBorder="1" applyAlignment="1">
      <alignment vertical="top"/>
    </xf>
    <xf numFmtId="0" fontId="2" fillId="0" borderId="18" xfId="0" applyFont="1" applyBorder="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19" xfId="0" applyFont="1" applyBorder="1" applyAlignment="1">
      <alignment horizontal="left" vertical="top"/>
    </xf>
    <xf numFmtId="0" fontId="2" fillId="0" borderId="0" xfId="0" applyFont="1" applyAlignment="1">
      <alignment horizontal="left" vertical="top"/>
    </xf>
    <xf numFmtId="0" fontId="2" fillId="0" borderId="9" xfId="0" applyFont="1" applyBorder="1" applyAlignment="1">
      <alignment horizontal="left" vertical="top"/>
    </xf>
    <xf numFmtId="0" fontId="2" fillId="6" borderId="0" xfId="0" applyFont="1" applyFill="1" applyAlignment="1">
      <alignment horizontal="left" vertical="top"/>
    </xf>
    <xf numFmtId="0" fontId="8" fillId="0" borderId="19" xfId="0" applyFont="1" applyFill="1" applyBorder="1" applyAlignment="1">
      <alignment vertical="top"/>
    </xf>
    <xf numFmtId="0" fontId="8" fillId="0" borderId="0" xfId="0" applyFont="1" applyFill="1" applyBorder="1" applyAlignment="1">
      <alignment vertical="top"/>
    </xf>
    <xf numFmtId="0" fontId="8" fillId="0" borderId="9" xfId="0" applyFont="1" applyFill="1" applyBorder="1" applyAlignment="1">
      <alignment vertical="top"/>
    </xf>
    <xf numFmtId="177" fontId="32" fillId="5" borderId="12" xfId="0" applyNumberFormat="1" applyFont="1" applyFill="1" applyBorder="1">
      <alignment vertical="center"/>
    </xf>
    <xf numFmtId="177" fontId="32" fillId="5" borderId="13" xfId="0" applyNumberFormat="1" applyFont="1" applyFill="1" applyBorder="1">
      <alignment vertical="center"/>
    </xf>
    <xf numFmtId="177" fontId="32" fillId="5" borderId="14" xfId="0" applyNumberFormat="1" applyFont="1" applyFill="1" applyBorder="1">
      <alignment vertical="center"/>
    </xf>
    <xf numFmtId="176" fontId="32" fillId="5" borderId="18" xfId="0" applyNumberFormat="1" applyFont="1" applyFill="1" applyBorder="1">
      <alignment vertical="center"/>
    </xf>
    <xf numFmtId="176" fontId="32" fillId="5" borderId="10" xfId="0" applyNumberFormat="1" applyFont="1" applyFill="1" applyBorder="1">
      <alignment vertical="center"/>
    </xf>
    <xf numFmtId="176" fontId="32" fillId="5" borderId="11" xfId="0" applyNumberFormat="1" applyFont="1" applyFill="1" applyBorder="1">
      <alignment vertical="center"/>
    </xf>
    <xf numFmtId="0" fontId="8" fillId="0" borderId="15" xfId="0" applyFont="1" applyFill="1" applyBorder="1" applyAlignment="1">
      <alignment vertical="top"/>
    </xf>
    <xf numFmtId="0" fontId="8" fillId="0" borderId="16" xfId="0" applyFont="1" applyFill="1" applyBorder="1" applyAlignment="1">
      <alignment vertical="top" wrapText="1"/>
    </xf>
    <xf numFmtId="0" fontId="8" fillId="0" borderId="17" xfId="0" applyFont="1" applyFill="1" applyBorder="1" applyAlignment="1">
      <alignment vertical="top" wrapText="1"/>
    </xf>
    <xf numFmtId="0" fontId="2" fillId="0" borderId="19" xfId="0" applyFont="1" applyBorder="1" applyAlignment="1">
      <alignment vertical="top" wrapText="1"/>
    </xf>
    <xf numFmtId="0" fontId="2" fillId="0" borderId="0" xfId="0" applyFont="1" applyBorder="1" applyAlignment="1">
      <alignment vertical="top" wrapText="1"/>
    </xf>
    <xf numFmtId="0" fontId="2" fillId="0" borderId="9" xfId="0" applyFont="1" applyBorder="1" applyAlignment="1">
      <alignment vertical="top" wrapText="1"/>
    </xf>
    <xf numFmtId="0" fontId="2" fillId="0" borderId="18"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180" fontId="41" fillId="4" borderId="19" xfId="0" applyNumberFormat="1" applyFont="1" applyFill="1" applyBorder="1">
      <alignment vertical="center"/>
    </xf>
    <xf numFmtId="180" fontId="41" fillId="4" borderId="0" xfId="0" applyNumberFormat="1" applyFont="1" applyFill="1" applyBorder="1">
      <alignment vertical="center"/>
    </xf>
    <xf numFmtId="180" fontId="41" fillId="4" borderId="9" xfId="0" applyNumberFormat="1" applyFont="1" applyFill="1" applyBorder="1">
      <alignment vertical="center"/>
    </xf>
    <xf numFmtId="49" fontId="8" fillId="0" borderId="15" xfId="1" applyNumberFormat="1" applyFont="1" applyFill="1" applyBorder="1" applyAlignment="1">
      <alignment horizontal="left" vertical="top" wrapText="1"/>
    </xf>
    <xf numFmtId="49" fontId="8" fillId="0" borderId="16" xfId="1" applyNumberFormat="1" applyFont="1" applyFill="1" applyBorder="1" applyAlignment="1">
      <alignment horizontal="left" vertical="top" wrapText="1"/>
    </xf>
    <xf numFmtId="49" fontId="8" fillId="0" borderId="17" xfId="1" applyNumberFormat="1" applyFont="1" applyFill="1" applyBorder="1" applyAlignment="1">
      <alignment horizontal="left" vertical="top" wrapText="1"/>
    </xf>
    <xf numFmtId="49" fontId="8" fillId="0" borderId="18" xfId="1" applyNumberFormat="1" applyFont="1" applyFill="1" applyBorder="1" applyAlignment="1">
      <alignment horizontal="left" vertical="top" wrapText="1"/>
    </xf>
    <xf numFmtId="49" fontId="8" fillId="0" borderId="10" xfId="1" applyNumberFormat="1" applyFont="1" applyFill="1" applyBorder="1" applyAlignment="1">
      <alignment horizontal="left" vertical="top" wrapText="1"/>
    </xf>
    <xf numFmtId="49" fontId="8" fillId="0" borderId="11" xfId="1" applyNumberFormat="1" applyFont="1" applyFill="1" applyBorder="1" applyAlignment="1">
      <alignment horizontal="left" vertical="top" wrapText="1"/>
    </xf>
    <xf numFmtId="49" fontId="8" fillId="0" borderId="15" xfId="1" applyNumberFormat="1" applyFont="1" applyFill="1" applyBorder="1" applyAlignment="1">
      <alignment horizontal="left" vertical="top" wrapText="1" shrinkToFit="1"/>
    </xf>
    <xf numFmtId="49" fontId="8" fillId="0" borderId="16" xfId="1" applyNumberFormat="1" applyFont="1" applyFill="1" applyBorder="1" applyAlignment="1">
      <alignment horizontal="left" vertical="top" wrapText="1" shrinkToFit="1"/>
    </xf>
    <xf numFmtId="49" fontId="8" fillId="0" borderId="17" xfId="1" applyNumberFormat="1" applyFont="1" applyFill="1" applyBorder="1" applyAlignment="1">
      <alignment horizontal="left" vertical="top" wrapText="1" shrinkToFit="1"/>
    </xf>
    <xf numFmtId="49" fontId="8" fillId="0" borderId="18" xfId="1" applyNumberFormat="1" applyFont="1" applyFill="1" applyBorder="1" applyAlignment="1">
      <alignment horizontal="left" vertical="top" wrapText="1" shrinkToFit="1"/>
    </xf>
    <xf numFmtId="49" fontId="8" fillId="0" borderId="10" xfId="1" applyNumberFormat="1" applyFont="1" applyFill="1" applyBorder="1" applyAlignment="1">
      <alignment horizontal="left" vertical="top" wrapText="1" shrinkToFit="1"/>
    </xf>
    <xf numFmtId="49" fontId="8" fillId="0" borderId="11" xfId="1" applyNumberFormat="1" applyFont="1" applyFill="1" applyBorder="1" applyAlignment="1">
      <alignment horizontal="left" vertical="top" wrapText="1" shrinkToFit="1"/>
    </xf>
    <xf numFmtId="49" fontId="8" fillId="0" borderId="15" xfId="1" applyNumberFormat="1" applyFont="1" applyFill="1" applyBorder="1" applyAlignment="1">
      <alignment horizontal="left" vertical="top"/>
    </xf>
    <xf numFmtId="49" fontId="8" fillId="0" borderId="16" xfId="1" applyNumberFormat="1" applyFont="1" applyFill="1" applyBorder="1" applyAlignment="1">
      <alignment horizontal="left" vertical="top"/>
    </xf>
    <xf numFmtId="49" fontId="8" fillId="0" borderId="17" xfId="1" applyNumberFormat="1" applyFont="1" applyFill="1" applyBorder="1" applyAlignment="1">
      <alignment horizontal="left" vertical="top"/>
    </xf>
    <xf numFmtId="49" fontId="8" fillId="0" borderId="18" xfId="1" applyNumberFormat="1" applyFont="1" applyFill="1" applyBorder="1" applyAlignment="1">
      <alignment horizontal="left" vertical="top"/>
    </xf>
    <xf numFmtId="49" fontId="8" fillId="0" borderId="10" xfId="1" applyNumberFormat="1" applyFont="1" applyFill="1" applyBorder="1" applyAlignment="1">
      <alignment horizontal="left" vertical="top"/>
    </xf>
    <xf numFmtId="49" fontId="8" fillId="0" borderId="11" xfId="1" applyNumberFormat="1" applyFont="1" applyFill="1" applyBorder="1" applyAlignment="1">
      <alignment horizontal="left" vertical="top"/>
    </xf>
    <xf numFmtId="180" fontId="41" fillId="4" borderId="15" xfId="0" applyNumberFormat="1" applyFont="1" applyFill="1" applyBorder="1">
      <alignment vertical="center"/>
    </xf>
    <xf numFmtId="180" fontId="41" fillId="4" borderId="16" xfId="0" applyNumberFormat="1" applyFont="1" applyFill="1" applyBorder="1">
      <alignment vertical="center"/>
    </xf>
    <xf numFmtId="180" fontId="41" fillId="4" borderId="17" xfId="0" applyNumberFormat="1" applyFont="1" applyFill="1" applyBorder="1">
      <alignment vertical="center"/>
    </xf>
    <xf numFmtId="49" fontId="8" fillId="0" borderId="18" xfId="1" applyNumberFormat="1" applyFont="1" applyFill="1" applyBorder="1" applyAlignment="1">
      <alignment horizontal="center" vertical="top"/>
    </xf>
    <xf numFmtId="49" fontId="8" fillId="0" borderId="11" xfId="1" applyNumberFormat="1" applyFont="1" applyFill="1" applyBorder="1" applyAlignment="1">
      <alignment horizontal="center" vertical="top"/>
    </xf>
    <xf numFmtId="49" fontId="8" fillId="6" borderId="15" xfId="1" applyNumberFormat="1" applyFont="1" applyFill="1" applyBorder="1" applyAlignment="1">
      <alignment vertical="top" wrapText="1"/>
    </xf>
    <xf numFmtId="49" fontId="8" fillId="6" borderId="16" xfId="1" applyNumberFormat="1" applyFont="1" applyFill="1" applyBorder="1" applyAlignment="1">
      <alignment vertical="top"/>
    </xf>
    <xf numFmtId="49" fontId="8" fillId="6" borderId="17" xfId="1" applyNumberFormat="1" applyFont="1" applyFill="1" applyBorder="1" applyAlignment="1">
      <alignment vertical="top"/>
    </xf>
    <xf numFmtId="49" fontId="8" fillId="6" borderId="19" xfId="1" applyNumberFormat="1" applyFont="1" applyFill="1" applyBorder="1" applyAlignment="1">
      <alignment vertical="top"/>
    </xf>
    <xf numFmtId="49" fontId="8" fillId="6" borderId="0" xfId="1" applyNumberFormat="1" applyFont="1" applyFill="1" applyBorder="1" applyAlignment="1">
      <alignment vertical="top"/>
    </xf>
    <xf numFmtId="49" fontId="8" fillId="6" borderId="9" xfId="1" applyNumberFormat="1" applyFont="1" applyFill="1" applyBorder="1" applyAlignment="1">
      <alignment vertical="top"/>
    </xf>
    <xf numFmtId="49" fontId="8" fillId="6" borderId="18" xfId="1" applyNumberFormat="1" applyFont="1" applyFill="1" applyBorder="1" applyAlignment="1">
      <alignment vertical="top"/>
    </xf>
    <xf numFmtId="49" fontId="8" fillId="6" borderId="10" xfId="1" applyNumberFormat="1" applyFont="1" applyFill="1" applyBorder="1" applyAlignment="1">
      <alignment vertical="top"/>
    </xf>
    <xf numFmtId="49" fontId="8" fillId="6" borderId="11" xfId="1" applyNumberFormat="1" applyFont="1" applyFill="1" applyBorder="1" applyAlignment="1">
      <alignment vertical="top"/>
    </xf>
    <xf numFmtId="49" fontId="8" fillId="0" borderId="22" xfId="1" applyNumberFormat="1" applyFont="1" applyFill="1" applyBorder="1" applyAlignment="1">
      <alignment horizontal="center" vertical="top"/>
    </xf>
    <xf numFmtId="49" fontId="8" fillId="0" borderId="21" xfId="1" applyNumberFormat="1" applyFont="1" applyFill="1" applyBorder="1" applyAlignment="1">
      <alignment horizontal="center" vertical="top"/>
    </xf>
    <xf numFmtId="49" fontId="8" fillId="0" borderId="19" xfId="1" applyNumberFormat="1" applyFont="1" applyFill="1" applyBorder="1" applyAlignment="1">
      <alignment horizontal="left" vertical="top"/>
    </xf>
    <xf numFmtId="49" fontId="8" fillId="0" borderId="0" xfId="1" applyNumberFormat="1" applyFont="1" applyFill="1" applyBorder="1" applyAlignment="1">
      <alignment horizontal="left" vertical="top"/>
    </xf>
    <xf numFmtId="49" fontId="8" fillId="0" borderId="9" xfId="1" applyNumberFormat="1" applyFont="1" applyFill="1" applyBorder="1" applyAlignment="1">
      <alignment horizontal="left" vertical="top"/>
    </xf>
    <xf numFmtId="49" fontId="8" fillId="0" borderId="19" xfId="1" applyNumberFormat="1" applyFont="1" applyFill="1" applyBorder="1" applyAlignment="1">
      <alignment horizontal="left" vertical="top" wrapText="1"/>
    </xf>
    <xf numFmtId="49" fontId="8" fillId="0" borderId="0" xfId="1" applyNumberFormat="1" applyFont="1" applyFill="1" applyBorder="1" applyAlignment="1">
      <alignment horizontal="left" vertical="top" wrapText="1"/>
    </xf>
    <xf numFmtId="49" fontId="8" fillId="0" borderId="9" xfId="1" applyNumberFormat="1" applyFont="1" applyFill="1" applyBorder="1" applyAlignment="1">
      <alignment horizontal="left" vertical="top" wrapText="1"/>
    </xf>
    <xf numFmtId="0" fontId="26" fillId="0" borderId="19" xfId="0" applyFont="1" applyBorder="1" applyAlignment="1">
      <alignment vertical="top" wrapText="1"/>
    </xf>
    <xf numFmtId="0" fontId="26" fillId="0" borderId="0" xfId="0" applyFont="1" applyBorder="1" applyAlignment="1">
      <alignment vertical="top" wrapText="1"/>
    </xf>
    <xf numFmtId="0" fontId="26" fillId="0" borderId="9" xfId="0" applyFont="1" applyBorder="1" applyAlignment="1">
      <alignment vertical="top" wrapText="1"/>
    </xf>
    <xf numFmtId="0" fontId="26" fillId="0" borderId="18" xfId="0" applyFont="1" applyBorder="1" applyAlignment="1">
      <alignment vertical="top" wrapText="1"/>
    </xf>
    <xf numFmtId="0" fontId="26" fillId="0" borderId="10" xfId="0" applyFont="1" applyBorder="1" applyAlignment="1">
      <alignment vertical="top" wrapText="1"/>
    </xf>
    <xf numFmtId="0" fontId="26" fillId="0" borderId="11" xfId="0" applyFont="1" applyBorder="1" applyAlignment="1">
      <alignment vertical="top" wrapText="1"/>
    </xf>
    <xf numFmtId="0" fontId="2" fillId="0" borderId="13" xfId="0" applyFont="1" applyBorder="1" applyAlignment="1">
      <alignment horizontal="left" vertical="top"/>
    </xf>
    <xf numFmtId="0" fontId="2" fillId="0" borderId="14" xfId="0" applyFont="1" applyBorder="1" applyAlignment="1">
      <alignment horizontal="left" vertical="top"/>
    </xf>
    <xf numFmtId="0" fontId="2" fillId="0" borderId="0" xfId="0" applyFont="1" applyAlignment="1">
      <alignment horizontal="left" vertical="top" wrapText="1"/>
    </xf>
    <xf numFmtId="0" fontId="8" fillId="0" borderId="0" xfId="13" applyFont="1" applyBorder="1" applyAlignment="1">
      <alignment horizontal="center"/>
    </xf>
    <xf numFmtId="0" fontId="8" fillId="0" borderId="19" xfId="13" applyFont="1" applyBorder="1" applyAlignment="1">
      <alignment vertical="top"/>
    </xf>
    <xf numFmtId="0" fontId="8" fillId="0" borderId="0" xfId="13" applyFont="1" applyBorder="1" applyAlignment="1">
      <alignment vertical="top"/>
    </xf>
    <xf numFmtId="0" fontId="8" fillId="0" borderId="9" xfId="13" applyFont="1" applyBorder="1" applyAlignment="1">
      <alignment vertical="top"/>
    </xf>
    <xf numFmtId="0" fontId="8" fillId="0" borderId="19" xfId="13" applyFont="1" applyBorder="1" applyAlignment="1">
      <alignment horizontal="left" vertical="top" wrapText="1"/>
    </xf>
    <xf numFmtId="0" fontId="8" fillId="0" borderId="0" xfId="13" applyFont="1" applyBorder="1" applyAlignment="1">
      <alignment horizontal="left" vertical="top"/>
    </xf>
    <xf numFmtId="0" fontId="8" fillId="0" borderId="9" xfId="13" applyFont="1" applyBorder="1" applyAlignment="1">
      <alignment horizontal="left" vertical="top"/>
    </xf>
    <xf numFmtId="0" fontId="28" fillId="0" borderId="16" xfId="0" applyFont="1" applyBorder="1" applyAlignment="1">
      <alignment vertical="top"/>
    </xf>
    <xf numFmtId="0" fontId="28" fillId="0" borderId="17" xfId="0" applyFont="1" applyBorder="1" applyAlignment="1">
      <alignment vertical="top"/>
    </xf>
    <xf numFmtId="0" fontId="28" fillId="0" borderId="19" xfId="0" applyFont="1" applyBorder="1" applyAlignment="1">
      <alignment vertical="top"/>
    </xf>
    <xf numFmtId="0" fontId="28" fillId="0" borderId="0" xfId="0" applyFont="1" applyAlignment="1">
      <alignment vertical="top"/>
    </xf>
    <xf numFmtId="0" fontId="28" fillId="0" borderId="9" xfId="0" applyFont="1" applyBorder="1" applyAlignment="1">
      <alignment vertical="top"/>
    </xf>
    <xf numFmtId="0" fontId="28" fillId="0" borderId="18" xfId="0" applyFont="1" applyBorder="1" applyAlignment="1">
      <alignment vertical="top"/>
    </xf>
    <xf numFmtId="0" fontId="28" fillId="0" borderId="10" xfId="0" applyFont="1" applyBorder="1" applyAlignment="1">
      <alignment vertical="top"/>
    </xf>
    <xf numFmtId="0" fontId="28" fillId="0" borderId="11" xfId="0" applyFont="1" applyBorder="1" applyAlignment="1">
      <alignment vertical="top"/>
    </xf>
    <xf numFmtId="0" fontId="8" fillId="0" borderId="19" xfId="0" applyFont="1" applyBorder="1" applyAlignment="1">
      <alignment horizontal="center" vertical="center" wrapText="1"/>
    </xf>
    <xf numFmtId="0" fontId="8" fillId="0" borderId="0" xfId="0" applyFont="1" applyBorder="1" applyAlignment="1">
      <alignment horizontal="center" vertical="center" wrapText="1"/>
    </xf>
    <xf numFmtId="0" fontId="8" fillId="0" borderId="9" xfId="0" applyFont="1" applyBorder="1" applyAlignment="1">
      <alignment horizontal="center" vertical="center" wrapText="1"/>
    </xf>
    <xf numFmtId="49" fontId="37" fillId="0" borderId="15" xfId="1" applyNumberFormat="1" applyFont="1" applyFill="1" applyBorder="1" applyAlignment="1">
      <alignment horizontal="left" vertical="top"/>
    </xf>
    <xf numFmtId="49" fontId="37" fillId="0" borderId="16" xfId="1" applyNumberFormat="1" applyFont="1" applyFill="1" applyBorder="1" applyAlignment="1">
      <alignment horizontal="left" vertical="top"/>
    </xf>
    <xf numFmtId="49" fontId="37" fillId="0" borderId="17" xfId="1" applyNumberFormat="1" applyFont="1" applyFill="1" applyBorder="1" applyAlignment="1">
      <alignment horizontal="left" vertical="top"/>
    </xf>
    <xf numFmtId="49" fontId="37" fillId="0" borderId="19" xfId="1" applyNumberFormat="1" applyFont="1" applyFill="1" applyBorder="1" applyAlignment="1">
      <alignment horizontal="left" vertical="top"/>
    </xf>
    <xf numFmtId="49" fontId="37" fillId="0" borderId="0" xfId="1" applyNumberFormat="1" applyFont="1" applyFill="1" applyBorder="1" applyAlignment="1">
      <alignment horizontal="left" vertical="top"/>
    </xf>
    <xf numFmtId="49" fontId="37" fillId="0" borderId="9" xfId="1" applyNumberFormat="1" applyFont="1" applyFill="1" applyBorder="1" applyAlignment="1">
      <alignment horizontal="left" vertical="top"/>
    </xf>
    <xf numFmtId="49" fontId="37" fillId="0" borderId="18" xfId="1" applyNumberFormat="1" applyFont="1" applyFill="1" applyBorder="1" applyAlignment="1">
      <alignment horizontal="left" vertical="top"/>
    </xf>
    <xf numFmtId="49" fontId="37" fillId="0" borderId="10" xfId="1" applyNumberFormat="1" applyFont="1" applyFill="1" applyBorder="1" applyAlignment="1">
      <alignment horizontal="left" vertical="top"/>
    </xf>
    <xf numFmtId="49" fontId="37" fillId="0" borderId="11" xfId="1" applyNumberFormat="1" applyFont="1" applyFill="1" applyBorder="1" applyAlignment="1">
      <alignment horizontal="left" vertical="top"/>
    </xf>
    <xf numFmtId="49" fontId="37" fillId="0" borderId="15" xfId="1" applyNumberFormat="1" applyFont="1" applyFill="1" applyBorder="1" applyAlignment="1">
      <alignment horizontal="left" vertical="top" wrapText="1"/>
    </xf>
    <xf numFmtId="49" fontId="37" fillId="0" borderId="16" xfId="1" applyNumberFormat="1" applyFont="1" applyFill="1" applyBorder="1" applyAlignment="1">
      <alignment horizontal="left" vertical="top" wrapText="1"/>
    </xf>
    <xf numFmtId="49" fontId="37" fillId="0" borderId="17" xfId="1" applyNumberFormat="1" applyFont="1" applyFill="1" applyBorder="1" applyAlignment="1">
      <alignment horizontal="left" vertical="top" wrapText="1"/>
    </xf>
    <xf numFmtId="49" fontId="37" fillId="0" borderId="19" xfId="1" applyNumberFormat="1" applyFont="1" applyFill="1" applyBorder="1" applyAlignment="1">
      <alignment horizontal="left" vertical="top" wrapText="1"/>
    </xf>
    <xf numFmtId="49" fontId="37" fillId="0" borderId="0" xfId="1" applyNumberFormat="1" applyFont="1" applyFill="1" applyBorder="1" applyAlignment="1">
      <alignment horizontal="left" vertical="top" wrapText="1"/>
    </xf>
    <xf numFmtId="49" fontId="37" fillId="0" borderId="9" xfId="1" applyNumberFormat="1" applyFont="1" applyFill="1" applyBorder="1" applyAlignment="1">
      <alignment horizontal="left" vertical="top" wrapText="1"/>
    </xf>
    <xf numFmtId="49" fontId="37" fillId="0" borderId="18" xfId="1" applyNumberFormat="1" applyFont="1" applyFill="1" applyBorder="1" applyAlignment="1">
      <alignment horizontal="left" vertical="top" wrapText="1"/>
    </xf>
    <xf numFmtId="49" fontId="37" fillId="0" borderId="10" xfId="1" applyNumberFormat="1" applyFont="1" applyFill="1" applyBorder="1" applyAlignment="1">
      <alignment horizontal="left" vertical="top" wrapText="1"/>
    </xf>
    <xf numFmtId="49" fontId="37" fillId="0" borderId="11" xfId="1" applyNumberFormat="1" applyFont="1" applyFill="1" applyBorder="1" applyAlignment="1">
      <alignment horizontal="left" vertical="top" wrapText="1"/>
    </xf>
    <xf numFmtId="0" fontId="26" fillId="0" borderId="13" xfId="0" applyFont="1" applyBorder="1" applyAlignment="1">
      <alignment vertical="top" shrinkToFit="1"/>
    </xf>
    <xf numFmtId="0" fontId="26" fillId="0" borderId="14" xfId="0" applyFont="1" applyBorder="1" applyAlignment="1">
      <alignment vertical="top" shrinkToFit="1"/>
    </xf>
    <xf numFmtId="0" fontId="24" fillId="3" borderId="15" xfId="0" applyFont="1" applyFill="1" applyBorder="1" applyAlignment="1">
      <alignment horizontal="center" vertical="center" wrapText="1"/>
    </xf>
    <xf numFmtId="0" fontId="24" fillId="3" borderId="16" xfId="0" applyFont="1" applyFill="1" applyBorder="1" applyAlignment="1">
      <alignment horizontal="center" vertical="center"/>
    </xf>
    <xf numFmtId="0" fontId="24" fillId="3" borderId="17" xfId="0" applyFont="1" applyFill="1" applyBorder="1" applyAlignment="1">
      <alignment horizontal="center" vertical="center"/>
    </xf>
    <xf numFmtId="0" fontId="24" fillId="3" borderId="19" xfId="0" applyFont="1" applyFill="1" applyBorder="1" applyAlignment="1">
      <alignment horizontal="center" vertical="center" wrapText="1"/>
    </xf>
    <xf numFmtId="0" fontId="24" fillId="3" borderId="0" xfId="0" applyFont="1" applyFill="1" applyBorder="1" applyAlignment="1">
      <alignment horizontal="center" vertical="center"/>
    </xf>
    <xf numFmtId="0" fontId="24" fillId="3" borderId="9" xfId="0" applyFont="1" applyFill="1" applyBorder="1" applyAlignment="1">
      <alignment horizontal="center" vertical="center"/>
    </xf>
    <xf numFmtId="0" fontId="24" fillId="3" borderId="19" xfId="0" applyFont="1" applyFill="1" applyBorder="1" applyAlignment="1">
      <alignment horizontal="center" vertical="center"/>
    </xf>
    <xf numFmtId="0" fontId="8" fillId="6" borderId="15" xfId="0" applyFont="1" applyFill="1" applyBorder="1" applyAlignment="1">
      <alignment horizontal="left" vertical="top" wrapText="1"/>
    </xf>
    <xf numFmtId="0" fontId="8" fillId="6" borderId="16" xfId="0" applyFont="1" applyFill="1" applyBorder="1" applyAlignment="1">
      <alignment horizontal="left" vertical="top" wrapText="1"/>
    </xf>
    <xf numFmtId="0" fontId="8" fillId="6" borderId="17" xfId="0" applyFont="1" applyFill="1" applyBorder="1" applyAlignment="1">
      <alignment horizontal="left" vertical="top" wrapText="1"/>
    </xf>
    <xf numFmtId="0" fontId="8" fillId="6" borderId="19" xfId="0" applyFont="1" applyFill="1" applyBorder="1" applyAlignment="1">
      <alignment horizontal="left" vertical="top" wrapText="1"/>
    </xf>
    <xf numFmtId="0" fontId="8" fillId="6" borderId="0" xfId="0" applyFont="1" applyFill="1" applyBorder="1" applyAlignment="1">
      <alignment horizontal="left" vertical="top" wrapText="1"/>
    </xf>
    <xf numFmtId="0" fontId="8" fillId="6" borderId="9" xfId="0" applyFont="1" applyFill="1" applyBorder="1" applyAlignment="1">
      <alignment horizontal="left" vertical="top" wrapText="1"/>
    </xf>
    <xf numFmtId="0" fontId="24" fillId="3" borderId="12" xfId="0" applyFont="1" applyFill="1" applyBorder="1" applyAlignment="1">
      <alignment horizontal="center" vertical="center"/>
    </xf>
    <xf numFmtId="0" fontId="24" fillId="3" borderId="13" xfId="0" applyFont="1" applyFill="1" applyBorder="1" applyAlignment="1">
      <alignment horizontal="center" vertical="center"/>
    </xf>
    <xf numFmtId="0" fontId="24" fillId="3" borderId="14" xfId="0" applyFont="1" applyFill="1" applyBorder="1" applyAlignment="1">
      <alignment horizontal="center" vertical="center"/>
    </xf>
    <xf numFmtId="0" fontId="24" fillId="3" borderId="15" xfId="0" applyFont="1" applyFill="1" applyBorder="1" applyAlignment="1">
      <alignment horizontal="center" vertical="top"/>
    </xf>
    <xf numFmtId="0" fontId="24" fillId="3" borderId="16" xfId="0" applyFont="1" applyFill="1" applyBorder="1" applyAlignment="1">
      <alignment horizontal="center" vertical="top"/>
    </xf>
    <xf numFmtId="0" fontId="24" fillId="3" borderId="17" xfId="0" applyFont="1" applyFill="1" applyBorder="1" applyAlignment="1">
      <alignment horizontal="center" vertical="top"/>
    </xf>
    <xf numFmtId="0" fontId="24" fillId="3" borderId="19" xfId="0" applyFont="1" applyFill="1" applyBorder="1" applyAlignment="1">
      <alignment horizontal="center" vertical="top"/>
    </xf>
    <xf numFmtId="0" fontId="24" fillId="3" borderId="0" xfId="0" applyFont="1" applyFill="1" applyBorder="1" applyAlignment="1">
      <alignment horizontal="center" vertical="top"/>
    </xf>
    <xf numFmtId="0" fontId="24" fillId="3" borderId="9" xfId="0" applyFont="1" applyFill="1" applyBorder="1" applyAlignment="1">
      <alignment horizontal="center" vertical="top"/>
    </xf>
    <xf numFmtId="0" fontId="23" fillId="0" borderId="18" xfId="0" applyFont="1" applyBorder="1" applyAlignment="1">
      <alignment horizontal="center" vertical="top"/>
    </xf>
    <xf numFmtId="0" fontId="23" fillId="0" borderId="10" xfId="0" applyFont="1" applyBorder="1" applyAlignment="1">
      <alignment horizontal="center" vertical="top"/>
    </xf>
    <xf numFmtId="0" fontId="23" fillId="0" borderId="11" xfId="0" applyFont="1" applyBorder="1" applyAlignment="1">
      <alignment horizontal="center" vertical="top"/>
    </xf>
    <xf numFmtId="0" fontId="14" fillId="3" borderId="22" xfId="0" applyFont="1" applyFill="1" applyBorder="1" applyAlignment="1">
      <alignment horizontal="center" vertical="center"/>
    </xf>
    <xf numFmtId="0" fontId="14" fillId="3" borderId="20" xfId="0" applyFont="1" applyFill="1" applyBorder="1" applyAlignment="1">
      <alignment horizontal="center" vertical="center"/>
    </xf>
    <xf numFmtId="0" fontId="14" fillId="3" borderId="21" xfId="0" applyFont="1" applyFill="1" applyBorder="1" applyAlignment="1">
      <alignment horizontal="center" vertical="center"/>
    </xf>
    <xf numFmtId="0" fontId="8" fillId="0" borderId="22" xfId="0" applyFont="1" applyFill="1" applyBorder="1" applyAlignment="1">
      <alignment horizontal="left" vertical="top" wrapText="1"/>
    </xf>
    <xf numFmtId="0" fontId="8" fillId="0" borderId="20" xfId="0" applyFont="1" applyFill="1" applyBorder="1" applyAlignment="1">
      <alignment horizontal="left" vertical="top" wrapText="1"/>
    </xf>
    <xf numFmtId="0" fontId="8" fillId="0" borderId="21" xfId="0" applyFont="1" applyFill="1" applyBorder="1" applyAlignment="1">
      <alignment horizontal="left" vertical="top" wrapText="1"/>
    </xf>
    <xf numFmtId="0" fontId="24" fillId="3" borderId="15" xfId="13" applyFont="1" applyFill="1" applyBorder="1" applyAlignment="1">
      <alignment horizontal="center" vertical="top"/>
    </xf>
    <xf numFmtId="0" fontId="24" fillId="3" borderId="16" xfId="13" applyFont="1" applyFill="1" applyBorder="1" applyAlignment="1">
      <alignment horizontal="center" vertical="top"/>
    </xf>
    <xf numFmtId="0" fontId="24" fillId="3" borderId="17" xfId="13" applyFont="1" applyFill="1" applyBorder="1" applyAlignment="1">
      <alignment horizontal="center" vertical="top"/>
    </xf>
    <xf numFmtId="0" fontId="26" fillId="0" borderId="13" xfId="0" applyFont="1" applyBorder="1" applyAlignment="1">
      <alignment horizontal="left" vertical="top"/>
    </xf>
    <xf numFmtId="0" fontId="26" fillId="0" borderId="14" xfId="0" applyFont="1" applyBorder="1" applyAlignment="1">
      <alignment horizontal="left" vertical="top"/>
    </xf>
    <xf numFmtId="0" fontId="23" fillId="0" borderId="19" xfId="0" applyFont="1" applyBorder="1" applyAlignment="1">
      <alignment horizontal="center" vertical="top"/>
    </xf>
    <xf numFmtId="0" fontId="23" fillId="0" borderId="0" xfId="0" applyFont="1" applyAlignment="1">
      <alignment horizontal="center" vertical="top"/>
    </xf>
    <xf numFmtId="0" fontId="23" fillId="0" borderId="9" xfId="0" applyFont="1" applyBorder="1" applyAlignment="1">
      <alignment horizontal="center" vertical="top"/>
    </xf>
    <xf numFmtId="0" fontId="26" fillId="0" borderId="19" xfId="0" applyFont="1" applyBorder="1" applyAlignment="1">
      <alignment vertical="top"/>
    </xf>
    <xf numFmtId="0" fontId="26" fillId="0" borderId="0" xfId="0" applyFont="1" applyAlignment="1">
      <alignment vertical="top"/>
    </xf>
    <xf numFmtId="0" fontId="26" fillId="0" borderId="9" xfId="0" applyFont="1" applyBorder="1" applyAlignment="1">
      <alignment vertical="top"/>
    </xf>
    <xf numFmtId="0" fontId="26" fillId="0" borderId="18" xfId="0" applyFont="1" applyBorder="1" applyAlignment="1">
      <alignment vertical="top"/>
    </xf>
    <xf numFmtId="0" fontId="26" fillId="0" borderId="10" xfId="0" applyFont="1" applyBorder="1" applyAlignment="1">
      <alignment vertical="top"/>
    </xf>
    <xf numFmtId="0" fontId="26" fillId="0" borderId="11" xfId="0" applyFont="1" applyBorder="1" applyAlignment="1">
      <alignment vertical="top"/>
    </xf>
    <xf numFmtId="0" fontId="26" fillId="0" borderId="19" xfId="0" applyFont="1" applyBorder="1" applyAlignment="1">
      <alignment horizontal="left" vertical="top"/>
    </xf>
    <xf numFmtId="0" fontId="26" fillId="0" borderId="0" xfId="0" applyFont="1" applyAlignment="1">
      <alignment horizontal="left" vertical="top"/>
    </xf>
    <xf numFmtId="0" fontId="26" fillId="0" borderId="9" xfId="0" applyFont="1" applyBorder="1" applyAlignment="1">
      <alignment horizontal="left" vertical="top"/>
    </xf>
    <xf numFmtId="0" fontId="24" fillId="3" borderId="12" xfId="0" applyFont="1" applyFill="1" applyBorder="1" applyAlignment="1">
      <alignment horizontal="center" vertical="top" wrapText="1"/>
    </xf>
    <xf numFmtId="0" fontId="24" fillId="3" borderId="13" xfId="0" applyFont="1" applyFill="1" applyBorder="1" applyAlignment="1">
      <alignment horizontal="center" vertical="top" wrapText="1"/>
    </xf>
    <xf numFmtId="0" fontId="24" fillId="3" borderId="14" xfId="0" applyFont="1" applyFill="1" applyBorder="1" applyAlignment="1">
      <alignment horizontal="center" vertical="top" wrapText="1"/>
    </xf>
    <xf numFmtId="0" fontId="26" fillId="0" borderId="16" xfId="0" applyFont="1" applyBorder="1" applyAlignment="1">
      <alignment horizontal="left" vertical="top" wrapText="1"/>
    </xf>
    <xf numFmtId="0" fontId="26" fillId="0" borderId="17" xfId="0" applyFont="1" applyBorder="1" applyAlignment="1">
      <alignment horizontal="left" vertical="top" wrapText="1"/>
    </xf>
    <xf numFmtId="0" fontId="26" fillId="0" borderId="19" xfId="0" applyFont="1" applyBorder="1" applyAlignment="1">
      <alignment horizontal="left" vertical="top" wrapText="1"/>
    </xf>
    <xf numFmtId="0" fontId="26" fillId="0" borderId="0" xfId="0" applyFont="1" applyAlignment="1">
      <alignment horizontal="left" vertical="top" wrapText="1"/>
    </xf>
    <xf numFmtId="0" fontId="26" fillId="0" borderId="9" xfId="0" applyFont="1" applyBorder="1" applyAlignment="1">
      <alignment horizontal="left" vertical="top" wrapText="1"/>
    </xf>
    <xf numFmtId="0" fontId="26" fillId="0" borderId="18" xfId="0" applyFont="1" applyBorder="1" applyAlignment="1">
      <alignment horizontal="left" vertical="top" wrapText="1"/>
    </xf>
    <xf numFmtId="0" fontId="26" fillId="0" borderId="10" xfId="0" applyFont="1" applyBorder="1" applyAlignment="1">
      <alignment horizontal="left" vertical="top" wrapText="1"/>
    </xf>
    <xf numFmtId="0" fontId="26" fillId="0" borderId="11" xfId="0" applyFont="1" applyBorder="1" applyAlignment="1">
      <alignment horizontal="left" vertical="top" wrapText="1"/>
    </xf>
    <xf numFmtId="0" fontId="24" fillId="3" borderId="16" xfId="0" applyFont="1" applyFill="1" applyBorder="1" applyAlignment="1">
      <alignment horizontal="center" vertical="center" wrapText="1"/>
    </xf>
    <xf numFmtId="0" fontId="24" fillId="3" borderId="17" xfId="0" applyFont="1" applyFill="1" applyBorder="1" applyAlignment="1">
      <alignment horizontal="center" vertical="center" wrapText="1"/>
    </xf>
    <xf numFmtId="0" fontId="24" fillId="3" borderId="18" xfId="0" applyFont="1" applyFill="1" applyBorder="1" applyAlignment="1">
      <alignment horizontal="center" vertical="center" wrapText="1"/>
    </xf>
    <xf numFmtId="0" fontId="24" fillId="3" borderId="10"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4" fillId="3" borderId="15" xfId="0" applyFont="1" applyFill="1" applyBorder="1" applyAlignment="1">
      <alignment horizontal="center" vertical="top" textRotation="255" wrapText="1"/>
    </xf>
    <xf numFmtId="0" fontId="24" fillId="3" borderId="16" xfId="0" applyFont="1" applyFill="1" applyBorder="1" applyAlignment="1">
      <alignment horizontal="center" vertical="top" textRotation="255" wrapText="1"/>
    </xf>
    <xf numFmtId="0" fontId="24" fillId="3" borderId="17" xfId="0" applyFont="1" applyFill="1" applyBorder="1" applyAlignment="1">
      <alignment horizontal="center" vertical="top" textRotation="255" wrapText="1"/>
    </xf>
    <xf numFmtId="0" fontId="24" fillId="3" borderId="19" xfId="0" applyFont="1" applyFill="1" applyBorder="1" applyAlignment="1">
      <alignment horizontal="center" vertical="top" textRotation="255" wrapText="1"/>
    </xf>
    <xf numFmtId="0" fontId="24" fillId="3" borderId="0" xfId="0" applyFont="1" applyFill="1" applyBorder="1" applyAlignment="1">
      <alignment horizontal="center" vertical="top" textRotation="255" wrapText="1"/>
    </xf>
    <xf numFmtId="0" fontId="24" fillId="3" borderId="9" xfId="0" applyFont="1" applyFill="1" applyBorder="1" applyAlignment="1">
      <alignment horizontal="center" vertical="top" textRotation="255" wrapText="1"/>
    </xf>
    <xf numFmtId="0" fontId="24" fillId="3" borderId="18" xfId="0" applyFont="1" applyFill="1" applyBorder="1" applyAlignment="1">
      <alignment horizontal="center" vertical="top" textRotation="255" wrapText="1"/>
    </xf>
    <xf numFmtId="0" fontId="24" fillId="3" borderId="10" xfId="0" applyFont="1" applyFill="1" applyBorder="1" applyAlignment="1">
      <alignment horizontal="center" vertical="top" textRotation="255" wrapText="1"/>
    </xf>
    <xf numFmtId="0" fontId="24" fillId="3" borderId="11" xfId="0" applyFont="1" applyFill="1" applyBorder="1" applyAlignment="1">
      <alignment horizontal="center" vertical="top" textRotation="255" wrapText="1"/>
    </xf>
    <xf numFmtId="0" fontId="24" fillId="3" borderId="24" xfId="0" applyFont="1" applyFill="1" applyBorder="1" applyAlignment="1">
      <alignment horizontal="center" vertical="center"/>
    </xf>
    <xf numFmtId="0" fontId="24" fillId="3" borderId="24" xfId="0" applyFont="1" applyFill="1" applyBorder="1" applyAlignment="1">
      <alignment horizontal="center" vertical="top" wrapText="1"/>
    </xf>
    <xf numFmtId="0" fontId="26" fillId="0" borderId="13" xfId="0" applyFont="1" applyBorder="1" applyAlignment="1">
      <alignment horizontal="center"/>
    </xf>
    <xf numFmtId="0" fontId="26" fillId="0" borderId="14" xfId="0" applyFont="1" applyBorder="1" applyAlignment="1">
      <alignment horizontal="center"/>
    </xf>
    <xf numFmtId="0" fontId="24" fillId="3" borderId="12" xfId="0" applyFont="1" applyFill="1" applyBorder="1" applyAlignment="1">
      <alignment horizontal="center" vertical="top"/>
    </xf>
    <xf numFmtId="0" fontId="24" fillId="3" borderId="13" xfId="0" applyFont="1" applyFill="1" applyBorder="1" applyAlignment="1">
      <alignment horizontal="center" vertical="top"/>
    </xf>
    <xf numFmtId="0" fontId="24" fillId="3" borderId="14" xfId="0" applyFont="1" applyFill="1" applyBorder="1" applyAlignment="1">
      <alignment horizontal="center" vertical="top"/>
    </xf>
    <xf numFmtId="0" fontId="23" fillId="0" borderId="13" xfId="0" applyFont="1" applyBorder="1" applyAlignment="1">
      <alignment horizontal="center" vertical="top"/>
    </xf>
    <xf numFmtId="0" fontId="23" fillId="0" borderId="14" xfId="0" applyFont="1" applyBorder="1" applyAlignment="1">
      <alignment horizontal="center" vertical="top"/>
    </xf>
    <xf numFmtId="0" fontId="24" fillId="3" borderId="19" xfId="13" applyFont="1" applyFill="1" applyBorder="1" applyAlignment="1">
      <alignment horizontal="center" vertical="top"/>
    </xf>
    <xf numFmtId="0" fontId="24" fillId="3" borderId="0" xfId="13" applyFont="1" applyFill="1" applyBorder="1" applyAlignment="1">
      <alignment horizontal="center" vertical="top"/>
    </xf>
    <xf numFmtId="0" fontId="24" fillId="3" borderId="9" xfId="13" applyFont="1" applyFill="1" applyBorder="1" applyAlignment="1">
      <alignment horizontal="center" vertical="top"/>
    </xf>
  </cellXfs>
  <cellStyles count="17">
    <cellStyle name="標準" xfId="0" builtinId="0"/>
    <cellStyle name="標準 2" xfId="1" xr:uid="{00000000-0005-0000-0000-000001000000}"/>
    <cellStyle name="標準 2 2" xfId="2" xr:uid="{00000000-0005-0000-0000-000002000000}"/>
    <cellStyle name="標準 2 2 2" xfId="3" xr:uid="{00000000-0005-0000-0000-000003000000}"/>
    <cellStyle name="標準 2 2 3" xfId="4" xr:uid="{00000000-0005-0000-0000-000004000000}"/>
    <cellStyle name="標準 2 2 4" xfId="5" xr:uid="{00000000-0005-0000-0000-000005000000}"/>
    <cellStyle name="標準 2 2_SMCCDBディスクサイジング_20110320_R04" xfId="6" xr:uid="{00000000-0005-0000-0000-000006000000}"/>
    <cellStyle name="標準 2 3" xfId="7" xr:uid="{00000000-0005-0000-0000-000007000000}"/>
    <cellStyle name="標準 2_SMCCDBディスクサイジング_20110320_R04" xfId="8" xr:uid="{00000000-0005-0000-0000-000008000000}"/>
    <cellStyle name="標準 3" xfId="9" xr:uid="{00000000-0005-0000-0000-000009000000}"/>
    <cellStyle name="標準 3 2" xfId="10" xr:uid="{00000000-0005-0000-0000-00000A000000}"/>
    <cellStyle name="標準 4" xfId="11" xr:uid="{00000000-0005-0000-0000-00000B000000}"/>
    <cellStyle name="標準 4 2" xfId="12" xr:uid="{00000000-0005-0000-0000-00000C000000}"/>
    <cellStyle name="標準_25.システム化の目的と前提条件" xfId="13" xr:uid="{00000000-0005-0000-0000-00000D000000}"/>
    <cellStyle name="標準_25.システム化の目的と前提条件_依頼事項一覧表" xfId="14" xr:uid="{00000000-0005-0000-0000-00000E000000}"/>
    <cellStyle name="標準_テスト計画書_v1.1_01_はじめに_R00" xfId="15" xr:uid="{00000000-0005-0000-0000-00000F000000}"/>
    <cellStyle name="標準_新料金共通ルーチン一覧表（ＰＣ）" xfId="16" xr:uid="{00000000-0005-0000-0000-00001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85725</xdr:rowOff>
    </xdr:from>
    <xdr:to>
      <xdr:col>37</xdr:col>
      <xdr:colOff>0</xdr:colOff>
      <xdr:row>30</xdr:row>
      <xdr:rowOff>228600</xdr:rowOff>
    </xdr:to>
    <xdr:pic>
      <xdr:nvPicPr>
        <xdr:cNvPr id="2" name="図 1">
          <a:extLst>
            <a:ext uri="{FF2B5EF4-FFF2-40B4-BE49-F238E27FC236}">
              <a16:creationId xmlns:a16="http://schemas.microsoft.com/office/drawing/2014/main" id="{F19EC913-20F4-45A8-AE3C-72852403C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3686175"/>
          <a:ext cx="763905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163286</xdr:colOff>
      <xdr:row>9</xdr:row>
      <xdr:rowOff>44902</xdr:rowOff>
    </xdr:from>
    <xdr:to>
      <xdr:col>38</xdr:col>
      <xdr:colOff>78440</xdr:colOff>
      <xdr:row>14</xdr:row>
      <xdr:rowOff>149679</xdr:rowOff>
    </xdr:to>
    <xdr:sp macro="" textlink="">
      <xdr:nvSpPr>
        <xdr:cNvPr id="3" name="正方形/長方形 2">
          <a:extLst>
            <a:ext uri="{FF2B5EF4-FFF2-40B4-BE49-F238E27FC236}">
              <a16:creationId xmlns:a16="http://schemas.microsoft.com/office/drawing/2014/main" id="{5E18F21A-5A6A-4478-A6AE-A6B0DFBB9154}"/>
            </a:ext>
          </a:extLst>
        </xdr:cNvPr>
        <xdr:cNvSpPr/>
      </xdr:nvSpPr>
      <xdr:spPr>
        <a:xfrm>
          <a:off x="5878286" y="1587952"/>
          <a:ext cx="3248904" cy="96202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rtl="0">
            <a:lnSpc>
              <a:spcPts val="2400"/>
            </a:lnSpc>
            <a:defRPr sz="1000"/>
          </a:pPr>
          <a:r>
            <a:rPr lang="ja-JP" altLang="en-US" sz="2000" b="1" i="0" u="none" strike="noStrike" baseline="0">
              <a:solidFill>
                <a:srgbClr val="000000"/>
              </a:solidFill>
              <a:latin typeface="ＭＳ Ｐゴシック"/>
              <a:ea typeface="ＭＳ Ｐゴシック"/>
            </a:rPr>
            <a:t>三井住友カード　御中</a:t>
          </a:r>
        </a:p>
        <a:p>
          <a:pPr algn="l" rtl="0">
            <a:lnSpc>
              <a:spcPts val="2300"/>
            </a:lnSpc>
            <a:defRPr sz="1000"/>
          </a:pPr>
          <a:r>
            <a:rPr lang="ja-JP" altLang="en-US" sz="2000" b="1" i="0" u="none" strike="noStrike" baseline="0">
              <a:solidFill>
                <a:srgbClr val="000000"/>
              </a:solidFill>
              <a:latin typeface="ＭＳ Ｐゴシック"/>
              <a:ea typeface="ＭＳ Ｐゴシック"/>
            </a:rPr>
            <a:t>日本総合研究所　御中 </a:t>
          </a:r>
        </a:p>
      </xdr:txBody>
    </xdr:sp>
    <xdr:clientData/>
  </xdr:twoCellAnchor>
  <xdr:twoCellAnchor>
    <xdr:from>
      <xdr:col>25</xdr:col>
      <xdr:colOff>219075</xdr:colOff>
      <xdr:row>14</xdr:row>
      <xdr:rowOff>123825</xdr:rowOff>
    </xdr:from>
    <xdr:to>
      <xdr:col>40</xdr:col>
      <xdr:colOff>133350</xdr:colOff>
      <xdr:row>19</xdr:row>
      <xdr:rowOff>9525</xdr:rowOff>
    </xdr:to>
    <xdr:sp macro="" textlink="">
      <xdr:nvSpPr>
        <xdr:cNvPr id="4" name="正方形/長方形 3">
          <a:extLst>
            <a:ext uri="{FF2B5EF4-FFF2-40B4-BE49-F238E27FC236}">
              <a16:creationId xmlns:a16="http://schemas.microsoft.com/office/drawing/2014/main" id="{E0E15926-303D-4F1C-84BB-3E070D13F191}"/>
            </a:ext>
          </a:extLst>
        </xdr:cNvPr>
        <xdr:cNvSpPr>
          <a:spLocks noChangeArrowheads="1"/>
        </xdr:cNvSpPr>
      </xdr:nvSpPr>
      <xdr:spPr bwMode="auto">
        <a:xfrm>
          <a:off x="6172200" y="2524125"/>
          <a:ext cx="3486150" cy="742950"/>
        </a:xfrm>
        <a:prstGeom prst="rect">
          <a:avLst/>
        </a:prstGeom>
        <a:noFill/>
        <a:ln w="25400" algn="ctr">
          <a:noFill/>
          <a:miter lim="800000"/>
          <a:headEnd/>
          <a:tailEnd/>
        </a:ln>
      </xdr:spPr>
      <xdr:txBody>
        <a:bodyPr vertOverflow="clip" wrap="square" lIns="45720" tIns="27432" rIns="0" bIns="27432" anchor="ctr" upright="1"/>
        <a:lstStyle/>
        <a:p>
          <a:pPr algn="l" rtl="0">
            <a:lnSpc>
              <a:spcPts val="2300"/>
            </a:lnSpc>
            <a:defRPr sz="1000"/>
          </a:pPr>
          <a:r>
            <a:rPr lang="en-US" altLang="ja-JP" sz="2000" b="1" i="0" u="none" strike="noStrike" baseline="0">
              <a:solidFill>
                <a:srgbClr val="000000"/>
              </a:solidFill>
              <a:latin typeface="ＭＳ Ｐゴシック"/>
              <a:ea typeface="+mn-ea"/>
            </a:rPr>
            <a:t>DB</a:t>
          </a:r>
          <a:r>
            <a:rPr lang="ja-JP" altLang="en-US" sz="2000" b="1" i="0" u="none" strike="noStrike" baseline="0">
              <a:solidFill>
                <a:srgbClr val="000000"/>
              </a:solidFill>
              <a:latin typeface="ＭＳ Ｐゴシック"/>
              <a:ea typeface="+mn-ea"/>
            </a:rPr>
            <a:t>サーバ基本設計書</a:t>
          </a:r>
          <a:endParaRPr lang="en-US" altLang="ja-JP" sz="2000" b="1" i="0" u="none" strike="noStrike" baseline="0">
            <a:solidFill>
              <a:srgbClr val="000000"/>
            </a:solidFill>
            <a:latin typeface="ＭＳ Ｐゴシック"/>
            <a:ea typeface="+mn-ea"/>
          </a:endParaRPr>
        </a:p>
        <a:p>
          <a:pPr algn="l" rtl="0">
            <a:lnSpc>
              <a:spcPts val="2300"/>
            </a:lnSpc>
            <a:defRPr sz="1000"/>
          </a:pPr>
          <a:r>
            <a:rPr lang="ja-JP" altLang="en-US" sz="2000" b="1" i="0" u="none" strike="noStrike" baseline="0">
              <a:solidFill>
                <a:srgbClr val="000000"/>
              </a:solidFill>
              <a:latin typeface="ＭＳ Ｐゴシック"/>
              <a:ea typeface="+mn-ea"/>
            </a:rPr>
            <a:t>（</a:t>
          </a:r>
          <a:r>
            <a:rPr lang="en-US" altLang="ja-JP" sz="2000" b="1" i="0" u="none" strike="noStrike" baseline="0">
              <a:solidFill>
                <a:srgbClr val="FF0000"/>
              </a:solidFill>
              <a:latin typeface="ＭＳ Ｐゴシック"/>
              <a:ea typeface="+mn-ea"/>
            </a:rPr>
            <a:t>AEP</a:t>
          </a:r>
          <a:r>
            <a:rPr lang="ja-JP" altLang="en-US" sz="2000" b="1" i="0" u="none" strike="noStrike" baseline="0">
              <a:solidFill>
                <a:srgbClr val="000000"/>
              </a:solidFill>
              <a:latin typeface="ＭＳ Ｐゴシック"/>
              <a:ea typeface="+mn-ea"/>
            </a:rPr>
            <a:t>基盤編）</a:t>
          </a:r>
        </a:p>
        <a:p>
          <a:pPr algn="l" rtl="0">
            <a:lnSpc>
              <a:spcPts val="1700"/>
            </a:lnSpc>
            <a:defRPr sz="1000"/>
          </a:pPr>
          <a:r>
            <a:rPr lang="en-US" altLang="ja-JP" sz="1600" b="1" i="0" u="none" strike="noStrike" baseline="0">
              <a:solidFill>
                <a:srgbClr val="FF0000"/>
              </a:solidFill>
              <a:latin typeface="ＭＳ Ｐゴシック"/>
              <a:ea typeface="ＭＳ Ｐゴシック"/>
            </a:rPr>
            <a:t>2019</a:t>
          </a:r>
          <a:r>
            <a:rPr lang="ja-JP" altLang="en-US" sz="1600" b="1" i="0" u="none" strike="noStrike" baseline="0">
              <a:solidFill>
                <a:srgbClr val="FF0000"/>
              </a:solidFill>
              <a:latin typeface="ＭＳ Ｐゴシック"/>
              <a:ea typeface="ＭＳ Ｐゴシック"/>
            </a:rPr>
            <a:t>年</a:t>
          </a:r>
          <a:r>
            <a:rPr lang="en-US" altLang="ja-JP" sz="1600" b="1" i="0" u="none" strike="noStrike" baseline="0">
              <a:solidFill>
                <a:srgbClr val="FF0000"/>
              </a:solidFill>
              <a:latin typeface="ＭＳ Ｐゴシック"/>
              <a:ea typeface="ＭＳ Ｐゴシック"/>
            </a:rPr>
            <a:t>4</a:t>
          </a:r>
          <a:r>
            <a:rPr lang="ja-JP" altLang="en-US" sz="1600" b="1" i="0" u="none" strike="noStrike" baseline="0">
              <a:solidFill>
                <a:srgbClr val="FF0000"/>
              </a:solidFill>
              <a:latin typeface="ＭＳ Ｐゴシック"/>
              <a:ea typeface="ＭＳ Ｐゴシック"/>
            </a:rPr>
            <a:t>月</a:t>
          </a:r>
          <a:r>
            <a:rPr lang="en-US" altLang="ja-JP" sz="1600" b="1" i="0" u="none" strike="noStrike" baseline="0">
              <a:solidFill>
                <a:srgbClr val="FF0000"/>
              </a:solidFill>
              <a:latin typeface="ＭＳ Ｐゴシック"/>
              <a:ea typeface="ＭＳ Ｐゴシック"/>
            </a:rPr>
            <a:t>12</a:t>
          </a:r>
          <a:r>
            <a:rPr lang="ja-JP" altLang="en-US" sz="1600" b="1" i="0" u="none" strike="noStrike" baseline="0">
              <a:solidFill>
                <a:srgbClr val="FF0000"/>
              </a:solidFill>
              <a:latin typeface="ＭＳ Ｐゴシック"/>
              <a:ea typeface="ＭＳ Ｐゴシック"/>
            </a:rPr>
            <a:t>日    第</a:t>
          </a:r>
          <a:r>
            <a:rPr lang="en-US" altLang="ja-JP" sz="1600" b="1" i="0" u="none" strike="noStrike" baseline="0">
              <a:solidFill>
                <a:srgbClr val="FF0000"/>
              </a:solidFill>
              <a:latin typeface="ＭＳ Ｐゴシック"/>
              <a:ea typeface="ＭＳ Ｐゴシック"/>
            </a:rPr>
            <a:t>1.3</a:t>
          </a:r>
          <a:r>
            <a:rPr lang="ja-JP" altLang="en-US" sz="1600" b="1" i="0" u="none" strike="noStrike" baseline="0">
              <a:solidFill>
                <a:srgbClr val="FF0000"/>
              </a:solidFill>
              <a:latin typeface="ＭＳ Ｐゴシック"/>
              <a:ea typeface="ＭＳ Ｐゴシック"/>
            </a:rPr>
            <a:t>版</a:t>
          </a:r>
        </a:p>
      </xdr:txBody>
    </xdr:sp>
    <xdr:clientData/>
  </xdr:twoCellAnchor>
  <xdr:twoCellAnchor>
    <xdr:from>
      <xdr:col>36</xdr:col>
      <xdr:colOff>66675</xdr:colOff>
      <xdr:row>1</xdr:row>
      <xdr:rowOff>66675</xdr:rowOff>
    </xdr:from>
    <xdr:to>
      <xdr:col>39</xdr:col>
      <xdr:colOff>238125</xdr:colOff>
      <xdr:row>3</xdr:row>
      <xdr:rowOff>190500</xdr:rowOff>
    </xdr:to>
    <xdr:pic>
      <xdr:nvPicPr>
        <xdr:cNvPr id="5" name="Picture 2" descr="5：3組合せロゴ（スローガンあり）">
          <a:extLst>
            <a:ext uri="{FF2B5EF4-FFF2-40B4-BE49-F238E27FC236}">
              <a16:creationId xmlns:a16="http://schemas.microsoft.com/office/drawing/2014/main" id="{FA96A6D2-417F-4FFA-B918-348A5BE9B7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238125"/>
          <a:ext cx="8858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27215</xdr:colOff>
      <xdr:row>7</xdr:row>
      <xdr:rowOff>136071</xdr:rowOff>
    </xdr:from>
    <xdr:to>
      <xdr:col>40</xdr:col>
      <xdr:colOff>204105</xdr:colOff>
      <xdr:row>7</xdr:row>
      <xdr:rowOff>136071</xdr:rowOff>
    </xdr:to>
    <xdr:cxnSp macro="">
      <xdr:nvCxnSpPr>
        <xdr:cNvPr id="6" name="直線コネクタ 5">
          <a:extLst>
            <a:ext uri="{FF2B5EF4-FFF2-40B4-BE49-F238E27FC236}">
              <a16:creationId xmlns:a16="http://schemas.microsoft.com/office/drawing/2014/main" id="{56F4C678-1D96-4FCE-A6B3-E14AC9A266EC}"/>
            </a:ext>
          </a:extLst>
        </xdr:cNvPr>
        <xdr:cNvCxnSpPr/>
      </xdr:nvCxnSpPr>
      <xdr:spPr>
        <a:xfrm>
          <a:off x="5980340" y="1336221"/>
          <a:ext cx="3748765" cy="0"/>
        </a:xfrm>
        <a:prstGeom prst="line">
          <a:avLst/>
        </a:prstGeom>
        <a:ln w="508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66675</xdr:colOff>
      <xdr:row>1</xdr:row>
      <xdr:rowOff>66675</xdr:rowOff>
    </xdr:from>
    <xdr:to>
      <xdr:col>39</xdr:col>
      <xdr:colOff>238125</xdr:colOff>
      <xdr:row>3</xdr:row>
      <xdr:rowOff>190500</xdr:rowOff>
    </xdr:to>
    <xdr:pic>
      <xdr:nvPicPr>
        <xdr:cNvPr id="7" name="Picture 2" descr="5：3組合せロゴ（スローガンあり）">
          <a:extLst>
            <a:ext uri="{FF2B5EF4-FFF2-40B4-BE49-F238E27FC236}">
              <a16:creationId xmlns:a16="http://schemas.microsoft.com/office/drawing/2014/main" id="{69DA28AD-7CB6-4FD8-AE06-6580F582C5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238125"/>
          <a:ext cx="8858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22411</xdr:colOff>
      <xdr:row>300</xdr:row>
      <xdr:rowOff>95250</xdr:rowOff>
    </xdr:from>
    <xdr:to>
      <xdr:col>62</xdr:col>
      <xdr:colOff>100853</xdr:colOff>
      <xdr:row>305</xdr:row>
      <xdr:rowOff>66675</xdr:rowOff>
    </xdr:to>
    <xdr:sp macro="" textlink="">
      <xdr:nvSpPr>
        <xdr:cNvPr id="165" name="正方形/長方形 164">
          <a:extLst>
            <a:ext uri="{FF2B5EF4-FFF2-40B4-BE49-F238E27FC236}">
              <a16:creationId xmlns:a16="http://schemas.microsoft.com/office/drawing/2014/main" id="{00000000-0008-0000-0300-0000A5000000}"/>
            </a:ext>
          </a:extLst>
        </xdr:cNvPr>
        <xdr:cNvSpPr/>
      </xdr:nvSpPr>
      <xdr:spPr>
        <a:xfrm>
          <a:off x="2746561" y="35099625"/>
          <a:ext cx="5031442" cy="73342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Standby</a:t>
          </a:r>
          <a:r>
            <a:rPr lang="ja-JP" altLang="en-US" sz="1200">
              <a:solidFill>
                <a:sysClr val="windowText" lastClr="000000"/>
              </a:solidFill>
              <a:latin typeface="+mn-ea"/>
            </a:rPr>
            <a:t>）</a:t>
          </a:r>
        </a:p>
      </xdr:txBody>
    </xdr:sp>
    <xdr:clientData/>
  </xdr:twoCellAnchor>
  <xdr:twoCellAnchor>
    <xdr:from>
      <xdr:col>23</xdr:col>
      <xdr:colOff>11205</xdr:colOff>
      <xdr:row>335</xdr:row>
      <xdr:rowOff>114299</xdr:rowOff>
    </xdr:from>
    <xdr:to>
      <xdr:col>63</xdr:col>
      <xdr:colOff>89647</xdr:colOff>
      <xdr:row>347</xdr:row>
      <xdr:rowOff>47625</xdr:rowOff>
    </xdr:to>
    <xdr:sp macro="" textlink="">
      <xdr:nvSpPr>
        <xdr:cNvPr id="200" name="正方形/長方形 199">
          <a:extLst>
            <a:ext uri="{FF2B5EF4-FFF2-40B4-BE49-F238E27FC236}">
              <a16:creationId xmlns:a16="http://schemas.microsoft.com/office/drawing/2014/main" id="{00000000-0008-0000-0300-0000C8000000}"/>
            </a:ext>
          </a:extLst>
        </xdr:cNvPr>
        <xdr:cNvSpPr/>
      </xdr:nvSpPr>
      <xdr:spPr>
        <a:xfrm>
          <a:off x="2859180" y="40338374"/>
          <a:ext cx="5031442" cy="19145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ＭＳ Ｐゴシック" pitchFamily="50" charset="-128"/>
              <a:ea typeface="ＭＳ Ｐゴシック" pitchFamily="50" charset="-128"/>
            </a:rPr>
            <a:t>Standby</a:t>
          </a:r>
          <a:r>
            <a:rPr lang="ja-JP" altLang="en-US" sz="1200">
              <a:solidFill>
                <a:sysClr val="windowText" lastClr="000000"/>
              </a:solidFill>
              <a:latin typeface="+mn-ea"/>
            </a:rPr>
            <a:t>）</a:t>
          </a:r>
        </a:p>
      </xdr:txBody>
    </xdr:sp>
    <xdr:clientData/>
  </xdr:twoCellAnchor>
  <xdr:twoCellAnchor>
    <xdr:from>
      <xdr:col>22</xdr:col>
      <xdr:colOff>22411</xdr:colOff>
      <xdr:row>285</xdr:row>
      <xdr:rowOff>0</xdr:rowOff>
    </xdr:from>
    <xdr:to>
      <xdr:col>62</xdr:col>
      <xdr:colOff>100853</xdr:colOff>
      <xdr:row>300</xdr:row>
      <xdr:rowOff>38100</xdr:rowOff>
    </xdr:to>
    <xdr:sp macro="" textlink="">
      <xdr:nvSpPr>
        <xdr:cNvPr id="170" name="正方形/長方形 169">
          <a:extLst>
            <a:ext uri="{FF2B5EF4-FFF2-40B4-BE49-F238E27FC236}">
              <a16:creationId xmlns:a16="http://schemas.microsoft.com/office/drawing/2014/main" id="{00000000-0008-0000-0300-0000AA000000}"/>
            </a:ext>
          </a:extLst>
        </xdr:cNvPr>
        <xdr:cNvSpPr/>
      </xdr:nvSpPr>
      <xdr:spPr>
        <a:xfrm>
          <a:off x="2746561" y="32718375"/>
          <a:ext cx="5031442" cy="23241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66</xdr:col>
      <xdr:colOff>89647</xdr:colOff>
      <xdr:row>170</xdr:row>
      <xdr:rowOff>147918</xdr:rowOff>
    </xdr:from>
    <xdr:to>
      <xdr:col>79</xdr:col>
      <xdr:colOff>46888</xdr:colOff>
      <xdr:row>201</xdr:row>
      <xdr:rowOff>65553</xdr:rowOff>
    </xdr:to>
    <xdr:sp macro="" textlink="">
      <xdr:nvSpPr>
        <xdr:cNvPr id="308" name="正方形/長方形 307">
          <a:extLst>
            <a:ext uri="{FF2B5EF4-FFF2-40B4-BE49-F238E27FC236}">
              <a16:creationId xmlns:a16="http://schemas.microsoft.com/office/drawing/2014/main" id="{00000000-0008-0000-0300-000034010000}"/>
            </a:ext>
          </a:extLst>
        </xdr:cNvPr>
        <xdr:cNvSpPr/>
      </xdr:nvSpPr>
      <xdr:spPr>
        <a:xfrm>
          <a:off x="8225118" y="20721918"/>
          <a:ext cx="1559682" cy="478098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67</xdr:col>
      <xdr:colOff>11206</xdr:colOff>
      <xdr:row>187</xdr:row>
      <xdr:rowOff>78437</xdr:rowOff>
    </xdr:from>
    <xdr:to>
      <xdr:col>79</xdr:col>
      <xdr:colOff>11206</xdr:colOff>
      <xdr:row>196</xdr:row>
      <xdr:rowOff>123266</xdr:rowOff>
    </xdr:to>
    <xdr:sp macro="" textlink="">
      <xdr:nvSpPr>
        <xdr:cNvPr id="385" name="正方形/長方形 384">
          <a:extLst>
            <a:ext uri="{FF2B5EF4-FFF2-40B4-BE49-F238E27FC236}">
              <a16:creationId xmlns:a16="http://schemas.microsoft.com/office/drawing/2014/main" id="{00000000-0008-0000-0300-000081010000}"/>
            </a:ext>
          </a:extLst>
        </xdr:cNvPr>
        <xdr:cNvSpPr/>
      </xdr:nvSpPr>
      <xdr:spPr>
        <a:xfrm>
          <a:off x="8269941" y="23319437"/>
          <a:ext cx="1479177" cy="145677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67</xdr:col>
      <xdr:colOff>11206</xdr:colOff>
      <xdr:row>172</xdr:row>
      <xdr:rowOff>112058</xdr:rowOff>
    </xdr:from>
    <xdr:to>
      <xdr:col>79</xdr:col>
      <xdr:colOff>11206</xdr:colOff>
      <xdr:row>187</xdr:row>
      <xdr:rowOff>22411</xdr:rowOff>
    </xdr:to>
    <xdr:sp macro="" textlink="">
      <xdr:nvSpPr>
        <xdr:cNvPr id="386" name="正方形/長方形 385">
          <a:extLst>
            <a:ext uri="{FF2B5EF4-FFF2-40B4-BE49-F238E27FC236}">
              <a16:creationId xmlns:a16="http://schemas.microsoft.com/office/drawing/2014/main" id="{00000000-0008-0000-0300-000082010000}"/>
            </a:ext>
          </a:extLst>
        </xdr:cNvPr>
        <xdr:cNvSpPr/>
      </xdr:nvSpPr>
      <xdr:spPr>
        <a:xfrm>
          <a:off x="8269941" y="20999823"/>
          <a:ext cx="1479177" cy="2263588"/>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89647</xdr:colOff>
      <xdr:row>52</xdr:row>
      <xdr:rowOff>145678</xdr:rowOff>
    </xdr:from>
    <xdr:to>
      <xdr:col>79</xdr:col>
      <xdr:colOff>67235</xdr:colOff>
      <xdr:row>83</xdr:row>
      <xdr:rowOff>63313</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8225118" y="8325972"/>
          <a:ext cx="1580029" cy="478098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67</xdr:col>
      <xdr:colOff>11205</xdr:colOff>
      <xdr:row>69</xdr:row>
      <xdr:rowOff>89647</xdr:rowOff>
    </xdr:from>
    <xdr:to>
      <xdr:col>79</xdr:col>
      <xdr:colOff>11205</xdr:colOff>
      <xdr:row>79</xdr:row>
      <xdr:rowOff>22410</xdr:rowOff>
    </xdr:to>
    <xdr:sp macro="" textlink="">
      <xdr:nvSpPr>
        <xdr:cNvPr id="380" name="正方形/長方形 379">
          <a:extLst>
            <a:ext uri="{FF2B5EF4-FFF2-40B4-BE49-F238E27FC236}">
              <a16:creationId xmlns:a16="http://schemas.microsoft.com/office/drawing/2014/main" id="{00000000-0008-0000-0300-00007C010000}"/>
            </a:ext>
          </a:extLst>
        </xdr:cNvPr>
        <xdr:cNvSpPr/>
      </xdr:nvSpPr>
      <xdr:spPr>
        <a:xfrm>
          <a:off x="8269940" y="10936941"/>
          <a:ext cx="1479177" cy="150158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67</xdr:col>
      <xdr:colOff>11205</xdr:colOff>
      <xdr:row>54</xdr:row>
      <xdr:rowOff>112060</xdr:rowOff>
    </xdr:from>
    <xdr:to>
      <xdr:col>79</xdr:col>
      <xdr:colOff>11205</xdr:colOff>
      <xdr:row>69</xdr:row>
      <xdr:rowOff>22413</xdr:rowOff>
    </xdr:to>
    <xdr:sp macro="" textlink="">
      <xdr:nvSpPr>
        <xdr:cNvPr id="379" name="正方形/長方形 378">
          <a:extLst>
            <a:ext uri="{FF2B5EF4-FFF2-40B4-BE49-F238E27FC236}">
              <a16:creationId xmlns:a16="http://schemas.microsoft.com/office/drawing/2014/main" id="{00000000-0008-0000-0300-00007B010000}"/>
            </a:ext>
          </a:extLst>
        </xdr:cNvPr>
        <xdr:cNvSpPr/>
      </xdr:nvSpPr>
      <xdr:spPr>
        <a:xfrm>
          <a:off x="8269940" y="8606119"/>
          <a:ext cx="1479177" cy="2263588"/>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26</xdr:col>
      <xdr:colOff>2960</xdr:colOff>
      <xdr:row>186</xdr:row>
      <xdr:rowOff>76773</xdr:rowOff>
    </xdr:from>
    <xdr:to>
      <xdr:col>64</xdr:col>
      <xdr:colOff>91712</xdr:colOff>
      <xdr:row>201</xdr:row>
      <xdr:rowOff>110028</xdr:rowOff>
    </xdr:to>
    <xdr:sp macro="" textlink="">
      <xdr:nvSpPr>
        <xdr:cNvPr id="292" name="正方形/長方形 291">
          <a:extLst>
            <a:ext uri="{FF2B5EF4-FFF2-40B4-BE49-F238E27FC236}">
              <a16:creationId xmlns:a16="http://schemas.microsoft.com/office/drawing/2014/main" id="{00000000-0008-0000-0300-000024010000}"/>
            </a:ext>
          </a:extLst>
        </xdr:cNvPr>
        <xdr:cNvSpPr/>
      </xdr:nvSpPr>
      <xdr:spPr>
        <a:xfrm>
          <a:off x="2916489" y="23160891"/>
          <a:ext cx="4346988" cy="238649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Standby</a:t>
          </a:r>
          <a:r>
            <a:rPr lang="ja-JP" altLang="en-US" sz="1200">
              <a:solidFill>
                <a:sysClr val="windowText" lastClr="000000"/>
              </a:solidFill>
              <a:latin typeface="+mn-ea"/>
            </a:rPr>
            <a:t>）</a:t>
          </a:r>
        </a:p>
      </xdr:txBody>
    </xdr:sp>
    <xdr:clientData/>
  </xdr:twoCellAnchor>
  <xdr:twoCellAnchor>
    <xdr:from>
      <xdr:col>47</xdr:col>
      <xdr:colOff>92810</xdr:colOff>
      <xdr:row>187</xdr:row>
      <xdr:rowOff>24653</xdr:rowOff>
    </xdr:from>
    <xdr:to>
      <xdr:col>63</xdr:col>
      <xdr:colOff>102914</xdr:colOff>
      <xdr:row>198</xdr:row>
      <xdr:rowOff>147917</xdr:rowOff>
    </xdr:to>
    <xdr:sp macro="" textlink="">
      <xdr:nvSpPr>
        <xdr:cNvPr id="343" name="角丸四角形 342">
          <a:extLst>
            <a:ext uri="{FF2B5EF4-FFF2-40B4-BE49-F238E27FC236}">
              <a16:creationId xmlns:a16="http://schemas.microsoft.com/office/drawing/2014/main" id="{00000000-0008-0000-0300-000057010000}"/>
            </a:ext>
          </a:extLst>
        </xdr:cNvPr>
        <xdr:cNvSpPr/>
      </xdr:nvSpPr>
      <xdr:spPr>
        <a:xfrm>
          <a:off x="5359575" y="23265653"/>
          <a:ext cx="1803045" cy="184897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26</xdr:col>
      <xdr:colOff>23307</xdr:colOff>
      <xdr:row>68</xdr:row>
      <xdr:rowOff>74533</xdr:rowOff>
    </xdr:from>
    <xdr:to>
      <xdr:col>65</xdr:col>
      <xdr:colOff>0</xdr:colOff>
      <xdr:row>83</xdr:row>
      <xdr:rowOff>107788</xdr:rowOff>
    </xdr:to>
    <xdr:sp macro="" textlink="">
      <xdr:nvSpPr>
        <xdr:cNvPr id="183" name="正方形/長方形 182">
          <a:extLst>
            <a:ext uri="{FF2B5EF4-FFF2-40B4-BE49-F238E27FC236}">
              <a16:creationId xmlns:a16="http://schemas.microsoft.com/office/drawing/2014/main" id="{00000000-0008-0000-0300-0000B7000000}"/>
            </a:ext>
          </a:extLst>
        </xdr:cNvPr>
        <xdr:cNvSpPr/>
      </xdr:nvSpPr>
      <xdr:spPr>
        <a:xfrm>
          <a:off x="2936836" y="10764945"/>
          <a:ext cx="4346988" cy="238649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Standby</a:t>
          </a:r>
          <a:r>
            <a:rPr lang="ja-JP" altLang="en-US" sz="1200">
              <a:solidFill>
                <a:sysClr val="windowText" lastClr="000000"/>
              </a:solidFill>
              <a:latin typeface="+mn-ea"/>
            </a:rPr>
            <a:t>）</a:t>
          </a:r>
        </a:p>
      </xdr:txBody>
    </xdr:sp>
    <xdr:clientData/>
  </xdr:twoCellAnchor>
  <xdr:twoCellAnchor>
    <xdr:from>
      <xdr:col>6</xdr:col>
      <xdr:colOff>101554</xdr:colOff>
      <xdr:row>52</xdr:row>
      <xdr:rowOff>109818</xdr:rowOff>
    </xdr:from>
    <xdr:to>
      <xdr:col>25</xdr:col>
      <xdr:colOff>54348</xdr:colOff>
      <xdr:row>59</xdr:row>
      <xdr:rowOff>123265</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773907" y="8290112"/>
          <a:ext cx="2081912" cy="111162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WAS</a:t>
          </a:r>
          <a:endParaRPr lang="ja-JP" altLang="en-US" sz="1200">
            <a:solidFill>
              <a:schemeClr val="tx1"/>
            </a:solidFill>
            <a:latin typeface="+mn-ea"/>
          </a:endParaRPr>
        </a:p>
      </xdr:txBody>
    </xdr:sp>
    <xdr:clientData/>
  </xdr:twoCellAnchor>
  <xdr:twoCellAnchor>
    <xdr:from>
      <xdr:col>19</xdr:col>
      <xdr:colOff>11205</xdr:colOff>
      <xdr:row>54</xdr:row>
      <xdr:rowOff>67235</xdr:rowOff>
    </xdr:from>
    <xdr:to>
      <xdr:col>25</xdr:col>
      <xdr:colOff>1680</xdr:colOff>
      <xdr:row>58</xdr:row>
      <xdr:rowOff>67235</xdr:rowOff>
    </xdr:to>
    <xdr:sp macro="" textlink="">
      <xdr:nvSpPr>
        <xdr:cNvPr id="119" name="角丸四角形 118">
          <a:extLst>
            <a:ext uri="{FF2B5EF4-FFF2-40B4-BE49-F238E27FC236}">
              <a16:creationId xmlns:a16="http://schemas.microsoft.com/office/drawing/2014/main" id="{00000000-0008-0000-0300-000077000000}"/>
            </a:ext>
          </a:extLst>
        </xdr:cNvPr>
        <xdr:cNvSpPr/>
      </xdr:nvSpPr>
      <xdr:spPr>
        <a:xfrm>
          <a:off x="2140323" y="8561294"/>
          <a:ext cx="662828" cy="62752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1200">
              <a:solidFill>
                <a:schemeClr val="tx1"/>
              </a:solidFill>
              <a:latin typeface="+mn-ea"/>
            </a:rPr>
            <a:t>データソース</a:t>
          </a:r>
        </a:p>
      </xdr:txBody>
    </xdr:sp>
    <xdr:clientData/>
  </xdr:twoCellAnchor>
  <xdr:twoCellAnchor>
    <xdr:from>
      <xdr:col>7</xdr:col>
      <xdr:colOff>95250</xdr:colOff>
      <xdr:row>678</xdr:row>
      <xdr:rowOff>17690</xdr:rowOff>
    </xdr:from>
    <xdr:to>
      <xdr:col>45</xdr:col>
      <xdr:colOff>38100</xdr:colOff>
      <xdr:row>684</xdr:row>
      <xdr:rowOff>161925</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952500" y="106956226"/>
          <a:ext cx="4596493" cy="1096735"/>
        </a:xfrm>
        <a:prstGeom prst="rect">
          <a:avLst/>
        </a:prstGeom>
        <a:solidFill>
          <a:schemeClr val="bg1">
            <a:lumMod val="85000"/>
          </a:schemeClr>
        </a:solidFill>
        <a:ln w="12700" cap="flat">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050">
              <a:solidFill>
                <a:sysClr val="windowText" lastClr="000000"/>
              </a:solidFill>
              <a:latin typeface="+mn-ea"/>
              <a:ea typeface="+mn-ea"/>
            </a:rPr>
            <a:t>IVR-</a:t>
          </a:r>
          <a:r>
            <a:rPr kumimoji="1" lang="ja-JP" altLang="en-US" sz="1050">
              <a:solidFill>
                <a:sysClr val="windowText" lastClr="000000"/>
              </a:solidFill>
              <a:latin typeface="+mn-ea"/>
              <a:ea typeface="+mn-ea"/>
            </a:rPr>
            <a:t>データベース（研修）</a:t>
          </a:r>
        </a:p>
      </xdr:txBody>
    </xdr:sp>
    <xdr:clientData/>
  </xdr:twoCellAnchor>
  <xdr:twoCellAnchor>
    <xdr:from>
      <xdr:col>7</xdr:col>
      <xdr:colOff>95250</xdr:colOff>
      <xdr:row>666</xdr:row>
      <xdr:rowOff>74840</xdr:rowOff>
    </xdr:from>
    <xdr:to>
      <xdr:col>45</xdr:col>
      <xdr:colOff>38100</xdr:colOff>
      <xdr:row>677</xdr:row>
      <xdr:rowOff>119744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952500" y="105217233"/>
          <a:ext cx="4596493" cy="1691368"/>
        </a:xfrm>
        <a:prstGeom prst="rect">
          <a:avLst/>
        </a:prstGeom>
        <a:solidFill>
          <a:schemeClr val="accent5">
            <a:lumMod val="20000"/>
            <a:lumOff val="80000"/>
          </a:schemeClr>
        </a:solidFill>
        <a:ln w="12700" cap="flat">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en-US" altLang="ja-JP" sz="1100">
              <a:solidFill>
                <a:sysClr val="windowText" lastClr="000000"/>
              </a:solidFill>
              <a:latin typeface="+mn-ea"/>
              <a:ea typeface="+mn-ea"/>
            </a:rPr>
            <a:t>IVR-</a:t>
          </a:r>
          <a:r>
            <a:rPr kumimoji="1" lang="ja-JP" altLang="en-US" sz="1100">
              <a:solidFill>
                <a:sysClr val="windowText" lastClr="000000"/>
              </a:solidFill>
              <a:latin typeface="+mn-ea"/>
              <a:ea typeface="+mn-ea"/>
            </a:rPr>
            <a:t>データベース（本番）</a:t>
          </a:r>
        </a:p>
      </xdr:txBody>
    </xdr:sp>
    <xdr:clientData/>
  </xdr:twoCellAnchor>
  <xdr:twoCellAnchor>
    <xdr:from>
      <xdr:col>8</xdr:col>
      <xdr:colOff>76200</xdr:colOff>
      <xdr:row>668</xdr:row>
      <xdr:rowOff>17690</xdr:rowOff>
    </xdr:from>
    <xdr:to>
      <xdr:col>24</xdr:col>
      <xdr:colOff>47625</xdr:colOff>
      <xdr:row>683</xdr:row>
      <xdr:rowOff>84364</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1055914" y="105459440"/>
          <a:ext cx="1930854" cy="2352674"/>
        </a:xfrm>
        <a:prstGeom prst="rect">
          <a:avLst/>
        </a:prstGeom>
        <a:solidFill>
          <a:srgbClr val="FFFF99"/>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100" b="1">
              <a:solidFill>
                <a:sysClr val="windowText" lastClr="000000"/>
              </a:solidFill>
              <a:latin typeface="ＭＳ Ｐゴシック" pitchFamily="50" charset="-128"/>
              <a:ea typeface="ＭＳ Ｐゴシック" pitchFamily="50" charset="-128"/>
            </a:rPr>
            <a:t>IVR-DB#1</a:t>
          </a:r>
          <a:endParaRPr kumimoji="1" lang="ja-JP" altLang="en-US" sz="1100" b="1">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9525</xdr:colOff>
      <xdr:row>668</xdr:row>
      <xdr:rowOff>17690</xdr:rowOff>
    </xdr:from>
    <xdr:to>
      <xdr:col>43</xdr:col>
      <xdr:colOff>104775</xdr:colOff>
      <xdr:row>683</xdr:row>
      <xdr:rowOff>84364</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438525" y="105459440"/>
          <a:ext cx="1932214" cy="2352674"/>
        </a:xfrm>
        <a:prstGeom prst="rect">
          <a:avLst/>
        </a:prstGeom>
        <a:solidFill>
          <a:schemeClr val="accent3">
            <a:lumMod val="60000"/>
            <a:lumOff val="40000"/>
          </a:schemeClr>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100" b="1">
              <a:solidFill>
                <a:sysClr val="windowText" lastClr="000000"/>
              </a:solidFill>
              <a:latin typeface="ＭＳ Ｐゴシック" pitchFamily="50" charset="-128"/>
              <a:ea typeface="ＭＳ Ｐゴシック" pitchFamily="50" charset="-128"/>
            </a:rPr>
            <a:t>IVR-DB#2</a:t>
          </a:r>
          <a:endParaRPr kumimoji="1" lang="ja-JP" altLang="en-US" sz="1100" b="1">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114300</xdr:colOff>
      <xdr:row>671</xdr:row>
      <xdr:rowOff>27215</xdr:rowOff>
    </xdr:from>
    <xdr:to>
      <xdr:col>23</xdr:col>
      <xdr:colOff>38100</xdr:colOff>
      <xdr:row>677</xdr:row>
      <xdr:rowOff>74840</xdr:rowOff>
    </xdr:to>
    <xdr:sp macro="" textlink="">
      <xdr:nvSpPr>
        <xdr:cNvPr id="6" name="円柱 5">
          <a:extLst>
            <a:ext uri="{FF2B5EF4-FFF2-40B4-BE49-F238E27FC236}">
              <a16:creationId xmlns:a16="http://schemas.microsoft.com/office/drawing/2014/main" id="{00000000-0008-0000-0300-000006000000}"/>
            </a:ext>
          </a:extLst>
        </xdr:cNvPr>
        <xdr:cNvSpPr/>
      </xdr:nvSpPr>
      <xdr:spPr>
        <a:xfrm>
          <a:off x="1216479" y="105918001"/>
          <a:ext cx="1638300" cy="945696"/>
        </a:xfrm>
        <a:prstGeom prst="can">
          <a:avLst>
            <a:gd name="adj" fmla="val 19488"/>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latin typeface="HGP創英角ｺﾞｼｯｸUB" pitchFamily="50" charset="-128"/>
              <a:ea typeface="HGP創英角ｺﾞｼｯｸUB" pitchFamily="50" charset="-128"/>
            </a:rPr>
            <a:t>本番インスタンス</a:t>
          </a:r>
          <a:r>
            <a:rPr kumimoji="1" lang="en-US" altLang="ja-JP" sz="1100">
              <a:latin typeface="HGP創英角ｺﾞｼｯｸUB" pitchFamily="50" charset="-128"/>
              <a:ea typeface="HGP創英角ｺﾞｼｯｸUB" pitchFamily="50" charset="-128"/>
            </a:rPr>
            <a:t>#1</a:t>
          </a:r>
        </a:p>
        <a:p>
          <a:pPr algn="ctr">
            <a:lnSpc>
              <a:spcPts val="1300"/>
            </a:lnSpc>
          </a:pPr>
          <a:endParaRPr kumimoji="1" lang="ja-JP" altLang="en-US" sz="1100">
            <a:latin typeface="HGP創英角ｺﾞｼｯｸUB" pitchFamily="50" charset="-128"/>
            <a:ea typeface="HGP創英角ｺﾞｼｯｸUB" pitchFamily="50" charset="-128"/>
          </a:endParaRPr>
        </a:p>
      </xdr:txBody>
    </xdr:sp>
    <xdr:clientData/>
  </xdr:twoCellAnchor>
  <xdr:twoCellAnchor>
    <xdr:from>
      <xdr:col>29</xdr:col>
      <xdr:colOff>47625</xdr:colOff>
      <xdr:row>671</xdr:row>
      <xdr:rowOff>27215</xdr:rowOff>
    </xdr:from>
    <xdr:to>
      <xdr:col>42</xdr:col>
      <xdr:colOff>95250</xdr:colOff>
      <xdr:row>677</xdr:row>
      <xdr:rowOff>74840</xdr:rowOff>
    </xdr:to>
    <xdr:sp macro="" textlink="">
      <xdr:nvSpPr>
        <xdr:cNvPr id="7" name="円柱 6">
          <a:extLst>
            <a:ext uri="{FF2B5EF4-FFF2-40B4-BE49-F238E27FC236}">
              <a16:creationId xmlns:a16="http://schemas.microsoft.com/office/drawing/2014/main" id="{00000000-0008-0000-0300-000007000000}"/>
            </a:ext>
          </a:extLst>
        </xdr:cNvPr>
        <xdr:cNvSpPr/>
      </xdr:nvSpPr>
      <xdr:spPr>
        <a:xfrm>
          <a:off x="3599089" y="105918001"/>
          <a:ext cx="1639661" cy="945696"/>
        </a:xfrm>
        <a:prstGeom prst="can">
          <a:avLst>
            <a:gd name="adj" fmla="val 17913"/>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latin typeface="HGP創英角ｺﾞｼｯｸUB" pitchFamily="50" charset="-128"/>
              <a:ea typeface="HGP創英角ｺﾞｼｯｸUB" pitchFamily="50" charset="-128"/>
            </a:rPr>
            <a:t>本番インスタンス</a:t>
          </a:r>
          <a:r>
            <a:rPr kumimoji="1" lang="en-US" altLang="ja-JP" sz="1100">
              <a:latin typeface="HGP創英角ｺﾞｼｯｸUB" pitchFamily="50" charset="-128"/>
              <a:ea typeface="HGP創英角ｺﾞｼｯｸUB" pitchFamily="50" charset="-128"/>
            </a:rPr>
            <a:t>#2</a:t>
          </a:r>
        </a:p>
        <a:p>
          <a:pPr algn="ctr">
            <a:lnSpc>
              <a:spcPts val="1300"/>
            </a:lnSpc>
          </a:pPr>
          <a:endParaRPr kumimoji="1" lang="ja-JP" altLang="en-US" sz="1100">
            <a:latin typeface="HGP創英角ｺﾞｼｯｸUB" pitchFamily="50" charset="-128"/>
            <a:ea typeface="HGP創英角ｺﾞｼｯｸUB" pitchFamily="50" charset="-128"/>
          </a:endParaRPr>
        </a:p>
      </xdr:txBody>
    </xdr:sp>
    <xdr:clientData/>
  </xdr:twoCellAnchor>
  <xdr:twoCellAnchor>
    <xdr:from>
      <xdr:col>8</xdr:col>
      <xdr:colOff>76201</xdr:colOff>
      <xdr:row>685</xdr:row>
      <xdr:rowOff>36740</xdr:rowOff>
    </xdr:from>
    <xdr:to>
      <xdr:col>44</xdr:col>
      <xdr:colOff>19051</xdr:colOff>
      <xdr:row>701</xdr:row>
      <xdr:rowOff>67236</xdr:rowOff>
    </xdr:to>
    <xdr:sp macro="" textlink="">
      <xdr:nvSpPr>
        <xdr:cNvPr id="8" name="円柱 7">
          <a:extLst>
            <a:ext uri="{FF2B5EF4-FFF2-40B4-BE49-F238E27FC236}">
              <a16:creationId xmlns:a16="http://schemas.microsoft.com/office/drawing/2014/main" id="{00000000-0008-0000-0300-000008000000}"/>
            </a:ext>
          </a:extLst>
        </xdr:cNvPr>
        <xdr:cNvSpPr/>
      </xdr:nvSpPr>
      <xdr:spPr>
        <a:xfrm>
          <a:off x="1062319" y="109282887"/>
          <a:ext cx="4380379" cy="2540614"/>
        </a:xfrm>
        <a:prstGeom prst="can">
          <a:avLst>
            <a:gd name="adj" fmla="val 7481"/>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ja-JP" altLang="en-US" sz="1100">
              <a:latin typeface="ＭＳ Ｐゴシック" pitchFamily="50" charset="-128"/>
              <a:ea typeface="ＭＳ Ｐゴシック" pitchFamily="50" charset="-128"/>
            </a:rPr>
            <a:t>共有ディスク</a:t>
          </a:r>
        </a:p>
      </xdr:txBody>
    </xdr:sp>
    <xdr:clientData/>
  </xdr:twoCellAnchor>
  <xdr:twoCellAnchor>
    <xdr:from>
      <xdr:col>10</xdr:col>
      <xdr:colOff>66675</xdr:colOff>
      <xdr:row>674</xdr:row>
      <xdr:rowOff>8165</xdr:rowOff>
    </xdr:from>
    <xdr:to>
      <xdr:col>22</xdr:col>
      <xdr:colOff>85725</xdr:colOff>
      <xdr:row>676</xdr:row>
      <xdr:rowOff>17690</xdr:rowOff>
    </xdr:to>
    <xdr:sp macro="" textlink="">
      <xdr:nvSpPr>
        <xdr:cNvPr id="9" name="角丸四角形 8">
          <a:extLst>
            <a:ext uri="{FF2B5EF4-FFF2-40B4-BE49-F238E27FC236}">
              <a16:creationId xmlns:a16="http://schemas.microsoft.com/office/drawing/2014/main" id="{00000000-0008-0000-0300-000009000000}"/>
            </a:ext>
          </a:extLst>
        </xdr:cNvPr>
        <xdr:cNvSpPr/>
      </xdr:nvSpPr>
      <xdr:spPr>
        <a:xfrm>
          <a:off x="1291318" y="106347986"/>
          <a:ext cx="1488621" cy="308883"/>
        </a:xfrm>
        <a:prstGeom prst="roundRect">
          <a:avLst/>
        </a:prstGeom>
        <a:solidFill>
          <a:srgbClr val="CC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b="1">
              <a:solidFill>
                <a:sysClr val="windowText" lastClr="000000"/>
              </a:solidFill>
              <a:latin typeface="ＭＳ Ｐゴシック" pitchFamily="50" charset="-128"/>
              <a:ea typeface="ＭＳ Ｐゴシック" pitchFamily="50" charset="-128"/>
            </a:rPr>
            <a:t>メモリ（</a:t>
          </a:r>
          <a:r>
            <a:rPr kumimoji="1" lang="en-US" altLang="ja-JP" sz="1100" b="1">
              <a:solidFill>
                <a:sysClr val="windowText" lastClr="000000"/>
              </a:solidFill>
              <a:latin typeface="ＭＳ Ｐゴシック" pitchFamily="50" charset="-128"/>
              <a:ea typeface="ＭＳ Ｐゴシック" pitchFamily="50" charset="-128"/>
            </a:rPr>
            <a:t>SGA/PGA</a:t>
          </a:r>
          <a:r>
            <a:rPr kumimoji="1" lang="ja-JP" altLang="en-US" sz="1100" b="1">
              <a:solidFill>
                <a:sysClr val="windowText" lastClr="000000"/>
              </a:solidFill>
              <a:latin typeface="ＭＳ Ｐゴシック" pitchFamily="50" charset="-128"/>
              <a:ea typeface="ＭＳ Ｐゴシック" pitchFamily="50" charset="-128"/>
            </a:rPr>
            <a:t>）</a:t>
          </a:r>
        </a:p>
      </xdr:txBody>
    </xdr:sp>
    <xdr:clientData/>
  </xdr:twoCellAnchor>
  <xdr:twoCellAnchor>
    <xdr:from>
      <xdr:col>30</xdr:col>
      <xdr:colOff>0</xdr:colOff>
      <xdr:row>674</xdr:row>
      <xdr:rowOff>8165</xdr:rowOff>
    </xdr:from>
    <xdr:to>
      <xdr:col>42</xdr:col>
      <xdr:colOff>19050</xdr:colOff>
      <xdr:row>676</xdr:row>
      <xdr:rowOff>17690</xdr:rowOff>
    </xdr:to>
    <xdr:sp macro="" textlink="">
      <xdr:nvSpPr>
        <xdr:cNvPr id="10" name="角丸四角形 9">
          <a:extLst>
            <a:ext uri="{FF2B5EF4-FFF2-40B4-BE49-F238E27FC236}">
              <a16:creationId xmlns:a16="http://schemas.microsoft.com/office/drawing/2014/main" id="{00000000-0008-0000-0300-00000A000000}"/>
            </a:ext>
          </a:extLst>
        </xdr:cNvPr>
        <xdr:cNvSpPr/>
      </xdr:nvSpPr>
      <xdr:spPr>
        <a:xfrm>
          <a:off x="3673929" y="106347986"/>
          <a:ext cx="1488621" cy="308883"/>
        </a:xfrm>
        <a:prstGeom prst="roundRect">
          <a:avLst/>
        </a:prstGeom>
        <a:solidFill>
          <a:srgbClr val="CC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b="1">
              <a:solidFill>
                <a:sysClr val="windowText" lastClr="000000"/>
              </a:solidFill>
              <a:latin typeface="ＭＳ Ｐゴシック" pitchFamily="50" charset="-128"/>
              <a:ea typeface="ＭＳ Ｐゴシック" pitchFamily="50" charset="-128"/>
            </a:rPr>
            <a:t>メモリ（</a:t>
          </a:r>
          <a:r>
            <a:rPr kumimoji="1" lang="en-US" altLang="ja-JP" sz="1100" b="1">
              <a:solidFill>
                <a:sysClr val="windowText" lastClr="000000"/>
              </a:solidFill>
              <a:latin typeface="ＭＳ Ｐゴシック" pitchFamily="50" charset="-128"/>
              <a:ea typeface="ＭＳ Ｐゴシック" pitchFamily="50" charset="-128"/>
            </a:rPr>
            <a:t>SGA/PGA</a:t>
          </a:r>
          <a:r>
            <a:rPr kumimoji="1" lang="ja-JP" altLang="en-US" sz="1100" b="1">
              <a:solidFill>
                <a:sysClr val="windowText" lastClr="000000"/>
              </a:solidFill>
              <a:latin typeface="ＭＳ Ｐゴシック" pitchFamily="50" charset="-128"/>
              <a:ea typeface="ＭＳ Ｐゴシック" pitchFamily="50" charset="-128"/>
            </a:rPr>
            <a:t>）</a:t>
          </a:r>
        </a:p>
      </xdr:txBody>
    </xdr:sp>
    <xdr:clientData/>
  </xdr:twoCellAnchor>
  <xdr:twoCellAnchor>
    <xdr:from>
      <xdr:col>14</xdr:col>
      <xdr:colOff>85725</xdr:colOff>
      <xdr:row>686</xdr:row>
      <xdr:rowOff>152401</xdr:rowOff>
    </xdr:from>
    <xdr:to>
      <xdr:col>26</xdr:col>
      <xdr:colOff>28575</xdr:colOff>
      <xdr:row>690</xdr:row>
      <xdr:rowOff>152401</xdr:rowOff>
    </xdr:to>
    <xdr:sp macro="" textlink="">
      <xdr:nvSpPr>
        <xdr:cNvPr id="11" name="正方形/長方形 10">
          <a:extLst>
            <a:ext uri="{FF2B5EF4-FFF2-40B4-BE49-F238E27FC236}">
              <a16:creationId xmlns:a16="http://schemas.microsoft.com/office/drawing/2014/main" id="{00000000-0008-0000-0300-00000B000000}"/>
            </a:ext>
          </a:extLst>
        </xdr:cNvPr>
        <xdr:cNvSpPr/>
      </xdr:nvSpPr>
      <xdr:spPr>
        <a:xfrm>
          <a:off x="1800225" y="108370008"/>
          <a:ext cx="1412421" cy="65314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a:t>
          </a:r>
          <a:r>
            <a:rPr kumimoji="1" lang="en-US" altLang="ja-JP" sz="1000">
              <a:solidFill>
                <a:sysClr val="windowText" lastClr="000000"/>
              </a:solidFill>
              <a:latin typeface="+mn-ea"/>
              <a:ea typeface="+mn-ea"/>
            </a:rPr>
            <a:t>IVR</a:t>
          </a:r>
          <a:r>
            <a:rPr kumimoji="1" lang="ja-JP" altLang="en-US" sz="1000">
              <a:solidFill>
                <a:sysClr val="windowText" lastClr="000000"/>
              </a:solidFill>
              <a:latin typeface="+mn-ea"/>
              <a:ea typeface="+mn-ea"/>
            </a:rPr>
            <a:t>業務データ・内部データ格納用）</a:t>
          </a:r>
        </a:p>
      </xdr:txBody>
    </xdr:sp>
    <xdr:clientData/>
  </xdr:twoCellAnchor>
  <xdr:twoCellAnchor>
    <xdr:from>
      <xdr:col>26</xdr:col>
      <xdr:colOff>85725</xdr:colOff>
      <xdr:row>686</xdr:row>
      <xdr:rowOff>152401</xdr:rowOff>
    </xdr:from>
    <xdr:to>
      <xdr:col>38</xdr:col>
      <xdr:colOff>28575</xdr:colOff>
      <xdr:row>690</xdr:row>
      <xdr:rowOff>152401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3269796" y="108370008"/>
          <a:ext cx="1412422" cy="65314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a:t>
          </a:r>
          <a:r>
            <a:rPr kumimoji="1" lang="en-US" altLang="ja-JP" sz="1000">
              <a:solidFill>
                <a:sysClr val="windowText" lastClr="000000"/>
              </a:solidFill>
              <a:latin typeface="+mn-ea"/>
              <a:ea typeface="+mn-ea"/>
            </a:rPr>
            <a:t>IVR</a:t>
          </a:r>
          <a:r>
            <a:rPr kumimoji="1" lang="ja-JP" altLang="en-US" sz="1000">
              <a:solidFill>
                <a:sysClr val="windowText" lastClr="000000"/>
              </a:solidFill>
              <a:latin typeface="+mn-ea"/>
              <a:ea typeface="+mn-ea"/>
            </a:rPr>
            <a:t>操作ログ格納用）</a:t>
          </a:r>
        </a:p>
      </xdr:txBody>
    </xdr:sp>
    <xdr:clientData/>
  </xdr:twoCellAnchor>
  <xdr:twoCellAnchor>
    <xdr:from>
      <xdr:col>14</xdr:col>
      <xdr:colOff>85725</xdr:colOff>
      <xdr:row>691</xdr:row>
      <xdr:rowOff>36740</xdr:rowOff>
    </xdr:from>
    <xdr:to>
      <xdr:col>26</xdr:col>
      <xdr:colOff>28575</xdr:colOff>
      <xdr:row>695</xdr:row>
      <xdr:rowOff>36740</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1800225" y="109070776"/>
          <a:ext cx="1412421" cy="65314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（業務データインデックス格納用）</a:t>
          </a:r>
        </a:p>
      </xdr:txBody>
    </xdr:sp>
    <xdr:clientData/>
  </xdr:twoCellAnchor>
  <xdr:twoCellAnchor>
    <xdr:from>
      <xdr:col>26</xdr:col>
      <xdr:colOff>85725</xdr:colOff>
      <xdr:row>691</xdr:row>
      <xdr:rowOff>36740</xdr:rowOff>
    </xdr:from>
    <xdr:to>
      <xdr:col>38</xdr:col>
      <xdr:colOff>28575</xdr:colOff>
      <xdr:row>695</xdr:row>
      <xdr:rowOff>36740</xdr:rowOff>
    </xdr:to>
    <xdr:sp macro="" textlink="">
      <xdr:nvSpPr>
        <xdr:cNvPr id="14" name="正方形/長方形 13">
          <a:extLst>
            <a:ext uri="{FF2B5EF4-FFF2-40B4-BE49-F238E27FC236}">
              <a16:creationId xmlns:a16="http://schemas.microsoft.com/office/drawing/2014/main" id="{00000000-0008-0000-0300-00000E000000}"/>
            </a:ext>
          </a:extLst>
        </xdr:cNvPr>
        <xdr:cNvSpPr/>
      </xdr:nvSpPr>
      <xdr:spPr>
        <a:xfrm>
          <a:off x="3269796" y="109070776"/>
          <a:ext cx="1412422" cy="65314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（操作ログインデックス格納用）</a:t>
          </a:r>
        </a:p>
      </xdr:txBody>
    </xdr:sp>
    <xdr:clientData/>
  </xdr:twoCellAnchor>
  <xdr:twoCellAnchor>
    <xdr:from>
      <xdr:col>9</xdr:col>
      <xdr:colOff>114300</xdr:colOff>
      <xdr:row>678</xdr:row>
      <xdr:rowOff>46265</xdr:rowOff>
    </xdr:from>
    <xdr:to>
      <xdr:col>23</xdr:col>
      <xdr:colOff>38100</xdr:colOff>
      <xdr:row>681</xdr:row>
      <xdr:rowOff>110218</xdr:rowOff>
    </xdr:to>
    <xdr:sp macro="" textlink="">
      <xdr:nvSpPr>
        <xdr:cNvPr id="15" name="円柱 14">
          <a:extLst>
            <a:ext uri="{FF2B5EF4-FFF2-40B4-BE49-F238E27FC236}">
              <a16:creationId xmlns:a16="http://schemas.microsoft.com/office/drawing/2014/main" id="{00000000-0008-0000-0300-00000F000000}"/>
            </a:ext>
          </a:extLst>
        </xdr:cNvPr>
        <xdr:cNvSpPr/>
      </xdr:nvSpPr>
      <xdr:spPr>
        <a:xfrm>
          <a:off x="1216479" y="106984801"/>
          <a:ext cx="1638300" cy="540203"/>
        </a:xfrm>
        <a:prstGeom prst="can">
          <a:avLst>
            <a:gd name="adj" fmla="val 21491"/>
          </a:avLst>
        </a:prstGeom>
        <a:solidFill>
          <a:srgbClr val="DDDDD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ysClr val="windowText" lastClr="000000"/>
              </a:solidFill>
              <a:latin typeface="+mn-ea"/>
              <a:ea typeface="+mn-ea"/>
            </a:rPr>
            <a:t>研修インスタンス</a:t>
          </a:r>
          <a:r>
            <a:rPr kumimoji="1" lang="en-US" altLang="ja-JP" sz="1000">
              <a:solidFill>
                <a:sysClr val="windowText" lastClr="000000"/>
              </a:solidFill>
              <a:latin typeface="+mn-ea"/>
              <a:ea typeface="+mn-ea"/>
            </a:rPr>
            <a:t>#1</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29</xdr:col>
      <xdr:colOff>47625</xdr:colOff>
      <xdr:row>678</xdr:row>
      <xdr:rowOff>46265</xdr:rowOff>
    </xdr:from>
    <xdr:to>
      <xdr:col>42</xdr:col>
      <xdr:colOff>95250</xdr:colOff>
      <xdr:row>681</xdr:row>
      <xdr:rowOff>110218</xdr:rowOff>
    </xdr:to>
    <xdr:sp macro="" textlink="">
      <xdr:nvSpPr>
        <xdr:cNvPr id="16" name="円柱 15">
          <a:extLst>
            <a:ext uri="{FF2B5EF4-FFF2-40B4-BE49-F238E27FC236}">
              <a16:creationId xmlns:a16="http://schemas.microsoft.com/office/drawing/2014/main" id="{00000000-0008-0000-0300-000010000000}"/>
            </a:ext>
          </a:extLst>
        </xdr:cNvPr>
        <xdr:cNvSpPr/>
      </xdr:nvSpPr>
      <xdr:spPr>
        <a:xfrm>
          <a:off x="3599089" y="106984801"/>
          <a:ext cx="1639661" cy="540203"/>
        </a:xfrm>
        <a:prstGeom prst="can">
          <a:avLst>
            <a:gd name="adj" fmla="val 19737"/>
          </a:avLst>
        </a:prstGeom>
        <a:solidFill>
          <a:srgbClr val="DDDDD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ysClr val="windowText" lastClr="000000"/>
              </a:solidFill>
              <a:latin typeface="+mn-ea"/>
              <a:ea typeface="+mn-ea"/>
            </a:rPr>
            <a:t>研修インスタンス</a:t>
          </a:r>
          <a:r>
            <a:rPr kumimoji="1" lang="en-US" altLang="ja-JP" sz="1000">
              <a:solidFill>
                <a:sysClr val="windowText" lastClr="000000"/>
              </a:solidFill>
              <a:latin typeface="+mn-ea"/>
              <a:ea typeface="+mn-ea"/>
            </a:rPr>
            <a:t>#2</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10</xdr:col>
      <xdr:colOff>66675</xdr:colOff>
      <xdr:row>680</xdr:row>
      <xdr:rowOff>74840</xdr:rowOff>
    </xdr:from>
    <xdr:to>
      <xdr:col>22</xdr:col>
      <xdr:colOff>85725</xdr:colOff>
      <xdr:row>681</xdr:row>
      <xdr:rowOff>129268</xdr:rowOff>
    </xdr:to>
    <xdr:sp macro="" textlink="">
      <xdr:nvSpPr>
        <xdr:cNvPr id="17" name="角丸四角形 16">
          <a:extLst>
            <a:ext uri="{FF2B5EF4-FFF2-40B4-BE49-F238E27FC236}">
              <a16:creationId xmlns:a16="http://schemas.microsoft.com/office/drawing/2014/main" id="{00000000-0008-0000-0300-000011000000}"/>
            </a:ext>
          </a:extLst>
        </xdr:cNvPr>
        <xdr:cNvSpPr/>
      </xdr:nvSpPr>
      <xdr:spPr>
        <a:xfrm>
          <a:off x="1291318" y="107326340"/>
          <a:ext cx="1488621" cy="217714"/>
        </a:xfrm>
        <a:prstGeom prst="roundRect">
          <a:avLst/>
        </a:prstGeom>
        <a:solidFill>
          <a:srgbClr val="DDDDD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メモリ（</a:t>
          </a:r>
          <a:r>
            <a:rPr kumimoji="1" lang="en-US" altLang="ja-JP" sz="1000">
              <a:solidFill>
                <a:sysClr val="windowText" lastClr="000000"/>
              </a:solidFill>
              <a:latin typeface="+mn-ea"/>
              <a:ea typeface="+mn-ea"/>
            </a:rPr>
            <a:t>SGA/PGA</a:t>
          </a:r>
          <a:r>
            <a:rPr kumimoji="1" lang="ja-JP" altLang="en-US" sz="1000">
              <a:solidFill>
                <a:sysClr val="windowText" lastClr="000000"/>
              </a:solidFill>
              <a:latin typeface="+mn-ea"/>
              <a:ea typeface="+mn-ea"/>
            </a:rPr>
            <a:t>）</a:t>
          </a:r>
        </a:p>
      </xdr:txBody>
    </xdr:sp>
    <xdr:clientData/>
  </xdr:twoCellAnchor>
  <xdr:twoCellAnchor>
    <xdr:from>
      <xdr:col>30</xdr:col>
      <xdr:colOff>0</xdr:colOff>
      <xdr:row>680</xdr:row>
      <xdr:rowOff>74840</xdr:rowOff>
    </xdr:from>
    <xdr:to>
      <xdr:col>42</xdr:col>
      <xdr:colOff>19050</xdr:colOff>
      <xdr:row>681</xdr:row>
      <xdr:rowOff>129268</xdr:rowOff>
    </xdr:to>
    <xdr:sp macro="" textlink="">
      <xdr:nvSpPr>
        <xdr:cNvPr id="18" name="角丸四角形 17">
          <a:extLst>
            <a:ext uri="{FF2B5EF4-FFF2-40B4-BE49-F238E27FC236}">
              <a16:creationId xmlns:a16="http://schemas.microsoft.com/office/drawing/2014/main" id="{00000000-0008-0000-0300-000012000000}"/>
            </a:ext>
          </a:extLst>
        </xdr:cNvPr>
        <xdr:cNvSpPr/>
      </xdr:nvSpPr>
      <xdr:spPr>
        <a:xfrm>
          <a:off x="3673929" y="107326340"/>
          <a:ext cx="1488621" cy="217714"/>
        </a:xfrm>
        <a:prstGeom prst="roundRect">
          <a:avLst/>
        </a:prstGeom>
        <a:solidFill>
          <a:srgbClr val="DDDDD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メモリ（</a:t>
          </a:r>
          <a:r>
            <a:rPr kumimoji="1" lang="en-US" altLang="ja-JP" sz="1000">
              <a:solidFill>
                <a:sysClr val="windowText" lastClr="000000"/>
              </a:solidFill>
              <a:latin typeface="+mn-ea"/>
              <a:ea typeface="+mn-ea"/>
            </a:rPr>
            <a:t>SGA/PGA</a:t>
          </a:r>
          <a:r>
            <a:rPr kumimoji="1" lang="ja-JP" altLang="en-US" sz="1000">
              <a:solidFill>
                <a:sysClr val="windowText" lastClr="000000"/>
              </a:solidFill>
              <a:latin typeface="+mn-ea"/>
              <a:ea typeface="+mn-ea"/>
            </a:rPr>
            <a:t>）</a:t>
          </a:r>
        </a:p>
      </xdr:txBody>
    </xdr:sp>
    <xdr:clientData/>
  </xdr:twoCellAnchor>
  <xdr:twoCellAnchor>
    <xdr:from>
      <xdr:col>16</xdr:col>
      <xdr:colOff>76200</xdr:colOff>
      <xdr:row>677</xdr:row>
      <xdr:rowOff>74840</xdr:rowOff>
    </xdr:from>
    <xdr:to>
      <xdr:col>24</xdr:col>
      <xdr:colOff>28574</xdr:colOff>
      <xdr:row>686</xdr:row>
      <xdr:rowOff>114301</xdr:rowOff>
    </xdr:to>
    <xdr:cxnSp macro="">
      <xdr:nvCxnSpPr>
        <xdr:cNvPr id="19" name="直線矢印コネクタ 18">
          <a:extLst>
            <a:ext uri="{FF2B5EF4-FFF2-40B4-BE49-F238E27FC236}">
              <a16:creationId xmlns:a16="http://schemas.microsoft.com/office/drawing/2014/main" id="{00000000-0008-0000-0300-000013000000}"/>
            </a:ext>
          </a:extLst>
        </xdr:cNvPr>
        <xdr:cNvCxnSpPr>
          <a:stCxn id="6" idx="3"/>
        </xdr:cNvCxnSpPr>
      </xdr:nvCxnSpPr>
      <xdr:spPr>
        <a:xfrm rot="16200000" flipH="1">
          <a:off x="1767567" y="107131759"/>
          <a:ext cx="1468211" cy="932088"/>
        </a:xfrm>
        <a:prstGeom prst="straightConnector1">
          <a:avLst/>
        </a:prstGeom>
        <a:ln w="28575">
          <a:solidFill>
            <a:srgbClr val="00206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677</xdr:row>
      <xdr:rowOff>74840</xdr:rowOff>
    </xdr:from>
    <xdr:to>
      <xdr:col>36</xdr:col>
      <xdr:colOff>9525</xdr:colOff>
      <xdr:row>686</xdr:row>
      <xdr:rowOff>114301</xdr:rowOff>
    </xdr:to>
    <xdr:cxnSp macro="">
      <xdr:nvCxnSpPr>
        <xdr:cNvPr id="20" name="直線矢印コネクタ 19">
          <a:extLst>
            <a:ext uri="{FF2B5EF4-FFF2-40B4-BE49-F238E27FC236}">
              <a16:creationId xmlns:a16="http://schemas.microsoft.com/office/drawing/2014/main" id="{00000000-0008-0000-0300-000014000000}"/>
            </a:ext>
          </a:extLst>
        </xdr:cNvPr>
        <xdr:cNvCxnSpPr>
          <a:stCxn id="7" idx="3"/>
        </xdr:cNvCxnSpPr>
      </xdr:nvCxnSpPr>
      <xdr:spPr>
        <a:xfrm rot="5400000">
          <a:off x="3250746" y="107164415"/>
          <a:ext cx="1468211" cy="866775"/>
        </a:xfrm>
        <a:prstGeom prst="straightConnector1">
          <a:avLst/>
        </a:prstGeom>
        <a:ln w="28575">
          <a:solidFill>
            <a:srgbClr val="00206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686</xdr:row>
      <xdr:rowOff>152401</xdr:rowOff>
    </xdr:from>
    <xdr:to>
      <xdr:col>13</xdr:col>
      <xdr:colOff>104775</xdr:colOff>
      <xdr:row>695</xdr:row>
      <xdr:rowOff>46265</xdr:rowOff>
    </xdr:to>
    <xdr:sp macro="" textlink="">
      <xdr:nvSpPr>
        <xdr:cNvPr id="21" name="正方形/長方形 20">
          <a:extLst>
            <a:ext uri="{FF2B5EF4-FFF2-40B4-BE49-F238E27FC236}">
              <a16:creationId xmlns:a16="http://schemas.microsoft.com/office/drawing/2014/main" id="{00000000-0008-0000-0300-000015000000}"/>
            </a:ext>
          </a:extLst>
        </xdr:cNvPr>
        <xdr:cNvSpPr/>
      </xdr:nvSpPr>
      <xdr:spPr>
        <a:xfrm>
          <a:off x="1111704" y="108370008"/>
          <a:ext cx="585107" cy="1363436"/>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システム表領域</a:t>
          </a:r>
          <a:endParaRPr kumimoji="1" lang="en-US" altLang="ja-JP" sz="1000">
            <a:solidFill>
              <a:sysClr val="windowText" lastClr="000000"/>
            </a:solidFill>
            <a:latin typeface="+mn-ea"/>
            <a:ea typeface="+mn-ea"/>
          </a:endParaRPr>
        </a:p>
      </xdr:txBody>
    </xdr:sp>
    <xdr:clientData/>
  </xdr:twoCellAnchor>
  <xdr:twoCellAnchor>
    <xdr:from>
      <xdr:col>14</xdr:col>
      <xdr:colOff>85725</xdr:colOff>
      <xdr:row>695</xdr:row>
      <xdr:rowOff>152400</xdr:rowOff>
    </xdr:from>
    <xdr:to>
      <xdr:col>26</xdr:col>
      <xdr:colOff>28575</xdr:colOff>
      <xdr:row>697</xdr:row>
      <xdr:rowOff>74840</xdr:rowOff>
    </xdr:to>
    <xdr:sp macro="" textlink="">
      <xdr:nvSpPr>
        <xdr:cNvPr id="23" name="正方形/長方形 22">
          <a:extLst>
            <a:ext uri="{FF2B5EF4-FFF2-40B4-BE49-F238E27FC236}">
              <a16:creationId xmlns:a16="http://schemas.microsoft.com/office/drawing/2014/main" id="{00000000-0008-0000-0300-000017000000}"/>
            </a:ext>
          </a:extLst>
        </xdr:cNvPr>
        <xdr:cNvSpPr/>
      </xdr:nvSpPr>
      <xdr:spPr>
        <a:xfrm>
          <a:off x="1800225" y="109839579"/>
          <a:ext cx="1412421" cy="249011"/>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latin typeface="+mn-ea"/>
              <a:ea typeface="+mn-ea"/>
            </a:rPr>
            <a:t>IVR</a:t>
          </a:r>
          <a:r>
            <a:rPr kumimoji="1" lang="ja-JP" altLang="en-US" sz="900">
              <a:solidFill>
                <a:sysClr val="windowText" lastClr="000000"/>
              </a:solidFill>
              <a:latin typeface="+mn-ea"/>
              <a:ea typeface="+mn-ea"/>
            </a:rPr>
            <a:t>データ（研修用）</a:t>
          </a:r>
        </a:p>
      </xdr:txBody>
    </xdr:sp>
    <xdr:clientData/>
  </xdr:twoCellAnchor>
  <xdr:twoCellAnchor>
    <xdr:from>
      <xdr:col>26</xdr:col>
      <xdr:colOff>85725</xdr:colOff>
      <xdr:row>695</xdr:row>
      <xdr:rowOff>152400</xdr:rowOff>
    </xdr:from>
    <xdr:to>
      <xdr:col>38</xdr:col>
      <xdr:colOff>28575</xdr:colOff>
      <xdr:row>697</xdr:row>
      <xdr:rowOff>74840</xdr:rowOff>
    </xdr:to>
    <xdr:sp macro="" textlink="">
      <xdr:nvSpPr>
        <xdr:cNvPr id="24" name="正方形/長方形 23">
          <a:extLst>
            <a:ext uri="{FF2B5EF4-FFF2-40B4-BE49-F238E27FC236}">
              <a16:creationId xmlns:a16="http://schemas.microsoft.com/office/drawing/2014/main" id="{00000000-0008-0000-0300-000018000000}"/>
            </a:ext>
          </a:extLst>
        </xdr:cNvPr>
        <xdr:cNvSpPr/>
      </xdr:nvSpPr>
      <xdr:spPr>
        <a:xfrm>
          <a:off x="3269796" y="109839579"/>
          <a:ext cx="1412422" cy="249011"/>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latin typeface="+mn-ea"/>
              <a:ea typeface="+mn-ea"/>
            </a:rPr>
            <a:t>IVR</a:t>
          </a:r>
          <a:r>
            <a:rPr kumimoji="1" lang="ja-JP" altLang="en-US" sz="1000">
              <a:solidFill>
                <a:sysClr val="windowText" lastClr="000000"/>
              </a:solidFill>
              <a:latin typeface="+mn-ea"/>
              <a:ea typeface="+mn-ea"/>
            </a:rPr>
            <a:t>ログ（研修用）</a:t>
          </a:r>
        </a:p>
      </xdr:txBody>
    </xdr:sp>
    <xdr:clientData/>
  </xdr:twoCellAnchor>
  <xdr:twoCellAnchor>
    <xdr:from>
      <xdr:col>14</xdr:col>
      <xdr:colOff>85725</xdr:colOff>
      <xdr:row>697</xdr:row>
      <xdr:rowOff>95251</xdr:rowOff>
    </xdr:from>
    <xdr:to>
      <xdr:col>26</xdr:col>
      <xdr:colOff>28575</xdr:colOff>
      <xdr:row>699</xdr:row>
      <xdr:rowOff>17690</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1800225" y="110109001"/>
          <a:ext cx="1412421" cy="249010"/>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インデックス（研修用）</a:t>
          </a:r>
        </a:p>
      </xdr:txBody>
    </xdr:sp>
    <xdr:clientData/>
  </xdr:twoCellAnchor>
  <xdr:twoCellAnchor>
    <xdr:from>
      <xdr:col>26</xdr:col>
      <xdr:colOff>85725</xdr:colOff>
      <xdr:row>697</xdr:row>
      <xdr:rowOff>95251</xdr:rowOff>
    </xdr:from>
    <xdr:to>
      <xdr:col>38</xdr:col>
      <xdr:colOff>28575</xdr:colOff>
      <xdr:row>699</xdr:row>
      <xdr:rowOff>17690</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3269796" y="110109001"/>
          <a:ext cx="1412422" cy="249010"/>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ログインデックス（研）</a:t>
          </a:r>
          <a:endParaRPr kumimoji="1" lang="en-US" altLang="ja-JP" sz="1000">
            <a:solidFill>
              <a:sysClr val="windowText" lastClr="000000"/>
            </a:solidFill>
            <a:latin typeface="+mn-ea"/>
            <a:ea typeface="+mn-ea"/>
          </a:endParaRPr>
        </a:p>
      </xdr:txBody>
    </xdr:sp>
    <xdr:clientData/>
  </xdr:twoCellAnchor>
  <xdr:twoCellAnchor>
    <xdr:from>
      <xdr:col>9</xdr:col>
      <xdr:colOff>9525</xdr:colOff>
      <xdr:row>695</xdr:row>
      <xdr:rowOff>152400</xdr:rowOff>
    </xdr:from>
    <xdr:to>
      <xdr:col>13</xdr:col>
      <xdr:colOff>104775</xdr:colOff>
      <xdr:row>699</xdr:row>
      <xdr:rowOff>20492</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1111704" y="109839579"/>
          <a:ext cx="585107" cy="521234"/>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ｼｽﾃﾑ研修</a:t>
          </a:r>
        </a:p>
      </xdr:txBody>
    </xdr:sp>
    <xdr:clientData/>
  </xdr:twoCellAnchor>
  <xdr:twoCellAnchor>
    <xdr:from>
      <xdr:col>9</xdr:col>
      <xdr:colOff>78442</xdr:colOff>
      <xdr:row>668</xdr:row>
      <xdr:rowOff>66434</xdr:rowOff>
    </xdr:from>
    <xdr:to>
      <xdr:col>23</xdr:col>
      <xdr:colOff>44824</xdr:colOff>
      <xdr:row>670</xdr:row>
      <xdr:rowOff>32817</xdr:rowOff>
    </xdr:to>
    <xdr:sp macro="" textlink="">
      <xdr:nvSpPr>
        <xdr:cNvPr id="31" name="テキスト ボックス 30">
          <a:extLst>
            <a:ext uri="{FF2B5EF4-FFF2-40B4-BE49-F238E27FC236}">
              <a16:creationId xmlns:a16="http://schemas.microsoft.com/office/drawing/2014/main" id="{00000000-0008-0000-0300-00001F000000}"/>
            </a:ext>
          </a:extLst>
        </xdr:cNvPr>
        <xdr:cNvSpPr txBox="1"/>
      </xdr:nvSpPr>
      <xdr:spPr>
        <a:xfrm>
          <a:off x="1180621" y="105508184"/>
          <a:ext cx="1680882" cy="26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kumimoji="1" lang="en-US" altLang="ja-JP" sz="1100" b="1">
              <a:latin typeface="ＭＳ Ｐゴシック" pitchFamily="50" charset="-128"/>
              <a:ea typeface="ＭＳ Ｐゴシック" pitchFamily="50" charset="-128"/>
            </a:rPr>
            <a:t>Active</a:t>
          </a:r>
          <a:r>
            <a:rPr kumimoji="1" lang="ja-JP" altLang="en-US" sz="1100" b="1">
              <a:latin typeface="ＭＳ Ｐゴシック" pitchFamily="50" charset="-128"/>
              <a:ea typeface="ＭＳ Ｐゴシック" pitchFamily="50" charset="-128"/>
            </a:rPr>
            <a:t>サーバ</a:t>
          </a:r>
        </a:p>
      </xdr:txBody>
    </xdr:sp>
    <xdr:clientData/>
  </xdr:twoCellAnchor>
  <xdr:twoCellAnchor>
    <xdr:from>
      <xdr:col>29</xdr:col>
      <xdr:colOff>11206</xdr:colOff>
      <xdr:row>668</xdr:row>
      <xdr:rowOff>66434</xdr:rowOff>
    </xdr:from>
    <xdr:to>
      <xdr:col>42</xdr:col>
      <xdr:colOff>100852</xdr:colOff>
      <xdr:row>670</xdr:row>
      <xdr:rowOff>32817</xdr:rowOff>
    </xdr:to>
    <xdr:sp macro="" textlink="">
      <xdr:nvSpPr>
        <xdr:cNvPr id="32" name="テキスト ボックス 31">
          <a:extLst>
            <a:ext uri="{FF2B5EF4-FFF2-40B4-BE49-F238E27FC236}">
              <a16:creationId xmlns:a16="http://schemas.microsoft.com/office/drawing/2014/main" id="{00000000-0008-0000-0300-000020000000}"/>
            </a:ext>
          </a:extLst>
        </xdr:cNvPr>
        <xdr:cNvSpPr txBox="1"/>
      </xdr:nvSpPr>
      <xdr:spPr>
        <a:xfrm>
          <a:off x="3562670" y="105508184"/>
          <a:ext cx="1681682" cy="26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altLang="ja-JP" sz="1100" b="1">
              <a:solidFill>
                <a:schemeClr val="dk1"/>
              </a:solidFill>
              <a:latin typeface="ＭＳ Ｐゴシック" pitchFamily="50" charset="-128"/>
              <a:ea typeface="ＭＳ Ｐゴシック" pitchFamily="50" charset="-128"/>
              <a:cs typeface="+mn-cs"/>
            </a:rPr>
            <a:t>Standby</a:t>
          </a:r>
          <a:r>
            <a:rPr kumimoji="1" lang="ja-JP" altLang="en-US" sz="1100" b="1">
              <a:latin typeface="ＭＳ Ｐゴシック" pitchFamily="50" charset="-128"/>
              <a:ea typeface="ＭＳ Ｐゴシック" pitchFamily="50" charset="-128"/>
            </a:rPr>
            <a:t>サーバ</a:t>
          </a:r>
        </a:p>
      </xdr:txBody>
    </xdr:sp>
    <xdr:clientData/>
  </xdr:twoCellAnchor>
  <xdr:twoCellAnchor>
    <xdr:from>
      <xdr:col>39</xdr:col>
      <xdr:colOff>20731</xdr:colOff>
      <xdr:row>686</xdr:row>
      <xdr:rowOff>152401</xdr:rowOff>
    </xdr:from>
    <xdr:to>
      <xdr:col>43</xdr:col>
      <xdr:colOff>115982</xdr:colOff>
      <xdr:row>695</xdr:row>
      <xdr:rowOff>46265</xdr:rowOff>
    </xdr:to>
    <xdr:sp macro="" textlink="">
      <xdr:nvSpPr>
        <xdr:cNvPr id="33" name="正方形/長方形 32">
          <a:extLst>
            <a:ext uri="{FF2B5EF4-FFF2-40B4-BE49-F238E27FC236}">
              <a16:creationId xmlns:a16="http://schemas.microsoft.com/office/drawing/2014/main" id="{00000000-0008-0000-0300-000021000000}"/>
            </a:ext>
          </a:extLst>
        </xdr:cNvPr>
        <xdr:cNvSpPr/>
      </xdr:nvSpPr>
      <xdr:spPr>
        <a:xfrm>
          <a:off x="4796838" y="108370008"/>
          <a:ext cx="585108" cy="1363436"/>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設定ファイル</a:t>
          </a:r>
          <a:endParaRPr kumimoji="1" lang="en-US" altLang="ja-JP" sz="1000">
            <a:solidFill>
              <a:sysClr val="windowText" lastClr="000000"/>
            </a:solidFill>
            <a:latin typeface="+mn-ea"/>
            <a:ea typeface="+mn-ea"/>
          </a:endParaRPr>
        </a:p>
      </xdr:txBody>
    </xdr:sp>
    <xdr:clientData/>
  </xdr:twoCellAnchor>
  <xdr:twoCellAnchor>
    <xdr:from>
      <xdr:col>38</xdr:col>
      <xdr:colOff>110378</xdr:colOff>
      <xdr:row>695</xdr:row>
      <xdr:rowOff>152400</xdr:rowOff>
    </xdr:from>
    <xdr:to>
      <xdr:col>43</xdr:col>
      <xdr:colOff>82364</xdr:colOff>
      <xdr:row>699</xdr:row>
      <xdr:rowOff>20492</xdr:rowOff>
    </xdr:to>
    <xdr:sp macro="" textlink="">
      <xdr:nvSpPr>
        <xdr:cNvPr id="34" name="正方形/長方形 33">
          <a:extLst>
            <a:ext uri="{FF2B5EF4-FFF2-40B4-BE49-F238E27FC236}">
              <a16:creationId xmlns:a16="http://schemas.microsoft.com/office/drawing/2014/main" id="{00000000-0008-0000-0300-000022000000}"/>
            </a:ext>
          </a:extLst>
        </xdr:cNvPr>
        <xdr:cNvSpPr/>
      </xdr:nvSpPr>
      <xdr:spPr>
        <a:xfrm>
          <a:off x="4764021" y="109839579"/>
          <a:ext cx="584307" cy="521234"/>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設定</a:t>
          </a:r>
          <a:endParaRPr kumimoji="1" lang="en-US" altLang="ja-JP" sz="900">
            <a:solidFill>
              <a:sysClr val="windowText" lastClr="000000"/>
            </a:solidFill>
            <a:latin typeface="+mn-ea"/>
            <a:ea typeface="+mn-ea"/>
          </a:endParaRPr>
        </a:p>
        <a:p>
          <a:pPr algn="ctr"/>
          <a:r>
            <a:rPr kumimoji="1" lang="ja-JP" altLang="en-US" sz="900">
              <a:solidFill>
                <a:sysClr val="windowText" lastClr="000000"/>
              </a:solidFill>
              <a:latin typeface="+mn-ea"/>
              <a:ea typeface="+mn-ea"/>
            </a:rPr>
            <a:t>研修</a:t>
          </a:r>
        </a:p>
      </xdr:txBody>
    </xdr:sp>
    <xdr:clientData/>
  </xdr:twoCellAnchor>
  <xdr:twoCellAnchor>
    <xdr:from>
      <xdr:col>26</xdr:col>
      <xdr:colOff>13200</xdr:colOff>
      <xdr:row>52</xdr:row>
      <xdr:rowOff>134834</xdr:rowOff>
    </xdr:from>
    <xdr:to>
      <xdr:col>64</xdr:col>
      <xdr:colOff>101952</xdr:colOff>
      <xdr:row>68</xdr:row>
      <xdr:rowOff>11206</xdr:rowOff>
    </xdr:to>
    <xdr:sp macro="" textlink="">
      <xdr:nvSpPr>
        <xdr:cNvPr id="37" name="正方形/長方形 36">
          <a:extLst>
            <a:ext uri="{FF2B5EF4-FFF2-40B4-BE49-F238E27FC236}">
              <a16:creationId xmlns:a16="http://schemas.microsoft.com/office/drawing/2014/main" id="{00000000-0008-0000-0300-000025000000}"/>
            </a:ext>
          </a:extLst>
        </xdr:cNvPr>
        <xdr:cNvSpPr/>
      </xdr:nvSpPr>
      <xdr:spPr>
        <a:xfrm>
          <a:off x="2926729" y="8315128"/>
          <a:ext cx="4346988" cy="238649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26</xdr:col>
      <xdr:colOff>87517</xdr:colOff>
      <xdr:row>65</xdr:row>
      <xdr:rowOff>134404</xdr:rowOff>
    </xdr:from>
    <xdr:to>
      <xdr:col>64</xdr:col>
      <xdr:colOff>34716</xdr:colOff>
      <xdr:row>67</xdr:row>
      <xdr:rowOff>103809</xdr:rowOff>
    </xdr:to>
    <xdr:sp macro="" textlink="">
      <xdr:nvSpPr>
        <xdr:cNvPr id="38" name="角丸四角形 37">
          <a:extLst>
            <a:ext uri="{FF2B5EF4-FFF2-40B4-BE49-F238E27FC236}">
              <a16:creationId xmlns:a16="http://schemas.microsoft.com/office/drawing/2014/main" id="{00000000-0008-0000-0300-000026000000}"/>
            </a:ext>
          </a:extLst>
        </xdr:cNvPr>
        <xdr:cNvSpPr/>
      </xdr:nvSpPr>
      <xdr:spPr>
        <a:xfrm>
          <a:off x="3001046" y="10354169"/>
          <a:ext cx="4205435" cy="283169"/>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48</xdr:col>
      <xdr:colOff>33618</xdr:colOff>
      <xdr:row>53</xdr:row>
      <xdr:rowOff>89649</xdr:rowOff>
    </xdr:from>
    <xdr:to>
      <xdr:col>64</xdr:col>
      <xdr:colOff>11203</xdr:colOff>
      <xdr:row>65</xdr:row>
      <xdr:rowOff>56030</xdr:rowOff>
    </xdr:to>
    <xdr:sp macro="" textlink="">
      <xdr:nvSpPr>
        <xdr:cNvPr id="40" name="角丸四角形 39">
          <a:extLst>
            <a:ext uri="{FF2B5EF4-FFF2-40B4-BE49-F238E27FC236}">
              <a16:creationId xmlns:a16="http://schemas.microsoft.com/office/drawing/2014/main" id="{00000000-0008-0000-0300-000028000000}"/>
            </a:ext>
          </a:extLst>
        </xdr:cNvPr>
        <xdr:cNvSpPr/>
      </xdr:nvSpPr>
      <xdr:spPr>
        <a:xfrm>
          <a:off x="5412442" y="8426825"/>
          <a:ext cx="1770526" cy="184897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7</xdr:col>
      <xdr:colOff>38855</xdr:colOff>
      <xdr:row>54</xdr:row>
      <xdr:rowOff>68293</xdr:rowOff>
    </xdr:from>
    <xdr:to>
      <xdr:col>18</xdr:col>
      <xdr:colOff>94164</xdr:colOff>
      <xdr:row>56</xdr:row>
      <xdr:rowOff>40676</xdr:rowOff>
    </xdr:to>
    <xdr:sp macro="" textlink="">
      <xdr:nvSpPr>
        <xdr:cNvPr id="41" name="角丸四角形 40">
          <a:extLst>
            <a:ext uri="{FF2B5EF4-FFF2-40B4-BE49-F238E27FC236}">
              <a16:creationId xmlns:a16="http://schemas.microsoft.com/office/drawing/2014/main" id="{00000000-0008-0000-0300-000029000000}"/>
            </a:ext>
          </a:extLst>
        </xdr:cNvPr>
        <xdr:cNvSpPr/>
      </xdr:nvSpPr>
      <xdr:spPr>
        <a:xfrm>
          <a:off x="823267" y="8562352"/>
          <a:ext cx="1287956" cy="286148"/>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音声フロー</a:t>
          </a:r>
        </a:p>
      </xdr:txBody>
    </xdr:sp>
    <xdr:clientData/>
  </xdr:twoCellAnchor>
  <xdr:twoCellAnchor>
    <xdr:from>
      <xdr:col>26</xdr:col>
      <xdr:colOff>21291</xdr:colOff>
      <xdr:row>53</xdr:row>
      <xdr:rowOff>151752</xdr:rowOff>
    </xdr:from>
    <xdr:to>
      <xdr:col>28</xdr:col>
      <xdr:colOff>48758</xdr:colOff>
      <xdr:row>55</xdr:row>
      <xdr:rowOff>50077</xdr:rowOff>
    </xdr:to>
    <xdr:sp macro="" textlink="">
      <xdr:nvSpPr>
        <xdr:cNvPr id="44" name="テキスト ボックス 23">
          <a:extLst>
            <a:ext uri="{FF2B5EF4-FFF2-40B4-BE49-F238E27FC236}">
              <a16:creationId xmlns:a16="http://schemas.microsoft.com/office/drawing/2014/main" id="{00000000-0008-0000-0300-00002C000000}"/>
            </a:ext>
          </a:extLst>
        </xdr:cNvPr>
        <xdr:cNvSpPr txBox="1"/>
      </xdr:nvSpPr>
      <xdr:spPr>
        <a:xfrm>
          <a:off x="2934820" y="8488928"/>
          <a:ext cx="251585" cy="212090"/>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①</a:t>
          </a:r>
        </a:p>
      </xdr:txBody>
    </xdr:sp>
    <xdr:clientData/>
  </xdr:twoCellAnchor>
  <xdr:twoCellAnchor>
    <xdr:from>
      <xdr:col>7</xdr:col>
      <xdr:colOff>33618</xdr:colOff>
      <xdr:row>56</xdr:row>
      <xdr:rowOff>94896</xdr:rowOff>
    </xdr:from>
    <xdr:to>
      <xdr:col>18</xdr:col>
      <xdr:colOff>89647</xdr:colOff>
      <xdr:row>58</xdr:row>
      <xdr:rowOff>56029</xdr:rowOff>
    </xdr:to>
    <xdr:sp macro="" textlink="">
      <xdr:nvSpPr>
        <xdr:cNvPr id="45" name="角丸四角形 44">
          <a:extLst>
            <a:ext uri="{FF2B5EF4-FFF2-40B4-BE49-F238E27FC236}">
              <a16:creationId xmlns:a16="http://schemas.microsoft.com/office/drawing/2014/main" id="{00000000-0008-0000-0300-00002D000000}"/>
            </a:ext>
          </a:extLst>
        </xdr:cNvPr>
        <xdr:cNvSpPr/>
      </xdr:nvSpPr>
      <xdr:spPr>
        <a:xfrm>
          <a:off x="818030" y="8902720"/>
          <a:ext cx="1288676" cy="274897"/>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管理画面サーバ</a:t>
          </a:r>
        </a:p>
      </xdr:txBody>
    </xdr:sp>
    <xdr:clientData/>
  </xdr:twoCellAnchor>
  <xdr:twoCellAnchor>
    <xdr:from>
      <xdr:col>6</xdr:col>
      <xdr:colOff>87582</xdr:colOff>
      <xdr:row>75</xdr:row>
      <xdr:rowOff>145677</xdr:rowOff>
    </xdr:from>
    <xdr:to>
      <xdr:col>20</xdr:col>
      <xdr:colOff>78441</xdr:colOff>
      <xdr:row>83</xdr:row>
      <xdr:rowOff>81971</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759935" y="11934265"/>
          <a:ext cx="1559682" cy="119135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44</xdr:col>
      <xdr:colOff>44823</xdr:colOff>
      <xdr:row>53</xdr:row>
      <xdr:rowOff>100219</xdr:rowOff>
    </xdr:from>
    <xdr:to>
      <xdr:col>47</xdr:col>
      <xdr:colOff>37527</xdr:colOff>
      <xdr:row>61</xdr:row>
      <xdr:rowOff>134472</xdr:rowOff>
    </xdr:to>
    <xdr:sp macro="" textlink="">
      <xdr:nvSpPr>
        <xdr:cNvPr id="53" name="角丸四角形 52">
          <a:extLst>
            <a:ext uri="{FF2B5EF4-FFF2-40B4-BE49-F238E27FC236}">
              <a16:creationId xmlns:a16="http://schemas.microsoft.com/office/drawing/2014/main" id="{00000000-0008-0000-0300-000035000000}"/>
            </a:ext>
          </a:extLst>
        </xdr:cNvPr>
        <xdr:cNvSpPr/>
      </xdr:nvSpPr>
      <xdr:spPr>
        <a:xfrm>
          <a:off x="5468470" y="8437395"/>
          <a:ext cx="362498" cy="128931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本番リスナー</a:t>
          </a:r>
        </a:p>
      </xdr:txBody>
    </xdr:sp>
    <xdr:clientData/>
  </xdr:twoCellAnchor>
  <xdr:twoCellAnchor>
    <xdr:from>
      <xdr:col>18</xdr:col>
      <xdr:colOff>95250</xdr:colOff>
      <xdr:row>55</xdr:row>
      <xdr:rowOff>57150</xdr:rowOff>
    </xdr:from>
    <xdr:to>
      <xdr:col>49</xdr:col>
      <xdr:colOff>104775</xdr:colOff>
      <xdr:row>56</xdr:row>
      <xdr:rowOff>57150</xdr:rowOff>
    </xdr:to>
    <xdr:cxnSp macro="">
      <xdr:nvCxnSpPr>
        <xdr:cNvPr id="112500" name="カギ線コネクタ 22">
          <a:extLst>
            <a:ext uri="{FF2B5EF4-FFF2-40B4-BE49-F238E27FC236}">
              <a16:creationId xmlns:a16="http://schemas.microsoft.com/office/drawing/2014/main" id="{00000000-0008-0000-0300-000074B70100}"/>
            </a:ext>
          </a:extLst>
        </xdr:cNvPr>
        <xdr:cNvCxnSpPr>
          <a:cxnSpLocks noChangeShapeType="1"/>
          <a:stCxn id="41" idx="3"/>
        </xdr:cNvCxnSpPr>
      </xdr:nvCxnSpPr>
      <xdr:spPr bwMode="auto">
        <a:xfrm>
          <a:off x="2324100" y="8715375"/>
          <a:ext cx="3848100" cy="161925"/>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18</xdr:col>
      <xdr:colOff>85725</xdr:colOff>
      <xdr:row>57</xdr:row>
      <xdr:rowOff>66675</xdr:rowOff>
    </xdr:from>
    <xdr:to>
      <xdr:col>50</xdr:col>
      <xdr:colOff>9525</xdr:colOff>
      <xdr:row>57</xdr:row>
      <xdr:rowOff>76200</xdr:rowOff>
    </xdr:to>
    <xdr:cxnSp macro="">
      <xdr:nvCxnSpPr>
        <xdr:cNvPr id="112501" name="カギ線コネクタ 22">
          <a:extLst>
            <a:ext uri="{FF2B5EF4-FFF2-40B4-BE49-F238E27FC236}">
              <a16:creationId xmlns:a16="http://schemas.microsoft.com/office/drawing/2014/main" id="{00000000-0008-0000-0300-000075B70100}"/>
            </a:ext>
          </a:extLst>
        </xdr:cNvPr>
        <xdr:cNvCxnSpPr>
          <a:cxnSpLocks noChangeShapeType="1"/>
          <a:stCxn id="45" idx="3"/>
        </xdr:cNvCxnSpPr>
      </xdr:nvCxnSpPr>
      <xdr:spPr bwMode="auto">
        <a:xfrm flipV="1">
          <a:off x="2314575" y="9048750"/>
          <a:ext cx="3886200" cy="9525"/>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26</xdr:col>
      <xdr:colOff>11645</xdr:colOff>
      <xdr:row>55</xdr:row>
      <xdr:rowOff>152974</xdr:rowOff>
    </xdr:from>
    <xdr:to>
      <xdr:col>28</xdr:col>
      <xdr:colOff>39451</xdr:colOff>
      <xdr:row>57</xdr:row>
      <xdr:rowOff>51907</xdr:rowOff>
    </xdr:to>
    <xdr:sp macro="" textlink="">
      <xdr:nvSpPr>
        <xdr:cNvPr id="58" name="テキスト ボックス 98">
          <a:extLst>
            <a:ext uri="{FF2B5EF4-FFF2-40B4-BE49-F238E27FC236}">
              <a16:creationId xmlns:a16="http://schemas.microsoft.com/office/drawing/2014/main" id="{00000000-0008-0000-0300-00003A000000}"/>
            </a:ext>
          </a:extLst>
        </xdr:cNvPr>
        <xdr:cNvSpPr txBox="1"/>
      </xdr:nvSpPr>
      <xdr:spPr>
        <a:xfrm>
          <a:off x="2925174" y="8803915"/>
          <a:ext cx="251924" cy="21269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②</a:t>
          </a:r>
        </a:p>
      </xdr:txBody>
    </xdr:sp>
    <xdr:clientData/>
  </xdr:twoCellAnchor>
  <xdr:twoCellAnchor>
    <xdr:from>
      <xdr:col>21</xdr:col>
      <xdr:colOff>97436</xdr:colOff>
      <xdr:row>77</xdr:row>
      <xdr:rowOff>86601</xdr:rowOff>
    </xdr:from>
    <xdr:to>
      <xdr:col>23</xdr:col>
      <xdr:colOff>114038</xdr:colOff>
      <xdr:row>78</xdr:row>
      <xdr:rowOff>146727</xdr:rowOff>
    </xdr:to>
    <xdr:sp macro="" textlink="">
      <xdr:nvSpPr>
        <xdr:cNvPr id="59" name="テキスト ボックス 99">
          <a:extLst>
            <a:ext uri="{FF2B5EF4-FFF2-40B4-BE49-F238E27FC236}">
              <a16:creationId xmlns:a16="http://schemas.microsoft.com/office/drawing/2014/main" id="{00000000-0008-0000-0300-00003B000000}"/>
            </a:ext>
          </a:extLst>
        </xdr:cNvPr>
        <xdr:cNvSpPr txBox="1"/>
      </xdr:nvSpPr>
      <xdr:spPr>
        <a:xfrm>
          <a:off x="2713148" y="12278601"/>
          <a:ext cx="265717" cy="22131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④</a:t>
          </a:r>
        </a:p>
      </xdr:txBody>
    </xdr:sp>
    <xdr:clientData/>
  </xdr:twoCellAnchor>
  <xdr:twoCellAnchor>
    <xdr:from>
      <xdr:col>63</xdr:col>
      <xdr:colOff>9525</xdr:colOff>
      <xdr:row>58</xdr:row>
      <xdr:rowOff>85725</xdr:rowOff>
    </xdr:from>
    <xdr:to>
      <xdr:col>67</xdr:col>
      <xdr:colOff>9525</xdr:colOff>
      <xdr:row>61</xdr:row>
      <xdr:rowOff>142875</xdr:rowOff>
    </xdr:to>
    <xdr:cxnSp macro="">
      <xdr:nvCxnSpPr>
        <xdr:cNvPr id="112504" name="カギ線コネクタ 104">
          <a:extLst>
            <a:ext uri="{FF2B5EF4-FFF2-40B4-BE49-F238E27FC236}">
              <a16:creationId xmlns:a16="http://schemas.microsoft.com/office/drawing/2014/main" id="{00000000-0008-0000-0300-000078B70100}"/>
            </a:ext>
          </a:extLst>
        </xdr:cNvPr>
        <xdr:cNvCxnSpPr>
          <a:cxnSpLocks noChangeShapeType="1"/>
          <a:stCxn id="109" idx="4"/>
          <a:endCxn id="379" idx="1"/>
        </xdr:cNvCxnSpPr>
      </xdr:nvCxnSpPr>
      <xdr:spPr bwMode="auto">
        <a:xfrm>
          <a:off x="7810500" y="9229725"/>
          <a:ext cx="495300" cy="542925"/>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64</xdr:col>
      <xdr:colOff>103414</xdr:colOff>
      <xdr:row>56</xdr:row>
      <xdr:rowOff>140725</xdr:rowOff>
    </xdr:from>
    <xdr:to>
      <xdr:col>67</xdr:col>
      <xdr:colOff>7781</xdr:colOff>
      <xdr:row>58</xdr:row>
      <xdr:rowOff>32319</xdr:rowOff>
    </xdr:to>
    <xdr:sp macro="" textlink="">
      <xdr:nvSpPr>
        <xdr:cNvPr id="135" name="テキスト ボックス 99">
          <a:extLst>
            <a:ext uri="{FF2B5EF4-FFF2-40B4-BE49-F238E27FC236}">
              <a16:creationId xmlns:a16="http://schemas.microsoft.com/office/drawing/2014/main" id="{00000000-0008-0000-0300-000087000000}"/>
            </a:ext>
          </a:extLst>
        </xdr:cNvPr>
        <xdr:cNvSpPr txBox="1"/>
      </xdr:nvSpPr>
      <xdr:spPr>
        <a:xfrm>
          <a:off x="7992355" y="8948549"/>
          <a:ext cx="274161" cy="20535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⑥</a:t>
          </a:r>
        </a:p>
      </xdr:txBody>
    </xdr:sp>
    <xdr:clientData/>
  </xdr:twoCellAnchor>
  <xdr:twoCellAnchor>
    <xdr:from>
      <xdr:col>49</xdr:col>
      <xdr:colOff>102024</xdr:colOff>
      <xdr:row>55</xdr:row>
      <xdr:rowOff>134471</xdr:rowOff>
    </xdr:from>
    <xdr:to>
      <xdr:col>63</xdr:col>
      <xdr:colOff>13444</xdr:colOff>
      <xdr:row>61</xdr:row>
      <xdr:rowOff>44824</xdr:rowOff>
    </xdr:to>
    <xdr:sp macro="" textlink="">
      <xdr:nvSpPr>
        <xdr:cNvPr id="109" name="円柱 108">
          <a:extLst>
            <a:ext uri="{FF2B5EF4-FFF2-40B4-BE49-F238E27FC236}">
              <a16:creationId xmlns:a16="http://schemas.microsoft.com/office/drawing/2014/main" id="{00000000-0008-0000-0300-00006D000000}"/>
            </a:ext>
          </a:extLst>
        </xdr:cNvPr>
        <xdr:cNvSpPr/>
      </xdr:nvSpPr>
      <xdr:spPr>
        <a:xfrm>
          <a:off x="5592906" y="8785412"/>
          <a:ext cx="1480244" cy="851647"/>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本番インスタンス</a:t>
          </a:r>
          <a:r>
            <a:rPr kumimoji="1" lang="en-US" altLang="ja-JP" sz="1100">
              <a:solidFill>
                <a:sysClr val="windowText" lastClr="000000"/>
              </a:solidFill>
              <a:latin typeface="+mn-ea"/>
              <a:ea typeface="+mn-ea"/>
            </a:rPr>
            <a:t>#1</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49</xdr:col>
      <xdr:colOff>100853</xdr:colOff>
      <xdr:row>62</xdr:row>
      <xdr:rowOff>7844</xdr:rowOff>
    </xdr:from>
    <xdr:to>
      <xdr:col>63</xdr:col>
      <xdr:colOff>13444</xdr:colOff>
      <xdr:row>64</xdr:row>
      <xdr:rowOff>56030</xdr:rowOff>
    </xdr:to>
    <xdr:sp macro="" textlink="">
      <xdr:nvSpPr>
        <xdr:cNvPr id="110" name="円柱 109">
          <a:extLst>
            <a:ext uri="{FF2B5EF4-FFF2-40B4-BE49-F238E27FC236}">
              <a16:creationId xmlns:a16="http://schemas.microsoft.com/office/drawing/2014/main" id="{00000000-0008-0000-0300-00006E000000}"/>
            </a:ext>
          </a:extLst>
        </xdr:cNvPr>
        <xdr:cNvSpPr/>
      </xdr:nvSpPr>
      <xdr:spPr>
        <a:xfrm>
          <a:off x="5591735" y="9756962"/>
          <a:ext cx="1481415" cy="361950"/>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ysClr val="windowText" lastClr="000000"/>
              </a:solidFill>
              <a:latin typeface="+mn-ea"/>
              <a:ea typeface="+mn-ea"/>
            </a:rPr>
            <a:t>研修インスタンス</a:t>
          </a:r>
          <a:r>
            <a:rPr kumimoji="1" lang="en-US" altLang="ja-JP" sz="1000">
              <a:solidFill>
                <a:sysClr val="windowText" lastClr="000000"/>
              </a:solidFill>
              <a:latin typeface="+mn-ea"/>
              <a:ea typeface="+mn-ea"/>
            </a:rPr>
            <a:t>#1</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67</xdr:col>
      <xdr:colOff>78577</xdr:colOff>
      <xdr:row>59</xdr:row>
      <xdr:rowOff>78447</xdr:rowOff>
    </xdr:from>
    <xdr:to>
      <xdr:col>78</xdr:col>
      <xdr:colOff>56029</xdr:colOff>
      <xdr:row>61</xdr:row>
      <xdr:rowOff>123266</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8337312" y="9356918"/>
          <a:ext cx="1333364" cy="35858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78441</xdr:colOff>
      <xdr:row>61</xdr:row>
      <xdr:rowOff>126074</xdr:rowOff>
    </xdr:from>
    <xdr:to>
      <xdr:col>78</xdr:col>
      <xdr:colOff>57709</xdr:colOff>
      <xdr:row>64</xdr:row>
      <xdr:rowOff>14010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8337176" y="9718309"/>
          <a:ext cx="1335180" cy="35858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本番０２</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55</xdr:row>
      <xdr:rowOff>56038</xdr:rowOff>
    </xdr:from>
    <xdr:to>
      <xdr:col>78</xdr:col>
      <xdr:colOff>56029</xdr:colOff>
      <xdr:row>57</xdr:row>
      <xdr:rowOff>67242</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8337311" y="8706979"/>
          <a:ext cx="1333365" cy="324969"/>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ｼｽﾃﾑ表領域</a:t>
          </a:r>
          <a:endParaRPr kumimoji="1" lang="en-US" altLang="ja-JP" sz="1000">
            <a:solidFill>
              <a:sysClr val="windowText" lastClr="000000"/>
            </a:solidFill>
            <a:latin typeface="+mn-ea"/>
            <a:ea typeface="+mn-ea"/>
          </a:endParaRPr>
        </a:p>
      </xdr:txBody>
    </xdr:sp>
    <xdr:clientData/>
  </xdr:twoCellAnchor>
  <xdr:twoCellAnchor>
    <xdr:from>
      <xdr:col>67</xdr:col>
      <xdr:colOff>78441</xdr:colOff>
      <xdr:row>64</xdr:row>
      <xdr:rowOff>14012</xdr:rowOff>
    </xdr:from>
    <xdr:to>
      <xdr:col>78</xdr:col>
      <xdr:colOff>57709</xdr:colOff>
      <xdr:row>66</xdr:row>
      <xdr:rowOff>58830</xdr:rowOff>
    </xdr:to>
    <xdr:sp macro="" textlink="">
      <xdr:nvSpPr>
        <xdr:cNvPr id="138" name="正方形/長方形 137">
          <a:extLst>
            <a:ext uri="{FF2B5EF4-FFF2-40B4-BE49-F238E27FC236}">
              <a16:creationId xmlns:a16="http://schemas.microsoft.com/office/drawing/2014/main" id="{00000000-0008-0000-0300-00008A000000}"/>
            </a:ext>
          </a:extLst>
        </xdr:cNvPr>
        <xdr:cNvSpPr/>
      </xdr:nvSpPr>
      <xdr:spPr>
        <a:xfrm>
          <a:off x="8337176" y="10076894"/>
          <a:ext cx="1335180" cy="35858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本番０３</a:t>
          </a:r>
          <a:endParaRPr kumimoji="1" lang="en-US" altLang="ja-JP" sz="1000">
            <a:solidFill>
              <a:sysClr val="windowText" lastClr="000000"/>
            </a:solidFill>
            <a:latin typeface="+mn-ea"/>
            <a:ea typeface="+mn-ea"/>
          </a:endParaRPr>
        </a:p>
      </xdr:txBody>
    </xdr:sp>
    <xdr:clientData/>
  </xdr:twoCellAnchor>
  <xdr:twoCellAnchor>
    <xdr:from>
      <xdr:col>67</xdr:col>
      <xdr:colOff>78441</xdr:colOff>
      <xdr:row>66</xdr:row>
      <xdr:rowOff>58833</xdr:rowOff>
    </xdr:from>
    <xdr:to>
      <xdr:col>78</xdr:col>
      <xdr:colOff>57709</xdr:colOff>
      <xdr:row>68</xdr:row>
      <xdr:rowOff>103651</xdr:rowOff>
    </xdr:to>
    <xdr:sp macro="" textlink="">
      <xdr:nvSpPr>
        <xdr:cNvPr id="139" name="正方形/長方形 138">
          <a:extLst>
            <a:ext uri="{FF2B5EF4-FFF2-40B4-BE49-F238E27FC236}">
              <a16:creationId xmlns:a16="http://schemas.microsoft.com/office/drawing/2014/main" id="{00000000-0008-0000-0300-00008B000000}"/>
            </a:ext>
          </a:extLst>
        </xdr:cNvPr>
        <xdr:cNvSpPr/>
      </xdr:nvSpPr>
      <xdr:spPr>
        <a:xfrm>
          <a:off x="8337176" y="10435480"/>
          <a:ext cx="1335180" cy="35858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本番０４</a:t>
          </a:r>
          <a:endParaRPr kumimoji="1" lang="en-US" altLang="ja-JP" sz="1000">
            <a:solidFill>
              <a:sysClr val="windowText" lastClr="000000"/>
            </a:solidFill>
            <a:latin typeface="+mn-ea"/>
            <a:ea typeface="+mn-ea"/>
          </a:endParaRPr>
        </a:p>
      </xdr:txBody>
    </xdr:sp>
    <xdr:clientData/>
  </xdr:twoCellAnchor>
  <xdr:twoCellAnchor>
    <xdr:from>
      <xdr:col>67</xdr:col>
      <xdr:colOff>76157</xdr:colOff>
      <xdr:row>73</xdr:row>
      <xdr:rowOff>33622</xdr:rowOff>
    </xdr:from>
    <xdr:to>
      <xdr:col>78</xdr:col>
      <xdr:colOff>56030</xdr:colOff>
      <xdr:row>74</xdr:row>
      <xdr:rowOff>86848</xdr:rowOff>
    </xdr:to>
    <xdr:sp macro="" textlink="">
      <xdr:nvSpPr>
        <xdr:cNvPr id="140" name="正方形/長方形 139">
          <a:extLst>
            <a:ext uri="{FF2B5EF4-FFF2-40B4-BE49-F238E27FC236}">
              <a16:creationId xmlns:a16="http://schemas.microsoft.com/office/drawing/2014/main" id="{00000000-0008-0000-0300-00008C000000}"/>
            </a:ext>
          </a:extLst>
        </xdr:cNvPr>
        <xdr:cNvSpPr/>
      </xdr:nvSpPr>
      <xdr:spPr>
        <a:xfrm>
          <a:off x="8334892" y="11508446"/>
          <a:ext cx="1335785" cy="210108"/>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78576</xdr:colOff>
      <xdr:row>74</xdr:row>
      <xdr:rowOff>92455</xdr:rowOff>
    </xdr:from>
    <xdr:to>
      <xdr:col>78</xdr:col>
      <xdr:colOff>56029</xdr:colOff>
      <xdr:row>75</xdr:row>
      <xdr:rowOff>145681</xdr:rowOff>
    </xdr:to>
    <xdr:sp macro="" textlink="">
      <xdr:nvSpPr>
        <xdr:cNvPr id="141" name="正方形/長方形 140">
          <a:extLst>
            <a:ext uri="{FF2B5EF4-FFF2-40B4-BE49-F238E27FC236}">
              <a16:creationId xmlns:a16="http://schemas.microsoft.com/office/drawing/2014/main" id="{00000000-0008-0000-0300-00008D000000}"/>
            </a:ext>
          </a:extLst>
        </xdr:cNvPr>
        <xdr:cNvSpPr/>
      </xdr:nvSpPr>
      <xdr:spPr>
        <a:xfrm>
          <a:off x="8337311" y="11724161"/>
          <a:ext cx="1333365" cy="210108"/>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研修０２</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76</xdr:row>
      <xdr:rowOff>2805</xdr:rowOff>
    </xdr:from>
    <xdr:to>
      <xdr:col>78</xdr:col>
      <xdr:colOff>56029</xdr:colOff>
      <xdr:row>77</xdr:row>
      <xdr:rowOff>56031</xdr:rowOff>
    </xdr:to>
    <xdr:sp macro="" textlink="">
      <xdr:nvSpPr>
        <xdr:cNvPr id="144" name="正方形/長方形 143">
          <a:extLst>
            <a:ext uri="{FF2B5EF4-FFF2-40B4-BE49-F238E27FC236}">
              <a16:creationId xmlns:a16="http://schemas.microsoft.com/office/drawing/2014/main" id="{00000000-0008-0000-0300-000090000000}"/>
            </a:ext>
          </a:extLst>
        </xdr:cNvPr>
        <xdr:cNvSpPr/>
      </xdr:nvSpPr>
      <xdr:spPr>
        <a:xfrm>
          <a:off x="8337311" y="11948276"/>
          <a:ext cx="1333365" cy="210108"/>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研修０３</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77</xdr:row>
      <xdr:rowOff>70040</xdr:rowOff>
    </xdr:from>
    <xdr:to>
      <xdr:col>78</xdr:col>
      <xdr:colOff>56029</xdr:colOff>
      <xdr:row>78</xdr:row>
      <xdr:rowOff>123266</xdr:rowOff>
    </xdr:to>
    <xdr:sp macro="" textlink="">
      <xdr:nvSpPr>
        <xdr:cNvPr id="145" name="正方形/長方形 144">
          <a:extLst>
            <a:ext uri="{FF2B5EF4-FFF2-40B4-BE49-F238E27FC236}">
              <a16:creationId xmlns:a16="http://schemas.microsoft.com/office/drawing/2014/main" id="{00000000-0008-0000-0300-000091000000}"/>
            </a:ext>
          </a:extLst>
        </xdr:cNvPr>
        <xdr:cNvSpPr/>
      </xdr:nvSpPr>
      <xdr:spPr>
        <a:xfrm>
          <a:off x="8337311" y="12172393"/>
          <a:ext cx="1333365" cy="210108"/>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研修０４</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70</xdr:row>
      <xdr:rowOff>22417</xdr:rowOff>
    </xdr:from>
    <xdr:to>
      <xdr:col>78</xdr:col>
      <xdr:colOff>56029</xdr:colOff>
      <xdr:row>71</xdr:row>
      <xdr:rowOff>61370</xdr:rowOff>
    </xdr:to>
    <xdr:sp macro="" textlink="">
      <xdr:nvSpPr>
        <xdr:cNvPr id="146" name="正方形/長方形 145">
          <a:extLst>
            <a:ext uri="{FF2B5EF4-FFF2-40B4-BE49-F238E27FC236}">
              <a16:creationId xmlns:a16="http://schemas.microsoft.com/office/drawing/2014/main" id="{00000000-0008-0000-0300-000092000000}"/>
            </a:ext>
          </a:extLst>
        </xdr:cNvPr>
        <xdr:cNvSpPr/>
      </xdr:nvSpPr>
      <xdr:spPr>
        <a:xfrm>
          <a:off x="8337311" y="11026593"/>
          <a:ext cx="1333365" cy="195836"/>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ｼｽﾃﾑ表領域 研修</a:t>
          </a:r>
          <a:endParaRPr kumimoji="1" lang="en-US" altLang="ja-JP" sz="900">
            <a:solidFill>
              <a:sysClr val="windowText" lastClr="000000"/>
            </a:solidFill>
            <a:latin typeface="+mn-ea"/>
            <a:ea typeface="+mn-ea"/>
          </a:endParaRPr>
        </a:p>
      </xdr:txBody>
    </xdr:sp>
    <xdr:clientData/>
  </xdr:twoCellAnchor>
  <xdr:twoCellAnchor>
    <xdr:from>
      <xdr:col>67</xdr:col>
      <xdr:colOff>78576</xdr:colOff>
      <xdr:row>71</xdr:row>
      <xdr:rowOff>100864</xdr:rowOff>
    </xdr:from>
    <xdr:to>
      <xdr:col>78</xdr:col>
      <xdr:colOff>56029</xdr:colOff>
      <xdr:row>72</xdr:row>
      <xdr:rowOff>131647</xdr:rowOff>
    </xdr:to>
    <xdr:sp macro="" textlink="">
      <xdr:nvSpPr>
        <xdr:cNvPr id="147" name="正方形/長方形 146">
          <a:extLst>
            <a:ext uri="{FF2B5EF4-FFF2-40B4-BE49-F238E27FC236}">
              <a16:creationId xmlns:a16="http://schemas.microsoft.com/office/drawing/2014/main" id="{00000000-0008-0000-0300-000093000000}"/>
            </a:ext>
          </a:extLst>
        </xdr:cNvPr>
        <xdr:cNvSpPr/>
      </xdr:nvSpPr>
      <xdr:spPr>
        <a:xfrm>
          <a:off x="8337311" y="11261923"/>
          <a:ext cx="1333365" cy="187665"/>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57</xdr:row>
      <xdr:rowOff>100861</xdr:rowOff>
    </xdr:from>
    <xdr:to>
      <xdr:col>78</xdr:col>
      <xdr:colOff>56029</xdr:colOff>
      <xdr:row>59</xdr:row>
      <xdr:rowOff>44824</xdr:rowOff>
    </xdr:to>
    <xdr:sp macro="" textlink="">
      <xdr:nvSpPr>
        <xdr:cNvPr id="148" name="正方形/長方形 147">
          <a:extLst>
            <a:ext uri="{FF2B5EF4-FFF2-40B4-BE49-F238E27FC236}">
              <a16:creationId xmlns:a16="http://schemas.microsoft.com/office/drawing/2014/main" id="{00000000-0008-0000-0300-000094000000}"/>
            </a:ext>
          </a:extLst>
        </xdr:cNvPr>
        <xdr:cNvSpPr/>
      </xdr:nvSpPr>
      <xdr:spPr>
        <a:xfrm>
          <a:off x="8337311" y="9065567"/>
          <a:ext cx="1333365" cy="257728"/>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26</xdr:col>
      <xdr:colOff>108718</xdr:colOff>
      <xdr:row>63</xdr:row>
      <xdr:rowOff>125440</xdr:rowOff>
    </xdr:from>
    <xdr:to>
      <xdr:col>36</xdr:col>
      <xdr:colOff>89647</xdr:colOff>
      <xdr:row>65</xdr:row>
      <xdr:rowOff>74169</xdr:rowOff>
    </xdr:to>
    <xdr:sp macro="" textlink="">
      <xdr:nvSpPr>
        <xdr:cNvPr id="185" name="角丸四角形 184">
          <a:extLst>
            <a:ext uri="{FF2B5EF4-FFF2-40B4-BE49-F238E27FC236}">
              <a16:creationId xmlns:a16="http://schemas.microsoft.com/office/drawing/2014/main" id="{00000000-0008-0000-0300-0000B9000000}"/>
            </a:ext>
          </a:extLst>
        </xdr:cNvPr>
        <xdr:cNvSpPr/>
      </xdr:nvSpPr>
      <xdr:spPr>
        <a:xfrm>
          <a:off x="3313600" y="10031440"/>
          <a:ext cx="1213576" cy="262494"/>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26</xdr:col>
      <xdr:colOff>97624</xdr:colOff>
      <xdr:row>81</xdr:row>
      <xdr:rowOff>62898</xdr:rowOff>
    </xdr:from>
    <xdr:to>
      <xdr:col>64</xdr:col>
      <xdr:colOff>44823</xdr:colOff>
      <xdr:row>83</xdr:row>
      <xdr:rowOff>32302</xdr:rowOff>
    </xdr:to>
    <xdr:sp macro="" textlink="">
      <xdr:nvSpPr>
        <xdr:cNvPr id="186" name="角丸四角形 185">
          <a:extLst>
            <a:ext uri="{FF2B5EF4-FFF2-40B4-BE49-F238E27FC236}">
              <a16:creationId xmlns:a16="http://schemas.microsoft.com/office/drawing/2014/main" id="{00000000-0008-0000-0300-0000BA000000}"/>
            </a:ext>
          </a:extLst>
        </xdr:cNvPr>
        <xdr:cNvSpPr/>
      </xdr:nvSpPr>
      <xdr:spPr>
        <a:xfrm>
          <a:off x="3011153" y="12792780"/>
          <a:ext cx="4205435" cy="283169"/>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48</xdr:col>
      <xdr:colOff>43552</xdr:colOff>
      <xdr:row>69</xdr:row>
      <xdr:rowOff>18141</xdr:rowOff>
    </xdr:from>
    <xdr:to>
      <xdr:col>64</xdr:col>
      <xdr:colOff>11784</xdr:colOff>
      <xdr:row>80</xdr:row>
      <xdr:rowOff>141406</xdr:rowOff>
    </xdr:to>
    <xdr:sp macro="" textlink="">
      <xdr:nvSpPr>
        <xdr:cNvPr id="187" name="角丸四角形 186">
          <a:extLst>
            <a:ext uri="{FF2B5EF4-FFF2-40B4-BE49-F238E27FC236}">
              <a16:creationId xmlns:a16="http://schemas.microsoft.com/office/drawing/2014/main" id="{00000000-0008-0000-0300-0000BB000000}"/>
            </a:ext>
          </a:extLst>
        </xdr:cNvPr>
        <xdr:cNvSpPr/>
      </xdr:nvSpPr>
      <xdr:spPr>
        <a:xfrm>
          <a:off x="5422376" y="10865435"/>
          <a:ext cx="1761173" cy="1848971"/>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44</xdr:col>
      <xdr:colOff>54930</xdr:colOff>
      <xdr:row>69</xdr:row>
      <xdr:rowOff>28712</xdr:rowOff>
    </xdr:from>
    <xdr:to>
      <xdr:col>47</xdr:col>
      <xdr:colOff>47634</xdr:colOff>
      <xdr:row>77</xdr:row>
      <xdr:rowOff>62966</xdr:rowOff>
    </xdr:to>
    <xdr:sp macro="" textlink="">
      <xdr:nvSpPr>
        <xdr:cNvPr id="188" name="角丸四角形 187">
          <a:extLst>
            <a:ext uri="{FF2B5EF4-FFF2-40B4-BE49-F238E27FC236}">
              <a16:creationId xmlns:a16="http://schemas.microsoft.com/office/drawing/2014/main" id="{00000000-0008-0000-0300-0000BC000000}"/>
            </a:ext>
          </a:extLst>
        </xdr:cNvPr>
        <xdr:cNvSpPr/>
      </xdr:nvSpPr>
      <xdr:spPr>
        <a:xfrm>
          <a:off x="5478577" y="10876006"/>
          <a:ext cx="362498" cy="1289313"/>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本番リスナー</a:t>
          </a:r>
        </a:p>
      </xdr:txBody>
    </xdr:sp>
    <xdr:clientData/>
  </xdr:twoCellAnchor>
  <xdr:twoCellAnchor>
    <xdr:from>
      <xdr:col>49</xdr:col>
      <xdr:colOff>77340</xdr:colOff>
      <xdr:row>71</xdr:row>
      <xdr:rowOff>62964</xdr:rowOff>
    </xdr:from>
    <xdr:to>
      <xdr:col>62</xdr:col>
      <xdr:colOff>101990</xdr:colOff>
      <xdr:row>76</xdr:row>
      <xdr:rowOff>130199</xdr:rowOff>
    </xdr:to>
    <xdr:sp macro="" textlink="">
      <xdr:nvSpPr>
        <xdr:cNvPr id="189" name="円柱 188">
          <a:extLst>
            <a:ext uri="{FF2B5EF4-FFF2-40B4-BE49-F238E27FC236}">
              <a16:creationId xmlns:a16="http://schemas.microsoft.com/office/drawing/2014/main" id="{00000000-0008-0000-0300-0000BD000000}"/>
            </a:ext>
          </a:extLst>
        </xdr:cNvPr>
        <xdr:cNvSpPr/>
      </xdr:nvSpPr>
      <xdr:spPr>
        <a:xfrm>
          <a:off x="5568222" y="11224023"/>
          <a:ext cx="1481415" cy="851647"/>
        </a:xfrm>
        <a:prstGeom prst="can">
          <a:avLst>
            <a:gd name="adj" fmla="val 19488"/>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本番インスタンス</a:t>
          </a:r>
          <a:r>
            <a:rPr kumimoji="1" lang="en-US" altLang="ja-JP" sz="1100">
              <a:solidFill>
                <a:sysClr val="windowText" lastClr="000000"/>
              </a:solidFill>
              <a:latin typeface="+mn-ea"/>
              <a:ea typeface="+mn-ea"/>
            </a:rPr>
            <a:t>#2</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63</xdr:col>
      <xdr:colOff>9525</xdr:colOff>
      <xdr:row>63</xdr:row>
      <xdr:rowOff>28575</xdr:rowOff>
    </xdr:from>
    <xdr:to>
      <xdr:col>67</xdr:col>
      <xdr:colOff>9525</xdr:colOff>
      <xdr:row>74</xdr:row>
      <xdr:rowOff>57150</xdr:rowOff>
    </xdr:to>
    <xdr:cxnSp macro="">
      <xdr:nvCxnSpPr>
        <xdr:cNvPr id="112525" name="カギ線コネクタ 104">
          <a:extLst>
            <a:ext uri="{FF2B5EF4-FFF2-40B4-BE49-F238E27FC236}">
              <a16:creationId xmlns:a16="http://schemas.microsoft.com/office/drawing/2014/main" id="{00000000-0008-0000-0300-00008DB70100}"/>
            </a:ext>
          </a:extLst>
        </xdr:cNvPr>
        <xdr:cNvCxnSpPr>
          <a:cxnSpLocks noChangeShapeType="1"/>
          <a:stCxn id="110" idx="4"/>
          <a:endCxn id="380" idx="1"/>
        </xdr:cNvCxnSpPr>
      </xdr:nvCxnSpPr>
      <xdr:spPr bwMode="auto">
        <a:xfrm>
          <a:off x="7810500" y="9982200"/>
          <a:ext cx="495300" cy="1809750"/>
        </a:xfrm>
        <a:prstGeom prst="bentConnector3">
          <a:avLst>
            <a:gd name="adj1" fmla="val 50000"/>
          </a:avLst>
        </a:prstGeom>
        <a:noFill/>
        <a:ln w="19050" algn="ctr">
          <a:solidFill>
            <a:srgbClr val="000000"/>
          </a:solidFill>
          <a:prstDash val="dash"/>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27</xdr:col>
      <xdr:colOff>1121</xdr:colOff>
      <xdr:row>59</xdr:row>
      <xdr:rowOff>140627</xdr:rowOff>
    </xdr:from>
    <xdr:to>
      <xdr:col>36</xdr:col>
      <xdr:colOff>89647</xdr:colOff>
      <xdr:row>61</xdr:row>
      <xdr:rowOff>89646</xdr:rowOff>
    </xdr:to>
    <xdr:sp macro="" textlink="">
      <xdr:nvSpPr>
        <xdr:cNvPr id="207" name="角丸四角形 206">
          <a:extLst>
            <a:ext uri="{FF2B5EF4-FFF2-40B4-BE49-F238E27FC236}">
              <a16:creationId xmlns:a16="http://schemas.microsoft.com/office/drawing/2014/main" id="{00000000-0008-0000-0300-0000CF000000}"/>
            </a:ext>
          </a:extLst>
        </xdr:cNvPr>
        <xdr:cNvSpPr/>
      </xdr:nvSpPr>
      <xdr:spPr>
        <a:xfrm>
          <a:off x="3329268" y="9419098"/>
          <a:ext cx="1197908" cy="262783"/>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27</xdr:col>
      <xdr:colOff>0</xdr:colOff>
      <xdr:row>61</xdr:row>
      <xdr:rowOff>134470</xdr:rowOff>
    </xdr:from>
    <xdr:to>
      <xdr:col>36</xdr:col>
      <xdr:colOff>89646</xdr:colOff>
      <xdr:row>63</xdr:row>
      <xdr:rowOff>67234</xdr:rowOff>
    </xdr:to>
    <xdr:sp macro="" textlink="">
      <xdr:nvSpPr>
        <xdr:cNvPr id="208" name="角丸四角形 207">
          <a:extLst>
            <a:ext uri="{FF2B5EF4-FFF2-40B4-BE49-F238E27FC236}">
              <a16:creationId xmlns:a16="http://schemas.microsoft.com/office/drawing/2014/main" id="{00000000-0008-0000-0300-0000D0000000}"/>
            </a:ext>
          </a:extLst>
        </xdr:cNvPr>
        <xdr:cNvSpPr/>
      </xdr:nvSpPr>
      <xdr:spPr>
        <a:xfrm>
          <a:off x="3328147" y="9726705"/>
          <a:ext cx="1199028" cy="24652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20</xdr:col>
      <xdr:colOff>76200</xdr:colOff>
      <xdr:row>64</xdr:row>
      <xdr:rowOff>161925</xdr:rowOff>
    </xdr:from>
    <xdr:to>
      <xdr:col>24</xdr:col>
      <xdr:colOff>76200</xdr:colOff>
      <xdr:row>79</xdr:row>
      <xdr:rowOff>95250</xdr:rowOff>
    </xdr:to>
    <xdr:cxnSp macro="">
      <xdr:nvCxnSpPr>
        <xdr:cNvPr id="112528" name="カギ線コネクタ 56">
          <a:extLst>
            <a:ext uri="{FF2B5EF4-FFF2-40B4-BE49-F238E27FC236}">
              <a16:creationId xmlns:a16="http://schemas.microsoft.com/office/drawing/2014/main" id="{00000000-0008-0000-0300-000090B70100}"/>
            </a:ext>
          </a:extLst>
        </xdr:cNvPr>
        <xdr:cNvCxnSpPr>
          <a:cxnSpLocks noChangeShapeType="1"/>
          <a:endCxn id="46" idx="3"/>
        </xdr:cNvCxnSpPr>
      </xdr:nvCxnSpPr>
      <xdr:spPr bwMode="auto">
        <a:xfrm rot="5400000">
          <a:off x="1619250" y="11210925"/>
          <a:ext cx="2362200" cy="495300"/>
        </a:xfrm>
        <a:prstGeom prst="bentConnector2">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6</xdr:col>
      <xdr:colOff>81207</xdr:colOff>
      <xdr:row>170</xdr:row>
      <xdr:rowOff>112058</xdr:rowOff>
    </xdr:from>
    <xdr:to>
      <xdr:col>25</xdr:col>
      <xdr:colOff>34001</xdr:colOff>
      <xdr:row>177</xdr:row>
      <xdr:rowOff>125506</xdr:rowOff>
    </xdr:to>
    <xdr:sp macro="" textlink="">
      <xdr:nvSpPr>
        <xdr:cNvPr id="293" name="正方形/長方形 292">
          <a:extLst>
            <a:ext uri="{FF2B5EF4-FFF2-40B4-BE49-F238E27FC236}">
              <a16:creationId xmlns:a16="http://schemas.microsoft.com/office/drawing/2014/main" id="{00000000-0008-0000-0300-000025010000}"/>
            </a:ext>
          </a:extLst>
        </xdr:cNvPr>
        <xdr:cNvSpPr/>
      </xdr:nvSpPr>
      <xdr:spPr>
        <a:xfrm>
          <a:off x="753560" y="20686058"/>
          <a:ext cx="2081912" cy="111162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WAS</a:t>
          </a:r>
          <a:endParaRPr lang="ja-JP" altLang="en-US" sz="1200">
            <a:solidFill>
              <a:schemeClr val="tx1"/>
            </a:solidFill>
            <a:latin typeface="+mn-ea"/>
          </a:endParaRPr>
        </a:p>
      </xdr:txBody>
    </xdr:sp>
    <xdr:clientData/>
  </xdr:twoCellAnchor>
  <xdr:twoCellAnchor>
    <xdr:from>
      <xdr:col>18</xdr:col>
      <xdr:colOff>100853</xdr:colOff>
      <xdr:row>172</xdr:row>
      <xdr:rowOff>112059</xdr:rowOff>
    </xdr:from>
    <xdr:to>
      <xdr:col>24</xdr:col>
      <xdr:colOff>91711</xdr:colOff>
      <xdr:row>177</xdr:row>
      <xdr:rowOff>2241</xdr:rowOff>
    </xdr:to>
    <xdr:sp macro="" textlink="">
      <xdr:nvSpPr>
        <xdr:cNvPr id="294" name="角丸四角形 293">
          <a:extLst>
            <a:ext uri="{FF2B5EF4-FFF2-40B4-BE49-F238E27FC236}">
              <a16:creationId xmlns:a16="http://schemas.microsoft.com/office/drawing/2014/main" id="{00000000-0008-0000-0300-000026010000}"/>
            </a:ext>
          </a:extLst>
        </xdr:cNvPr>
        <xdr:cNvSpPr/>
      </xdr:nvSpPr>
      <xdr:spPr>
        <a:xfrm>
          <a:off x="2319618" y="26961353"/>
          <a:ext cx="730446" cy="67459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1200">
              <a:solidFill>
                <a:schemeClr val="tx1"/>
              </a:solidFill>
              <a:latin typeface="+mn-ea"/>
            </a:rPr>
            <a:t>データソース</a:t>
          </a:r>
        </a:p>
      </xdr:txBody>
    </xdr:sp>
    <xdr:clientData/>
  </xdr:twoCellAnchor>
  <xdr:twoCellAnchor>
    <xdr:from>
      <xdr:col>25</xdr:col>
      <xdr:colOff>104911</xdr:colOff>
      <xdr:row>170</xdr:row>
      <xdr:rowOff>137074</xdr:rowOff>
    </xdr:from>
    <xdr:to>
      <xdr:col>64</xdr:col>
      <xdr:colOff>81605</xdr:colOff>
      <xdr:row>186</xdr:row>
      <xdr:rowOff>13446</xdr:rowOff>
    </xdr:to>
    <xdr:sp macro="" textlink="">
      <xdr:nvSpPr>
        <xdr:cNvPr id="295" name="正方形/長方形 294">
          <a:extLst>
            <a:ext uri="{FF2B5EF4-FFF2-40B4-BE49-F238E27FC236}">
              <a16:creationId xmlns:a16="http://schemas.microsoft.com/office/drawing/2014/main" id="{00000000-0008-0000-0300-000027010000}"/>
            </a:ext>
          </a:extLst>
        </xdr:cNvPr>
        <xdr:cNvSpPr/>
      </xdr:nvSpPr>
      <xdr:spPr>
        <a:xfrm>
          <a:off x="3200536" y="26826124"/>
          <a:ext cx="4805869" cy="246717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26</xdr:col>
      <xdr:colOff>67170</xdr:colOff>
      <xdr:row>183</xdr:row>
      <xdr:rowOff>136644</xdr:rowOff>
    </xdr:from>
    <xdr:to>
      <xdr:col>64</xdr:col>
      <xdr:colOff>14369</xdr:colOff>
      <xdr:row>185</xdr:row>
      <xdr:rowOff>106049</xdr:rowOff>
    </xdr:to>
    <xdr:sp macro="" textlink="">
      <xdr:nvSpPr>
        <xdr:cNvPr id="296" name="角丸四角形 295">
          <a:extLst>
            <a:ext uri="{FF2B5EF4-FFF2-40B4-BE49-F238E27FC236}">
              <a16:creationId xmlns:a16="http://schemas.microsoft.com/office/drawing/2014/main" id="{00000000-0008-0000-0300-000028010000}"/>
            </a:ext>
          </a:extLst>
        </xdr:cNvPr>
        <xdr:cNvSpPr/>
      </xdr:nvSpPr>
      <xdr:spPr>
        <a:xfrm>
          <a:off x="3305670" y="28960759"/>
          <a:ext cx="4680391" cy="291790"/>
        </a:xfrm>
        <a:prstGeom prst="roundRect">
          <a:avLst>
            <a:gd name="adj" fmla="val 19178"/>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47</xdr:col>
      <xdr:colOff>92810</xdr:colOff>
      <xdr:row>171</xdr:row>
      <xdr:rowOff>91889</xdr:rowOff>
    </xdr:from>
    <xdr:to>
      <xdr:col>63</xdr:col>
      <xdr:colOff>102914</xdr:colOff>
      <xdr:row>183</xdr:row>
      <xdr:rowOff>58270</xdr:rowOff>
    </xdr:to>
    <xdr:sp macro="" textlink="">
      <xdr:nvSpPr>
        <xdr:cNvPr id="297" name="角丸四角形 296">
          <a:extLst>
            <a:ext uri="{FF2B5EF4-FFF2-40B4-BE49-F238E27FC236}">
              <a16:creationId xmlns:a16="http://schemas.microsoft.com/office/drawing/2014/main" id="{00000000-0008-0000-0300-000029010000}"/>
            </a:ext>
          </a:extLst>
        </xdr:cNvPr>
        <xdr:cNvSpPr/>
      </xdr:nvSpPr>
      <xdr:spPr>
        <a:xfrm>
          <a:off x="5359575" y="20822771"/>
          <a:ext cx="1803045" cy="1848970"/>
        </a:xfrm>
        <a:prstGeom prst="roundRect">
          <a:avLst/>
        </a:prstGeom>
        <a:gradFill flip="none" rotWithShape="1">
          <a:gsLst>
            <a:gs pos="0">
              <a:schemeClr val="bg1">
                <a:lumMod val="75000"/>
              </a:schemeClr>
            </a:gs>
            <a:gs pos="50000">
              <a:schemeClr val="bg1"/>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7</xdr:col>
      <xdr:colOff>22412</xdr:colOff>
      <xdr:row>172</xdr:row>
      <xdr:rowOff>104151</xdr:rowOff>
    </xdr:from>
    <xdr:to>
      <xdr:col>18</xdr:col>
      <xdr:colOff>67235</xdr:colOff>
      <xdr:row>174</xdr:row>
      <xdr:rowOff>76052</xdr:rowOff>
    </xdr:to>
    <xdr:sp macro="" textlink="">
      <xdr:nvSpPr>
        <xdr:cNvPr id="298" name="角丸四角形 297">
          <a:extLst>
            <a:ext uri="{FF2B5EF4-FFF2-40B4-BE49-F238E27FC236}">
              <a16:creationId xmlns:a16="http://schemas.microsoft.com/office/drawing/2014/main" id="{00000000-0008-0000-0300-00002A010000}"/>
            </a:ext>
          </a:extLst>
        </xdr:cNvPr>
        <xdr:cNvSpPr/>
      </xdr:nvSpPr>
      <xdr:spPr>
        <a:xfrm>
          <a:off x="885265" y="26953445"/>
          <a:ext cx="1400735" cy="285666"/>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音声フロー</a:t>
          </a:r>
        </a:p>
      </xdr:txBody>
    </xdr:sp>
    <xdr:clientData/>
  </xdr:twoCellAnchor>
  <xdr:twoCellAnchor>
    <xdr:from>
      <xdr:col>7</xdr:col>
      <xdr:colOff>17176</xdr:colOff>
      <xdr:row>175</xdr:row>
      <xdr:rowOff>41108</xdr:rowOff>
    </xdr:from>
    <xdr:to>
      <xdr:col>18</xdr:col>
      <xdr:colOff>62713</xdr:colOff>
      <xdr:row>177</xdr:row>
      <xdr:rowOff>1777</xdr:rowOff>
    </xdr:to>
    <xdr:sp macro="" textlink="">
      <xdr:nvSpPr>
        <xdr:cNvPr id="300" name="角丸四角形 299">
          <a:extLst>
            <a:ext uri="{FF2B5EF4-FFF2-40B4-BE49-F238E27FC236}">
              <a16:creationId xmlns:a16="http://schemas.microsoft.com/office/drawing/2014/main" id="{00000000-0008-0000-0300-00002C010000}"/>
            </a:ext>
          </a:extLst>
        </xdr:cNvPr>
        <xdr:cNvSpPr/>
      </xdr:nvSpPr>
      <xdr:spPr>
        <a:xfrm>
          <a:off x="801588" y="21399520"/>
          <a:ext cx="1278184" cy="27443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管理画面サーバ</a:t>
          </a:r>
        </a:p>
      </xdr:txBody>
    </xdr:sp>
    <xdr:clientData/>
  </xdr:twoCellAnchor>
  <xdr:twoCellAnchor>
    <xdr:from>
      <xdr:col>6</xdr:col>
      <xdr:colOff>67235</xdr:colOff>
      <xdr:row>193</xdr:row>
      <xdr:rowOff>147917</xdr:rowOff>
    </xdr:from>
    <xdr:to>
      <xdr:col>18</xdr:col>
      <xdr:colOff>34177</xdr:colOff>
      <xdr:row>201</xdr:row>
      <xdr:rowOff>84211</xdr:rowOff>
    </xdr:to>
    <xdr:sp macro="" textlink="">
      <xdr:nvSpPr>
        <xdr:cNvPr id="301" name="正方形/長方形 300">
          <a:extLst>
            <a:ext uri="{FF2B5EF4-FFF2-40B4-BE49-F238E27FC236}">
              <a16:creationId xmlns:a16="http://schemas.microsoft.com/office/drawing/2014/main" id="{00000000-0008-0000-0300-00002D010000}"/>
            </a:ext>
          </a:extLst>
        </xdr:cNvPr>
        <xdr:cNvSpPr/>
      </xdr:nvSpPr>
      <xdr:spPr>
        <a:xfrm>
          <a:off x="806823" y="30291741"/>
          <a:ext cx="1446119" cy="119135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44</xdr:col>
      <xdr:colOff>24476</xdr:colOff>
      <xdr:row>171</xdr:row>
      <xdr:rowOff>102458</xdr:rowOff>
    </xdr:from>
    <xdr:to>
      <xdr:col>47</xdr:col>
      <xdr:colOff>17180</xdr:colOff>
      <xdr:row>180</xdr:row>
      <xdr:rowOff>33617</xdr:rowOff>
    </xdr:to>
    <xdr:sp macro="" textlink="">
      <xdr:nvSpPr>
        <xdr:cNvPr id="302" name="角丸四角形 301">
          <a:extLst>
            <a:ext uri="{FF2B5EF4-FFF2-40B4-BE49-F238E27FC236}">
              <a16:creationId xmlns:a16="http://schemas.microsoft.com/office/drawing/2014/main" id="{00000000-0008-0000-0300-00002E010000}"/>
            </a:ext>
          </a:extLst>
        </xdr:cNvPr>
        <xdr:cNvSpPr/>
      </xdr:nvSpPr>
      <xdr:spPr>
        <a:xfrm>
          <a:off x="4955064" y="20833340"/>
          <a:ext cx="328881" cy="1343101"/>
        </a:xfrm>
        <a:prstGeom prst="roundRect">
          <a:avLst/>
        </a:prstGeom>
        <a:gradFill>
          <a:gsLst>
            <a:gs pos="0">
              <a:schemeClr val="bg1">
                <a:lumMod val="75000"/>
              </a:schemeClr>
            </a:gs>
            <a:gs pos="50000">
              <a:schemeClr val="bg1"/>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本番リスナー</a:t>
          </a:r>
        </a:p>
      </xdr:txBody>
    </xdr:sp>
    <xdr:clientData/>
  </xdr:twoCellAnchor>
  <xdr:twoCellAnchor>
    <xdr:from>
      <xdr:col>49</xdr:col>
      <xdr:colOff>58090</xdr:colOff>
      <xdr:row>173</xdr:row>
      <xdr:rowOff>136711</xdr:rowOff>
    </xdr:from>
    <xdr:to>
      <xdr:col>62</xdr:col>
      <xdr:colOff>105155</xdr:colOff>
      <xdr:row>179</xdr:row>
      <xdr:rowOff>47064</xdr:rowOff>
    </xdr:to>
    <xdr:sp macro="" textlink="">
      <xdr:nvSpPr>
        <xdr:cNvPr id="311" name="円柱 310">
          <a:extLst>
            <a:ext uri="{FF2B5EF4-FFF2-40B4-BE49-F238E27FC236}">
              <a16:creationId xmlns:a16="http://schemas.microsoft.com/office/drawing/2014/main" id="{00000000-0008-0000-0300-000037010000}"/>
            </a:ext>
          </a:extLst>
        </xdr:cNvPr>
        <xdr:cNvSpPr/>
      </xdr:nvSpPr>
      <xdr:spPr>
        <a:xfrm>
          <a:off x="5548972" y="21181358"/>
          <a:ext cx="1503830" cy="851647"/>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本番インスタンス</a:t>
          </a:r>
          <a:r>
            <a:rPr kumimoji="1" lang="en-US" altLang="ja-JP" sz="1100">
              <a:solidFill>
                <a:sysClr val="windowText" lastClr="000000"/>
              </a:solidFill>
              <a:latin typeface="+mn-ea"/>
              <a:ea typeface="+mn-ea"/>
            </a:rPr>
            <a:t>#1</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49</xdr:col>
      <xdr:colOff>69297</xdr:colOff>
      <xdr:row>180</xdr:row>
      <xdr:rowOff>10084</xdr:rowOff>
    </xdr:from>
    <xdr:to>
      <xdr:col>62</xdr:col>
      <xdr:colOff>105156</xdr:colOff>
      <xdr:row>182</xdr:row>
      <xdr:rowOff>58270</xdr:rowOff>
    </xdr:to>
    <xdr:sp macro="" textlink="">
      <xdr:nvSpPr>
        <xdr:cNvPr id="312" name="円柱 311">
          <a:extLst>
            <a:ext uri="{FF2B5EF4-FFF2-40B4-BE49-F238E27FC236}">
              <a16:creationId xmlns:a16="http://schemas.microsoft.com/office/drawing/2014/main" id="{00000000-0008-0000-0300-000038010000}"/>
            </a:ext>
          </a:extLst>
        </xdr:cNvPr>
        <xdr:cNvSpPr/>
      </xdr:nvSpPr>
      <xdr:spPr>
        <a:xfrm>
          <a:off x="5560179" y="22152908"/>
          <a:ext cx="1492624" cy="361950"/>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ysClr val="windowText" lastClr="000000"/>
              </a:solidFill>
              <a:latin typeface="+mn-ea"/>
              <a:ea typeface="+mn-ea"/>
            </a:rPr>
            <a:t>研修インスタンス</a:t>
          </a:r>
          <a:r>
            <a:rPr kumimoji="1" lang="en-US" altLang="ja-JP" sz="1000">
              <a:solidFill>
                <a:sysClr val="windowText" lastClr="000000"/>
              </a:solidFill>
              <a:latin typeface="+mn-ea"/>
              <a:ea typeface="+mn-ea"/>
            </a:rPr>
            <a:t>#1</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67</xdr:col>
      <xdr:colOff>91848</xdr:colOff>
      <xdr:row>177</xdr:row>
      <xdr:rowOff>69482</xdr:rowOff>
    </xdr:from>
    <xdr:to>
      <xdr:col>78</xdr:col>
      <xdr:colOff>58094</xdr:colOff>
      <xdr:row>179</xdr:row>
      <xdr:rowOff>114300</xdr:rowOff>
    </xdr:to>
    <xdr:sp macro="" textlink="">
      <xdr:nvSpPr>
        <xdr:cNvPr id="313" name="正方形/長方形 312">
          <a:extLst>
            <a:ext uri="{FF2B5EF4-FFF2-40B4-BE49-F238E27FC236}">
              <a16:creationId xmlns:a16="http://schemas.microsoft.com/office/drawing/2014/main" id="{00000000-0008-0000-0300-000039010000}"/>
            </a:ext>
          </a:extLst>
        </xdr:cNvPr>
        <xdr:cNvSpPr/>
      </xdr:nvSpPr>
      <xdr:spPr>
        <a:xfrm>
          <a:off x="8350583" y="21741658"/>
          <a:ext cx="1322158" cy="35858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91712</xdr:colOff>
      <xdr:row>179</xdr:row>
      <xdr:rowOff>117108</xdr:rowOff>
    </xdr:from>
    <xdr:to>
      <xdr:col>78</xdr:col>
      <xdr:colOff>59774</xdr:colOff>
      <xdr:row>182</xdr:row>
      <xdr:rowOff>5044</xdr:rowOff>
    </xdr:to>
    <xdr:sp macro="" textlink="">
      <xdr:nvSpPr>
        <xdr:cNvPr id="314" name="正方形/長方形 313">
          <a:extLst>
            <a:ext uri="{FF2B5EF4-FFF2-40B4-BE49-F238E27FC236}">
              <a16:creationId xmlns:a16="http://schemas.microsoft.com/office/drawing/2014/main" id="{00000000-0008-0000-0300-00003A010000}"/>
            </a:ext>
          </a:extLst>
        </xdr:cNvPr>
        <xdr:cNvSpPr/>
      </xdr:nvSpPr>
      <xdr:spPr>
        <a:xfrm>
          <a:off x="8350447" y="22103049"/>
          <a:ext cx="1323974" cy="35858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本番０２</a:t>
          </a:r>
          <a:endParaRPr kumimoji="1" lang="en-US" altLang="ja-JP" sz="1000">
            <a:solidFill>
              <a:sysClr val="windowText" lastClr="000000"/>
            </a:solidFill>
            <a:latin typeface="+mn-ea"/>
            <a:ea typeface="+mn-ea"/>
          </a:endParaRPr>
        </a:p>
      </xdr:txBody>
    </xdr:sp>
    <xdr:clientData/>
  </xdr:twoCellAnchor>
  <xdr:twoCellAnchor>
    <xdr:from>
      <xdr:col>67</xdr:col>
      <xdr:colOff>91847</xdr:colOff>
      <xdr:row>173</xdr:row>
      <xdr:rowOff>47072</xdr:rowOff>
    </xdr:from>
    <xdr:to>
      <xdr:col>78</xdr:col>
      <xdr:colOff>58094</xdr:colOff>
      <xdr:row>175</xdr:row>
      <xdr:rowOff>58276</xdr:rowOff>
    </xdr:to>
    <xdr:sp macro="" textlink="">
      <xdr:nvSpPr>
        <xdr:cNvPr id="315" name="正方形/長方形 314">
          <a:extLst>
            <a:ext uri="{FF2B5EF4-FFF2-40B4-BE49-F238E27FC236}">
              <a16:creationId xmlns:a16="http://schemas.microsoft.com/office/drawing/2014/main" id="{00000000-0008-0000-0300-00003B010000}"/>
            </a:ext>
          </a:extLst>
        </xdr:cNvPr>
        <xdr:cNvSpPr/>
      </xdr:nvSpPr>
      <xdr:spPr>
        <a:xfrm>
          <a:off x="8350582" y="21091719"/>
          <a:ext cx="1322159" cy="324969"/>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ｼｽﾃﾑ表領域</a:t>
          </a:r>
          <a:endParaRPr kumimoji="1" lang="en-US" altLang="ja-JP" sz="1000">
            <a:solidFill>
              <a:sysClr val="windowText" lastClr="000000"/>
            </a:solidFill>
            <a:latin typeface="+mn-ea"/>
            <a:ea typeface="+mn-ea"/>
          </a:endParaRPr>
        </a:p>
      </xdr:txBody>
    </xdr:sp>
    <xdr:clientData/>
  </xdr:twoCellAnchor>
  <xdr:twoCellAnchor>
    <xdr:from>
      <xdr:col>67</xdr:col>
      <xdr:colOff>91712</xdr:colOff>
      <xdr:row>182</xdr:row>
      <xdr:rowOff>5046</xdr:rowOff>
    </xdr:from>
    <xdr:to>
      <xdr:col>78</xdr:col>
      <xdr:colOff>59774</xdr:colOff>
      <xdr:row>184</xdr:row>
      <xdr:rowOff>49864</xdr:rowOff>
    </xdr:to>
    <xdr:sp macro="" textlink="">
      <xdr:nvSpPr>
        <xdr:cNvPr id="316" name="正方形/長方形 315">
          <a:extLst>
            <a:ext uri="{FF2B5EF4-FFF2-40B4-BE49-F238E27FC236}">
              <a16:creationId xmlns:a16="http://schemas.microsoft.com/office/drawing/2014/main" id="{00000000-0008-0000-0300-00003C010000}"/>
            </a:ext>
          </a:extLst>
        </xdr:cNvPr>
        <xdr:cNvSpPr/>
      </xdr:nvSpPr>
      <xdr:spPr>
        <a:xfrm>
          <a:off x="8350447" y="22461634"/>
          <a:ext cx="1323974" cy="35858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本番０３</a:t>
          </a:r>
          <a:endParaRPr kumimoji="1" lang="en-US" altLang="ja-JP" sz="1000">
            <a:solidFill>
              <a:sysClr val="windowText" lastClr="000000"/>
            </a:solidFill>
            <a:latin typeface="+mn-ea"/>
            <a:ea typeface="+mn-ea"/>
          </a:endParaRPr>
        </a:p>
      </xdr:txBody>
    </xdr:sp>
    <xdr:clientData/>
  </xdr:twoCellAnchor>
  <xdr:twoCellAnchor>
    <xdr:from>
      <xdr:col>67</xdr:col>
      <xdr:colOff>91712</xdr:colOff>
      <xdr:row>184</xdr:row>
      <xdr:rowOff>49867</xdr:rowOff>
    </xdr:from>
    <xdr:to>
      <xdr:col>78</xdr:col>
      <xdr:colOff>59774</xdr:colOff>
      <xdr:row>186</xdr:row>
      <xdr:rowOff>94685</xdr:rowOff>
    </xdr:to>
    <xdr:sp macro="" textlink="">
      <xdr:nvSpPr>
        <xdr:cNvPr id="317" name="正方形/長方形 316">
          <a:extLst>
            <a:ext uri="{FF2B5EF4-FFF2-40B4-BE49-F238E27FC236}">
              <a16:creationId xmlns:a16="http://schemas.microsoft.com/office/drawing/2014/main" id="{00000000-0008-0000-0300-00003D010000}"/>
            </a:ext>
          </a:extLst>
        </xdr:cNvPr>
        <xdr:cNvSpPr/>
      </xdr:nvSpPr>
      <xdr:spPr>
        <a:xfrm>
          <a:off x="8350447" y="22820220"/>
          <a:ext cx="1323974" cy="358583"/>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本番０４</a:t>
          </a:r>
          <a:endParaRPr kumimoji="1" lang="en-US" altLang="ja-JP" sz="1000">
            <a:solidFill>
              <a:sysClr val="windowText" lastClr="000000"/>
            </a:solidFill>
            <a:latin typeface="+mn-ea"/>
            <a:ea typeface="+mn-ea"/>
          </a:endParaRPr>
        </a:p>
      </xdr:txBody>
    </xdr:sp>
    <xdr:clientData/>
  </xdr:twoCellAnchor>
  <xdr:twoCellAnchor>
    <xdr:from>
      <xdr:col>67</xdr:col>
      <xdr:colOff>91847</xdr:colOff>
      <xdr:row>175</xdr:row>
      <xdr:rowOff>91895</xdr:rowOff>
    </xdr:from>
    <xdr:to>
      <xdr:col>78</xdr:col>
      <xdr:colOff>58094</xdr:colOff>
      <xdr:row>177</xdr:row>
      <xdr:rowOff>35859</xdr:rowOff>
    </xdr:to>
    <xdr:sp macro="" textlink="">
      <xdr:nvSpPr>
        <xdr:cNvPr id="324" name="正方形/長方形 323">
          <a:extLst>
            <a:ext uri="{FF2B5EF4-FFF2-40B4-BE49-F238E27FC236}">
              <a16:creationId xmlns:a16="http://schemas.microsoft.com/office/drawing/2014/main" id="{00000000-0008-0000-0300-000044010000}"/>
            </a:ext>
          </a:extLst>
        </xdr:cNvPr>
        <xdr:cNvSpPr/>
      </xdr:nvSpPr>
      <xdr:spPr>
        <a:xfrm>
          <a:off x="8350582" y="21450307"/>
          <a:ext cx="1322159" cy="257728"/>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26</xdr:col>
      <xdr:colOff>77277</xdr:colOff>
      <xdr:row>199</xdr:row>
      <xdr:rowOff>65138</xdr:rowOff>
    </xdr:from>
    <xdr:to>
      <xdr:col>64</xdr:col>
      <xdr:colOff>24476</xdr:colOff>
      <xdr:row>201</xdr:row>
      <xdr:rowOff>34542</xdr:rowOff>
    </xdr:to>
    <xdr:sp macro="" textlink="">
      <xdr:nvSpPr>
        <xdr:cNvPr id="327" name="角丸四角形 326">
          <a:extLst>
            <a:ext uri="{FF2B5EF4-FFF2-40B4-BE49-F238E27FC236}">
              <a16:creationId xmlns:a16="http://schemas.microsoft.com/office/drawing/2014/main" id="{00000000-0008-0000-0300-000047010000}"/>
            </a:ext>
          </a:extLst>
        </xdr:cNvPr>
        <xdr:cNvSpPr/>
      </xdr:nvSpPr>
      <xdr:spPr>
        <a:xfrm>
          <a:off x="2990806" y="25188726"/>
          <a:ext cx="4205435" cy="283169"/>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49</xdr:col>
      <xdr:colOff>34579</xdr:colOff>
      <xdr:row>189</xdr:row>
      <xdr:rowOff>65204</xdr:rowOff>
    </xdr:from>
    <xdr:to>
      <xdr:col>62</xdr:col>
      <xdr:colOff>81644</xdr:colOff>
      <xdr:row>195</xdr:row>
      <xdr:rowOff>78441</xdr:rowOff>
    </xdr:to>
    <xdr:sp macro="" textlink="">
      <xdr:nvSpPr>
        <xdr:cNvPr id="330" name="円柱 329">
          <a:extLst>
            <a:ext uri="{FF2B5EF4-FFF2-40B4-BE49-F238E27FC236}">
              <a16:creationId xmlns:a16="http://schemas.microsoft.com/office/drawing/2014/main" id="{00000000-0008-0000-0300-00004A010000}"/>
            </a:ext>
          </a:extLst>
        </xdr:cNvPr>
        <xdr:cNvSpPr/>
      </xdr:nvSpPr>
      <xdr:spPr>
        <a:xfrm>
          <a:off x="5525461" y="23619969"/>
          <a:ext cx="1503830" cy="954531"/>
        </a:xfrm>
        <a:prstGeom prst="can">
          <a:avLst>
            <a:gd name="adj" fmla="val 19488"/>
          </a:avLst>
        </a:prstGeom>
        <a:gradFill flip="none" rotWithShape="1">
          <a:gsLst>
            <a:gs pos="0">
              <a:srgbClr val="00B050"/>
            </a:gs>
            <a:gs pos="50000">
              <a:srgbClr val="00B050">
                <a:tint val="44500"/>
                <a:satMod val="160000"/>
              </a:srgb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本番インスタンス</a:t>
          </a:r>
          <a:r>
            <a:rPr kumimoji="1" lang="en-US" altLang="ja-JP" sz="1100">
              <a:solidFill>
                <a:sysClr val="windowText" lastClr="000000"/>
              </a:solidFill>
              <a:latin typeface="+mn-ea"/>
              <a:ea typeface="+mn-ea"/>
            </a:rPr>
            <a:t>#2</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62</xdr:col>
      <xdr:colOff>85725</xdr:colOff>
      <xdr:row>179</xdr:row>
      <xdr:rowOff>142875</xdr:rowOff>
    </xdr:from>
    <xdr:to>
      <xdr:col>67</xdr:col>
      <xdr:colOff>9525</xdr:colOff>
      <xdr:row>192</xdr:row>
      <xdr:rowOff>76200</xdr:rowOff>
    </xdr:to>
    <xdr:cxnSp macro="">
      <xdr:nvCxnSpPr>
        <xdr:cNvPr id="112548" name="カギ線コネクタ 104">
          <a:extLst>
            <a:ext uri="{FF2B5EF4-FFF2-40B4-BE49-F238E27FC236}">
              <a16:creationId xmlns:a16="http://schemas.microsoft.com/office/drawing/2014/main" id="{00000000-0008-0000-0300-0000A4B70100}"/>
            </a:ext>
          </a:extLst>
        </xdr:cNvPr>
        <xdr:cNvCxnSpPr>
          <a:cxnSpLocks noChangeShapeType="1"/>
          <a:stCxn id="330" idx="4"/>
          <a:endCxn id="386" idx="1"/>
        </xdr:cNvCxnSpPr>
      </xdr:nvCxnSpPr>
      <xdr:spPr bwMode="auto">
        <a:xfrm flipV="1">
          <a:off x="7762875" y="28289250"/>
          <a:ext cx="542925" cy="2038350"/>
        </a:xfrm>
        <a:prstGeom prst="bentConnector3">
          <a:avLst>
            <a:gd name="adj1" fmla="val 68477"/>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44</xdr:col>
      <xdr:colOff>24476</xdr:colOff>
      <xdr:row>187</xdr:row>
      <xdr:rowOff>35222</xdr:rowOff>
    </xdr:from>
    <xdr:to>
      <xdr:col>47</xdr:col>
      <xdr:colOff>17180</xdr:colOff>
      <xdr:row>195</xdr:row>
      <xdr:rowOff>123264</xdr:rowOff>
    </xdr:to>
    <xdr:sp macro="" textlink="">
      <xdr:nvSpPr>
        <xdr:cNvPr id="344" name="角丸四角形 343">
          <a:extLst>
            <a:ext uri="{FF2B5EF4-FFF2-40B4-BE49-F238E27FC236}">
              <a16:creationId xmlns:a16="http://schemas.microsoft.com/office/drawing/2014/main" id="{00000000-0008-0000-0300-000058010000}"/>
            </a:ext>
          </a:extLst>
        </xdr:cNvPr>
        <xdr:cNvSpPr/>
      </xdr:nvSpPr>
      <xdr:spPr>
        <a:xfrm>
          <a:off x="4955064" y="23276222"/>
          <a:ext cx="328881" cy="134310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本番リスナー</a:t>
          </a:r>
        </a:p>
      </xdr:txBody>
    </xdr:sp>
    <xdr:clientData/>
  </xdr:twoCellAnchor>
  <xdr:twoCellAnchor>
    <xdr:from>
      <xdr:col>18</xdr:col>
      <xdr:colOff>66675</xdr:colOff>
      <xdr:row>173</xdr:row>
      <xdr:rowOff>85725</xdr:rowOff>
    </xdr:from>
    <xdr:to>
      <xdr:col>49</xdr:col>
      <xdr:colOff>38100</xdr:colOff>
      <xdr:row>190</xdr:row>
      <xdr:rowOff>76200</xdr:rowOff>
    </xdr:to>
    <xdr:cxnSp macro="">
      <xdr:nvCxnSpPr>
        <xdr:cNvPr id="112550" name="カギ線コネクタ 22">
          <a:extLst>
            <a:ext uri="{FF2B5EF4-FFF2-40B4-BE49-F238E27FC236}">
              <a16:creationId xmlns:a16="http://schemas.microsoft.com/office/drawing/2014/main" id="{00000000-0008-0000-0300-0000A6B70100}"/>
            </a:ext>
          </a:extLst>
        </xdr:cNvPr>
        <xdr:cNvCxnSpPr>
          <a:cxnSpLocks noChangeShapeType="1"/>
          <a:stCxn id="298" idx="3"/>
          <a:endCxn id="217" idx="1"/>
        </xdr:cNvCxnSpPr>
      </xdr:nvCxnSpPr>
      <xdr:spPr bwMode="auto">
        <a:xfrm>
          <a:off x="2295525" y="27260550"/>
          <a:ext cx="3810000" cy="2743200"/>
        </a:xfrm>
        <a:prstGeom prst="bentConnector3">
          <a:avLst>
            <a:gd name="adj1" fmla="val 17454"/>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18</xdr:col>
      <xdr:colOff>66675</xdr:colOff>
      <xdr:row>176</xdr:row>
      <xdr:rowOff>19050</xdr:rowOff>
    </xdr:from>
    <xdr:to>
      <xdr:col>49</xdr:col>
      <xdr:colOff>38100</xdr:colOff>
      <xdr:row>191</xdr:row>
      <xdr:rowOff>19050</xdr:rowOff>
    </xdr:to>
    <xdr:cxnSp macro="">
      <xdr:nvCxnSpPr>
        <xdr:cNvPr id="112551" name="カギ線コネクタ 22">
          <a:extLst>
            <a:ext uri="{FF2B5EF4-FFF2-40B4-BE49-F238E27FC236}">
              <a16:creationId xmlns:a16="http://schemas.microsoft.com/office/drawing/2014/main" id="{00000000-0008-0000-0300-0000A7B70100}"/>
            </a:ext>
          </a:extLst>
        </xdr:cNvPr>
        <xdr:cNvCxnSpPr>
          <a:cxnSpLocks noChangeShapeType="1"/>
          <a:stCxn id="300" idx="3"/>
          <a:endCxn id="230" idx="1"/>
        </xdr:cNvCxnSpPr>
      </xdr:nvCxnSpPr>
      <xdr:spPr bwMode="auto">
        <a:xfrm>
          <a:off x="2295525" y="27679650"/>
          <a:ext cx="3810000" cy="2428875"/>
        </a:xfrm>
        <a:prstGeom prst="bentConnector3">
          <a:avLst>
            <a:gd name="adj1" fmla="val 13426"/>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10</xdr:col>
      <xdr:colOff>2580</xdr:colOff>
      <xdr:row>195</xdr:row>
      <xdr:rowOff>119357</xdr:rowOff>
    </xdr:from>
    <xdr:to>
      <xdr:col>12</xdr:col>
      <xdr:colOff>30385</xdr:colOff>
      <xdr:row>197</xdr:row>
      <xdr:rowOff>18290</xdr:rowOff>
    </xdr:to>
    <xdr:sp macro="" textlink="">
      <xdr:nvSpPr>
        <xdr:cNvPr id="87" name="テキスト ボックス 99">
          <a:extLst>
            <a:ext uri="{FF2B5EF4-FFF2-40B4-BE49-F238E27FC236}">
              <a16:creationId xmlns:a16="http://schemas.microsoft.com/office/drawing/2014/main" id="{00000000-0008-0000-0300-000057000000}"/>
            </a:ext>
          </a:extLst>
        </xdr:cNvPr>
        <xdr:cNvSpPr txBox="1"/>
      </xdr:nvSpPr>
      <xdr:spPr>
        <a:xfrm>
          <a:off x="1123168" y="24615416"/>
          <a:ext cx="251923" cy="21269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B</a:t>
          </a:r>
          <a:endParaRPr lang="ja-JP" altLang="en-US" sz="1200">
            <a:latin typeface="+mn-ea"/>
            <a:ea typeface="+mn-ea"/>
          </a:endParaRPr>
        </a:p>
      </xdr:txBody>
    </xdr:sp>
    <xdr:clientData/>
  </xdr:twoCellAnchor>
  <xdr:twoCellAnchor>
    <xdr:from>
      <xdr:col>76</xdr:col>
      <xdr:colOff>91105</xdr:colOff>
      <xdr:row>171</xdr:row>
      <xdr:rowOff>12902</xdr:rowOff>
    </xdr:from>
    <xdr:to>
      <xdr:col>79</xdr:col>
      <xdr:colOff>6852</xdr:colOff>
      <xdr:row>172</xdr:row>
      <xdr:rowOff>82725</xdr:rowOff>
    </xdr:to>
    <xdr:sp macro="" textlink="">
      <xdr:nvSpPr>
        <xdr:cNvPr id="91" name="テキスト ボックス 99">
          <a:extLst>
            <a:ext uri="{FF2B5EF4-FFF2-40B4-BE49-F238E27FC236}">
              <a16:creationId xmlns:a16="http://schemas.microsoft.com/office/drawing/2014/main" id="{00000000-0008-0000-0300-00005B000000}"/>
            </a:ext>
          </a:extLst>
        </xdr:cNvPr>
        <xdr:cNvSpPr txBox="1"/>
      </xdr:nvSpPr>
      <xdr:spPr>
        <a:xfrm>
          <a:off x="8607576" y="20743784"/>
          <a:ext cx="251923" cy="226706"/>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C</a:t>
          </a:r>
          <a:endParaRPr lang="ja-JP" altLang="en-US" sz="1200">
            <a:latin typeface="+mn-ea"/>
            <a:ea typeface="+mn-ea"/>
          </a:endParaRPr>
        </a:p>
      </xdr:txBody>
    </xdr:sp>
    <xdr:clientData/>
  </xdr:twoCellAnchor>
  <xdr:twoCellAnchor>
    <xdr:from>
      <xdr:col>41</xdr:col>
      <xdr:colOff>44826</xdr:colOff>
      <xdr:row>171</xdr:row>
      <xdr:rowOff>113755</xdr:rowOff>
    </xdr:from>
    <xdr:to>
      <xdr:col>44</xdr:col>
      <xdr:colOff>80252</xdr:colOff>
      <xdr:row>173</xdr:row>
      <xdr:rowOff>11207</xdr:rowOff>
    </xdr:to>
    <xdr:sp macro="" textlink="">
      <xdr:nvSpPr>
        <xdr:cNvPr id="100" name="テキスト ボックス 99">
          <a:extLst>
            <a:ext uri="{FF2B5EF4-FFF2-40B4-BE49-F238E27FC236}">
              <a16:creationId xmlns:a16="http://schemas.microsoft.com/office/drawing/2014/main" id="{00000000-0008-0000-0300-000064000000}"/>
            </a:ext>
          </a:extLst>
        </xdr:cNvPr>
        <xdr:cNvSpPr txBox="1"/>
      </xdr:nvSpPr>
      <xdr:spPr>
        <a:xfrm>
          <a:off x="5098679" y="20844637"/>
          <a:ext cx="405220" cy="211217"/>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A</a:t>
          </a:r>
          <a:r>
            <a:rPr lang="ja-JP" altLang="en-US" sz="1200">
              <a:latin typeface="+mn-ea"/>
              <a:ea typeface="+mn-ea"/>
            </a:rPr>
            <a:t>’</a:t>
          </a:r>
        </a:p>
      </xdr:txBody>
    </xdr:sp>
    <xdr:clientData/>
  </xdr:twoCellAnchor>
  <xdr:twoCellAnchor>
    <xdr:from>
      <xdr:col>55</xdr:col>
      <xdr:colOff>7621</xdr:colOff>
      <xdr:row>177</xdr:row>
      <xdr:rowOff>2816</xdr:rowOff>
    </xdr:from>
    <xdr:to>
      <xdr:col>57</xdr:col>
      <xdr:colOff>35427</xdr:colOff>
      <xdr:row>178</xdr:row>
      <xdr:rowOff>58631</xdr:rowOff>
    </xdr:to>
    <xdr:sp macro="" textlink="">
      <xdr:nvSpPr>
        <xdr:cNvPr id="99" name="テキスト ボックス 99">
          <a:extLst>
            <a:ext uri="{FF2B5EF4-FFF2-40B4-BE49-F238E27FC236}">
              <a16:creationId xmlns:a16="http://schemas.microsoft.com/office/drawing/2014/main" id="{00000000-0008-0000-0300-000063000000}"/>
            </a:ext>
          </a:extLst>
        </xdr:cNvPr>
        <xdr:cNvSpPr txBox="1"/>
      </xdr:nvSpPr>
      <xdr:spPr>
        <a:xfrm>
          <a:off x="6170856" y="21674992"/>
          <a:ext cx="251924" cy="21269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A</a:t>
          </a:r>
          <a:endParaRPr lang="ja-JP" altLang="en-US" sz="1200">
            <a:latin typeface="+mn-ea"/>
            <a:ea typeface="+mn-ea"/>
          </a:endParaRPr>
        </a:p>
      </xdr:txBody>
    </xdr:sp>
    <xdr:clientData/>
  </xdr:twoCellAnchor>
  <xdr:twoCellAnchor>
    <xdr:from>
      <xdr:col>43</xdr:col>
      <xdr:colOff>89649</xdr:colOff>
      <xdr:row>62</xdr:row>
      <xdr:rowOff>39918</xdr:rowOff>
    </xdr:from>
    <xdr:to>
      <xdr:col>47</xdr:col>
      <xdr:colOff>70047</xdr:colOff>
      <xdr:row>65</xdr:row>
      <xdr:rowOff>44823</xdr:rowOff>
    </xdr:to>
    <xdr:sp macro="" textlink="">
      <xdr:nvSpPr>
        <xdr:cNvPr id="394" name="角丸四角形 393">
          <a:extLst>
            <a:ext uri="{FF2B5EF4-FFF2-40B4-BE49-F238E27FC236}">
              <a16:creationId xmlns:a16="http://schemas.microsoft.com/office/drawing/2014/main" id="{00000000-0008-0000-0300-00008A010000}"/>
            </a:ext>
          </a:extLst>
        </xdr:cNvPr>
        <xdr:cNvSpPr/>
      </xdr:nvSpPr>
      <xdr:spPr>
        <a:xfrm>
          <a:off x="5390031" y="9789036"/>
          <a:ext cx="473457" cy="47555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800">
              <a:solidFill>
                <a:schemeClr val="tx1"/>
              </a:solidFill>
              <a:latin typeface="+mn-ea"/>
            </a:rPr>
            <a:t>研修リスナー</a:t>
          </a:r>
        </a:p>
      </xdr:txBody>
    </xdr:sp>
    <xdr:clientData/>
  </xdr:twoCellAnchor>
  <xdr:twoCellAnchor>
    <xdr:from>
      <xdr:col>43</xdr:col>
      <xdr:colOff>67236</xdr:colOff>
      <xdr:row>180</xdr:row>
      <xdr:rowOff>89647</xdr:rowOff>
    </xdr:from>
    <xdr:to>
      <xdr:col>47</xdr:col>
      <xdr:colOff>47634</xdr:colOff>
      <xdr:row>183</xdr:row>
      <xdr:rowOff>94552</xdr:rowOff>
    </xdr:to>
    <xdr:sp macro="" textlink="">
      <xdr:nvSpPr>
        <xdr:cNvPr id="396" name="角丸四角形 395">
          <a:extLst>
            <a:ext uri="{FF2B5EF4-FFF2-40B4-BE49-F238E27FC236}">
              <a16:creationId xmlns:a16="http://schemas.microsoft.com/office/drawing/2014/main" id="{00000000-0008-0000-0300-00008C010000}"/>
            </a:ext>
          </a:extLst>
        </xdr:cNvPr>
        <xdr:cNvSpPr/>
      </xdr:nvSpPr>
      <xdr:spPr>
        <a:xfrm>
          <a:off x="4885765" y="22232471"/>
          <a:ext cx="428634" cy="47555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800">
              <a:solidFill>
                <a:schemeClr val="tx1"/>
              </a:solidFill>
              <a:latin typeface="+mn-ea"/>
            </a:rPr>
            <a:t>研修リスナー</a:t>
          </a:r>
        </a:p>
      </xdr:txBody>
    </xdr:sp>
    <xdr:clientData/>
  </xdr:twoCellAnchor>
  <xdr:twoCellAnchor>
    <xdr:from>
      <xdr:col>27</xdr:col>
      <xdr:colOff>11205</xdr:colOff>
      <xdr:row>57</xdr:row>
      <xdr:rowOff>134471</xdr:rowOff>
    </xdr:from>
    <xdr:to>
      <xdr:col>36</xdr:col>
      <xdr:colOff>78440</xdr:colOff>
      <xdr:row>59</xdr:row>
      <xdr:rowOff>67235</xdr:rowOff>
    </xdr:to>
    <xdr:sp macro="" textlink="">
      <xdr:nvSpPr>
        <xdr:cNvPr id="137" name="角丸四角形 136">
          <a:extLst>
            <a:ext uri="{FF2B5EF4-FFF2-40B4-BE49-F238E27FC236}">
              <a16:creationId xmlns:a16="http://schemas.microsoft.com/office/drawing/2014/main" id="{00000000-0008-0000-0300-000089000000}"/>
            </a:ext>
          </a:extLst>
        </xdr:cNvPr>
        <xdr:cNvSpPr/>
      </xdr:nvSpPr>
      <xdr:spPr>
        <a:xfrm>
          <a:off x="3036793" y="9099177"/>
          <a:ext cx="1075765" cy="24652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26</xdr:col>
      <xdr:colOff>82905</xdr:colOff>
      <xdr:row>193</xdr:row>
      <xdr:rowOff>76200</xdr:rowOff>
    </xdr:from>
    <xdr:to>
      <xdr:col>36</xdr:col>
      <xdr:colOff>48166</xdr:colOff>
      <xdr:row>195</xdr:row>
      <xdr:rowOff>20176</xdr:rowOff>
    </xdr:to>
    <xdr:sp macro="" textlink="">
      <xdr:nvSpPr>
        <xdr:cNvPr id="151" name="角丸四角形 150">
          <a:extLst>
            <a:ext uri="{FF2B5EF4-FFF2-40B4-BE49-F238E27FC236}">
              <a16:creationId xmlns:a16="http://schemas.microsoft.com/office/drawing/2014/main" id="{00000000-0008-0000-0300-000097000000}"/>
            </a:ext>
          </a:extLst>
        </xdr:cNvPr>
        <xdr:cNvSpPr/>
      </xdr:nvSpPr>
      <xdr:spPr>
        <a:xfrm>
          <a:off x="3302355" y="24326850"/>
          <a:ext cx="1203511" cy="26782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26</xdr:col>
      <xdr:colOff>81784</xdr:colOff>
      <xdr:row>195</xdr:row>
      <xdr:rowOff>65000</xdr:rowOff>
    </xdr:from>
    <xdr:to>
      <xdr:col>36</xdr:col>
      <xdr:colOff>48165</xdr:colOff>
      <xdr:row>196</xdr:row>
      <xdr:rowOff>159689</xdr:rowOff>
    </xdr:to>
    <xdr:sp macro="" textlink="">
      <xdr:nvSpPr>
        <xdr:cNvPr id="152" name="角丸四角形 151">
          <a:extLst>
            <a:ext uri="{FF2B5EF4-FFF2-40B4-BE49-F238E27FC236}">
              <a16:creationId xmlns:a16="http://schemas.microsoft.com/office/drawing/2014/main" id="{00000000-0008-0000-0300-000098000000}"/>
            </a:ext>
          </a:extLst>
        </xdr:cNvPr>
        <xdr:cNvSpPr/>
      </xdr:nvSpPr>
      <xdr:spPr>
        <a:xfrm>
          <a:off x="3301234" y="24639500"/>
          <a:ext cx="120463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26</xdr:col>
      <xdr:colOff>81785</xdr:colOff>
      <xdr:row>191</xdr:row>
      <xdr:rowOff>81248</xdr:rowOff>
    </xdr:from>
    <xdr:to>
      <xdr:col>36</xdr:col>
      <xdr:colOff>33617</xdr:colOff>
      <xdr:row>193</xdr:row>
      <xdr:rowOff>37540</xdr:rowOff>
    </xdr:to>
    <xdr:sp macro="" textlink="">
      <xdr:nvSpPr>
        <xdr:cNvPr id="153" name="角丸四角形 152">
          <a:extLst>
            <a:ext uri="{FF2B5EF4-FFF2-40B4-BE49-F238E27FC236}">
              <a16:creationId xmlns:a16="http://schemas.microsoft.com/office/drawing/2014/main" id="{00000000-0008-0000-0300-000099000000}"/>
            </a:ext>
          </a:extLst>
        </xdr:cNvPr>
        <xdr:cNvSpPr/>
      </xdr:nvSpPr>
      <xdr:spPr>
        <a:xfrm>
          <a:off x="3301235" y="24008048"/>
          <a:ext cx="1190082" cy="280142"/>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47</xdr:col>
      <xdr:colOff>78442</xdr:colOff>
      <xdr:row>286</xdr:row>
      <xdr:rowOff>0</xdr:rowOff>
    </xdr:from>
    <xdr:to>
      <xdr:col>60</xdr:col>
      <xdr:colOff>16785</xdr:colOff>
      <xdr:row>290</xdr:row>
      <xdr:rowOff>22412</xdr:rowOff>
    </xdr:to>
    <xdr:sp macro="" textlink="">
      <xdr:nvSpPr>
        <xdr:cNvPr id="129" name="円柱 128">
          <a:extLst>
            <a:ext uri="{FF2B5EF4-FFF2-40B4-BE49-F238E27FC236}">
              <a16:creationId xmlns:a16="http://schemas.microsoft.com/office/drawing/2014/main" id="{00000000-0008-0000-0300-000081000000}"/>
            </a:ext>
          </a:extLst>
        </xdr:cNvPr>
        <xdr:cNvSpPr/>
      </xdr:nvSpPr>
      <xdr:spPr>
        <a:xfrm>
          <a:off x="5871883" y="33001324"/>
          <a:ext cx="1540784" cy="649941"/>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24</xdr:col>
      <xdr:colOff>1</xdr:colOff>
      <xdr:row>296</xdr:row>
      <xdr:rowOff>13381</xdr:rowOff>
    </xdr:from>
    <xdr:to>
      <xdr:col>33</xdr:col>
      <xdr:colOff>104195</xdr:colOff>
      <xdr:row>297</xdr:row>
      <xdr:rowOff>118992</xdr:rowOff>
    </xdr:to>
    <xdr:sp macro="" textlink="">
      <xdr:nvSpPr>
        <xdr:cNvPr id="131" name="角丸四角形 130">
          <a:extLst>
            <a:ext uri="{FF2B5EF4-FFF2-40B4-BE49-F238E27FC236}">
              <a16:creationId xmlns:a16="http://schemas.microsoft.com/office/drawing/2014/main" id="{00000000-0008-0000-0300-000083000000}"/>
            </a:ext>
          </a:extLst>
        </xdr:cNvPr>
        <xdr:cNvSpPr/>
      </xdr:nvSpPr>
      <xdr:spPr>
        <a:xfrm>
          <a:off x="2958354" y="34583528"/>
          <a:ext cx="1213576" cy="262493"/>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24</xdr:col>
      <xdr:colOff>3342</xdr:colOff>
      <xdr:row>286</xdr:row>
      <xdr:rowOff>145674</xdr:rowOff>
    </xdr:from>
    <xdr:to>
      <xdr:col>33</xdr:col>
      <xdr:colOff>92988</xdr:colOff>
      <xdr:row>289</xdr:row>
      <xdr:rowOff>44824</xdr:rowOff>
    </xdr:to>
    <xdr:sp macro="" textlink="">
      <xdr:nvSpPr>
        <xdr:cNvPr id="132" name="角丸四角形 131">
          <a:extLst>
            <a:ext uri="{FF2B5EF4-FFF2-40B4-BE49-F238E27FC236}">
              <a16:creationId xmlns:a16="http://schemas.microsoft.com/office/drawing/2014/main" id="{00000000-0008-0000-0300-000084000000}"/>
            </a:ext>
          </a:extLst>
        </xdr:cNvPr>
        <xdr:cNvSpPr/>
      </xdr:nvSpPr>
      <xdr:spPr>
        <a:xfrm>
          <a:off x="2961695" y="33146998"/>
          <a:ext cx="1199028" cy="369797"/>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33</xdr:col>
      <xdr:colOff>89648</xdr:colOff>
      <xdr:row>288</xdr:row>
      <xdr:rowOff>89647</xdr:rowOff>
    </xdr:from>
    <xdr:to>
      <xdr:col>47</xdr:col>
      <xdr:colOff>89649</xdr:colOff>
      <xdr:row>288</xdr:row>
      <xdr:rowOff>100853</xdr:rowOff>
    </xdr:to>
    <xdr:cxnSp macro="">
      <xdr:nvCxnSpPr>
        <xdr:cNvPr id="134" name="直線矢印コネクタ 133">
          <a:extLst>
            <a:ext uri="{FF2B5EF4-FFF2-40B4-BE49-F238E27FC236}">
              <a16:creationId xmlns:a16="http://schemas.microsoft.com/office/drawing/2014/main" id="{00000000-0008-0000-0300-000086000000}"/>
            </a:ext>
          </a:extLst>
        </xdr:cNvPr>
        <xdr:cNvCxnSpPr/>
      </xdr:nvCxnSpPr>
      <xdr:spPr>
        <a:xfrm flipH="1">
          <a:off x="4157383" y="33404735"/>
          <a:ext cx="1725707" cy="11206"/>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44825</xdr:colOff>
      <xdr:row>290</xdr:row>
      <xdr:rowOff>145677</xdr:rowOff>
    </xdr:from>
    <xdr:to>
      <xdr:col>31</xdr:col>
      <xdr:colOff>56031</xdr:colOff>
      <xdr:row>294</xdr:row>
      <xdr:rowOff>56029</xdr:rowOff>
    </xdr:to>
    <xdr:sp macro="" textlink="">
      <xdr:nvSpPr>
        <xdr:cNvPr id="149" name="メモ 148">
          <a:extLst>
            <a:ext uri="{FF2B5EF4-FFF2-40B4-BE49-F238E27FC236}">
              <a16:creationId xmlns:a16="http://schemas.microsoft.com/office/drawing/2014/main" id="{00000000-0008-0000-0300-000095000000}"/>
            </a:ext>
          </a:extLst>
        </xdr:cNvPr>
        <xdr:cNvSpPr/>
      </xdr:nvSpPr>
      <xdr:spPr>
        <a:xfrm>
          <a:off x="3249707" y="33774530"/>
          <a:ext cx="627530" cy="537881"/>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1</xdr:colOff>
      <xdr:row>291</xdr:row>
      <xdr:rowOff>78440</xdr:rowOff>
    </xdr:from>
    <xdr:ext cx="1031051" cy="275717"/>
    <xdr:sp macro="" textlink="">
      <xdr:nvSpPr>
        <xdr:cNvPr id="154" name="テキスト ボックス 153">
          <a:extLst>
            <a:ext uri="{FF2B5EF4-FFF2-40B4-BE49-F238E27FC236}">
              <a16:creationId xmlns:a16="http://schemas.microsoft.com/office/drawing/2014/main" id="{00000000-0008-0000-0300-00009A000000}"/>
            </a:ext>
          </a:extLst>
        </xdr:cNvPr>
        <xdr:cNvSpPr txBox="1"/>
      </xdr:nvSpPr>
      <xdr:spPr>
        <a:xfrm>
          <a:off x="3095626" y="45722240"/>
          <a:ext cx="103105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資料請求受付</a:t>
          </a:r>
        </a:p>
      </xdr:txBody>
    </xdr:sp>
    <xdr:clientData/>
  </xdr:oneCellAnchor>
  <xdr:twoCellAnchor>
    <xdr:from>
      <xdr:col>28</xdr:col>
      <xdr:colOff>109797</xdr:colOff>
      <xdr:row>289</xdr:row>
      <xdr:rowOff>44824</xdr:rowOff>
    </xdr:from>
    <xdr:to>
      <xdr:col>28</xdr:col>
      <xdr:colOff>112060</xdr:colOff>
      <xdr:row>290</xdr:row>
      <xdr:rowOff>145677</xdr:rowOff>
    </xdr:to>
    <xdr:cxnSp macro="">
      <xdr:nvCxnSpPr>
        <xdr:cNvPr id="155" name="直線矢印コネクタ 154">
          <a:extLst>
            <a:ext uri="{FF2B5EF4-FFF2-40B4-BE49-F238E27FC236}">
              <a16:creationId xmlns:a16="http://schemas.microsoft.com/office/drawing/2014/main" id="{00000000-0008-0000-0300-00009B000000}"/>
            </a:ext>
          </a:extLst>
        </xdr:cNvPr>
        <xdr:cNvCxnSpPr>
          <a:stCxn id="132" idx="2"/>
          <a:endCxn id="149" idx="0"/>
        </xdr:cNvCxnSpPr>
      </xdr:nvCxnSpPr>
      <xdr:spPr>
        <a:xfrm>
          <a:off x="3561209" y="33516795"/>
          <a:ext cx="2263" cy="257735"/>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112060</xdr:colOff>
      <xdr:row>294</xdr:row>
      <xdr:rowOff>56029</xdr:rowOff>
    </xdr:from>
    <xdr:to>
      <xdr:col>28</xdr:col>
      <xdr:colOff>113730</xdr:colOff>
      <xdr:row>296</xdr:row>
      <xdr:rowOff>13381</xdr:rowOff>
    </xdr:to>
    <xdr:cxnSp macro="">
      <xdr:nvCxnSpPr>
        <xdr:cNvPr id="159" name="直線矢印コネクタ 158">
          <a:extLst>
            <a:ext uri="{FF2B5EF4-FFF2-40B4-BE49-F238E27FC236}">
              <a16:creationId xmlns:a16="http://schemas.microsoft.com/office/drawing/2014/main" id="{00000000-0008-0000-0300-00009F000000}"/>
            </a:ext>
          </a:extLst>
        </xdr:cNvPr>
        <xdr:cNvCxnSpPr>
          <a:stCxn id="149" idx="2"/>
          <a:endCxn id="131" idx="0"/>
        </xdr:cNvCxnSpPr>
      </xdr:nvCxnSpPr>
      <xdr:spPr>
        <a:xfrm>
          <a:off x="3563472" y="34312411"/>
          <a:ext cx="1670" cy="271117"/>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92988</xdr:colOff>
      <xdr:row>287</xdr:row>
      <xdr:rowOff>123263</xdr:rowOff>
    </xdr:from>
    <xdr:to>
      <xdr:col>47</xdr:col>
      <xdr:colOff>78442</xdr:colOff>
      <xdr:row>287</xdr:row>
      <xdr:rowOff>123265</xdr:rowOff>
    </xdr:to>
    <xdr:cxnSp macro="">
      <xdr:nvCxnSpPr>
        <xdr:cNvPr id="163" name="直線矢印コネクタ 162">
          <a:extLst>
            <a:ext uri="{FF2B5EF4-FFF2-40B4-BE49-F238E27FC236}">
              <a16:creationId xmlns:a16="http://schemas.microsoft.com/office/drawing/2014/main" id="{00000000-0008-0000-0300-0000A3000000}"/>
            </a:ext>
          </a:extLst>
        </xdr:cNvPr>
        <xdr:cNvCxnSpPr/>
      </xdr:nvCxnSpPr>
      <xdr:spPr>
        <a:xfrm>
          <a:off x="4160723" y="33281469"/>
          <a:ext cx="1711160" cy="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296</xdr:row>
      <xdr:rowOff>144628</xdr:rowOff>
    </xdr:from>
    <xdr:to>
      <xdr:col>24</xdr:col>
      <xdr:colOff>1</xdr:colOff>
      <xdr:row>296</xdr:row>
      <xdr:rowOff>145677</xdr:rowOff>
    </xdr:to>
    <xdr:cxnSp macro="">
      <xdr:nvCxnSpPr>
        <xdr:cNvPr id="169" name="直線矢印コネクタ 168">
          <a:extLst>
            <a:ext uri="{FF2B5EF4-FFF2-40B4-BE49-F238E27FC236}">
              <a16:creationId xmlns:a16="http://schemas.microsoft.com/office/drawing/2014/main" id="{00000000-0008-0000-0300-0000A9000000}"/>
            </a:ext>
          </a:extLst>
        </xdr:cNvPr>
        <xdr:cNvCxnSpPr>
          <a:stCxn id="131" idx="1"/>
        </xdr:cNvCxnSpPr>
      </xdr:nvCxnSpPr>
      <xdr:spPr>
        <a:xfrm flipH="1">
          <a:off x="2465294" y="34714775"/>
          <a:ext cx="493060" cy="1049"/>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56031</xdr:colOff>
      <xdr:row>285</xdr:row>
      <xdr:rowOff>44822</xdr:rowOff>
    </xdr:from>
    <xdr:ext cx="1109022" cy="275717"/>
    <xdr:sp macro="" textlink="">
      <xdr:nvSpPr>
        <xdr:cNvPr id="171" name="テキスト ボックス 170">
          <a:extLst>
            <a:ext uri="{FF2B5EF4-FFF2-40B4-BE49-F238E27FC236}">
              <a16:creationId xmlns:a16="http://schemas.microsoft.com/office/drawing/2014/main" id="{00000000-0008-0000-0300-0000AB000000}"/>
            </a:ext>
          </a:extLst>
        </xdr:cNvPr>
        <xdr:cNvSpPr txBox="1"/>
      </xdr:nvSpPr>
      <xdr:spPr>
        <a:xfrm>
          <a:off x="4389906" y="44774222"/>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①抽出</a:t>
          </a:r>
          <a:r>
            <a:rPr kumimoji="1" lang="en-US" altLang="ja-JP" sz="1100"/>
            <a:t>SQL</a:t>
          </a:r>
          <a:r>
            <a:rPr kumimoji="1" lang="ja-JP" altLang="en-US" sz="1100"/>
            <a:t>発行</a:t>
          </a:r>
        </a:p>
      </xdr:txBody>
    </xdr:sp>
    <xdr:clientData/>
  </xdr:oneCellAnchor>
  <xdr:oneCellAnchor>
    <xdr:from>
      <xdr:col>35</xdr:col>
      <xdr:colOff>78442</xdr:colOff>
      <xdr:row>289</xdr:row>
      <xdr:rowOff>56031</xdr:rowOff>
    </xdr:from>
    <xdr:ext cx="889987" cy="275717"/>
    <xdr:sp macro="" textlink="">
      <xdr:nvSpPr>
        <xdr:cNvPr id="172" name="テキスト ボックス 171">
          <a:extLst>
            <a:ext uri="{FF2B5EF4-FFF2-40B4-BE49-F238E27FC236}">
              <a16:creationId xmlns:a16="http://schemas.microsoft.com/office/drawing/2014/main" id="{00000000-0008-0000-0300-0000AC000000}"/>
            </a:ext>
          </a:extLst>
        </xdr:cNvPr>
        <xdr:cNvSpPr txBox="1"/>
      </xdr:nvSpPr>
      <xdr:spPr>
        <a:xfrm>
          <a:off x="4412317" y="45395031"/>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②結果連携</a:t>
          </a:r>
        </a:p>
      </xdr:txBody>
    </xdr:sp>
    <xdr:clientData/>
  </xdr:oneCellAnchor>
  <xdr:oneCellAnchor>
    <xdr:from>
      <xdr:col>33</xdr:col>
      <xdr:colOff>81803</xdr:colOff>
      <xdr:row>291</xdr:row>
      <xdr:rowOff>123265</xdr:rowOff>
    </xdr:from>
    <xdr:ext cx="1961030" cy="504264"/>
    <xdr:sp macro="" textlink="">
      <xdr:nvSpPr>
        <xdr:cNvPr id="173" name="テキスト ボックス 172">
          <a:extLst>
            <a:ext uri="{FF2B5EF4-FFF2-40B4-BE49-F238E27FC236}">
              <a16:creationId xmlns:a16="http://schemas.microsoft.com/office/drawing/2014/main" id="{00000000-0008-0000-0300-0000AD000000}"/>
            </a:ext>
          </a:extLst>
        </xdr:cNvPr>
        <xdr:cNvSpPr txBox="1"/>
      </xdr:nvSpPr>
      <xdr:spPr>
        <a:xfrm>
          <a:off x="3978088" y="33909000"/>
          <a:ext cx="1961030" cy="504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lnSpc>
              <a:spcPts val="1300"/>
            </a:lnSpc>
            <a:defRPr sz="1000"/>
          </a:pPr>
          <a:r>
            <a:rPr lang="ja-JP" altLang="en-US" sz="1100" b="0" i="0" u="none" strike="noStrike" baseline="0">
              <a:solidFill>
                <a:srgbClr val="000000"/>
              </a:solidFill>
              <a:latin typeface="ＭＳ Ｐゴシック"/>
              <a:ea typeface="ＭＳ Ｐゴシック"/>
            </a:rPr>
            <a:t>③ファイル出力</a:t>
          </a:r>
          <a:endParaRPr lang="ja-JP" altLang="en-US" sz="1100" b="0" i="0" u="none" strike="noStrike" baseline="0">
            <a:solidFill>
              <a:srgbClr val="000000"/>
            </a:solidFill>
            <a:latin typeface="Calibri"/>
          </a:endParaRPr>
        </a:p>
        <a:p>
          <a:pPr algn="l" rtl="0">
            <a:lnSpc>
              <a:spcPts val="1200"/>
            </a:lnSpc>
            <a:defRPr sz="1000"/>
          </a:pPr>
          <a:r>
            <a:rPr lang="ja-JP" altLang="en-US" sz="1100" b="0" i="0" u="none" strike="noStrike" baseline="0">
              <a:solidFill>
                <a:srgbClr val="000000"/>
              </a:solidFill>
              <a:latin typeface="ＭＳ Ｐゴシック"/>
              <a:ea typeface="ＭＳ Ｐゴシック"/>
            </a:rPr>
            <a:t>　</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ローカルディスクに保存</a:t>
          </a:r>
        </a:p>
      </xdr:txBody>
    </xdr:sp>
    <xdr:clientData/>
  </xdr:oneCellAnchor>
  <xdr:oneCellAnchor>
    <xdr:from>
      <xdr:col>21</xdr:col>
      <xdr:colOff>67237</xdr:colOff>
      <xdr:row>294</xdr:row>
      <xdr:rowOff>67234</xdr:rowOff>
    </xdr:from>
    <xdr:ext cx="979179" cy="275717"/>
    <xdr:sp macro="" textlink="">
      <xdr:nvSpPr>
        <xdr:cNvPr id="174" name="テキスト ボックス 173">
          <a:extLst>
            <a:ext uri="{FF2B5EF4-FFF2-40B4-BE49-F238E27FC236}">
              <a16:creationId xmlns:a16="http://schemas.microsoft.com/office/drawing/2014/main" id="{00000000-0008-0000-0300-0000AE000000}"/>
            </a:ext>
          </a:extLst>
        </xdr:cNvPr>
        <xdr:cNvSpPr txBox="1"/>
      </xdr:nvSpPr>
      <xdr:spPr>
        <a:xfrm>
          <a:off x="2667562" y="46168234"/>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④HULFT</a:t>
          </a:r>
          <a:r>
            <a:rPr kumimoji="1" lang="ja-JP" altLang="en-US" sz="1100"/>
            <a:t>転送</a:t>
          </a:r>
        </a:p>
      </xdr:txBody>
    </xdr:sp>
    <xdr:clientData/>
  </xdr:oneCellAnchor>
  <xdr:twoCellAnchor>
    <xdr:from>
      <xdr:col>6</xdr:col>
      <xdr:colOff>1</xdr:colOff>
      <xdr:row>285</xdr:row>
      <xdr:rowOff>1</xdr:rowOff>
    </xdr:from>
    <xdr:to>
      <xdr:col>19</xdr:col>
      <xdr:colOff>114125</xdr:colOff>
      <xdr:row>298</xdr:row>
      <xdr:rowOff>57527</xdr:rowOff>
    </xdr:to>
    <xdr:sp macro="" textlink="">
      <xdr:nvSpPr>
        <xdr:cNvPr id="175" name="正方形/長方形 174">
          <a:extLst>
            <a:ext uri="{FF2B5EF4-FFF2-40B4-BE49-F238E27FC236}">
              <a16:creationId xmlns:a16="http://schemas.microsoft.com/office/drawing/2014/main" id="{00000000-0008-0000-0300-0000AF000000}"/>
            </a:ext>
          </a:extLst>
        </xdr:cNvPr>
        <xdr:cNvSpPr/>
      </xdr:nvSpPr>
      <xdr:spPr>
        <a:xfrm>
          <a:off x="739589" y="32844442"/>
          <a:ext cx="1716565" cy="2096997"/>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47</xdr:col>
      <xdr:colOff>78442</xdr:colOff>
      <xdr:row>300</xdr:row>
      <xdr:rowOff>140073</xdr:rowOff>
    </xdr:from>
    <xdr:to>
      <xdr:col>60</xdr:col>
      <xdr:colOff>16785</xdr:colOff>
      <xdr:row>305</xdr:row>
      <xdr:rowOff>10085</xdr:rowOff>
    </xdr:to>
    <xdr:sp macro="" textlink="">
      <xdr:nvSpPr>
        <xdr:cNvPr id="168" name="円柱 167">
          <a:extLst>
            <a:ext uri="{FF2B5EF4-FFF2-40B4-BE49-F238E27FC236}">
              <a16:creationId xmlns:a16="http://schemas.microsoft.com/office/drawing/2014/main" id="{00000000-0008-0000-0300-0000A8000000}"/>
            </a:ext>
          </a:extLst>
        </xdr:cNvPr>
        <xdr:cNvSpPr/>
      </xdr:nvSpPr>
      <xdr:spPr>
        <a:xfrm>
          <a:off x="5898217" y="35144448"/>
          <a:ext cx="1548068" cy="632012"/>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#2</a:t>
          </a:r>
          <a:endParaRPr kumimoji="1" lang="ja-JP" altLang="en-US" sz="1100">
            <a:solidFill>
              <a:sysClr val="windowText" lastClr="000000"/>
            </a:solidFill>
            <a:latin typeface="+mn-ea"/>
            <a:ea typeface="+mn-ea"/>
          </a:endParaRPr>
        </a:p>
      </xdr:txBody>
    </xdr:sp>
    <xdr:clientData/>
  </xdr:twoCellAnchor>
  <xdr:twoCellAnchor>
    <xdr:from>
      <xdr:col>23</xdr:col>
      <xdr:colOff>11205</xdr:colOff>
      <xdr:row>324</xdr:row>
      <xdr:rowOff>19050</xdr:rowOff>
    </xdr:from>
    <xdr:to>
      <xdr:col>63</xdr:col>
      <xdr:colOff>89647</xdr:colOff>
      <xdr:row>335</xdr:row>
      <xdr:rowOff>38100</xdr:rowOff>
    </xdr:to>
    <xdr:sp macro="" textlink="">
      <xdr:nvSpPr>
        <xdr:cNvPr id="177" name="正方形/長方形 176">
          <a:extLst>
            <a:ext uri="{FF2B5EF4-FFF2-40B4-BE49-F238E27FC236}">
              <a16:creationId xmlns:a16="http://schemas.microsoft.com/office/drawing/2014/main" id="{00000000-0008-0000-0300-0000B1000000}"/>
            </a:ext>
          </a:extLst>
        </xdr:cNvPr>
        <xdr:cNvSpPr/>
      </xdr:nvSpPr>
      <xdr:spPr>
        <a:xfrm>
          <a:off x="2859180" y="38719125"/>
          <a:ext cx="5031442" cy="154305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48</xdr:col>
      <xdr:colOff>67235</xdr:colOff>
      <xdr:row>341</xdr:row>
      <xdr:rowOff>124945</xdr:rowOff>
    </xdr:from>
    <xdr:to>
      <xdr:col>61</xdr:col>
      <xdr:colOff>5578</xdr:colOff>
      <xdr:row>345</xdr:row>
      <xdr:rowOff>142875</xdr:rowOff>
    </xdr:to>
    <xdr:sp macro="" textlink="">
      <xdr:nvSpPr>
        <xdr:cNvPr id="178" name="円柱 177">
          <a:extLst>
            <a:ext uri="{FF2B5EF4-FFF2-40B4-BE49-F238E27FC236}">
              <a16:creationId xmlns:a16="http://schemas.microsoft.com/office/drawing/2014/main" id="{00000000-0008-0000-0300-0000B2000000}"/>
            </a:ext>
          </a:extLst>
        </xdr:cNvPr>
        <xdr:cNvSpPr/>
      </xdr:nvSpPr>
      <xdr:spPr>
        <a:xfrm>
          <a:off x="6010835" y="41263420"/>
          <a:ext cx="1548068" cy="627530"/>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#2</a:t>
          </a:r>
          <a:endParaRPr kumimoji="1" lang="ja-JP" altLang="en-US" sz="1100">
            <a:solidFill>
              <a:sysClr val="windowText" lastClr="000000"/>
            </a:solidFill>
            <a:latin typeface="+mn-ea"/>
            <a:ea typeface="+mn-ea"/>
          </a:endParaRPr>
        </a:p>
      </xdr:txBody>
    </xdr:sp>
    <xdr:clientData/>
  </xdr:twoCellAnchor>
  <xdr:twoCellAnchor>
    <xdr:from>
      <xdr:col>24</xdr:col>
      <xdr:colOff>112059</xdr:colOff>
      <xdr:row>327</xdr:row>
      <xdr:rowOff>61006</xdr:rowOff>
    </xdr:from>
    <xdr:to>
      <xdr:col>34</xdr:col>
      <xdr:colOff>92988</xdr:colOff>
      <xdr:row>329</xdr:row>
      <xdr:rowOff>14217</xdr:rowOff>
    </xdr:to>
    <xdr:sp macro="" textlink="">
      <xdr:nvSpPr>
        <xdr:cNvPr id="179" name="角丸四角形 178">
          <a:extLst>
            <a:ext uri="{FF2B5EF4-FFF2-40B4-BE49-F238E27FC236}">
              <a16:creationId xmlns:a16="http://schemas.microsoft.com/office/drawing/2014/main" id="{00000000-0008-0000-0300-0000B3000000}"/>
            </a:ext>
          </a:extLst>
        </xdr:cNvPr>
        <xdr:cNvSpPr/>
      </xdr:nvSpPr>
      <xdr:spPr>
        <a:xfrm>
          <a:off x="3083859" y="38942056"/>
          <a:ext cx="1219179" cy="2580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27</xdr:col>
      <xdr:colOff>33618</xdr:colOff>
      <xdr:row>337</xdr:row>
      <xdr:rowOff>107577</xdr:rowOff>
    </xdr:from>
    <xdr:to>
      <xdr:col>32</xdr:col>
      <xdr:colOff>44824</xdr:colOff>
      <xdr:row>341</xdr:row>
      <xdr:rowOff>17929</xdr:rowOff>
    </xdr:to>
    <xdr:sp macro="" textlink="">
      <xdr:nvSpPr>
        <xdr:cNvPr id="182" name="メモ 181">
          <a:extLst>
            <a:ext uri="{FF2B5EF4-FFF2-40B4-BE49-F238E27FC236}">
              <a16:creationId xmlns:a16="http://schemas.microsoft.com/office/drawing/2014/main" id="{00000000-0008-0000-0300-0000B6000000}"/>
            </a:ext>
          </a:extLst>
        </xdr:cNvPr>
        <xdr:cNvSpPr/>
      </xdr:nvSpPr>
      <xdr:spPr>
        <a:xfrm>
          <a:off x="3376893" y="40636452"/>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35859</xdr:colOff>
      <xdr:row>338</xdr:row>
      <xdr:rowOff>59390</xdr:rowOff>
    </xdr:from>
    <xdr:ext cx="1031051" cy="275717"/>
    <xdr:sp macro="" textlink="">
      <xdr:nvSpPr>
        <xdr:cNvPr id="184" name="テキスト ボックス 183">
          <a:extLst>
            <a:ext uri="{FF2B5EF4-FFF2-40B4-BE49-F238E27FC236}">
              <a16:creationId xmlns:a16="http://schemas.microsoft.com/office/drawing/2014/main" id="{00000000-0008-0000-0300-0000B8000000}"/>
            </a:ext>
          </a:extLst>
        </xdr:cNvPr>
        <xdr:cNvSpPr txBox="1"/>
      </xdr:nvSpPr>
      <xdr:spPr>
        <a:xfrm>
          <a:off x="3131484" y="52904090"/>
          <a:ext cx="103105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資料請求受付</a:t>
          </a:r>
        </a:p>
      </xdr:txBody>
    </xdr:sp>
    <xdr:clientData/>
  </xdr:oneCellAnchor>
  <xdr:twoCellAnchor>
    <xdr:from>
      <xdr:col>29</xdr:col>
      <xdr:colOff>101134</xdr:colOff>
      <xdr:row>334</xdr:row>
      <xdr:rowOff>113179</xdr:rowOff>
    </xdr:from>
    <xdr:to>
      <xdr:col>29</xdr:col>
      <xdr:colOff>101134</xdr:colOff>
      <xdr:row>337</xdr:row>
      <xdr:rowOff>107577</xdr:rowOff>
    </xdr:to>
    <xdr:cxnSp macro="">
      <xdr:nvCxnSpPr>
        <xdr:cNvPr id="192" name="直線矢印コネクタ 191">
          <a:extLst>
            <a:ext uri="{FF2B5EF4-FFF2-40B4-BE49-F238E27FC236}">
              <a16:creationId xmlns:a16="http://schemas.microsoft.com/office/drawing/2014/main" id="{00000000-0008-0000-0300-0000C0000000}"/>
            </a:ext>
          </a:extLst>
        </xdr:cNvPr>
        <xdr:cNvCxnSpPr>
          <a:stCxn id="182" idx="0"/>
          <a:endCxn id="286" idx="2"/>
        </xdr:cNvCxnSpPr>
      </xdr:nvCxnSpPr>
      <xdr:spPr>
        <a:xfrm flipV="1">
          <a:off x="3692059" y="40184854"/>
          <a:ext cx="0" cy="451598"/>
        </a:xfrm>
        <a:prstGeom prst="straightConnector1">
          <a:avLst/>
        </a:prstGeom>
        <a:ln w="19050">
          <a:solidFill>
            <a:schemeClr val="tx1"/>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67236</xdr:colOff>
      <xdr:row>328</xdr:row>
      <xdr:rowOff>39853</xdr:rowOff>
    </xdr:from>
    <xdr:to>
      <xdr:col>24</xdr:col>
      <xdr:colOff>112059</xdr:colOff>
      <xdr:row>328</xdr:row>
      <xdr:rowOff>47625</xdr:rowOff>
    </xdr:to>
    <xdr:cxnSp macro="">
      <xdr:nvCxnSpPr>
        <xdr:cNvPr id="194" name="直線矢印コネクタ 193">
          <a:extLst>
            <a:ext uri="{FF2B5EF4-FFF2-40B4-BE49-F238E27FC236}">
              <a16:creationId xmlns:a16="http://schemas.microsoft.com/office/drawing/2014/main" id="{00000000-0008-0000-0300-0000C2000000}"/>
            </a:ext>
          </a:extLst>
        </xdr:cNvPr>
        <xdr:cNvCxnSpPr>
          <a:stCxn id="179" idx="1"/>
        </xdr:cNvCxnSpPr>
      </xdr:nvCxnSpPr>
      <xdr:spPr>
        <a:xfrm flipH="1">
          <a:off x="2419911" y="39073303"/>
          <a:ext cx="663948" cy="777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44825</xdr:colOff>
      <xdr:row>340</xdr:row>
      <xdr:rowOff>64432</xdr:rowOff>
    </xdr:from>
    <xdr:ext cx="1109022" cy="275717"/>
    <xdr:sp macro="" textlink="">
      <xdr:nvSpPr>
        <xdr:cNvPr id="195" name="テキスト ボックス 194">
          <a:extLst>
            <a:ext uri="{FF2B5EF4-FFF2-40B4-BE49-F238E27FC236}">
              <a16:creationId xmlns:a16="http://schemas.microsoft.com/office/drawing/2014/main" id="{00000000-0008-0000-0300-0000C3000000}"/>
            </a:ext>
          </a:extLst>
        </xdr:cNvPr>
        <xdr:cNvSpPr txBox="1"/>
      </xdr:nvSpPr>
      <xdr:spPr>
        <a:xfrm>
          <a:off x="4502525" y="53213932"/>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①抽出</a:t>
          </a:r>
          <a:r>
            <a:rPr kumimoji="1" lang="en-US" altLang="ja-JP" sz="1100"/>
            <a:t>SQL</a:t>
          </a:r>
          <a:r>
            <a:rPr kumimoji="1" lang="ja-JP" altLang="en-US" sz="1100"/>
            <a:t>発行</a:t>
          </a:r>
        </a:p>
      </xdr:txBody>
    </xdr:sp>
    <xdr:clientData/>
  </xdr:oneCellAnchor>
  <xdr:oneCellAnchor>
    <xdr:from>
      <xdr:col>36</xdr:col>
      <xdr:colOff>33618</xdr:colOff>
      <xdr:row>344</xdr:row>
      <xdr:rowOff>102535</xdr:rowOff>
    </xdr:from>
    <xdr:ext cx="889987" cy="275717"/>
    <xdr:sp macro="" textlink="">
      <xdr:nvSpPr>
        <xdr:cNvPr id="196" name="テキスト ボックス 195">
          <a:extLst>
            <a:ext uri="{FF2B5EF4-FFF2-40B4-BE49-F238E27FC236}">
              <a16:creationId xmlns:a16="http://schemas.microsoft.com/office/drawing/2014/main" id="{00000000-0008-0000-0300-0000C4000000}"/>
            </a:ext>
          </a:extLst>
        </xdr:cNvPr>
        <xdr:cNvSpPr txBox="1"/>
      </xdr:nvSpPr>
      <xdr:spPr>
        <a:xfrm>
          <a:off x="4491318" y="53861635"/>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②結果連携</a:t>
          </a:r>
        </a:p>
      </xdr:txBody>
    </xdr:sp>
    <xdr:clientData/>
  </xdr:oneCellAnchor>
  <xdr:oneCellAnchor>
    <xdr:from>
      <xdr:col>19</xdr:col>
      <xdr:colOff>78441</xdr:colOff>
      <xdr:row>325</xdr:row>
      <xdr:rowOff>59389</xdr:rowOff>
    </xdr:from>
    <xdr:ext cx="979179" cy="275717"/>
    <xdr:sp macro="" textlink="">
      <xdr:nvSpPr>
        <xdr:cNvPr id="198" name="テキスト ボックス 197">
          <a:extLst>
            <a:ext uri="{FF2B5EF4-FFF2-40B4-BE49-F238E27FC236}">
              <a16:creationId xmlns:a16="http://schemas.microsoft.com/office/drawing/2014/main" id="{00000000-0008-0000-0300-0000C6000000}"/>
            </a:ext>
          </a:extLst>
        </xdr:cNvPr>
        <xdr:cNvSpPr txBox="1"/>
      </xdr:nvSpPr>
      <xdr:spPr>
        <a:xfrm>
          <a:off x="2431116" y="50922889"/>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⑤</a:t>
          </a:r>
          <a:r>
            <a:rPr kumimoji="1" lang="en-US" altLang="ja-JP" sz="1100"/>
            <a:t>HULFT</a:t>
          </a:r>
          <a:r>
            <a:rPr kumimoji="1" lang="ja-JP" altLang="en-US" sz="1100"/>
            <a:t>転送</a:t>
          </a:r>
        </a:p>
      </xdr:txBody>
    </xdr:sp>
    <xdr:clientData/>
  </xdr:oneCellAnchor>
  <xdr:twoCellAnchor>
    <xdr:from>
      <xdr:col>5</xdr:col>
      <xdr:colOff>89647</xdr:colOff>
      <xdr:row>324</xdr:row>
      <xdr:rowOff>19051</xdr:rowOff>
    </xdr:from>
    <xdr:to>
      <xdr:col>19</xdr:col>
      <xdr:colOff>80507</xdr:colOff>
      <xdr:row>335</xdr:row>
      <xdr:rowOff>47625</xdr:rowOff>
    </xdr:to>
    <xdr:sp macro="" textlink="">
      <xdr:nvSpPr>
        <xdr:cNvPr id="199" name="正方形/長方形 198">
          <a:extLst>
            <a:ext uri="{FF2B5EF4-FFF2-40B4-BE49-F238E27FC236}">
              <a16:creationId xmlns:a16="http://schemas.microsoft.com/office/drawing/2014/main" id="{00000000-0008-0000-0300-0000C7000000}"/>
            </a:ext>
          </a:extLst>
        </xdr:cNvPr>
        <xdr:cNvSpPr/>
      </xdr:nvSpPr>
      <xdr:spPr>
        <a:xfrm>
          <a:off x="708772" y="38595301"/>
          <a:ext cx="1724410" cy="170497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48</xdr:col>
      <xdr:colOff>67235</xdr:colOff>
      <xdr:row>328</xdr:row>
      <xdr:rowOff>33617</xdr:rowOff>
    </xdr:from>
    <xdr:to>
      <xdr:col>61</xdr:col>
      <xdr:colOff>5578</xdr:colOff>
      <xdr:row>332</xdr:row>
      <xdr:rowOff>56029</xdr:rowOff>
    </xdr:to>
    <xdr:sp macro="" textlink="">
      <xdr:nvSpPr>
        <xdr:cNvPr id="201" name="円柱 200">
          <a:extLst>
            <a:ext uri="{FF2B5EF4-FFF2-40B4-BE49-F238E27FC236}">
              <a16:creationId xmlns:a16="http://schemas.microsoft.com/office/drawing/2014/main" id="{00000000-0008-0000-0300-0000C9000000}"/>
            </a:ext>
          </a:extLst>
        </xdr:cNvPr>
        <xdr:cNvSpPr/>
      </xdr:nvSpPr>
      <xdr:spPr>
        <a:xfrm>
          <a:off x="5983941" y="39153352"/>
          <a:ext cx="1540784" cy="649942"/>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34</xdr:col>
      <xdr:colOff>85725</xdr:colOff>
      <xdr:row>344</xdr:row>
      <xdr:rowOff>76200</xdr:rowOff>
    </xdr:from>
    <xdr:to>
      <xdr:col>48</xdr:col>
      <xdr:colOff>66675</xdr:colOff>
      <xdr:row>344</xdr:row>
      <xdr:rowOff>76201</xdr:rowOff>
    </xdr:to>
    <xdr:cxnSp macro="">
      <xdr:nvCxnSpPr>
        <xdr:cNvPr id="203" name="直線矢印コネクタ 202">
          <a:extLst>
            <a:ext uri="{FF2B5EF4-FFF2-40B4-BE49-F238E27FC236}">
              <a16:creationId xmlns:a16="http://schemas.microsoft.com/office/drawing/2014/main" id="{00000000-0008-0000-0300-0000CB000000}"/>
            </a:ext>
          </a:extLst>
        </xdr:cNvPr>
        <xdr:cNvCxnSpPr/>
      </xdr:nvCxnSpPr>
      <xdr:spPr>
        <a:xfrm rot="10800000">
          <a:off x="4295775" y="41671875"/>
          <a:ext cx="1714500" cy="1"/>
        </a:xfrm>
        <a:prstGeom prst="bentConnector3">
          <a:avLst>
            <a:gd name="adj1" fmla="val 50000"/>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98591</xdr:colOff>
      <xdr:row>341</xdr:row>
      <xdr:rowOff>17929</xdr:rowOff>
    </xdr:from>
    <xdr:to>
      <xdr:col>29</xdr:col>
      <xdr:colOff>101134</xdr:colOff>
      <xdr:row>342</xdr:row>
      <xdr:rowOff>61629</xdr:rowOff>
    </xdr:to>
    <xdr:cxnSp macro="">
      <xdr:nvCxnSpPr>
        <xdr:cNvPr id="204" name="直線矢印コネクタ 203">
          <a:extLst>
            <a:ext uri="{FF2B5EF4-FFF2-40B4-BE49-F238E27FC236}">
              <a16:creationId xmlns:a16="http://schemas.microsoft.com/office/drawing/2014/main" id="{00000000-0008-0000-0300-0000CC000000}"/>
            </a:ext>
          </a:extLst>
        </xdr:cNvPr>
        <xdr:cNvCxnSpPr>
          <a:stCxn id="247" idx="0"/>
          <a:endCxn id="182" idx="2"/>
        </xdr:cNvCxnSpPr>
      </xdr:nvCxnSpPr>
      <xdr:spPr>
        <a:xfrm flipV="1">
          <a:off x="3689516" y="41156404"/>
          <a:ext cx="2543" cy="1961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104775</xdr:colOff>
      <xdr:row>341</xdr:row>
      <xdr:rowOff>19051</xdr:rowOff>
    </xdr:from>
    <xdr:to>
      <xdr:col>30</xdr:col>
      <xdr:colOff>104775</xdr:colOff>
      <xdr:row>343</xdr:row>
      <xdr:rowOff>0</xdr:rowOff>
    </xdr:to>
    <xdr:sp macro="" textlink="">
      <xdr:nvSpPr>
        <xdr:cNvPr id="25411" name="テキスト ボックス 210">
          <a:extLst>
            <a:ext uri="{FF2B5EF4-FFF2-40B4-BE49-F238E27FC236}">
              <a16:creationId xmlns:a16="http://schemas.microsoft.com/office/drawing/2014/main" id="{00000000-0008-0000-0300-000043630000}"/>
            </a:ext>
          </a:extLst>
        </xdr:cNvPr>
        <xdr:cNvSpPr txBox="1">
          <a:spLocks noChangeArrowheads="1"/>
        </xdr:cNvSpPr>
      </xdr:nvSpPr>
      <xdr:spPr bwMode="auto">
        <a:xfrm>
          <a:off x="2581275" y="41157526"/>
          <a:ext cx="1238250" cy="285750"/>
        </a:xfrm>
        <a:prstGeom prst="rect">
          <a:avLst/>
        </a:prstGeom>
        <a:noFill/>
        <a:ln w="9525">
          <a:no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③ファイル出力</a:t>
          </a:r>
        </a:p>
      </xdr:txBody>
    </xdr:sp>
    <xdr:clientData/>
  </xdr:twoCellAnchor>
  <xdr:twoCellAnchor>
    <xdr:from>
      <xdr:col>34</xdr:col>
      <xdr:colOff>81781</xdr:colOff>
      <xdr:row>343</xdr:row>
      <xdr:rowOff>85725</xdr:rowOff>
    </xdr:from>
    <xdr:to>
      <xdr:col>48</xdr:col>
      <xdr:colOff>95250</xdr:colOff>
      <xdr:row>343</xdr:row>
      <xdr:rowOff>87405</xdr:rowOff>
    </xdr:to>
    <xdr:cxnSp macro="">
      <xdr:nvCxnSpPr>
        <xdr:cNvPr id="221" name="直線矢印コネクタ 220">
          <a:extLst>
            <a:ext uri="{FF2B5EF4-FFF2-40B4-BE49-F238E27FC236}">
              <a16:creationId xmlns:a16="http://schemas.microsoft.com/office/drawing/2014/main" id="{00000000-0008-0000-0300-0000DD000000}"/>
            </a:ext>
          </a:extLst>
        </xdr:cNvPr>
        <xdr:cNvCxnSpPr>
          <a:stCxn id="247" idx="3"/>
        </xdr:cNvCxnSpPr>
      </xdr:nvCxnSpPr>
      <xdr:spPr>
        <a:xfrm flipV="1">
          <a:off x="4291831" y="41529000"/>
          <a:ext cx="1747019" cy="1680"/>
        </a:xfrm>
        <a:prstGeom prst="bentConnector3">
          <a:avLst>
            <a:gd name="adj1" fmla="val 50000"/>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11205</xdr:colOff>
      <xdr:row>285</xdr:row>
      <xdr:rowOff>33618</xdr:rowOff>
    </xdr:from>
    <xdr:to>
      <xdr:col>76</xdr:col>
      <xdr:colOff>91710</xdr:colOff>
      <xdr:row>305</xdr:row>
      <xdr:rowOff>100293</xdr:rowOff>
    </xdr:to>
    <xdr:sp macro="" textlink="">
      <xdr:nvSpPr>
        <xdr:cNvPr id="181" name="正方形/長方形 180">
          <a:extLst>
            <a:ext uri="{FF2B5EF4-FFF2-40B4-BE49-F238E27FC236}">
              <a16:creationId xmlns:a16="http://schemas.microsoft.com/office/drawing/2014/main" id="{00000000-0008-0000-0300-0000B5000000}"/>
            </a:ext>
          </a:extLst>
        </xdr:cNvPr>
        <xdr:cNvSpPr/>
      </xdr:nvSpPr>
      <xdr:spPr>
        <a:xfrm>
          <a:off x="7900146" y="44644236"/>
          <a:ext cx="1559682" cy="320432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65</xdr:col>
      <xdr:colOff>0</xdr:colOff>
      <xdr:row>324</xdr:row>
      <xdr:rowOff>9525</xdr:rowOff>
    </xdr:from>
    <xdr:to>
      <xdr:col>77</xdr:col>
      <xdr:colOff>80506</xdr:colOff>
      <xdr:row>347</xdr:row>
      <xdr:rowOff>19051</xdr:rowOff>
    </xdr:to>
    <xdr:sp macro="" textlink="">
      <xdr:nvSpPr>
        <xdr:cNvPr id="197" name="正方形/長方形 196">
          <a:extLst>
            <a:ext uri="{FF2B5EF4-FFF2-40B4-BE49-F238E27FC236}">
              <a16:creationId xmlns:a16="http://schemas.microsoft.com/office/drawing/2014/main" id="{00000000-0008-0000-0300-0000C5000000}"/>
            </a:ext>
          </a:extLst>
        </xdr:cNvPr>
        <xdr:cNvSpPr/>
      </xdr:nvSpPr>
      <xdr:spPr>
        <a:xfrm>
          <a:off x="8048625" y="38585775"/>
          <a:ext cx="1566406" cy="35147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67</xdr:col>
      <xdr:colOff>33620</xdr:colOff>
      <xdr:row>295</xdr:row>
      <xdr:rowOff>123272</xdr:rowOff>
    </xdr:from>
    <xdr:to>
      <xdr:col>72</xdr:col>
      <xdr:colOff>44826</xdr:colOff>
      <xdr:row>299</xdr:row>
      <xdr:rowOff>33624</xdr:rowOff>
    </xdr:to>
    <xdr:sp macro="" textlink="">
      <xdr:nvSpPr>
        <xdr:cNvPr id="227" name="メモ 226">
          <a:extLst>
            <a:ext uri="{FF2B5EF4-FFF2-40B4-BE49-F238E27FC236}">
              <a16:creationId xmlns:a16="http://schemas.microsoft.com/office/drawing/2014/main" id="{00000000-0008-0000-0300-0000E3000000}"/>
            </a:ext>
          </a:extLst>
        </xdr:cNvPr>
        <xdr:cNvSpPr/>
      </xdr:nvSpPr>
      <xdr:spPr>
        <a:xfrm>
          <a:off x="8292355" y="34536537"/>
          <a:ext cx="627530" cy="537881"/>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44825</xdr:colOff>
      <xdr:row>295</xdr:row>
      <xdr:rowOff>33625</xdr:rowOff>
    </xdr:from>
    <xdr:to>
      <xdr:col>71</xdr:col>
      <xdr:colOff>56032</xdr:colOff>
      <xdr:row>298</xdr:row>
      <xdr:rowOff>100859</xdr:rowOff>
    </xdr:to>
    <xdr:sp macro="" textlink="">
      <xdr:nvSpPr>
        <xdr:cNvPr id="225" name="メモ 224">
          <a:extLst>
            <a:ext uri="{FF2B5EF4-FFF2-40B4-BE49-F238E27FC236}">
              <a16:creationId xmlns:a16="http://schemas.microsoft.com/office/drawing/2014/main" id="{00000000-0008-0000-0300-0000E1000000}"/>
            </a:ext>
          </a:extLst>
        </xdr:cNvPr>
        <xdr:cNvSpPr/>
      </xdr:nvSpPr>
      <xdr:spPr>
        <a:xfrm>
          <a:off x="8180296" y="34446890"/>
          <a:ext cx="627530" cy="537881"/>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100852</xdr:colOff>
      <xdr:row>295</xdr:row>
      <xdr:rowOff>56035</xdr:rowOff>
    </xdr:from>
    <xdr:ext cx="1324388" cy="493060"/>
    <xdr:sp macro="" textlink="">
      <xdr:nvSpPr>
        <xdr:cNvPr id="226" name="テキスト ボックス 225">
          <a:extLst>
            <a:ext uri="{FF2B5EF4-FFF2-40B4-BE49-F238E27FC236}">
              <a16:creationId xmlns:a16="http://schemas.microsoft.com/office/drawing/2014/main" id="{00000000-0008-0000-0300-0000E2000000}"/>
            </a:ext>
          </a:extLst>
        </xdr:cNvPr>
        <xdr:cNvSpPr txBox="1"/>
      </xdr:nvSpPr>
      <xdr:spPr>
        <a:xfrm>
          <a:off x="8113058" y="34469300"/>
          <a:ext cx="1324388" cy="493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t>資料請求受付履歴</a:t>
          </a:r>
          <a:endParaRPr kumimoji="1" lang="en-US" altLang="ja-JP" sz="1100"/>
        </a:p>
        <a:p>
          <a:r>
            <a:rPr kumimoji="1" lang="en-US" altLang="ja-JP" sz="1100"/>
            <a:t>yyyymmdd</a:t>
          </a:r>
          <a:endParaRPr kumimoji="1" lang="ja-JP" altLang="en-US" sz="1100"/>
        </a:p>
      </xdr:txBody>
    </xdr:sp>
    <xdr:clientData/>
  </xdr:oneCellAnchor>
  <xdr:twoCellAnchor>
    <xdr:from>
      <xdr:col>45</xdr:col>
      <xdr:colOff>3340</xdr:colOff>
      <xdr:row>296</xdr:row>
      <xdr:rowOff>145677</xdr:rowOff>
    </xdr:from>
    <xdr:to>
      <xdr:col>66</xdr:col>
      <xdr:colOff>44825</xdr:colOff>
      <xdr:row>296</xdr:row>
      <xdr:rowOff>145684</xdr:rowOff>
    </xdr:to>
    <xdr:cxnSp macro="">
      <xdr:nvCxnSpPr>
        <xdr:cNvPr id="228" name="直線矢印コネクタ 227">
          <a:extLst>
            <a:ext uri="{FF2B5EF4-FFF2-40B4-BE49-F238E27FC236}">
              <a16:creationId xmlns:a16="http://schemas.microsoft.com/office/drawing/2014/main" id="{00000000-0008-0000-0300-0000E4000000}"/>
            </a:ext>
          </a:extLst>
        </xdr:cNvPr>
        <xdr:cNvCxnSpPr>
          <a:stCxn id="240" idx="3"/>
          <a:endCxn id="225" idx="1"/>
        </xdr:cNvCxnSpPr>
      </xdr:nvCxnSpPr>
      <xdr:spPr>
        <a:xfrm>
          <a:off x="5550252" y="34715824"/>
          <a:ext cx="2630044" cy="7"/>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92985</xdr:colOff>
      <xdr:row>339</xdr:row>
      <xdr:rowOff>58270</xdr:rowOff>
    </xdr:from>
    <xdr:to>
      <xdr:col>66</xdr:col>
      <xdr:colOff>44825</xdr:colOff>
      <xdr:row>339</xdr:row>
      <xdr:rowOff>58278</xdr:rowOff>
    </xdr:to>
    <xdr:cxnSp macro="">
      <xdr:nvCxnSpPr>
        <xdr:cNvPr id="235" name="直線矢印コネクタ 234">
          <a:extLst>
            <a:ext uri="{FF2B5EF4-FFF2-40B4-BE49-F238E27FC236}">
              <a16:creationId xmlns:a16="http://schemas.microsoft.com/office/drawing/2014/main" id="{00000000-0008-0000-0300-0000EB000000}"/>
            </a:ext>
          </a:extLst>
        </xdr:cNvPr>
        <xdr:cNvCxnSpPr>
          <a:stCxn id="254" idx="3"/>
        </xdr:cNvCxnSpPr>
      </xdr:nvCxnSpPr>
      <xdr:spPr>
        <a:xfrm>
          <a:off x="5665110" y="40891945"/>
          <a:ext cx="2552165" cy="8"/>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44826</xdr:colOff>
      <xdr:row>295</xdr:row>
      <xdr:rowOff>56027</xdr:rowOff>
    </xdr:from>
    <xdr:ext cx="1798634" cy="275717"/>
    <xdr:sp macro="" textlink="">
      <xdr:nvSpPr>
        <xdr:cNvPr id="237" name="テキスト ボックス 236">
          <a:extLst>
            <a:ext uri="{FF2B5EF4-FFF2-40B4-BE49-F238E27FC236}">
              <a16:creationId xmlns:a16="http://schemas.microsoft.com/office/drawing/2014/main" id="{00000000-0008-0000-0300-0000ED000000}"/>
            </a:ext>
          </a:extLst>
        </xdr:cNvPr>
        <xdr:cNvSpPr txBox="1"/>
      </xdr:nvSpPr>
      <xdr:spPr>
        <a:xfrm>
          <a:off x="5616951" y="46309427"/>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⑤転送ファイルバックアップ</a:t>
          </a:r>
        </a:p>
      </xdr:txBody>
    </xdr:sp>
    <xdr:clientData/>
  </xdr:oneCellAnchor>
  <xdr:twoCellAnchor>
    <xdr:from>
      <xdr:col>35</xdr:col>
      <xdr:colOff>36959</xdr:colOff>
      <xdr:row>296</xdr:row>
      <xdr:rowOff>11206</xdr:rowOff>
    </xdr:from>
    <xdr:to>
      <xdr:col>45</xdr:col>
      <xdr:colOff>3340</xdr:colOff>
      <xdr:row>297</xdr:row>
      <xdr:rowOff>123265</xdr:rowOff>
    </xdr:to>
    <xdr:sp macro="" textlink="">
      <xdr:nvSpPr>
        <xdr:cNvPr id="240" name="角丸四角形 239">
          <a:extLst>
            <a:ext uri="{FF2B5EF4-FFF2-40B4-BE49-F238E27FC236}">
              <a16:creationId xmlns:a16="http://schemas.microsoft.com/office/drawing/2014/main" id="{00000000-0008-0000-0300-0000F0000000}"/>
            </a:ext>
          </a:extLst>
        </xdr:cNvPr>
        <xdr:cNvSpPr/>
      </xdr:nvSpPr>
      <xdr:spPr>
        <a:xfrm>
          <a:off x="4351224" y="34581353"/>
          <a:ext cx="1199028" cy="268941"/>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31</xdr:col>
      <xdr:colOff>56031</xdr:colOff>
      <xdr:row>292</xdr:row>
      <xdr:rowOff>100853</xdr:rowOff>
    </xdr:from>
    <xdr:to>
      <xdr:col>35</xdr:col>
      <xdr:colOff>36959</xdr:colOff>
      <xdr:row>296</xdr:row>
      <xdr:rowOff>145677</xdr:rowOff>
    </xdr:to>
    <xdr:cxnSp macro="">
      <xdr:nvCxnSpPr>
        <xdr:cNvPr id="242" name="直線矢印コネクタ 241">
          <a:extLst>
            <a:ext uri="{FF2B5EF4-FFF2-40B4-BE49-F238E27FC236}">
              <a16:creationId xmlns:a16="http://schemas.microsoft.com/office/drawing/2014/main" id="{00000000-0008-0000-0300-0000F2000000}"/>
            </a:ext>
          </a:extLst>
        </xdr:cNvPr>
        <xdr:cNvCxnSpPr>
          <a:stCxn id="149" idx="3"/>
          <a:endCxn id="240" idx="1"/>
        </xdr:cNvCxnSpPr>
      </xdr:nvCxnSpPr>
      <xdr:spPr>
        <a:xfrm>
          <a:off x="3877237" y="34043471"/>
          <a:ext cx="473987" cy="67235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3340</xdr:colOff>
      <xdr:row>338</xdr:row>
      <xdr:rowOff>80682</xdr:rowOff>
    </xdr:from>
    <xdr:to>
      <xdr:col>45</xdr:col>
      <xdr:colOff>92985</xdr:colOff>
      <xdr:row>340</xdr:row>
      <xdr:rowOff>35858</xdr:rowOff>
    </xdr:to>
    <xdr:sp macro="" textlink="">
      <xdr:nvSpPr>
        <xdr:cNvPr id="254" name="角丸四角形 253">
          <a:extLst>
            <a:ext uri="{FF2B5EF4-FFF2-40B4-BE49-F238E27FC236}">
              <a16:creationId xmlns:a16="http://schemas.microsoft.com/office/drawing/2014/main" id="{00000000-0008-0000-0300-0000FE000000}"/>
            </a:ext>
          </a:extLst>
        </xdr:cNvPr>
        <xdr:cNvSpPr/>
      </xdr:nvSpPr>
      <xdr:spPr>
        <a:xfrm>
          <a:off x="4461040" y="40761957"/>
          <a:ext cx="1204070" cy="259976"/>
        </a:xfrm>
        <a:prstGeom prst="roundRect">
          <a:avLst/>
        </a:prstGeom>
        <a:gradFill flip="none" rotWithShape="1">
          <a:gsLst>
            <a:gs pos="0">
              <a:srgbClr val="00B0F0"/>
            </a:gs>
            <a:gs pos="50000">
              <a:schemeClr val="bg1"/>
            </a:gs>
            <a:gs pos="100000">
              <a:srgbClr val="00B0F0"/>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32</xdr:col>
      <xdr:colOff>44824</xdr:colOff>
      <xdr:row>339</xdr:row>
      <xdr:rowOff>58270</xdr:rowOff>
    </xdr:from>
    <xdr:to>
      <xdr:col>36</xdr:col>
      <xdr:colOff>3340</xdr:colOff>
      <xdr:row>339</xdr:row>
      <xdr:rowOff>62753</xdr:rowOff>
    </xdr:to>
    <xdr:cxnSp macro="">
      <xdr:nvCxnSpPr>
        <xdr:cNvPr id="255" name="直線矢印コネクタ 254">
          <a:extLst>
            <a:ext uri="{FF2B5EF4-FFF2-40B4-BE49-F238E27FC236}">
              <a16:creationId xmlns:a16="http://schemas.microsoft.com/office/drawing/2014/main" id="{00000000-0008-0000-0300-0000FF000000}"/>
            </a:ext>
          </a:extLst>
        </xdr:cNvPr>
        <xdr:cNvCxnSpPr>
          <a:stCxn id="182" idx="3"/>
          <a:endCxn id="254" idx="1"/>
        </xdr:cNvCxnSpPr>
      </xdr:nvCxnSpPr>
      <xdr:spPr>
        <a:xfrm flipV="1">
          <a:off x="4007224" y="40891945"/>
          <a:ext cx="453816" cy="448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47</xdr:col>
      <xdr:colOff>64437</xdr:colOff>
      <xdr:row>337</xdr:row>
      <xdr:rowOff>60514</xdr:rowOff>
    </xdr:from>
    <xdr:ext cx="1798634" cy="275717"/>
    <xdr:sp macro="" textlink="">
      <xdr:nvSpPr>
        <xdr:cNvPr id="258" name="テキスト ボックス 257">
          <a:extLst>
            <a:ext uri="{FF2B5EF4-FFF2-40B4-BE49-F238E27FC236}">
              <a16:creationId xmlns:a16="http://schemas.microsoft.com/office/drawing/2014/main" id="{00000000-0008-0000-0300-000002010000}"/>
            </a:ext>
          </a:extLst>
        </xdr:cNvPr>
        <xdr:cNvSpPr txBox="1"/>
      </xdr:nvSpPr>
      <xdr:spPr>
        <a:xfrm>
          <a:off x="5884212" y="52752814"/>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⑥転送ファイルバックアップ</a:t>
          </a:r>
        </a:p>
      </xdr:txBody>
    </xdr:sp>
    <xdr:clientData/>
  </xdr:oneCellAnchor>
  <xdr:twoCellAnchor>
    <xdr:from>
      <xdr:col>67</xdr:col>
      <xdr:colOff>11205</xdr:colOff>
      <xdr:row>79</xdr:row>
      <xdr:rowOff>56031</xdr:rowOff>
    </xdr:from>
    <xdr:to>
      <xdr:col>79</xdr:col>
      <xdr:colOff>11205</xdr:colOff>
      <xdr:row>83</xdr:row>
      <xdr:rowOff>11206</xdr:rowOff>
    </xdr:to>
    <xdr:sp macro="" textlink="">
      <xdr:nvSpPr>
        <xdr:cNvPr id="263" name="正方形/長方形 262">
          <a:extLst>
            <a:ext uri="{FF2B5EF4-FFF2-40B4-BE49-F238E27FC236}">
              <a16:creationId xmlns:a16="http://schemas.microsoft.com/office/drawing/2014/main" id="{00000000-0008-0000-0300-000007010000}"/>
            </a:ext>
          </a:extLst>
        </xdr:cNvPr>
        <xdr:cNvSpPr/>
      </xdr:nvSpPr>
      <xdr:spPr>
        <a:xfrm>
          <a:off x="8269940" y="12472149"/>
          <a:ext cx="1479177" cy="582704"/>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ja-JP" altLang="en-US" sz="1000">
              <a:solidFill>
                <a:sysClr val="windowText" lastClr="000000"/>
              </a:solidFill>
            </a:rPr>
            <a:t>物理ファイル格納領域</a:t>
          </a:r>
        </a:p>
      </xdr:txBody>
    </xdr:sp>
    <xdr:clientData/>
  </xdr:twoCellAnchor>
  <xdr:twoCellAnchor>
    <xdr:from>
      <xdr:col>67</xdr:col>
      <xdr:colOff>76157</xdr:colOff>
      <xdr:row>191</xdr:row>
      <xdr:rowOff>0</xdr:rowOff>
    </xdr:from>
    <xdr:to>
      <xdr:col>78</xdr:col>
      <xdr:colOff>56030</xdr:colOff>
      <xdr:row>192</xdr:row>
      <xdr:rowOff>53225</xdr:rowOff>
    </xdr:to>
    <xdr:sp macro="" textlink="">
      <xdr:nvSpPr>
        <xdr:cNvPr id="272" name="正方形/長方形 271">
          <a:extLst>
            <a:ext uri="{FF2B5EF4-FFF2-40B4-BE49-F238E27FC236}">
              <a16:creationId xmlns:a16="http://schemas.microsoft.com/office/drawing/2014/main" id="{00000000-0008-0000-0300-000010010000}"/>
            </a:ext>
          </a:extLst>
        </xdr:cNvPr>
        <xdr:cNvSpPr/>
      </xdr:nvSpPr>
      <xdr:spPr>
        <a:xfrm>
          <a:off x="8334892" y="23868529"/>
          <a:ext cx="1335785" cy="210108"/>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78576</xdr:colOff>
      <xdr:row>192</xdr:row>
      <xdr:rowOff>58832</xdr:rowOff>
    </xdr:from>
    <xdr:to>
      <xdr:col>78</xdr:col>
      <xdr:colOff>56029</xdr:colOff>
      <xdr:row>193</xdr:row>
      <xdr:rowOff>112058</xdr:rowOff>
    </xdr:to>
    <xdr:sp macro="" textlink="">
      <xdr:nvSpPr>
        <xdr:cNvPr id="273" name="正方形/長方形 272">
          <a:extLst>
            <a:ext uri="{FF2B5EF4-FFF2-40B4-BE49-F238E27FC236}">
              <a16:creationId xmlns:a16="http://schemas.microsoft.com/office/drawing/2014/main" id="{00000000-0008-0000-0300-000011010000}"/>
            </a:ext>
          </a:extLst>
        </xdr:cNvPr>
        <xdr:cNvSpPr/>
      </xdr:nvSpPr>
      <xdr:spPr>
        <a:xfrm>
          <a:off x="8337311" y="24084244"/>
          <a:ext cx="1333365" cy="210108"/>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研修０２</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193</xdr:row>
      <xdr:rowOff>126065</xdr:rowOff>
    </xdr:from>
    <xdr:to>
      <xdr:col>78</xdr:col>
      <xdr:colOff>56029</xdr:colOff>
      <xdr:row>195</xdr:row>
      <xdr:rowOff>22408</xdr:rowOff>
    </xdr:to>
    <xdr:sp macro="" textlink="">
      <xdr:nvSpPr>
        <xdr:cNvPr id="274" name="正方形/長方形 273">
          <a:extLst>
            <a:ext uri="{FF2B5EF4-FFF2-40B4-BE49-F238E27FC236}">
              <a16:creationId xmlns:a16="http://schemas.microsoft.com/office/drawing/2014/main" id="{00000000-0008-0000-0300-000012010000}"/>
            </a:ext>
          </a:extLst>
        </xdr:cNvPr>
        <xdr:cNvSpPr/>
      </xdr:nvSpPr>
      <xdr:spPr>
        <a:xfrm>
          <a:off x="8337311" y="24308359"/>
          <a:ext cx="1333365" cy="210108"/>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研修０３</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195</xdr:row>
      <xdr:rowOff>36417</xdr:rowOff>
    </xdr:from>
    <xdr:to>
      <xdr:col>78</xdr:col>
      <xdr:colOff>56029</xdr:colOff>
      <xdr:row>196</xdr:row>
      <xdr:rowOff>89643</xdr:rowOff>
    </xdr:to>
    <xdr:sp macro="" textlink="">
      <xdr:nvSpPr>
        <xdr:cNvPr id="275" name="正方形/長方形 274">
          <a:extLst>
            <a:ext uri="{FF2B5EF4-FFF2-40B4-BE49-F238E27FC236}">
              <a16:creationId xmlns:a16="http://schemas.microsoft.com/office/drawing/2014/main" id="{00000000-0008-0000-0300-000013010000}"/>
            </a:ext>
          </a:extLst>
        </xdr:cNvPr>
        <xdr:cNvSpPr/>
      </xdr:nvSpPr>
      <xdr:spPr>
        <a:xfrm>
          <a:off x="8337311" y="24532476"/>
          <a:ext cx="1333365" cy="210108"/>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研修０４</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187</xdr:row>
      <xdr:rowOff>145676</xdr:rowOff>
    </xdr:from>
    <xdr:to>
      <xdr:col>78</xdr:col>
      <xdr:colOff>56029</xdr:colOff>
      <xdr:row>189</xdr:row>
      <xdr:rowOff>27747</xdr:rowOff>
    </xdr:to>
    <xdr:sp macro="" textlink="">
      <xdr:nvSpPr>
        <xdr:cNvPr id="276" name="正方形/長方形 275">
          <a:extLst>
            <a:ext uri="{FF2B5EF4-FFF2-40B4-BE49-F238E27FC236}">
              <a16:creationId xmlns:a16="http://schemas.microsoft.com/office/drawing/2014/main" id="{00000000-0008-0000-0300-000014010000}"/>
            </a:ext>
          </a:extLst>
        </xdr:cNvPr>
        <xdr:cNvSpPr/>
      </xdr:nvSpPr>
      <xdr:spPr>
        <a:xfrm>
          <a:off x="8337311" y="23386676"/>
          <a:ext cx="1333365" cy="195836"/>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ｼｽﾃﾑ表領域 研修</a:t>
          </a:r>
          <a:endParaRPr kumimoji="1" lang="en-US" altLang="ja-JP" sz="900">
            <a:solidFill>
              <a:sysClr val="windowText" lastClr="000000"/>
            </a:solidFill>
            <a:latin typeface="+mn-ea"/>
            <a:ea typeface="+mn-ea"/>
          </a:endParaRPr>
        </a:p>
      </xdr:txBody>
    </xdr:sp>
    <xdr:clientData/>
  </xdr:twoCellAnchor>
  <xdr:twoCellAnchor>
    <xdr:from>
      <xdr:col>67</xdr:col>
      <xdr:colOff>78576</xdr:colOff>
      <xdr:row>189</xdr:row>
      <xdr:rowOff>67241</xdr:rowOff>
    </xdr:from>
    <xdr:to>
      <xdr:col>78</xdr:col>
      <xdr:colOff>56029</xdr:colOff>
      <xdr:row>190</xdr:row>
      <xdr:rowOff>98024</xdr:rowOff>
    </xdr:to>
    <xdr:sp macro="" textlink="">
      <xdr:nvSpPr>
        <xdr:cNvPr id="277" name="正方形/長方形 276">
          <a:extLst>
            <a:ext uri="{FF2B5EF4-FFF2-40B4-BE49-F238E27FC236}">
              <a16:creationId xmlns:a16="http://schemas.microsoft.com/office/drawing/2014/main" id="{00000000-0008-0000-0300-000015010000}"/>
            </a:ext>
          </a:extLst>
        </xdr:cNvPr>
        <xdr:cNvSpPr/>
      </xdr:nvSpPr>
      <xdr:spPr>
        <a:xfrm>
          <a:off x="8337311" y="23622006"/>
          <a:ext cx="1333365" cy="187665"/>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67</xdr:col>
      <xdr:colOff>11205</xdr:colOff>
      <xdr:row>197</xdr:row>
      <xdr:rowOff>22408</xdr:rowOff>
    </xdr:from>
    <xdr:to>
      <xdr:col>79</xdr:col>
      <xdr:colOff>11205</xdr:colOff>
      <xdr:row>200</xdr:row>
      <xdr:rowOff>134465</xdr:rowOff>
    </xdr:to>
    <xdr:sp macro="" textlink="">
      <xdr:nvSpPr>
        <xdr:cNvPr id="278" name="正方形/長方形 277">
          <a:extLst>
            <a:ext uri="{FF2B5EF4-FFF2-40B4-BE49-F238E27FC236}">
              <a16:creationId xmlns:a16="http://schemas.microsoft.com/office/drawing/2014/main" id="{00000000-0008-0000-0300-000016010000}"/>
            </a:ext>
          </a:extLst>
        </xdr:cNvPr>
        <xdr:cNvSpPr/>
      </xdr:nvSpPr>
      <xdr:spPr>
        <a:xfrm>
          <a:off x="8269940" y="24832232"/>
          <a:ext cx="1479177" cy="582704"/>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ja-JP" altLang="en-US" sz="1000">
              <a:solidFill>
                <a:sysClr val="windowText" lastClr="000000"/>
              </a:solidFill>
            </a:rPr>
            <a:t>物理ファイル格納領域</a:t>
          </a:r>
        </a:p>
      </xdr:txBody>
    </xdr:sp>
    <xdr:clientData/>
  </xdr:twoCellAnchor>
  <xdr:twoCellAnchor>
    <xdr:from>
      <xdr:col>49</xdr:col>
      <xdr:colOff>33616</xdr:colOff>
      <xdr:row>190</xdr:row>
      <xdr:rowOff>112059</xdr:rowOff>
    </xdr:from>
    <xdr:to>
      <xdr:col>50</xdr:col>
      <xdr:colOff>67235</xdr:colOff>
      <xdr:row>191</xdr:row>
      <xdr:rowOff>89648</xdr:rowOff>
    </xdr:to>
    <xdr:sp macro="" textlink="">
      <xdr:nvSpPr>
        <xdr:cNvPr id="230" name="正方形/長方形 229">
          <a:extLst>
            <a:ext uri="{FF2B5EF4-FFF2-40B4-BE49-F238E27FC236}">
              <a16:creationId xmlns:a16="http://schemas.microsoft.com/office/drawing/2014/main" id="{00000000-0008-0000-0300-0000E6000000}"/>
            </a:ext>
          </a:extLst>
        </xdr:cNvPr>
        <xdr:cNvSpPr/>
      </xdr:nvSpPr>
      <xdr:spPr>
        <a:xfrm>
          <a:off x="6073587" y="23823706"/>
          <a:ext cx="156883" cy="1344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49</xdr:col>
      <xdr:colOff>69297</xdr:colOff>
      <xdr:row>195</xdr:row>
      <xdr:rowOff>155761</xdr:rowOff>
    </xdr:from>
    <xdr:to>
      <xdr:col>62</xdr:col>
      <xdr:colOff>105156</xdr:colOff>
      <xdr:row>198</xdr:row>
      <xdr:rowOff>47064</xdr:rowOff>
    </xdr:to>
    <xdr:sp macro="" textlink="">
      <xdr:nvSpPr>
        <xdr:cNvPr id="245" name="円柱 244">
          <a:extLst>
            <a:ext uri="{FF2B5EF4-FFF2-40B4-BE49-F238E27FC236}">
              <a16:creationId xmlns:a16="http://schemas.microsoft.com/office/drawing/2014/main" id="{00000000-0008-0000-0300-0000F5000000}"/>
            </a:ext>
          </a:extLst>
        </xdr:cNvPr>
        <xdr:cNvSpPr/>
      </xdr:nvSpPr>
      <xdr:spPr>
        <a:xfrm>
          <a:off x="6109268" y="24651820"/>
          <a:ext cx="1638300" cy="361950"/>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ysClr val="windowText" lastClr="000000"/>
              </a:solidFill>
              <a:latin typeface="+mn-ea"/>
              <a:ea typeface="+mn-ea"/>
            </a:rPr>
            <a:t>研修インスタンス</a:t>
          </a:r>
          <a:r>
            <a:rPr kumimoji="1" lang="en-US" altLang="ja-JP" sz="1000">
              <a:solidFill>
                <a:sysClr val="windowText" lastClr="000000"/>
              </a:solidFill>
              <a:latin typeface="+mn-ea"/>
              <a:ea typeface="+mn-ea"/>
            </a:rPr>
            <a:t>#2</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43</xdr:col>
      <xdr:colOff>67236</xdr:colOff>
      <xdr:row>195</xdr:row>
      <xdr:rowOff>145676</xdr:rowOff>
    </xdr:from>
    <xdr:to>
      <xdr:col>47</xdr:col>
      <xdr:colOff>47634</xdr:colOff>
      <xdr:row>198</xdr:row>
      <xdr:rowOff>150581</xdr:rowOff>
    </xdr:to>
    <xdr:sp macro="" textlink="">
      <xdr:nvSpPr>
        <xdr:cNvPr id="246" name="角丸四角形 245">
          <a:extLst>
            <a:ext uri="{FF2B5EF4-FFF2-40B4-BE49-F238E27FC236}">
              <a16:creationId xmlns:a16="http://schemas.microsoft.com/office/drawing/2014/main" id="{00000000-0008-0000-0300-0000F6000000}"/>
            </a:ext>
          </a:extLst>
        </xdr:cNvPr>
        <xdr:cNvSpPr/>
      </xdr:nvSpPr>
      <xdr:spPr>
        <a:xfrm>
          <a:off x="5367618" y="24641735"/>
          <a:ext cx="473457" cy="47555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800">
              <a:solidFill>
                <a:schemeClr val="tx1"/>
              </a:solidFill>
              <a:latin typeface="+mn-ea"/>
            </a:rPr>
            <a:t>研修リスナー</a:t>
          </a:r>
        </a:p>
      </xdr:txBody>
    </xdr:sp>
    <xdr:clientData/>
  </xdr:twoCellAnchor>
  <xdr:twoCellAnchor>
    <xdr:from>
      <xdr:col>49</xdr:col>
      <xdr:colOff>100853</xdr:colOff>
      <xdr:row>77</xdr:row>
      <xdr:rowOff>86286</xdr:rowOff>
    </xdr:from>
    <xdr:to>
      <xdr:col>63</xdr:col>
      <xdr:colOff>13444</xdr:colOff>
      <xdr:row>79</xdr:row>
      <xdr:rowOff>134471</xdr:rowOff>
    </xdr:to>
    <xdr:sp macro="" textlink="">
      <xdr:nvSpPr>
        <xdr:cNvPr id="248" name="円柱 247">
          <a:extLst>
            <a:ext uri="{FF2B5EF4-FFF2-40B4-BE49-F238E27FC236}">
              <a16:creationId xmlns:a16="http://schemas.microsoft.com/office/drawing/2014/main" id="{00000000-0008-0000-0300-0000F8000000}"/>
            </a:ext>
          </a:extLst>
        </xdr:cNvPr>
        <xdr:cNvSpPr/>
      </xdr:nvSpPr>
      <xdr:spPr>
        <a:xfrm>
          <a:off x="5591735" y="12188639"/>
          <a:ext cx="1481415" cy="361950"/>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ysClr val="windowText" lastClr="000000"/>
              </a:solidFill>
              <a:latin typeface="+mn-ea"/>
              <a:ea typeface="+mn-ea"/>
            </a:rPr>
            <a:t>研修インスタンス</a:t>
          </a:r>
          <a:r>
            <a:rPr kumimoji="1" lang="en-US" altLang="ja-JP" sz="1000">
              <a:solidFill>
                <a:sysClr val="windowText" lastClr="000000"/>
              </a:solidFill>
              <a:latin typeface="+mn-ea"/>
              <a:ea typeface="+mn-ea"/>
            </a:rPr>
            <a:t>#2</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43</xdr:col>
      <xdr:colOff>67237</xdr:colOff>
      <xdr:row>77</xdr:row>
      <xdr:rowOff>118360</xdr:rowOff>
    </xdr:from>
    <xdr:to>
      <xdr:col>47</xdr:col>
      <xdr:colOff>47635</xdr:colOff>
      <xdr:row>80</xdr:row>
      <xdr:rowOff>123265</xdr:rowOff>
    </xdr:to>
    <xdr:sp macro="" textlink="">
      <xdr:nvSpPr>
        <xdr:cNvPr id="249" name="角丸四角形 248">
          <a:extLst>
            <a:ext uri="{FF2B5EF4-FFF2-40B4-BE49-F238E27FC236}">
              <a16:creationId xmlns:a16="http://schemas.microsoft.com/office/drawing/2014/main" id="{00000000-0008-0000-0300-0000F9000000}"/>
            </a:ext>
          </a:extLst>
        </xdr:cNvPr>
        <xdr:cNvSpPr/>
      </xdr:nvSpPr>
      <xdr:spPr>
        <a:xfrm>
          <a:off x="5367619" y="12220713"/>
          <a:ext cx="473457" cy="47555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800">
              <a:solidFill>
                <a:schemeClr val="tx1"/>
              </a:solidFill>
              <a:latin typeface="+mn-ea"/>
            </a:rPr>
            <a:t>研修リスナー</a:t>
          </a:r>
        </a:p>
      </xdr:txBody>
    </xdr:sp>
    <xdr:clientData/>
  </xdr:twoCellAnchor>
  <xdr:twoCellAnchor>
    <xdr:from>
      <xdr:col>67</xdr:col>
      <xdr:colOff>33620</xdr:colOff>
      <xdr:row>337</xdr:row>
      <xdr:rowOff>85733</xdr:rowOff>
    </xdr:from>
    <xdr:to>
      <xdr:col>72</xdr:col>
      <xdr:colOff>44826</xdr:colOff>
      <xdr:row>341</xdr:row>
      <xdr:rowOff>567</xdr:rowOff>
    </xdr:to>
    <xdr:sp macro="" textlink="">
      <xdr:nvSpPr>
        <xdr:cNvPr id="282" name="メモ 281">
          <a:extLst>
            <a:ext uri="{FF2B5EF4-FFF2-40B4-BE49-F238E27FC236}">
              <a16:creationId xmlns:a16="http://schemas.microsoft.com/office/drawing/2014/main" id="{00000000-0008-0000-0300-00001A010000}"/>
            </a:ext>
          </a:extLst>
        </xdr:cNvPr>
        <xdr:cNvSpPr/>
      </xdr:nvSpPr>
      <xdr:spPr>
        <a:xfrm>
          <a:off x="8329895" y="41214683"/>
          <a:ext cx="630331"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44825</xdr:colOff>
      <xdr:row>337</xdr:row>
      <xdr:rowOff>568</xdr:rowOff>
    </xdr:from>
    <xdr:to>
      <xdr:col>71</xdr:col>
      <xdr:colOff>56032</xdr:colOff>
      <xdr:row>340</xdr:row>
      <xdr:rowOff>67802</xdr:rowOff>
    </xdr:to>
    <xdr:sp macro="" textlink="">
      <xdr:nvSpPr>
        <xdr:cNvPr id="283" name="メモ 282">
          <a:extLst>
            <a:ext uri="{FF2B5EF4-FFF2-40B4-BE49-F238E27FC236}">
              <a16:creationId xmlns:a16="http://schemas.microsoft.com/office/drawing/2014/main" id="{00000000-0008-0000-0300-00001B010000}"/>
            </a:ext>
          </a:extLst>
        </xdr:cNvPr>
        <xdr:cNvSpPr/>
      </xdr:nvSpPr>
      <xdr:spPr>
        <a:xfrm>
          <a:off x="8217275" y="41129518"/>
          <a:ext cx="630332"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112059</xdr:colOff>
      <xdr:row>336</xdr:row>
      <xdr:rowOff>141760</xdr:rowOff>
    </xdr:from>
    <xdr:ext cx="1324388" cy="493060"/>
    <xdr:sp macro="" textlink="">
      <xdr:nvSpPr>
        <xdr:cNvPr id="284" name="テキスト ボックス 283">
          <a:extLst>
            <a:ext uri="{FF2B5EF4-FFF2-40B4-BE49-F238E27FC236}">
              <a16:creationId xmlns:a16="http://schemas.microsoft.com/office/drawing/2014/main" id="{00000000-0008-0000-0300-00001C010000}"/>
            </a:ext>
          </a:extLst>
        </xdr:cNvPr>
        <xdr:cNvSpPr txBox="1"/>
      </xdr:nvSpPr>
      <xdr:spPr>
        <a:xfrm>
          <a:off x="8160684" y="41118310"/>
          <a:ext cx="1324388" cy="493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t>資料請求受付履歴</a:t>
          </a:r>
          <a:endParaRPr kumimoji="1" lang="en-US" altLang="ja-JP" sz="1100"/>
        </a:p>
        <a:p>
          <a:r>
            <a:rPr kumimoji="1" lang="en-US" altLang="ja-JP" sz="1100"/>
            <a:t>yyyymmd</a:t>
          </a:r>
          <a:endParaRPr kumimoji="1" lang="ja-JP" altLang="en-US" sz="1100"/>
        </a:p>
      </xdr:txBody>
    </xdr:sp>
    <xdr:clientData/>
  </xdr:oneCellAnchor>
  <xdr:twoCellAnchor>
    <xdr:from>
      <xdr:col>37</xdr:col>
      <xdr:colOff>22412</xdr:colOff>
      <xdr:row>57</xdr:row>
      <xdr:rowOff>123263</xdr:rowOff>
    </xdr:from>
    <xdr:to>
      <xdr:col>43</xdr:col>
      <xdr:colOff>100854</xdr:colOff>
      <xdr:row>60</xdr:row>
      <xdr:rowOff>134469</xdr:rowOff>
    </xdr:to>
    <xdr:sp macro="" textlink="">
      <xdr:nvSpPr>
        <xdr:cNvPr id="190" name="角丸四角形 189">
          <a:extLst>
            <a:ext uri="{FF2B5EF4-FFF2-40B4-BE49-F238E27FC236}">
              <a16:creationId xmlns:a16="http://schemas.microsoft.com/office/drawing/2014/main" id="{00000000-0008-0000-0300-0000BE000000}"/>
            </a:ext>
          </a:extLst>
        </xdr:cNvPr>
        <xdr:cNvSpPr/>
      </xdr:nvSpPr>
      <xdr:spPr>
        <a:xfrm>
          <a:off x="4168588" y="9087969"/>
          <a:ext cx="750795" cy="481853"/>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38</xdr:col>
      <xdr:colOff>36179</xdr:colOff>
      <xdr:row>63</xdr:row>
      <xdr:rowOff>84697</xdr:rowOff>
    </xdr:from>
    <xdr:to>
      <xdr:col>40</xdr:col>
      <xdr:colOff>63811</xdr:colOff>
      <xdr:row>64</xdr:row>
      <xdr:rowOff>133173</xdr:rowOff>
    </xdr:to>
    <xdr:sp macro="" textlink="">
      <xdr:nvSpPr>
        <xdr:cNvPr id="285" name="テキスト ボックス 99">
          <a:extLst>
            <a:ext uri="{FF2B5EF4-FFF2-40B4-BE49-F238E27FC236}">
              <a16:creationId xmlns:a16="http://schemas.microsoft.com/office/drawing/2014/main" id="{00000000-0008-0000-0300-00001D010000}"/>
            </a:ext>
          </a:extLst>
        </xdr:cNvPr>
        <xdr:cNvSpPr txBox="1"/>
      </xdr:nvSpPr>
      <xdr:spPr>
        <a:xfrm>
          <a:off x="4294414" y="9990697"/>
          <a:ext cx="251750" cy="20535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⑤</a:t>
          </a:r>
        </a:p>
      </xdr:txBody>
    </xdr:sp>
    <xdr:clientData/>
  </xdr:twoCellAnchor>
  <xdr:twoCellAnchor>
    <xdr:from>
      <xdr:col>36</xdr:col>
      <xdr:colOff>85725</xdr:colOff>
      <xdr:row>62</xdr:row>
      <xdr:rowOff>104775</xdr:rowOff>
    </xdr:from>
    <xdr:to>
      <xdr:col>67</xdr:col>
      <xdr:colOff>9525</xdr:colOff>
      <xdr:row>81</xdr:row>
      <xdr:rowOff>38100</xdr:rowOff>
    </xdr:to>
    <xdr:cxnSp macro="">
      <xdr:nvCxnSpPr>
        <xdr:cNvPr id="112625" name="カギ線コネクタ 104">
          <a:extLst>
            <a:ext uri="{FF2B5EF4-FFF2-40B4-BE49-F238E27FC236}">
              <a16:creationId xmlns:a16="http://schemas.microsoft.com/office/drawing/2014/main" id="{00000000-0008-0000-0300-0000F1B70100}"/>
            </a:ext>
          </a:extLst>
        </xdr:cNvPr>
        <xdr:cNvCxnSpPr>
          <a:cxnSpLocks noChangeShapeType="1"/>
          <a:stCxn id="208" idx="3"/>
          <a:endCxn id="263" idx="1"/>
        </xdr:cNvCxnSpPr>
      </xdr:nvCxnSpPr>
      <xdr:spPr bwMode="auto">
        <a:xfrm>
          <a:off x="4543425" y="9896475"/>
          <a:ext cx="3762375" cy="2990850"/>
        </a:xfrm>
        <a:prstGeom prst="bentConnector3">
          <a:avLst>
            <a:gd name="adj1" fmla="val 4491"/>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31</xdr:col>
      <xdr:colOff>104775</xdr:colOff>
      <xdr:row>58</xdr:row>
      <xdr:rowOff>85725</xdr:rowOff>
    </xdr:from>
    <xdr:to>
      <xdr:col>49</xdr:col>
      <xdr:colOff>104775</xdr:colOff>
      <xdr:row>59</xdr:row>
      <xdr:rowOff>142875</xdr:rowOff>
    </xdr:to>
    <xdr:cxnSp macro="">
      <xdr:nvCxnSpPr>
        <xdr:cNvPr id="112626" name="カギ線コネクタ 104">
          <a:extLst>
            <a:ext uri="{FF2B5EF4-FFF2-40B4-BE49-F238E27FC236}">
              <a16:creationId xmlns:a16="http://schemas.microsoft.com/office/drawing/2014/main" id="{00000000-0008-0000-0300-0000F2B70100}"/>
            </a:ext>
          </a:extLst>
        </xdr:cNvPr>
        <xdr:cNvCxnSpPr>
          <a:cxnSpLocks noChangeShapeType="1"/>
          <a:stCxn id="207" idx="0"/>
          <a:endCxn id="109" idx="2"/>
        </xdr:cNvCxnSpPr>
      </xdr:nvCxnSpPr>
      <xdr:spPr bwMode="auto">
        <a:xfrm rot="5400000" flipH="1" flipV="1">
          <a:off x="4948237" y="8224838"/>
          <a:ext cx="219075" cy="2228850"/>
        </a:xfrm>
        <a:prstGeom prst="bentConnector2">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37</xdr:col>
      <xdr:colOff>11206</xdr:colOff>
      <xdr:row>191</xdr:row>
      <xdr:rowOff>71153</xdr:rowOff>
    </xdr:from>
    <xdr:to>
      <xdr:col>43</xdr:col>
      <xdr:colOff>31553</xdr:colOff>
      <xdr:row>194</xdr:row>
      <xdr:rowOff>36414</xdr:rowOff>
    </xdr:to>
    <xdr:sp macro="" textlink="">
      <xdr:nvSpPr>
        <xdr:cNvPr id="224" name="角丸四角形 223">
          <a:extLst>
            <a:ext uri="{FF2B5EF4-FFF2-40B4-BE49-F238E27FC236}">
              <a16:creationId xmlns:a16="http://schemas.microsoft.com/office/drawing/2014/main" id="{00000000-0008-0000-0300-0000E0000000}"/>
            </a:ext>
          </a:extLst>
        </xdr:cNvPr>
        <xdr:cNvSpPr/>
      </xdr:nvSpPr>
      <xdr:spPr>
        <a:xfrm>
          <a:off x="4592731" y="23997953"/>
          <a:ext cx="763297" cy="451036"/>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36</xdr:col>
      <xdr:colOff>33618</xdr:colOff>
      <xdr:row>286</xdr:row>
      <xdr:rowOff>123263</xdr:rowOff>
    </xdr:from>
    <xdr:to>
      <xdr:col>43</xdr:col>
      <xdr:colOff>53966</xdr:colOff>
      <xdr:row>289</xdr:row>
      <xdr:rowOff>88524</xdr:rowOff>
    </xdr:to>
    <xdr:sp macro="" textlink="">
      <xdr:nvSpPr>
        <xdr:cNvPr id="229" name="角丸四角形 228">
          <a:extLst>
            <a:ext uri="{FF2B5EF4-FFF2-40B4-BE49-F238E27FC236}">
              <a16:creationId xmlns:a16="http://schemas.microsoft.com/office/drawing/2014/main" id="{00000000-0008-0000-0300-0000E5000000}"/>
            </a:ext>
          </a:extLst>
        </xdr:cNvPr>
        <xdr:cNvSpPr/>
      </xdr:nvSpPr>
      <xdr:spPr>
        <a:xfrm>
          <a:off x="4067736" y="33124587"/>
          <a:ext cx="804759" cy="435908"/>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31</xdr:col>
      <xdr:colOff>66675</xdr:colOff>
      <xdr:row>192</xdr:row>
      <xdr:rowOff>76200</xdr:rowOff>
    </xdr:from>
    <xdr:to>
      <xdr:col>49</xdr:col>
      <xdr:colOff>38100</xdr:colOff>
      <xdr:row>193</xdr:row>
      <xdr:rowOff>76200</xdr:rowOff>
    </xdr:to>
    <xdr:cxnSp macro="">
      <xdr:nvCxnSpPr>
        <xdr:cNvPr id="112629" name="カギ線コネクタ 56">
          <a:extLst>
            <a:ext uri="{FF2B5EF4-FFF2-40B4-BE49-F238E27FC236}">
              <a16:creationId xmlns:a16="http://schemas.microsoft.com/office/drawing/2014/main" id="{00000000-0008-0000-0300-0000F5B70100}"/>
            </a:ext>
          </a:extLst>
        </xdr:cNvPr>
        <xdr:cNvCxnSpPr>
          <a:cxnSpLocks noChangeShapeType="1"/>
          <a:stCxn id="151" idx="0"/>
          <a:endCxn id="330" idx="2"/>
        </xdr:cNvCxnSpPr>
      </xdr:nvCxnSpPr>
      <xdr:spPr bwMode="auto">
        <a:xfrm rot="5400000" flipH="1" flipV="1">
          <a:off x="4924425" y="29308425"/>
          <a:ext cx="161925" cy="2200275"/>
        </a:xfrm>
        <a:prstGeom prst="bentConnector2">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36</xdr:col>
      <xdr:colOff>47625</xdr:colOff>
      <xdr:row>196</xdr:row>
      <xdr:rowOff>28575</xdr:rowOff>
    </xdr:from>
    <xdr:to>
      <xdr:col>67</xdr:col>
      <xdr:colOff>9525</xdr:colOff>
      <xdr:row>199</xdr:row>
      <xdr:rowOff>0</xdr:rowOff>
    </xdr:to>
    <xdr:cxnSp macro="">
      <xdr:nvCxnSpPr>
        <xdr:cNvPr id="112630" name="カギ線コネクタ 56">
          <a:extLst>
            <a:ext uri="{FF2B5EF4-FFF2-40B4-BE49-F238E27FC236}">
              <a16:creationId xmlns:a16="http://schemas.microsoft.com/office/drawing/2014/main" id="{00000000-0008-0000-0300-0000F6B70100}"/>
            </a:ext>
          </a:extLst>
        </xdr:cNvPr>
        <xdr:cNvCxnSpPr>
          <a:cxnSpLocks noChangeShapeType="1"/>
          <a:stCxn id="152" idx="3"/>
          <a:endCxn id="278" idx="1"/>
        </xdr:cNvCxnSpPr>
      </xdr:nvCxnSpPr>
      <xdr:spPr bwMode="auto">
        <a:xfrm>
          <a:off x="4505325" y="30927675"/>
          <a:ext cx="3800475" cy="438150"/>
        </a:xfrm>
        <a:prstGeom prst="bentConnector3">
          <a:avLst>
            <a:gd name="adj1" fmla="val 13671"/>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49</xdr:col>
      <xdr:colOff>33616</xdr:colOff>
      <xdr:row>190</xdr:row>
      <xdr:rowOff>7284</xdr:rowOff>
    </xdr:from>
    <xdr:to>
      <xdr:col>50</xdr:col>
      <xdr:colOff>67235</xdr:colOff>
      <xdr:row>190</xdr:row>
      <xdr:rowOff>146798</xdr:rowOff>
    </xdr:to>
    <xdr:sp macro="" textlink="">
      <xdr:nvSpPr>
        <xdr:cNvPr id="217" name="正方形/長方形 216">
          <a:extLst>
            <a:ext uri="{FF2B5EF4-FFF2-40B4-BE49-F238E27FC236}">
              <a16:creationId xmlns:a16="http://schemas.microsoft.com/office/drawing/2014/main" id="{00000000-0008-0000-0300-0000D9000000}"/>
            </a:ext>
          </a:extLst>
        </xdr:cNvPr>
        <xdr:cNvSpPr/>
      </xdr:nvSpPr>
      <xdr:spPr>
        <a:xfrm>
          <a:off x="6101041" y="23772159"/>
          <a:ext cx="157444" cy="1395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23</xdr:col>
      <xdr:colOff>104775</xdr:colOff>
      <xdr:row>298</xdr:row>
      <xdr:rowOff>19050</xdr:rowOff>
    </xdr:from>
    <xdr:to>
      <xdr:col>45</xdr:col>
      <xdr:colOff>9525</xdr:colOff>
      <xdr:row>299</xdr:row>
      <xdr:rowOff>134476</xdr:rowOff>
    </xdr:to>
    <xdr:sp macro="" textlink="">
      <xdr:nvSpPr>
        <xdr:cNvPr id="234" name="角丸四角形 233">
          <a:extLst>
            <a:ext uri="{FF2B5EF4-FFF2-40B4-BE49-F238E27FC236}">
              <a16:creationId xmlns:a16="http://schemas.microsoft.com/office/drawing/2014/main" id="{00000000-0008-0000-0300-0000EA000000}"/>
            </a:ext>
          </a:extLst>
        </xdr:cNvPr>
        <xdr:cNvSpPr/>
      </xdr:nvSpPr>
      <xdr:spPr>
        <a:xfrm>
          <a:off x="2952750" y="34718625"/>
          <a:ext cx="2628900" cy="26782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24</xdr:col>
      <xdr:colOff>9525</xdr:colOff>
      <xdr:row>302</xdr:row>
      <xdr:rowOff>133350</xdr:rowOff>
    </xdr:from>
    <xdr:to>
      <xdr:col>45</xdr:col>
      <xdr:colOff>38100</xdr:colOff>
      <xdr:row>304</xdr:row>
      <xdr:rowOff>96376</xdr:rowOff>
    </xdr:to>
    <xdr:sp macro="" textlink="">
      <xdr:nvSpPr>
        <xdr:cNvPr id="241" name="角丸四角形 240">
          <a:extLst>
            <a:ext uri="{FF2B5EF4-FFF2-40B4-BE49-F238E27FC236}">
              <a16:creationId xmlns:a16="http://schemas.microsoft.com/office/drawing/2014/main" id="{00000000-0008-0000-0300-0000F1000000}"/>
            </a:ext>
          </a:extLst>
        </xdr:cNvPr>
        <xdr:cNvSpPr/>
      </xdr:nvSpPr>
      <xdr:spPr>
        <a:xfrm>
          <a:off x="2981325" y="35442525"/>
          <a:ext cx="2628900" cy="267826"/>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24</xdr:col>
      <xdr:colOff>115400</xdr:colOff>
      <xdr:row>342</xdr:row>
      <xdr:rowOff>61629</xdr:rowOff>
    </xdr:from>
    <xdr:to>
      <xdr:col>34</xdr:col>
      <xdr:colOff>81781</xdr:colOff>
      <xdr:row>344</xdr:row>
      <xdr:rowOff>113180</xdr:rowOff>
    </xdr:to>
    <xdr:sp macro="" textlink="">
      <xdr:nvSpPr>
        <xdr:cNvPr id="247" name="角丸四角形 246">
          <a:extLst>
            <a:ext uri="{FF2B5EF4-FFF2-40B4-BE49-F238E27FC236}">
              <a16:creationId xmlns:a16="http://schemas.microsoft.com/office/drawing/2014/main" id="{00000000-0008-0000-0300-0000F7000000}"/>
            </a:ext>
          </a:extLst>
        </xdr:cNvPr>
        <xdr:cNvSpPr/>
      </xdr:nvSpPr>
      <xdr:spPr>
        <a:xfrm>
          <a:off x="3087200" y="41352504"/>
          <a:ext cx="1204631" cy="356351"/>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37</xdr:col>
      <xdr:colOff>0</xdr:colOff>
      <xdr:row>342</xdr:row>
      <xdr:rowOff>3362</xdr:rowOff>
    </xdr:from>
    <xdr:to>
      <xdr:col>44</xdr:col>
      <xdr:colOff>20347</xdr:colOff>
      <xdr:row>344</xdr:row>
      <xdr:rowOff>125505</xdr:rowOff>
    </xdr:to>
    <xdr:sp macro="" textlink="">
      <xdr:nvSpPr>
        <xdr:cNvPr id="250" name="角丸四角形 249">
          <a:extLst>
            <a:ext uri="{FF2B5EF4-FFF2-40B4-BE49-F238E27FC236}">
              <a16:creationId xmlns:a16="http://schemas.microsoft.com/office/drawing/2014/main" id="{00000000-0008-0000-0300-0000FA000000}"/>
            </a:ext>
          </a:extLst>
        </xdr:cNvPr>
        <xdr:cNvSpPr/>
      </xdr:nvSpPr>
      <xdr:spPr>
        <a:xfrm>
          <a:off x="4581525" y="41294237"/>
          <a:ext cx="887122" cy="426943"/>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27</xdr:col>
      <xdr:colOff>33618</xdr:colOff>
      <xdr:row>331</xdr:row>
      <xdr:rowOff>50427</xdr:rowOff>
    </xdr:from>
    <xdr:to>
      <xdr:col>32</xdr:col>
      <xdr:colOff>44824</xdr:colOff>
      <xdr:row>334</xdr:row>
      <xdr:rowOff>113179</xdr:rowOff>
    </xdr:to>
    <xdr:sp macro="" textlink="">
      <xdr:nvSpPr>
        <xdr:cNvPr id="286" name="メモ 285">
          <a:extLst>
            <a:ext uri="{FF2B5EF4-FFF2-40B4-BE49-F238E27FC236}">
              <a16:creationId xmlns:a16="http://schemas.microsoft.com/office/drawing/2014/main" id="{00000000-0008-0000-0300-00001E010000}"/>
            </a:ext>
          </a:extLst>
        </xdr:cNvPr>
        <xdr:cNvSpPr/>
      </xdr:nvSpPr>
      <xdr:spPr>
        <a:xfrm>
          <a:off x="3376893" y="39664902"/>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35859</xdr:colOff>
      <xdr:row>332</xdr:row>
      <xdr:rowOff>49865</xdr:rowOff>
    </xdr:from>
    <xdr:ext cx="1031051" cy="275717"/>
    <xdr:sp macro="" textlink="">
      <xdr:nvSpPr>
        <xdr:cNvPr id="287" name="テキスト ボックス 286">
          <a:extLst>
            <a:ext uri="{FF2B5EF4-FFF2-40B4-BE49-F238E27FC236}">
              <a16:creationId xmlns:a16="http://schemas.microsoft.com/office/drawing/2014/main" id="{00000000-0008-0000-0300-00001F010000}"/>
            </a:ext>
          </a:extLst>
        </xdr:cNvPr>
        <xdr:cNvSpPr txBox="1"/>
      </xdr:nvSpPr>
      <xdr:spPr>
        <a:xfrm>
          <a:off x="3131484" y="51980165"/>
          <a:ext cx="103105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資料請求受付</a:t>
          </a:r>
        </a:p>
      </xdr:txBody>
    </xdr:sp>
    <xdr:clientData/>
  </xdr:oneCellAnchor>
  <xdr:oneCellAnchor>
    <xdr:from>
      <xdr:col>33</xdr:col>
      <xdr:colOff>11766</xdr:colOff>
      <xdr:row>333</xdr:row>
      <xdr:rowOff>59389</xdr:rowOff>
    </xdr:from>
    <xdr:ext cx="1582549" cy="275717"/>
    <xdr:sp macro="" textlink="">
      <xdr:nvSpPr>
        <xdr:cNvPr id="289" name="テキスト ボックス 288">
          <a:extLst>
            <a:ext uri="{FF2B5EF4-FFF2-40B4-BE49-F238E27FC236}">
              <a16:creationId xmlns:a16="http://schemas.microsoft.com/office/drawing/2014/main" id="{00000000-0008-0000-0300-000021010000}"/>
            </a:ext>
          </a:extLst>
        </xdr:cNvPr>
        <xdr:cNvSpPr txBox="1"/>
      </xdr:nvSpPr>
      <xdr:spPr>
        <a:xfrm>
          <a:off x="4097991" y="52142089"/>
          <a:ext cx="158254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④</a:t>
          </a:r>
          <a:r>
            <a:rPr kumimoji="1" lang="ja-JP" altLang="en-US" sz="1100"/>
            <a:t>手動でファイルコピー</a:t>
          </a:r>
        </a:p>
      </xdr:txBody>
    </xdr:sp>
    <xdr:clientData/>
  </xdr:oneCellAnchor>
  <xdr:twoCellAnchor>
    <xdr:from>
      <xdr:col>26</xdr:col>
      <xdr:colOff>81784</xdr:colOff>
      <xdr:row>179</xdr:row>
      <xdr:rowOff>112625</xdr:rowOff>
    </xdr:from>
    <xdr:to>
      <xdr:col>36</xdr:col>
      <xdr:colOff>48165</xdr:colOff>
      <xdr:row>181</xdr:row>
      <xdr:rowOff>45389</xdr:rowOff>
    </xdr:to>
    <xdr:sp macro="" textlink="">
      <xdr:nvSpPr>
        <xdr:cNvPr id="306" name="角丸四角形 305">
          <a:extLst>
            <a:ext uri="{FF2B5EF4-FFF2-40B4-BE49-F238E27FC236}">
              <a16:creationId xmlns:a16="http://schemas.microsoft.com/office/drawing/2014/main" id="{00000000-0008-0000-0300-000032010000}"/>
            </a:ext>
          </a:extLst>
        </xdr:cNvPr>
        <xdr:cNvSpPr/>
      </xdr:nvSpPr>
      <xdr:spPr>
        <a:xfrm>
          <a:off x="3301234" y="22096325"/>
          <a:ext cx="120463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endParaRPr lang="ja-JP" altLang="en-US" sz="1000">
            <a:solidFill>
              <a:schemeClr val="tx1"/>
            </a:solidFill>
            <a:latin typeface="+mn-ea"/>
          </a:endParaRPr>
        </a:p>
      </xdr:txBody>
    </xdr:sp>
    <xdr:clientData/>
  </xdr:twoCellAnchor>
  <xdr:twoCellAnchor>
    <xdr:from>
      <xdr:col>26</xdr:col>
      <xdr:colOff>76200</xdr:colOff>
      <xdr:row>181</xdr:row>
      <xdr:rowOff>114300</xdr:rowOff>
    </xdr:from>
    <xdr:to>
      <xdr:col>36</xdr:col>
      <xdr:colOff>57129</xdr:colOff>
      <xdr:row>183</xdr:row>
      <xdr:rowOff>63029</xdr:rowOff>
    </xdr:to>
    <xdr:sp macro="" textlink="">
      <xdr:nvSpPr>
        <xdr:cNvPr id="307" name="角丸四角形 306">
          <a:extLst>
            <a:ext uri="{FF2B5EF4-FFF2-40B4-BE49-F238E27FC236}">
              <a16:creationId xmlns:a16="http://schemas.microsoft.com/office/drawing/2014/main" id="{00000000-0008-0000-0300-000033010000}"/>
            </a:ext>
          </a:extLst>
        </xdr:cNvPr>
        <xdr:cNvSpPr/>
      </xdr:nvSpPr>
      <xdr:spPr>
        <a:xfrm>
          <a:off x="3295650" y="22421850"/>
          <a:ext cx="1219179" cy="272579"/>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oneCellAnchor>
    <xdr:from>
      <xdr:col>35</xdr:col>
      <xdr:colOff>114300</xdr:colOff>
      <xdr:row>179</xdr:row>
      <xdr:rowOff>133350</xdr:rowOff>
    </xdr:from>
    <xdr:ext cx="748923" cy="275717"/>
    <xdr:sp macro="" textlink="">
      <xdr:nvSpPr>
        <xdr:cNvPr id="206" name="テキスト ボックス 205">
          <a:extLst>
            <a:ext uri="{FF2B5EF4-FFF2-40B4-BE49-F238E27FC236}">
              <a16:creationId xmlns:a16="http://schemas.microsoft.com/office/drawing/2014/main" id="{00000000-0008-0000-0300-0000CE000000}"/>
            </a:ext>
          </a:extLst>
        </xdr:cNvPr>
        <xdr:cNvSpPr txBox="1"/>
      </xdr:nvSpPr>
      <xdr:spPr>
        <a:xfrm>
          <a:off x="4448175" y="28279725"/>
          <a:ext cx="74892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latin typeface="+mn-lt"/>
              <a:ea typeface="+mn-ea"/>
              <a:cs typeface="+mn-cs"/>
            </a:rPr>
            <a:t>※</a:t>
          </a:r>
          <a:r>
            <a:rPr lang="ja-JP" altLang="ja-JP" sz="1100">
              <a:solidFill>
                <a:sysClr val="windowText" lastClr="000000"/>
              </a:solidFill>
              <a:latin typeface="+mn-lt"/>
              <a:ea typeface="+mn-ea"/>
              <a:cs typeface="+mn-cs"/>
            </a:rPr>
            <a:t>手起動</a:t>
          </a:r>
          <a:endParaRPr lang="ja-JP" altLang="ja-JP">
            <a:solidFill>
              <a:sysClr val="windowText" lastClr="000000"/>
            </a:solidFill>
          </a:endParaRPr>
        </a:p>
      </xdr:txBody>
    </xdr:sp>
    <xdr:clientData/>
  </xdr:oneCellAnchor>
  <xdr:oneCellAnchor>
    <xdr:from>
      <xdr:col>34</xdr:col>
      <xdr:colOff>47625</xdr:colOff>
      <xdr:row>329</xdr:row>
      <xdr:rowOff>66675</xdr:rowOff>
    </xdr:from>
    <xdr:ext cx="748923" cy="275717"/>
    <xdr:sp macro="" textlink="">
      <xdr:nvSpPr>
        <xdr:cNvPr id="209" name="テキスト ボックス 208">
          <a:extLst>
            <a:ext uri="{FF2B5EF4-FFF2-40B4-BE49-F238E27FC236}">
              <a16:creationId xmlns:a16="http://schemas.microsoft.com/office/drawing/2014/main" id="{00000000-0008-0000-0300-0000D1000000}"/>
            </a:ext>
          </a:extLst>
        </xdr:cNvPr>
        <xdr:cNvSpPr txBox="1"/>
      </xdr:nvSpPr>
      <xdr:spPr>
        <a:xfrm>
          <a:off x="4257675" y="51539775"/>
          <a:ext cx="74892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latin typeface="+mn-lt"/>
              <a:ea typeface="+mn-ea"/>
              <a:cs typeface="+mn-cs"/>
            </a:rPr>
            <a:t>※</a:t>
          </a:r>
          <a:r>
            <a:rPr lang="ja-JP" altLang="ja-JP" sz="1100">
              <a:solidFill>
                <a:sysClr val="windowText" lastClr="000000"/>
              </a:solidFill>
              <a:latin typeface="+mn-lt"/>
              <a:ea typeface="+mn-ea"/>
              <a:cs typeface="+mn-cs"/>
            </a:rPr>
            <a:t>手起動</a:t>
          </a:r>
          <a:endParaRPr lang="ja-JP" altLang="ja-JP">
            <a:solidFill>
              <a:sysClr val="windowText" lastClr="000000"/>
            </a:solidFill>
          </a:endParaRPr>
        </a:p>
      </xdr:txBody>
    </xdr:sp>
    <xdr:clientData/>
  </xdr:oneCellAnchor>
  <xdr:twoCellAnchor>
    <xdr:from>
      <xdr:col>25</xdr:col>
      <xdr:colOff>3340</xdr:colOff>
      <xdr:row>329</xdr:row>
      <xdr:rowOff>52107</xdr:rowOff>
    </xdr:from>
    <xdr:to>
      <xdr:col>34</xdr:col>
      <xdr:colOff>92985</xdr:colOff>
      <xdr:row>331</xdr:row>
      <xdr:rowOff>7283</xdr:rowOff>
    </xdr:to>
    <xdr:sp macro="" textlink="">
      <xdr:nvSpPr>
        <xdr:cNvPr id="211" name="角丸四角形 210">
          <a:extLst>
            <a:ext uri="{FF2B5EF4-FFF2-40B4-BE49-F238E27FC236}">
              <a16:creationId xmlns:a16="http://schemas.microsoft.com/office/drawing/2014/main" id="{00000000-0008-0000-0300-0000D3000000}"/>
            </a:ext>
          </a:extLst>
        </xdr:cNvPr>
        <xdr:cNvSpPr/>
      </xdr:nvSpPr>
      <xdr:spPr>
        <a:xfrm>
          <a:off x="3098965" y="39237957"/>
          <a:ext cx="1204070" cy="259976"/>
        </a:xfrm>
        <a:prstGeom prst="roundRect">
          <a:avLst/>
        </a:prstGeom>
        <a:gradFill flip="none" rotWithShape="1">
          <a:gsLst>
            <a:gs pos="0">
              <a:srgbClr val="00B0F0"/>
            </a:gs>
            <a:gs pos="50000">
              <a:schemeClr val="bg1"/>
            </a:gs>
            <a:gs pos="100000">
              <a:srgbClr val="00B0F0"/>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6</xdr:col>
      <xdr:colOff>85725</xdr:colOff>
      <xdr:row>67</xdr:row>
      <xdr:rowOff>47625</xdr:rowOff>
    </xdr:from>
    <xdr:to>
      <xdr:col>20</xdr:col>
      <xdr:colOff>76584</xdr:colOff>
      <xdr:row>74</xdr:row>
      <xdr:rowOff>107744</xdr:rowOff>
    </xdr:to>
    <xdr:sp macro="" textlink="">
      <xdr:nvSpPr>
        <xdr:cNvPr id="202" name="正方形/長方形 201">
          <a:extLst>
            <a:ext uri="{FF2B5EF4-FFF2-40B4-BE49-F238E27FC236}">
              <a16:creationId xmlns:a16="http://schemas.microsoft.com/office/drawing/2014/main" id="{00000000-0008-0000-0300-0000CA000000}"/>
            </a:ext>
          </a:extLst>
        </xdr:cNvPr>
        <xdr:cNvSpPr/>
      </xdr:nvSpPr>
      <xdr:spPr>
        <a:xfrm>
          <a:off x="828675" y="10648950"/>
          <a:ext cx="1724409" cy="119359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20</xdr:col>
      <xdr:colOff>53788</xdr:colOff>
      <xdr:row>68</xdr:row>
      <xdr:rowOff>131675</xdr:rowOff>
    </xdr:from>
    <xdr:to>
      <xdr:col>22</xdr:col>
      <xdr:colOff>70389</xdr:colOff>
      <xdr:row>70</xdr:row>
      <xdr:rowOff>30609</xdr:rowOff>
    </xdr:to>
    <xdr:sp macro="" textlink="">
      <xdr:nvSpPr>
        <xdr:cNvPr id="210" name="テキスト ボックス 99">
          <a:extLst>
            <a:ext uri="{FF2B5EF4-FFF2-40B4-BE49-F238E27FC236}">
              <a16:creationId xmlns:a16="http://schemas.microsoft.com/office/drawing/2014/main" id="{00000000-0008-0000-0300-0000D2000000}"/>
            </a:ext>
          </a:extLst>
        </xdr:cNvPr>
        <xdr:cNvSpPr txBox="1"/>
      </xdr:nvSpPr>
      <xdr:spPr>
        <a:xfrm>
          <a:off x="2519082" y="10665204"/>
          <a:ext cx="263131" cy="212699"/>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solidFill>
                <a:sysClr val="windowText" lastClr="000000"/>
              </a:solidFill>
              <a:latin typeface="+mn-ea"/>
              <a:ea typeface="+mn-ea"/>
            </a:rPr>
            <a:t>⑧</a:t>
          </a:r>
        </a:p>
      </xdr:txBody>
    </xdr:sp>
    <xdr:clientData/>
  </xdr:twoCellAnchor>
  <xdr:twoCellAnchor>
    <xdr:from>
      <xdr:col>25</xdr:col>
      <xdr:colOff>28575</xdr:colOff>
      <xdr:row>57</xdr:row>
      <xdr:rowOff>123825</xdr:rowOff>
    </xdr:from>
    <xdr:to>
      <xdr:col>30</xdr:col>
      <xdr:colOff>19050</xdr:colOff>
      <xdr:row>59</xdr:row>
      <xdr:rowOff>83067</xdr:rowOff>
    </xdr:to>
    <xdr:sp macro="" textlink="">
      <xdr:nvSpPr>
        <xdr:cNvPr id="212" name="テキスト ボックス 99">
          <a:extLst>
            <a:ext uri="{FF2B5EF4-FFF2-40B4-BE49-F238E27FC236}">
              <a16:creationId xmlns:a16="http://schemas.microsoft.com/office/drawing/2014/main" id="{00000000-0008-0000-0300-0000D4000000}"/>
            </a:ext>
          </a:extLst>
        </xdr:cNvPr>
        <xdr:cNvSpPr txBox="1"/>
      </xdr:nvSpPr>
      <xdr:spPr>
        <a:xfrm>
          <a:off x="3124200" y="9105900"/>
          <a:ext cx="609600" cy="283092"/>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solidFill>
                <a:sysClr val="windowText" lastClr="000000"/>
              </a:solidFill>
              <a:latin typeface="+mn-ea"/>
              <a:ea typeface="+mn-ea"/>
            </a:rPr>
            <a:t>③ ⑦</a:t>
          </a:r>
        </a:p>
      </xdr:txBody>
    </xdr:sp>
    <xdr:clientData/>
  </xdr:twoCellAnchor>
  <xdr:twoCellAnchor>
    <xdr:from>
      <xdr:col>6</xdr:col>
      <xdr:colOff>66675</xdr:colOff>
      <xdr:row>185</xdr:row>
      <xdr:rowOff>104775</xdr:rowOff>
    </xdr:from>
    <xdr:to>
      <xdr:col>18</xdr:col>
      <xdr:colOff>33617</xdr:colOff>
      <xdr:row>193</xdr:row>
      <xdr:rowOff>2969</xdr:rowOff>
    </xdr:to>
    <xdr:sp macro="" textlink="">
      <xdr:nvSpPr>
        <xdr:cNvPr id="213" name="正方形/長方形 212">
          <a:extLst>
            <a:ext uri="{FF2B5EF4-FFF2-40B4-BE49-F238E27FC236}">
              <a16:creationId xmlns:a16="http://schemas.microsoft.com/office/drawing/2014/main" id="{00000000-0008-0000-0300-0000D5000000}"/>
            </a:ext>
          </a:extLst>
        </xdr:cNvPr>
        <xdr:cNvSpPr/>
      </xdr:nvSpPr>
      <xdr:spPr>
        <a:xfrm>
          <a:off x="806263" y="28993540"/>
          <a:ext cx="1446119" cy="115325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9</xdr:col>
      <xdr:colOff>91116</xdr:colOff>
      <xdr:row>187</xdr:row>
      <xdr:rowOff>66261</xdr:rowOff>
    </xdr:from>
    <xdr:to>
      <xdr:col>11</xdr:col>
      <xdr:colOff>118093</xdr:colOff>
      <xdr:row>188</xdr:row>
      <xdr:rowOff>123392</xdr:rowOff>
    </xdr:to>
    <xdr:sp macro="" textlink="">
      <xdr:nvSpPr>
        <xdr:cNvPr id="214" name="テキスト ボックス 99">
          <a:extLst>
            <a:ext uri="{FF2B5EF4-FFF2-40B4-BE49-F238E27FC236}">
              <a16:creationId xmlns:a16="http://schemas.microsoft.com/office/drawing/2014/main" id="{00000000-0008-0000-0300-0000D6000000}"/>
            </a:ext>
          </a:extLst>
        </xdr:cNvPr>
        <xdr:cNvSpPr txBox="1"/>
      </xdr:nvSpPr>
      <xdr:spPr>
        <a:xfrm>
          <a:off x="1209268" y="29983044"/>
          <a:ext cx="275455" cy="222783"/>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solidFill>
                <a:sysClr val="windowText" lastClr="000000"/>
              </a:solidFill>
              <a:latin typeface="+mn-ea"/>
              <a:ea typeface="+mn-ea"/>
            </a:rPr>
            <a:t>D</a:t>
          </a:r>
          <a:endParaRPr lang="ja-JP" altLang="en-US" sz="1200">
            <a:solidFill>
              <a:sysClr val="windowText" lastClr="000000"/>
            </a:solidFill>
            <a:latin typeface="+mn-ea"/>
            <a:ea typeface="+mn-ea"/>
          </a:endParaRPr>
        </a:p>
      </xdr:txBody>
    </xdr:sp>
    <xdr:clientData/>
  </xdr:twoCellAnchor>
  <xdr:twoCellAnchor>
    <xdr:from>
      <xdr:col>22</xdr:col>
      <xdr:colOff>22411</xdr:colOff>
      <xdr:row>378</xdr:row>
      <xdr:rowOff>95250</xdr:rowOff>
    </xdr:from>
    <xdr:to>
      <xdr:col>62</xdr:col>
      <xdr:colOff>100853</xdr:colOff>
      <xdr:row>383</xdr:row>
      <xdr:rowOff>66675</xdr:rowOff>
    </xdr:to>
    <xdr:sp macro="" textlink="">
      <xdr:nvSpPr>
        <xdr:cNvPr id="215" name="正方形/長方形 214">
          <a:extLst>
            <a:ext uri="{FF2B5EF4-FFF2-40B4-BE49-F238E27FC236}">
              <a16:creationId xmlns:a16="http://schemas.microsoft.com/office/drawing/2014/main" id="{00000000-0008-0000-0300-0000D7000000}"/>
            </a:ext>
          </a:extLst>
        </xdr:cNvPr>
        <xdr:cNvSpPr/>
      </xdr:nvSpPr>
      <xdr:spPr>
        <a:xfrm>
          <a:off x="2746561" y="59655075"/>
          <a:ext cx="5031442" cy="73342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Standby</a:t>
          </a:r>
          <a:r>
            <a:rPr lang="ja-JP" altLang="en-US" sz="1200">
              <a:solidFill>
                <a:sysClr val="windowText" lastClr="000000"/>
              </a:solidFill>
              <a:latin typeface="+mn-ea"/>
            </a:rPr>
            <a:t>）</a:t>
          </a:r>
        </a:p>
      </xdr:txBody>
    </xdr:sp>
    <xdr:clientData/>
  </xdr:twoCellAnchor>
  <xdr:twoCellAnchor>
    <xdr:from>
      <xdr:col>23</xdr:col>
      <xdr:colOff>11205</xdr:colOff>
      <xdr:row>413</xdr:row>
      <xdr:rowOff>114299</xdr:rowOff>
    </xdr:from>
    <xdr:to>
      <xdr:col>63</xdr:col>
      <xdr:colOff>89647</xdr:colOff>
      <xdr:row>425</xdr:row>
      <xdr:rowOff>47625</xdr:rowOff>
    </xdr:to>
    <xdr:sp macro="" textlink="">
      <xdr:nvSpPr>
        <xdr:cNvPr id="216" name="正方形/長方形 215">
          <a:extLst>
            <a:ext uri="{FF2B5EF4-FFF2-40B4-BE49-F238E27FC236}">
              <a16:creationId xmlns:a16="http://schemas.microsoft.com/office/drawing/2014/main" id="{00000000-0008-0000-0300-0000D8000000}"/>
            </a:ext>
          </a:extLst>
        </xdr:cNvPr>
        <xdr:cNvSpPr/>
      </xdr:nvSpPr>
      <xdr:spPr>
        <a:xfrm>
          <a:off x="2859180" y="65046224"/>
          <a:ext cx="5031442" cy="17621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ＭＳ Ｐゴシック" pitchFamily="50" charset="-128"/>
              <a:ea typeface="ＭＳ Ｐゴシック" pitchFamily="50" charset="-128"/>
            </a:rPr>
            <a:t>Standby</a:t>
          </a:r>
          <a:r>
            <a:rPr lang="ja-JP" altLang="en-US" sz="1200">
              <a:solidFill>
                <a:sysClr val="windowText" lastClr="000000"/>
              </a:solidFill>
              <a:latin typeface="+mn-ea"/>
            </a:rPr>
            <a:t>）</a:t>
          </a:r>
        </a:p>
      </xdr:txBody>
    </xdr:sp>
    <xdr:clientData/>
  </xdr:twoCellAnchor>
  <xdr:twoCellAnchor>
    <xdr:from>
      <xdr:col>22</xdr:col>
      <xdr:colOff>22411</xdr:colOff>
      <xdr:row>363</xdr:row>
      <xdr:rowOff>0</xdr:rowOff>
    </xdr:from>
    <xdr:to>
      <xdr:col>62</xdr:col>
      <xdr:colOff>100853</xdr:colOff>
      <xdr:row>378</xdr:row>
      <xdr:rowOff>38100</xdr:rowOff>
    </xdr:to>
    <xdr:sp macro="" textlink="">
      <xdr:nvSpPr>
        <xdr:cNvPr id="218" name="正方形/長方形 217">
          <a:extLst>
            <a:ext uri="{FF2B5EF4-FFF2-40B4-BE49-F238E27FC236}">
              <a16:creationId xmlns:a16="http://schemas.microsoft.com/office/drawing/2014/main" id="{00000000-0008-0000-0300-0000DA000000}"/>
            </a:ext>
          </a:extLst>
        </xdr:cNvPr>
        <xdr:cNvSpPr/>
      </xdr:nvSpPr>
      <xdr:spPr>
        <a:xfrm>
          <a:off x="2746561" y="57273825"/>
          <a:ext cx="5031442" cy="23241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47</xdr:col>
      <xdr:colOff>78442</xdr:colOff>
      <xdr:row>364</xdr:row>
      <xdr:rowOff>0</xdr:rowOff>
    </xdr:from>
    <xdr:to>
      <xdr:col>60</xdr:col>
      <xdr:colOff>16785</xdr:colOff>
      <xdr:row>368</xdr:row>
      <xdr:rowOff>22412</xdr:rowOff>
    </xdr:to>
    <xdr:sp macro="" textlink="">
      <xdr:nvSpPr>
        <xdr:cNvPr id="219" name="円柱 218">
          <a:extLst>
            <a:ext uri="{FF2B5EF4-FFF2-40B4-BE49-F238E27FC236}">
              <a16:creationId xmlns:a16="http://schemas.microsoft.com/office/drawing/2014/main" id="{00000000-0008-0000-0300-0000DB000000}"/>
            </a:ext>
          </a:extLst>
        </xdr:cNvPr>
        <xdr:cNvSpPr/>
      </xdr:nvSpPr>
      <xdr:spPr>
        <a:xfrm>
          <a:off x="5898217" y="57426225"/>
          <a:ext cx="1548068" cy="632012"/>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24</xdr:col>
      <xdr:colOff>1</xdr:colOff>
      <xdr:row>374</xdr:row>
      <xdr:rowOff>13381</xdr:rowOff>
    </xdr:from>
    <xdr:to>
      <xdr:col>33</xdr:col>
      <xdr:colOff>104195</xdr:colOff>
      <xdr:row>375</xdr:row>
      <xdr:rowOff>118992</xdr:rowOff>
    </xdr:to>
    <xdr:sp macro="" textlink="">
      <xdr:nvSpPr>
        <xdr:cNvPr id="220" name="角丸四角形 219">
          <a:extLst>
            <a:ext uri="{FF2B5EF4-FFF2-40B4-BE49-F238E27FC236}">
              <a16:creationId xmlns:a16="http://schemas.microsoft.com/office/drawing/2014/main" id="{00000000-0008-0000-0300-0000DC000000}"/>
            </a:ext>
          </a:extLst>
        </xdr:cNvPr>
        <xdr:cNvSpPr/>
      </xdr:nvSpPr>
      <xdr:spPr>
        <a:xfrm>
          <a:off x="2971801" y="58963606"/>
          <a:ext cx="1218619" cy="2580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ysClr val="windowText" lastClr="000000"/>
              </a:solidFill>
              <a:latin typeface="+mn-ea"/>
            </a:rPr>
            <a:t>HULFT</a:t>
          </a:r>
          <a:endParaRPr lang="ja-JP" altLang="en-US" sz="1200">
            <a:solidFill>
              <a:sysClr val="windowText" lastClr="000000"/>
            </a:solidFill>
            <a:latin typeface="+mn-ea"/>
          </a:endParaRPr>
        </a:p>
      </xdr:txBody>
    </xdr:sp>
    <xdr:clientData/>
  </xdr:twoCellAnchor>
  <xdr:twoCellAnchor>
    <xdr:from>
      <xdr:col>24</xdr:col>
      <xdr:colOff>3342</xdr:colOff>
      <xdr:row>364</xdr:row>
      <xdr:rowOff>145674</xdr:rowOff>
    </xdr:from>
    <xdr:to>
      <xdr:col>33</xdr:col>
      <xdr:colOff>92988</xdr:colOff>
      <xdr:row>367</xdr:row>
      <xdr:rowOff>44824</xdr:rowOff>
    </xdr:to>
    <xdr:sp macro="" textlink="">
      <xdr:nvSpPr>
        <xdr:cNvPr id="222" name="角丸四角形 221">
          <a:extLst>
            <a:ext uri="{FF2B5EF4-FFF2-40B4-BE49-F238E27FC236}">
              <a16:creationId xmlns:a16="http://schemas.microsoft.com/office/drawing/2014/main" id="{00000000-0008-0000-0300-0000DE000000}"/>
            </a:ext>
          </a:extLst>
        </xdr:cNvPr>
        <xdr:cNvSpPr/>
      </xdr:nvSpPr>
      <xdr:spPr>
        <a:xfrm>
          <a:off x="2975142" y="57571899"/>
          <a:ext cx="1204071" cy="35635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33</xdr:col>
      <xdr:colOff>89648</xdr:colOff>
      <xdr:row>366</xdr:row>
      <xdr:rowOff>89647</xdr:rowOff>
    </xdr:from>
    <xdr:to>
      <xdr:col>47</xdr:col>
      <xdr:colOff>89649</xdr:colOff>
      <xdr:row>366</xdr:row>
      <xdr:rowOff>100853</xdr:rowOff>
    </xdr:to>
    <xdr:cxnSp macro="">
      <xdr:nvCxnSpPr>
        <xdr:cNvPr id="223" name="直線矢印コネクタ 222">
          <a:extLst>
            <a:ext uri="{FF2B5EF4-FFF2-40B4-BE49-F238E27FC236}">
              <a16:creationId xmlns:a16="http://schemas.microsoft.com/office/drawing/2014/main" id="{00000000-0008-0000-0300-0000DF000000}"/>
            </a:ext>
          </a:extLst>
        </xdr:cNvPr>
        <xdr:cNvCxnSpPr/>
      </xdr:nvCxnSpPr>
      <xdr:spPr>
        <a:xfrm flipH="1">
          <a:off x="4175873" y="57820672"/>
          <a:ext cx="1733551" cy="11206"/>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44825</xdr:colOff>
      <xdr:row>368</xdr:row>
      <xdr:rowOff>145677</xdr:rowOff>
    </xdr:from>
    <xdr:to>
      <xdr:col>31</xdr:col>
      <xdr:colOff>56031</xdr:colOff>
      <xdr:row>372</xdr:row>
      <xdr:rowOff>56029</xdr:rowOff>
    </xdr:to>
    <xdr:sp macro="" textlink="">
      <xdr:nvSpPr>
        <xdr:cNvPr id="231" name="メモ 230">
          <a:extLst>
            <a:ext uri="{FF2B5EF4-FFF2-40B4-BE49-F238E27FC236}">
              <a16:creationId xmlns:a16="http://schemas.microsoft.com/office/drawing/2014/main" id="{00000000-0008-0000-0300-0000E7000000}"/>
            </a:ext>
          </a:extLst>
        </xdr:cNvPr>
        <xdr:cNvSpPr/>
      </xdr:nvSpPr>
      <xdr:spPr>
        <a:xfrm>
          <a:off x="3264275" y="58181502"/>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1</xdr:colOff>
      <xdr:row>369</xdr:row>
      <xdr:rowOff>78440</xdr:rowOff>
    </xdr:from>
    <xdr:ext cx="1228285" cy="275717"/>
    <xdr:sp macro="" textlink="">
      <xdr:nvSpPr>
        <xdr:cNvPr id="232" name="テキスト ボックス 231">
          <a:extLst>
            <a:ext uri="{FF2B5EF4-FFF2-40B4-BE49-F238E27FC236}">
              <a16:creationId xmlns:a16="http://schemas.microsoft.com/office/drawing/2014/main" id="{00000000-0008-0000-0300-0000E8000000}"/>
            </a:ext>
          </a:extLst>
        </xdr:cNvPr>
        <xdr:cNvSpPr txBox="1"/>
      </xdr:nvSpPr>
      <xdr:spPr>
        <a:xfrm>
          <a:off x="3095626" y="57685640"/>
          <a:ext cx="12282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キャンペーン受付</a:t>
          </a:r>
        </a:p>
      </xdr:txBody>
    </xdr:sp>
    <xdr:clientData/>
  </xdr:oneCellAnchor>
  <xdr:twoCellAnchor>
    <xdr:from>
      <xdr:col>28</xdr:col>
      <xdr:colOff>109797</xdr:colOff>
      <xdr:row>367</xdr:row>
      <xdr:rowOff>44824</xdr:rowOff>
    </xdr:from>
    <xdr:to>
      <xdr:col>28</xdr:col>
      <xdr:colOff>112060</xdr:colOff>
      <xdr:row>368</xdr:row>
      <xdr:rowOff>145677</xdr:rowOff>
    </xdr:to>
    <xdr:cxnSp macro="">
      <xdr:nvCxnSpPr>
        <xdr:cNvPr id="233" name="直線矢印コネクタ 232">
          <a:extLst>
            <a:ext uri="{FF2B5EF4-FFF2-40B4-BE49-F238E27FC236}">
              <a16:creationId xmlns:a16="http://schemas.microsoft.com/office/drawing/2014/main" id="{00000000-0008-0000-0300-0000E9000000}"/>
            </a:ext>
          </a:extLst>
        </xdr:cNvPr>
        <xdr:cNvCxnSpPr>
          <a:stCxn id="222" idx="2"/>
          <a:endCxn id="231" idx="0"/>
        </xdr:cNvCxnSpPr>
      </xdr:nvCxnSpPr>
      <xdr:spPr>
        <a:xfrm>
          <a:off x="3576897" y="57928249"/>
          <a:ext cx="2263" cy="25325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112060</xdr:colOff>
      <xdr:row>372</xdr:row>
      <xdr:rowOff>56029</xdr:rowOff>
    </xdr:from>
    <xdr:to>
      <xdr:col>28</xdr:col>
      <xdr:colOff>113730</xdr:colOff>
      <xdr:row>374</xdr:row>
      <xdr:rowOff>13381</xdr:rowOff>
    </xdr:to>
    <xdr:cxnSp macro="">
      <xdr:nvCxnSpPr>
        <xdr:cNvPr id="236" name="直線矢印コネクタ 235">
          <a:extLst>
            <a:ext uri="{FF2B5EF4-FFF2-40B4-BE49-F238E27FC236}">
              <a16:creationId xmlns:a16="http://schemas.microsoft.com/office/drawing/2014/main" id="{00000000-0008-0000-0300-0000EC000000}"/>
            </a:ext>
          </a:extLst>
        </xdr:cNvPr>
        <xdr:cNvCxnSpPr>
          <a:stCxn id="231" idx="2"/>
          <a:endCxn id="220" idx="0"/>
        </xdr:cNvCxnSpPr>
      </xdr:nvCxnSpPr>
      <xdr:spPr>
        <a:xfrm>
          <a:off x="3579160" y="58701454"/>
          <a:ext cx="1670" cy="26215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92988</xdr:colOff>
      <xdr:row>365</xdr:row>
      <xdr:rowOff>123263</xdr:rowOff>
    </xdr:from>
    <xdr:to>
      <xdr:col>47</xdr:col>
      <xdr:colOff>78442</xdr:colOff>
      <xdr:row>365</xdr:row>
      <xdr:rowOff>123265</xdr:rowOff>
    </xdr:to>
    <xdr:cxnSp macro="">
      <xdr:nvCxnSpPr>
        <xdr:cNvPr id="238" name="直線矢印コネクタ 237">
          <a:extLst>
            <a:ext uri="{FF2B5EF4-FFF2-40B4-BE49-F238E27FC236}">
              <a16:creationId xmlns:a16="http://schemas.microsoft.com/office/drawing/2014/main" id="{00000000-0008-0000-0300-0000EE000000}"/>
            </a:ext>
          </a:extLst>
        </xdr:cNvPr>
        <xdr:cNvCxnSpPr/>
      </xdr:nvCxnSpPr>
      <xdr:spPr>
        <a:xfrm>
          <a:off x="4179213" y="57701888"/>
          <a:ext cx="1719004" cy="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374</xdr:row>
      <xdr:rowOff>144628</xdr:rowOff>
    </xdr:from>
    <xdr:to>
      <xdr:col>24</xdr:col>
      <xdr:colOff>1</xdr:colOff>
      <xdr:row>374</xdr:row>
      <xdr:rowOff>145677</xdr:rowOff>
    </xdr:to>
    <xdr:cxnSp macro="">
      <xdr:nvCxnSpPr>
        <xdr:cNvPr id="239" name="直線矢印コネクタ 238">
          <a:extLst>
            <a:ext uri="{FF2B5EF4-FFF2-40B4-BE49-F238E27FC236}">
              <a16:creationId xmlns:a16="http://schemas.microsoft.com/office/drawing/2014/main" id="{00000000-0008-0000-0300-0000EF000000}"/>
            </a:ext>
          </a:extLst>
        </xdr:cNvPr>
        <xdr:cNvCxnSpPr>
          <a:stCxn id="220" idx="1"/>
        </xdr:cNvCxnSpPr>
      </xdr:nvCxnSpPr>
      <xdr:spPr>
        <a:xfrm flipH="1">
          <a:off x="2476500" y="59094853"/>
          <a:ext cx="495301" cy="1049"/>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56031</xdr:colOff>
      <xdr:row>363</xdr:row>
      <xdr:rowOff>44822</xdr:rowOff>
    </xdr:from>
    <xdr:ext cx="1109022" cy="275717"/>
    <xdr:sp macro="" textlink="">
      <xdr:nvSpPr>
        <xdr:cNvPr id="243" name="テキスト ボックス 242">
          <a:extLst>
            <a:ext uri="{FF2B5EF4-FFF2-40B4-BE49-F238E27FC236}">
              <a16:creationId xmlns:a16="http://schemas.microsoft.com/office/drawing/2014/main" id="{00000000-0008-0000-0300-0000F3000000}"/>
            </a:ext>
          </a:extLst>
        </xdr:cNvPr>
        <xdr:cNvSpPr txBox="1"/>
      </xdr:nvSpPr>
      <xdr:spPr>
        <a:xfrm>
          <a:off x="4389906" y="56737622"/>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①抽出</a:t>
          </a:r>
          <a:r>
            <a:rPr kumimoji="1" lang="en-US" altLang="ja-JP" sz="1100">
              <a:solidFill>
                <a:sysClr val="windowText" lastClr="000000"/>
              </a:solidFill>
            </a:rPr>
            <a:t>SQL</a:t>
          </a:r>
          <a:r>
            <a:rPr kumimoji="1" lang="ja-JP" altLang="en-US" sz="1100">
              <a:solidFill>
                <a:sysClr val="windowText" lastClr="000000"/>
              </a:solidFill>
            </a:rPr>
            <a:t>発行</a:t>
          </a:r>
        </a:p>
      </xdr:txBody>
    </xdr:sp>
    <xdr:clientData/>
  </xdr:oneCellAnchor>
  <xdr:oneCellAnchor>
    <xdr:from>
      <xdr:col>35</xdr:col>
      <xdr:colOff>78442</xdr:colOff>
      <xdr:row>367</xdr:row>
      <xdr:rowOff>56031</xdr:rowOff>
    </xdr:from>
    <xdr:ext cx="889987" cy="275717"/>
    <xdr:sp macro="" textlink="">
      <xdr:nvSpPr>
        <xdr:cNvPr id="244" name="テキスト ボックス 243">
          <a:extLst>
            <a:ext uri="{FF2B5EF4-FFF2-40B4-BE49-F238E27FC236}">
              <a16:creationId xmlns:a16="http://schemas.microsoft.com/office/drawing/2014/main" id="{00000000-0008-0000-0300-0000F4000000}"/>
            </a:ext>
          </a:extLst>
        </xdr:cNvPr>
        <xdr:cNvSpPr txBox="1"/>
      </xdr:nvSpPr>
      <xdr:spPr>
        <a:xfrm>
          <a:off x="4412317" y="57358431"/>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②結果連携</a:t>
          </a:r>
        </a:p>
      </xdr:txBody>
    </xdr:sp>
    <xdr:clientData/>
  </xdr:oneCellAnchor>
  <xdr:oneCellAnchor>
    <xdr:from>
      <xdr:col>34</xdr:col>
      <xdr:colOff>5603</xdr:colOff>
      <xdr:row>369</xdr:row>
      <xdr:rowOff>123265</xdr:rowOff>
    </xdr:from>
    <xdr:ext cx="1961030" cy="504264"/>
    <xdr:sp macro="" textlink="">
      <xdr:nvSpPr>
        <xdr:cNvPr id="251" name="テキスト ボックス 250">
          <a:extLst>
            <a:ext uri="{FF2B5EF4-FFF2-40B4-BE49-F238E27FC236}">
              <a16:creationId xmlns:a16="http://schemas.microsoft.com/office/drawing/2014/main" id="{00000000-0008-0000-0300-0000FB000000}"/>
            </a:ext>
          </a:extLst>
        </xdr:cNvPr>
        <xdr:cNvSpPr txBox="1"/>
      </xdr:nvSpPr>
      <xdr:spPr>
        <a:xfrm>
          <a:off x="4215653" y="58311490"/>
          <a:ext cx="1961030" cy="504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lnSpc>
              <a:spcPts val="1300"/>
            </a:lnSpc>
            <a:defRPr sz="1000"/>
          </a:pPr>
          <a:r>
            <a:rPr lang="ja-JP" altLang="en-US" sz="1100" b="0" i="0" u="none" strike="noStrike" baseline="0">
              <a:solidFill>
                <a:sysClr val="windowText" lastClr="000000"/>
              </a:solidFill>
              <a:latin typeface="ＭＳ Ｐゴシック"/>
              <a:ea typeface="ＭＳ Ｐゴシック"/>
            </a:rPr>
            <a:t>③ファイル出力</a:t>
          </a:r>
          <a:endParaRPr lang="ja-JP" altLang="en-US" sz="1100" b="0" i="0" u="none" strike="noStrike" baseline="0">
            <a:solidFill>
              <a:sysClr val="windowText" lastClr="000000"/>
            </a:solidFill>
            <a:latin typeface="Calibri"/>
          </a:endParaRPr>
        </a:p>
        <a:p>
          <a:pPr algn="l" rtl="0">
            <a:lnSpc>
              <a:spcPts val="1200"/>
            </a:lnSpc>
            <a:defRPr sz="1000"/>
          </a:pPr>
          <a:r>
            <a:rPr lang="ja-JP" altLang="en-US" sz="1100" b="0" i="0" u="none" strike="noStrike" baseline="0">
              <a:solidFill>
                <a:sysClr val="windowText" lastClr="000000"/>
              </a:solidFill>
              <a:latin typeface="ＭＳ Ｐゴシック"/>
              <a:ea typeface="ＭＳ Ｐゴシック"/>
            </a:rPr>
            <a:t>　</a:t>
          </a:r>
          <a:r>
            <a:rPr lang="en-US" altLang="ja-JP" sz="1100" b="0" i="0" u="none" strike="noStrike" baseline="0">
              <a:solidFill>
                <a:sysClr val="windowText" lastClr="000000"/>
              </a:solidFill>
              <a:latin typeface="ＭＳ Ｐゴシック"/>
              <a:ea typeface="ＭＳ Ｐゴシック"/>
            </a:rPr>
            <a:t>※</a:t>
          </a:r>
          <a:r>
            <a:rPr lang="ja-JP" altLang="en-US" sz="1100" b="0" i="0" u="none" strike="noStrike" baseline="0">
              <a:solidFill>
                <a:sysClr val="windowText" lastClr="000000"/>
              </a:solidFill>
              <a:latin typeface="ＭＳ Ｐゴシック"/>
              <a:ea typeface="ＭＳ Ｐゴシック"/>
            </a:rPr>
            <a:t>ローカルディスクに保存</a:t>
          </a:r>
        </a:p>
      </xdr:txBody>
    </xdr:sp>
    <xdr:clientData/>
  </xdr:oneCellAnchor>
  <xdr:oneCellAnchor>
    <xdr:from>
      <xdr:col>21</xdr:col>
      <xdr:colOff>67237</xdr:colOff>
      <xdr:row>372</xdr:row>
      <xdr:rowOff>67234</xdr:rowOff>
    </xdr:from>
    <xdr:ext cx="979179" cy="275717"/>
    <xdr:sp macro="" textlink="">
      <xdr:nvSpPr>
        <xdr:cNvPr id="252" name="テキスト ボックス 251">
          <a:extLst>
            <a:ext uri="{FF2B5EF4-FFF2-40B4-BE49-F238E27FC236}">
              <a16:creationId xmlns:a16="http://schemas.microsoft.com/office/drawing/2014/main" id="{00000000-0008-0000-0300-0000FC000000}"/>
            </a:ext>
          </a:extLst>
        </xdr:cNvPr>
        <xdr:cNvSpPr txBox="1"/>
      </xdr:nvSpPr>
      <xdr:spPr>
        <a:xfrm>
          <a:off x="2667562" y="58131634"/>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solidFill>
                <a:sysClr val="windowText" lastClr="000000"/>
              </a:solidFill>
            </a:rPr>
            <a:t>④HULFT</a:t>
          </a:r>
          <a:r>
            <a:rPr kumimoji="1" lang="ja-JP" altLang="en-US" sz="1100">
              <a:solidFill>
                <a:sysClr val="windowText" lastClr="000000"/>
              </a:solidFill>
            </a:rPr>
            <a:t>転送</a:t>
          </a:r>
        </a:p>
      </xdr:txBody>
    </xdr:sp>
    <xdr:clientData/>
  </xdr:oneCellAnchor>
  <xdr:twoCellAnchor>
    <xdr:from>
      <xdr:col>6</xdr:col>
      <xdr:colOff>1</xdr:colOff>
      <xdr:row>363</xdr:row>
      <xdr:rowOff>1</xdr:rowOff>
    </xdr:from>
    <xdr:to>
      <xdr:col>19</xdr:col>
      <xdr:colOff>114125</xdr:colOff>
      <xdr:row>376</xdr:row>
      <xdr:rowOff>57527</xdr:rowOff>
    </xdr:to>
    <xdr:sp macro="" textlink="">
      <xdr:nvSpPr>
        <xdr:cNvPr id="253" name="正方形/長方形 252">
          <a:extLst>
            <a:ext uri="{FF2B5EF4-FFF2-40B4-BE49-F238E27FC236}">
              <a16:creationId xmlns:a16="http://schemas.microsoft.com/office/drawing/2014/main" id="{00000000-0008-0000-0300-0000FD000000}"/>
            </a:ext>
          </a:extLst>
        </xdr:cNvPr>
        <xdr:cNvSpPr/>
      </xdr:nvSpPr>
      <xdr:spPr>
        <a:xfrm>
          <a:off x="742951" y="57273826"/>
          <a:ext cx="1723849" cy="20387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47</xdr:col>
      <xdr:colOff>78442</xdr:colOff>
      <xdr:row>378</xdr:row>
      <xdr:rowOff>140073</xdr:rowOff>
    </xdr:from>
    <xdr:to>
      <xdr:col>60</xdr:col>
      <xdr:colOff>16785</xdr:colOff>
      <xdr:row>383</xdr:row>
      <xdr:rowOff>10085</xdr:rowOff>
    </xdr:to>
    <xdr:sp macro="" textlink="">
      <xdr:nvSpPr>
        <xdr:cNvPr id="256" name="円柱 255">
          <a:extLst>
            <a:ext uri="{FF2B5EF4-FFF2-40B4-BE49-F238E27FC236}">
              <a16:creationId xmlns:a16="http://schemas.microsoft.com/office/drawing/2014/main" id="{00000000-0008-0000-0300-000000010000}"/>
            </a:ext>
          </a:extLst>
        </xdr:cNvPr>
        <xdr:cNvSpPr/>
      </xdr:nvSpPr>
      <xdr:spPr>
        <a:xfrm>
          <a:off x="5898217" y="59699898"/>
          <a:ext cx="1548068" cy="632012"/>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#2</a:t>
          </a:r>
          <a:endParaRPr kumimoji="1" lang="ja-JP" altLang="en-US" sz="1100">
            <a:solidFill>
              <a:sysClr val="windowText" lastClr="000000"/>
            </a:solidFill>
            <a:latin typeface="+mn-ea"/>
            <a:ea typeface="+mn-ea"/>
          </a:endParaRPr>
        </a:p>
      </xdr:txBody>
    </xdr:sp>
    <xdr:clientData/>
  </xdr:twoCellAnchor>
  <xdr:twoCellAnchor>
    <xdr:from>
      <xdr:col>23</xdr:col>
      <xdr:colOff>11205</xdr:colOff>
      <xdr:row>402</xdr:row>
      <xdr:rowOff>19050</xdr:rowOff>
    </xdr:from>
    <xdr:to>
      <xdr:col>63</xdr:col>
      <xdr:colOff>89647</xdr:colOff>
      <xdr:row>413</xdr:row>
      <xdr:rowOff>38100</xdr:rowOff>
    </xdr:to>
    <xdr:sp macro="" textlink="">
      <xdr:nvSpPr>
        <xdr:cNvPr id="257" name="正方形/長方形 256">
          <a:extLst>
            <a:ext uri="{FF2B5EF4-FFF2-40B4-BE49-F238E27FC236}">
              <a16:creationId xmlns:a16="http://schemas.microsoft.com/office/drawing/2014/main" id="{00000000-0008-0000-0300-000001010000}"/>
            </a:ext>
          </a:extLst>
        </xdr:cNvPr>
        <xdr:cNvSpPr/>
      </xdr:nvSpPr>
      <xdr:spPr>
        <a:xfrm>
          <a:off x="2859180" y="63274575"/>
          <a:ext cx="5031442" cy="169545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48</xdr:col>
      <xdr:colOff>67235</xdr:colOff>
      <xdr:row>419</xdr:row>
      <xdr:rowOff>124945</xdr:rowOff>
    </xdr:from>
    <xdr:to>
      <xdr:col>61</xdr:col>
      <xdr:colOff>5578</xdr:colOff>
      <xdr:row>423</xdr:row>
      <xdr:rowOff>142875</xdr:rowOff>
    </xdr:to>
    <xdr:sp macro="" textlink="">
      <xdr:nvSpPr>
        <xdr:cNvPr id="259" name="円柱 258">
          <a:extLst>
            <a:ext uri="{FF2B5EF4-FFF2-40B4-BE49-F238E27FC236}">
              <a16:creationId xmlns:a16="http://schemas.microsoft.com/office/drawing/2014/main" id="{00000000-0008-0000-0300-000003010000}"/>
            </a:ext>
          </a:extLst>
        </xdr:cNvPr>
        <xdr:cNvSpPr/>
      </xdr:nvSpPr>
      <xdr:spPr>
        <a:xfrm>
          <a:off x="6010835" y="65971270"/>
          <a:ext cx="1548068" cy="627530"/>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#2</a:t>
          </a:r>
          <a:endParaRPr kumimoji="1" lang="ja-JP" altLang="en-US" sz="1100">
            <a:solidFill>
              <a:sysClr val="windowText" lastClr="000000"/>
            </a:solidFill>
            <a:latin typeface="+mn-ea"/>
            <a:ea typeface="+mn-ea"/>
          </a:endParaRPr>
        </a:p>
      </xdr:txBody>
    </xdr:sp>
    <xdr:clientData/>
  </xdr:twoCellAnchor>
  <xdr:twoCellAnchor>
    <xdr:from>
      <xdr:col>24</xdr:col>
      <xdr:colOff>112059</xdr:colOff>
      <xdr:row>405</xdr:row>
      <xdr:rowOff>61006</xdr:rowOff>
    </xdr:from>
    <xdr:to>
      <xdr:col>34</xdr:col>
      <xdr:colOff>92988</xdr:colOff>
      <xdr:row>407</xdr:row>
      <xdr:rowOff>14217</xdr:rowOff>
    </xdr:to>
    <xdr:sp macro="" textlink="">
      <xdr:nvSpPr>
        <xdr:cNvPr id="260" name="角丸四角形 259">
          <a:extLst>
            <a:ext uri="{FF2B5EF4-FFF2-40B4-BE49-F238E27FC236}">
              <a16:creationId xmlns:a16="http://schemas.microsoft.com/office/drawing/2014/main" id="{00000000-0008-0000-0300-000004010000}"/>
            </a:ext>
          </a:extLst>
        </xdr:cNvPr>
        <xdr:cNvSpPr/>
      </xdr:nvSpPr>
      <xdr:spPr>
        <a:xfrm>
          <a:off x="3083859" y="63773731"/>
          <a:ext cx="1219179" cy="2580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ysClr val="windowText" lastClr="000000"/>
              </a:solidFill>
              <a:latin typeface="+mn-ea"/>
            </a:rPr>
            <a:t>HULFT</a:t>
          </a:r>
          <a:endParaRPr lang="ja-JP" altLang="en-US" sz="1200">
            <a:solidFill>
              <a:sysClr val="windowText" lastClr="000000"/>
            </a:solidFill>
            <a:latin typeface="+mn-ea"/>
          </a:endParaRPr>
        </a:p>
      </xdr:txBody>
    </xdr:sp>
    <xdr:clientData/>
  </xdr:twoCellAnchor>
  <xdr:twoCellAnchor>
    <xdr:from>
      <xdr:col>27</xdr:col>
      <xdr:colOff>33618</xdr:colOff>
      <xdr:row>415</xdr:row>
      <xdr:rowOff>107577</xdr:rowOff>
    </xdr:from>
    <xdr:to>
      <xdr:col>32</xdr:col>
      <xdr:colOff>44824</xdr:colOff>
      <xdr:row>419</xdr:row>
      <xdr:rowOff>17929</xdr:rowOff>
    </xdr:to>
    <xdr:sp macro="" textlink="">
      <xdr:nvSpPr>
        <xdr:cNvPr id="261" name="メモ 260">
          <a:extLst>
            <a:ext uri="{FF2B5EF4-FFF2-40B4-BE49-F238E27FC236}">
              <a16:creationId xmlns:a16="http://schemas.microsoft.com/office/drawing/2014/main" id="{00000000-0008-0000-0300-000005010000}"/>
            </a:ext>
          </a:extLst>
        </xdr:cNvPr>
        <xdr:cNvSpPr/>
      </xdr:nvSpPr>
      <xdr:spPr>
        <a:xfrm>
          <a:off x="3376893" y="65344302"/>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35859</xdr:colOff>
      <xdr:row>416</xdr:row>
      <xdr:rowOff>59390</xdr:rowOff>
    </xdr:from>
    <xdr:ext cx="1228285" cy="275717"/>
    <xdr:sp macro="" textlink="">
      <xdr:nvSpPr>
        <xdr:cNvPr id="262" name="テキスト ボックス 261">
          <a:extLst>
            <a:ext uri="{FF2B5EF4-FFF2-40B4-BE49-F238E27FC236}">
              <a16:creationId xmlns:a16="http://schemas.microsoft.com/office/drawing/2014/main" id="{00000000-0008-0000-0300-000006010000}"/>
            </a:ext>
          </a:extLst>
        </xdr:cNvPr>
        <xdr:cNvSpPr txBox="1"/>
      </xdr:nvSpPr>
      <xdr:spPr>
        <a:xfrm>
          <a:off x="3131484" y="64867490"/>
          <a:ext cx="12282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キャンペーン受付</a:t>
          </a:r>
        </a:p>
      </xdr:txBody>
    </xdr:sp>
    <xdr:clientData/>
  </xdr:oneCellAnchor>
  <xdr:twoCellAnchor>
    <xdr:from>
      <xdr:col>29</xdr:col>
      <xdr:colOff>101134</xdr:colOff>
      <xdr:row>412</xdr:row>
      <xdr:rowOff>113179</xdr:rowOff>
    </xdr:from>
    <xdr:to>
      <xdr:col>29</xdr:col>
      <xdr:colOff>101134</xdr:colOff>
      <xdr:row>415</xdr:row>
      <xdr:rowOff>107577</xdr:rowOff>
    </xdr:to>
    <xdr:cxnSp macro="">
      <xdr:nvCxnSpPr>
        <xdr:cNvPr id="264" name="直線矢印コネクタ 263">
          <a:extLst>
            <a:ext uri="{FF2B5EF4-FFF2-40B4-BE49-F238E27FC236}">
              <a16:creationId xmlns:a16="http://schemas.microsoft.com/office/drawing/2014/main" id="{00000000-0008-0000-0300-000008010000}"/>
            </a:ext>
          </a:extLst>
        </xdr:cNvPr>
        <xdr:cNvCxnSpPr>
          <a:stCxn id="261" idx="0"/>
          <a:endCxn id="333" idx="2"/>
        </xdr:cNvCxnSpPr>
      </xdr:nvCxnSpPr>
      <xdr:spPr>
        <a:xfrm flipV="1">
          <a:off x="3692059" y="64892704"/>
          <a:ext cx="0" cy="451598"/>
        </a:xfrm>
        <a:prstGeom prst="straightConnector1">
          <a:avLst/>
        </a:prstGeom>
        <a:ln w="19050">
          <a:solidFill>
            <a:srgbClr val="FF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67236</xdr:colOff>
      <xdr:row>406</xdr:row>
      <xdr:rowOff>39853</xdr:rowOff>
    </xdr:from>
    <xdr:to>
      <xdr:col>24</xdr:col>
      <xdr:colOff>112059</xdr:colOff>
      <xdr:row>406</xdr:row>
      <xdr:rowOff>47625</xdr:rowOff>
    </xdr:to>
    <xdr:cxnSp macro="">
      <xdr:nvCxnSpPr>
        <xdr:cNvPr id="265" name="直線矢印コネクタ 264">
          <a:extLst>
            <a:ext uri="{FF2B5EF4-FFF2-40B4-BE49-F238E27FC236}">
              <a16:creationId xmlns:a16="http://schemas.microsoft.com/office/drawing/2014/main" id="{00000000-0008-0000-0300-000009010000}"/>
            </a:ext>
          </a:extLst>
        </xdr:cNvPr>
        <xdr:cNvCxnSpPr>
          <a:stCxn id="260" idx="1"/>
        </xdr:cNvCxnSpPr>
      </xdr:nvCxnSpPr>
      <xdr:spPr>
        <a:xfrm flipH="1">
          <a:off x="2419911" y="63904978"/>
          <a:ext cx="663948" cy="777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44825</xdr:colOff>
      <xdr:row>418</xdr:row>
      <xdr:rowOff>64432</xdr:rowOff>
    </xdr:from>
    <xdr:ext cx="1109022" cy="275717"/>
    <xdr:sp macro="" textlink="">
      <xdr:nvSpPr>
        <xdr:cNvPr id="266" name="テキスト ボックス 265">
          <a:extLst>
            <a:ext uri="{FF2B5EF4-FFF2-40B4-BE49-F238E27FC236}">
              <a16:creationId xmlns:a16="http://schemas.microsoft.com/office/drawing/2014/main" id="{00000000-0008-0000-0300-00000A010000}"/>
            </a:ext>
          </a:extLst>
        </xdr:cNvPr>
        <xdr:cNvSpPr txBox="1"/>
      </xdr:nvSpPr>
      <xdr:spPr>
        <a:xfrm>
          <a:off x="4502525" y="65177332"/>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①抽出</a:t>
          </a:r>
          <a:r>
            <a:rPr kumimoji="1" lang="en-US" altLang="ja-JP" sz="1100">
              <a:solidFill>
                <a:sysClr val="windowText" lastClr="000000"/>
              </a:solidFill>
            </a:rPr>
            <a:t>SQL</a:t>
          </a:r>
          <a:r>
            <a:rPr kumimoji="1" lang="ja-JP" altLang="en-US" sz="1100">
              <a:solidFill>
                <a:sysClr val="windowText" lastClr="000000"/>
              </a:solidFill>
            </a:rPr>
            <a:t>発行</a:t>
          </a:r>
        </a:p>
      </xdr:txBody>
    </xdr:sp>
    <xdr:clientData/>
  </xdr:oneCellAnchor>
  <xdr:oneCellAnchor>
    <xdr:from>
      <xdr:col>36</xdr:col>
      <xdr:colOff>33618</xdr:colOff>
      <xdr:row>422</xdr:row>
      <xdr:rowOff>102535</xdr:rowOff>
    </xdr:from>
    <xdr:ext cx="889987" cy="275717"/>
    <xdr:sp macro="" textlink="">
      <xdr:nvSpPr>
        <xdr:cNvPr id="267" name="テキスト ボックス 266">
          <a:extLst>
            <a:ext uri="{FF2B5EF4-FFF2-40B4-BE49-F238E27FC236}">
              <a16:creationId xmlns:a16="http://schemas.microsoft.com/office/drawing/2014/main" id="{00000000-0008-0000-0300-00000B010000}"/>
            </a:ext>
          </a:extLst>
        </xdr:cNvPr>
        <xdr:cNvSpPr txBox="1"/>
      </xdr:nvSpPr>
      <xdr:spPr>
        <a:xfrm>
          <a:off x="4491318" y="65825035"/>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②結果連携</a:t>
          </a:r>
        </a:p>
      </xdr:txBody>
    </xdr:sp>
    <xdr:clientData/>
  </xdr:oneCellAnchor>
  <xdr:oneCellAnchor>
    <xdr:from>
      <xdr:col>19</xdr:col>
      <xdr:colOff>78441</xdr:colOff>
      <xdr:row>403</xdr:row>
      <xdr:rowOff>59389</xdr:rowOff>
    </xdr:from>
    <xdr:ext cx="979179" cy="275717"/>
    <xdr:sp macro="" textlink="">
      <xdr:nvSpPr>
        <xdr:cNvPr id="268" name="テキスト ボックス 267">
          <a:extLst>
            <a:ext uri="{FF2B5EF4-FFF2-40B4-BE49-F238E27FC236}">
              <a16:creationId xmlns:a16="http://schemas.microsoft.com/office/drawing/2014/main" id="{00000000-0008-0000-0300-00000C010000}"/>
            </a:ext>
          </a:extLst>
        </xdr:cNvPr>
        <xdr:cNvSpPr txBox="1"/>
      </xdr:nvSpPr>
      <xdr:spPr>
        <a:xfrm>
          <a:off x="2431116" y="62886289"/>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⑤</a:t>
          </a:r>
          <a:r>
            <a:rPr kumimoji="1" lang="en-US" altLang="ja-JP" sz="1100">
              <a:solidFill>
                <a:sysClr val="windowText" lastClr="000000"/>
              </a:solidFill>
            </a:rPr>
            <a:t>HULFT</a:t>
          </a:r>
          <a:r>
            <a:rPr kumimoji="1" lang="ja-JP" altLang="en-US" sz="1100">
              <a:solidFill>
                <a:sysClr val="windowText" lastClr="000000"/>
              </a:solidFill>
            </a:rPr>
            <a:t>転送</a:t>
          </a:r>
        </a:p>
      </xdr:txBody>
    </xdr:sp>
    <xdr:clientData/>
  </xdr:oneCellAnchor>
  <xdr:twoCellAnchor>
    <xdr:from>
      <xdr:col>5</xdr:col>
      <xdr:colOff>89647</xdr:colOff>
      <xdr:row>402</xdr:row>
      <xdr:rowOff>19051</xdr:rowOff>
    </xdr:from>
    <xdr:to>
      <xdr:col>19</xdr:col>
      <xdr:colOff>80507</xdr:colOff>
      <xdr:row>413</xdr:row>
      <xdr:rowOff>47625</xdr:rowOff>
    </xdr:to>
    <xdr:sp macro="" textlink="">
      <xdr:nvSpPr>
        <xdr:cNvPr id="269" name="正方形/長方形 268">
          <a:extLst>
            <a:ext uri="{FF2B5EF4-FFF2-40B4-BE49-F238E27FC236}">
              <a16:creationId xmlns:a16="http://schemas.microsoft.com/office/drawing/2014/main" id="{00000000-0008-0000-0300-00000D010000}"/>
            </a:ext>
          </a:extLst>
        </xdr:cNvPr>
        <xdr:cNvSpPr/>
      </xdr:nvSpPr>
      <xdr:spPr>
        <a:xfrm>
          <a:off x="708772" y="63274576"/>
          <a:ext cx="1724410" cy="170497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48</xdr:col>
      <xdr:colOff>67235</xdr:colOff>
      <xdr:row>406</xdr:row>
      <xdr:rowOff>33617</xdr:rowOff>
    </xdr:from>
    <xdr:to>
      <xdr:col>61</xdr:col>
      <xdr:colOff>5578</xdr:colOff>
      <xdr:row>410</xdr:row>
      <xdr:rowOff>56029</xdr:rowOff>
    </xdr:to>
    <xdr:sp macro="" textlink="">
      <xdr:nvSpPr>
        <xdr:cNvPr id="270" name="円柱 269">
          <a:extLst>
            <a:ext uri="{FF2B5EF4-FFF2-40B4-BE49-F238E27FC236}">
              <a16:creationId xmlns:a16="http://schemas.microsoft.com/office/drawing/2014/main" id="{00000000-0008-0000-0300-00000E010000}"/>
            </a:ext>
          </a:extLst>
        </xdr:cNvPr>
        <xdr:cNvSpPr/>
      </xdr:nvSpPr>
      <xdr:spPr>
        <a:xfrm>
          <a:off x="6010835" y="63898742"/>
          <a:ext cx="1548068" cy="632012"/>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34</xdr:col>
      <xdr:colOff>85725</xdr:colOff>
      <xdr:row>422</xdr:row>
      <xdr:rowOff>76200</xdr:rowOff>
    </xdr:from>
    <xdr:to>
      <xdr:col>48</xdr:col>
      <xdr:colOff>66675</xdr:colOff>
      <xdr:row>422</xdr:row>
      <xdr:rowOff>76201</xdr:rowOff>
    </xdr:to>
    <xdr:cxnSp macro="">
      <xdr:nvCxnSpPr>
        <xdr:cNvPr id="271" name="直線矢印コネクタ 202">
          <a:extLst>
            <a:ext uri="{FF2B5EF4-FFF2-40B4-BE49-F238E27FC236}">
              <a16:creationId xmlns:a16="http://schemas.microsoft.com/office/drawing/2014/main" id="{00000000-0008-0000-0300-00000F010000}"/>
            </a:ext>
          </a:extLst>
        </xdr:cNvPr>
        <xdr:cNvCxnSpPr/>
      </xdr:nvCxnSpPr>
      <xdr:spPr>
        <a:xfrm rot="10800000">
          <a:off x="4295775" y="66379725"/>
          <a:ext cx="1714500" cy="1"/>
        </a:xfrm>
        <a:prstGeom prst="bentConnector3">
          <a:avLst>
            <a:gd name="adj1" fmla="val 50000"/>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98591</xdr:colOff>
      <xdr:row>419</xdr:row>
      <xdr:rowOff>17929</xdr:rowOff>
    </xdr:from>
    <xdr:to>
      <xdr:col>29</xdr:col>
      <xdr:colOff>101134</xdr:colOff>
      <xdr:row>420</xdr:row>
      <xdr:rowOff>61629</xdr:rowOff>
    </xdr:to>
    <xdr:cxnSp macro="">
      <xdr:nvCxnSpPr>
        <xdr:cNvPr id="279" name="直線矢印コネクタ 278">
          <a:extLst>
            <a:ext uri="{FF2B5EF4-FFF2-40B4-BE49-F238E27FC236}">
              <a16:creationId xmlns:a16="http://schemas.microsoft.com/office/drawing/2014/main" id="{00000000-0008-0000-0300-000017010000}"/>
            </a:ext>
          </a:extLst>
        </xdr:cNvPr>
        <xdr:cNvCxnSpPr>
          <a:stCxn id="331" idx="0"/>
          <a:endCxn id="261" idx="2"/>
        </xdr:cNvCxnSpPr>
      </xdr:nvCxnSpPr>
      <xdr:spPr>
        <a:xfrm flipV="1">
          <a:off x="3689516" y="65864254"/>
          <a:ext cx="2543" cy="1961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104775</xdr:colOff>
      <xdr:row>419</xdr:row>
      <xdr:rowOff>19051</xdr:rowOff>
    </xdr:from>
    <xdr:to>
      <xdr:col>30</xdr:col>
      <xdr:colOff>104775</xdr:colOff>
      <xdr:row>421</xdr:row>
      <xdr:rowOff>1</xdr:rowOff>
    </xdr:to>
    <xdr:sp macro="" textlink="">
      <xdr:nvSpPr>
        <xdr:cNvPr id="280" name="テキスト ボックス 210">
          <a:extLst>
            <a:ext uri="{FF2B5EF4-FFF2-40B4-BE49-F238E27FC236}">
              <a16:creationId xmlns:a16="http://schemas.microsoft.com/office/drawing/2014/main" id="{00000000-0008-0000-0300-000018010000}"/>
            </a:ext>
          </a:extLst>
        </xdr:cNvPr>
        <xdr:cNvSpPr txBox="1">
          <a:spLocks noChangeArrowheads="1"/>
        </xdr:cNvSpPr>
      </xdr:nvSpPr>
      <xdr:spPr bwMode="auto">
        <a:xfrm>
          <a:off x="2581275" y="65865376"/>
          <a:ext cx="1238250" cy="285750"/>
        </a:xfrm>
        <a:prstGeom prst="rect">
          <a:avLst/>
        </a:prstGeom>
        <a:noFill/>
        <a:ln w="9525">
          <a:no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ysClr val="windowText" lastClr="000000"/>
              </a:solidFill>
              <a:latin typeface="ＭＳ Ｐゴシック"/>
              <a:ea typeface="ＭＳ Ｐゴシック"/>
            </a:rPr>
            <a:t>③ファイル出力</a:t>
          </a:r>
        </a:p>
      </xdr:txBody>
    </xdr:sp>
    <xdr:clientData/>
  </xdr:twoCellAnchor>
  <xdr:twoCellAnchor>
    <xdr:from>
      <xdr:col>34</xdr:col>
      <xdr:colOff>81781</xdr:colOff>
      <xdr:row>421</xdr:row>
      <xdr:rowOff>85725</xdr:rowOff>
    </xdr:from>
    <xdr:to>
      <xdr:col>48</xdr:col>
      <xdr:colOff>95250</xdr:colOff>
      <xdr:row>421</xdr:row>
      <xdr:rowOff>87405</xdr:rowOff>
    </xdr:to>
    <xdr:cxnSp macro="">
      <xdr:nvCxnSpPr>
        <xdr:cNvPr id="281" name="直線矢印コネクタ 220">
          <a:extLst>
            <a:ext uri="{FF2B5EF4-FFF2-40B4-BE49-F238E27FC236}">
              <a16:creationId xmlns:a16="http://schemas.microsoft.com/office/drawing/2014/main" id="{00000000-0008-0000-0300-000019010000}"/>
            </a:ext>
          </a:extLst>
        </xdr:cNvPr>
        <xdr:cNvCxnSpPr>
          <a:stCxn id="331" idx="3"/>
        </xdr:cNvCxnSpPr>
      </xdr:nvCxnSpPr>
      <xdr:spPr>
        <a:xfrm flipV="1">
          <a:off x="4291831" y="66236850"/>
          <a:ext cx="1747019" cy="1680"/>
        </a:xfrm>
        <a:prstGeom prst="bentConnector3">
          <a:avLst>
            <a:gd name="adj1" fmla="val 50000"/>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0</xdr:colOff>
      <xdr:row>363</xdr:row>
      <xdr:rowOff>0</xdr:rowOff>
    </xdr:from>
    <xdr:to>
      <xdr:col>76</xdr:col>
      <xdr:colOff>80505</xdr:colOff>
      <xdr:row>383</xdr:row>
      <xdr:rowOff>66675</xdr:rowOff>
    </xdr:to>
    <xdr:sp macro="" textlink="">
      <xdr:nvSpPr>
        <xdr:cNvPr id="288" name="正方形/長方形 287">
          <a:extLst>
            <a:ext uri="{FF2B5EF4-FFF2-40B4-BE49-F238E27FC236}">
              <a16:creationId xmlns:a16="http://schemas.microsoft.com/office/drawing/2014/main" id="{00000000-0008-0000-0300-000020010000}"/>
            </a:ext>
          </a:extLst>
        </xdr:cNvPr>
        <xdr:cNvSpPr/>
      </xdr:nvSpPr>
      <xdr:spPr>
        <a:xfrm>
          <a:off x="7924800" y="57273825"/>
          <a:ext cx="1566405" cy="311467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共有 </a:t>
          </a:r>
          <a:r>
            <a:rPr lang="ja-JP" altLang="en-US" sz="1200" baseline="0">
              <a:solidFill>
                <a:sysClr val="windowText" lastClr="000000"/>
              </a:solidFill>
              <a:latin typeface="+mn-ea"/>
            </a:rPr>
            <a:t>ディスク</a:t>
          </a:r>
          <a:endParaRPr lang="ja-JP" altLang="en-US" sz="1200">
            <a:solidFill>
              <a:sysClr val="windowText" lastClr="000000"/>
            </a:solidFill>
            <a:latin typeface="+mn-ea"/>
          </a:endParaRPr>
        </a:p>
      </xdr:txBody>
    </xdr:sp>
    <xdr:clientData/>
  </xdr:twoCellAnchor>
  <xdr:twoCellAnchor>
    <xdr:from>
      <xdr:col>65</xdr:col>
      <xdr:colOff>0</xdr:colOff>
      <xdr:row>402</xdr:row>
      <xdr:rowOff>9525</xdr:rowOff>
    </xdr:from>
    <xdr:to>
      <xdr:col>77</xdr:col>
      <xdr:colOff>80506</xdr:colOff>
      <xdr:row>425</xdr:row>
      <xdr:rowOff>19051</xdr:rowOff>
    </xdr:to>
    <xdr:sp macro="" textlink="">
      <xdr:nvSpPr>
        <xdr:cNvPr id="290" name="正方形/長方形 289">
          <a:extLst>
            <a:ext uri="{FF2B5EF4-FFF2-40B4-BE49-F238E27FC236}">
              <a16:creationId xmlns:a16="http://schemas.microsoft.com/office/drawing/2014/main" id="{00000000-0008-0000-0300-000022010000}"/>
            </a:ext>
          </a:extLst>
        </xdr:cNvPr>
        <xdr:cNvSpPr/>
      </xdr:nvSpPr>
      <xdr:spPr>
        <a:xfrm>
          <a:off x="8048625" y="63265050"/>
          <a:ext cx="1566406" cy="35147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共有 </a:t>
          </a:r>
          <a:r>
            <a:rPr lang="ja-JP" altLang="en-US" sz="1200" baseline="0">
              <a:solidFill>
                <a:sysClr val="windowText" lastClr="000000"/>
              </a:solidFill>
              <a:latin typeface="+mn-ea"/>
            </a:rPr>
            <a:t>ディスク</a:t>
          </a:r>
          <a:endParaRPr lang="ja-JP" altLang="en-US" sz="1200">
            <a:solidFill>
              <a:sysClr val="windowText" lastClr="000000"/>
            </a:solidFill>
            <a:latin typeface="+mn-ea"/>
          </a:endParaRPr>
        </a:p>
      </xdr:txBody>
    </xdr:sp>
    <xdr:clientData/>
  </xdr:twoCellAnchor>
  <xdr:twoCellAnchor>
    <xdr:from>
      <xdr:col>67</xdr:col>
      <xdr:colOff>33620</xdr:colOff>
      <xdr:row>373</xdr:row>
      <xdr:rowOff>123272</xdr:rowOff>
    </xdr:from>
    <xdr:to>
      <xdr:col>72</xdr:col>
      <xdr:colOff>44826</xdr:colOff>
      <xdr:row>377</xdr:row>
      <xdr:rowOff>33624</xdr:rowOff>
    </xdr:to>
    <xdr:sp macro="" textlink="">
      <xdr:nvSpPr>
        <xdr:cNvPr id="291" name="メモ 290">
          <a:extLst>
            <a:ext uri="{FF2B5EF4-FFF2-40B4-BE49-F238E27FC236}">
              <a16:creationId xmlns:a16="http://schemas.microsoft.com/office/drawing/2014/main" id="{00000000-0008-0000-0300-000023010000}"/>
            </a:ext>
          </a:extLst>
        </xdr:cNvPr>
        <xdr:cNvSpPr/>
      </xdr:nvSpPr>
      <xdr:spPr>
        <a:xfrm>
          <a:off x="8329895" y="58921097"/>
          <a:ext cx="630331" cy="519952"/>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44825</xdr:colOff>
      <xdr:row>373</xdr:row>
      <xdr:rowOff>33625</xdr:rowOff>
    </xdr:from>
    <xdr:to>
      <xdr:col>71</xdr:col>
      <xdr:colOff>56032</xdr:colOff>
      <xdr:row>376</xdr:row>
      <xdr:rowOff>100859</xdr:rowOff>
    </xdr:to>
    <xdr:sp macro="" textlink="">
      <xdr:nvSpPr>
        <xdr:cNvPr id="299" name="メモ 298">
          <a:extLst>
            <a:ext uri="{FF2B5EF4-FFF2-40B4-BE49-F238E27FC236}">
              <a16:creationId xmlns:a16="http://schemas.microsoft.com/office/drawing/2014/main" id="{00000000-0008-0000-0300-00002B010000}"/>
            </a:ext>
          </a:extLst>
        </xdr:cNvPr>
        <xdr:cNvSpPr/>
      </xdr:nvSpPr>
      <xdr:spPr>
        <a:xfrm>
          <a:off x="8217275" y="58831450"/>
          <a:ext cx="630332"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100852</xdr:colOff>
      <xdr:row>372</xdr:row>
      <xdr:rowOff>122709</xdr:rowOff>
    </xdr:from>
    <xdr:ext cx="1604124" cy="744065"/>
    <xdr:sp macro="" textlink="">
      <xdr:nvSpPr>
        <xdr:cNvPr id="303" name="テキスト ボックス 302">
          <a:extLst>
            <a:ext uri="{FF2B5EF4-FFF2-40B4-BE49-F238E27FC236}">
              <a16:creationId xmlns:a16="http://schemas.microsoft.com/office/drawing/2014/main" id="{00000000-0008-0000-0300-00002F010000}"/>
            </a:ext>
          </a:extLst>
        </xdr:cNvPr>
        <xdr:cNvSpPr txBox="1"/>
      </xdr:nvSpPr>
      <xdr:spPr>
        <a:xfrm>
          <a:off x="8149477" y="58768134"/>
          <a:ext cx="1604124" cy="7440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solidFill>
                <a:sysClr val="windowText" lastClr="000000"/>
              </a:solidFill>
            </a:rPr>
            <a:t>キャンンペーン</a:t>
          </a:r>
          <a:endParaRPr kumimoji="1" lang="en-US" altLang="ja-JP" sz="1100">
            <a:solidFill>
              <a:sysClr val="windowText" lastClr="000000"/>
            </a:solidFill>
          </a:endParaRPr>
        </a:p>
        <a:p>
          <a:r>
            <a:rPr kumimoji="1" lang="ja-JP" altLang="en-US" sz="1100">
              <a:solidFill>
                <a:sysClr val="windowText" lastClr="000000"/>
              </a:solidFill>
            </a:rPr>
            <a:t>受付履歴</a:t>
          </a:r>
          <a:endParaRPr kumimoji="1" lang="en-US" altLang="ja-JP" sz="1100">
            <a:solidFill>
              <a:sysClr val="windowText" lastClr="000000"/>
            </a:solidFill>
          </a:endParaRPr>
        </a:p>
        <a:p>
          <a:r>
            <a:rPr kumimoji="1" lang="en-US" altLang="ja-JP" sz="1100">
              <a:solidFill>
                <a:sysClr val="windowText" lastClr="000000"/>
              </a:solidFill>
            </a:rPr>
            <a:t>yyyymmdd</a:t>
          </a:r>
          <a:endParaRPr kumimoji="1" lang="ja-JP" altLang="en-US" sz="1100">
            <a:solidFill>
              <a:sysClr val="windowText" lastClr="000000"/>
            </a:solidFill>
          </a:endParaRPr>
        </a:p>
      </xdr:txBody>
    </xdr:sp>
    <xdr:clientData/>
  </xdr:oneCellAnchor>
  <xdr:twoCellAnchor>
    <xdr:from>
      <xdr:col>45</xdr:col>
      <xdr:colOff>3340</xdr:colOff>
      <xdr:row>374</xdr:row>
      <xdr:rowOff>145677</xdr:rowOff>
    </xdr:from>
    <xdr:to>
      <xdr:col>66</xdr:col>
      <xdr:colOff>44825</xdr:colOff>
      <xdr:row>374</xdr:row>
      <xdr:rowOff>145684</xdr:rowOff>
    </xdr:to>
    <xdr:cxnSp macro="">
      <xdr:nvCxnSpPr>
        <xdr:cNvPr id="304" name="直線矢印コネクタ 303">
          <a:extLst>
            <a:ext uri="{FF2B5EF4-FFF2-40B4-BE49-F238E27FC236}">
              <a16:creationId xmlns:a16="http://schemas.microsoft.com/office/drawing/2014/main" id="{00000000-0008-0000-0300-000030010000}"/>
            </a:ext>
          </a:extLst>
        </xdr:cNvPr>
        <xdr:cNvCxnSpPr>
          <a:stCxn id="310" idx="3"/>
          <a:endCxn id="299" idx="1"/>
        </xdr:cNvCxnSpPr>
      </xdr:nvCxnSpPr>
      <xdr:spPr>
        <a:xfrm>
          <a:off x="5575465" y="59095902"/>
          <a:ext cx="2641810" cy="7"/>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92985</xdr:colOff>
      <xdr:row>417</xdr:row>
      <xdr:rowOff>58270</xdr:rowOff>
    </xdr:from>
    <xdr:to>
      <xdr:col>66</xdr:col>
      <xdr:colOff>44825</xdr:colOff>
      <xdr:row>417</xdr:row>
      <xdr:rowOff>58278</xdr:rowOff>
    </xdr:to>
    <xdr:cxnSp macro="">
      <xdr:nvCxnSpPr>
        <xdr:cNvPr id="305" name="直線矢印コネクタ 304">
          <a:extLst>
            <a:ext uri="{FF2B5EF4-FFF2-40B4-BE49-F238E27FC236}">
              <a16:creationId xmlns:a16="http://schemas.microsoft.com/office/drawing/2014/main" id="{00000000-0008-0000-0300-000031010000}"/>
            </a:ext>
          </a:extLst>
        </xdr:cNvPr>
        <xdr:cNvCxnSpPr>
          <a:stCxn id="319" idx="3"/>
        </xdr:cNvCxnSpPr>
      </xdr:nvCxnSpPr>
      <xdr:spPr>
        <a:xfrm>
          <a:off x="5665110" y="65599795"/>
          <a:ext cx="2552165" cy="8"/>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44826</xdr:colOff>
      <xdr:row>373</xdr:row>
      <xdr:rowOff>56027</xdr:rowOff>
    </xdr:from>
    <xdr:ext cx="1798634" cy="275717"/>
    <xdr:sp macro="" textlink="">
      <xdr:nvSpPr>
        <xdr:cNvPr id="309" name="テキスト ボックス 308">
          <a:extLst>
            <a:ext uri="{FF2B5EF4-FFF2-40B4-BE49-F238E27FC236}">
              <a16:creationId xmlns:a16="http://schemas.microsoft.com/office/drawing/2014/main" id="{00000000-0008-0000-0300-000035010000}"/>
            </a:ext>
          </a:extLst>
        </xdr:cNvPr>
        <xdr:cNvSpPr txBox="1"/>
      </xdr:nvSpPr>
      <xdr:spPr>
        <a:xfrm>
          <a:off x="5616951" y="58272827"/>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⑤転送ファイルバックアップ</a:t>
          </a:r>
        </a:p>
      </xdr:txBody>
    </xdr:sp>
    <xdr:clientData/>
  </xdr:oneCellAnchor>
  <xdr:twoCellAnchor>
    <xdr:from>
      <xdr:col>35</xdr:col>
      <xdr:colOff>36959</xdr:colOff>
      <xdr:row>374</xdr:row>
      <xdr:rowOff>11206</xdr:rowOff>
    </xdr:from>
    <xdr:to>
      <xdr:col>45</xdr:col>
      <xdr:colOff>3340</xdr:colOff>
      <xdr:row>375</xdr:row>
      <xdr:rowOff>123265</xdr:rowOff>
    </xdr:to>
    <xdr:sp macro="" textlink="">
      <xdr:nvSpPr>
        <xdr:cNvPr id="310" name="角丸四角形 309">
          <a:extLst>
            <a:ext uri="{FF2B5EF4-FFF2-40B4-BE49-F238E27FC236}">
              <a16:creationId xmlns:a16="http://schemas.microsoft.com/office/drawing/2014/main" id="{00000000-0008-0000-0300-000036010000}"/>
            </a:ext>
          </a:extLst>
        </xdr:cNvPr>
        <xdr:cNvSpPr/>
      </xdr:nvSpPr>
      <xdr:spPr>
        <a:xfrm>
          <a:off x="4370834" y="58961431"/>
          <a:ext cx="1204631" cy="26445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31</xdr:col>
      <xdr:colOff>56031</xdr:colOff>
      <xdr:row>370</xdr:row>
      <xdr:rowOff>100853</xdr:rowOff>
    </xdr:from>
    <xdr:to>
      <xdr:col>35</xdr:col>
      <xdr:colOff>36959</xdr:colOff>
      <xdr:row>374</xdr:row>
      <xdr:rowOff>145677</xdr:rowOff>
    </xdr:to>
    <xdr:cxnSp macro="">
      <xdr:nvCxnSpPr>
        <xdr:cNvPr id="318" name="直線矢印コネクタ 317">
          <a:extLst>
            <a:ext uri="{FF2B5EF4-FFF2-40B4-BE49-F238E27FC236}">
              <a16:creationId xmlns:a16="http://schemas.microsoft.com/office/drawing/2014/main" id="{00000000-0008-0000-0300-00003E010000}"/>
            </a:ext>
          </a:extLst>
        </xdr:cNvPr>
        <xdr:cNvCxnSpPr>
          <a:stCxn id="231" idx="3"/>
          <a:endCxn id="310" idx="1"/>
        </xdr:cNvCxnSpPr>
      </xdr:nvCxnSpPr>
      <xdr:spPr>
        <a:xfrm>
          <a:off x="3894606" y="58441478"/>
          <a:ext cx="476228" cy="654424"/>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3340</xdr:colOff>
      <xdr:row>416</xdr:row>
      <xdr:rowOff>80682</xdr:rowOff>
    </xdr:from>
    <xdr:to>
      <xdr:col>45</xdr:col>
      <xdr:colOff>92985</xdr:colOff>
      <xdr:row>418</xdr:row>
      <xdr:rowOff>35858</xdr:rowOff>
    </xdr:to>
    <xdr:sp macro="" textlink="">
      <xdr:nvSpPr>
        <xdr:cNvPr id="319" name="角丸四角形 318">
          <a:extLst>
            <a:ext uri="{FF2B5EF4-FFF2-40B4-BE49-F238E27FC236}">
              <a16:creationId xmlns:a16="http://schemas.microsoft.com/office/drawing/2014/main" id="{00000000-0008-0000-0300-00003F010000}"/>
            </a:ext>
          </a:extLst>
        </xdr:cNvPr>
        <xdr:cNvSpPr/>
      </xdr:nvSpPr>
      <xdr:spPr>
        <a:xfrm>
          <a:off x="4461040" y="65469807"/>
          <a:ext cx="1204070" cy="259976"/>
        </a:xfrm>
        <a:prstGeom prst="roundRect">
          <a:avLst/>
        </a:prstGeom>
        <a:gradFill flip="none" rotWithShape="1">
          <a:gsLst>
            <a:gs pos="0">
              <a:srgbClr val="00B0F0"/>
            </a:gs>
            <a:gs pos="50000">
              <a:schemeClr val="bg1"/>
            </a:gs>
            <a:gs pos="100000">
              <a:srgbClr val="00B0F0"/>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32</xdr:col>
      <xdr:colOff>44824</xdr:colOff>
      <xdr:row>417</xdr:row>
      <xdr:rowOff>58270</xdr:rowOff>
    </xdr:from>
    <xdr:to>
      <xdr:col>36</xdr:col>
      <xdr:colOff>3340</xdr:colOff>
      <xdr:row>417</xdr:row>
      <xdr:rowOff>62753</xdr:rowOff>
    </xdr:to>
    <xdr:cxnSp macro="">
      <xdr:nvCxnSpPr>
        <xdr:cNvPr id="320" name="直線矢印コネクタ 319">
          <a:extLst>
            <a:ext uri="{FF2B5EF4-FFF2-40B4-BE49-F238E27FC236}">
              <a16:creationId xmlns:a16="http://schemas.microsoft.com/office/drawing/2014/main" id="{00000000-0008-0000-0300-000040010000}"/>
            </a:ext>
          </a:extLst>
        </xdr:cNvPr>
        <xdr:cNvCxnSpPr>
          <a:stCxn id="261" idx="3"/>
          <a:endCxn id="319" idx="1"/>
        </xdr:cNvCxnSpPr>
      </xdr:nvCxnSpPr>
      <xdr:spPr>
        <a:xfrm flipV="1">
          <a:off x="4007224" y="65599795"/>
          <a:ext cx="453816" cy="448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47</xdr:col>
      <xdr:colOff>64437</xdr:colOff>
      <xdr:row>415</xdr:row>
      <xdr:rowOff>60514</xdr:rowOff>
    </xdr:from>
    <xdr:ext cx="1798634" cy="275717"/>
    <xdr:sp macro="" textlink="">
      <xdr:nvSpPr>
        <xdr:cNvPr id="321" name="テキスト ボックス 320">
          <a:extLst>
            <a:ext uri="{FF2B5EF4-FFF2-40B4-BE49-F238E27FC236}">
              <a16:creationId xmlns:a16="http://schemas.microsoft.com/office/drawing/2014/main" id="{00000000-0008-0000-0300-000041010000}"/>
            </a:ext>
          </a:extLst>
        </xdr:cNvPr>
        <xdr:cNvSpPr txBox="1"/>
      </xdr:nvSpPr>
      <xdr:spPr>
        <a:xfrm>
          <a:off x="5884212" y="64716214"/>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⑥転送ファイルバックアップ</a:t>
          </a:r>
        </a:p>
      </xdr:txBody>
    </xdr:sp>
    <xdr:clientData/>
  </xdr:oneCellAnchor>
  <xdr:twoCellAnchor>
    <xdr:from>
      <xdr:col>67</xdr:col>
      <xdr:colOff>33620</xdr:colOff>
      <xdr:row>415</xdr:row>
      <xdr:rowOff>85733</xdr:rowOff>
    </xdr:from>
    <xdr:to>
      <xdr:col>72</xdr:col>
      <xdr:colOff>44826</xdr:colOff>
      <xdr:row>419</xdr:row>
      <xdr:rowOff>567</xdr:rowOff>
    </xdr:to>
    <xdr:sp macro="" textlink="">
      <xdr:nvSpPr>
        <xdr:cNvPr id="322" name="メモ 321">
          <a:extLst>
            <a:ext uri="{FF2B5EF4-FFF2-40B4-BE49-F238E27FC236}">
              <a16:creationId xmlns:a16="http://schemas.microsoft.com/office/drawing/2014/main" id="{00000000-0008-0000-0300-000042010000}"/>
            </a:ext>
          </a:extLst>
        </xdr:cNvPr>
        <xdr:cNvSpPr/>
      </xdr:nvSpPr>
      <xdr:spPr>
        <a:xfrm>
          <a:off x="8329895" y="65322458"/>
          <a:ext cx="630331"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44825</xdr:colOff>
      <xdr:row>415</xdr:row>
      <xdr:rowOff>568</xdr:rowOff>
    </xdr:from>
    <xdr:to>
      <xdr:col>71</xdr:col>
      <xdr:colOff>56032</xdr:colOff>
      <xdr:row>418</xdr:row>
      <xdr:rowOff>67802</xdr:rowOff>
    </xdr:to>
    <xdr:sp macro="" textlink="">
      <xdr:nvSpPr>
        <xdr:cNvPr id="323" name="メモ 322">
          <a:extLst>
            <a:ext uri="{FF2B5EF4-FFF2-40B4-BE49-F238E27FC236}">
              <a16:creationId xmlns:a16="http://schemas.microsoft.com/office/drawing/2014/main" id="{00000000-0008-0000-0300-000043010000}"/>
            </a:ext>
          </a:extLst>
        </xdr:cNvPr>
        <xdr:cNvSpPr/>
      </xdr:nvSpPr>
      <xdr:spPr>
        <a:xfrm>
          <a:off x="8217275" y="65237293"/>
          <a:ext cx="630332"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112059</xdr:colOff>
      <xdr:row>414</xdr:row>
      <xdr:rowOff>94135</xdr:rowOff>
    </xdr:from>
    <xdr:ext cx="1324388" cy="639290"/>
    <xdr:sp macro="" textlink="">
      <xdr:nvSpPr>
        <xdr:cNvPr id="325" name="テキスト ボックス 324">
          <a:extLst>
            <a:ext uri="{FF2B5EF4-FFF2-40B4-BE49-F238E27FC236}">
              <a16:creationId xmlns:a16="http://schemas.microsoft.com/office/drawing/2014/main" id="{00000000-0008-0000-0300-000045010000}"/>
            </a:ext>
          </a:extLst>
        </xdr:cNvPr>
        <xdr:cNvSpPr txBox="1"/>
      </xdr:nvSpPr>
      <xdr:spPr>
        <a:xfrm>
          <a:off x="8160684" y="65178460"/>
          <a:ext cx="1324388" cy="6392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solidFill>
                <a:sysClr val="windowText" lastClr="000000"/>
              </a:solidFill>
            </a:rPr>
            <a:t>キャンペーン</a:t>
          </a:r>
          <a:endParaRPr kumimoji="1" lang="en-US" altLang="ja-JP" sz="1100">
            <a:solidFill>
              <a:sysClr val="windowText" lastClr="000000"/>
            </a:solidFill>
          </a:endParaRPr>
        </a:p>
        <a:p>
          <a:r>
            <a:rPr kumimoji="1" lang="ja-JP" altLang="en-US" sz="1100">
              <a:solidFill>
                <a:sysClr val="windowText" lastClr="000000"/>
              </a:solidFill>
            </a:rPr>
            <a:t>受付履歴</a:t>
          </a:r>
          <a:endParaRPr kumimoji="1" lang="en-US" altLang="ja-JP" sz="1100">
            <a:solidFill>
              <a:sysClr val="windowText" lastClr="000000"/>
            </a:solidFill>
          </a:endParaRPr>
        </a:p>
        <a:p>
          <a:r>
            <a:rPr kumimoji="1" lang="en-US" altLang="ja-JP" sz="1100">
              <a:solidFill>
                <a:sysClr val="windowText" lastClr="000000"/>
              </a:solidFill>
            </a:rPr>
            <a:t>yyyymmd</a:t>
          </a:r>
          <a:endParaRPr kumimoji="1" lang="ja-JP" altLang="en-US" sz="1100">
            <a:solidFill>
              <a:sysClr val="windowText" lastClr="000000"/>
            </a:solidFill>
          </a:endParaRPr>
        </a:p>
      </xdr:txBody>
    </xdr:sp>
    <xdr:clientData/>
  </xdr:oneCellAnchor>
  <xdr:twoCellAnchor>
    <xdr:from>
      <xdr:col>36</xdr:col>
      <xdr:colOff>33618</xdr:colOff>
      <xdr:row>364</xdr:row>
      <xdr:rowOff>123263</xdr:rowOff>
    </xdr:from>
    <xdr:to>
      <xdr:col>43</xdr:col>
      <xdr:colOff>53966</xdr:colOff>
      <xdr:row>367</xdr:row>
      <xdr:rowOff>88524</xdr:rowOff>
    </xdr:to>
    <xdr:sp macro="" textlink="">
      <xdr:nvSpPr>
        <xdr:cNvPr id="326" name="角丸四角形 325">
          <a:extLst>
            <a:ext uri="{FF2B5EF4-FFF2-40B4-BE49-F238E27FC236}">
              <a16:creationId xmlns:a16="http://schemas.microsoft.com/office/drawing/2014/main" id="{00000000-0008-0000-0300-000046010000}"/>
            </a:ext>
          </a:extLst>
        </xdr:cNvPr>
        <xdr:cNvSpPr/>
      </xdr:nvSpPr>
      <xdr:spPr>
        <a:xfrm>
          <a:off x="4491318" y="57549488"/>
          <a:ext cx="887123" cy="422461"/>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ysClr val="windowText" lastClr="000000"/>
              </a:solidFill>
              <a:latin typeface="+mn-ea"/>
            </a:rPr>
            <a:t>Oracle Client</a:t>
          </a:r>
          <a:endParaRPr lang="ja-JP" altLang="en-US" sz="1200">
            <a:solidFill>
              <a:sysClr val="windowText" lastClr="000000"/>
            </a:solidFill>
            <a:latin typeface="+mn-ea"/>
          </a:endParaRPr>
        </a:p>
      </xdr:txBody>
    </xdr:sp>
    <xdr:clientData/>
  </xdr:twoCellAnchor>
  <xdr:twoCellAnchor>
    <xdr:from>
      <xdr:col>23</xdr:col>
      <xdr:colOff>104775</xdr:colOff>
      <xdr:row>376</xdr:row>
      <xdr:rowOff>19050</xdr:rowOff>
    </xdr:from>
    <xdr:to>
      <xdr:col>45</xdr:col>
      <xdr:colOff>9525</xdr:colOff>
      <xdr:row>377</xdr:row>
      <xdr:rowOff>134476</xdr:rowOff>
    </xdr:to>
    <xdr:sp macro="" textlink="">
      <xdr:nvSpPr>
        <xdr:cNvPr id="328" name="角丸四角形 327">
          <a:extLst>
            <a:ext uri="{FF2B5EF4-FFF2-40B4-BE49-F238E27FC236}">
              <a16:creationId xmlns:a16="http://schemas.microsoft.com/office/drawing/2014/main" id="{00000000-0008-0000-0300-000048010000}"/>
            </a:ext>
          </a:extLst>
        </xdr:cNvPr>
        <xdr:cNvSpPr/>
      </xdr:nvSpPr>
      <xdr:spPr>
        <a:xfrm>
          <a:off x="2952750" y="59274075"/>
          <a:ext cx="2628900" cy="26782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ysClr val="windowText" lastClr="000000"/>
              </a:solidFill>
              <a:latin typeface="+mn-ea"/>
            </a:rPr>
            <a:t>JP1/AJS3</a:t>
          </a:r>
          <a:endParaRPr lang="ja-JP" altLang="en-US" sz="1200">
            <a:solidFill>
              <a:sysClr val="windowText" lastClr="000000"/>
            </a:solidFill>
            <a:latin typeface="+mn-ea"/>
          </a:endParaRPr>
        </a:p>
      </xdr:txBody>
    </xdr:sp>
    <xdr:clientData/>
  </xdr:twoCellAnchor>
  <xdr:twoCellAnchor>
    <xdr:from>
      <xdr:col>24</xdr:col>
      <xdr:colOff>9525</xdr:colOff>
      <xdr:row>380</xdr:row>
      <xdr:rowOff>133350</xdr:rowOff>
    </xdr:from>
    <xdr:to>
      <xdr:col>45</xdr:col>
      <xdr:colOff>38100</xdr:colOff>
      <xdr:row>382</xdr:row>
      <xdr:rowOff>96376</xdr:rowOff>
    </xdr:to>
    <xdr:sp macro="" textlink="">
      <xdr:nvSpPr>
        <xdr:cNvPr id="329" name="角丸四角形 328">
          <a:extLst>
            <a:ext uri="{FF2B5EF4-FFF2-40B4-BE49-F238E27FC236}">
              <a16:creationId xmlns:a16="http://schemas.microsoft.com/office/drawing/2014/main" id="{00000000-0008-0000-0300-000049010000}"/>
            </a:ext>
          </a:extLst>
        </xdr:cNvPr>
        <xdr:cNvSpPr/>
      </xdr:nvSpPr>
      <xdr:spPr>
        <a:xfrm>
          <a:off x="2981325" y="59997975"/>
          <a:ext cx="2628900" cy="267826"/>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ysClr val="windowText" lastClr="000000"/>
              </a:solidFill>
              <a:latin typeface="+mn-ea"/>
            </a:rPr>
            <a:t>JP1/AJS3</a:t>
          </a:r>
          <a:endParaRPr lang="ja-JP" altLang="en-US" sz="1200">
            <a:solidFill>
              <a:sysClr val="windowText" lastClr="000000"/>
            </a:solidFill>
            <a:latin typeface="+mn-ea"/>
          </a:endParaRPr>
        </a:p>
      </xdr:txBody>
    </xdr:sp>
    <xdr:clientData/>
  </xdr:twoCellAnchor>
  <xdr:twoCellAnchor>
    <xdr:from>
      <xdr:col>24</xdr:col>
      <xdr:colOff>115400</xdr:colOff>
      <xdr:row>420</xdr:row>
      <xdr:rowOff>61629</xdr:rowOff>
    </xdr:from>
    <xdr:to>
      <xdr:col>34</xdr:col>
      <xdr:colOff>81781</xdr:colOff>
      <xdr:row>422</xdr:row>
      <xdr:rowOff>113180</xdr:rowOff>
    </xdr:to>
    <xdr:sp macro="" textlink="">
      <xdr:nvSpPr>
        <xdr:cNvPr id="331" name="角丸四角形 330">
          <a:extLst>
            <a:ext uri="{FF2B5EF4-FFF2-40B4-BE49-F238E27FC236}">
              <a16:creationId xmlns:a16="http://schemas.microsoft.com/office/drawing/2014/main" id="{00000000-0008-0000-0300-00004B010000}"/>
            </a:ext>
          </a:extLst>
        </xdr:cNvPr>
        <xdr:cNvSpPr/>
      </xdr:nvSpPr>
      <xdr:spPr>
        <a:xfrm>
          <a:off x="3087200" y="66060354"/>
          <a:ext cx="1204631" cy="356351"/>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37</xdr:col>
      <xdr:colOff>0</xdr:colOff>
      <xdr:row>420</xdr:row>
      <xdr:rowOff>3362</xdr:rowOff>
    </xdr:from>
    <xdr:to>
      <xdr:col>44</xdr:col>
      <xdr:colOff>20347</xdr:colOff>
      <xdr:row>422</xdr:row>
      <xdr:rowOff>125505</xdr:rowOff>
    </xdr:to>
    <xdr:sp macro="" textlink="">
      <xdr:nvSpPr>
        <xdr:cNvPr id="332" name="角丸四角形 331">
          <a:extLst>
            <a:ext uri="{FF2B5EF4-FFF2-40B4-BE49-F238E27FC236}">
              <a16:creationId xmlns:a16="http://schemas.microsoft.com/office/drawing/2014/main" id="{00000000-0008-0000-0300-00004C010000}"/>
            </a:ext>
          </a:extLst>
        </xdr:cNvPr>
        <xdr:cNvSpPr/>
      </xdr:nvSpPr>
      <xdr:spPr>
        <a:xfrm>
          <a:off x="4581525" y="66002087"/>
          <a:ext cx="887122" cy="426943"/>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ysClr val="windowText" lastClr="000000"/>
              </a:solidFill>
              <a:latin typeface="+mn-ea"/>
            </a:rPr>
            <a:t>Oracle Client</a:t>
          </a:r>
          <a:endParaRPr lang="ja-JP" altLang="en-US" sz="1200">
            <a:solidFill>
              <a:sysClr val="windowText" lastClr="000000"/>
            </a:solidFill>
            <a:latin typeface="+mn-ea"/>
          </a:endParaRPr>
        </a:p>
      </xdr:txBody>
    </xdr:sp>
    <xdr:clientData/>
  </xdr:twoCellAnchor>
  <xdr:twoCellAnchor>
    <xdr:from>
      <xdr:col>27</xdr:col>
      <xdr:colOff>33618</xdr:colOff>
      <xdr:row>409</xdr:row>
      <xdr:rowOff>50427</xdr:rowOff>
    </xdr:from>
    <xdr:to>
      <xdr:col>32</xdr:col>
      <xdr:colOff>44824</xdr:colOff>
      <xdr:row>412</xdr:row>
      <xdr:rowOff>113179</xdr:rowOff>
    </xdr:to>
    <xdr:sp macro="" textlink="">
      <xdr:nvSpPr>
        <xdr:cNvPr id="333" name="メモ 332">
          <a:extLst>
            <a:ext uri="{FF2B5EF4-FFF2-40B4-BE49-F238E27FC236}">
              <a16:creationId xmlns:a16="http://schemas.microsoft.com/office/drawing/2014/main" id="{00000000-0008-0000-0300-00004D010000}"/>
            </a:ext>
          </a:extLst>
        </xdr:cNvPr>
        <xdr:cNvSpPr/>
      </xdr:nvSpPr>
      <xdr:spPr>
        <a:xfrm>
          <a:off x="3376893" y="64372752"/>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35859</xdr:colOff>
      <xdr:row>410</xdr:row>
      <xdr:rowOff>49865</xdr:rowOff>
    </xdr:from>
    <xdr:ext cx="1228285" cy="275717"/>
    <xdr:sp macro="" textlink="">
      <xdr:nvSpPr>
        <xdr:cNvPr id="334" name="テキスト ボックス 333">
          <a:extLst>
            <a:ext uri="{FF2B5EF4-FFF2-40B4-BE49-F238E27FC236}">
              <a16:creationId xmlns:a16="http://schemas.microsoft.com/office/drawing/2014/main" id="{00000000-0008-0000-0300-00004E010000}"/>
            </a:ext>
          </a:extLst>
        </xdr:cNvPr>
        <xdr:cNvSpPr txBox="1"/>
      </xdr:nvSpPr>
      <xdr:spPr>
        <a:xfrm>
          <a:off x="3131484" y="63943565"/>
          <a:ext cx="12282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キャンペーン受付</a:t>
          </a:r>
        </a:p>
      </xdr:txBody>
    </xdr:sp>
    <xdr:clientData/>
  </xdr:oneCellAnchor>
  <xdr:oneCellAnchor>
    <xdr:from>
      <xdr:col>33</xdr:col>
      <xdr:colOff>11766</xdr:colOff>
      <xdr:row>411</xdr:row>
      <xdr:rowOff>59389</xdr:rowOff>
    </xdr:from>
    <xdr:ext cx="1582549" cy="275717"/>
    <xdr:sp macro="" textlink="">
      <xdr:nvSpPr>
        <xdr:cNvPr id="335" name="テキスト ボックス 334">
          <a:extLst>
            <a:ext uri="{FF2B5EF4-FFF2-40B4-BE49-F238E27FC236}">
              <a16:creationId xmlns:a16="http://schemas.microsoft.com/office/drawing/2014/main" id="{00000000-0008-0000-0300-00004F010000}"/>
            </a:ext>
          </a:extLst>
        </xdr:cNvPr>
        <xdr:cNvSpPr txBox="1"/>
      </xdr:nvSpPr>
      <xdr:spPr>
        <a:xfrm>
          <a:off x="4097991" y="64105489"/>
          <a:ext cx="158254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solidFill>
                <a:sysClr val="windowText" lastClr="000000"/>
              </a:solidFill>
            </a:rPr>
            <a:t>④</a:t>
          </a:r>
          <a:r>
            <a:rPr kumimoji="1" lang="ja-JP" altLang="en-US" sz="1100">
              <a:solidFill>
                <a:sysClr val="windowText" lastClr="000000"/>
              </a:solidFill>
            </a:rPr>
            <a:t>手動でファイルコピー</a:t>
          </a:r>
        </a:p>
      </xdr:txBody>
    </xdr:sp>
    <xdr:clientData/>
  </xdr:oneCellAnchor>
  <xdr:oneCellAnchor>
    <xdr:from>
      <xdr:col>34</xdr:col>
      <xdr:colOff>47625</xdr:colOff>
      <xdr:row>407</xdr:row>
      <xdr:rowOff>66675</xdr:rowOff>
    </xdr:from>
    <xdr:ext cx="748923" cy="275717"/>
    <xdr:sp macro="" textlink="">
      <xdr:nvSpPr>
        <xdr:cNvPr id="336" name="テキスト ボックス 335">
          <a:extLst>
            <a:ext uri="{FF2B5EF4-FFF2-40B4-BE49-F238E27FC236}">
              <a16:creationId xmlns:a16="http://schemas.microsoft.com/office/drawing/2014/main" id="{00000000-0008-0000-0300-000050010000}"/>
            </a:ext>
          </a:extLst>
        </xdr:cNvPr>
        <xdr:cNvSpPr txBox="1"/>
      </xdr:nvSpPr>
      <xdr:spPr>
        <a:xfrm>
          <a:off x="4257675" y="63503175"/>
          <a:ext cx="74892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latin typeface="+mn-lt"/>
              <a:ea typeface="+mn-ea"/>
              <a:cs typeface="+mn-cs"/>
            </a:rPr>
            <a:t>※</a:t>
          </a:r>
          <a:r>
            <a:rPr lang="ja-JP" altLang="ja-JP" sz="1100">
              <a:solidFill>
                <a:sysClr val="windowText" lastClr="000000"/>
              </a:solidFill>
              <a:latin typeface="+mn-lt"/>
              <a:ea typeface="+mn-ea"/>
              <a:cs typeface="+mn-cs"/>
            </a:rPr>
            <a:t>手起動</a:t>
          </a:r>
          <a:endParaRPr lang="ja-JP" altLang="ja-JP">
            <a:solidFill>
              <a:sysClr val="windowText" lastClr="000000"/>
            </a:solidFill>
          </a:endParaRPr>
        </a:p>
      </xdr:txBody>
    </xdr:sp>
    <xdr:clientData/>
  </xdr:oneCellAnchor>
  <xdr:twoCellAnchor>
    <xdr:from>
      <xdr:col>25</xdr:col>
      <xdr:colOff>3340</xdr:colOff>
      <xdr:row>407</xdr:row>
      <xdr:rowOff>52107</xdr:rowOff>
    </xdr:from>
    <xdr:to>
      <xdr:col>34</xdr:col>
      <xdr:colOff>92985</xdr:colOff>
      <xdr:row>409</xdr:row>
      <xdr:rowOff>7283</xdr:rowOff>
    </xdr:to>
    <xdr:sp macro="" textlink="">
      <xdr:nvSpPr>
        <xdr:cNvPr id="337" name="角丸四角形 336">
          <a:extLst>
            <a:ext uri="{FF2B5EF4-FFF2-40B4-BE49-F238E27FC236}">
              <a16:creationId xmlns:a16="http://schemas.microsoft.com/office/drawing/2014/main" id="{00000000-0008-0000-0300-000051010000}"/>
            </a:ext>
          </a:extLst>
        </xdr:cNvPr>
        <xdr:cNvSpPr/>
      </xdr:nvSpPr>
      <xdr:spPr>
        <a:xfrm>
          <a:off x="3098965" y="64069632"/>
          <a:ext cx="1204070" cy="259976"/>
        </a:xfrm>
        <a:prstGeom prst="roundRect">
          <a:avLst/>
        </a:prstGeom>
        <a:gradFill flip="none" rotWithShape="1">
          <a:gsLst>
            <a:gs pos="0">
              <a:srgbClr val="00B0F0"/>
            </a:gs>
            <a:gs pos="50000">
              <a:schemeClr val="bg1"/>
            </a:gs>
            <a:gs pos="100000">
              <a:srgbClr val="00B0F0"/>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24</xdr:col>
      <xdr:colOff>76202</xdr:colOff>
      <xdr:row>61</xdr:row>
      <xdr:rowOff>89645</xdr:rowOff>
    </xdr:from>
    <xdr:to>
      <xdr:col>31</xdr:col>
      <xdr:colOff>107665</xdr:colOff>
      <xdr:row>64</xdr:row>
      <xdr:rowOff>161191</xdr:rowOff>
    </xdr:to>
    <xdr:cxnSp macro="">
      <xdr:nvCxnSpPr>
        <xdr:cNvPr id="30" name="カギ線コネクタ 29">
          <a:extLst>
            <a:ext uri="{FF2B5EF4-FFF2-40B4-BE49-F238E27FC236}">
              <a16:creationId xmlns:a16="http://schemas.microsoft.com/office/drawing/2014/main" id="{00000000-0008-0000-0300-00001E000000}"/>
            </a:ext>
          </a:extLst>
        </xdr:cNvPr>
        <xdr:cNvCxnSpPr>
          <a:stCxn id="207" idx="2"/>
        </xdr:cNvCxnSpPr>
      </xdr:nvCxnSpPr>
      <xdr:spPr>
        <a:xfrm rot="5400000">
          <a:off x="3239708" y="9528447"/>
          <a:ext cx="555123" cy="903366"/>
        </a:xfrm>
        <a:prstGeom prst="bentConnector2">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76584</xdr:colOff>
      <xdr:row>64</xdr:row>
      <xdr:rowOff>39414</xdr:rowOff>
    </xdr:from>
    <xdr:to>
      <xdr:col>23</xdr:col>
      <xdr:colOff>0</xdr:colOff>
      <xdr:row>70</xdr:row>
      <xdr:rowOff>159797</xdr:rowOff>
    </xdr:to>
    <xdr:cxnSp macro="">
      <xdr:nvCxnSpPr>
        <xdr:cNvPr id="55" name="カギ線コネクタ 54">
          <a:extLst>
            <a:ext uri="{FF2B5EF4-FFF2-40B4-BE49-F238E27FC236}">
              <a16:creationId xmlns:a16="http://schemas.microsoft.com/office/drawing/2014/main" id="{00000000-0008-0000-0300-000037000000}"/>
            </a:ext>
          </a:extLst>
        </xdr:cNvPr>
        <xdr:cNvCxnSpPr>
          <a:stCxn id="202" idx="3"/>
        </xdr:cNvCxnSpPr>
      </xdr:nvCxnSpPr>
      <xdr:spPr>
        <a:xfrm flipV="1">
          <a:off x="2572791" y="10260724"/>
          <a:ext cx="297847" cy="1105728"/>
        </a:xfrm>
        <a:prstGeom prst="bentConnector2">
          <a:avLst/>
        </a:prstGeom>
        <a:ln w="19050">
          <a:solidFill>
            <a:schemeClr val="tx1"/>
          </a:solidFill>
          <a:headEnd type="arrow" w="lg" len="lg"/>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61</xdr:row>
      <xdr:rowOff>95247</xdr:rowOff>
    </xdr:from>
    <xdr:to>
      <xdr:col>30</xdr:col>
      <xdr:colOff>80598</xdr:colOff>
      <xdr:row>64</xdr:row>
      <xdr:rowOff>59120</xdr:rowOff>
    </xdr:to>
    <xdr:cxnSp macro="">
      <xdr:nvCxnSpPr>
        <xdr:cNvPr id="338" name="カギ線コネクタ 337">
          <a:extLst>
            <a:ext uri="{FF2B5EF4-FFF2-40B4-BE49-F238E27FC236}">
              <a16:creationId xmlns:a16="http://schemas.microsoft.com/office/drawing/2014/main" id="{00000000-0008-0000-0300-000052010000}"/>
            </a:ext>
          </a:extLst>
        </xdr:cNvPr>
        <xdr:cNvCxnSpPr/>
      </xdr:nvCxnSpPr>
      <xdr:spPr>
        <a:xfrm rot="10800000" flipV="1">
          <a:off x="2870638" y="9823885"/>
          <a:ext cx="954270" cy="456545"/>
        </a:xfrm>
        <a:prstGeom prst="bentConnector3">
          <a:avLst>
            <a:gd name="adj1" fmla="val -252"/>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38100</xdr:colOff>
      <xdr:row>183</xdr:row>
      <xdr:rowOff>19050</xdr:rowOff>
    </xdr:from>
    <xdr:to>
      <xdr:col>21</xdr:col>
      <xdr:colOff>95250</xdr:colOff>
      <xdr:row>197</xdr:row>
      <xdr:rowOff>104775</xdr:rowOff>
    </xdr:to>
    <xdr:cxnSp macro="">
      <xdr:nvCxnSpPr>
        <xdr:cNvPr id="113737" name="カギ線コネクタ 56">
          <a:extLst>
            <a:ext uri="{FF2B5EF4-FFF2-40B4-BE49-F238E27FC236}">
              <a16:creationId xmlns:a16="http://schemas.microsoft.com/office/drawing/2014/main" id="{00000000-0008-0000-0300-000049BC0100}"/>
            </a:ext>
          </a:extLst>
        </xdr:cNvPr>
        <xdr:cNvCxnSpPr>
          <a:cxnSpLocks noChangeShapeType="1"/>
          <a:endCxn id="301" idx="3"/>
        </xdr:cNvCxnSpPr>
      </xdr:nvCxnSpPr>
      <xdr:spPr bwMode="auto">
        <a:xfrm rot="5400000">
          <a:off x="1304925" y="29775150"/>
          <a:ext cx="2352675" cy="428625"/>
        </a:xfrm>
        <a:prstGeom prst="bentConnector2">
          <a:avLst/>
        </a:prstGeom>
        <a:noFill/>
        <a:ln w="19050" algn="ctr">
          <a:solidFill>
            <a:srgbClr val="000000"/>
          </a:solidFill>
          <a:prstDash val="dash"/>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18</xdr:col>
      <xdr:colOff>38100</xdr:colOff>
      <xdr:row>182</xdr:row>
      <xdr:rowOff>47625</xdr:rowOff>
    </xdr:from>
    <xdr:to>
      <xdr:col>20</xdr:col>
      <xdr:colOff>95250</xdr:colOff>
      <xdr:row>189</xdr:row>
      <xdr:rowOff>57150</xdr:rowOff>
    </xdr:to>
    <xdr:cxnSp macro="">
      <xdr:nvCxnSpPr>
        <xdr:cNvPr id="113738" name="カギ線コネクタ 56">
          <a:extLst>
            <a:ext uri="{FF2B5EF4-FFF2-40B4-BE49-F238E27FC236}">
              <a16:creationId xmlns:a16="http://schemas.microsoft.com/office/drawing/2014/main" id="{00000000-0008-0000-0300-00004ABC0100}"/>
            </a:ext>
          </a:extLst>
        </xdr:cNvPr>
        <xdr:cNvCxnSpPr>
          <a:cxnSpLocks noChangeShapeType="1"/>
          <a:endCxn id="213" idx="3"/>
        </xdr:cNvCxnSpPr>
      </xdr:nvCxnSpPr>
      <xdr:spPr bwMode="auto">
        <a:xfrm rot="5400000">
          <a:off x="1847850" y="29098875"/>
          <a:ext cx="1143000" cy="304800"/>
        </a:xfrm>
        <a:prstGeom prst="bentConnector2">
          <a:avLst/>
        </a:prstGeom>
        <a:noFill/>
        <a:ln w="19050" algn="ctr">
          <a:solidFill>
            <a:srgbClr val="000000"/>
          </a:solidFill>
          <a:prstDash val="dash"/>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21</xdr:col>
      <xdr:colOff>95250</xdr:colOff>
      <xdr:row>181</xdr:row>
      <xdr:rowOff>47625</xdr:rowOff>
    </xdr:from>
    <xdr:to>
      <xdr:col>31</xdr:col>
      <xdr:colOff>66675</xdr:colOff>
      <xdr:row>183</xdr:row>
      <xdr:rowOff>19050</xdr:rowOff>
    </xdr:to>
    <xdr:cxnSp macro="">
      <xdr:nvCxnSpPr>
        <xdr:cNvPr id="113739" name="カギ線コネクタ 56">
          <a:extLst>
            <a:ext uri="{FF2B5EF4-FFF2-40B4-BE49-F238E27FC236}">
              <a16:creationId xmlns:a16="http://schemas.microsoft.com/office/drawing/2014/main" id="{00000000-0008-0000-0300-00004BBC0100}"/>
            </a:ext>
          </a:extLst>
        </xdr:cNvPr>
        <xdr:cNvCxnSpPr>
          <a:cxnSpLocks noChangeShapeType="1"/>
          <a:stCxn id="306" idx="2"/>
        </xdr:cNvCxnSpPr>
      </xdr:nvCxnSpPr>
      <xdr:spPr bwMode="auto">
        <a:xfrm rot="5400000">
          <a:off x="3152775" y="28060650"/>
          <a:ext cx="295275" cy="1209675"/>
        </a:xfrm>
        <a:prstGeom prst="bentConnector2">
          <a:avLst/>
        </a:prstGeom>
        <a:noFill/>
        <a:ln w="19050" algn="ctr">
          <a:solidFill>
            <a:srgbClr val="000000"/>
          </a:solidFill>
          <a:prstDash val="dash"/>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20</xdr:col>
      <xdr:colOff>76200</xdr:colOff>
      <xdr:row>181</xdr:row>
      <xdr:rowOff>38100</xdr:rowOff>
    </xdr:from>
    <xdr:to>
      <xdr:col>30</xdr:col>
      <xdr:colOff>19050</xdr:colOff>
      <xdr:row>182</xdr:row>
      <xdr:rowOff>57150</xdr:rowOff>
    </xdr:to>
    <xdr:cxnSp macro="">
      <xdr:nvCxnSpPr>
        <xdr:cNvPr id="113740" name="カギ線コネクタ 56">
          <a:extLst>
            <a:ext uri="{FF2B5EF4-FFF2-40B4-BE49-F238E27FC236}">
              <a16:creationId xmlns:a16="http://schemas.microsoft.com/office/drawing/2014/main" id="{00000000-0008-0000-0300-00004CBC0100}"/>
            </a:ext>
          </a:extLst>
        </xdr:cNvPr>
        <xdr:cNvCxnSpPr>
          <a:cxnSpLocks noChangeShapeType="1"/>
        </xdr:cNvCxnSpPr>
      </xdr:nvCxnSpPr>
      <xdr:spPr bwMode="auto">
        <a:xfrm rot="10800000" flipV="1">
          <a:off x="2552700" y="28508325"/>
          <a:ext cx="1181100" cy="180975"/>
        </a:xfrm>
        <a:prstGeom prst="bentConnector3">
          <a:avLst>
            <a:gd name="adj1" fmla="val -931"/>
          </a:avLst>
        </a:prstGeom>
        <a:noFill/>
        <a:ln w="19050" algn="ctr">
          <a:solidFill>
            <a:srgbClr val="000000"/>
          </a:solidFill>
          <a:prstDash val="dash"/>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26</xdr:col>
      <xdr:colOff>109818</xdr:colOff>
      <xdr:row>74</xdr:row>
      <xdr:rowOff>122698</xdr:rowOff>
    </xdr:from>
    <xdr:to>
      <xdr:col>36</xdr:col>
      <xdr:colOff>74519</xdr:colOff>
      <xdr:row>76</xdr:row>
      <xdr:rowOff>71717</xdr:rowOff>
    </xdr:to>
    <xdr:sp macro="" textlink="">
      <xdr:nvSpPr>
        <xdr:cNvPr id="339" name="角丸四角形 206">
          <a:extLst>
            <a:ext uri="{FF2B5EF4-FFF2-40B4-BE49-F238E27FC236}">
              <a16:creationId xmlns:a16="http://schemas.microsoft.com/office/drawing/2014/main" id="{6312F420-CC60-4D34-B71C-DAA15438CFA7}"/>
            </a:ext>
          </a:extLst>
        </xdr:cNvPr>
        <xdr:cNvSpPr/>
      </xdr:nvSpPr>
      <xdr:spPr>
        <a:xfrm>
          <a:off x="3329268" y="11857498"/>
          <a:ext cx="1202951" cy="272869"/>
        </a:xfrm>
        <a:prstGeom prst="roundRect">
          <a:avLst/>
        </a:prstGeom>
        <a:gradFill>
          <a:gsLst>
            <a:gs pos="0">
              <a:srgbClr val="66FFCC"/>
            </a:gs>
            <a:gs pos="50000">
              <a:schemeClr val="bg1"/>
            </a:gs>
            <a:gs pos="100000">
              <a:srgbClr val="66FFCC"/>
            </a:gs>
          </a:gsLst>
          <a:lin ang="0" scaled="1"/>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27</xdr:col>
      <xdr:colOff>7843</xdr:colOff>
      <xdr:row>76</xdr:row>
      <xdr:rowOff>145676</xdr:rowOff>
    </xdr:from>
    <xdr:to>
      <xdr:col>36</xdr:col>
      <xdr:colOff>97489</xdr:colOff>
      <xdr:row>78</xdr:row>
      <xdr:rowOff>78440</xdr:rowOff>
    </xdr:to>
    <xdr:sp macro="" textlink="">
      <xdr:nvSpPr>
        <xdr:cNvPr id="340" name="角丸四角形 207">
          <a:extLst>
            <a:ext uri="{FF2B5EF4-FFF2-40B4-BE49-F238E27FC236}">
              <a16:creationId xmlns:a16="http://schemas.microsoft.com/office/drawing/2014/main" id="{CBCA5E66-E1FC-49FD-A75C-969940187C74}"/>
            </a:ext>
          </a:extLst>
        </xdr:cNvPr>
        <xdr:cNvSpPr/>
      </xdr:nvSpPr>
      <xdr:spPr>
        <a:xfrm>
          <a:off x="3351118" y="12204326"/>
          <a:ext cx="120407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27</xdr:col>
      <xdr:colOff>19048</xdr:colOff>
      <xdr:row>72</xdr:row>
      <xdr:rowOff>145677</xdr:rowOff>
    </xdr:from>
    <xdr:to>
      <xdr:col>36</xdr:col>
      <xdr:colOff>86283</xdr:colOff>
      <xdr:row>74</xdr:row>
      <xdr:rowOff>78441</xdr:rowOff>
    </xdr:to>
    <xdr:sp macro="" textlink="">
      <xdr:nvSpPr>
        <xdr:cNvPr id="341" name="角丸四角形 136">
          <a:extLst>
            <a:ext uri="{FF2B5EF4-FFF2-40B4-BE49-F238E27FC236}">
              <a16:creationId xmlns:a16="http://schemas.microsoft.com/office/drawing/2014/main" id="{1FBBFB89-B865-4AC9-9BCB-BDA21E56EDB8}"/>
            </a:ext>
          </a:extLst>
        </xdr:cNvPr>
        <xdr:cNvSpPr/>
      </xdr:nvSpPr>
      <xdr:spPr>
        <a:xfrm>
          <a:off x="3362323" y="11556627"/>
          <a:ext cx="1181660"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26</xdr:col>
      <xdr:colOff>9524</xdr:colOff>
      <xdr:row>78</xdr:row>
      <xdr:rowOff>104774</xdr:rowOff>
    </xdr:from>
    <xdr:to>
      <xdr:col>41</xdr:col>
      <xdr:colOff>66675</xdr:colOff>
      <xdr:row>80</xdr:row>
      <xdr:rowOff>123824</xdr:rowOff>
    </xdr:to>
    <xdr:sp macro="" textlink="">
      <xdr:nvSpPr>
        <xdr:cNvPr id="342" name="テキスト ボックス 99">
          <a:extLst>
            <a:ext uri="{FF2B5EF4-FFF2-40B4-BE49-F238E27FC236}">
              <a16:creationId xmlns:a16="http://schemas.microsoft.com/office/drawing/2014/main" id="{BFA64DC8-B0A4-49DC-A5E7-05744399C7BA}"/>
            </a:ext>
          </a:extLst>
        </xdr:cNvPr>
        <xdr:cNvSpPr txBox="1"/>
      </xdr:nvSpPr>
      <xdr:spPr>
        <a:xfrm>
          <a:off x="3228974" y="12487274"/>
          <a:ext cx="1914526" cy="333375"/>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800">
              <a:solidFill>
                <a:srgbClr val="FF0000"/>
              </a:solidFill>
              <a:latin typeface="+mn-ea"/>
              <a:ea typeface="+mn-ea"/>
            </a:rPr>
            <a:t>正常時、</a:t>
          </a:r>
          <a:r>
            <a:rPr lang="en-US" altLang="ja-JP" sz="800">
              <a:solidFill>
                <a:srgbClr val="FF0000"/>
              </a:solidFill>
              <a:latin typeface="+mn-ea"/>
              <a:ea typeface="+mn-ea"/>
            </a:rPr>
            <a:t>JP1/AJS3</a:t>
          </a:r>
          <a:r>
            <a:rPr lang="ja-JP" altLang="en-US" sz="800">
              <a:solidFill>
                <a:srgbClr val="FF0000"/>
              </a:solidFill>
              <a:latin typeface="+mn-ea"/>
              <a:ea typeface="+mn-ea"/>
            </a:rPr>
            <a:t>は非稼働。ＩＶＲ ＤＢ（</a:t>
          </a:r>
          <a:r>
            <a:rPr lang="en-US" altLang="ja-JP" sz="800">
              <a:solidFill>
                <a:srgbClr val="FF0000"/>
              </a:solidFill>
              <a:latin typeface="+mn-ea"/>
              <a:ea typeface="+mn-ea"/>
            </a:rPr>
            <a:t>Standby</a:t>
          </a:r>
          <a:r>
            <a:rPr lang="ja-JP" altLang="en-US" sz="800">
              <a:solidFill>
                <a:srgbClr val="FF0000"/>
              </a:solidFill>
              <a:latin typeface="+mn-ea"/>
              <a:ea typeface="+mn-ea"/>
            </a:rPr>
            <a:t>）へフェイルオーバした際に自動起動する。</a:t>
          </a:r>
          <a:endParaRPr lang="en-US" altLang="ja-JP" sz="800">
            <a:solidFill>
              <a:srgbClr val="FF0000"/>
            </a:solidFill>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112059</xdr:colOff>
      <xdr:row>562</xdr:row>
      <xdr:rowOff>141194</xdr:rowOff>
    </xdr:from>
    <xdr:to>
      <xdr:col>45</xdr:col>
      <xdr:colOff>1</xdr:colOff>
      <xdr:row>571</xdr:row>
      <xdr:rowOff>64994</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3331509" y="76445969"/>
          <a:ext cx="2240617" cy="1343025"/>
        </a:xfrm>
        <a:prstGeom prst="rect">
          <a:avLst/>
        </a:prstGeom>
        <a:solidFill>
          <a:schemeClr val="bg1">
            <a:lumMod val="75000"/>
          </a:schemeClr>
        </a:solidFill>
        <a:ln w="12700" cap="flat">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050">
              <a:solidFill>
                <a:sysClr val="windowText" lastClr="000000"/>
              </a:solidFill>
              <a:latin typeface="+mn-ea"/>
              <a:ea typeface="+mn-ea"/>
            </a:rPr>
            <a:t>IVR-</a:t>
          </a:r>
          <a:r>
            <a:rPr kumimoji="1" lang="ja-JP" altLang="en-US" sz="1050">
              <a:solidFill>
                <a:sysClr val="windowText" lastClr="000000"/>
              </a:solidFill>
              <a:latin typeface="+mn-ea"/>
              <a:ea typeface="+mn-ea"/>
            </a:rPr>
            <a:t>データベース（研修）</a:t>
          </a:r>
        </a:p>
      </xdr:txBody>
    </xdr:sp>
    <xdr:clientData/>
  </xdr:twoCellAnchor>
  <xdr:twoCellAnchor>
    <xdr:from>
      <xdr:col>25</xdr:col>
      <xdr:colOff>104911</xdr:colOff>
      <xdr:row>168</xdr:row>
      <xdr:rowOff>135393</xdr:rowOff>
    </xdr:from>
    <xdr:to>
      <xdr:col>64</xdr:col>
      <xdr:colOff>81605</xdr:colOff>
      <xdr:row>184</xdr:row>
      <xdr:rowOff>15134</xdr:rowOff>
    </xdr:to>
    <xdr:sp macro="" textlink="">
      <xdr:nvSpPr>
        <xdr:cNvPr id="3" name="正方形/長方形 2">
          <a:extLst>
            <a:ext uri="{FF2B5EF4-FFF2-40B4-BE49-F238E27FC236}">
              <a16:creationId xmlns:a16="http://schemas.microsoft.com/office/drawing/2014/main" id="{00000000-0008-0000-0400-000003000000}"/>
            </a:ext>
          </a:extLst>
        </xdr:cNvPr>
        <xdr:cNvSpPr/>
      </xdr:nvSpPr>
      <xdr:spPr>
        <a:xfrm>
          <a:off x="3200536" y="20633193"/>
          <a:ext cx="4805869" cy="2470541"/>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ＩＶＲ ＤＢ（主系）</a:t>
          </a:r>
        </a:p>
      </xdr:txBody>
    </xdr:sp>
    <xdr:clientData/>
  </xdr:twoCellAnchor>
  <xdr:twoCellAnchor>
    <xdr:from>
      <xdr:col>44</xdr:col>
      <xdr:colOff>22411</xdr:colOff>
      <xdr:row>173</xdr:row>
      <xdr:rowOff>123265</xdr:rowOff>
    </xdr:from>
    <xdr:to>
      <xdr:col>47</xdr:col>
      <xdr:colOff>31936</xdr:colOff>
      <xdr:row>181</xdr:row>
      <xdr:rowOff>104652</xdr:rowOff>
    </xdr:to>
    <xdr:sp macro="" textlink="">
      <xdr:nvSpPr>
        <xdr:cNvPr id="4" name="角丸四角形 3">
          <a:extLst>
            <a:ext uri="{FF2B5EF4-FFF2-40B4-BE49-F238E27FC236}">
              <a16:creationId xmlns:a16="http://schemas.microsoft.com/office/drawing/2014/main" id="{00000000-0008-0000-0400-000004000000}"/>
            </a:ext>
          </a:extLst>
        </xdr:cNvPr>
        <xdr:cNvSpPr/>
      </xdr:nvSpPr>
      <xdr:spPr>
        <a:xfrm>
          <a:off x="5470711" y="21430690"/>
          <a:ext cx="381000" cy="1276787"/>
        </a:xfrm>
        <a:prstGeom prst="roundRect">
          <a:avLst/>
        </a:prstGeom>
        <a:gradFill flip="none" rotWithShape="1">
          <a:gsLst>
            <a:gs pos="0">
              <a:srgbClr val="66FFCC"/>
            </a:gs>
            <a:gs pos="50000">
              <a:schemeClr val="bg1"/>
            </a:gs>
            <a:gs pos="100000">
              <a:srgbClr val="66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eaVert"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100">
              <a:solidFill>
                <a:schemeClr val="tx1"/>
              </a:solidFill>
              <a:latin typeface="+mn-ea"/>
            </a:rPr>
            <a:t>研修リスナー</a:t>
          </a:r>
        </a:p>
      </xdr:txBody>
    </xdr:sp>
    <xdr:clientData/>
  </xdr:twoCellAnchor>
  <xdr:twoCellAnchor>
    <xdr:from>
      <xdr:col>7</xdr:col>
      <xdr:colOff>95251</xdr:colOff>
      <xdr:row>562</xdr:row>
      <xdr:rowOff>141194</xdr:rowOff>
    </xdr:from>
    <xdr:to>
      <xdr:col>26</xdr:col>
      <xdr:colOff>33618</xdr:colOff>
      <xdr:row>571</xdr:row>
      <xdr:rowOff>64994</xdr:rowOff>
    </xdr:to>
    <xdr:sp macro="" textlink="">
      <xdr:nvSpPr>
        <xdr:cNvPr id="5" name="正方形/長方形 4">
          <a:extLst>
            <a:ext uri="{FF2B5EF4-FFF2-40B4-BE49-F238E27FC236}">
              <a16:creationId xmlns:a16="http://schemas.microsoft.com/office/drawing/2014/main" id="{00000000-0008-0000-0400-000005000000}"/>
            </a:ext>
          </a:extLst>
        </xdr:cNvPr>
        <xdr:cNvSpPr/>
      </xdr:nvSpPr>
      <xdr:spPr>
        <a:xfrm>
          <a:off x="962026" y="76445969"/>
          <a:ext cx="2291042" cy="1343025"/>
        </a:xfrm>
        <a:prstGeom prst="rect">
          <a:avLst/>
        </a:prstGeom>
        <a:solidFill>
          <a:srgbClr val="FFCCCC"/>
        </a:solidFill>
        <a:ln w="12700" cap="flat">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050">
              <a:solidFill>
                <a:sysClr val="windowText" lastClr="000000"/>
              </a:solidFill>
              <a:latin typeface="+mn-ea"/>
              <a:ea typeface="+mn-ea"/>
            </a:rPr>
            <a:t>IVR-</a:t>
          </a:r>
          <a:r>
            <a:rPr kumimoji="1" lang="ja-JP" altLang="en-US" sz="1050">
              <a:solidFill>
                <a:sysClr val="windowText" lastClr="000000"/>
              </a:solidFill>
              <a:latin typeface="+mn-ea"/>
              <a:ea typeface="+mn-ea"/>
            </a:rPr>
            <a:t>データベース（研修）</a:t>
          </a:r>
        </a:p>
      </xdr:txBody>
    </xdr:sp>
    <xdr:clientData/>
  </xdr:twoCellAnchor>
  <xdr:twoCellAnchor>
    <xdr:from>
      <xdr:col>7</xdr:col>
      <xdr:colOff>95250</xdr:colOff>
      <xdr:row>552</xdr:row>
      <xdr:rowOff>141196</xdr:rowOff>
    </xdr:from>
    <xdr:to>
      <xdr:col>45</xdr:col>
      <xdr:colOff>38100</xdr:colOff>
      <xdr:row>562</xdr:row>
      <xdr:rowOff>84045</xdr:rowOff>
    </xdr:to>
    <xdr:sp macro="" textlink="">
      <xdr:nvSpPr>
        <xdr:cNvPr id="6" name="正方形/長方形 5">
          <a:extLst>
            <a:ext uri="{FF2B5EF4-FFF2-40B4-BE49-F238E27FC236}">
              <a16:creationId xmlns:a16="http://schemas.microsoft.com/office/drawing/2014/main" id="{00000000-0008-0000-0400-000006000000}"/>
            </a:ext>
          </a:extLst>
        </xdr:cNvPr>
        <xdr:cNvSpPr/>
      </xdr:nvSpPr>
      <xdr:spPr>
        <a:xfrm>
          <a:off x="962025" y="74921971"/>
          <a:ext cx="4648200" cy="1466849"/>
        </a:xfrm>
        <a:prstGeom prst="rect">
          <a:avLst/>
        </a:prstGeom>
        <a:solidFill>
          <a:schemeClr val="bg1">
            <a:lumMod val="85000"/>
          </a:schemeClr>
        </a:solidFill>
        <a:ln w="12700" cap="flat">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en-US" altLang="ja-JP" sz="1100">
              <a:solidFill>
                <a:sysClr val="windowText" lastClr="000000"/>
              </a:solidFill>
              <a:latin typeface="+mn-ea"/>
              <a:ea typeface="+mn-ea"/>
            </a:rPr>
            <a:t>IVR-</a:t>
          </a:r>
          <a:r>
            <a:rPr kumimoji="1" lang="ja-JP" altLang="en-US" sz="1100">
              <a:solidFill>
                <a:sysClr val="windowText" lastClr="000000"/>
              </a:solidFill>
              <a:latin typeface="+mn-ea"/>
              <a:ea typeface="+mn-ea"/>
            </a:rPr>
            <a:t>データベース（本番）</a:t>
          </a:r>
        </a:p>
      </xdr:txBody>
    </xdr:sp>
    <xdr:clientData/>
  </xdr:twoCellAnchor>
  <xdr:twoCellAnchor>
    <xdr:from>
      <xdr:col>8</xdr:col>
      <xdr:colOff>76200</xdr:colOff>
      <xdr:row>554</xdr:row>
      <xdr:rowOff>84044</xdr:rowOff>
    </xdr:from>
    <xdr:to>
      <xdr:col>24</xdr:col>
      <xdr:colOff>47625</xdr:colOff>
      <xdr:row>569</xdr:row>
      <xdr:rowOff>150719</xdr:rowOff>
    </xdr:to>
    <xdr:sp macro="" textlink="">
      <xdr:nvSpPr>
        <xdr:cNvPr id="7" name="正方形/長方形 6">
          <a:extLst>
            <a:ext uri="{FF2B5EF4-FFF2-40B4-BE49-F238E27FC236}">
              <a16:creationId xmlns:a16="http://schemas.microsoft.com/office/drawing/2014/main" id="{00000000-0008-0000-0400-000007000000}"/>
            </a:ext>
          </a:extLst>
        </xdr:cNvPr>
        <xdr:cNvSpPr/>
      </xdr:nvSpPr>
      <xdr:spPr>
        <a:xfrm>
          <a:off x="1066800" y="75169619"/>
          <a:ext cx="1952625" cy="2381250"/>
        </a:xfrm>
        <a:prstGeom prst="rect">
          <a:avLst/>
        </a:prstGeom>
        <a:solidFill>
          <a:srgbClr val="FFFF99"/>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100" b="1">
              <a:solidFill>
                <a:sysClr val="windowText" lastClr="000000"/>
              </a:solidFill>
              <a:latin typeface="ＭＳ Ｐゴシック" pitchFamily="50" charset="-128"/>
              <a:ea typeface="ＭＳ Ｐゴシック" pitchFamily="50" charset="-128"/>
            </a:rPr>
            <a:t>IVR-DB#1</a:t>
          </a:r>
          <a:endParaRPr kumimoji="1" lang="ja-JP" altLang="en-US" sz="1100" b="1">
            <a:solidFill>
              <a:sysClr val="windowText" lastClr="000000"/>
            </a:solidFill>
            <a:latin typeface="ＭＳ Ｐゴシック" pitchFamily="50" charset="-128"/>
            <a:ea typeface="ＭＳ Ｐゴシック" pitchFamily="50" charset="-128"/>
          </a:endParaRPr>
        </a:p>
      </xdr:txBody>
    </xdr:sp>
    <xdr:clientData/>
  </xdr:twoCellAnchor>
  <xdr:twoCellAnchor>
    <xdr:from>
      <xdr:col>28</xdr:col>
      <xdr:colOff>9525</xdr:colOff>
      <xdr:row>554</xdr:row>
      <xdr:rowOff>84044</xdr:rowOff>
    </xdr:from>
    <xdr:to>
      <xdr:col>43</xdr:col>
      <xdr:colOff>104775</xdr:colOff>
      <xdr:row>569</xdr:row>
      <xdr:rowOff>150719</xdr:rowOff>
    </xdr:to>
    <xdr:sp macro="" textlink="">
      <xdr:nvSpPr>
        <xdr:cNvPr id="8" name="正方形/長方形 7">
          <a:extLst>
            <a:ext uri="{FF2B5EF4-FFF2-40B4-BE49-F238E27FC236}">
              <a16:creationId xmlns:a16="http://schemas.microsoft.com/office/drawing/2014/main" id="{00000000-0008-0000-0400-000008000000}"/>
            </a:ext>
          </a:extLst>
        </xdr:cNvPr>
        <xdr:cNvSpPr/>
      </xdr:nvSpPr>
      <xdr:spPr>
        <a:xfrm>
          <a:off x="3476625" y="75169619"/>
          <a:ext cx="1952625" cy="2381250"/>
        </a:xfrm>
        <a:prstGeom prst="rect">
          <a:avLst/>
        </a:prstGeom>
        <a:solidFill>
          <a:schemeClr val="accent3">
            <a:lumMod val="40000"/>
            <a:lumOff val="60000"/>
          </a:schemeClr>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100" b="1">
              <a:solidFill>
                <a:sysClr val="windowText" lastClr="000000"/>
              </a:solidFill>
              <a:latin typeface="ＭＳ Ｐゴシック" pitchFamily="50" charset="-128"/>
              <a:ea typeface="ＭＳ Ｐゴシック" pitchFamily="50" charset="-128"/>
            </a:rPr>
            <a:t>IVR-DB#2</a:t>
          </a:r>
          <a:endParaRPr kumimoji="1" lang="ja-JP" altLang="en-US" sz="1100" b="1">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114300</xdr:colOff>
      <xdr:row>557</xdr:row>
      <xdr:rowOff>103094</xdr:rowOff>
    </xdr:from>
    <xdr:to>
      <xdr:col>23</xdr:col>
      <xdr:colOff>38100</xdr:colOff>
      <xdr:row>562</xdr:row>
      <xdr:rowOff>26975</xdr:rowOff>
    </xdr:to>
    <xdr:sp macro="" textlink="">
      <xdr:nvSpPr>
        <xdr:cNvPr id="9" name="円柱 8">
          <a:extLst>
            <a:ext uri="{FF2B5EF4-FFF2-40B4-BE49-F238E27FC236}">
              <a16:creationId xmlns:a16="http://schemas.microsoft.com/office/drawing/2014/main" id="{00000000-0008-0000-0400-000009000000}"/>
            </a:ext>
          </a:extLst>
        </xdr:cNvPr>
        <xdr:cNvSpPr/>
      </xdr:nvSpPr>
      <xdr:spPr>
        <a:xfrm>
          <a:off x="1228725" y="75645869"/>
          <a:ext cx="1657350" cy="685881"/>
        </a:xfrm>
        <a:prstGeom prst="can">
          <a:avLst>
            <a:gd name="adj" fmla="val 19488"/>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本番インスタンス</a:t>
          </a:r>
          <a:r>
            <a:rPr kumimoji="1" lang="en-US" altLang="ja-JP" sz="1100">
              <a:solidFill>
                <a:sysClr val="windowText" lastClr="000000"/>
              </a:solidFill>
              <a:latin typeface="+mn-ea"/>
              <a:ea typeface="+mn-ea"/>
            </a:rPr>
            <a:t>#1</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29</xdr:col>
      <xdr:colOff>47625</xdr:colOff>
      <xdr:row>557</xdr:row>
      <xdr:rowOff>103094</xdr:rowOff>
    </xdr:from>
    <xdr:to>
      <xdr:col>42</xdr:col>
      <xdr:colOff>95250</xdr:colOff>
      <xdr:row>562</xdr:row>
      <xdr:rowOff>26975</xdr:rowOff>
    </xdr:to>
    <xdr:sp macro="" textlink="">
      <xdr:nvSpPr>
        <xdr:cNvPr id="10" name="円柱 9">
          <a:extLst>
            <a:ext uri="{FF2B5EF4-FFF2-40B4-BE49-F238E27FC236}">
              <a16:creationId xmlns:a16="http://schemas.microsoft.com/office/drawing/2014/main" id="{00000000-0008-0000-0400-00000A000000}"/>
            </a:ext>
          </a:extLst>
        </xdr:cNvPr>
        <xdr:cNvSpPr/>
      </xdr:nvSpPr>
      <xdr:spPr>
        <a:xfrm>
          <a:off x="3638550" y="75645869"/>
          <a:ext cx="1657350" cy="685881"/>
        </a:xfrm>
        <a:prstGeom prst="can">
          <a:avLst>
            <a:gd name="adj" fmla="val 17913"/>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本番インスタンス</a:t>
          </a:r>
          <a:r>
            <a:rPr kumimoji="1" lang="en-US" altLang="ja-JP" sz="1100">
              <a:solidFill>
                <a:sysClr val="windowText" lastClr="000000"/>
              </a:solidFill>
              <a:latin typeface="+mn-ea"/>
              <a:ea typeface="+mn-ea"/>
            </a:rPr>
            <a:t>#2</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8</xdr:col>
      <xdr:colOff>76201</xdr:colOff>
      <xdr:row>571</xdr:row>
      <xdr:rowOff>103094</xdr:rowOff>
    </xdr:from>
    <xdr:to>
      <xdr:col>44</xdr:col>
      <xdr:colOff>19051</xdr:colOff>
      <xdr:row>587</xdr:row>
      <xdr:rowOff>131668</xdr:rowOff>
    </xdr:to>
    <xdr:sp macro="" textlink="">
      <xdr:nvSpPr>
        <xdr:cNvPr id="11" name="円柱 10">
          <a:extLst>
            <a:ext uri="{FF2B5EF4-FFF2-40B4-BE49-F238E27FC236}">
              <a16:creationId xmlns:a16="http://schemas.microsoft.com/office/drawing/2014/main" id="{00000000-0008-0000-0400-00000B000000}"/>
            </a:ext>
          </a:extLst>
        </xdr:cNvPr>
        <xdr:cNvSpPr/>
      </xdr:nvSpPr>
      <xdr:spPr>
        <a:xfrm>
          <a:off x="1066801" y="77827094"/>
          <a:ext cx="4400550" cy="2619374"/>
        </a:xfrm>
        <a:prstGeom prst="can">
          <a:avLst>
            <a:gd name="adj" fmla="val 7481"/>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ja-JP" altLang="en-US" sz="1100">
              <a:latin typeface="HGP創英角ｺﾞｼｯｸUB" pitchFamily="50" charset="-128"/>
              <a:ea typeface="HGP創英角ｺﾞｼｯｸUB" pitchFamily="50" charset="-128"/>
            </a:rPr>
            <a:t>共有ディスク</a:t>
          </a:r>
        </a:p>
      </xdr:txBody>
    </xdr:sp>
    <xdr:clientData/>
  </xdr:twoCellAnchor>
  <xdr:twoCellAnchor>
    <xdr:from>
      <xdr:col>10</xdr:col>
      <xdr:colOff>66675</xdr:colOff>
      <xdr:row>560</xdr:row>
      <xdr:rowOff>26894</xdr:rowOff>
    </xdr:from>
    <xdr:to>
      <xdr:col>22</xdr:col>
      <xdr:colOff>85725</xdr:colOff>
      <xdr:row>561</xdr:row>
      <xdr:rowOff>122323</xdr:rowOff>
    </xdr:to>
    <xdr:sp macro="" textlink="">
      <xdr:nvSpPr>
        <xdr:cNvPr id="12" name="角丸四角形 11">
          <a:extLst>
            <a:ext uri="{FF2B5EF4-FFF2-40B4-BE49-F238E27FC236}">
              <a16:creationId xmlns:a16="http://schemas.microsoft.com/office/drawing/2014/main" id="{00000000-0008-0000-0400-00000C000000}"/>
            </a:ext>
          </a:extLst>
        </xdr:cNvPr>
        <xdr:cNvSpPr/>
      </xdr:nvSpPr>
      <xdr:spPr>
        <a:xfrm>
          <a:off x="1304925" y="76026869"/>
          <a:ext cx="1504950" cy="247829"/>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ea"/>
              <a:ea typeface="+mn-ea"/>
            </a:rPr>
            <a:t>メモリ（</a:t>
          </a:r>
          <a:r>
            <a:rPr kumimoji="1" lang="en-US" altLang="ja-JP" sz="1100">
              <a:solidFill>
                <a:sysClr val="windowText" lastClr="000000"/>
              </a:solidFill>
              <a:latin typeface="+mn-ea"/>
              <a:ea typeface="+mn-ea"/>
            </a:rPr>
            <a:t>SGA/PGA</a:t>
          </a:r>
          <a:r>
            <a:rPr kumimoji="1" lang="ja-JP" altLang="en-US" sz="1100">
              <a:solidFill>
                <a:sysClr val="windowText" lastClr="000000"/>
              </a:solidFill>
              <a:latin typeface="+mn-ea"/>
              <a:ea typeface="+mn-ea"/>
            </a:rPr>
            <a:t>）</a:t>
          </a:r>
        </a:p>
      </xdr:txBody>
    </xdr:sp>
    <xdr:clientData/>
  </xdr:twoCellAnchor>
  <xdr:twoCellAnchor>
    <xdr:from>
      <xdr:col>30</xdr:col>
      <xdr:colOff>0</xdr:colOff>
      <xdr:row>560</xdr:row>
      <xdr:rowOff>26894</xdr:rowOff>
    </xdr:from>
    <xdr:to>
      <xdr:col>42</xdr:col>
      <xdr:colOff>19050</xdr:colOff>
      <xdr:row>561</xdr:row>
      <xdr:rowOff>122323</xdr:rowOff>
    </xdr:to>
    <xdr:sp macro="" textlink="">
      <xdr:nvSpPr>
        <xdr:cNvPr id="13" name="角丸四角形 12">
          <a:extLst>
            <a:ext uri="{FF2B5EF4-FFF2-40B4-BE49-F238E27FC236}">
              <a16:creationId xmlns:a16="http://schemas.microsoft.com/office/drawing/2014/main" id="{00000000-0008-0000-0400-00000D000000}"/>
            </a:ext>
          </a:extLst>
        </xdr:cNvPr>
        <xdr:cNvSpPr/>
      </xdr:nvSpPr>
      <xdr:spPr>
        <a:xfrm>
          <a:off x="3714750" y="76026869"/>
          <a:ext cx="1504950" cy="247829"/>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ea"/>
              <a:ea typeface="+mn-ea"/>
            </a:rPr>
            <a:t>メモリ（</a:t>
          </a:r>
          <a:r>
            <a:rPr kumimoji="1" lang="en-US" altLang="ja-JP" sz="1100">
              <a:solidFill>
                <a:sysClr val="windowText" lastClr="000000"/>
              </a:solidFill>
              <a:latin typeface="+mn-ea"/>
              <a:ea typeface="+mn-ea"/>
            </a:rPr>
            <a:t>SGA/PGA</a:t>
          </a:r>
          <a:r>
            <a:rPr kumimoji="1" lang="ja-JP" altLang="en-US" sz="1100">
              <a:solidFill>
                <a:sysClr val="windowText" lastClr="000000"/>
              </a:solidFill>
              <a:latin typeface="+mn-ea"/>
              <a:ea typeface="+mn-ea"/>
            </a:rPr>
            <a:t>）</a:t>
          </a:r>
        </a:p>
      </xdr:txBody>
    </xdr:sp>
    <xdr:clientData/>
  </xdr:twoCellAnchor>
  <xdr:twoCellAnchor>
    <xdr:from>
      <xdr:col>14</xdr:col>
      <xdr:colOff>85725</xdr:colOff>
      <xdr:row>573</xdr:row>
      <xdr:rowOff>55469</xdr:rowOff>
    </xdr:from>
    <xdr:to>
      <xdr:col>26</xdr:col>
      <xdr:colOff>28575</xdr:colOff>
      <xdr:row>577</xdr:row>
      <xdr:rowOff>55469</xdr:rowOff>
    </xdr:to>
    <xdr:sp macro="" textlink="">
      <xdr:nvSpPr>
        <xdr:cNvPr id="14" name="正方形/長方形 13">
          <a:extLst>
            <a:ext uri="{FF2B5EF4-FFF2-40B4-BE49-F238E27FC236}">
              <a16:creationId xmlns:a16="http://schemas.microsoft.com/office/drawing/2014/main" id="{00000000-0008-0000-0400-00000E000000}"/>
            </a:ext>
          </a:extLst>
        </xdr:cNvPr>
        <xdr:cNvSpPr/>
      </xdr:nvSpPr>
      <xdr:spPr>
        <a:xfrm>
          <a:off x="1819275" y="78103319"/>
          <a:ext cx="1428750" cy="6477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lnSpc>
              <a:spcPts val="1100"/>
            </a:lnSpc>
          </a:pPr>
          <a:r>
            <a:rPr kumimoji="1" lang="ja-JP" altLang="en-US" sz="900">
              <a:solidFill>
                <a:sysClr val="windowText" lastClr="000000"/>
              </a:solidFill>
              <a:latin typeface="+mn-ea"/>
              <a:ea typeface="+mn-ea"/>
            </a:rPr>
            <a:t>表領域</a:t>
          </a:r>
          <a:endParaRPr kumimoji="1" lang="en-US" altLang="ja-JP" sz="900">
            <a:solidFill>
              <a:sysClr val="windowText" lastClr="000000"/>
            </a:solidFill>
            <a:latin typeface="+mn-ea"/>
            <a:ea typeface="+mn-ea"/>
          </a:endParaRPr>
        </a:p>
        <a:p>
          <a:pPr algn="ctr">
            <a:lnSpc>
              <a:spcPts val="1200"/>
            </a:lnSpc>
          </a:pP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IVR</a:t>
          </a:r>
          <a:r>
            <a:rPr kumimoji="1" lang="ja-JP" altLang="en-US" sz="900">
              <a:solidFill>
                <a:sysClr val="windowText" lastClr="000000"/>
              </a:solidFill>
              <a:latin typeface="+mn-ea"/>
              <a:ea typeface="+mn-ea"/>
            </a:rPr>
            <a:t>業務データ・内部データ格納用・研修）</a:t>
          </a:r>
        </a:p>
      </xdr:txBody>
    </xdr:sp>
    <xdr:clientData/>
  </xdr:twoCellAnchor>
  <xdr:twoCellAnchor>
    <xdr:from>
      <xdr:col>26</xdr:col>
      <xdr:colOff>85725</xdr:colOff>
      <xdr:row>573</xdr:row>
      <xdr:rowOff>55469</xdr:rowOff>
    </xdr:from>
    <xdr:to>
      <xdr:col>38</xdr:col>
      <xdr:colOff>28575</xdr:colOff>
      <xdr:row>577</xdr:row>
      <xdr:rowOff>55469</xdr:rowOff>
    </xdr:to>
    <xdr:sp macro="" textlink="">
      <xdr:nvSpPr>
        <xdr:cNvPr id="15" name="正方形/長方形 14">
          <a:extLst>
            <a:ext uri="{FF2B5EF4-FFF2-40B4-BE49-F238E27FC236}">
              <a16:creationId xmlns:a16="http://schemas.microsoft.com/office/drawing/2014/main" id="{00000000-0008-0000-0400-00000F000000}"/>
            </a:ext>
          </a:extLst>
        </xdr:cNvPr>
        <xdr:cNvSpPr/>
      </xdr:nvSpPr>
      <xdr:spPr>
        <a:xfrm>
          <a:off x="3305175" y="78103319"/>
          <a:ext cx="1428750" cy="6477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a:t>
          </a:r>
          <a:r>
            <a:rPr kumimoji="1" lang="en-US" altLang="ja-JP" sz="1000">
              <a:solidFill>
                <a:sysClr val="windowText" lastClr="000000"/>
              </a:solidFill>
              <a:latin typeface="+mn-ea"/>
              <a:ea typeface="+mn-ea"/>
            </a:rPr>
            <a:t>IVR</a:t>
          </a:r>
          <a:r>
            <a:rPr kumimoji="1" lang="ja-JP" altLang="en-US" sz="1000">
              <a:solidFill>
                <a:sysClr val="windowText" lastClr="000000"/>
              </a:solidFill>
              <a:latin typeface="+mn-ea"/>
              <a:ea typeface="+mn-ea"/>
            </a:rPr>
            <a:t>操作ログ格納用・研修）</a:t>
          </a:r>
        </a:p>
      </xdr:txBody>
    </xdr:sp>
    <xdr:clientData/>
  </xdr:twoCellAnchor>
  <xdr:twoCellAnchor>
    <xdr:from>
      <xdr:col>14</xdr:col>
      <xdr:colOff>85725</xdr:colOff>
      <xdr:row>577</xdr:row>
      <xdr:rowOff>103094</xdr:rowOff>
    </xdr:from>
    <xdr:to>
      <xdr:col>26</xdr:col>
      <xdr:colOff>28575</xdr:colOff>
      <xdr:row>581</xdr:row>
      <xdr:rowOff>103094</xdr:rowOff>
    </xdr:to>
    <xdr:sp macro="" textlink="">
      <xdr:nvSpPr>
        <xdr:cNvPr id="16" name="正方形/長方形 15">
          <a:extLst>
            <a:ext uri="{FF2B5EF4-FFF2-40B4-BE49-F238E27FC236}">
              <a16:creationId xmlns:a16="http://schemas.microsoft.com/office/drawing/2014/main" id="{00000000-0008-0000-0400-000010000000}"/>
            </a:ext>
          </a:extLst>
        </xdr:cNvPr>
        <xdr:cNvSpPr/>
      </xdr:nvSpPr>
      <xdr:spPr>
        <a:xfrm>
          <a:off x="1819275" y="78798644"/>
          <a:ext cx="1428750" cy="6477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（業務データインデックス格納用・研修）</a:t>
          </a:r>
        </a:p>
      </xdr:txBody>
    </xdr:sp>
    <xdr:clientData/>
  </xdr:twoCellAnchor>
  <xdr:twoCellAnchor>
    <xdr:from>
      <xdr:col>26</xdr:col>
      <xdr:colOff>85725</xdr:colOff>
      <xdr:row>577</xdr:row>
      <xdr:rowOff>103094</xdr:rowOff>
    </xdr:from>
    <xdr:to>
      <xdr:col>38</xdr:col>
      <xdr:colOff>28575</xdr:colOff>
      <xdr:row>581</xdr:row>
      <xdr:rowOff>103094</xdr:rowOff>
    </xdr:to>
    <xdr:sp macro="" textlink="">
      <xdr:nvSpPr>
        <xdr:cNvPr id="17" name="正方形/長方形 16">
          <a:extLst>
            <a:ext uri="{FF2B5EF4-FFF2-40B4-BE49-F238E27FC236}">
              <a16:creationId xmlns:a16="http://schemas.microsoft.com/office/drawing/2014/main" id="{00000000-0008-0000-0400-000011000000}"/>
            </a:ext>
          </a:extLst>
        </xdr:cNvPr>
        <xdr:cNvSpPr/>
      </xdr:nvSpPr>
      <xdr:spPr>
        <a:xfrm>
          <a:off x="3305175" y="78798644"/>
          <a:ext cx="1428750" cy="6477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（操作ログインデックス格納用・研修）</a:t>
          </a:r>
        </a:p>
      </xdr:txBody>
    </xdr:sp>
    <xdr:clientData/>
  </xdr:twoCellAnchor>
  <xdr:twoCellAnchor>
    <xdr:from>
      <xdr:col>9</xdr:col>
      <xdr:colOff>114300</xdr:colOff>
      <xdr:row>563</xdr:row>
      <xdr:rowOff>45945</xdr:rowOff>
    </xdr:from>
    <xdr:to>
      <xdr:col>23</xdr:col>
      <xdr:colOff>38100</xdr:colOff>
      <xdr:row>568</xdr:row>
      <xdr:rowOff>26895</xdr:rowOff>
    </xdr:to>
    <xdr:sp macro="" textlink="">
      <xdr:nvSpPr>
        <xdr:cNvPr id="18" name="円柱 17">
          <a:extLst>
            <a:ext uri="{FF2B5EF4-FFF2-40B4-BE49-F238E27FC236}">
              <a16:creationId xmlns:a16="http://schemas.microsoft.com/office/drawing/2014/main" id="{00000000-0008-0000-0400-000012000000}"/>
            </a:ext>
          </a:extLst>
        </xdr:cNvPr>
        <xdr:cNvSpPr/>
      </xdr:nvSpPr>
      <xdr:spPr>
        <a:xfrm>
          <a:off x="1228725" y="76503120"/>
          <a:ext cx="1657350" cy="762000"/>
        </a:xfrm>
        <a:prstGeom prst="can">
          <a:avLst>
            <a:gd name="adj" fmla="val 21491"/>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b="1">
              <a:solidFill>
                <a:schemeClr val="bg1"/>
              </a:solidFill>
              <a:latin typeface="ＭＳ Ｐゴシック" pitchFamily="50" charset="-128"/>
              <a:ea typeface="ＭＳ Ｐゴシック" pitchFamily="50" charset="-128"/>
            </a:rPr>
            <a:t>研修インスタンス</a:t>
          </a:r>
          <a:r>
            <a:rPr kumimoji="1" lang="en-US" altLang="ja-JP" sz="1000" b="1">
              <a:solidFill>
                <a:schemeClr val="bg1"/>
              </a:solidFill>
              <a:latin typeface="ＭＳ Ｐゴシック" pitchFamily="50" charset="-128"/>
              <a:ea typeface="ＭＳ Ｐゴシック" pitchFamily="50" charset="-128"/>
            </a:rPr>
            <a:t>#1</a:t>
          </a:r>
        </a:p>
        <a:p>
          <a:pPr algn="ctr">
            <a:lnSpc>
              <a:spcPts val="1100"/>
            </a:lnSpc>
          </a:pPr>
          <a:endParaRPr kumimoji="1" lang="ja-JP" altLang="en-US" sz="1000" b="1">
            <a:solidFill>
              <a:schemeClr val="bg1"/>
            </a:solidFill>
            <a:latin typeface="ＭＳ Ｐゴシック" pitchFamily="50" charset="-128"/>
            <a:ea typeface="ＭＳ Ｐゴシック" pitchFamily="50" charset="-128"/>
          </a:endParaRPr>
        </a:p>
      </xdr:txBody>
    </xdr:sp>
    <xdr:clientData/>
  </xdr:twoCellAnchor>
  <xdr:twoCellAnchor>
    <xdr:from>
      <xdr:col>29</xdr:col>
      <xdr:colOff>47625</xdr:colOff>
      <xdr:row>563</xdr:row>
      <xdr:rowOff>45945</xdr:rowOff>
    </xdr:from>
    <xdr:to>
      <xdr:col>42</xdr:col>
      <xdr:colOff>95250</xdr:colOff>
      <xdr:row>568</xdr:row>
      <xdr:rowOff>26895</xdr:rowOff>
    </xdr:to>
    <xdr:sp macro="" textlink="">
      <xdr:nvSpPr>
        <xdr:cNvPr id="19" name="円柱 18">
          <a:extLst>
            <a:ext uri="{FF2B5EF4-FFF2-40B4-BE49-F238E27FC236}">
              <a16:creationId xmlns:a16="http://schemas.microsoft.com/office/drawing/2014/main" id="{00000000-0008-0000-0400-000013000000}"/>
            </a:ext>
          </a:extLst>
        </xdr:cNvPr>
        <xdr:cNvSpPr/>
      </xdr:nvSpPr>
      <xdr:spPr>
        <a:xfrm>
          <a:off x="3638550" y="76503120"/>
          <a:ext cx="1657350" cy="762000"/>
        </a:xfrm>
        <a:prstGeom prst="can">
          <a:avLst>
            <a:gd name="adj" fmla="val 19737"/>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b="1">
              <a:solidFill>
                <a:schemeClr val="bg1"/>
              </a:solidFill>
              <a:latin typeface="ＭＳ Ｐゴシック" pitchFamily="50" charset="-128"/>
              <a:ea typeface="ＭＳ Ｐゴシック" pitchFamily="50" charset="-128"/>
            </a:rPr>
            <a:t>研修インスタンス</a:t>
          </a:r>
          <a:r>
            <a:rPr kumimoji="1" lang="en-US" altLang="ja-JP" sz="1000" b="1">
              <a:solidFill>
                <a:schemeClr val="bg1"/>
              </a:solidFill>
              <a:latin typeface="ＭＳ Ｐゴシック" pitchFamily="50" charset="-128"/>
              <a:ea typeface="ＭＳ Ｐゴシック" pitchFamily="50" charset="-128"/>
            </a:rPr>
            <a:t>#2</a:t>
          </a:r>
        </a:p>
        <a:p>
          <a:pPr algn="ctr">
            <a:lnSpc>
              <a:spcPts val="1100"/>
            </a:lnSpc>
          </a:pPr>
          <a:endParaRPr kumimoji="1" lang="ja-JP" altLang="en-US" sz="1000" b="1">
            <a:solidFill>
              <a:schemeClr val="bg1"/>
            </a:solidFill>
            <a:latin typeface="ＭＳ Ｐゴシック" pitchFamily="50" charset="-128"/>
            <a:ea typeface="ＭＳ Ｐゴシック" pitchFamily="50" charset="-128"/>
          </a:endParaRPr>
        </a:p>
      </xdr:txBody>
    </xdr:sp>
    <xdr:clientData/>
  </xdr:twoCellAnchor>
  <xdr:twoCellAnchor>
    <xdr:from>
      <xdr:col>10</xdr:col>
      <xdr:colOff>66675</xdr:colOff>
      <xdr:row>566</xdr:row>
      <xdr:rowOff>7845</xdr:rowOff>
    </xdr:from>
    <xdr:to>
      <xdr:col>22</xdr:col>
      <xdr:colOff>85725</xdr:colOff>
      <xdr:row>567</xdr:row>
      <xdr:rowOff>64994</xdr:rowOff>
    </xdr:to>
    <xdr:sp macro="" textlink="">
      <xdr:nvSpPr>
        <xdr:cNvPr id="20" name="角丸四角形 19">
          <a:extLst>
            <a:ext uri="{FF2B5EF4-FFF2-40B4-BE49-F238E27FC236}">
              <a16:creationId xmlns:a16="http://schemas.microsoft.com/office/drawing/2014/main" id="{00000000-0008-0000-0400-000014000000}"/>
            </a:ext>
          </a:extLst>
        </xdr:cNvPr>
        <xdr:cNvSpPr/>
      </xdr:nvSpPr>
      <xdr:spPr>
        <a:xfrm>
          <a:off x="1304925" y="76931745"/>
          <a:ext cx="1504950" cy="219074"/>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メモリ（</a:t>
          </a:r>
          <a:r>
            <a:rPr kumimoji="1" lang="en-US" altLang="ja-JP" sz="1000">
              <a:solidFill>
                <a:sysClr val="windowText" lastClr="000000"/>
              </a:solidFill>
              <a:latin typeface="+mn-ea"/>
              <a:ea typeface="+mn-ea"/>
            </a:rPr>
            <a:t>SGA/PGA</a:t>
          </a:r>
          <a:r>
            <a:rPr kumimoji="1" lang="ja-JP" altLang="en-US" sz="1000">
              <a:solidFill>
                <a:sysClr val="windowText" lastClr="000000"/>
              </a:solidFill>
              <a:latin typeface="+mn-ea"/>
              <a:ea typeface="+mn-ea"/>
            </a:rPr>
            <a:t>）</a:t>
          </a:r>
        </a:p>
      </xdr:txBody>
    </xdr:sp>
    <xdr:clientData/>
  </xdr:twoCellAnchor>
  <xdr:twoCellAnchor>
    <xdr:from>
      <xdr:col>30</xdr:col>
      <xdr:colOff>0</xdr:colOff>
      <xdr:row>566</xdr:row>
      <xdr:rowOff>7845</xdr:rowOff>
    </xdr:from>
    <xdr:to>
      <xdr:col>42</xdr:col>
      <xdr:colOff>19050</xdr:colOff>
      <xdr:row>567</xdr:row>
      <xdr:rowOff>64994</xdr:rowOff>
    </xdr:to>
    <xdr:sp macro="" textlink="">
      <xdr:nvSpPr>
        <xdr:cNvPr id="21" name="角丸四角形 20">
          <a:extLst>
            <a:ext uri="{FF2B5EF4-FFF2-40B4-BE49-F238E27FC236}">
              <a16:creationId xmlns:a16="http://schemas.microsoft.com/office/drawing/2014/main" id="{00000000-0008-0000-0400-000015000000}"/>
            </a:ext>
          </a:extLst>
        </xdr:cNvPr>
        <xdr:cNvSpPr/>
      </xdr:nvSpPr>
      <xdr:spPr>
        <a:xfrm>
          <a:off x="3714750" y="76931745"/>
          <a:ext cx="1504950" cy="219074"/>
        </a:xfrm>
        <a:prstGeom prst="round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メモリ（</a:t>
          </a:r>
          <a:r>
            <a:rPr kumimoji="1" lang="en-US" altLang="ja-JP" sz="1000">
              <a:solidFill>
                <a:sysClr val="windowText" lastClr="000000"/>
              </a:solidFill>
              <a:latin typeface="+mn-ea"/>
              <a:ea typeface="+mn-ea"/>
            </a:rPr>
            <a:t>SGA/PGA</a:t>
          </a:r>
          <a:r>
            <a:rPr kumimoji="1" lang="ja-JP" altLang="en-US" sz="1000">
              <a:solidFill>
                <a:sysClr val="windowText" lastClr="000000"/>
              </a:solidFill>
              <a:latin typeface="+mn-ea"/>
              <a:ea typeface="+mn-ea"/>
            </a:rPr>
            <a:t>）</a:t>
          </a:r>
        </a:p>
      </xdr:txBody>
    </xdr:sp>
    <xdr:clientData/>
  </xdr:twoCellAnchor>
  <xdr:twoCellAnchor>
    <xdr:from>
      <xdr:col>16</xdr:col>
      <xdr:colOff>76201</xdr:colOff>
      <xdr:row>568</xdr:row>
      <xdr:rowOff>26894</xdr:rowOff>
    </xdr:from>
    <xdr:to>
      <xdr:col>24</xdr:col>
      <xdr:colOff>28575</xdr:colOff>
      <xdr:row>572</xdr:row>
      <xdr:rowOff>45943</xdr:rowOff>
    </xdr:to>
    <xdr:cxnSp macro="">
      <xdr:nvCxnSpPr>
        <xdr:cNvPr id="22" name="直線矢印コネクタ 21">
          <a:extLst>
            <a:ext uri="{FF2B5EF4-FFF2-40B4-BE49-F238E27FC236}">
              <a16:creationId xmlns:a16="http://schemas.microsoft.com/office/drawing/2014/main" id="{00000000-0008-0000-0400-000016000000}"/>
            </a:ext>
          </a:extLst>
        </xdr:cNvPr>
        <xdr:cNvCxnSpPr>
          <a:stCxn id="18" idx="3"/>
        </xdr:cNvCxnSpPr>
      </xdr:nvCxnSpPr>
      <xdr:spPr>
        <a:xfrm rot="16200000" flipH="1">
          <a:off x="2195513" y="77127007"/>
          <a:ext cx="666749" cy="942974"/>
        </a:xfrm>
        <a:prstGeom prst="straightConnector1">
          <a:avLst/>
        </a:prstGeom>
        <a:ln w="28575">
          <a:solidFill>
            <a:srgbClr val="00206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xdr:colOff>
      <xdr:row>568</xdr:row>
      <xdr:rowOff>26894</xdr:rowOff>
    </xdr:from>
    <xdr:to>
      <xdr:col>36</xdr:col>
      <xdr:colOff>9526</xdr:colOff>
      <xdr:row>572</xdr:row>
      <xdr:rowOff>45943</xdr:rowOff>
    </xdr:to>
    <xdr:cxnSp macro="">
      <xdr:nvCxnSpPr>
        <xdr:cNvPr id="23" name="直線矢印コネクタ 22">
          <a:extLst>
            <a:ext uri="{FF2B5EF4-FFF2-40B4-BE49-F238E27FC236}">
              <a16:creationId xmlns:a16="http://schemas.microsoft.com/office/drawing/2014/main" id="{00000000-0008-0000-0400-000017000000}"/>
            </a:ext>
          </a:extLst>
        </xdr:cNvPr>
        <xdr:cNvCxnSpPr>
          <a:stCxn id="19" idx="3"/>
        </xdr:cNvCxnSpPr>
      </xdr:nvCxnSpPr>
      <xdr:spPr>
        <a:xfrm rot="5400000">
          <a:off x="3695701" y="77160344"/>
          <a:ext cx="666749" cy="876300"/>
        </a:xfrm>
        <a:prstGeom prst="straightConnector1">
          <a:avLst/>
        </a:prstGeom>
        <a:ln w="28575">
          <a:solidFill>
            <a:srgbClr val="00206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573</xdr:row>
      <xdr:rowOff>55469</xdr:rowOff>
    </xdr:from>
    <xdr:to>
      <xdr:col>13</xdr:col>
      <xdr:colOff>104775</xdr:colOff>
      <xdr:row>581</xdr:row>
      <xdr:rowOff>112619</xdr:rowOff>
    </xdr:to>
    <xdr:sp macro="" textlink="">
      <xdr:nvSpPr>
        <xdr:cNvPr id="24" name="正方形/長方形 23">
          <a:extLst>
            <a:ext uri="{FF2B5EF4-FFF2-40B4-BE49-F238E27FC236}">
              <a16:creationId xmlns:a16="http://schemas.microsoft.com/office/drawing/2014/main" id="{00000000-0008-0000-0400-000018000000}"/>
            </a:ext>
          </a:extLst>
        </xdr:cNvPr>
        <xdr:cNvSpPr/>
      </xdr:nvSpPr>
      <xdr:spPr>
        <a:xfrm>
          <a:off x="1123950" y="78103319"/>
          <a:ext cx="590550" cy="135255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システム表領域（研修）</a:t>
          </a:r>
        </a:p>
      </xdr:txBody>
    </xdr:sp>
    <xdr:clientData/>
  </xdr:twoCellAnchor>
  <xdr:twoCellAnchor>
    <xdr:from>
      <xdr:col>14</xdr:col>
      <xdr:colOff>85725</xdr:colOff>
      <xdr:row>582</xdr:row>
      <xdr:rowOff>55469</xdr:rowOff>
    </xdr:from>
    <xdr:to>
      <xdr:col>26</xdr:col>
      <xdr:colOff>28575</xdr:colOff>
      <xdr:row>583</xdr:row>
      <xdr:rowOff>141195</xdr:rowOff>
    </xdr:to>
    <xdr:sp macro="" textlink="">
      <xdr:nvSpPr>
        <xdr:cNvPr id="25" name="正方形/長方形 24">
          <a:extLst>
            <a:ext uri="{FF2B5EF4-FFF2-40B4-BE49-F238E27FC236}">
              <a16:creationId xmlns:a16="http://schemas.microsoft.com/office/drawing/2014/main" id="{00000000-0008-0000-0400-000019000000}"/>
            </a:ext>
          </a:extLst>
        </xdr:cNvPr>
        <xdr:cNvSpPr/>
      </xdr:nvSpPr>
      <xdr:spPr>
        <a:xfrm>
          <a:off x="1819275" y="79560644"/>
          <a:ext cx="1428750" cy="247651"/>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latin typeface="+mn-ea"/>
              <a:ea typeface="+mn-ea"/>
            </a:rPr>
            <a:t>IVR</a:t>
          </a:r>
          <a:r>
            <a:rPr kumimoji="1" lang="ja-JP" altLang="en-US" sz="900">
              <a:solidFill>
                <a:sysClr val="windowText" lastClr="000000"/>
              </a:solidFill>
              <a:latin typeface="+mn-ea"/>
              <a:ea typeface="+mn-ea"/>
            </a:rPr>
            <a:t>データ（本番用）</a:t>
          </a:r>
        </a:p>
      </xdr:txBody>
    </xdr:sp>
    <xdr:clientData/>
  </xdr:twoCellAnchor>
  <xdr:twoCellAnchor>
    <xdr:from>
      <xdr:col>26</xdr:col>
      <xdr:colOff>85725</xdr:colOff>
      <xdr:row>582</xdr:row>
      <xdr:rowOff>55469</xdr:rowOff>
    </xdr:from>
    <xdr:to>
      <xdr:col>38</xdr:col>
      <xdr:colOff>28575</xdr:colOff>
      <xdr:row>583</xdr:row>
      <xdr:rowOff>141195</xdr:rowOff>
    </xdr:to>
    <xdr:sp macro="" textlink="">
      <xdr:nvSpPr>
        <xdr:cNvPr id="26" name="正方形/長方形 25">
          <a:extLst>
            <a:ext uri="{FF2B5EF4-FFF2-40B4-BE49-F238E27FC236}">
              <a16:creationId xmlns:a16="http://schemas.microsoft.com/office/drawing/2014/main" id="{00000000-0008-0000-0400-00001A000000}"/>
            </a:ext>
          </a:extLst>
        </xdr:cNvPr>
        <xdr:cNvSpPr/>
      </xdr:nvSpPr>
      <xdr:spPr>
        <a:xfrm>
          <a:off x="3305175" y="79560644"/>
          <a:ext cx="1428750" cy="247651"/>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latin typeface="+mn-ea"/>
              <a:ea typeface="+mn-ea"/>
            </a:rPr>
            <a:t>IVR</a:t>
          </a:r>
          <a:r>
            <a:rPr kumimoji="1" lang="ja-JP" altLang="en-US" sz="1000">
              <a:solidFill>
                <a:sysClr val="windowText" lastClr="000000"/>
              </a:solidFill>
              <a:latin typeface="+mn-ea"/>
              <a:ea typeface="+mn-ea"/>
            </a:rPr>
            <a:t>ログ（本番用）</a:t>
          </a:r>
        </a:p>
      </xdr:txBody>
    </xdr:sp>
    <xdr:clientData/>
  </xdr:twoCellAnchor>
  <xdr:twoCellAnchor>
    <xdr:from>
      <xdr:col>14</xdr:col>
      <xdr:colOff>85725</xdr:colOff>
      <xdr:row>583</xdr:row>
      <xdr:rowOff>155202</xdr:rowOff>
    </xdr:from>
    <xdr:to>
      <xdr:col>26</xdr:col>
      <xdr:colOff>28575</xdr:colOff>
      <xdr:row>585</xdr:row>
      <xdr:rowOff>84044</xdr:rowOff>
    </xdr:to>
    <xdr:sp macro="" textlink="">
      <xdr:nvSpPr>
        <xdr:cNvPr id="27" name="正方形/長方形 26">
          <a:extLst>
            <a:ext uri="{FF2B5EF4-FFF2-40B4-BE49-F238E27FC236}">
              <a16:creationId xmlns:a16="http://schemas.microsoft.com/office/drawing/2014/main" id="{00000000-0008-0000-0400-00001B000000}"/>
            </a:ext>
          </a:extLst>
        </xdr:cNvPr>
        <xdr:cNvSpPr/>
      </xdr:nvSpPr>
      <xdr:spPr>
        <a:xfrm>
          <a:off x="1819275" y="79822302"/>
          <a:ext cx="1428750" cy="252692"/>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インデックス（本番用）</a:t>
          </a:r>
        </a:p>
      </xdr:txBody>
    </xdr:sp>
    <xdr:clientData/>
  </xdr:twoCellAnchor>
  <xdr:twoCellAnchor>
    <xdr:from>
      <xdr:col>26</xdr:col>
      <xdr:colOff>85725</xdr:colOff>
      <xdr:row>583</xdr:row>
      <xdr:rowOff>155202</xdr:rowOff>
    </xdr:from>
    <xdr:to>
      <xdr:col>38</xdr:col>
      <xdr:colOff>28575</xdr:colOff>
      <xdr:row>585</xdr:row>
      <xdr:rowOff>84044</xdr:rowOff>
    </xdr:to>
    <xdr:sp macro="" textlink="">
      <xdr:nvSpPr>
        <xdr:cNvPr id="28" name="正方形/長方形 27">
          <a:extLst>
            <a:ext uri="{FF2B5EF4-FFF2-40B4-BE49-F238E27FC236}">
              <a16:creationId xmlns:a16="http://schemas.microsoft.com/office/drawing/2014/main" id="{00000000-0008-0000-0400-00001C000000}"/>
            </a:ext>
          </a:extLst>
        </xdr:cNvPr>
        <xdr:cNvSpPr/>
      </xdr:nvSpPr>
      <xdr:spPr>
        <a:xfrm>
          <a:off x="3305175" y="79822302"/>
          <a:ext cx="1428750" cy="252692"/>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ログインデックス（本</a:t>
          </a:r>
          <a:r>
            <a:rPr kumimoji="1" lang="ja-JP" altLang="ja-JP" sz="900">
              <a:solidFill>
                <a:sysClr val="windowText" lastClr="000000"/>
              </a:solidFill>
              <a:latin typeface="+mn-lt"/>
              <a:ea typeface="+mn-ea"/>
              <a:cs typeface="+mn-cs"/>
            </a:rPr>
            <a:t>番</a:t>
          </a:r>
          <a:r>
            <a:rPr kumimoji="1" lang="ja-JP" altLang="en-US" sz="900">
              <a:solidFill>
                <a:sysClr val="windowText" lastClr="000000"/>
              </a:solidFill>
              <a:latin typeface="+mn-ea"/>
              <a:ea typeface="+mn-ea"/>
            </a:rPr>
            <a:t>）</a:t>
          </a:r>
          <a:endParaRPr kumimoji="1" lang="en-US" altLang="ja-JP" sz="900">
            <a:solidFill>
              <a:sysClr val="windowText" lastClr="000000"/>
            </a:solidFill>
            <a:latin typeface="+mn-ea"/>
            <a:ea typeface="+mn-ea"/>
          </a:endParaRPr>
        </a:p>
      </xdr:txBody>
    </xdr:sp>
    <xdr:clientData/>
  </xdr:twoCellAnchor>
  <xdr:twoCellAnchor>
    <xdr:from>
      <xdr:col>9</xdr:col>
      <xdr:colOff>9525</xdr:colOff>
      <xdr:row>582</xdr:row>
      <xdr:rowOff>55469</xdr:rowOff>
    </xdr:from>
    <xdr:to>
      <xdr:col>13</xdr:col>
      <xdr:colOff>104775</xdr:colOff>
      <xdr:row>585</xdr:row>
      <xdr:rowOff>86846</xdr:rowOff>
    </xdr:to>
    <xdr:sp macro="" textlink="">
      <xdr:nvSpPr>
        <xdr:cNvPr id="29" name="正方形/長方形 28">
          <a:extLst>
            <a:ext uri="{FF2B5EF4-FFF2-40B4-BE49-F238E27FC236}">
              <a16:creationId xmlns:a16="http://schemas.microsoft.com/office/drawing/2014/main" id="{00000000-0008-0000-0400-00001D000000}"/>
            </a:ext>
          </a:extLst>
        </xdr:cNvPr>
        <xdr:cNvSpPr/>
      </xdr:nvSpPr>
      <xdr:spPr>
        <a:xfrm>
          <a:off x="1123950" y="79560644"/>
          <a:ext cx="590550" cy="517152"/>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ｼｽﾃﾑ本番</a:t>
          </a:r>
        </a:p>
      </xdr:txBody>
    </xdr:sp>
    <xdr:clientData/>
  </xdr:twoCellAnchor>
  <xdr:twoCellAnchor>
    <xdr:from>
      <xdr:col>38</xdr:col>
      <xdr:colOff>112059</xdr:colOff>
      <xdr:row>573</xdr:row>
      <xdr:rowOff>54348</xdr:rowOff>
    </xdr:from>
    <xdr:to>
      <xdr:col>43</xdr:col>
      <xdr:colOff>84045</xdr:colOff>
      <xdr:row>581</xdr:row>
      <xdr:rowOff>111498</xdr:rowOff>
    </xdr:to>
    <xdr:sp macro="" textlink="">
      <xdr:nvSpPr>
        <xdr:cNvPr id="30" name="正方形/長方形 29">
          <a:extLst>
            <a:ext uri="{FF2B5EF4-FFF2-40B4-BE49-F238E27FC236}">
              <a16:creationId xmlns:a16="http://schemas.microsoft.com/office/drawing/2014/main" id="{00000000-0008-0000-0400-00001E000000}"/>
            </a:ext>
          </a:extLst>
        </xdr:cNvPr>
        <xdr:cNvSpPr/>
      </xdr:nvSpPr>
      <xdr:spPr>
        <a:xfrm>
          <a:off x="4817409" y="78102198"/>
          <a:ext cx="591111" cy="135255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設定ファイル</a:t>
          </a:r>
          <a:endParaRPr kumimoji="1" lang="en-US" altLang="ja-JP" sz="1000">
            <a:solidFill>
              <a:sysClr val="windowText" lastClr="000000"/>
            </a:solidFill>
            <a:latin typeface="+mn-ea"/>
            <a:ea typeface="+mn-ea"/>
          </a:endParaRPr>
        </a:p>
      </xdr:txBody>
    </xdr:sp>
    <xdr:clientData/>
  </xdr:twoCellAnchor>
  <xdr:twoCellAnchor>
    <xdr:from>
      <xdr:col>38</xdr:col>
      <xdr:colOff>112059</xdr:colOff>
      <xdr:row>582</xdr:row>
      <xdr:rowOff>54349</xdr:rowOff>
    </xdr:from>
    <xdr:to>
      <xdr:col>43</xdr:col>
      <xdr:colOff>84045</xdr:colOff>
      <xdr:row>585</xdr:row>
      <xdr:rowOff>85726</xdr:rowOff>
    </xdr:to>
    <xdr:sp macro="" textlink="">
      <xdr:nvSpPr>
        <xdr:cNvPr id="31" name="正方形/長方形 30">
          <a:extLst>
            <a:ext uri="{FF2B5EF4-FFF2-40B4-BE49-F238E27FC236}">
              <a16:creationId xmlns:a16="http://schemas.microsoft.com/office/drawing/2014/main" id="{00000000-0008-0000-0400-00001F000000}"/>
            </a:ext>
          </a:extLst>
        </xdr:cNvPr>
        <xdr:cNvSpPr/>
      </xdr:nvSpPr>
      <xdr:spPr>
        <a:xfrm>
          <a:off x="4817409" y="79559524"/>
          <a:ext cx="591111" cy="517152"/>
        </a:xfrm>
        <a:prstGeom prst="rect">
          <a:avLst/>
        </a:prstGeom>
        <a:solidFill>
          <a:srgbClr val="DDDDDD"/>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設定</a:t>
          </a:r>
          <a:endParaRPr kumimoji="1" lang="en-US" altLang="ja-JP" sz="900">
            <a:solidFill>
              <a:sysClr val="windowText" lastClr="000000"/>
            </a:solidFill>
            <a:latin typeface="+mn-ea"/>
            <a:ea typeface="+mn-ea"/>
          </a:endParaRPr>
        </a:p>
        <a:p>
          <a:pPr algn="ctr"/>
          <a:r>
            <a:rPr kumimoji="1" lang="ja-JP" altLang="en-US" sz="900">
              <a:solidFill>
                <a:sysClr val="windowText" lastClr="000000"/>
              </a:solidFill>
              <a:latin typeface="+mn-ea"/>
              <a:ea typeface="+mn-ea"/>
            </a:rPr>
            <a:t>本番</a:t>
          </a:r>
        </a:p>
      </xdr:txBody>
    </xdr:sp>
    <xdr:clientData/>
  </xdr:twoCellAnchor>
  <xdr:twoCellAnchor>
    <xdr:from>
      <xdr:col>9</xdr:col>
      <xdr:colOff>89647</xdr:colOff>
      <xdr:row>554</xdr:row>
      <xdr:rowOff>143995</xdr:rowOff>
    </xdr:from>
    <xdr:to>
      <xdr:col>23</xdr:col>
      <xdr:colOff>56029</xdr:colOff>
      <xdr:row>556</xdr:row>
      <xdr:rowOff>110377</xdr:rowOff>
    </xdr:to>
    <xdr:sp macro="" textlink="">
      <xdr:nvSpPr>
        <xdr:cNvPr id="32" name="テキスト ボックス 31">
          <a:extLst>
            <a:ext uri="{FF2B5EF4-FFF2-40B4-BE49-F238E27FC236}">
              <a16:creationId xmlns:a16="http://schemas.microsoft.com/office/drawing/2014/main" id="{00000000-0008-0000-0400-000020000000}"/>
            </a:ext>
          </a:extLst>
        </xdr:cNvPr>
        <xdr:cNvSpPr txBox="1"/>
      </xdr:nvSpPr>
      <xdr:spPr>
        <a:xfrm>
          <a:off x="1204072" y="75229570"/>
          <a:ext cx="1699932" cy="27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kumimoji="1" lang="en-US" altLang="ja-JP" sz="1100" b="1">
              <a:latin typeface="ＭＳ Ｐゴシック" pitchFamily="50" charset="-128"/>
              <a:ea typeface="ＭＳ Ｐゴシック" pitchFamily="50" charset="-128"/>
            </a:rPr>
            <a:t>Active</a:t>
          </a:r>
          <a:r>
            <a:rPr kumimoji="1" lang="ja-JP" altLang="en-US" sz="1100" b="1">
              <a:latin typeface="ＭＳ Ｐゴシック" pitchFamily="50" charset="-128"/>
              <a:ea typeface="ＭＳ Ｐゴシック" pitchFamily="50" charset="-128"/>
            </a:rPr>
            <a:t>サーバ</a:t>
          </a:r>
        </a:p>
      </xdr:txBody>
    </xdr:sp>
    <xdr:clientData/>
  </xdr:twoCellAnchor>
  <xdr:twoCellAnchor>
    <xdr:from>
      <xdr:col>29</xdr:col>
      <xdr:colOff>22411</xdr:colOff>
      <xdr:row>554</xdr:row>
      <xdr:rowOff>143995</xdr:rowOff>
    </xdr:from>
    <xdr:to>
      <xdr:col>42</xdr:col>
      <xdr:colOff>112057</xdr:colOff>
      <xdr:row>556</xdr:row>
      <xdr:rowOff>110377</xdr:rowOff>
    </xdr:to>
    <xdr:sp macro="" textlink="">
      <xdr:nvSpPr>
        <xdr:cNvPr id="33" name="テキスト ボックス 32">
          <a:extLst>
            <a:ext uri="{FF2B5EF4-FFF2-40B4-BE49-F238E27FC236}">
              <a16:creationId xmlns:a16="http://schemas.microsoft.com/office/drawing/2014/main" id="{00000000-0008-0000-0400-000021000000}"/>
            </a:ext>
          </a:extLst>
        </xdr:cNvPr>
        <xdr:cNvSpPr txBox="1"/>
      </xdr:nvSpPr>
      <xdr:spPr>
        <a:xfrm>
          <a:off x="3613336" y="75229570"/>
          <a:ext cx="1699371" cy="27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kumimoji="1" lang="en-US" altLang="ja-JP" sz="1100" b="1">
              <a:latin typeface="ＭＳ Ｐゴシック" pitchFamily="50" charset="-128"/>
              <a:ea typeface="ＭＳ Ｐゴシック" pitchFamily="50" charset="-128"/>
            </a:rPr>
            <a:t>Standby</a:t>
          </a:r>
          <a:r>
            <a:rPr kumimoji="1" lang="ja-JP" altLang="en-US" sz="1100" b="1">
              <a:latin typeface="ＭＳ Ｐゴシック" pitchFamily="50" charset="-128"/>
              <a:ea typeface="ＭＳ Ｐゴシック" pitchFamily="50" charset="-128"/>
            </a:rPr>
            <a:t>サーバ</a:t>
          </a:r>
        </a:p>
      </xdr:txBody>
    </xdr:sp>
    <xdr:clientData/>
  </xdr:twoCellAnchor>
  <xdr:twoCellAnchor>
    <xdr:from>
      <xdr:col>66</xdr:col>
      <xdr:colOff>89647</xdr:colOff>
      <xdr:row>168</xdr:row>
      <xdr:rowOff>146237</xdr:rowOff>
    </xdr:from>
    <xdr:to>
      <xdr:col>79</xdr:col>
      <xdr:colOff>46888</xdr:colOff>
      <xdr:row>199</xdr:row>
      <xdr:rowOff>68888</xdr:rowOff>
    </xdr:to>
    <xdr:sp macro="" textlink="">
      <xdr:nvSpPr>
        <xdr:cNvPr id="34" name="正方形/長方形 33">
          <a:extLst>
            <a:ext uri="{FF2B5EF4-FFF2-40B4-BE49-F238E27FC236}">
              <a16:creationId xmlns:a16="http://schemas.microsoft.com/office/drawing/2014/main" id="{00000000-0008-0000-0400-000022000000}"/>
            </a:ext>
          </a:extLst>
        </xdr:cNvPr>
        <xdr:cNvSpPr/>
      </xdr:nvSpPr>
      <xdr:spPr>
        <a:xfrm>
          <a:off x="8262097" y="20644037"/>
          <a:ext cx="1566966" cy="49042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67</xdr:col>
      <xdr:colOff>11206</xdr:colOff>
      <xdr:row>182</xdr:row>
      <xdr:rowOff>59389</xdr:rowOff>
    </xdr:from>
    <xdr:to>
      <xdr:col>79</xdr:col>
      <xdr:colOff>11206</xdr:colOff>
      <xdr:row>194</xdr:row>
      <xdr:rowOff>126623</xdr:rowOff>
    </xdr:to>
    <xdr:sp macro="" textlink="">
      <xdr:nvSpPr>
        <xdr:cNvPr id="35" name="正方形/長方形 34">
          <a:extLst>
            <a:ext uri="{FF2B5EF4-FFF2-40B4-BE49-F238E27FC236}">
              <a16:creationId xmlns:a16="http://schemas.microsoft.com/office/drawing/2014/main" id="{00000000-0008-0000-0400-000023000000}"/>
            </a:ext>
          </a:extLst>
        </xdr:cNvPr>
        <xdr:cNvSpPr/>
      </xdr:nvSpPr>
      <xdr:spPr>
        <a:xfrm>
          <a:off x="8307481" y="22824139"/>
          <a:ext cx="1485900" cy="2010334"/>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67</xdr:col>
      <xdr:colOff>11206</xdr:colOff>
      <xdr:row>170</xdr:row>
      <xdr:rowOff>110377</xdr:rowOff>
    </xdr:from>
    <xdr:to>
      <xdr:col>79</xdr:col>
      <xdr:colOff>11206</xdr:colOff>
      <xdr:row>182</xdr:row>
      <xdr:rowOff>0</xdr:rowOff>
    </xdr:to>
    <xdr:sp macro="" textlink="">
      <xdr:nvSpPr>
        <xdr:cNvPr id="36" name="正方形/長方形 35">
          <a:extLst>
            <a:ext uri="{FF2B5EF4-FFF2-40B4-BE49-F238E27FC236}">
              <a16:creationId xmlns:a16="http://schemas.microsoft.com/office/drawing/2014/main" id="{00000000-0008-0000-0400-000024000000}"/>
            </a:ext>
          </a:extLst>
        </xdr:cNvPr>
        <xdr:cNvSpPr/>
      </xdr:nvSpPr>
      <xdr:spPr>
        <a:xfrm>
          <a:off x="8307481" y="20932027"/>
          <a:ext cx="1485900" cy="183272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89647</xdr:colOff>
      <xdr:row>51</xdr:row>
      <xdr:rowOff>143997</xdr:rowOff>
    </xdr:from>
    <xdr:to>
      <xdr:col>79</xdr:col>
      <xdr:colOff>67235</xdr:colOff>
      <xdr:row>82</xdr:row>
      <xdr:rowOff>61632</xdr:rowOff>
    </xdr:to>
    <xdr:sp macro="" textlink="">
      <xdr:nvSpPr>
        <xdr:cNvPr id="37" name="正方形/長方形 36">
          <a:extLst>
            <a:ext uri="{FF2B5EF4-FFF2-40B4-BE49-F238E27FC236}">
              <a16:creationId xmlns:a16="http://schemas.microsoft.com/office/drawing/2014/main" id="{00000000-0008-0000-0400-000025000000}"/>
            </a:ext>
          </a:extLst>
        </xdr:cNvPr>
        <xdr:cNvSpPr/>
      </xdr:nvSpPr>
      <xdr:spPr>
        <a:xfrm>
          <a:off x="8262097" y="8268822"/>
          <a:ext cx="1587313" cy="489921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67</xdr:col>
      <xdr:colOff>11205</xdr:colOff>
      <xdr:row>65</xdr:row>
      <xdr:rowOff>99174</xdr:rowOff>
    </xdr:from>
    <xdr:to>
      <xdr:col>79</xdr:col>
      <xdr:colOff>11205</xdr:colOff>
      <xdr:row>77</xdr:row>
      <xdr:rowOff>155201</xdr:rowOff>
    </xdr:to>
    <xdr:sp macro="" textlink="">
      <xdr:nvSpPr>
        <xdr:cNvPr id="38" name="正方形/長方形 37">
          <a:extLst>
            <a:ext uri="{FF2B5EF4-FFF2-40B4-BE49-F238E27FC236}">
              <a16:creationId xmlns:a16="http://schemas.microsoft.com/office/drawing/2014/main" id="{00000000-0008-0000-0400-000026000000}"/>
            </a:ext>
          </a:extLst>
        </xdr:cNvPr>
        <xdr:cNvSpPr/>
      </xdr:nvSpPr>
      <xdr:spPr>
        <a:xfrm>
          <a:off x="8307480" y="10490949"/>
          <a:ext cx="1485900" cy="1999127"/>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67</xdr:col>
      <xdr:colOff>11205</xdr:colOff>
      <xdr:row>53</xdr:row>
      <xdr:rowOff>110379</xdr:rowOff>
    </xdr:from>
    <xdr:to>
      <xdr:col>79</xdr:col>
      <xdr:colOff>11205</xdr:colOff>
      <xdr:row>65</xdr:row>
      <xdr:rowOff>56029</xdr:rowOff>
    </xdr:to>
    <xdr:sp macro="" textlink="">
      <xdr:nvSpPr>
        <xdr:cNvPr id="39" name="正方形/長方形 38">
          <a:extLst>
            <a:ext uri="{FF2B5EF4-FFF2-40B4-BE49-F238E27FC236}">
              <a16:creationId xmlns:a16="http://schemas.microsoft.com/office/drawing/2014/main" id="{00000000-0008-0000-0400-000027000000}"/>
            </a:ext>
          </a:extLst>
        </xdr:cNvPr>
        <xdr:cNvSpPr/>
      </xdr:nvSpPr>
      <xdr:spPr>
        <a:xfrm>
          <a:off x="8307480" y="8559054"/>
          <a:ext cx="1485900" cy="188875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26</xdr:col>
      <xdr:colOff>2960</xdr:colOff>
      <xdr:row>184</xdr:row>
      <xdr:rowOff>78454</xdr:rowOff>
    </xdr:from>
    <xdr:to>
      <xdr:col>64</xdr:col>
      <xdr:colOff>91712</xdr:colOff>
      <xdr:row>199</xdr:row>
      <xdr:rowOff>113400</xdr:rowOff>
    </xdr:to>
    <xdr:sp macro="" textlink="">
      <xdr:nvSpPr>
        <xdr:cNvPr id="40" name="正方形/長方形 39">
          <a:extLst>
            <a:ext uri="{FF2B5EF4-FFF2-40B4-BE49-F238E27FC236}">
              <a16:creationId xmlns:a16="http://schemas.microsoft.com/office/drawing/2014/main" id="{00000000-0008-0000-0400-000028000000}"/>
            </a:ext>
          </a:extLst>
        </xdr:cNvPr>
        <xdr:cNvSpPr/>
      </xdr:nvSpPr>
      <xdr:spPr>
        <a:xfrm>
          <a:off x="3222410" y="23167054"/>
          <a:ext cx="4794102" cy="2425721"/>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ＩＶＲ ＤＢ（待機系）</a:t>
          </a:r>
        </a:p>
      </xdr:txBody>
    </xdr:sp>
    <xdr:clientData/>
  </xdr:twoCellAnchor>
  <xdr:twoCellAnchor>
    <xdr:from>
      <xdr:col>47</xdr:col>
      <xdr:colOff>92810</xdr:colOff>
      <xdr:row>185</xdr:row>
      <xdr:rowOff>26334</xdr:rowOff>
    </xdr:from>
    <xdr:to>
      <xdr:col>63</xdr:col>
      <xdr:colOff>102914</xdr:colOff>
      <xdr:row>196</xdr:row>
      <xdr:rowOff>141823</xdr:rowOff>
    </xdr:to>
    <xdr:sp macro="" textlink="">
      <xdr:nvSpPr>
        <xdr:cNvPr id="41" name="角丸四角形 40">
          <a:extLst>
            <a:ext uri="{FF2B5EF4-FFF2-40B4-BE49-F238E27FC236}">
              <a16:creationId xmlns:a16="http://schemas.microsoft.com/office/drawing/2014/main" id="{00000000-0008-0000-0400-000029000000}"/>
            </a:ext>
          </a:extLst>
        </xdr:cNvPr>
        <xdr:cNvSpPr/>
      </xdr:nvSpPr>
      <xdr:spPr>
        <a:xfrm>
          <a:off x="5912585" y="23276859"/>
          <a:ext cx="1991304" cy="1887139"/>
        </a:xfrm>
        <a:prstGeom prst="roundRect">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26</xdr:col>
      <xdr:colOff>12102</xdr:colOff>
      <xdr:row>67</xdr:row>
      <xdr:rowOff>72852</xdr:rowOff>
    </xdr:from>
    <xdr:to>
      <xdr:col>64</xdr:col>
      <xdr:colOff>100853</xdr:colOff>
      <xdr:row>82</xdr:row>
      <xdr:rowOff>106107</xdr:rowOff>
    </xdr:to>
    <xdr:sp macro="" textlink="">
      <xdr:nvSpPr>
        <xdr:cNvPr id="42" name="正方形/長方形 41">
          <a:extLst>
            <a:ext uri="{FF2B5EF4-FFF2-40B4-BE49-F238E27FC236}">
              <a16:creationId xmlns:a16="http://schemas.microsoft.com/office/drawing/2014/main" id="{00000000-0008-0000-0400-00002A000000}"/>
            </a:ext>
          </a:extLst>
        </xdr:cNvPr>
        <xdr:cNvSpPr/>
      </xdr:nvSpPr>
      <xdr:spPr>
        <a:xfrm>
          <a:off x="3231552" y="10788477"/>
          <a:ext cx="4794101" cy="242403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ＩＶＲ ＤＢ（</a:t>
          </a:r>
          <a:r>
            <a:rPr lang="en-US" altLang="ja-JP" sz="1200">
              <a:solidFill>
                <a:schemeClr val="tx1"/>
              </a:solidFill>
              <a:latin typeface="+mn-ea"/>
            </a:rPr>
            <a:t>Standby</a:t>
          </a:r>
          <a:r>
            <a:rPr lang="ja-JP" altLang="en-US" sz="1200">
              <a:solidFill>
                <a:schemeClr val="tx1"/>
              </a:solidFill>
              <a:latin typeface="+mn-ea"/>
            </a:rPr>
            <a:t>）</a:t>
          </a:r>
        </a:p>
      </xdr:txBody>
    </xdr:sp>
    <xdr:clientData/>
  </xdr:twoCellAnchor>
  <xdr:twoCellAnchor>
    <xdr:from>
      <xdr:col>6</xdr:col>
      <xdr:colOff>101554</xdr:colOff>
      <xdr:row>51</xdr:row>
      <xdr:rowOff>108137</xdr:rowOff>
    </xdr:from>
    <xdr:to>
      <xdr:col>25</xdr:col>
      <xdr:colOff>54348</xdr:colOff>
      <xdr:row>58</xdr:row>
      <xdr:rowOff>121584</xdr:rowOff>
    </xdr:to>
    <xdr:sp macro="" textlink="">
      <xdr:nvSpPr>
        <xdr:cNvPr id="43" name="正方形/長方形 42">
          <a:extLst>
            <a:ext uri="{FF2B5EF4-FFF2-40B4-BE49-F238E27FC236}">
              <a16:creationId xmlns:a16="http://schemas.microsoft.com/office/drawing/2014/main" id="{00000000-0008-0000-0400-00002B000000}"/>
            </a:ext>
          </a:extLst>
        </xdr:cNvPr>
        <xdr:cNvSpPr/>
      </xdr:nvSpPr>
      <xdr:spPr>
        <a:xfrm>
          <a:off x="844504" y="8232962"/>
          <a:ext cx="2305469" cy="114692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WAS</a:t>
          </a:r>
          <a:endParaRPr lang="ja-JP" altLang="en-US" sz="1200">
            <a:solidFill>
              <a:schemeClr val="tx1"/>
            </a:solidFill>
            <a:latin typeface="+mn-ea"/>
          </a:endParaRPr>
        </a:p>
      </xdr:txBody>
    </xdr:sp>
    <xdr:clientData/>
  </xdr:twoCellAnchor>
  <xdr:twoCellAnchor>
    <xdr:from>
      <xdr:col>19</xdr:col>
      <xdr:colOff>56029</xdr:colOff>
      <xdr:row>53</xdr:row>
      <xdr:rowOff>54349</xdr:rowOff>
    </xdr:from>
    <xdr:to>
      <xdr:col>24</xdr:col>
      <xdr:colOff>123264</xdr:colOff>
      <xdr:row>57</xdr:row>
      <xdr:rowOff>54349</xdr:rowOff>
    </xdr:to>
    <xdr:sp macro="" textlink="">
      <xdr:nvSpPr>
        <xdr:cNvPr id="44" name="角丸四角形 43">
          <a:extLst>
            <a:ext uri="{FF2B5EF4-FFF2-40B4-BE49-F238E27FC236}">
              <a16:creationId xmlns:a16="http://schemas.microsoft.com/office/drawing/2014/main" id="{00000000-0008-0000-0400-00002C000000}"/>
            </a:ext>
          </a:extLst>
        </xdr:cNvPr>
        <xdr:cNvSpPr/>
      </xdr:nvSpPr>
      <xdr:spPr>
        <a:xfrm>
          <a:off x="2398058" y="8234643"/>
          <a:ext cx="683559" cy="62753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1200">
              <a:solidFill>
                <a:schemeClr val="tx1"/>
              </a:solidFill>
              <a:latin typeface="+mn-ea"/>
            </a:rPr>
            <a:t>データソース</a:t>
          </a:r>
        </a:p>
      </xdr:txBody>
    </xdr:sp>
    <xdr:clientData/>
  </xdr:twoCellAnchor>
  <xdr:twoCellAnchor>
    <xdr:from>
      <xdr:col>26</xdr:col>
      <xdr:colOff>13200</xdr:colOff>
      <xdr:row>51</xdr:row>
      <xdr:rowOff>133153</xdr:rowOff>
    </xdr:from>
    <xdr:to>
      <xdr:col>64</xdr:col>
      <xdr:colOff>101952</xdr:colOff>
      <xdr:row>67</xdr:row>
      <xdr:rowOff>9525</xdr:rowOff>
    </xdr:to>
    <xdr:sp macro="" textlink="">
      <xdr:nvSpPr>
        <xdr:cNvPr id="45" name="正方形/長方形 44">
          <a:extLst>
            <a:ext uri="{FF2B5EF4-FFF2-40B4-BE49-F238E27FC236}">
              <a16:creationId xmlns:a16="http://schemas.microsoft.com/office/drawing/2014/main" id="{00000000-0008-0000-0400-00002D000000}"/>
            </a:ext>
          </a:extLst>
        </xdr:cNvPr>
        <xdr:cNvSpPr/>
      </xdr:nvSpPr>
      <xdr:spPr>
        <a:xfrm>
          <a:off x="3232650" y="8257978"/>
          <a:ext cx="4794102" cy="246717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ＩＶＲ ＤＢ（</a:t>
          </a:r>
          <a:r>
            <a:rPr lang="en-US" altLang="ja-JP" sz="1200">
              <a:solidFill>
                <a:schemeClr val="tx1"/>
              </a:solidFill>
              <a:latin typeface="+mn-ea"/>
            </a:rPr>
            <a:t>Active</a:t>
          </a:r>
          <a:r>
            <a:rPr lang="ja-JP" altLang="en-US" sz="1200">
              <a:solidFill>
                <a:schemeClr val="tx1"/>
              </a:solidFill>
              <a:latin typeface="+mn-ea"/>
            </a:rPr>
            <a:t>）</a:t>
          </a:r>
        </a:p>
      </xdr:txBody>
    </xdr:sp>
    <xdr:clientData/>
  </xdr:twoCellAnchor>
  <xdr:twoCellAnchor>
    <xdr:from>
      <xdr:col>26</xdr:col>
      <xdr:colOff>87517</xdr:colOff>
      <xdr:row>64</xdr:row>
      <xdr:rowOff>132723</xdr:rowOff>
    </xdr:from>
    <xdr:to>
      <xdr:col>64</xdr:col>
      <xdr:colOff>34716</xdr:colOff>
      <xdr:row>66</xdr:row>
      <xdr:rowOff>102129</xdr:rowOff>
    </xdr:to>
    <xdr:sp macro="" textlink="">
      <xdr:nvSpPr>
        <xdr:cNvPr id="46" name="角丸四角形 45">
          <a:extLst>
            <a:ext uri="{FF2B5EF4-FFF2-40B4-BE49-F238E27FC236}">
              <a16:creationId xmlns:a16="http://schemas.microsoft.com/office/drawing/2014/main" id="{00000000-0008-0000-0400-00002E000000}"/>
            </a:ext>
          </a:extLst>
        </xdr:cNvPr>
        <xdr:cNvSpPr/>
      </xdr:nvSpPr>
      <xdr:spPr>
        <a:xfrm>
          <a:off x="3306967" y="10362573"/>
          <a:ext cx="4652549" cy="293256"/>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48</xdr:col>
      <xdr:colOff>1098</xdr:colOff>
      <xdr:row>52</xdr:row>
      <xdr:rowOff>87969</xdr:rowOff>
    </xdr:from>
    <xdr:to>
      <xdr:col>64</xdr:col>
      <xdr:colOff>11202</xdr:colOff>
      <xdr:row>64</xdr:row>
      <xdr:rowOff>54349</xdr:rowOff>
    </xdr:to>
    <xdr:sp macro="" textlink="">
      <xdr:nvSpPr>
        <xdr:cNvPr id="47" name="角丸四角形 46">
          <a:extLst>
            <a:ext uri="{FF2B5EF4-FFF2-40B4-BE49-F238E27FC236}">
              <a16:creationId xmlns:a16="http://schemas.microsoft.com/office/drawing/2014/main" id="{00000000-0008-0000-0400-00002F000000}"/>
            </a:ext>
          </a:extLst>
        </xdr:cNvPr>
        <xdr:cNvSpPr/>
      </xdr:nvSpPr>
      <xdr:spPr>
        <a:xfrm>
          <a:off x="5944698" y="8374719"/>
          <a:ext cx="1991304" cy="190948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7</xdr:col>
      <xdr:colOff>44823</xdr:colOff>
      <xdr:row>53</xdr:row>
      <xdr:rowOff>66613</xdr:rowOff>
    </xdr:from>
    <xdr:to>
      <xdr:col>18</xdr:col>
      <xdr:colOff>78441</xdr:colOff>
      <xdr:row>55</xdr:row>
      <xdr:rowOff>38513</xdr:rowOff>
    </xdr:to>
    <xdr:sp macro="" textlink="">
      <xdr:nvSpPr>
        <xdr:cNvPr id="48" name="角丸四角形 47">
          <a:extLst>
            <a:ext uri="{FF2B5EF4-FFF2-40B4-BE49-F238E27FC236}">
              <a16:creationId xmlns:a16="http://schemas.microsoft.com/office/drawing/2014/main" id="{00000000-0008-0000-0400-000030000000}"/>
            </a:ext>
          </a:extLst>
        </xdr:cNvPr>
        <xdr:cNvSpPr/>
      </xdr:nvSpPr>
      <xdr:spPr>
        <a:xfrm>
          <a:off x="907676" y="8246907"/>
          <a:ext cx="1389530" cy="285665"/>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音声フロー</a:t>
          </a:r>
        </a:p>
      </xdr:txBody>
    </xdr:sp>
    <xdr:clientData/>
  </xdr:twoCellAnchor>
  <xdr:twoCellAnchor>
    <xdr:from>
      <xdr:col>26</xdr:col>
      <xdr:colOff>21291</xdr:colOff>
      <xdr:row>52</xdr:row>
      <xdr:rowOff>150072</xdr:rowOff>
    </xdr:from>
    <xdr:to>
      <xdr:col>28</xdr:col>
      <xdr:colOff>48758</xdr:colOff>
      <xdr:row>54</xdr:row>
      <xdr:rowOff>48396</xdr:rowOff>
    </xdr:to>
    <xdr:sp macro="" textlink="">
      <xdr:nvSpPr>
        <xdr:cNvPr id="49" name="テキスト ボックス 23">
          <a:extLst>
            <a:ext uri="{FF2B5EF4-FFF2-40B4-BE49-F238E27FC236}">
              <a16:creationId xmlns:a16="http://schemas.microsoft.com/office/drawing/2014/main" id="{00000000-0008-0000-0400-000031000000}"/>
            </a:ext>
          </a:extLst>
        </xdr:cNvPr>
        <xdr:cNvSpPr txBox="1"/>
      </xdr:nvSpPr>
      <xdr:spPr>
        <a:xfrm>
          <a:off x="3240741" y="8436822"/>
          <a:ext cx="275117" cy="222174"/>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①</a:t>
          </a:r>
        </a:p>
      </xdr:txBody>
    </xdr:sp>
    <xdr:clientData/>
  </xdr:twoCellAnchor>
  <xdr:twoCellAnchor>
    <xdr:from>
      <xdr:col>7</xdr:col>
      <xdr:colOff>39588</xdr:colOff>
      <xdr:row>55</xdr:row>
      <xdr:rowOff>93216</xdr:rowOff>
    </xdr:from>
    <xdr:to>
      <xdr:col>18</xdr:col>
      <xdr:colOff>73914</xdr:colOff>
      <xdr:row>57</xdr:row>
      <xdr:rowOff>63686</xdr:rowOff>
    </xdr:to>
    <xdr:sp macro="" textlink="">
      <xdr:nvSpPr>
        <xdr:cNvPr id="50" name="角丸四角形 49">
          <a:extLst>
            <a:ext uri="{FF2B5EF4-FFF2-40B4-BE49-F238E27FC236}">
              <a16:creationId xmlns:a16="http://schemas.microsoft.com/office/drawing/2014/main" id="{00000000-0008-0000-0400-000032000000}"/>
            </a:ext>
          </a:extLst>
        </xdr:cNvPr>
        <xdr:cNvSpPr/>
      </xdr:nvSpPr>
      <xdr:spPr>
        <a:xfrm>
          <a:off x="902441" y="8587275"/>
          <a:ext cx="1390238" cy="284235"/>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管理画面サーバ</a:t>
          </a:r>
        </a:p>
      </xdr:txBody>
    </xdr:sp>
    <xdr:clientData/>
  </xdr:twoCellAnchor>
  <xdr:twoCellAnchor>
    <xdr:from>
      <xdr:col>6</xdr:col>
      <xdr:colOff>87582</xdr:colOff>
      <xdr:row>74</xdr:row>
      <xdr:rowOff>153521</xdr:rowOff>
    </xdr:from>
    <xdr:to>
      <xdr:col>20</xdr:col>
      <xdr:colOff>78441</xdr:colOff>
      <xdr:row>82</xdr:row>
      <xdr:rowOff>80360</xdr:rowOff>
    </xdr:to>
    <xdr:sp macro="" textlink="">
      <xdr:nvSpPr>
        <xdr:cNvPr id="51" name="正方形/長方形 50">
          <a:extLst>
            <a:ext uri="{FF2B5EF4-FFF2-40B4-BE49-F238E27FC236}">
              <a16:creationId xmlns:a16="http://schemas.microsoft.com/office/drawing/2014/main" id="{00000000-0008-0000-0400-000033000000}"/>
            </a:ext>
          </a:extLst>
        </xdr:cNvPr>
        <xdr:cNvSpPr/>
      </xdr:nvSpPr>
      <xdr:spPr>
        <a:xfrm>
          <a:off x="830532" y="12002621"/>
          <a:ext cx="1724409" cy="1184139"/>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43</xdr:col>
      <xdr:colOff>57150</xdr:colOff>
      <xdr:row>52</xdr:row>
      <xdr:rowOff>71646</xdr:rowOff>
    </xdr:from>
    <xdr:to>
      <xdr:col>47</xdr:col>
      <xdr:colOff>37527</xdr:colOff>
      <xdr:row>54</xdr:row>
      <xdr:rowOff>89647</xdr:rowOff>
    </xdr:to>
    <xdr:sp macro="" textlink="">
      <xdr:nvSpPr>
        <xdr:cNvPr id="52" name="角丸四角形 51">
          <a:extLst>
            <a:ext uri="{FF2B5EF4-FFF2-40B4-BE49-F238E27FC236}">
              <a16:creationId xmlns:a16="http://schemas.microsoft.com/office/drawing/2014/main" id="{00000000-0008-0000-0400-000034000000}"/>
            </a:ext>
          </a:extLst>
        </xdr:cNvPr>
        <xdr:cNvSpPr/>
      </xdr:nvSpPr>
      <xdr:spPr>
        <a:xfrm>
          <a:off x="5381625" y="8358396"/>
          <a:ext cx="475677" cy="341851"/>
        </a:xfrm>
        <a:prstGeom prst="roundRect">
          <a:avLst/>
        </a:prstGeom>
        <a:gradFill flip="none" rotWithShape="1">
          <a:gsLst>
            <a:gs pos="0">
              <a:schemeClr val="bg1">
                <a:lumMod val="75000"/>
              </a:schemeClr>
            </a:gs>
            <a:gs pos="51000">
              <a:schemeClr val="bg1">
                <a:lumMod val="95000"/>
              </a:schemeClr>
            </a:gs>
            <a:gs pos="100000">
              <a:schemeClr val="bg1">
                <a:lumMod val="6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800">
              <a:solidFill>
                <a:schemeClr val="tx1"/>
              </a:solidFill>
              <a:latin typeface="+mn-ea"/>
            </a:rPr>
            <a:t>本番リスナー</a:t>
          </a:r>
        </a:p>
      </xdr:txBody>
    </xdr:sp>
    <xdr:clientData/>
  </xdr:twoCellAnchor>
  <xdr:twoCellAnchor>
    <xdr:from>
      <xdr:col>26</xdr:col>
      <xdr:colOff>11645</xdr:colOff>
      <xdr:row>54</xdr:row>
      <xdr:rowOff>151293</xdr:rowOff>
    </xdr:from>
    <xdr:to>
      <xdr:col>28</xdr:col>
      <xdr:colOff>39451</xdr:colOff>
      <xdr:row>56</xdr:row>
      <xdr:rowOff>50226</xdr:rowOff>
    </xdr:to>
    <xdr:sp macro="" textlink="">
      <xdr:nvSpPr>
        <xdr:cNvPr id="53" name="テキスト ボックス 98">
          <a:extLst>
            <a:ext uri="{FF2B5EF4-FFF2-40B4-BE49-F238E27FC236}">
              <a16:creationId xmlns:a16="http://schemas.microsoft.com/office/drawing/2014/main" id="{00000000-0008-0000-0400-000035000000}"/>
            </a:ext>
          </a:extLst>
        </xdr:cNvPr>
        <xdr:cNvSpPr txBox="1"/>
      </xdr:nvSpPr>
      <xdr:spPr>
        <a:xfrm>
          <a:off x="3231095" y="8761893"/>
          <a:ext cx="275456" cy="222783"/>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②</a:t>
          </a:r>
        </a:p>
      </xdr:txBody>
    </xdr:sp>
    <xdr:clientData/>
  </xdr:twoCellAnchor>
  <xdr:twoCellAnchor>
    <xdr:from>
      <xdr:col>21</xdr:col>
      <xdr:colOff>34992</xdr:colOff>
      <xdr:row>76</xdr:row>
      <xdr:rowOff>80426</xdr:rowOff>
    </xdr:from>
    <xdr:to>
      <xdr:col>23</xdr:col>
      <xdr:colOff>51593</xdr:colOff>
      <xdr:row>77</xdr:row>
      <xdr:rowOff>145011</xdr:rowOff>
    </xdr:to>
    <xdr:sp macro="" textlink="">
      <xdr:nvSpPr>
        <xdr:cNvPr id="54" name="テキスト ボックス 99">
          <a:extLst>
            <a:ext uri="{FF2B5EF4-FFF2-40B4-BE49-F238E27FC236}">
              <a16:creationId xmlns:a16="http://schemas.microsoft.com/office/drawing/2014/main" id="{00000000-0008-0000-0400-000036000000}"/>
            </a:ext>
          </a:extLst>
        </xdr:cNvPr>
        <xdr:cNvSpPr txBox="1"/>
      </xdr:nvSpPr>
      <xdr:spPr>
        <a:xfrm>
          <a:off x="2644014" y="12421513"/>
          <a:ext cx="265079" cy="230237"/>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④</a:t>
          </a:r>
        </a:p>
      </xdr:txBody>
    </xdr:sp>
    <xdr:clientData/>
  </xdr:twoCellAnchor>
  <xdr:twoCellAnchor>
    <xdr:from>
      <xdr:col>63</xdr:col>
      <xdr:colOff>9525</xdr:colOff>
      <xdr:row>55</xdr:row>
      <xdr:rowOff>152400</xdr:rowOff>
    </xdr:from>
    <xdr:to>
      <xdr:col>67</xdr:col>
      <xdr:colOff>9525</xdr:colOff>
      <xdr:row>59</xdr:row>
      <xdr:rowOff>85725</xdr:rowOff>
    </xdr:to>
    <xdr:cxnSp macro="">
      <xdr:nvCxnSpPr>
        <xdr:cNvPr id="111614" name="カギ線コネクタ 104">
          <a:extLst>
            <a:ext uri="{FF2B5EF4-FFF2-40B4-BE49-F238E27FC236}">
              <a16:creationId xmlns:a16="http://schemas.microsoft.com/office/drawing/2014/main" id="{00000000-0008-0000-0400-0000FEB30100}"/>
            </a:ext>
          </a:extLst>
        </xdr:cNvPr>
        <xdr:cNvCxnSpPr>
          <a:cxnSpLocks noChangeShapeType="1"/>
          <a:stCxn id="57" idx="4"/>
          <a:endCxn id="39" idx="1"/>
        </xdr:cNvCxnSpPr>
      </xdr:nvCxnSpPr>
      <xdr:spPr bwMode="auto">
        <a:xfrm>
          <a:off x="7810500" y="8924925"/>
          <a:ext cx="495300" cy="581025"/>
        </a:xfrm>
        <a:prstGeom prst="bentConnector3">
          <a:avLst>
            <a:gd name="adj1" fmla="val 50000"/>
          </a:avLst>
        </a:prstGeom>
        <a:noFill/>
        <a:ln w="19050" algn="ctr">
          <a:solidFill>
            <a:srgbClr val="000000"/>
          </a:solidFill>
          <a:prstDash val="dash"/>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64</xdr:col>
      <xdr:colOff>122464</xdr:colOff>
      <xdr:row>65</xdr:row>
      <xdr:rowOff>90299</xdr:rowOff>
    </xdr:from>
    <xdr:to>
      <xdr:col>67</xdr:col>
      <xdr:colOff>26831</xdr:colOff>
      <xdr:row>66</xdr:row>
      <xdr:rowOff>143819</xdr:rowOff>
    </xdr:to>
    <xdr:sp macro="" textlink="">
      <xdr:nvSpPr>
        <xdr:cNvPr id="56" name="テキスト ボックス 99">
          <a:extLst>
            <a:ext uri="{FF2B5EF4-FFF2-40B4-BE49-F238E27FC236}">
              <a16:creationId xmlns:a16="http://schemas.microsoft.com/office/drawing/2014/main" id="{00000000-0008-0000-0400-000038000000}"/>
            </a:ext>
          </a:extLst>
        </xdr:cNvPr>
        <xdr:cNvSpPr txBox="1"/>
      </xdr:nvSpPr>
      <xdr:spPr>
        <a:xfrm>
          <a:off x="8047264" y="10482074"/>
          <a:ext cx="275842" cy="215445"/>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⑥</a:t>
          </a:r>
        </a:p>
      </xdr:txBody>
    </xdr:sp>
    <xdr:clientData/>
  </xdr:twoCellAnchor>
  <xdr:twoCellAnchor>
    <xdr:from>
      <xdr:col>49</xdr:col>
      <xdr:colOff>78437</xdr:colOff>
      <xdr:row>54</xdr:row>
      <xdr:rowOff>132791</xdr:rowOff>
    </xdr:from>
    <xdr:to>
      <xdr:col>63</xdr:col>
      <xdr:colOff>13443</xdr:colOff>
      <xdr:row>57</xdr:row>
      <xdr:rowOff>16596</xdr:rowOff>
    </xdr:to>
    <xdr:sp macro="" textlink="">
      <xdr:nvSpPr>
        <xdr:cNvPr id="57" name="円柱 56">
          <a:extLst>
            <a:ext uri="{FF2B5EF4-FFF2-40B4-BE49-F238E27FC236}">
              <a16:creationId xmlns:a16="http://schemas.microsoft.com/office/drawing/2014/main" id="{00000000-0008-0000-0400-000039000000}"/>
            </a:ext>
          </a:extLst>
        </xdr:cNvPr>
        <xdr:cNvSpPr/>
      </xdr:nvSpPr>
      <xdr:spPr>
        <a:xfrm>
          <a:off x="6145862" y="8743391"/>
          <a:ext cx="1668556" cy="369580"/>
        </a:xfrm>
        <a:prstGeom prst="can">
          <a:avLst>
            <a:gd name="adj" fmla="val 19488"/>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ysClr val="windowText" lastClr="000000"/>
              </a:solidFill>
              <a:latin typeface="+mn-ea"/>
              <a:ea typeface="+mn-ea"/>
            </a:rPr>
            <a:t>本番インスタンス</a:t>
          </a:r>
          <a:r>
            <a:rPr kumimoji="1" lang="en-US" altLang="ja-JP" sz="1000">
              <a:solidFill>
                <a:sysClr val="windowText" lastClr="000000"/>
              </a:solidFill>
              <a:latin typeface="+mn-ea"/>
              <a:ea typeface="+mn-ea"/>
            </a:rPr>
            <a:t>#1</a:t>
          </a:r>
        </a:p>
        <a:p>
          <a:pPr algn="ctr">
            <a:lnSpc>
              <a:spcPts val="1200"/>
            </a:lnSpc>
          </a:pPr>
          <a:endParaRPr kumimoji="1" lang="ja-JP" altLang="en-US" sz="1100">
            <a:solidFill>
              <a:sysClr val="windowText" lastClr="000000"/>
            </a:solidFill>
            <a:latin typeface="+mn-ea"/>
            <a:ea typeface="+mn-ea"/>
          </a:endParaRPr>
        </a:p>
      </xdr:txBody>
    </xdr:sp>
    <xdr:clientData/>
  </xdr:twoCellAnchor>
  <xdr:twoCellAnchor>
    <xdr:from>
      <xdr:col>49</xdr:col>
      <xdr:colOff>89644</xdr:colOff>
      <xdr:row>58</xdr:row>
      <xdr:rowOff>31936</xdr:rowOff>
    </xdr:from>
    <xdr:to>
      <xdr:col>63</xdr:col>
      <xdr:colOff>13444</xdr:colOff>
      <xdr:row>63</xdr:row>
      <xdr:rowOff>86311</xdr:rowOff>
    </xdr:to>
    <xdr:sp macro="" textlink="">
      <xdr:nvSpPr>
        <xdr:cNvPr id="58" name="円柱 57">
          <a:extLst>
            <a:ext uri="{FF2B5EF4-FFF2-40B4-BE49-F238E27FC236}">
              <a16:creationId xmlns:a16="http://schemas.microsoft.com/office/drawing/2014/main" id="{00000000-0008-0000-0400-00003A000000}"/>
            </a:ext>
          </a:extLst>
        </xdr:cNvPr>
        <xdr:cNvSpPr/>
      </xdr:nvSpPr>
      <xdr:spPr>
        <a:xfrm>
          <a:off x="6157069" y="9290236"/>
          <a:ext cx="1657350" cy="864000"/>
        </a:xfrm>
        <a:prstGeom prst="can">
          <a:avLst>
            <a:gd name="adj" fmla="val 21491"/>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nchorCtr="0"/>
        <a:lstStyle/>
        <a:p>
          <a:pPr algn="ctr"/>
          <a:r>
            <a:rPr kumimoji="1" lang="ja-JP" altLang="en-US" sz="1100">
              <a:solidFill>
                <a:sysClr val="windowText" lastClr="000000"/>
              </a:solidFill>
              <a:latin typeface="+mn-ea"/>
              <a:ea typeface="+mn-ea"/>
            </a:rPr>
            <a:t>研修インスタンス</a:t>
          </a:r>
          <a:r>
            <a:rPr kumimoji="1" lang="en-US" altLang="ja-JP" sz="1100">
              <a:solidFill>
                <a:sysClr val="windowText" lastClr="000000"/>
              </a:solidFill>
              <a:latin typeface="+mn-ea"/>
              <a:ea typeface="+mn-ea"/>
            </a:rPr>
            <a:t>#1</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67</xdr:col>
      <xdr:colOff>78577</xdr:colOff>
      <xdr:row>57</xdr:row>
      <xdr:rowOff>132795</xdr:rowOff>
    </xdr:from>
    <xdr:to>
      <xdr:col>78</xdr:col>
      <xdr:colOff>56029</xdr:colOff>
      <xdr:row>59</xdr:row>
      <xdr:rowOff>98055</xdr:rowOff>
    </xdr:to>
    <xdr:sp macro="" textlink="">
      <xdr:nvSpPr>
        <xdr:cNvPr id="59" name="正方形/長方形 58">
          <a:extLst>
            <a:ext uri="{FF2B5EF4-FFF2-40B4-BE49-F238E27FC236}">
              <a16:creationId xmlns:a16="http://schemas.microsoft.com/office/drawing/2014/main" id="{00000000-0008-0000-0400-00003B000000}"/>
            </a:ext>
          </a:extLst>
        </xdr:cNvPr>
        <xdr:cNvSpPr/>
      </xdr:nvSpPr>
      <xdr:spPr>
        <a:xfrm>
          <a:off x="8374852" y="9229170"/>
          <a:ext cx="1339527" cy="289110"/>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78441</xdr:colOff>
      <xdr:row>59</xdr:row>
      <xdr:rowOff>101979</xdr:rowOff>
    </xdr:from>
    <xdr:to>
      <xdr:col>78</xdr:col>
      <xdr:colOff>57709</xdr:colOff>
      <xdr:row>61</xdr:row>
      <xdr:rowOff>67239</xdr:rowOff>
    </xdr:to>
    <xdr:sp macro="" textlink="">
      <xdr:nvSpPr>
        <xdr:cNvPr id="60" name="正方形/長方形 59">
          <a:extLst>
            <a:ext uri="{FF2B5EF4-FFF2-40B4-BE49-F238E27FC236}">
              <a16:creationId xmlns:a16="http://schemas.microsoft.com/office/drawing/2014/main" id="{00000000-0008-0000-0400-00003C000000}"/>
            </a:ext>
          </a:extLst>
        </xdr:cNvPr>
        <xdr:cNvSpPr/>
      </xdr:nvSpPr>
      <xdr:spPr>
        <a:xfrm>
          <a:off x="8374716" y="9522204"/>
          <a:ext cx="1341343" cy="289110"/>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本番０２</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54</xdr:row>
      <xdr:rowOff>54357</xdr:rowOff>
    </xdr:from>
    <xdr:to>
      <xdr:col>78</xdr:col>
      <xdr:colOff>56029</xdr:colOff>
      <xdr:row>55</xdr:row>
      <xdr:rowOff>150343</xdr:rowOff>
    </xdr:to>
    <xdr:sp macro="" textlink="">
      <xdr:nvSpPr>
        <xdr:cNvPr id="61" name="正方形/長方形 60">
          <a:extLst>
            <a:ext uri="{FF2B5EF4-FFF2-40B4-BE49-F238E27FC236}">
              <a16:creationId xmlns:a16="http://schemas.microsoft.com/office/drawing/2014/main" id="{00000000-0008-0000-0400-00003D000000}"/>
            </a:ext>
          </a:extLst>
        </xdr:cNvPr>
        <xdr:cNvSpPr/>
      </xdr:nvSpPr>
      <xdr:spPr>
        <a:xfrm>
          <a:off x="8374851" y="8664957"/>
          <a:ext cx="1339528" cy="257911"/>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ｼｽﾃﾑ表領域</a:t>
          </a:r>
          <a:endParaRPr kumimoji="1" lang="en-US" altLang="ja-JP" sz="1000">
            <a:solidFill>
              <a:sysClr val="windowText" lastClr="000000"/>
            </a:solidFill>
            <a:latin typeface="+mn-ea"/>
            <a:ea typeface="+mn-ea"/>
          </a:endParaRPr>
        </a:p>
      </xdr:txBody>
    </xdr:sp>
    <xdr:clientData/>
  </xdr:twoCellAnchor>
  <xdr:twoCellAnchor>
    <xdr:from>
      <xdr:col>67</xdr:col>
      <xdr:colOff>78441</xdr:colOff>
      <xdr:row>61</xdr:row>
      <xdr:rowOff>68357</xdr:rowOff>
    </xdr:from>
    <xdr:to>
      <xdr:col>78</xdr:col>
      <xdr:colOff>57709</xdr:colOff>
      <xdr:row>63</xdr:row>
      <xdr:rowOff>33618</xdr:rowOff>
    </xdr:to>
    <xdr:sp macro="" textlink="">
      <xdr:nvSpPr>
        <xdr:cNvPr id="62" name="正方形/長方形 61">
          <a:extLst>
            <a:ext uri="{FF2B5EF4-FFF2-40B4-BE49-F238E27FC236}">
              <a16:creationId xmlns:a16="http://schemas.microsoft.com/office/drawing/2014/main" id="{00000000-0008-0000-0400-00003E000000}"/>
            </a:ext>
          </a:extLst>
        </xdr:cNvPr>
        <xdr:cNvSpPr/>
      </xdr:nvSpPr>
      <xdr:spPr>
        <a:xfrm>
          <a:off x="8374716" y="9812432"/>
          <a:ext cx="1341343" cy="289111"/>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本番０３</a:t>
          </a:r>
          <a:endParaRPr kumimoji="1" lang="en-US" altLang="ja-JP" sz="1000">
            <a:solidFill>
              <a:sysClr val="windowText" lastClr="000000"/>
            </a:solidFill>
            <a:latin typeface="+mn-ea"/>
            <a:ea typeface="+mn-ea"/>
          </a:endParaRPr>
        </a:p>
      </xdr:txBody>
    </xdr:sp>
    <xdr:clientData/>
  </xdr:twoCellAnchor>
  <xdr:twoCellAnchor>
    <xdr:from>
      <xdr:col>67</xdr:col>
      <xdr:colOff>78441</xdr:colOff>
      <xdr:row>63</xdr:row>
      <xdr:rowOff>34737</xdr:rowOff>
    </xdr:from>
    <xdr:to>
      <xdr:col>78</xdr:col>
      <xdr:colOff>57709</xdr:colOff>
      <xdr:row>64</xdr:row>
      <xdr:rowOff>156879</xdr:rowOff>
    </xdr:to>
    <xdr:sp macro="" textlink="">
      <xdr:nvSpPr>
        <xdr:cNvPr id="63" name="正方形/長方形 62">
          <a:extLst>
            <a:ext uri="{FF2B5EF4-FFF2-40B4-BE49-F238E27FC236}">
              <a16:creationId xmlns:a16="http://schemas.microsoft.com/office/drawing/2014/main" id="{00000000-0008-0000-0400-00003F000000}"/>
            </a:ext>
          </a:extLst>
        </xdr:cNvPr>
        <xdr:cNvSpPr/>
      </xdr:nvSpPr>
      <xdr:spPr>
        <a:xfrm>
          <a:off x="8374716" y="10102662"/>
          <a:ext cx="1341343" cy="284067"/>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本番０４</a:t>
          </a:r>
          <a:endParaRPr kumimoji="1" lang="en-US" altLang="ja-JP" sz="1000">
            <a:solidFill>
              <a:sysClr val="windowText" lastClr="000000"/>
            </a:solidFill>
            <a:latin typeface="+mn-ea"/>
            <a:ea typeface="+mn-ea"/>
          </a:endParaRPr>
        </a:p>
      </xdr:txBody>
    </xdr:sp>
    <xdr:clientData/>
  </xdr:twoCellAnchor>
  <xdr:twoCellAnchor>
    <xdr:from>
      <xdr:col>67</xdr:col>
      <xdr:colOff>76157</xdr:colOff>
      <xdr:row>70</xdr:row>
      <xdr:rowOff>19051</xdr:rowOff>
    </xdr:from>
    <xdr:to>
      <xdr:col>78</xdr:col>
      <xdr:colOff>56030</xdr:colOff>
      <xdr:row>71</xdr:row>
      <xdr:rowOff>89647</xdr:rowOff>
    </xdr:to>
    <xdr:sp macro="" textlink="">
      <xdr:nvSpPr>
        <xdr:cNvPr id="64" name="正方形/長方形 63">
          <a:extLst>
            <a:ext uri="{FF2B5EF4-FFF2-40B4-BE49-F238E27FC236}">
              <a16:creationId xmlns:a16="http://schemas.microsoft.com/office/drawing/2014/main" id="{00000000-0008-0000-0400-000040000000}"/>
            </a:ext>
          </a:extLst>
        </xdr:cNvPr>
        <xdr:cNvSpPr/>
      </xdr:nvSpPr>
      <xdr:spPr>
        <a:xfrm>
          <a:off x="8334892" y="11023227"/>
          <a:ext cx="1335785" cy="227479"/>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78576</xdr:colOff>
      <xdr:row>71</xdr:row>
      <xdr:rowOff>89091</xdr:rowOff>
    </xdr:from>
    <xdr:to>
      <xdr:col>78</xdr:col>
      <xdr:colOff>56029</xdr:colOff>
      <xdr:row>72</xdr:row>
      <xdr:rowOff>152349</xdr:rowOff>
    </xdr:to>
    <xdr:sp macro="" textlink="">
      <xdr:nvSpPr>
        <xdr:cNvPr id="65" name="正方形/長方形 64">
          <a:extLst>
            <a:ext uri="{FF2B5EF4-FFF2-40B4-BE49-F238E27FC236}">
              <a16:creationId xmlns:a16="http://schemas.microsoft.com/office/drawing/2014/main" id="{00000000-0008-0000-0400-000041000000}"/>
            </a:ext>
          </a:extLst>
        </xdr:cNvPr>
        <xdr:cNvSpPr/>
      </xdr:nvSpPr>
      <xdr:spPr>
        <a:xfrm>
          <a:off x="8337311" y="11250150"/>
          <a:ext cx="1333365" cy="22014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研修０２</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73</xdr:row>
      <xdr:rowOff>1121</xdr:rowOff>
    </xdr:from>
    <xdr:to>
      <xdr:col>78</xdr:col>
      <xdr:colOff>56029</xdr:colOff>
      <xdr:row>74</xdr:row>
      <xdr:rowOff>71716</xdr:rowOff>
    </xdr:to>
    <xdr:sp macro="" textlink="">
      <xdr:nvSpPr>
        <xdr:cNvPr id="66" name="正方形/長方形 65">
          <a:extLst>
            <a:ext uri="{FF2B5EF4-FFF2-40B4-BE49-F238E27FC236}">
              <a16:creationId xmlns:a16="http://schemas.microsoft.com/office/drawing/2014/main" id="{00000000-0008-0000-0400-000042000000}"/>
            </a:ext>
          </a:extLst>
        </xdr:cNvPr>
        <xdr:cNvSpPr/>
      </xdr:nvSpPr>
      <xdr:spPr>
        <a:xfrm>
          <a:off x="8337311" y="11475945"/>
          <a:ext cx="1333365" cy="227477"/>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研修０３</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74</xdr:row>
      <xdr:rowOff>68355</xdr:rowOff>
    </xdr:from>
    <xdr:to>
      <xdr:col>78</xdr:col>
      <xdr:colOff>56029</xdr:colOff>
      <xdr:row>75</xdr:row>
      <xdr:rowOff>138952</xdr:rowOff>
    </xdr:to>
    <xdr:sp macro="" textlink="">
      <xdr:nvSpPr>
        <xdr:cNvPr id="67" name="正方形/長方形 66">
          <a:extLst>
            <a:ext uri="{FF2B5EF4-FFF2-40B4-BE49-F238E27FC236}">
              <a16:creationId xmlns:a16="http://schemas.microsoft.com/office/drawing/2014/main" id="{00000000-0008-0000-0400-000043000000}"/>
            </a:ext>
          </a:extLst>
        </xdr:cNvPr>
        <xdr:cNvSpPr/>
      </xdr:nvSpPr>
      <xdr:spPr>
        <a:xfrm>
          <a:off x="8337311" y="11700061"/>
          <a:ext cx="1333365" cy="227479"/>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研修０４</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66</xdr:row>
      <xdr:rowOff>31937</xdr:rowOff>
    </xdr:from>
    <xdr:to>
      <xdr:col>78</xdr:col>
      <xdr:colOff>56029</xdr:colOff>
      <xdr:row>67</xdr:row>
      <xdr:rowOff>144003</xdr:rowOff>
    </xdr:to>
    <xdr:sp macro="" textlink="">
      <xdr:nvSpPr>
        <xdr:cNvPr id="68" name="正方形/長方形 67">
          <a:extLst>
            <a:ext uri="{FF2B5EF4-FFF2-40B4-BE49-F238E27FC236}">
              <a16:creationId xmlns:a16="http://schemas.microsoft.com/office/drawing/2014/main" id="{00000000-0008-0000-0400-000044000000}"/>
            </a:ext>
          </a:extLst>
        </xdr:cNvPr>
        <xdr:cNvSpPr/>
      </xdr:nvSpPr>
      <xdr:spPr>
        <a:xfrm>
          <a:off x="8374851" y="10585637"/>
          <a:ext cx="1339528" cy="273991"/>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ｼｽﾃﾑ表領域 研修</a:t>
          </a:r>
          <a:endParaRPr kumimoji="1" lang="en-US" altLang="ja-JP" sz="900">
            <a:solidFill>
              <a:sysClr val="windowText" lastClr="000000"/>
            </a:solidFill>
            <a:latin typeface="+mn-ea"/>
            <a:ea typeface="+mn-ea"/>
          </a:endParaRPr>
        </a:p>
      </xdr:txBody>
    </xdr:sp>
    <xdr:clientData/>
  </xdr:twoCellAnchor>
  <xdr:twoCellAnchor>
    <xdr:from>
      <xdr:col>67</xdr:col>
      <xdr:colOff>78576</xdr:colOff>
      <xdr:row>68</xdr:row>
      <xdr:rowOff>20738</xdr:rowOff>
    </xdr:from>
    <xdr:to>
      <xdr:col>78</xdr:col>
      <xdr:colOff>56029</xdr:colOff>
      <xdr:row>69</xdr:row>
      <xdr:rowOff>121584</xdr:rowOff>
    </xdr:to>
    <xdr:sp macro="" textlink="">
      <xdr:nvSpPr>
        <xdr:cNvPr id="69" name="正方形/長方形 68">
          <a:extLst>
            <a:ext uri="{FF2B5EF4-FFF2-40B4-BE49-F238E27FC236}">
              <a16:creationId xmlns:a16="http://schemas.microsoft.com/office/drawing/2014/main" id="{00000000-0008-0000-0400-000045000000}"/>
            </a:ext>
          </a:extLst>
        </xdr:cNvPr>
        <xdr:cNvSpPr/>
      </xdr:nvSpPr>
      <xdr:spPr>
        <a:xfrm>
          <a:off x="8374851" y="10898288"/>
          <a:ext cx="1339528" cy="262771"/>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56</xdr:row>
      <xdr:rowOff>31944</xdr:rowOff>
    </xdr:from>
    <xdr:to>
      <xdr:col>78</xdr:col>
      <xdr:colOff>56029</xdr:colOff>
      <xdr:row>57</xdr:row>
      <xdr:rowOff>75608</xdr:rowOff>
    </xdr:to>
    <xdr:sp macro="" textlink="">
      <xdr:nvSpPr>
        <xdr:cNvPr id="70" name="正方形/長方形 69">
          <a:extLst>
            <a:ext uri="{FF2B5EF4-FFF2-40B4-BE49-F238E27FC236}">
              <a16:creationId xmlns:a16="http://schemas.microsoft.com/office/drawing/2014/main" id="{00000000-0008-0000-0400-000046000000}"/>
            </a:ext>
          </a:extLst>
        </xdr:cNvPr>
        <xdr:cNvSpPr/>
      </xdr:nvSpPr>
      <xdr:spPr>
        <a:xfrm>
          <a:off x="8374851" y="8966394"/>
          <a:ext cx="1339528" cy="205589"/>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26</xdr:col>
      <xdr:colOff>108718</xdr:colOff>
      <xdr:row>62</xdr:row>
      <xdr:rowOff>123759</xdr:rowOff>
    </xdr:from>
    <xdr:to>
      <xdr:col>36</xdr:col>
      <xdr:colOff>89647</xdr:colOff>
      <xdr:row>64</xdr:row>
      <xdr:rowOff>72488</xdr:rowOff>
    </xdr:to>
    <xdr:sp macro="" textlink="">
      <xdr:nvSpPr>
        <xdr:cNvPr id="71" name="角丸四角形 70">
          <a:extLst>
            <a:ext uri="{FF2B5EF4-FFF2-40B4-BE49-F238E27FC236}">
              <a16:creationId xmlns:a16="http://schemas.microsoft.com/office/drawing/2014/main" id="{00000000-0008-0000-0400-000047000000}"/>
            </a:ext>
          </a:extLst>
        </xdr:cNvPr>
        <xdr:cNvSpPr/>
      </xdr:nvSpPr>
      <xdr:spPr>
        <a:xfrm>
          <a:off x="3328168" y="10029759"/>
          <a:ext cx="1219179" cy="272579"/>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26</xdr:col>
      <xdr:colOff>97624</xdr:colOff>
      <xdr:row>80</xdr:row>
      <xdr:rowOff>72423</xdr:rowOff>
    </xdr:from>
    <xdr:to>
      <xdr:col>64</xdr:col>
      <xdr:colOff>44823</xdr:colOff>
      <xdr:row>82</xdr:row>
      <xdr:rowOff>41827</xdr:rowOff>
    </xdr:to>
    <xdr:sp macro="" textlink="">
      <xdr:nvSpPr>
        <xdr:cNvPr id="72" name="角丸四角形 71">
          <a:extLst>
            <a:ext uri="{FF2B5EF4-FFF2-40B4-BE49-F238E27FC236}">
              <a16:creationId xmlns:a16="http://schemas.microsoft.com/office/drawing/2014/main" id="{00000000-0008-0000-0400-000048000000}"/>
            </a:ext>
          </a:extLst>
        </xdr:cNvPr>
        <xdr:cNvSpPr/>
      </xdr:nvSpPr>
      <xdr:spPr>
        <a:xfrm>
          <a:off x="3317074" y="12874023"/>
          <a:ext cx="4652549" cy="274204"/>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48</xdr:col>
      <xdr:colOff>11205</xdr:colOff>
      <xdr:row>68</xdr:row>
      <xdr:rowOff>16460</xdr:rowOff>
    </xdr:from>
    <xdr:to>
      <xdr:col>64</xdr:col>
      <xdr:colOff>11784</xdr:colOff>
      <xdr:row>79</xdr:row>
      <xdr:rowOff>139725</xdr:rowOff>
    </xdr:to>
    <xdr:sp macro="" textlink="">
      <xdr:nvSpPr>
        <xdr:cNvPr id="73" name="角丸四角形 72">
          <a:extLst>
            <a:ext uri="{FF2B5EF4-FFF2-40B4-BE49-F238E27FC236}">
              <a16:creationId xmlns:a16="http://schemas.microsoft.com/office/drawing/2014/main" id="{00000000-0008-0000-0400-000049000000}"/>
            </a:ext>
          </a:extLst>
        </xdr:cNvPr>
        <xdr:cNvSpPr/>
      </xdr:nvSpPr>
      <xdr:spPr>
        <a:xfrm>
          <a:off x="5954805" y="10894010"/>
          <a:ext cx="1981779" cy="1894915"/>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49</xdr:col>
      <xdr:colOff>54926</xdr:colOff>
      <xdr:row>70</xdr:row>
      <xdr:rowOff>61283</xdr:rowOff>
    </xdr:from>
    <xdr:to>
      <xdr:col>62</xdr:col>
      <xdr:colOff>101991</xdr:colOff>
      <xdr:row>72</xdr:row>
      <xdr:rowOff>97433</xdr:rowOff>
    </xdr:to>
    <xdr:sp macro="" textlink="">
      <xdr:nvSpPr>
        <xdr:cNvPr id="74" name="円柱 73">
          <a:extLst>
            <a:ext uri="{FF2B5EF4-FFF2-40B4-BE49-F238E27FC236}">
              <a16:creationId xmlns:a16="http://schemas.microsoft.com/office/drawing/2014/main" id="{00000000-0008-0000-0400-00004A000000}"/>
            </a:ext>
          </a:extLst>
        </xdr:cNvPr>
        <xdr:cNvSpPr/>
      </xdr:nvSpPr>
      <xdr:spPr>
        <a:xfrm>
          <a:off x="6122351" y="11262683"/>
          <a:ext cx="1656790" cy="360000"/>
        </a:xfrm>
        <a:prstGeom prst="can">
          <a:avLst>
            <a:gd name="adj" fmla="val 19488"/>
          </a:avLst>
        </a:prstGeom>
        <a:gradFill flip="none" rotWithShape="1">
          <a:gsLst>
            <a:gs pos="0">
              <a:schemeClr val="bg1">
                <a:lumMod val="75000"/>
              </a:schemeClr>
            </a:gs>
            <a:gs pos="50000">
              <a:srgbClr val="E6E6E6"/>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200"/>
            </a:lnSpc>
          </a:pPr>
          <a:r>
            <a:rPr kumimoji="1" lang="ja-JP" altLang="en-US" sz="1000">
              <a:solidFill>
                <a:sysClr val="windowText" lastClr="000000"/>
              </a:solidFill>
              <a:latin typeface="+mn-ea"/>
              <a:ea typeface="+mn-ea"/>
            </a:rPr>
            <a:t>本番インスタンス</a:t>
          </a:r>
          <a:r>
            <a:rPr kumimoji="1" lang="en-US" altLang="ja-JP" sz="1000">
              <a:solidFill>
                <a:sysClr val="windowText" lastClr="000000"/>
              </a:solidFill>
              <a:latin typeface="+mn-ea"/>
              <a:ea typeface="+mn-ea"/>
            </a:rPr>
            <a:t>#2</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49</xdr:col>
      <xdr:colOff>66133</xdr:colOff>
      <xdr:row>73</xdr:row>
      <xdr:rowOff>131670</xdr:rowOff>
    </xdr:from>
    <xdr:to>
      <xdr:col>63</xdr:col>
      <xdr:colOff>1139</xdr:colOff>
      <xdr:row>79</xdr:row>
      <xdr:rowOff>33645</xdr:rowOff>
    </xdr:to>
    <xdr:sp macro="" textlink="">
      <xdr:nvSpPr>
        <xdr:cNvPr id="75" name="円柱 74">
          <a:extLst>
            <a:ext uri="{FF2B5EF4-FFF2-40B4-BE49-F238E27FC236}">
              <a16:creationId xmlns:a16="http://schemas.microsoft.com/office/drawing/2014/main" id="{00000000-0008-0000-0400-00004B000000}"/>
            </a:ext>
          </a:extLst>
        </xdr:cNvPr>
        <xdr:cNvSpPr/>
      </xdr:nvSpPr>
      <xdr:spPr>
        <a:xfrm>
          <a:off x="6133558" y="11818845"/>
          <a:ext cx="1668556" cy="864000"/>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研修インスタンス</a:t>
          </a:r>
          <a:r>
            <a:rPr kumimoji="1" lang="en-US" altLang="ja-JP" sz="1100">
              <a:solidFill>
                <a:sysClr val="windowText" lastClr="000000"/>
              </a:solidFill>
              <a:latin typeface="+mn-ea"/>
              <a:ea typeface="+mn-ea"/>
            </a:rPr>
            <a:t>#2</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63</xdr:col>
      <xdr:colOff>9525</xdr:colOff>
      <xdr:row>60</xdr:row>
      <xdr:rowOff>133350</xdr:rowOff>
    </xdr:from>
    <xdr:to>
      <xdr:col>67</xdr:col>
      <xdr:colOff>9525</xdr:colOff>
      <xdr:row>71</xdr:row>
      <xdr:rowOff>123825</xdr:rowOff>
    </xdr:to>
    <xdr:cxnSp macro="">
      <xdr:nvCxnSpPr>
        <xdr:cNvPr id="114707" name="カギ線コネクタ 104">
          <a:extLst>
            <a:ext uri="{FF2B5EF4-FFF2-40B4-BE49-F238E27FC236}">
              <a16:creationId xmlns:a16="http://schemas.microsoft.com/office/drawing/2014/main" id="{00000000-0008-0000-0400-000013C00100}"/>
            </a:ext>
          </a:extLst>
        </xdr:cNvPr>
        <xdr:cNvCxnSpPr>
          <a:cxnSpLocks noChangeShapeType="1"/>
          <a:stCxn id="58" idx="4"/>
          <a:endCxn id="38" idx="1"/>
        </xdr:cNvCxnSpPr>
      </xdr:nvCxnSpPr>
      <xdr:spPr bwMode="auto">
        <a:xfrm>
          <a:off x="7810500" y="9715500"/>
          <a:ext cx="495300" cy="1771650"/>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27</xdr:col>
      <xdr:colOff>1121</xdr:colOff>
      <xdr:row>58</xdr:row>
      <xdr:rowOff>138946</xdr:rowOff>
    </xdr:from>
    <xdr:to>
      <xdr:col>36</xdr:col>
      <xdr:colOff>89647</xdr:colOff>
      <xdr:row>60</xdr:row>
      <xdr:rowOff>87965</xdr:rowOff>
    </xdr:to>
    <xdr:sp macro="" textlink="">
      <xdr:nvSpPr>
        <xdr:cNvPr id="77" name="角丸四角形 76">
          <a:extLst>
            <a:ext uri="{FF2B5EF4-FFF2-40B4-BE49-F238E27FC236}">
              <a16:creationId xmlns:a16="http://schemas.microsoft.com/office/drawing/2014/main" id="{00000000-0008-0000-0400-00004D000000}"/>
            </a:ext>
          </a:extLst>
        </xdr:cNvPr>
        <xdr:cNvSpPr/>
      </xdr:nvSpPr>
      <xdr:spPr>
        <a:xfrm>
          <a:off x="3344396" y="9397246"/>
          <a:ext cx="1202951" cy="272869"/>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27</xdr:col>
      <xdr:colOff>0</xdr:colOff>
      <xdr:row>60</xdr:row>
      <xdr:rowOff>132789</xdr:rowOff>
    </xdr:from>
    <xdr:to>
      <xdr:col>36</xdr:col>
      <xdr:colOff>89646</xdr:colOff>
      <xdr:row>62</xdr:row>
      <xdr:rowOff>65553</xdr:rowOff>
    </xdr:to>
    <xdr:sp macro="" textlink="">
      <xdr:nvSpPr>
        <xdr:cNvPr id="78" name="角丸四角形 77">
          <a:extLst>
            <a:ext uri="{FF2B5EF4-FFF2-40B4-BE49-F238E27FC236}">
              <a16:creationId xmlns:a16="http://schemas.microsoft.com/office/drawing/2014/main" id="{00000000-0008-0000-0400-00004E000000}"/>
            </a:ext>
          </a:extLst>
        </xdr:cNvPr>
        <xdr:cNvSpPr/>
      </xdr:nvSpPr>
      <xdr:spPr>
        <a:xfrm>
          <a:off x="3343275" y="9714939"/>
          <a:ext cx="120407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20</xdr:col>
      <xdr:colOff>76200</xdr:colOff>
      <xdr:row>63</xdr:row>
      <xdr:rowOff>161925</xdr:rowOff>
    </xdr:from>
    <xdr:to>
      <xdr:col>23</xdr:col>
      <xdr:colOff>95250</xdr:colOff>
      <xdr:row>78</xdr:row>
      <xdr:rowOff>95250</xdr:rowOff>
    </xdr:to>
    <xdr:cxnSp macro="">
      <xdr:nvCxnSpPr>
        <xdr:cNvPr id="114710" name="カギ線コネクタ 56">
          <a:extLst>
            <a:ext uri="{FF2B5EF4-FFF2-40B4-BE49-F238E27FC236}">
              <a16:creationId xmlns:a16="http://schemas.microsoft.com/office/drawing/2014/main" id="{00000000-0008-0000-0400-000016C00100}"/>
            </a:ext>
          </a:extLst>
        </xdr:cNvPr>
        <xdr:cNvCxnSpPr>
          <a:cxnSpLocks noChangeShapeType="1"/>
          <a:endCxn id="51" idx="3"/>
        </xdr:cNvCxnSpPr>
      </xdr:nvCxnSpPr>
      <xdr:spPr bwMode="auto">
        <a:xfrm rot="5400000">
          <a:off x="1566863" y="11215687"/>
          <a:ext cx="2362200" cy="390525"/>
        </a:xfrm>
        <a:prstGeom prst="bentConnector2">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6</xdr:col>
      <xdr:colOff>81207</xdr:colOff>
      <xdr:row>168</xdr:row>
      <xdr:rowOff>110377</xdr:rowOff>
    </xdr:from>
    <xdr:to>
      <xdr:col>25</xdr:col>
      <xdr:colOff>34001</xdr:colOff>
      <xdr:row>175</xdr:row>
      <xdr:rowOff>125434</xdr:rowOff>
    </xdr:to>
    <xdr:sp macro="" textlink="">
      <xdr:nvSpPr>
        <xdr:cNvPr id="80" name="正方形/長方形 79">
          <a:extLst>
            <a:ext uri="{FF2B5EF4-FFF2-40B4-BE49-F238E27FC236}">
              <a16:creationId xmlns:a16="http://schemas.microsoft.com/office/drawing/2014/main" id="{00000000-0008-0000-0400-000050000000}"/>
            </a:ext>
          </a:extLst>
        </xdr:cNvPr>
        <xdr:cNvSpPr/>
      </xdr:nvSpPr>
      <xdr:spPr>
        <a:xfrm>
          <a:off x="824157" y="20608177"/>
          <a:ext cx="2305469" cy="114853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WAS</a:t>
          </a:r>
          <a:endParaRPr lang="ja-JP" altLang="en-US" sz="1200">
            <a:solidFill>
              <a:schemeClr val="tx1"/>
            </a:solidFill>
            <a:latin typeface="+mn-ea"/>
          </a:endParaRPr>
        </a:p>
      </xdr:txBody>
    </xdr:sp>
    <xdr:clientData/>
  </xdr:twoCellAnchor>
  <xdr:twoCellAnchor>
    <xdr:from>
      <xdr:col>19</xdr:col>
      <xdr:colOff>33618</xdr:colOff>
      <xdr:row>170</xdr:row>
      <xdr:rowOff>22972</xdr:rowOff>
    </xdr:from>
    <xdr:to>
      <xdr:col>24</xdr:col>
      <xdr:colOff>91712</xdr:colOff>
      <xdr:row>174</xdr:row>
      <xdr:rowOff>24645</xdr:rowOff>
    </xdr:to>
    <xdr:sp macro="" textlink="">
      <xdr:nvSpPr>
        <xdr:cNvPr id="81" name="角丸四角形 80">
          <a:extLst>
            <a:ext uri="{FF2B5EF4-FFF2-40B4-BE49-F238E27FC236}">
              <a16:creationId xmlns:a16="http://schemas.microsoft.com/office/drawing/2014/main" id="{00000000-0008-0000-0400-000051000000}"/>
            </a:ext>
          </a:extLst>
        </xdr:cNvPr>
        <xdr:cNvSpPr/>
      </xdr:nvSpPr>
      <xdr:spPr>
        <a:xfrm>
          <a:off x="2375647" y="26558501"/>
          <a:ext cx="674418" cy="629203"/>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1200">
              <a:solidFill>
                <a:schemeClr val="tx1"/>
              </a:solidFill>
              <a:latin typeface="+mn-ea"/>
            </a:rPr>
            <a:t>データソース</a:t>
          </a:r>
        </a:p>
      </xdr:txBody>
    </xdr:sp>
    <xdr:clientData/>
  </xdr:twoCellAnchor>
  <xdr:twoCellAnchor>
    <xdr:from>
      <xdr:col>26</xdr:col>
      <xdr:colOff>67170</xdr:colOff>
      <xdr:row>181</xdr:row>
      <xdr:rowOff>138324</xdr:rowOff>
    </xdr:from>
    <xdr:to>
      <xdr:col>64</xdr:col>
      <xdr:colOff>14369</xdr:colOff>
      <xdr:row>183</xdr:row>
      <xdr:rowOff>107730</xdr:rowOff>
    </xdr:to>
    <xdr:sp macro="" textlink="">
      <xdr:nvSpPr>
        <xdr:cNvPr id="82" name="角丸四角形 81">
          <a:extLst>
            <a:ext uri="{FF2B5EF4-FFF2-40B4-BE49-F238E27FC236}">
              <a16:creationId xmlns:a16="http://schemas.microsoft.com/office/drawing/2014/main" id="{00000000-0008-0000-0400-000052000000}"/>
            </a:ext>
          </a:extLst>
        </xdr:cNvPr>
        <xdr:cNvSpPr/>
      </xdr:nvSpPr>
      <xdr:spPr>
        <a:xfrm>
          <a:off x="3286620" y="22741149"/>
          <a:ext cx="4652549" cy="293256"/>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47</xdr:col>
      <xdr:colOff>92810</xdr:colOff>
      <xdr:row>169</xdr:row>
      <xdr:rowOff>90208</xdr:rowOff>
    </xdr:from>
    <xdr:to>
      <xdr:col>63</xdr:col>
      <xdr:colOff>102914</xdr:colOff>
      <xdr:row>181</xdr:row>
      <xdr:rowOff>59904</xdr:rowOff>
    </xdr:to>
    <xdr:sp macro="" textlink="">
      <xdr:nvSpPr>
        <xdr:cNvPr id="83" name="角丸四角形 82">
          <a:extLst>
            <a:ext uri="{FF2B5EF4-FFF2-40B4-BE49-F238E27FC236}">
              <a16:creationId xmlns:a16="http://schemas.microsoft.com/office/drawing/2014/main" id="{00000000-0008-0000-0400-000053000000}"/>
            </a:ext>
          </a:extLst>
        </xdr:cNvPr>
        <xdr:cNvSpPr/>
      </xdr:nvSpPr>
      <xdr:spPr>
        <a:xfrm>
          <a:off x="5912585" y="20749933"/>
          <a:ext cx="1991304" cy="1912796"/>
        </a:xfrm>
        <a:prstGeom prst="roundRect">
          <a:avLst/>
        </a:prstGeom>
        <a:gradFill flip="none" rotWithShape="1">
          <a:gsLst>
            <a:gs pos="0">
              <a:srgbClr val="66CCFF"/>
            </a:gs>
            <a:gs pos="50000">
              <a:schemeClr val="bg1"/>
            </a:gs>
            <a:gs pos="100000">
              <a:srgbClr val="66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7</xdr:col>
      <xdr:colOff>11205</xdr:colOff>
      <xdr:row>170</xdr:row>
      <xdr:rowOff>35236</xdr:rowOff>
    </xdr:from>
    <xdr:to>
      <xdr:col>18</xdr:col>
      <xdr:colOff>105348</xdr:colOff>
      <xdr:row>172</xdr:row>
      <xdr:rowOff>7138</xdr:rowOff>
    </xdr:to>
    <xdr:sp macro="" textlink="">
      <xdr:nvSpPr>
        <xdr:cNvPr id="84" name="角丸四角形 83">
          <a:extLst>
            <a:ext uri="{FF2B5EF4-FFF2-40B4-BE49-F238E27FC236}">
              <a16:creationId xmlns:a16="http://schemas.microsoft.com/office/drawing/2014/main" id="{00000000-0008-0000-0400-000054000000}"/>
            </a:ext>
          </a:extLst>
        </xdr:cNvPr>
        <xdr:cNvSpPr/>
      </xdr:nvSpPr>
      <xdr:spPr>
        <a:xfrm>
          <a:off x="874058" y="26570765"/>
          <a:ext cx="1450055" cy="285667"/>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音声フロー</a:t>
          </a:r>
        </a:p>
      </xdr:txBody>
    </xdr:sp>
    <xdr:clientData/>
  </xdr:twoCellAnchor>
  <xdr:twoCellAnchor>
    <xdr:from>
      <xdr:col>7</xdr:col>
      <xdr:colOff>5971</xdr:colOff>
      <xdr:row>172</xdr:row>
      <xdr:rowOff>61840</xdr:rowOff>
    </xdr:from>
    <xdr:to>
      <xdr:col>18</xdr:col>
      <xdr:colOff>100853</xdr:colOff>
      <xdr:row>174</xdr:row>
      <xdr:rowOff>24193</xdr:rowOff>
    </xdr:to>
    <xdr:sp macro="" textlink="">
      <xdr:nvSpPr>
        <xdr:cNvPr id="85" name="角丸四角形 84">
          <a:extLst>
            <a:ext uri="{FF2B5EF4-FFF2-40B4-BE49-F238E27FC236}">
              <a16:creationId xmlns:a16="http://schemas.microsoft.com/office/drawing/2014/main" id="{00000000-0008-0000-0400-000055000000}"/>
            </a:ext>
          </a:extLst>
        </xdr:cNvPr>
        <xdr:cNvSpPr/>
      </xdr:nvSpPr>
      <xdr:spPr>
        <a:xfrm>
          <a:off x="868824" y="26911134"/>
          <a:ext cx="1450794" cy="276118"/>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管理画面サーバ</a:t>
          </a:r>
        </a:p>
      </xdr:txBody>
    </xdr:sp>
    <xdr:clientData/>
  </xdr:twoCellAnchor>
  <xdr:twoCellAnchor>
    <xdr:from>
      <xdr:col>6</xdr:col>
      <xdr:colOff>67235</xdr:colOff>
      <xdr:row>191</xdr:row>
      <xdr:rowOff>151279</xdr:rowOff>
    </xdr:from>
    <xdr:to>
      <xdr:col>20</xdr:col>
      <xdr:colOff>58094</xdr:colOff>
      <xdr:row>199</xdr:row>
      <xdr:rowOff>87573</xdr:rowOff>
    </xdr:to>
    <xdr:sp macro="" textlink="">
      <xdr:nvSpPr>
        <xdr:cNvPr id="86" name="正方形/長方形 85">
          <a:extLst>
            <a:ext uri="{FF2B5EF4-FFF2-40B4-BE49-F238E27FC236}">
              <a16:creationId xmlns:a16="http://schemas.microsoft.com/office/drawing/2014/main" id="{00000000-0008-0000-0400-000056000000}"/>
            </a:ext>
          </a:extLst>
        </xdr:cNvPr>
        <xdr:cNvSpPr/>
      </xdr:nvSpPr>
      <xdr:spPr>
        <a:xfrm>
          <a:off x="810185" y="24373354"/>
          <a:ext cx="1724409" cy="119359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43</xdr:col>
      <xdr:colOff>76199</xdr:colOff>
      <xdr:row>169</xdr:row>
      <xdr:rowOff>67159</xdr:rowOff>
    </xdr:from>
    <xdr:to>
      <xdr:col>47</xdr:col>
      <xdr:colOff>17180</xdr:colOff>
      <xdr:row>171</xdr:row>
      <xdr:rowOff>112059</xdr:rowOff>
    </xdr:to>
    <xdr:sp macro="" textlink="">
      <xdr:nvSpPr>
        <xdr:cNvPr id="87" name="角丸四角形 86">
          <a:extLst>
            <a:ext uri="{FF2B5EF4-FFF2-40B4-BE49-F238E27FC236}">
              <a16:creationId xmlns:a16="http://schemas.microsoft.com/office/drawing/2014/main" id="{00000000-0008-0000-0400-000057000000}"/>
            </a:ext>
          </a:extLst>
        </xdr:cNvPr>
        <xdr:cNvSpPr/>
      </xdr:nvSpPr>
      <xdr:spPr>
        <a:xfrm>
          <a:off x="5400674" y="20726884"/>
          <a:ext cx="436281" cy="368750"/>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800">
              <a:solidFill>
                <a:schemeClr val="tx1"/>
              </a:solidFill>
              <a:latin typeface="+mn-ea"/>
            </a:rPr>
            <a:t>本番リスナー</a:t>
          </a:r>
        </a:p>
      </xdr:txBody>
    </xdr:sp>
    <xdr:clientData/>
  </xdr:twoCellAnchor>
  <xdr:twoCellAnchor>
    <xdr:from>
      <xdr:col>49</xdr:col>
      <xdr:colOff>58090</xdr:colOff>
      <xdr:row>171</xdr:row>
      <xdr:rowOff>154080</xdr:rowOff>
    </xdr:from>
    <xdr:to>
      <xdr:col>62</xdr:col>
      <xdr:colOff>105155</xdr:colOff>
      <xdr:row>174</xdr:row>
      <xdr:rowOff>30141</xdr:rowOff>
    </xdr:to>
    <xdr:sp macro="" textlink="">
      <xdr:nvSpPr>
        <xdr:cNvPr id="88" name="円柱 87">
          <a:extLst>
            <a:ext uri="{FF2B5EF4-FFF2-40B4-BE49-F238E27FC236}">
              <a16:creationId xmlns:a16="http://schemas.microsoft.com/office/drawing/2014/main" id="{00000000-0008-0000-0400-000058000000}"/>
            </a:ext>
          </a:extLst>
        </xdr:cNvPr>
        <xdr:cNvSpPr/>
      </xdr:nvSpPr>
      <xdr:spPr>
        <a:xfrm>
          <a:off x="6125515" y="21137655"/>
          <a:ext cx="1656790" cy="361836"/>
        </a:xfrm>
        <a:prstGeom prst="can">
          <a:avLst>
            <a:gd name="adj" fmla="val 19488"/>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200"/>
            </a:lnSpc>
          </a:pPr>
          <a:r>
            <a:rPr kumimoji="1" lang="ja-JP" altLang="en-US" sz="1000">
              <a:solidFill>
                <a:sysClr val="windowText" lastClr="000000"/>
              </a:solidFill>
              <a:latin typeface="+mn-ea"/>
              <a:ea typeface="+mn-ea"/>
            </a:rPr>
            <a:t>本番インスタンス</a:t>
          </a:r>
          <a:r>
            <a:rPr kumimoji="1" lang="en-US" altLang="ja-JP" sz="1000">
              <a:solidFill>
                <a:sysClr val="windowText" lastClr="000000"/>
              </a:solidFill>
              <a:latin typeface="+mn-ea"/>
              <a:ea typeface="+mn-ea"/>
            </a:rPr>
            <a:t>#1</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49</xdr:col>
      <xdr:colOff>50247</xdr:colOff>
      <xdr:row>175</xdr:row>
      <xdr:rowOff>29134</xdr:rowOff>
    </xdr:from>
    <xdr:to>
      <xdr:col>62</xdr:col>
      <xdr:colOff>86106</xdr:colOff>
      <xdr:row>180</xdr:row>
      <xdr:rowOff>85271</xdr:rowOff>
    </xdr:to>
    <xdr:sp macro="" textlink="">
      <xdr:nvSpPr>
        <xdr:cNvPr id="89" name="円柱 88">
          <a:extLst>
            <a:ext uri="{FF2B5EF4-FFF2-40B4-BE49-F238E27FC236}">
              <a16:creationId xmlns:a16="http://schemas.microsoft.com/office/drawing/2014/main" id="{00000000-0008-0000-0400-000059000000}"/>
            </a:ext>
          </a:extLst>
        </xdr:cNvPr>
        <xdr:cNvSpPr/>
      </xdr:nvSpPr>
      <xdr:spPr>
        <a:xfrm>
          <a:off x="6117672" y="21660409"/>
          <a:ext cx="1645584" cy="865762"/>
        </a:xfrm>
        <a:prstGeom prst="can">
          <a:avLst>
            <a:gd name="adj" fmla="val 21491"/>
          </a:avLst>
        </a:prstGeom>
        <a:gradFill flip="none" rotWithShape="1">
          <a:gsLst>
            <a:gs pos="0">
              <a:srgbClr val="00B050"/>
            </a:gs>
            <a:gs pos="50000">
              <a:schemeClr val="bg1"/>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研修インスタンス</a:t>
          </a:r>
          <a:r>
            <a:rPr kumimoji="1" lang="en-US" altLang="ja-JP" sz="1100">
              <a:solidFill>
                <a:sysClr val="windowText" lastClr="000000"/>
              </a:solidFill>
              <a:latin typeface="+mn-ea"/>
              <a:ea typeface="+mn-ea"/>
            </a:rPr>
            <a:t>#1</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67</xdr:col>
      <xdr:colOff>91848</xdr:colOff>
      <xdr:row>174</xdr:row>
      <xdr:rowOff>103098</xdr:rowOff>
    </xdr:from>
    <xdr:to>
      <xdr:col>78</xdr:col>
      <xdr:colOff>58094</xdr:colOff>
      <xdr:row>176</xdr:row>
      <xdr:rowOff>62759</xdr:rowOff>
    </xdr:to>
    <xdr:sp macro="" textlink="">
      <xdr:nvSpPr>
        <xdr:cNvPr id="90" name="正方形/長方形 89">
          <a:extLst>
            <a:ext uri="{FF2B5EF4-FFF2-40B4-BE49-F238E27FC236}">
              <a16:creationId xmlns:a16="http://schemas.microsoft.com/office/drawing/2014/main" id="{00000000-0008-0000-0400-00005A000000}"/>
            </a:ext>
          </a:extLst>
        </xdr:cNvPr>
        <xdr:cNvSpPr/>
      </xdr:nvSpPr>
      <xdr:spPr>
        <a:xfrm>
          <a:off x="8388123" y="21572448"/>
          <a:ext cx="1328321" cy="283511"/>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91712</xdr:colOff>
      <xdr:row>176</xdr:row>
      <xdr:rowOff>72282</xdr:rowOff>
    </xdr:from>
    <xdr:to>
      <xdr:col>78</xdr:col>
      <xdr:colOff>59774</xdr:colOff>
      <xdr:row>178</xdr:row>
      <xdr:rowOff>33439</xdr:rowOff>
    </xdr:to>
    <xdr:sp macro="" textlink="">
      <xdr:nvSpPr>
        <xdr:cNvPr id="91" name="正方形/長方形 90">
          <a:extLst>
            <a:ext uri="{FF2B5EF4-FFF2-40B4-BE49-F238E27FC236}">
              <a16:creationId xmlns:a16="http://schemas.microsoft.com/office/drawing/2014/main" id="{00000000-0008-0000-0400-00005B000000}"/>
            </a:ext>
          </a:extLst>
        </xdr:cNvPr>
        <xdr:cNvSpPr/>
      </xdr:nvSpPr>
      <xdr:spPr>
        <a:xfrm>
          <a:off x="8387987" y="21865482"/>
          <a:ext cx="1330137" cy="285007"/>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本番０２</a:t>
          </a:r>
          <a:endParaRPr kumimoji="1" lang="en-US" altLang="ja-JP" sz="1000">
            <a:solidFill>
              <a:sysClr val="windowText" lastClr="000000"/>
            </a:solidFill>
            <a:latin typeface="+mn-ea"/>
            <a:ea typeface="+mn-ea"/>
          </a:endParaRPr>
        </a:p>
      </xdr:txBody>
    </xdr:sp>
    <xdr:clientData/>
  </xdr:twoCellAnchor>
  <xdr:twoCellAnchor>
    <xdr:from>
      <xdr:col>67</xdr:col>
      <xdr:colOff>91847</xdr:colOff>
      <xdr:row>171</xdr:row>
      <xdr:rowOff>45390</xdr:rowOff>
    </xdr:from>
    <xdr:to>
      <xdr:col>78</xdr:col>
      <xdr:colOff>58094</xdr:colOff>
      <xdr:row>172</xdr:row>
      <xdr:rowOff>136303</xdr:rowOff>
    </xdr:to>
    <xdr:sp macro="" textlink="">
      <xdr:nvSpPr>
        <xdr:cNvPr id="92" name="正方形/長方形 91">
          <a:extLst>
            <a:ext uri="{FF2B5EF4-FFF2-40B4-BE49-F238E27FC236}">
              <a16:creationId xmlns:a16="http://schemas.microsoft.com/office/drawing/2014/main" id="{00000000-0008-0000-0400-00005C000000}"/>
            </a:ext>
          </a:extLst>
        </xdr:cNvPr>
        <xdr:cNvSpPr/>
      </xdr:nvSpPr>
      <xdr:spPr>
        <a:xfrm>
          <a:off x="8388122" y="21028965"/>
          <a:ext cx="1328322" cy="252838"/>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ｼｽﾃﾑ表領域</a:t>
          </a:r>
          <a:endParaRPr kumimoji="1" lang="en-US" altLang="ja-JP" sz="1000">
            <a:solidFill>
              <a:sysClr val="windowText" lastClr="000000"/>
            </a:solidFill>
            <a:latin typeface="+mn-ea"/>
            <a:ea typeface="+mn-ea"/>
          </a:endParaRPr>
        </a:p>
      </xdr:txBody>
    </xdr:sp>
    <xdr:clientData/>
  </xdr:twoCellAnchor>
  <xdr:twoCellAnchor>
    <xdr:from>
      <xdr:col>67</xdr:col>
      <xdr:colOff>91712</xdr:colOff>
      <xdr:row>178</xdr:row>
      <xdr:rowOff>29135</xdr:rowOff>
    </xdr:from>
    <xdr:to>
      <xdr:col>78</xdr:col>
      <xdr:colOff>59774</xdr:colOff>
      <xdr:row>179</xdr:row>
      <xdr:rowOff>145679</xdr:rowOff>
    </xdr:to>
    <xdr:sp macro="" textlink="">
      <xdr:nvSpPr>
        <xdr:cNvPr id="93" name="正方形/長方形 92">
          <a:extLst>
            <a:ext uri="{FF2B5EF4-FFF2-40B4-BE49-F238E27FC236}">
              <a16:creationId xmlns:a16="http://schemas.microsoft.com/office/drawing/2014/main" id="{00000000-0008-0000-0400-00005D000000}"/>
            </a:ext>
          </a:extLst>
        </xdr:cNvPr>
        <xdr:cNvSpPr/>
      </xdr:nvSpPr>
      <xdr:spPr>
        <a:xfrm>
          <a:off x="8387987" y="22146185"/>
          <a:ext cx="1330137" cy="278469"/>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本番０３</a:t>
          </a:r>
          <a:endParaRPr kumimoji="1" lang="en-US" altLang="ja-JP" sz="1000">
            <a:solidFill>
              <a:sysClr val="windowText" lastClr="000000"/>
            </a:solidFill>
            <a:latin typeface="+mn-ea"/>
            <a:ea typeface="+mn-ea"/>
          </a:endParaRPr>
        </a:p>
      </xdr:txBody>
    </xdr:sp>
    <xdr:clientData/>
  </xdr:twoCellAnchor>
  <xdr:twoCellAnchor>
    <xdr:from>
      <xdr:col>67</xdr:col>
      <xdr:colOff>91712</xdr:colOff>
      <xdr:row>179</xdr:row>
      <xdr:rowOff>141191</xdr:rowOff>
    </xdr:from>
    <xdr:to>
      <xdr:col>78</xdr:col>
      <xdr:colOff>59774</xdr:colOff>
      <xdr:row>181</xdr:row>
      <xdr:rowOff>100852</xdr:rowOff>
    </xdr:to>
    <xdr:sp macro="" textlink="">
      <xdr:nvSpPr>
        <xdr:cNvPr id="94" name="正方形/長方形 93">
          <a:extLst>
            <a:ext uri="{FF2B5EF4-FFF2-40B4-BE49-F238E27FC236}">
              <a16:creationId xmlns:a16="http://schemas.microsoft.com/office/drawing/2014/main" id="{00000000-0008-0000-0400-00005E000000}"/>
            </a:ext>
          </a:extLst>
        </xdr:cNvPr>
        <xdr:cNvSpPr/>
      </xdr:nvSpPr>
      <xdr:spPr>
        <a:xfrm>
          <a:off x="8387987" y="22420166"/>
          <a:ext cx="1330137" cy="283511"/>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本番０４</a:t>
          </a:r>
          <a:endParaRPr kumimoji="1" lang="en-US" altLang="ja-JP" sz="1000">
            <a:solidFill>
              <a:sysClr val="windowText" lastClr="000000"/>
            </a:solidFill>
            <a:latin typeface="+mn-ea"/>
            <a:ea typeface="+mn-ea"/>
          </a:endParaRPr>
        </a:p>
      </xdr:txBody>
    </xdr:sp>
    <xdr:clientData/>
  </xdr:twoCellAnchor>
  <xdr:twoCellAnchor>
    <xdr:from>
      <xdr:col>67</xdr:col>
      <xdr:colOff>91847</xdr:colOff>
      <xdr:row>183</xdr:row>
      <xdr:rowOff>3920</xdr:rowOff>
    </xdr:from>
    <xdr:to>
      <xdr:col>78</xdr:col>
      <xdr:colOff>58094</xdr:colOff>
      <xdr:row>184</xdr:row>
      <xdr:rowOff>115986</xdr:rowOff>
    </xdr:to>
    <xdr:sp macro="" textlink="">
      <xdr:nvSpPr>
        <xdr:cNvPr id="99" name="正方形/長方形 98">
          <a:extLst>
            <a:ext uri="{FF2B5EF4-FFF2-40B4-BE49-F238E27FC236}">
              <a16:creationId xmlns:a16="http://schemas.microsoft.com/office/drawing/2014/main" id="{00000000-0008-0000-0400-000063000000}"/>
            </a:ext>
          </a:extLst>
        </xdr:cNvPr>
        <xdr:cNvSpPr/>
      </xdr:nvSpPr>
      <xdr:spPr>
        <a:xfrm>
          <a:off x="8388122" y="22930595"/>
          <a:ext cx="1328322" cy="273991"/>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ｼｽﾃﾑ表領域 研修</a:t>
          </a:r>
          <a:endParaRPr kumimoji="1" lang="en-US" altLang="ja-JP" sz="900">
            <a:solidFill>
              <a:sysClr val="windowText" lastClr="000000"/>
            </a:solidFill>
            <a:latin typeface="+mn-ea"/>
            <a:ea typeface="+mn-ea"/>
          </a:endParaRPr>
        </a:p>
      </xdr:txBody>
    </xdr:sp>
    <xdr:clientData/>
  </xdr:twoCellAnchor>
  <xdr:twoCellAnchor>
    <xdr:from>
      <xdr:col>67</xdr:col>
      <xdr:colOff>91847</xdr:colOff>
      <xdr:row>184</xdr:row>
      <xdr:rowOff>149603</xdr:rowOff>
    </xdr:from>
    <xdr:to>
      <xdr:col>78</xdr:col>
      <xdr:colOff>58094</xdr:colOff>
      <xdr:row>186</xdr:row>
      <xdr:rowOff>86226</xdr:rowOff>
    </xdr:to>
    <xdr:sp macro="" textlink="">
      <xdr:nvSpPr>
        <xdr:cNvPr id="100" name="正方形/長方形 99">
          <a:extLst>
            <a:ext uri="{FF2B5EF4-FFF2-40B4-BE49-F238E27FC236}">
              <a16:creationId xmlns:a16="http://schemas.microsoft.com/office/drawing/2014/main" id="{00000000-0008-0000-0400-000064000000}"/>
            </a:ext>
          </a:extLst>
        </xdr:cNvPr>
        <xdr:cNvSpPr/>
      </xdr:nvSpPr>
      <xdr:spPr>
        <a:xfrm>
          <a:off x="8388122" y="23238203"/>
          <a:ext cx="1328322" cy="260473"/>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67</xdr:col>
      <xdr:colOff>91847</xdr:colOff>
      <xdr:row>173</xdr:row>
      <xdr:rowOff>11772</xdr:rowOff>
    </xdr:from>
    <xdr:to>
      <xdr:col>78</xdr:col>
      <xdr:colOff>58094</xdr:colOff>
      <xdr:row>174</xdr:row>
      <xdr:rowOff>52633</xdr:rowOff>
    </xdr:to>
    <xdr:sp macro="" textlink="">
      <xdr:nvSpPr>
        <xdr:cNvPr id="101" name="正方形/長方形 100">
          <a:extLst>
            <a:ext uri="{FF2B5EF4-FFF2-40B4-BE49-F238E27FC236}">
              <a16:creationId xmlns:a16="http://schemas.microsoft.com/office/drawing/2014/main" id="{00000000-0008-0000-0400-000065000000}"/>
            </a:ext>
          </a:extLst>
        </xdr:cNvPr>
        <xdr:cNvSpPr/>
      </xdr:nvSpPr>
      <xdr:spPr>
        <a:xfrm>
          <a:off x="8388122" y="21319197"/>
          <a:ext cx="1328322" cy="202786"/>
        </a:xfrm>
        <a:prstGeom prst="rect">
          <a:avLst/>
        </a:prstGeom>
        <a:solidFill>
          <a:schemeClr val="bg1">
            <a:lumMod val="8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26</xdr:col>
      <xdr:colOff>77277</xdr:colOff>
      <xdr:row>197</xdr:row>
      <xdr:rowOff>68500</xdr:rowOff>
    </xdr:from>
    <xdr:to>
      <xdr:col>64</xdr:col>
      <xdr:colOff>24476</xdr:colOff>
      <xdr:row>199</xdr:row>
      <xdr:rowOff>37904</xdr:rowOff>
    </xdr:to>
    <xdr:sp macro="" textlink="">
      <xdr:nvSpPr>
        <xdr:cNvPr id="102" name="角丸四角形 101">
          <a:extLst>
            <a:ext uri="{FF2B5EF4-FFF2-40B4-BE49-F238E27FC236}">
              <a16:creationId xmlns:a16="http://schemas.microsoft.com/office/drawing/2014/main" id="{00000000-0008-0000-0400-000066000000}"/>
            </a:ext>
          </a:extLst>
        </xdr:cNvPr>
        <xdr:cNvSpPr/>
      </xdr:nvSpPr>
      <xdr:spPr>
        <a:xfrm>
          <a:off x="3296727" y="25243075"/>
          <a:ext cx="4652549" cy="274204"/>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49</xdr:col>
      <xdr:colOff>34579</xdr:colOff>
      <xdr:row>187</xdr:row>
      <xdr:rowOff>66885</xdr:rowOff>
    </xdr:from>
    <xdr:to>
      <xdr:col>62</xdr:col>
      <xdr:colOff>81644</xdr:colOff>
      <xdr:row>189</xdr:row>
      <xdr:rowOff>103035</xdr:rowOff>
    </xdr:to>
    <xdr:sp macro="" textlink="">
      <xdr:nvSpPr>
        <xdr:cNvPr id="103" name="円柱 102">
          <a:extLst>
            <a:ext uri="{FF2B5EF4-FFF2-40B4-BE49-F238E27FC236}">
              <a16:creationId xmlns:a16="http://schemas.microsoft.com/office/drawing/2014/main" id="{00000000-0008-0000-0400-000067000000}"/>
            </a:ext>
          </a:extLst>
        </xdr:cNvPr>
        <xdr:cNvSpPr/>
      </xdr:nvSpPr>
      <xdr:spPr>
        <a:xfrm>
          <a:off x="6102004" y="23641260"/>
          <a:ext cx="1656790" cy="360000"/>
        </a:xfrm>
        <a:prstGeom prst="can">
          <a:avLst>
            <a:gd name="adj" fmla="val 19488"/>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200"/>
            </a:lnSpc>
          </a:pPr>
          <a:r>
            <a:rPr kumimoji="1" lang="ja-JP" altLang="en-US" sz="1000">
              <a:solidFill>
                <a:sysClr val="windowText" lastClr="000000"/>
              </a:solidFill>
              <a:latin typeface="+mn-ea"/>
              <a:ea typeface="+mn-ea"/>
            </a:rPr>
            <a:t>本番インスタンス</a:t>
          </a:r>
          <a:r>
            <a:rPr kumimoji="1" lang="en-US" altLang="ja-JP" sz="1000">
              <a:solidFill>
                <a:sysClr val="windowText" lastClr="000000"/>
              </a:solidFill>
              <a:latin typeface="+mn-ea"/>
              <a:ea typeface="+mn-ea"/>
            </a:rPr>
            <a:t>#2</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49</xdr:col>
      <xdr:colOff>26736</xdr:colOff>
      <xdr:row>190</xdr:row>
      <xdr:rowOff>88176</xdr:rowOff>
    </xdr:from>
    <xdr:to>
      <xdr:col>62</xdr:col>
      <xdr:colOff>73801</xdr:colOff>
      <xdr:row>195</xdr:row>
      <xdr:rowOff>152082</xdr:rowOff>
    </xdr:to>
    <xdr:sp macro="" textlink="">
      <xdr:nvSpPr>
        <xdr:cNvPr id="104" name="円柱 103">
          <a:extLst>
            <a:ext uri="{FF2B5EF4-FFF2-40B4-BE49-F238E27FC236}">
              <a16:creationId xmlns:a16="http://schemas.microsoft.com/office/drawing/2014/main" id="{00000000-0008-0000-0400-000068000000}"/>
            </a:ext>
          </a:extLst>
        </xdr:cNvPr>
        <xdr:cNvSpPr/>
      </xdr:nvSpPr>
      <xdr:spPr>
        <a:xfrm>
          <a:off x="6094161" y="24148326"/>
          <a:ext cx="1656790" cy="873531"/>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研修インスタンス</a:t>
          </a:r>
          <a:r>
            <a:rPr kumimoji="1" lang="en-US" altLang="ja-JP" sz="1100">
              <a:solidFill>
                <a:sysClr val="windowText" lastClr="000000"/>
              </a:solidFill>
              <a:latin typeface="+mn-ea"/>
              <a:ea typeface="+mn-ea"/>
            </a:rPr>
            <a:t>#2</a:t>
          </a:r>
        </a:p>
        <a:p>
          <a:pPr algn="ctr">
            <a:lnSpc>
              <a:spcPts val="1200"/>
            </a:lnSpc>
          </a:pPr>
          <a:endParaRPr kumimoji="1" lang="ja-JP" altLang="en-US" sz="1000">
            <a:solidFill>
              <a:sysClr val="windowText" lastClr="000000"/>
            </a:solidFill>
            <a:latin typeface="+mn-ea"/>
            <a:ea typeface="+mn-ea"/>
          </a:endParaRPr>
        </a:p>
      </xdr:txBody>
    </xdr:sp>
    <xdr:clientData/>
  </xdr:twoCellAnchor>
  <xdr:twoCellAnchor>
    <xdr:from>
      <xdr:col>62</xdr:col>
      <xdr:colOff>85725</xdr:colOff>
      <xdr:row>177</xdr:row>
      <xdr:rowOff>133350</xdr:rowOff>
    </xdr:from>
    <xdr:to>
      <xdr:col>67</xdr:col>
      <xdr:colOff>9525</xdr:colOff>
      <xdr:row>188</xdr:row>
      <xdr:rowOff>95250</xdr:rowOff>
    </xdr:to>
    <xdr:cxnSp macro="">
      <xdr:nvCxnSpPr>
        <xdr:cNvPr id="114732" name="カギ線コネクタ 104">
          <a:extLst>
            <a:ext uri="{FF2B5EF4-FFF2-40B4-BE49-F238E27FC236}">
              <a16:creationId xmlns:a16="http://schemas.microsoft.com/office/drawing/2014/main" id="{00000000-0008-0000-0400-00002CC00100}"/>
            </a:ext>
          </a:extLst>
        </xdr:cNvPr>
        <xdr:cNvCxnSpPr>
          <a:cxnSpLocks noChangeShapeType="1"/>
          <a:stCxn id="89" idx="4"/>
          <a:endCxn id="35" idx="1"/>
        </xdr:cNvCxnSpPr>
      </xdr:nvCxnSpPr>
      <xdr:spPr bwMode="auto">
        <a:xfrm>
          <a:off x="7762875" y="28203525"/>
          <a:ext cx="542925" cy="1743075"/>
        </a:xfrm>
        <a:prstGeom prst="bentConnector3">
          <a:avLst>
            <a:gd name="adj1" fmla="val 62417"/>
          </a:avLst>
        </a:prstGeom>
        <a:noFill/>
        <a:ln w="19050" algn="ctr">
          <a:solidFill>
            <a:srgbClr val="000000"/>
          </a:solidFill>
          <a:prstDash val="sysDot"/>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62</xdr:col>
      <xdr:colOff>104775</xdr:colOff>
      <xdr:row>173</xdr:row>
      <xdr:rowOff>9525</xdr:rowOff>
    </xdr:from>
    <xdr:to>
      <xdr:col>67</xdr:col>
      <xdr:colOff>9525</xdr:colOff>
      <xdr:row>176</xdr:row>
      <xdr:rowOff>57150</xdr:rowOff>
    </xdr:to>
    <xdr:cxnSp macro="">
      <xdr:nvCxnSpPr>
        <xdr:cNvPr id="114733" name="カギ線コネクタ 104">
          <a:extLst>
            <a:ext uri="{FF2B5EF4-FFF2-40B4-BE49-F238E27FC236}">
              <a16:creationId xmlns:a16="http://schemas.microsoft.com/office/drawing/2014/main" id="{00000000-0008-0000-0400-00002DC00100}"/>
            </a:ext>
          </a:extLst>
        </xdr:cNvPr>
        <xdr:cNvCxnSpPr>
          <a:cxnSpLocks noChangeShapeType="1"/>
          <a:stCxn id="88" idx="4"/>
          <a:endCxn id="36" idx="1"/>
        </xdr:cNvCxnSpPr>
      </xdr:nvCxnSpPr>
      <xdr:spPr bwMode="auto">
        <a:xfrm>
          <a:off x="7781925" y="27432000"/>
          <a:ext cx="523875" cy="533400"/>
        </a:xfrm>
        <a:prstGeom prst="bentConnector3">
          <a:avLst>
            <a:gd name="adj1" fmla="val 67162"/>
          </a:avLst>
        </a:prstGeom>
        <a:noFill/>
        <a:ln w="19050" algn="ctr">
          <a:solidFill>
            <a:srgbClr val="000000"/>
          </a:solidFill>
          <a:prstDash val="dash"/>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10</xdr:col>
      <xdr:colOff>2580</xdr:colOff>
      <xdr:row>193</xdr:row>
      <xdr:rowOff>122719</xdr:rowOff>
    </xdr:from>
    <xdr:to>
      <xdr:col>12</xdr:col>
      <xdr:colOff>30385</xdr:colOff>
      <xdr:row>195</xdr:row>
      <xdr:rowOff>21651</xdr:rowOff>
    </xdr:to>
    <xdr:sp macro="" textlink="">
      <xdr:nvSpPr>
        <xdr:cNvPr id="107" name="テキスト ボックス 99">
          <a:extLst>
            <a:ext uri="{FF2B5EF4-FFF2-40B4-BE49-F238E27FC236}">
              <a16:creationId xmlns:a16="http://schemas.microsoft.com/office/drawing/2014/main" id="{00000000-0008-0000-0400-00006B000000}"/>
            </a:ext>
          </a:extLst>
        </xdr:cNvPr>
        <xdr:cNvSpPr txBox="1"/>
      </xdr:nvSpPr>
      <xdr:spPr>
        <a:xfrm>
          <a:off x="1240830" y="24668644"/>
          <a:ext cx="275455" cy="222782"/>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B</a:t>
          </a:r>
          <a:endParaRPr lang="ja-JP" altLang="en-US" sz="1200">
            <a:latin typeface="+mn-ea"/>
            <a:ea typeface="+mn-ea"/>
          </a:endParaRPr>
        </a:p>
      </xdr:txBody>
    </xdr:sp>
    <xdr:clientData/>
  </xdr:twoCellAnchor>
  <xdr:twoCellAnchor>
    <xdr:from>
      <xdr:col>76</xdr:col>
      <xdr:colOff>91105</xdr:colOff>
      <xdr:row>169</xdr:row>
      <xdr:rowOff>11221</xdr:rowOff>
    </xdr:from>
    <xdr:to>
      <xdr:col>79</xdr:col>
      <xdr:colOff>6852</xdr:colOff>
      <xdr:row>170</xdr:row>
      <xdr:rowOff>81044</xdr:rowOff>
    </xdr:to>
    <xdr:sp macro="" textlink="">
      <xdr:nvSpPr>
        <xdr:cNvPr id="108" name="テキスト ボックス 99">
          <a:extLst>
            <a:ext uri="{FF2B5EF4-FFF2-40B4-BE49-F238E27FC236}">
              <a16:creationId xmlns:a16="http://schemas.microsoft.com/office/drawing/2014/main" id="{00000000-0008-0000-0400-00006C000000}"/>
            </a:ext>
          </a:extLst>
        </xdr:cNvPr>
        <xdr:cNvSpPr txBox="1"/>
      </xdr:nvSpPr>
      <xdr:spPr>
        <a:xfrm>
          <a:off x="9501805" y="20670946"/>
          <a:ext cx="287222" cy="23174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C</a:t>
          </a:r>
          <a:endParaRPr lang="ja-JP" altLang="en-US" sz="1200">
            <a:latin typeface="+mn-ea"/>
            <a:ea typeface="+mn-ea"/>
          </a:endParaRPr>
        </a:p>
      </xdr:txBody>
    </xdr:sp>
    <xdr:clientData/>
  </xdr:twoCellAnchor>
  <xdr:twoCellAnchor>
    <xdr:from>
      <xdr:col>55</xdr:col>
      <xdr:colOff>7621</xdr:colOff>
      <xdr:row>175</xdr:row>
      <xdr:rowOff>2816</xdr:rowOff>
    </xdr:from>
    <xdr:to>
      <xdr:col>57</xdr:col>
      <xdr:colOff>35427</xdr:colOff>
      <xdr:row>176</xdr:row>
      <xdr:rowOff>58631</xdr:rowOff>
    </xdr:to>
    <xdr:sp macro="" textlink="">
      <xdr:nvSpPr>
        <xdr:cNvPr id="109" name="テキスト ボックス 99">
          <a:extLst>
            <a:ext uri="{FF2B5EF4-FFF2-40B4-BE49-F238E27FC236}">
              <a16:creationId xmlns:a16="http://schemas.microsoft.com/office/drawing/2014/main" id="{00000000-0008-0000-0400-00006D000000}"/>
            </a:ext>
          </a:extLst>
        </xdr:cNvPr>
        <xdr:cNvSpPr txBox="1"/>
      </xdr:nvSpPr>
      <xdr:spPr>
        <a:xfrm>
          <a:off x="6817996" y="21634091"/>
          <a:ext cx="275456" cy="217740"/>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A</a:t>
          </a:r>
          <a:endParaRPr lang="ja-JP" altLang="en-US" sz="1200">
            <a:latin typeface="+mn-ea"/>
            <a:ea typeface="+mn-ea"/>
          </a:endParaRPr>
        </a:p>
      </xdr:txBody>
    </xdr:sp>
    <xdr:clientData/>
  </xdr:twoCellAnchor>
  <xdr:oneCellAnchor>
    <xdr:from>
      <xdr:col>43</xdr:col>
      <xdr:colOff>122596</xdr:colOff>
      <xdr:row>56</xdr:row>
      <xdr:rowOff>131669</xdr:rowOff>
    </xdr:from>
    <xdr:ext cx="440618" cy="1219200"/>
    <xdr:sp macro="" textlink="">
      <xdr:nvSpPr>
        <xdr:cNvPr id="110" name="角丸四角形 109">
          <a:extLst>
            <a:ext uri="{FF2B5EF4-FFF2-40B4-BE49-F238E27FC236}">
              <a16:creationId xmlns:a16="http://schemas.microsoft.com/office/drawing/2014/main" id="{00000000-0008-0000-0400-00006E000000}"/>
            </a:ext>
          </a:extLst>
        </xdr:cNvPr>
        <xdr:cNvSpPr/>
      </xdr:nvSpPr>
      <xdr:spPr>
        <a:xfrm>
          <a:off x="5447071" y="9066119"/>
          <a:ext cx="440618" cy="1219200"/>
        </a:xfrm>
        <a:prstGeom prst="roundRect">
          <a:avLst/>
        </a:prstGeom>
        <a:gradFill flip="none" rotWithShape="1">
          <a:gsLst>
            <a:gs pos="0">
              <a:srgbClr val="99FFCC"/>
            </a:gs>
            <a:gs pos="50000">
              <a:schemeClr val="bg1"/>
            </a:gs>
            <a:gs pos="100000">
              <a:srgbClr val="99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eaVert"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100">
              <a:solidFill>
                <a:schemeClr val="tx1"/>
              </a:solidFill>
              <a:latin typeface="+mn-ea"/>
            </a:rPr>
            <a:t>研修リスナー</a:t>
          </a:r>
        </a:p>
      </xdr:txBody>
    </xdr:sp>
    <xdr:clientData/>
  </xdr:oneCellAnchor>
  <xdr:twoCellAnchor>
    <xdr:from>
      <xdr:col>44</xdr:col>
      <xdr:colOff>28575</xdr:colOff>
      <xdr:row>189</xdr:row>
      <xdr:rowOff>34178</xdr:rowOff>
    </xdr:from>
    <xdr:to>
      <xdr:col>47</xdr:col>
      <xdr:colOff>47634</xdr:colOff>
      <xdr:row>197</xdr:row>
      <xdr:rowOff>17785</xdr:rowOff>
    </xdr:to>
    <xdr:sp macro="" textlink="">
      <xdr:nvSpPr>
        <xdr:cNvPr id="111" name="角丸四角形 110">
          <a:extLst>
            <a:ext uri="{FF2B5EF4-FFF2-40B4-BE49-F238E27FC236}">
              <a16:creationId xmlns:a16="http://schemas.microsoft.com/office/drawing/2014/main" id="{00000000-0008-0000-0400-00006F000000}"/>
            </a:ext>
          </a:extLst>
        </xdr:cNvPr>
        <xdr:cNvSpPr/>
      </xdr:nvSpPr>
      <xdr:spPr>
        <a:xfrm>
          <a:off x="5476875" y="23932403"/>
          <a:ext cx="390534" cy="1259957"/>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eaVert"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100">
              <a:solidFill>
                <a:schemeClr val="tx1"/>
              </a:solidFill>
              <a:latin typeface="+mn-ea"/>
            </a:rPr>
            <a:t>研修リスナー</a:t>
          </a:r>
        </a:p>
      </xdr:txBody>
    </xdr:sp>
    <xdr:clientData/>
  </xdr:twoCellAnchor>
  <xdr:twoCellAnchor>
    <xdr:from>
      <xdr:col>27</xdr:col>
      <xdr:colOff>22411</xdr:colOff>
      <xdr:row>56</xdr:row>
      <xdr:rowOff>143997</xdr:rowOff>
    </xdr:from>
    <xdr:to>
      <xdr:col>36</xdr:col>
      <xdr:colOff>112058</xdr:colOff>
      <xdr:row>58</xdr:row>
      <xdr:rowOff>100853</xdr:rowOff>
    </xdr:to>
    <xdr:sp macro="" textlink="">
      <xdr:nvSpPr>
        <xdr:cNvPr id="112" name="角丸四角形 111">
          <a:extLst>
            <a:ext uri="{FF2B5EF4-FFF2-40B4-BE49-F238E27FC236}">
              <a16:creationId xmlns:a16="http://schemas.microsoft.com/office/drawing/2014/main" id="{00000000-0008-0000-0400-000070000000}"/>
            </a:ext>
          </a:extLst>
        </xdr:cNvPr>
        <xdr:cNvSpPr/>
      </xdr:nvSpPr>
      <xdr:spPr>
        <a:xfrm>
          <a:off x="3365686" y="9078447"/>
          <a:ext cx="1204072" cy="280706"/>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26</xdr:col>
      <xdr:colOff>67237</xdr:colOff>
      <xdr:row>179</xdr:row>
      <xdr:rowOff>143376</xdr:rowOff>
    </xdr:from>
    <xdr:to>
      <xdr:col>36</xdr:col>
      <xdr:colOff>48166</xdr:colOff>
      <xdr:row>181</xdr:row>
      <xdr:rowOff>92104</xdr:rowOff>
    </xdr:to>
    <xdr:sp macro="" textlink="">
      <xdr:nvSpPr>
        <xdr:cNvPr id="113" name="角丸四角形 112">
          <a:extLst>
            <a:ext uri="{FF2B5EF4-FFF2-40B4-BE49-F238E27FC236}">
              <a16:creationId xmlns:a16="http://schemas.microsoft.com/office/drawing/2014/main" id="{00000000-0008-0000-0400-000071000000}"/>
            </a:ext>
          </a:extLst>
        </xdr:cNvPr>
        <xdr:cNvSpPr/>
      </xdr:nvSpPr>
      <xdr:spPr>
        <a:xfrm>
          <a:off x="3286687" y="22422351"/>
          <a:ext cx="1219179" cy="272578"/>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26</xdr:col>
      <xdr:colOff>82905</xdr:colOff>
      <xdr:row>176</xdr:row>
      <xdr:rowOff>0</xdr:rowOff>
    </xdr:from>
    <xdr:to>
      <xdr:col>36</xdr:col>
      <xdr:colOff>48166</xdr:colOff>
      <xdr:row>177</xdr:row>
      <xdr:rowOff>105901</xdr:rowOff>
    </xdr:to>
    <xdr:sp macro="" textlink="">
      <xdr:nvSpPr>
        <xdr:cNvPr id="114" name="角丸四角形 113">
          <a:extLst>
            <a:ext uri="{FF2B5EF4-FFF2-40B4-BE49-F238E27FC236}">
              <a16:creationId xmlns:a16="http://schemas.microsoft.com/office/drawing/2014/main" id="{00000000-0008-0000-0400-000072000000}"/>
            </a:ext>
          </a:extLst>
        </xdr:cNvPr>
        <xdr:cNvSpPr/>
      </xdr:nvSpPr>
      <xdr:spPr>
        <a:xfrm>
          <a:off x="3287787" y="21515294"/>
          <a:ext cx="1197908" cy="262783"/>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26</xdr:col>
      <xdr:colOff>81784</xdr:colOff>
      <xdr:row>177</xdr:row>
      <xdr:rowOff>150725</xdr:rowOff>
    </xdr:from>
    <xdr:to>
      <xdr:col>36</xdr:col>
      <xdr:colOff>48165</xdr:colOff>
      <xdr:row>179</xdr:row>
      <xdr:rowOff>85149</xdr:rowOff>
    </xdr:to>
    <xdr:sp macro="" textlink="">
      <xdr:nvSpPr>
        <xdr:cNvPr id="115" name="角丸四角形 114">
          <a:extLst>
            <a:ext uri="{FF2B5EF4-FFF2-40B4-BE49-F238E27FC236}">
              <a16:creationId xmlns:a16="http://schemas.microsoft.com/office/drawing/2014/main" id="{00000000-0008-0000-0400-000073000000}"/>
            </a:ext>
          </a:extLst>
        </xdr:cNvPr>
        <xdr:cNvSpPr/>
      </xdr:nvSpPr>
      <xdr:spPr>
        <a:xfrm>
          <a:off x="3286666" y="21822901"/>
          <a:ext cx="1199028" cy="24818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26</xdr:col>
      <xdr:colOff>70578</xdr:colOff>
      <xdr:row>173</xdr:row>
      <xdr:rowOff>145677</xdr:rowOff>
    </xdr:from>
    <xdr:to>
      <xdr:col>36</xdr:col>
      <xdr:colOff>44824</xdr:colOff>
      <xdr:row>175</xdr:row>
      <xdr:rowOff>117109</xdr:rowOff>
    </xdr:to>
    <xdr:sp macro="" textlink="">
      <xdr:nvSpPr>
        <xdr:cNvPr id="116" name="角丸四角形 115">
          <a:extLst>
            <a:ext uri="{FF2B5EF4-FFF2-40B4-BE49-F238E27FC236}">
              <a16:creationId xmlns:a16="http://schemas.microsoft.com/office/drawing/2014/main" id="{00000000-0008-0000-0400-000074000000}"/>
            </a:ext>
          </a:extLst>
        </xdr:cNvPr>
        <xdr:cNvSpPr/>
      </xdr:nvSpPr>
      <xdr:spPr>
        <a:xfrm>
          <a:off x="3275460" y="21190324"/>
          <a:ext cx="1206893" cy="285197"/>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20</xdr:col>
      <xdr:colOff>57150</xdr:colOff>
      <xdr:row>181</xdr:row>
      <xdr:rowOff>9525</xdr:rowOff>
    </xdr:from>
    <xdr:to>
      <xdr:col>24</xdr:col>
      <xdr:colOff>66675</xdr:colOff>
      <xdr:row>195</xdr:row>
      <xdr:rowOff>95250</xdr:rowOff>
    </xdr:to>
    <xdr:cxnSp macro="">
      <xdr:nvCxnSpPr>
        <xdr:cNvPr id="114744" name="カギ線コネクタ 56">
          <a:extLst>
            <a:ext uri="{FF2B5EF4-FFF2-40B4-BE49-F238E27FC236}">
              <a16:creationId xmlns:a16="http://schemas.microsoft.com/office/drawing/2014/main" id="{00000000-0008-0000-0400-000038C00100}"/>
            </a:ext>
          </a:extLst>
        </xdr:cNvPr>
        <xdr:cNvCxnSpPr>
          <a:cxnSpLocks noChangeShapeType="1"/>
          <a:endCxn id="86" idx="3"/>
        </xdr:cNvCxnSpPr>
      </xdr:nvCxnSpPr>
      <xdr:spPr bwMode="auto">
        <a:xfrm rot="5400000">
          <a:off x="1609725" y="29651325"/>
          <a:ext cx="2352675" cy="504825"/>
        </a:xfrm>
        <a:prstGeom prst="bentConnector2">
          <a:avLst/>
        </a:prstGeom>
        <a:noFill/>
        <a:ln w="19050" algn="ctr">
          <a:solidFill>
            <a:srgbClr val="000000"/>
          </a:solidFill>
          <a:prstDash val="sysDot"/>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18</xdr:col>
      <xdr:colOff>78441</xdr:colOff>
      <xdr:row>54</xdr:row>
      <xdr:rowOff>52564</xdr:rowOff>
    </xdr:from>
    <xdr:to>
      <xdr:col>49</xdr:col>
      <xdr:colOff>104775</xdr:colOff>
      <xdr:row>59</xdr:row>
      <xdr:rowOff>38100</xdr:rowOff>
    </xdr:to>
    <xdr:cxnSp macro="">
      <xdr:nvCxnSpPr>
        <xdr:cNvPr id="114745" name="カギ線コネクタ 22">
          <a:extLst>
            <a:ext uri="{FF2B5EF4-FFF2-40B4-BE49-F238E27FC236}">
              <a16:creationId xmlns:a16="http://schemas.microsoft.com/office/drawing/2014/main" id="{00000000-0008-0000-0400-000039C00100}"/>
            </a:ext>
          </a:extLst>
        </xdr:cNvPr>
        <xdr:cNvCxnSpPr>
          <a:cxnSpLocks noChangeShapeType="1"/>
          <a:stCxn id="48" idx="3"/>
        </xdr:cNvCxnSpPr>
      </xdr:nvCxnSpPr>
      <xdr:spPr bwMode="auto">
        <a:xfrm>
          <a:off x="2297206" y="8389740"/>
          <a:ext cx="3847540" cy="769948"/>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18</xdr:col>
      <xdr:colOff>73914</xdr:colOff>
      <xdr:row>56</xdr:row>
      <xdr:rowOff>78452</xdr:rowOff>
    </xdr:from>
    <xdr:to>
      <xdr:col>49</xdr:col>
      <xdr:colOff>89644</xdr:colOff>
      <xdr:row>60</xdr:row>
      <xdr:rowOff>137565</xdr:rowOff>
    </xdr:to>
    <xdr:cxnSp macro="">
      <xdr:nvCxnSpPr>
        <xdr:cNvPr id="114746" name="カギ線コネクタ 22">
          <a:extLst>
            <a:ext uri="{FF2B5EF4-FFF2-40B4-BE49-F238E27FC236}">
              <a16:creationId xmlns:a16="http://schemas.microsoft.com/office/drawing/2014/main" id="{00000000-0008-0000-0400-00003AC00100}"/>
            </a:ext>
          </a:extLst>
        </xdr:cNvPr>
        <xdr:cNvCxnSpPr>
          <a:cxnSpLocks noChangeShapeType="1"/>
          <a:stCxn id="50" idx="3"/>
          <a:endCxn id="58" idx="2"/>
        </xdr:cNvCxnSpPr>
      </xdr:nvCxnSpPr>
      <xdr:spPr bwMode="auto">
        <a:xfrm>
          <a:off x="2292679" y="8729393"/>
          <a:ext cx="3836936" cy="686643"/>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43</xdr:col>
      <xdr:colOff>35634</xdr:colOff>
      <xdr:row>68</xdr:row>
      <xdr:rowOff>66689</xdr:rowOff>
    </xdr:from>
    <xdr:to>
      <xdr:col>47</xdr:col>
      <xdr:colOff>16011</xdr:colOff>
      <xdr:row>71</xdr:row>
      <xdr:rowOff>42670</xdr:rowOff>
    </xdr:to>
    <xdr:sp macro="" textlink="">
      <xdr:nvSpPr>
        <xdr:cNvPr id="120" name="角丸四角形 119">
          <a:extLst>
            <a:ext uri="{FF2B5EF4-FFF2-40B4-BE49-F238E27FC236}">
              <a16:creationId xmlns:a16="http://schemas.microsoft.com/office/drawing/2014/main" id="{00000000-0008-0000-0400-000078000000}"/>
            </a:ext>
          </a:extLst>
        </xdr:cNvPr>
        <xdr:cNvSpPr/>
      </xdr:nvSpPr>
      <xdr:spPr>
        <a:xfrm>
          <a:off x="5360109" y="10944239"/>
          <a:ext cx="475677" cy="461756"/>
        </a:xfrm>
        <a:prstGeom prst="roundRect">
          <a:avLst/>
        </a:prstGeom>
        <a:gradFill>
          <a:gsLst>
            <a:gs pos="0">
              <a:schemeClr val="bg1">
                <a:lumMod val="75000"/>
              </a:schemeClr>
            </a:gs>
            <a:gs pos="50000">
              <a:srgbClr val="E6E6E6"/>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800">
              <a:solidFill>
                <a:schemeClr val="tx1"/>
              </a:solidFill>
              <a:latin typeface="+mn-ea"/>
            </a:rPr>
            <a:t>本番リスナー</a:t>
          </a:r>
        </a:p>
      </xdr:txBody>
    </xdr:sp>
    <xdr:clientData/>
  </xdr:twoCellAnchor>
  <xdr:twoCellAnchor>
    <xdr:from>
      <xdr:col>43</xdr:col>
      <xdr:colOff>121359</xdr:colOff>
      <xdr:row>71</xdr:row>
      <xdr:rowOff>147444</xdr:rowOff>
    </xdr:from>
    <xdr:to>
      <xdr:col>47</xdr:col>
      <xdr:colOff>26118</xdr:colOff>
      <xdr:row>79</xdr:row>
      <xdr:rowOff>58917</xdr:rowOff>
    </xdr:to>
    <xdr:sp macro="" textlink="">
      <xdr:nvSpPr>
        <xdr:cNvPr id="121" name="角丸四角形 120">
          <a:extLst>
            <a:ext uri="{FF2B5EF4-FFF2-40B4-BE49-F238E27FC236}">
              <a16:creationId xmlns:a16="http://schemas.microsoft.com/office/drawing/2014/main" id="{00000000-0008-0000-0400-000079000000}"/>
            </a:ext>
          </a:extLst>
        </xdr:cNvPr>
        <xdr:cNvSpPr/>
      </xdr:nvSpPr>
      <xdr:spPr>
        <a:xfrm>
          <a:off x="5445834" y="11510769"/>
          <a:ext cx="400059" cy="1197348"/>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eaVert"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100">
              <a:solidFill>
                <a:schemeClr val="tx1"/>
              </a:solidFill>
              <a:latin typeface="+mn-ea"/>
            </a:rPr>
            <a:t>研修リスナー</a:t>
          </a:r>
        </a:p>
      </xdr:txBody>
    </xdr:sp>
    <xdr:clientData/>
  </xdr:twoCellAnchor>
  <xdr:twoCellAnchor>
    <xdr:from>
      <xdr:col>43</xdr:col>
      <xdr:colOff>76199</xdr:colOff>
      <xdr:row>185</xdr:row>
      <xdr:rowOff>66039</xdr:rowOff>
    </xdr:from>
    <xdr:to>
      <xdr:col>47</xdr:col>
      <xdr:colOff>17180</xdr:colOff>
      <xdr:row>188</xdr:row>
      <xdr:rowOff>1756</xdr:rowOff>
    </xdr:to>
    <xdr:sp macro="" textlink="">
      <xdr:nvSpPr>
        <xdr:cNvPr id="122" name="角丸四角形 121">
          <a:extLst>
            <a:ext uri="{FF2B5EF4-FFF2-40B4-BE49-F238E27FC236}">
              <a16:creationId xmlns:a16="http://schemas.microsoft.com/office/drawing/2014/main" id="{00000000-0008-0000-0400-00007A000000}"/>
            </a:ext>
          </a:extLst>
        </xdr:cNvPr>
        <xdr:cNvSpPr/>
      </xdr:nvSpPr>
      <xdr:spPr>
        <a:xfrm>
          <a:off x="5400674" y="23316564"/>
          <a:ext cx="436281" cy="421492"/>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horz"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800">
              <a:solidFill>
                <a:schemeClr val="tx1"/>
              </a:solidFill>
              <a:latin typeface="+mn-ea"/>
            </a:rPr>
            <a:t>本番リスナー</a:t>
          </a:r>
        </a:p>
      </xdr:txBody>
    </xdr:sp>
    <xdr:clientData/>
  </xdr:twoCellAnchor>
  <xdr:twoCellAnchor>
    <xdr:from>
      <xdr:col>18</xdr:col>
      <xdr:colOff>105348</xdr:colOff>
      <xdr:row>171</xdr:row>
      <xdr:rowOff>21187</xdr:rowOff>
    </xdr:from>
    <xdr:to>
      <xdr:col>49</xdr:col>
      <xdr:colOff>36419</xdr:colOff>
      <xdr:row>175</xdr:row>
      <xdr:rowOff>142875</xdr:rowOff>
    </xdr:to>
    <xdr:cxnSp macro="">
      <xdr:nvCxnSpPr>
        <xdr:cNvPr id="114750" name="カギ線コネクタ 22">
          <a:extLst>
            <a:ext uri="{FF2B5EF4-FFF2-40B4-BE49-F238E27FC236}">
              <a16:creationId xmlns:a16="http://schemas.microsoft.com/office/drawing/2014/main" id="{00000000-0008-0000-0400-00003EC00100}"/>
            </a:ext>
          </a:extLst>
        </xdr:cNvPr>
        <xdr:cNvCxnSpPr>
          <a:cxnSpLocks noChangeShapeType="1"/>
          <a:stCxn id="84" idx="3"/>
        </xdr:cNvCxnSpPr>
      </xdr:nvCxnSpPr>
      <xdr:spPr bwMode="auto">
        <a:xfrm>
          <a:off x="2324113" y="26713599"/>
          <a:ext cx="3752277" cy="749217"/>
        </a:xfrm>
        <a:prstGeom prst="bentConnector3">
          <a:avLst>
            <a:gd name="adj1" fmla="val 50000"/>
          </a:avLst>
        </a:prstGeom>
        <a:noFill/>
        <a:ln w="19050" algn="ctr">
          <a:solidFill>
            <a:srgbClr val="000000"/>
          </a:solidFill>
          <a:prstDash val="sysDot"/>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18</xdr:col>
      <xdr:colOff>100853</xdr:colOff>
      <xdr:row>173</xdr:row>
      <xdr:rowOff>43017</xdr:rowOff>
    </xdr:from>
    <xdr:to>
      <xdr:col>49</xdr:col>
      <xdr:colOff>50247</xdr:colOff>
      <xdr:row>177</xdr:row>
      <xdr:rowOff>135644</xdr:rowOff>
    </xdr:to>
    <xdr:cxnSp macro="">
      <xdr:nvCxnSpPr>
        <xdr:cNvPr id="114751" name="カギ線コネクタ 22">
          <a:extLst>
            <a:ext uri="{FF2B5EF4-FFF2-40B4-BE49-F238E27FC236}">
              <a16:creationId xmlns:a16="http://schemas.microsoft.com/office/drawing/2014/main" id="{00000000-0008-0000-0400-00003FC00100}"/>
            </a:ext>
          </a:extLst>
        </xdr:cNvPr>
        <xdr:cNvCxnSpPr>
          <a:cxnSpLocks noChangeShapeType="1"/>
          <a:stCxn id="85" idx="3"/>
          <a:endCxn id="89" idx="2"/>
        </xdr:cNvCxnSpPr>
      </xdr:nvCxnSpPr>
      <xdr:spPr bwMode="auto">
        <a:xfrm>
          <a:off x="2319618" y="27049193"/>
          <a:ext cx="3770600" cy="720157"/>
        </a:xfrm>
        <a:prstGeom prst="bentConnector3">
          <a:avLst>
            <a:gd name="adj1" fmla="val 50000"/>
          </a:avLst>
        </a:prstGeom>
        <a:noFill/>
        <a:ln w="19050" algn="ctr">
          <a:solidFill>
            <a:srgbClr val="000000"/>
          </a:solidFill>
          <a:prstDash val="sysDot"/>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21</xdr:col>
      <xdr:colOff>89646</xdr:colOff>
      <xdr:row>258</xdr:row>
      <xdr:rowOff>145676</xdr:rowOff>
    </xdr:from>
    <xdr:to>
      <xdr:col>62</xdr:col>
      <xdr:colOff>44823</xdr:colOff>
      <xdr:row>265</xdr:row>
      <xdr:rowOff>21851</xdr:rowOff>
    </xdr:to>
    <xdr:sp macro="" textlink="">
      <xdr:nvSpPr>
        <xdr:cNvPr id="125" name="正方形/長方形 124">
          <a:extLst>
            <a:ext uri="{FF2B5EF4-FFF2-40B4-BE49-F238E27FC236}">
              <a16:creationId xmlns:a16="http://schemas.microsoft.com/office/drawing/2014/main" id="{00000000-0008-0000-0400-00007D000000}"/>
            </a:ext>
          </a:extLst>
        </xdr:cNvPr>
        <xdr:cNvSpPr/>
      </xdr:nvSpPr>
      <xdr:spPr>
        <a:xfrm>
          <a:off x="2689971" y="34788101"/>
          <a:ext cx="5032002" cy="94297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Standby</a:t>
          </a:r>
          <a:r>
            <a:rPr lang="ja-JP" altLang="en-US" sz="1200">
              <a:solidFill>
                <a:sysClr val="windowText" lastClr="000000"/>
              </a:solidFill>
              <a:latin typeface="+mn-ea"/>
            </a:rPr>
            <a:t>）</a:t>
          </a:r>
        </a:p>
      </xdr:txBody>
    </xdr:sp>
    <xdr:clientData/>
  </xdr:twoCellAnchor>
  <xdr:twoCellAnchor>
    <xdr:from>
      <xdr:col>21</xdr:col>
      <xdr:colOff>89646</xdr:colOff>
      <xdr:row>244</xdr:row>
      <xdr:rowOff>112058</xdr:rowOff>
    </xdr:from>
    <xdr:to>
      <xdr:col>62</xdr:col>
      <xdr:colOff>44823</xdr:colOff>
      <xdr:row>258</xdr:row>
      <xdr:rowOff>56029</xdr:rowOff>
    </xdr:to>
    <xdr:sp macro="" textlink="">
      <xdr:nvSpPr>
        <xdr:cNvPr id="126" name="正方形/長方形 125">
          <a:extLst>
            <a:ext uri="{FF2B5EF4-FFF2-40B4-BE49-F238E27FC236}">
              <a16:creationId xmlns:a16="http://schemas.microsoft.com/office/drawing/2014/main" id="{00000000-0008-0000-0400-00007E000000}"/>
            </a:ext>
          </a:extLst>
        </xdr:cNvPr>
        <xdr:cNvSpPr/>
      </xdr:nvSpPr>
      <xdr:spPr>
        <a:xfrm>
          <a:off x="2689971" y="32620883"/>
          <a:ext cx="5032002" cy="2077571"/>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47</xdr:col>
      <xdr:colOff>22412</xdr:colOff>
      <xdr:row>245</xdr:row>
      <xdr:rowOff>112059</xdr:rowOff>
    </xdr:from>
    <xdr:to>
      <xdr:col>59</xdr:col>
      <xdr:colOff>84019</xdr:colOff>
      <xdr:row>249</xdr:row>
      <xdr:rowOff>134470</xdr:rowOff>
    </xdr:to>
    <xdr:sp macro="" textlink="">
      <xdr:nvSpPr>
        <xdr:cNvPr id="127" name="円柱 126">
          <a:extLst>
            <a:ext uri="{FF2B5EF4-FFF2-40B4-BE49-F238E27FC236}">
              <a16:creationId xmlns:a16="http://schemas.microsoft.com/office/drawing/2014/main" id="{00000000-0008-0000-0400-00007F000000}"/>
            </a:ext>
          </a:extLst>
        </xdr:cNvPr>
        <xdr:cNvSpPr/>
      </xdr:nvSpPr>
      <xdr:spPr>
        <a:xfrm>
          <a:off x="5842187" y="32773284"/>
          <a:ext cx="1547507" cy="632011"/>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研修インスタンス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23</xdr:col>
      <xdr:colOff>67236</xdr:colOff>
      <xdr:row>255</xdr:row>
      <xdr:rowOff>125439</xdr:rowOff>
    </xdr:from>
    <xdr:to>
      <xdr:col>33</xdr:col>
      <xdr:colOff>48165</xdr:colOff>
      <xdr:row>257</xdr:row>
      <xdr:rowOff>74168</xdr:rowOff>
    </xdr:to>
    <xdr:sp macro="" textlink="">
      <xdr:nvSpPr>
        <xdr:cNvPr id="128" name="角丸四角形 127">
          <a:extLst>
            <a:ext uri="{FF2B5EF4-FFF2-40B4-BE49-F238E27FC236}">
              <a16:creationId xmlns:a16="http://schemas.microsoft.com/office/drawing/2014/main" id="{00000000-0008-0000-0400-000080000000}"/>
            </a:ext>
          </a:extLst>
        </xdr:cNvPr>
        <xdr:cNvSpPr/>
      </xdr:nvSpPr>
      <xdr:spPr>
        <a:xfrm>
          <a:off x="2915211" y="34310664"/>
          <a:ext cx="1219179" cy="253529"/>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23</xdr:col>
      <xdr:colOff>70577</xdr:colOff>
      <xdr:row>246</xdr:row>
      <xdr:rowOff>100850</xdr:rowOff>
    </xdr:from>
    <xdr:to>
      <xdr:col>33</xdr:col>
      <xdr:colOff>36958</xdr:colOff>
      <xdr:row>249</xdr:row>
      <xdr:rowOff>0</xdr:rowOff>
    </xdr:to>
    <xdr:sp macro="" textlink="">
      <xdr:nvSpPr>
        <xdr:cNvPr id="129" name="角丸四角形 128">
          <a:extLst>
            <a:ext uri="{FF2B5EF4-FFF2-40B4-BE49-F238E27FC236}">
              <a16:creationId xmlns:a16="http://schemas.microsoft.com/office/drawing/2014/main" id="{00000000-0008-0000-0400-000081000000}"/>
            </a:ext>
          </a:extLst>
        </xdr:cNvPr>
        <xdr:cNvSpPr/>
      </xdr:nvSpPr>
      <xdr:spPr>
        <a:xfrm>
          <a:off x="2918552" y="32914475"/>
          <a:ext cx="1204631" cy="35635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33</xdr:col>
      <xdr:colOff>33618</xdr:colOff>
      <xdr:row>248</xdr:row>
      <xdr:rowOff>44823</xdr:rowOff>
    </xdr:from>
    <xdr:to>
      <xdr:col>47</xdr:col>
      <xdr:colOff>33619</xdr:colOff>
      <xdr:row>248</xdr:row>
      <xdr:rowOff>56029</xdr:rowOff>
    </xdr:to>
    <xdr:cxnSp macro="">
      <xdr:nvCxnSpPr>
        <xdr:cNvPr id="130" name="直線矢印コネクタ 129">
          <a:extLst>
            <a:ext uri="{FF2B5EF4-FFF2-40B4-BE49-F238E27FC236}">
              <a16:creationId xmlns:a16="http://schemas.microsoft.com/office/drawing/2014/main" id="{00000000-0008-0000-0400-000082000000}"/>
            </a:ext>
          </a:extLst>
        </xdr:cNvPr>
        <xdr:cNvCxnSpPr/>
      </xdr:nvCxnSpPr>
      <xdr:spPr>
        <a:xfrm flipH="1">
          <a:off x="4119843" y="33163248"/>
          <a:ext cx="1733551" cy="11206"/>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112059</xdr:colOff>
      <xdr:row>250</xdr:row>
      <xdr:rowOff>100853</xdr:rowOff>
    </xdr:from>
    <xdr:to>
      <xdr:col>31</xdr:col>
      <xdr:colOff>1</xdr:colOff>
      <xdr:row>254</xdr:row>
      <xdr:rowOff>11205</xdr:rowOff>
    </xdr:to>
    <xdr:sp macro="" textlink="">
      <xdr:nvSpPr>
        <xdr:cNvPr id="131" name="メモ 130">
          <a:extLst>
            <a:ext uri="{FF2B5EF4-FFF2-40B4-BE49-F238E27FC236}">
              <a16:creationId xmlns:a16="http://schemas.microsoft.com/office/drawing/2014/main" id="{00000000-0008-0000-0400-000083000000}"/>
            </a:ext>
          </a:extLst>
        </xdr:cNvPr>
        <xdr:cNvSpPr/>
      </xdr:nvSpPr>
      <xdr:spPr>
        <a:xfrm>
          <a:off x="3207684" y="33524078"/>
          <a:ext cx="630892"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24</xdr:col>
      <xdr:colOff>67236</xdr:colOff>
      <xdr:row>251</xdr:row>
      <xdr:rowOff>33616</xdr:rowOff>
    </xdr:from>
    <xdr:ext cx="1031051" cy="275717"/>
    <xdr:sp macro="" textlink="">
      <xdr:nvSpPr>
        <xdr:cNvPr id="132" name="テキスト ボックス 131">
          <a:extLst>
            <a:ext uri="{FF2B5EF4-FFF2-40B4-BE49-F238E27FC236}">
              <a16:creationId xmlns:a16="http://schemas.microsoft.com/office/drawing/2014/main" id="{00000000-0008-0000-0400-000084000000}"/>
            </a:ext>
          </a:extLst>
        </xdr:cNvPr>
        <xdr:cNvSpPr txBox="1"/>
      </xdr:nvSpPr>
      <xdr:spPr>
        <a:xfrm>
          <a:off x="3039036" y="39724291"/>
          <a:ext cx="103105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資料請求受付</a:t>
          </a:r>
        </a:p>
      </xdr:txBody>
    </xdr:sp>
    <xdr:clientData/>
  </xdr:oneCellAnchor>
  <xdr:twoCellAnchor>
    <xdr:from>
      <xdr:col>28</xdr:col>
      <xdr:colOff>53767</xdr:colOff>
      <xdr:row>249</xdr:row>
      <xdr:rowOff>0</xdr:rowOff>
    </xdr:from>
    <xdr:to>
      <xdr:col>28</xdr:col>
      <xdr:colOff>56030</xdr:colOff>
      <xdr:row>250</xdr:row>
      <xdr:rowOff>100853</xdr:rowOff>
    </xdr:to>
    <xdr:cxnSp macro="">
      <xdr:nvCxnSpPr>
        <xdr:cNvPr id="133" name="直線矢印コネクタ 132">
          <a:extLst>
            <a:ext uri="{FF2B5EF4-FFF2-40B4-BE49-F238E27FC236}">
              <a16:creationId xmlns:a16="http://schemas.microsoft.com/office/drawing/2014/main" id="{00000000-0008-0000-0400-000085000000}"/>
            </a:ext>
          </a:extLst>
        </xdr:cNvPr>
        <xdr:cNvCxnSpPr>
          <a:stCxn id="129" idx="2"/>
          <a:endCxn id="131" idx="0"/>
        </xdr:cNvCxnSpPr>
      </xdr:nvCxnSpPr>
      <xdr:spPr>
        <a:xfrm>
          <a:off x="3520867" y="33270825"/>
          <a:ext cx="2263" cy="25325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56030</xdr:colOff>
      <xdr:row>254</xdr:row>
      <xdr:rowOff>11205</xdr:rowOff>
    </xdr:from>
    <xdr:to>
      <xdr:col>28</xdr:col>
      <xdr:colOff>57700</xdr:colOff>
      <xdr:row>255</xdr:row>
      <xdr:rowOff>125439</xdr:rowOff>
    </xdr:to>
    <xdr:cxnSp macro="">
      <xdr:nvCxnSpPr>
        <xdr:cNvPr id="134" name="直線矢印コネクタ 133">
          <a:extLst>
            <a:ext uri="{FF2B5EF4-FFF2-40B4-BE49-F238E27FC236}">
              <a16:creationId xmlns:a16="http://schemas.microsoft.com/office/drawing/2014/main" id="{00000000-0008-0000-0400-000086000000}"/>
            </a:ext>
          </a:extLst>
        </xdr:cNvPr>
        <xdr:cNvCxnSpPr>
          <a:stCxn id="131" idx="2"/>
          <a:endCxn id="128" idx="0"/>
        </xdr:cNvCxnSpPr>
      </xdr:nvCxnSpPr>
      <xdr:spPr>
        <a:xfrm>
          <a:off x="3523130" y="34044030"/>
          <a:ext cx="1670" cy="266634"/>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36958</xdr:colOff>
      <xdr:row>247</xdr:row>
      <xdr:rowOff>78439</xdr:rowOff>
    </xdr:from>
    <xdr:to>
      <xdr:col>47</xdr:col>
      <xdr:colOff>22412</xdr:colOff>
      <xdr:row>247</xdr:row>
      <xdr:rowOff>78441</xdr:rowOff>
    </xdr:to>
    <xdr:cxnSp macro="">
      <xdr:nvCxnSpPr>
        <xdr:cNvPr id="135" name="直線矢印コネクタ 134">
          <a:extLst>
            <a:ext uri="{FF2B5EF4-FFF2-40B4-BE49-F238E27FC236}">
              <a16:creationId xmlns:a16="http://schemas.microsoft.com/office/drawing/2014/main" id="{00000000-0008-0000-0400-000087000000}"/>
            </a:ext>
          </a:extLst>
        </xdr:cNvPr>
        <xdr:cNvCxnSpPr/>
      </xdr:nvCxnSpPr>
      <xdr:spPr>
        <a:xfrm>
          <a:off x="4123183" y="33044464"/>
          <a:ext cx="1719004" cy="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67235</xdr:colOff>
      <xdr:row>256</xdr:row>
      <xdr:rowOff>99804</xdr:rowOff>
    </xdr:from>
    <xdr:to>
      <xdr:col>23</xdr:col>
      <xdr:colOff>67236</xdr:colOff>
      <xdr:row>256</xdr:row>
      <xdr:rowOff>100853</xdr:rowOff>
    </xdr:to>
    <xdr:cxnSp macro="">
      <xdr:nvCxnSpPr>
        <xdr:cNvPr id="136" name="直線矢印コネクタ 135">
          <a:extLst>
            <a:ext uri="{FF2B5EF4-FFF2-40B4-BE49-F238E27FC236}">
              <a16:creationId xmlns:a16="http://schemas.microsoft.com/office/drawing/2014/main" id="{00000000-0008-0000-0400-000088000000}"/>
            </a:ext>
          </a:extLst>
        </xdr:cNvPr>
        <xdr:cNvCxnSpPr>
          <a:stCxn id="128" idx="1"/>
        </xdr:cNvCxnSpPr>
      </xdr:nvCxnSpPr>
      <xdr:spPr>
        <a:xfrm flipH="1">
          <a:off x="2419910" y="34437429"/>
          <a:ext cx="495301" cy="1049"/>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xdr:colOff>
      <xdr:row>245</xdr:row>
      <xdr:rowOff>22410</xdr:rowOff>
    </xdr:from>
    <xdr:ext cx="1109022" cy="275717"/>
    <xdr:sp macro="" textlink="">
      <xdr:nvSpPr>
        <xdr:cNvPr id="137" name="テキスト ボックス 136">
          <a:extLst>
            <a:ext uri="{FF2B5EF4-FFF2-40B4-BE49-F238E27FC236}">
              <a16:creationId xmlns:a16="http://schemas.microsoft.com/office/drawing/2014/main" id="{00000000-0008-0000-0400-000089000000}"/>
            </a:ext>
          </a:extLst>
        </xdr:cNvPr>
        <xdr:cNvSpPr txBox="1"/>
      </xdr:nvSpPr>
      <xdr:spPr>
        <a:xfrm>
          <a:off x="4333876" y="38798685"/>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①抽出</a:t>
          </a:r>
          <a:r>
            <a:rPr kumimoji="1" lang="en-US" altLang="ja-JP" sz="1100"/>
            <a:t>SQL</a:t>
          </a:r>
          <a:r>
            <a:rPr kumimoji="1" lang="ja-JP" altLang="en-US" sz="1100"/>
            <a:t>発行</a:t>
          </a:r>
        </a:p>
      </xdr:txBody>
    </xdr:sp>
    <xdr:clientData/>
  </xdr:oneCellAnchor>
  <xdr:oneCellAnchor>
    <xdr:from>
      <xdr:col>34</xdr:col>
      <xdr:colOff>112059</xdr:colOff>
      <xdr:row>249</xdr:row>
      <xdr:rowOff>33618</xdr:rowOff>
    </xdr:from>
    <xdr:ext cx="889987" cy="275717"/>
    <xdr:sp macro="" textlink="">
      <xdr:nvSpPr>
        <xdr:cNvPr id="138" name="テキスト ボックス 137">
          <a:extLst>
            <a:ext uri="{FF2B5EF4-FFF2-40B4-BE49-F238E27FC236}">
              <a16:creationId xmlns:a16="http://schemas.microsoft.com/office/drawing/2014/main" id="{00000000-0008-0000-0400-00008A000000}"/>
            </a:ext>
          </a:extLst>
        </xdr:cNvPr>
        <xdr:cNvSpPr txBox="1"/>
      </xdr:nvSpPr>
      <xdr:spPr>
        <a:xfrm>
          <a:off x="4322109" y="39419493"/>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②結果連携</a:t>
          </a:r>
        </a:p>
      </xdr:txBody>
    </xdr:sp>
    <xdr:clientData/>
  </xdr:oneCellAnchor>
  <xdr:oneCellAnchor>
    <xdr:from>
      <xdr:col>33</xdr:col>
      <xdr:colOff>25773</xdr:colOff>
      <xdr:row>251</xdr:row>
      <xdr:rowOff>78441</xdr:rowOff>
    </xdr:from>
    <xdr:ext cx="1961030" cy="504264"/>
    <xdr:sp macro="" textlink="">
      <xdr:nvSpPr>
        <xdr:cNvPr id="139" name="テキスト ボックス 138">
          <a:extLst>
            <a:ext uri="{FF2B5EF4-FFF2-40B4-BE49-F238E27FC236}">
              <a16:creationId xmlns:a16="http://schemas.microsoft.com/office/drawing/2014/main" id="{00000000-0008-0000-0400-00008B000000}"/>
            </a:ext>
          </a:extLst>
        </xdr:cNvPr>
        <xdr:cNvSpPr txBox="1"/>
      </xdr:nvSpPr>
      <xdr:spPr>
        <a:xfrm>
          <a:off x="4111998" y="33654066"/>
          <a:ext cx="1961030" cy="504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lnSpc>
              <a:spcPts val="1300"/>
            </a:lnSpc>
            <a:defRPr sz="1000"/>
          </a:pPr>
          <a:r>
            <a:rPr lang="ja-JP" altLang="en-US" sz="1100" b="0" i="0" u="none" strike="noStrike" baseline="0">
              <a:solidFill>
                <a:srgbClr val="000000"/>
              </a:solidFill>
              <a:latin typeface="ＭＳ Ｐゴシック"/>
              <a:ea typeface="ＭＳ Ｐゴシック"/>
            </a:rPr>
            <a:t>③ファイル出力</a:t>
          </a:r>
          <a:endParaRPr lang="ja-JP" altLang="en-US" sz="1100" b="0" i="0" u="none" strike="noStrike" baseline="0">
            <a:solidFill>
              <a:srgbClr val="000000"/>
            </a:solidFill>
            <a:latin typeface="Calibri"/>
          </a:endParaRPr>
        </a:p>
        <a:p>
          <a:pPr algn="l" rtl="0">
            <a:lnSpc>
              <a:spcPts val="1200"/>
            </a:lnSpc>
            <a:defRPr sz="1000"/>
          </a:pPr>
          <a:r>
            <a:rPr lang="ja-JP" altLang="en-US" sz="1100" b="0" i="0" u="none" strike="noStrike" baseline="0">
              <a:solidFill>
                <a:srgbClr val="000000"/>
              </a:solidFill>
              <a:latin typeface="ＭＳ Ｐゴシック"/>
              <a:ea typeface="ＭＳ Ｐゴシック"/>
            </a:rPr>
            <a:t>　</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ローカルディスクに保存</a:t>
          </a:r>
        </a:p>
      </xdr:txBody>
    </xdr:sp>
    <xdr:clientData/>
  </xdr:oneCellAnchor>
  <xdr:oneCellAnchor>
    <xdr:from>
      <xdr:col>21</xdr:col>
      <xdr:colOff>11207</xdr:colOff>
      <xdr:row>254</xdr:row>
      <xdr:rowOff>22410</xdr:rowOff>
    </xdr:from>
    <xdr:ext cx="979179" cy="275717"/>
    <xdr:sp macro="" textlink="">
      <xdr:nvSpPr>
        <xdr:cNvPr id="140" name="テキスト ボックス 139">
          <a:extLst>
            <a:ext uri="{FF2B5EF4-FFF2-40B4-BE49-F238E27FC236}">
              <a16:creationId xmlns:a16="http://schemas.microsoft.com/office/drawing/2014/main" id="{00000000-0008-0000-0400-00008C000000}"/>
            </a:ext>
          </a:extLst>
        </xdr:cNvPr>
        <xdr:cNvSpPr txBox="1"/>
      </xdr:nvSpPr>
      <xdr:spPr>
        <a:xfrm>
          <a:off x="2611532" y="40170285"/>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④HULFT</a:t>
          </a:r>
          <a:r>
            <a:rPr kumimoji="1" lang="ja-JP" altLang="en-US" sz="1100"/>
            <a:t>転送</a:t>
          </a:r>
        </a:p>
      </xdr:txBody>
    </xdr:sp>
    <xdr:clientData/>
  </xdr:oneCellAnchor>
  <xdr:twoCellAnchor>
    <xdr:from>
      <xdr:col>5</xdr:col>
      <xdr:colOff>67235</xdr:colOff>
      <xdr:row>244</xdr:row>
      <xdr:rowOff>112059</xdr:rowOff>
    </xdr:from>
    <xdr:to>
      <xdr:col>19</xdr:col>
      <xdr:colOff>58095</xdr:colOff>
      <xdr:row>258</xdr:row>
      <xdr:rowOff>12703</xdr:rowOff>
    </xdr:to>
    <xdr:sp macro="" textlink="">
      <xdr:nvSpPr>
        <xdr:cNvPr id="141" name="正方形/長方形 140">
          <a:extLst>
            <a:ext uri="{FF2B5EF4-FFF2-40B4-BE49-F238E27FC236}">
              <a16:creationId xmlns:a16="http://schemas.microsoft.com/office/drawing/2014/main" id="{00000000-0008-0000-0400-00008D000000}"/>
            </a:ext>
          </a:extLst>
        </xdr:cNvPr>
        <xdr:cNvSpPr/>
      </xdr:nvSpPr>
      <xdr:spPr>
        <a:xfrm>
          <a:off x="686360" y="32620884"/>
          <a:ext cx="1724410" cy="203424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ホスト（開発）</a:t>
          </a:r>
        </a:p>
      </xdr:txBody>
    </xdr:sp>
    <xdr:clientData/>
  </xdr:twoCellAnchor>
  <xdr:twoCellAnchor>
    <xdr:from>
      <xdr:col>63</xdr:col>
      <xdr:colOff>67235</xdr:colOff>
      <xdr:row>244</xdr:row>
      <xdr:rowOff>112058</xdr:rowOff>
    </xdr:from>
    <xdr:to>
      <xdr:col>76</xdr:col>
      <xdr:colOff>24475</xdr:colOff>
      <xdr:row>265</xdr:row>
      <xdr:rowOff>21851</xdr:rowOff>
    </xdr:to>
    <xdr:sp macro="" textlink="">
      <xdr:nvSpPr>
        <xdr:cNvPr id="142" name="正方形/長方形 141">
          <a:extLst>
            <a:ext uri="{FF2B5EF4-FFF2-40B4-BE49-F238E27FC236}">
              <a16:creationId xmlns:a16="http://schemas.microsoft.com/office/drawing/2014/main" id="{00000000-0008-0000-0400-00008E000000}"/>
            </a:ext>
          </a:extLst>
        </xdr:cNvPr>
        <xdr:cNvSpPr/>
      </xdr:nvSpPr>
      <xdr:spPr>
        <a:xfrm>
          <a:off x="7868210" y="32620883"/>
          <a:ext cx="1566965" cy="311019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66</xdr:col>
      <xdr:colOff>100854</xdr:colOff>
      <xdr:row>255</xdr:row>
      <xdr:rowOff>78448</xdr:rowOff>
    </xdr:from>
    <xdr:to>
      <xdr:col>71</xdr:col>
      <xdr:colOff>112061</xdr:colOff>
      <xdr:row>258</xdr:row>
      <xdr:rowOff>145682</xdr:rowOff>
    </xdr:to>
    <xdr:sp macro="" textlink="">
      <xdr:nvSpPr>
        <xdr:cNvPr id="143" name="メモ 142">
          <a:extLst>
            <a:ext uri="{FF2B5EF4-FFF2-40B4-BE49-F238E27FC236}">
              <a16:creationId xmlns:a16="http://schemas.microsoft.com/office/drawing/2014/main" id="{00000000-0008-0000-0400-00008F000000}"/>
            </a:ext>
          </a:extLst>
        </xdr:cNvPr>
        <xdr:cNvSpPr/>
      </xdr:nvSpPr>
      <xdr:spPr>
        <a:xfrm>
          <a:off x="8273304" y="34263673"/>
          <a:ext cx="630332"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65</xdr:col>
      <xdr:colOff>112060</xdr:colOff>
      <xdr:row>254</xdr:row>
      <xdr:rowOff>145684</xdr:rowOff>
    </xdr:from>
    <xdr:to>
      <xdr:col>71</xdr:col>
      <xdr:colOff>2</xdr:colOff>
      <xdr:row>258</xdr:row>
      <xdr:rowOff>56035</xdr:rowOff>
    </xdr:to>
    <xdr:sp macro="" textlink="">
      <xdr:nvSpPr>
        <xdr:cNvPr id="144" name="メモ 143">
          <a:extLst>
            <a:ext uri="{FF2B5EF4-FFF2-40B4-BE49-F238E27FC236}">
              <a16:creationId xmlns:a16="http://schemas.microsoft.com/office/drawing/2014/main" id="{00000000-0008-0000-0400-000090000000}"/>
            </a:ext>
          </a:extLst>
        </xdr:cNvPr>
        <xdr:cNvSpPr/>
      </xdr:nvSpPr>
      <xdr:spPr>
        <a:xfrm>
          <a:off x="8160685" y="34178509"/>
          <a:ext cx="630892" cy="519951"/>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44822</xdr:colOff>
      <xdr:row>255</xdr:row>
      <xdr:rowOff>11211</xdr:rowOff>
    </xdr:from>
    <xdr:ext cx="1324388" cy="493060"/>
    <xdr:sp macro="" textlink="">
      <xdr:nvSpPr>
        <xdr:cNvPr id="145" name="テキスト ボックス 144">
          <a:extLst>
            <a:ext uri="{FF2B5EF4-FFF2-40B4-BE49-F238E27FC236}">
              <a16:creationId xmlns:a16="http://schemas.microsoft.com/office/drawing/2014/main" id="{00000000-0008-0000-0400-000091000000}"/>
            </a:ext>
          </a:extLst>
        </xdr:cNvPr>
        <xdr:cNvSpPr txBox="1"/>
      </xdr:nvSpPr>
      <xdr:spPr>
        <a:xfrm>
          <a:off x="8093447" y="34196436"/>
          <a:ext cx="1324388" cy="493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t>資料請求受付履歴</a:t>
          </a:r>
          <a:endParaRPr kumimoji="1" lang="en-US" altLang="ja-JP" sz="1100"/>
        </a:p>
        <a:p>
          <a:r>
            <a:rPr kumimoji="1" lang="en-US" altLang="ja-JP" sz="1100"/>
            <a:t>yyyymmdd</a:t>
          </a:r>
          <a:endParaRPr kumimoji="1" lang="ja-JP" altLang="en-US" sz="1100"/>
        </a:p>
      </xdr:txBody>
    </xdr:sp>
    <xdr:clientData/>
  </xdr:oneCellAnchor>
  <xdr:twoCellAnchor>
    <xdr:from>
      <xdr:col>44</xdr:col>
      <xdr:colOff>70575</xdr:colOff>
      <xdr:row>256</xdr:row>
      <xdr:rowOff>100853</xdr:rowOff>
    </xdr:from>
    <xdr:to>
      <xdr:col>65</xdr:col>
      <xdr:colOff>112060</xdr:colOff>
      <xdr:row>256</xdr:row>
      <xdr:rowOff>100860</xdr:rowOff>
    </xdr:to>
    <xdr:cxnSp macro="">
      <xdr:nvCxnSpPr>
        <xdr:cNvPr id="146" name="直線矢印コネクタ 145">
          <a:extLst>
            <a:ext uri="{FF2B5EF4-FFF2-40B4-BE49-F238E27FC236}">
              <a16:creationId xmlns:a16="http://schemas.microsoft.com/office/drawing/2014/main" id="{00000000-0008-0000-0400-000092000000}"/>
            </a:ext>
          </a:extLst>
        </xdr:cNvPr>
        <xdr:cNvCxnSpPr>
          <a:stCxn id="148" idx="3"/>
          <a:endCxn id="144" idx="1"/>
        </xdr:cNvCxnSpPr>
      </xdr:nvCxnSpPr>
      <xdr:spPr>
        <a:xfrm>
          <a:off x="5518875" y="34438478"/>
          <a:ext cx="2641810" cy="7"/>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112061</xdr:colOff>
      <xdr:row>255</xdr:row>
      <xdr:rowOff>11203</xdr:rowOff>
    </xdr:from>
    <xdr:ext cx="1798634" cy="275717"/>
    <xdr:sp macro="" textlink="">
      <xdr:nvSpPr>
        <xdr:cNvPr id="147" name="テキスト ボックス 146">
          <a:extLst>
            <a:ext uri="{FF2B5EF4-FFF2-40B4-BE49-F238E27FC236}">
              <a16:creationId xmlns:a16="http://schemas.microsoft.com/office/drawing/2014/main" id="{00000000-0008-0000-0400-000093000000}"/>
            </a:ext>
          </a:extLst>
        </xdr:cNvPr>
        <xdr:cNvSpPr txBox="1"/>
      </xdr:nvSpPr>
      <xdr:spPr>
        <a:xfrm>
          <a:off x="5560361" y="40311478"/>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⑤転送ファイルバックアップ</a:t>
          </a:r>
        </a:p>
      </xdr:txBody>
    </xdr:sp>
    <xdr:clientData/>
  </xdr:oneCellAnchor>
  <xdr:twoCellAnchor>
    <xdr:from>
      <xdr:col>34</xdr:col>
      <xdr:colOff>104194</xdr:colOff>
      <xdr:row>255</xdr:row>
      <xdr:rowOff>123264</xdr:rowOff>
    </xdr:from>
    <xdr:to>
      <xdr:col>44</xdr:col>
      <xdr:colOff>70575</xdr:colOff>
      <xdr:row>257</xdr:row>
      <xdr:rowOff>78441</xdr:rowOff>
    </xdr:to>
    <xdr:sp macro="" textlink="">
      <xdr:nvSpPr>
        <xdr:cNvPr id="148" name="角丸四角形 147">
          <a:extLst>
            <a:ext uri="{FF2B5EF4-FFF2-40B4-BE49-F238E27FC236}">
              <a16:creationId xmlns:a16="http://schemas.microsoft.com/office/drawing/2014/main" id="{00000000-0008-0000-0400-000094000000}"/>
            </a:ext>
          </a:extLst>
        </xdr:cNvPr>
        <xdr:cNvSpPr/>
      </xdr:nvSpPr>
      <xdr:spPr>
        <a:xfrm>
          <a:off x="4314244" y="34308489"/>
          <a:ext cx="1204631" cy="259977"/>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31</xdr:col>
      <xdr:colOff>1</xdr:colOff>
      <xdr:row>252</xdr:row>
      <xdr:rowOff>56029</xdr:rowOff>
    </xdr:from>
    <xdr:to>
      <xdr:col>34</xdr:col>
      <xdr:colOff>104194</xdr:colOff>
      <xdr:row>256</xdr:row>
      <xdr:rowOff>100853</xdr:rowOff>
    </xdr:to>
    <xdr:cxnSp macro="">
      <xdr:nvCxnSpPr>
        <xdr:cNvPr id="149" name="直線矢印コネクタ 148">
          <a:extLst>
            <a:ext uri="{FF2B5EF4-FFF2-40B4-BE49-F238E27FC236}">
              <a16:creationId xmlns:a16="http://schemas.microsoft.com/office/drawing/2014/main" id="{00000000-0008-0000-0400-000095000000}"/>
            </a:ext>
          </a:extLst>
        </xdr:cNvPr>
        <xdr:cNvCxnSpPr>
          <a:stCxn id="131" idx="3"/>
          <a:endCxn id="148" idx="1"/>
        </xdr:cNvCxnSpPr>
      </xdr:nvCxnSpPr>
      <xdr:spPr>
        <a:xfrm>
          <a:off x="3838576" y="33784054"/>
          <a:ext cx="475668" cy="654424"/>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7621</xdr:colOff>
      <xdr:row>170</xdr:row>
      <xdr:rowOff>103668</xdr:rowOff>
    </xdr:from>
    <xdr:to>
      <xdr:col>57</xdr:col>
      <xdr:colOff>35427</xdr:colOff>
      <xdr:row>172</xdr:row>
      <xdr:rowOff>2602</xdr:rowOff>
    </xdr:to>
    <xdr:sp macro="" textlink="">
      <xdr:nvSpPr>
        <xdr:cNvPr id="150" name="テキスト ボックス 99">
          <a:extLst>
            <a:ext uri="{FF2B5EF4-FFF2-40B4-BE49-F238E27FC236}">
              <a16:creationId xmlns:a16="http://schemas.microsoft.com/office/drawing/2014/main" id="{00000000-0008-0000-0400-000096000000}"/>
            </a:ext>
          </a:extLst>
        </xdr:cNvPr>
        <xdr:cNvSpPr txBox="1"/>
      </xdr:nvSpPr>
      <xdr:spPr>
        <a:xfrm>
          <a:off x="6817996" y="20925318"/>
          <a:ext cx="275456" cy="222784"/>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D</a:t>
          </a:r>
          <a:endParaRPr lang="ja-JP" altLang="en-US" sz="1200">
            <a:latin typeface="+mn-ea"/>
            <a:ea typeface="+mn-ea"/>
          </a:endParaRPr>
        </a:p>
      </xdr:txBody>
    </xdr:sp>
    <xdr:clientData/>
  </xdr:twoCellAnchor>
  <xdr:twoCellAnchor>
    <xdr:from>
      <xdr:col>67</xdr:col>
      <xdr:colOff>11207</xdr:colOff>
      <xdr:row>78</xdr:row>
      <xdr:rowOff>56028</xdr:rowOff>
    </xdr:from>
    <xdr:to>
      <xdr:col>79</xdr:col>
      <xdr:colOff>11207</xdr:colOff>
      <xdr:row>82</xdr:row>
      <xdr:rowOff>11203</xdr:rowOff>
    </xdr:to>
    <xdr:sp macro="" textlink="">
      <xdr:nvSpPr>
        <xdr:cNvPr id="151" name="正方形/長方形 150">
          <a:extLst>
            <a:ext uri="{FF2B5EF4-FFF2-40B4-BE49-F238E27FC236}">
              <a16:creationId xmlns:a16="http://schemas.microsoft.com/office/drawing/2014/main" id="{00000000-0008-0000-0400-000097000000}"/>
            </a:ext>
          </a:extLst>
        </xdr:cNvPr>
        <xdr:cNvSpPr/>
      </xdr:nvSpPr>
      <xdr:spPr>
        <a:xfrm>
          <a:off x="8307482" y="12552828"/>
          <a:ext cx="1485900" cy="564775"/>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ja-JP" altLang="en-US" sz="1000">
              <a:solidFill>
                <a:sysClr val="windowText" lastClr="000000"/>
              </a:solidFill>
            </a:rPr>
            <a:t>物理ファイル格納領域</a:t>
          </a:r>
        </a:p>
      </xdr:txBody>
    </xdr:sp>
    <xdr:clientData/>
  </xdr:twoCellAnchor>
  <xdr:twoCellAnchor>
    <xdr:from>
      <xdr:col>36</xdr:col>
      <xdr:colOff>85725</xdr:colOff>
      <xdr:row>61</xdr:row>
      <xdr:rowOff>95250</xdr:rowOff>
    </xdr:from>
    <xdr:to>
      <xdr:col>67</xdr:col>
      <xdr:colOff>9525</xdr:colOff>
      <xdr:row>80</xdr:row>
      <xdr:rowOff>38100</xdr:rowOff>
    </xdr:to>
    <xdr:cxnSp macro="">
      <xdr:nvCxnSpPr>
        <xdr:cNvPr id="114779" name="カギ線コネクタ 22">
          <a:extLst>
            <a:ext uri="{FF2B5EF4-FFF2-40B4-BE49-F238E27FC236}">
              <a16:creationId xmlns:a16="http://schemas.microsoft.com/office/drawing/2014/main" id="{00000000-0008-0000-0400-00005BC00100}"/>
            </a:ext>
          </a:extLst>
        </xdr:cNvPr>
        <xdr:cNvCxnSpPr>
          <a:cxnSpLocks noChangeShapeType="1"/>
          <a:stCxn id="78" idx="3"/>
          <a:endCxn id="151" idx="1"/>
        </xdr:cNvCxnSpPr>
      </xdr:nvCxnSpPr>
      <xdr:spPr bwMode="auto">
        <a:xfrm>
          <a:off x="4543425" y="9839325"/>
          <a:ext cx="3762375" cy="3000375"/>
        </a:xfrm>
        <a:prstGeom prst="bentConnector3">
          <a:avLst>
            <a:gd name="adj1" fmla="val 7782"/>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39</xdr:col>
      <xdr:colOff>44022</xdr:colOff>
      <xdr:row>68</xdr:row>
      <xdr:rowOff>652</xdr:rowOff>
    </xdr:from>
    <xdr:to>
      <xdr:col>41</xdr:col>
      <xdr:colOff>71654</xdr:colOff>
      <xdr:row>69</xdr:row>
      <xdr:rowOff>54172</xdr:rowOff>
    </xdr:to>
    <xdr:sp macro="" textlink="">
      <xdr:nvSpPr>
        <xdr:cNvPr id="153" name="テキスト ボックス 99">
          <a:extLst>
            <a:ext uri="{FF2B5EF4-FFF2-40B4-BE49-F238E27FC236}">
              <a16:creationId xmlns:a16="http://schemas.microsoft.com/office/drawing/2014/main" id="{00000000-0008-0000-0400-000099000000}"/>
            </a:ext>
          </a:extLst>
        </xdr:cNvPr>
        <xdr:cNvSpPr txBox="1"/>
      </xdr:nvSpPr>
      <xdr:spPr>
        <a:xfrm>
          <a:off x="4873197" y="10878202"/>
          <a:ext cx="275282" cy="215445"/>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⑤</a:t>
          </a:r>
        </a:p>
      </xdr:txBody>
    </xdr:sp>
    <xdr:clientData/>
  </xdr:twoCellAnchor>
  <xdr:twoCellAnchor>
    <xdr:from>
      <xdr:col>67</xdr:col>
      <xdr:colOff>11205</xdr:colOff>
      <xdr:row>195</xdr:row>
      <xdr:rowOff>44823</xdr:rowOff>
    </xdr:from>
    <xdr:to>
      <xdr:col>79</xdr:col>
      <xdr:colOff>11205</xdr:colOff>
      <xdr:row>198</xdr:row>
      <xdr:rowOff>156880</xdr:rowOff>
    </xdr:to>
    <xdr:sp macro="" textlink="">
      <xdr:nvSpPr>
        <xdr:cNvPr id="154" name="正方形/長方形 153">
          <a:extLst>
            <a:ext uri="{FF2B5EF4-FFF2-40B4-BE49-F238E27FC236}">
              <a16:creationId xmlns:a16="http://schemas.microsoft.com/office/drawing/2014/main" id="{00000000-0008-0000-0400-00009A000000}"/>
            </a:ext>
          </a:extLst>
        </xdr:cNvPr>
        <xdr:cNvSpPr/>
      </xdr:nvSpPr>
      <xdr:spPr>
        <a:xfrm>
          <a:off x="8307480" y="24914598"/>
          <a:ext cx="1485900" cy="569257"/>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ja-JP" altLang="en-US" sz="1000">
              <a:solidFill>
                <a:sysClr val="windowText" lastClr="000000"/>
              </a:solidFill>
            </a:rPr>
            <a:t>物理ファイル格納領域</a:t>
          </a:r>
        </a:p>
      </xdr:txBody>
    </xdr:sp>
    <xdr:clientData/>
  </xdr:twoCellAnchor>
  <xdr:twoCellAnchor>
    <xdr:from>
      <xdr:col>36</xdr:col>
      <xdr:colOff>47625</xdr:colOff>
      <xdr:row>178</xdr:row>
      <xdr:rowOff>114300</xdr:rowOff>
    </xdr:from>
    <xdr:to>
      <xdr:col>67</xdr:col>
      <xdr:colOff>9525</xdr:colOff>
      <xdr:row>197</xdr:row>
      <xdr:rowOff>19050</xdr:rowOff>
    </xdr:to>
    <xdr:cxnSp macro="">
      <xdr:nvCxnSpPr>
        <xdr:cNvPr id="114782" name="カギ線コネクタ 56">
          <a:extLst>
            <a:ext uri="{FF2B5EF4-FFF2-40B4-BE49-F238E27FC236}">
              <a16:creationId xmlns:a16="http://schemas.microsoft.com/office/drawing/2014/main" id="{00000000-0008-0000-0400-00005EC00100}"/>
            </a:ext>
          </a:extLst>
        </xdr:cNvPr>
        <xdr:cNvCxnSpPr>
          <a:cxnSpLocks noChangeShapeType="1"/>
          <a:stCxn id="115" idx="3"/>
          <a:endCxn id="154" idx="1"/>
        </xdr:cNvCxnSpPr>
      </xdr:nvCxnSpPr>
      <xdr:spPr bwMode="auto">
        <a:xfrm>
          <a:off x="4505325" y="28346400"/>
          <a:ext cx="3800475" cy="2962275"/>
        </a:xfrm>
        <a:prstGeom prst="bentConnector3">
          <a:avLst>
            <a:gd name="adj1" fmla="val 4991"/>
          </a:avLst>
        </a:prstGeom>
        <a:noFill/>
        <a:ln w="19050" algn="ctr">
          <a:solidFill>
            <a:srgbClr val="000000"/>
          </a:solidFill>
          <a:prstDash val="sysDot"/>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37</xdr:col>
      <xdr:colOff>44825</xdr:colOff>
      <xdr:row>56</xdr:row>
      <xdr:rowOff>145677</xdr:rowOff>
    </xdr:from>
    <xdr:to>
      <xdr:col>43</xdr:col>
      <xdr:colOff>65172</xdr:colOff>
      <xdr:row>59</xdr:row>
      <xdr:rowOff>110938</xdr:rowOff>
    </xdr:to>
    <xdr:sp macro="" textlink="">
      <xdr:nvSpPr>
        <xdr:cNvPr id="156" name="角丸四角形 155">
          <a:extLst>
            <a:ext uri="{FF2B5EF4-FFF2-40B4-BE49-F238E27FC236}">
              <a16:creationId xmlns:a16="http://schemas.microsoft.com/office/drawing/2014/main" id="{00000000-0008-0000-0400-00009C000000}"/>
            </a:ext>
          </a:extLst>
        </xdr:cNvPr>
        <xdr:cNvSpPr/>
      </xdr:nvSpPr>
      <xdr:spPr>
        <a:xfrm>
          <a:off x="4626350" y="9080127"/>
          <a:ext cx="763297" cy="451036"/>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31</xdr:col>
      <xdr:colOff>104775</xdr:colOff>
      <xdr:row>58</xdr:row>
      <xdr:rowOff>142875</xdr:rowOff>
    </xdr:from>
    <xdr:to>
      <xdr:col>49</xdr:col>
      <xdr:colOff>104775</xdr:colOff>
      <xdr:row>61</xdr:row>
      <xdr:rowOff>123825</xdr:rowOff>
    </xdr:to>
    <xdr:cxnSp macro="">
      <xdr:nvCxnSpPr>
        <xdr:cNvPr id="114784" name="カギ線コネクタ 104">
          <a:extLst>
            <a:ext uri="{FF2B5EF4-FFF2-40B4-BE49-F238E27FC236}">
              <a16:creationId xmlns:a16="http://schemas.microsoft.com/office/drawing/2014/main" id="{00000000-0008-0000-0400-000060C00100}"/>
            </a:ext>
          </a:extLst>
        </xdr:cNvPr>
        <xdr:cNvCxnSpPr>
          <a:cxnSpLocks noChangeShapeType="1"/>
          <a:stCxn id="77" idx="0"/>
        </xdr:cNvCxnSpPr>
      </xdr:nvCxnSpPr>
      <xdr:spPr bwMode="auto">
        <a:xfrm rot="16200000" flipH="1">
          <a:off x="4824412" y="8520113"/>
          <a:ext cx="466725" cy="2228850"/>
        </a:xfrm>
        <a:prstGeom prst="bentConnector4">
          <a:avLst>
            <a:gd name="adj1" fmla="val -50185"/>
            <a:gd name="adj2" fmla="val 57444"/>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26</xdr:col>
      <xdr:colOff>56828</xdr:colOff>
      <xdr:row>56</xdr:row>
      <xdr:rowOff>140490</xdr:rowOff>
    </xdr:from>
    <xdr:to>
      <xdr:col>31</xdr:col>
      <xdr:colOff>28575</xdr:colOff>
      <xdr:row>58</xdr:row>
      <xdr:rowOff>66675</xdr:rowOff>
    </xdr:to>
    <xdr:sp macro="" textlink="">
      <xdr:nvSpPr>
        <xdr:cNvPr id="158" name="テキスト ボックス 99">
          <a:extLst>
            <a:ext uri="{FF2B5EF4-FFF2-40B4-BE49-F238E27FC236}">
              <a16:creationId xmlns:a16="http://schemas.microsoft.com/office/drawing/2014/main" id="{00000000-0008-0000-0400-00009E000000}"/>
            </a:ext>
          </a:extLst>
        </xdr:cNvPr>
        <xdr:cNvSpPr txBox="1"/>
      </xdr:nvSpPr>
      <xdr:spPr>
        <a:xfrm>
          <a:off x="3276278" y="9074940"/>
          <a:ext cx="590872" cy="250035"/>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solidFill>
                <a:sysClr val="windowText" lastClr="000000"/>
              </a:solidFill>
              <a:latin typeface="+mn-ea"/>
              <a:ea typeface="+mn-ea"/>
            </a:rPr>
            <a:t>③⑦</a:t>
          </a:r>
        </a:p>
      </xdr:txBody>
    </xdr:sp>
    <xdr:clientData/>
  </xdr:twoCellAnchor>
  <xdr:twoCellAnchor>
    <xdr:from>
      <xdr:col>37</xdr:col>
      <xdr:colOff>44824</xdr:colOff>
      <xdr:row>174</xdr:row>
      <xdr:rowOff>11206</xdr:rowOff>
    </xdr:from>
    <xdr:to>
      <xdr:col>43</xdr:col>
      <xdr:colOff>65171</xdr:colOff>
      <xdr:row>176</xdr:row>
      <xdr:rowOff>133349</xdr:rowOff>
    </xdr:to>
    <xdr:sp macro="" textlink="">
      <xdr:nvSpPr>
        <xdr:cNvPr id="159" name="角丸四角形 158">
          <a:extLst>
            <a:ext uri="{FF2B5EF4-FFF2-40B4-BE49-F238E27FC236}">
              <a16:creationId xmlns:a16="http://schemas.microsoft.com/office/drawing/2014/main" id="{00000000-0008-0000-0400-00009F000000}"/>
            </a:ext>
          </a:extLst>
        </xdr:cNvPr>
        <xdr:cNvSpPr/>
      </xdr:nvSpPr>
      <xdr:spPr>
        <a:xfrm>
          <a:off x="4605618" y="21212735"/>
          <a:ext cx="759935" cy="435908"/>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44</xdr:col>
      <xdr:colOff>3</xdr:colOff>
      <xdr:row>180</xdr:row>
      <xdr:rowOff>15144</xdr:rowOff>
    </xdr:from>
    <xdr:to>
      <xdr:col>47</xdr:col>
      <xdr:colOff>35429</xdr:colOff>
      <xdr:row>181</xdr:row>
      <xdr:rowOff>74520</xdr:rowOff>
    </xdr:to>
    <xdr:sp macro="" textlink="">
      <xdr:nvSpPr>
        <xdr:cNvPr id="160" name="テキスト ボックス 159">
          <a:extLst>
            <a:ext uri="{FF2B5EF4-FFF2-40B4-BE49-F238E27FC236}">
              <a16:creationId xmlns:a16="http://schemas.microsoft.com/office/drawing/2014/main" id="{00000000-0008-0000-0400-0000A0000000}"/>
            </a:ext>
          </a:extLst>
        </xdr:cNvPr>
        <xdr:cNvSpPr txBox="1"/>
      </xdr:nvSpPr>
      <xdr:spPr>
        <a:xfrm>
          <a:off x="5448303" y="22456044"/>
          <a:ext cx="406901" cy="221301"/>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A</a:t>
          </a:r>
          <a:r>
            <a:rPr lang="ja-JP" altLang="en-US" sz="1200">
              <a:latin typeface="+mn-ea"/>
              <a:ea typeface="+mn-ea"/>
            </a:rPr>
            <a:t>’</a:t>
          </a:r>
        </a:p>
      </xdr:txBody>
    </xdr:sp>
    <xdr:clientData/>
  </xdr:twoCellAnchor>
  <xdr:twoCellAnchor>
    <xdr:from>
      <xdr:col>31</xdr:col>
      <xdr:colOff>66675</xdr:colOff>
      <xdr:row>176</xdr:row>
      <xdr:rowOff>0</xdr:rowOff>
    </xdr:from>
    <xdr:to>
      <xdr:col>49</xdr:col>
      <xdr:colOff>66675</xdr:colOff>
      <xdr:row>179</xdr:row>
      <xdr:rowOff>9525</xdr:rowOff>
    </xdr:to>
    <xdr:cxnSp macro="">
      <xdr:nvCxnSpPr>
        <xdr:cNvPr id="114788" name="カギ線コネクタ 56">
          <a:extLst>
            <a:ext uri="{FF2B5EF4-FFF2-40B4-BE49-F238E27FC236}">
              <a16:creationId xmlns:a16="http://schemas.microsoft.com/office/drawing/2014/main" id="{00000000-0008-0000-0400-000064C00100}"/>
            </a:ext>
          </a:extLst>
        </xdr:cNvPr>
        <xdr:cNvCxnSpPr>
          <a:cxnSpLocks noChangeShapeType="1"/>
          <a:stCxn id="114" idx="0"/>
        </xdr:cNvCxnSpPr>
      </xdr:nvCxnSpPr>
      <xdr:spPr bwMode="auto">
        <a:xfrm rot="16200000" flipH="1">
          <a:off x="4772025" y="27041475"/>
          <a:ext cx="495300" cy="2228850"/>
        </a:xfrm>
        <a:prstGeom prst="bentConnector4">
          <a:avLst>
            <a:gd name="adj1" fmla="val -47606"/>
            <a:gd name="adj2" fmla="val 63491"/>
          </a:avLst>
        </a:prstGeom>
        <a:noFill/>
        <a:ln w="19050" algn="ctr">
          <a:solidFill>
            <a:srgbClr val="000000"/>
          </a:solidFill>
          <a:prstDash val="sysDot"/>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35</xdr:col>
      <xdr:colOff>78441</xdr:colOff>
      <xdr:row>246</xdr:row>
      <xdr:rowOff>100852</xdr:rowOff>
    </xdr:from>
    <xdr:to>
      <xdr:col>42</xdr:col>
      <xdr:colOff>98789</xdr:colOff>
      <xdr:row>249</xdr:row>
      <xdr:rowOff>66113</xdr:rowOff>
    </xdr:to>
    <xdr:sp macro="" textlink="">
      <xdr:nvSpPr>
        <xdr:cNvPr id="162" name="角丸四角形 161">
          <a:extLst>
            <a:ext uri="{FF2B5EF4-FFF2-40B4-BE49-F238E27FC236}">
              <a16:creationId xmlns:a16="http://schemas.microsoft.com/office/drawing/2014/main" id="{00000000-0008-0000-0400-0000A2000000}"/>
            </a:ext>
          </a:extLst>
        </xdr:cNvPr>
        <xdr:cNvSpPr/>
      </xdr:nvSpPr>
      <xdr:spPr>
        <a:xfrm>
          <a:off x="4412316" y="32914477"/>
          <a:ext cx="887123" cy="422461"/>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67</xdr:col>
      <xdr:colOff>78576</xdr:colOff>
      <xdr:row>75</xdr:row>
      <xdr:rowOff>135590</xdr:rowOff>
    </xdr:from>
    <xdr:to>
      <xdr:col>78</xdr:col>
      <xdr:colOff>56029</xdr:colOff>
      <xdr:row>77</xdr:row>
      <xdr:rowOff>49304</xdr:rowOff>
    </xdr:to>
    <xdr:sp macro="" textlink="">
      <xdr:nvSpPr>
        <xdr:cNvPr id="163" name="正方形/長方形 162">
          <a:extLst>
            <a:ext uri="{FF2B5EF4-FFF2-40B4-BE49-F238E27FC236}">
              <a16:creationId xmlns:a16="http://schemas.microsoft.com/office/drawing/2014/main" id="{00000000-0008-0000-0400-0000A3000000}"/>
            </a:ext>
          </a:extLst>
        </xdr:cNvPr>
        <xdr:cNvSpPr/>
      </xdr:nvSpPr>
      <xdr:spPr>
        <a:xfrm>
          <a:off x="8337311" y="11924178"/>
          <a:ext cx="1333365" cy="227479"/>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研修０５</a:t>
          </a:r>
          <a:endParaRPr kumimoji="1" lang="en-US" altLang="ja-JP" sz="1000">
            <a:solidFill>
              <a:sysClr val="windowText" lastClr="000000"/>
            </a:solidFill>
            <a:latin typeface="+mn-ea"/>
            <a:ea typeface="+mn-ea"/>
          </a:endParaRPr>
        </a:p>
      </xdr:txBody>
    </xdr:sp>
    <xdr:clientData/>
  </xdr:twoCellAnchor>
  <xdr:twoCellAnchor>
    <xdr:from>
      <xdr:col>67</xdr:col>
      <xdr:colOff>78425</xdr:colOff>
      <xdr:row>187</xdr:row>
      <xdr:rowOff>0</xdr:rowOff>
    </xdr:from>
    <xdr:to>
      <xdr:col>78</xdr:col>
      <xdr:colOff>58298</xdr:colOff>
      <xdr:row>188</xdr:row>
      <xdr:rowOff>70597</xdr:rowOff>
    </xdr:to>
    <xdr:sp macro="" textlink="">
      <xdr:nvSpPr>
        <xdr:cNvPr id="164" name="正方形/長方形 163">
          <a:extLst>
            <a:ext uri="{FF2B5EF4-FFF2-40B4-BE49-F238E27FC236}">
              <a16:creationId xmlns:a16="http://schemas.microsoft.com/office/drawing/2014/main" id="{00000000-0008-0000-0400-0000A4000000}"/>
            </a:ext>
          </a:extLst>
        </xdr:cNvPr>
        <xdr:cNvSpPr/>
      </xdr:nvSpPr>
      <xdr:spPr>
        <a:xfrm>
          <a:off x="8337160" y="23241000"/>
          <a:ext cx="1335785" cy="227479"/>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80844</xdr:colOff>
      <xdr:row>188</xdr:row>
      <xdr:rowOff>70041</xdr:rowOff>
    </xdr:from>
    <xdr:to>
      <xdr:col>78</xdr:col>
      <xdr:colOff>58297</xdr:colOff>
      <xdr:row>189</xdr:row>
      <xdr:rowOff>133298</xdr:rowOff>
    </xdr:to>
    <xdr:sp macro="" textlink="">
      <xdr:nvSpPr>
        <xdr:cNvPr id="165" name="正方形/長方形 164">
          <a:extLst>
            <a:ext uri="{FF2B5EF4-FFF2-40B4-BE49-F238E27FC236}">
              <a16:creationId xmlns:a16="http://schemas.microsoft.com/office/drawing/2014/main" id="{00000000-0008-0000-0400-0000A5000000}"/>
            </a:ext>
          </a:extLst>
        </xdr:cNvPr>
        <xdr:cNvSpPr/>
      </xdr:nvSpPr>
      <xdr:spPr>
        <a:xfrm>
          <a:off x="8339579" y="23467923"/>
          <a:ext cx="1333365" cy="22014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研修０２</a:t>
          </a:r>
          <a:endParaRPr kumimoji="1" lang="en-US" altLang="ja-JP" sz="1000">
            <a:solidFill>
              <a:sysClr val="windowText" lastClr="000000"/>
            </a:solidFill>
            <a:latin typeface="+mn-ea"/>
            <a:ea typeface="+mn-ea"/>
          </a:endParaRPr>
        </a:p>
      </xdr:txBody>
    </xdr:sp>
    <xdr:clientData/>
  </xdr:twoCellAnchor>
  <xdr:twoCellAnchor>
    <xdr:from>
      <xdr:col>67</xdr:col>
      <xdr:colOff>80844</xdr:colOff>
      <xdr:row>189</xdr:row>
      <xdr:rowOff>138953</xdr:rowOff>
    </xdr:from>
    <xdr:to>
      <xdr:col>78</xdr:col>
      <xdr:colOff>58297</xdr:colOff>
      <xdr:row>191</xdr:row>
      <xdr:rowOff>52666</xdr:rowOff>
    </xdr:to>
    <xdr:sp macro="" textlink="">
      <xdr:nvSpPr>
        <xdr:cNvPr id="166" name="正方形/長方形 165">
          <a:extLst>
            <a:ext uri="{FF2B5EF4-FFF2-40B4-BE49-F238E27FC236}">
              <a16:creationId xmlns:a16="http://schemas.microsoft.com/office/drawing/2014/main" id="{00000000-0008-0000-0400-0000A6000000}"/>
            </a:ext>
          </a:extLst>
        </xdr:cNvPr>
        <xdr:cNvSpPr/>
      </xdr:nvSpPr>
      <xdr:spPr>
        <a:xfrm>
          <a:off x="8339579" y="23693718"/>
          <a:ext cx="1333365" cy="227477"/>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研修０３</a:t>
          </a:r>
          <a:endParaRPr kumimoji="1" lang="en-US" altLang="ja-JP" sz="1000">
            <a:solidFill>
              <a:sysClr val="windowText" lastClr="000000"/>
            </a:solidFill>
            <a:latin typeface="+mn-ea"/>
            <a:ea typeface="+mn-ea"/>
          </a:endParaRPr>
        </a:p>
      </xdr:txBody>
    </xdr:sp>
    <xdr:clientData/>
  </xdr:twoCellAnchor>
  <xdr:twoCellAnchor>
    <xdr:from>
      <xdr:col>67</xdr:col>
      <xdr:colOff>80844</xdr:colOff>
      <xdr:row>191</xdr:row>
      <xdr:rowOff>49305</xdr:rowOff>
    </xdr:from>
    <xdr:to>
      <xdr:col>78</xdr:col>
      <xdr:colOff>58297</xdr:colOff>
      <xdr:row>192</xdr:row>
      <xdr:rowOff>119901</xdr:rowOff>
    </xdr:to>
    <xdr:sp macro="" textlink="">
      <xdr:nvSpPr>
        <xdr:cNvPr id="167" name="正方形/長方形 166">
          <a:extLst>
            <a:ext uri="{FF2B5EF4-FFF2-40B4-BE49-F238E27FC236}">
              <a16:creationId xmlns:a16="http://schemas.microsoft.com/office/drawing/2014/main" id="{00000000-0008-0000-0400-0000A7000000}"/>
            </a:ext>
          </a:extLst>
        </xdr:cNvPr>
        <xdr:cNvSpPr/>
      </xdr:nvSpPr>
      <xdr:spPr>
        <a:xfrm>
          <a:off x="8339579" y="23917834"/>
          <a:ext cx="1333365" cy="227479"/>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研修０４</a:t>
          </a:r>
          <a:endParaRPr kumimoji="1" lang="en-US" altLang="ja-JP" sz="1000">
            <a:solidFill>
              <a:sysClr val="windowText" lastClr="000000"/>
            </a:solidFill>
            <a:latin typeface="+mn-ea"/>
            <a:ea typeface="+mn-ea"/>
          </a:endParaRPr>
        </a:p>
      </xdr:txBody>
    </xdr:sp>
    <xdr:clientData/>
  </xdr:twoCellAnchor>
  <xdr:twoCellAnchor>
    <xdr:from>
      <xdr:col>67</xdr:col>
      <xdr:colOff>80844</xdr:colOff>
      <xdr:row>192</xdr:row>
      <xdr:rowOff>116539</xdr:rowOff>
    </xdr:from>
    <xdr:to>
      <xdr:col>78</xdr:col>
      <xdr:colOff>58297</xdr:colOff>
      <xdr:row>194</xdr:row>
      <xdr:rowOff>30254</xdr:rowOff>
    </xdr:to>
    <xdr:sp macro="" textlink="">
      <xdr:nvSpPr>
        <xdr:cNvPr id="168" name="正方形/長方形 167">
          <a:extLst>
            <a:ext uri="{FF2B5EF4-FFF2-40B4-BE49-F238E27FC236}">
              <a16:creationId xmlns:a16="http://schemas.microsoft.com/office/drawing/2014/main" id="{00000000-0008-0000-0400-0000A8000000}"/>
            </a:ext>
          </a:extLst>
        </xdr:cNvPr>
        <xdr:cNvSpPr/>
      </xdr:nvSpPr>
      <xdr:spPr>
        <a:xfrm>
          <a:off x="8339579" y="24141951"/>
          <a:ext cx="1333365" cy="227479"/>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研修０５</a:t>
          </a:r>
          <a:endParaRPr kumimoji="1" lang="en-US" altLang="ja-JP" sz="1000">
            <a:solidFill>
              <a:sysClr val="windowText" lastClr="000000"/>
            </a:solidFill>
            <a:latin typeface="+mn-ea"/>
            <a:ea typeface="+mn-ea"/>
          </a:endParaRPr>
        </a:p>
      </xdr:txBody>
    </xdr:sp>
    <xdr:clientData/>
  </xdr:twoCellAnchor>
  <xdr:twoCellAnchor>
    <xdr:from>
      <xdr:col>6</xdr:col>
      <xdr:colOff>102150</xdr:colOff>
      <xdr:row>66</xdr:row>
      <xdr:rowOff>1121</xdr:rowOff>
    </xdr:from>
    <xdr:to>
      <xdr:col>20</xdr:col>
      <xdr:colOff>93009</xdr:colOff>
      <xdr:row>73</xdr:row>
      <xdr:rowOff>84842</xdr:rowOff>
    </xdr:to>
    <xdr:sp macro="" textlink="">
      <xdr:nvSpPr>
        <xdr:cNvPr id="169" name="正方形/長方形 168">
          <a:extLst>
            <a:ext uri="{FF2B5EF4-FFF2-40B4-BE49-F238E27FC236}">
              <a16:creationId xmlns:a16="http://schemas.microsoft.com/office/drawing/2014/main" id="{00000000-0008-0000-0400-0000A9000000}"/>
            </a:ext>
          </a:extLst>
        </xdr:cNvPr>
        <xdr:cNvSpPr/>
      </xdr:nvSpPr>
      <xdr:spPr>
        <a:xfrm>
          <a:off x="841738" y="10377768"/>
          <a:ext cx="1716565" cy="118189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23</xdr:col>
      <xdr:colOff>95250</xdr:colOff>
      <xdr:row>60</xdr:row>
      <xdr:rowOff>85725</xdr:rowOff>
    </xdr:from>
    <xdr:to>
      <xdr:col>31</xdr:col>
      <xdr:colOff>104775</xdr:colOff>
      <xdr:row>63</xdr:row>
      <xdr:rowOff>161925</xdr:rowOff>
    </xdr:to>
    <xdr:cxnSp macro="">
      <xdr:nvCxnSpPr>
        <xdr:cNvPr id="114797" name="カギ線コネクタ 56">
          <a:extLst>
            <a:ext uri="{FF2B5EF4-FFF2-40B4-BE49-F238E27FC236}">
              <a16:creationId xmlns:a16="http://schemas.microsoft.com/office/drawing/2014/main" id="{00000000-0008-0000-0400-00006DC00100}"/>
            </a:ext>
          </a:extLst>
        </xdr:cNvPr>
        <xdr:cNvCxnSpPr>
          <a:cxnSpLocks noChangeShapeType="1"/>
          <a:stCxn id="77" idx="2"/>
        </xdr:cNvCxnSpPr>
      </xdr:nvCxnSpPr>
      <xdr:spPr bwMode="auto">
        <a:xfrm rot="5400000">
          <a:off x="3162300" y="9448800"/>
          <a:ext cx="561975" cy="1000125"/>
        </a:xfrm>
        <a:prstGeom prst="bentConnector2">
          <a:avLst/>
        </a:prstGeom>
        <a:noFill/>
        <a:ln w="19050" algn="ctr">
          <a:solidFill>
            <a:srgbClr val="000000"/>
          </a:solidFill>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20</xdr:col>
      <xdr:colOff>95250</xdr:colOff>
      <xdr:row>63</xdr:row>
      <xdr:rowOff>38100</xdr:rowOff>
    </xdr:from>
    <xdr:to>
      <xdr:col>22</xdr:col>
      <xdr:colOff>76200</xdr:colOff>
      <xdr:row>69</xdr:row>
      <xdr:rowOff>123825</xdr:rowOff>
    </xdr:to>
    <xdr:cxnSp macro="">
      <xdr:nvCxnSpPr>
        <xdr:cNvPr id="114798" name="カギ線コネクタ 56">
          <a:extLst>
            <a:ext uri="{FF2B5EF4-FFF2-40B4-BE49-F238E27FC236}">
              <a16:creationId xmlns:a16="http://schemas.microsoft.com/office/drawing/2014/main" id="{00000000-0008-0000-0400-00006EC00100}"/>
            </a:ext>
          </a:extLst>
        </xdr:cNvPr>
        <xdr:cNvCxnSpPr>
          <a:cxnSpLocks noChangeShapeType="1"/>
          <a:endCxn id="169" idx="3"/>
        </xdr:cNvCxnSpPr>
      </xdr:nvCxnSpPr>
      <xdr:spPr bwMode="auto">
        <a:xfrm rot="5400000">
          <a:off x="2157412" y="10520363"/>
          <a:ext cx="1057275" cy="228600"/>
        </a:xfrm>
        <a:prstGeom prst="bentConnector2">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22</xdr:col>
      <xdr:colOff>76200</xdr:colOff>
      <xdr:row>60</xdr:row>
      <xdr:rowOff>85725</xdr:rowOff>
    </xdr:from>
    <xdr:to>
      <xdr:col>30</xdr:col>
      <xdr:colOff>114300</xdr:colOff>
      <xdr:row>63</xdr:row>
      <xdr:rowOff>47625</xdr:rowOff>
    </xdr:to>
    <xdr:cxnSp macro="">
      <xdr:nvCxnSpPr>
        <xdr:cNvPr id="114799" name="カギ線コネクタ 56">
          <a:extLst>
            <a:ext uri="{FF2B5EF4-FFF2-40B4-BE49-F238E27FC236}">
              <a16:creationId xmlns:a16="http://schemas.microsoft.com/office/drawing/2014/main" id="{00000000-0008-0000-0400-00006FC00100}"/>
            </a:ext>
          </a:extLst>
        </xdr:cNvPr>
        <xdr:cNvCxnSpPr>
          <a:cxnSpLocks noChangeShapeType="1"/>
        </xdr:cNvCxnSpPr>
      </xdr:nvCxnSpPr>
      <xdr:spPr bwMode="auto">
        <a:xfrm rot="10800000" flipV="1">
          <a:off x="2800350" y="9667875"/>
          <a:ext cx="1028700" cy="447675"/>
        </a:xfrm>
        <a:prstGeom prst="bentConnector3">
          <a:avLst>
            <a:gd name="adj1" fmla="val -14"/>
          </a:avLst>
        </a:prstGeom>
        <a:noFill/>
        <a:ln w="19050" algn="ctr">
          <a:solidFill>
            <a:srgbClr val="000000"/>
          </a:solidFill>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20</xdr:col>
      <xdr:colOff>54527</xdr:colOff>
      <xdr:row>67</xdr:row>
      <xdr:rowOff>63975</xdr:rowOff>
    </xdr:from>
    <xdr:to>
      <xdr:col>22</xdr:col>
      <xdr:colOff>71128</xdr:colOff>
      <xdr:row>68</xdr:row>
      <xdr:rowOff>128560</xdr:rowOff>
    </xdr:to>
    <xdr:sp macro="" textlink="">
      <xdr:nvSpPr>
        <xdr:cNvPr id="178" name="テキスト ボックス 99">
          <a:extLst>
            <a:ext uri="{FF2B5EF4-FFF2-40B4-BE49-F238E27FC236}">
              <a16:creationId xmlns:a16="http://schemas.microsoft.com/office/drawing/2014/main" id="{00000000-0008-0000-0400-0000B2000000}"/>
            </a:ext>
          </a:extLst>
        </xdr:cNvPr>
        <xdr:cNvSpPr txBox="1"/>
      </xdr:nvSpPr>
      <xdr:spPr>
        <a:xfrm>
          <a:off x="2550734" y="10876492"/>
          <a:ext cx="266222" cy="228809"/>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solidFill>
                <a:sysClr val="windowText" lastClr="000000"/>
              </a:solidFill>
              <a:latin typeface="+mn-ea"/>
              <a:ea typeface="+mn-ea"/>
            </a:rPr>
            <a:t>⑧</a:t>
          </a:r>
        </a:p>
      </xdr:txBody>
    </xdr:sp>
    <xdr:clientData/>
  </xdr:twoCellAnchor>
  <xdr:twoCellAnchor>
    <xdr:from>
      <xdr:col>6</xdr:col>
      <xdr:colOff>66675</xdr:colOff>
      <xdr:row>183</xdr:row>
      <xdr:rowOff>114300</xdr:rowOff>
    </xdr:from>
    <xdr:to>
      <xdr:col>20</xdr:col>
      <xdr:colOff>57534</xdr:colOff>
      <xdr:row>191</xdr:row>
      <xdr:rowOff>12494</xdr:rowOff>
    </xdr:to>
    <xdr:sp macro="" textlink="">
      <xdr:nvSpPr>
        <xdr:cNvPr id="181" name="正方形/長方形 180">
          <a:extLst>
            <a:ext uri="{FF2B5EF4-FFF2-40B4-BE49-F238E27FC236}">
              <a16:creationId xmlns:a16="http://schemas.microsoft.com/office/drawing/2014/main" id="{00000000-0008-0000-0400-0000B5000000}"/>
            </a:ext>
          </a:extLst>
        </xdr:cNvPr>
        <xdr:cNvSpPr/>
      </xdr:nvSpPr>
      <xdr:spPr>
        <a:xfrm>
          <a:off x="809625" y="29156025"/>
          <a:ext cx="1724409" cy="119359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9</xdr:col>
      <xdr:colOff>95250</xdr:colOff>
      <xdr:row>185</xdr:row>
      <xdr:rowOff>142875</xdr:rowOff>
    </xdr:from>
    <xdr:to>
      <xdr:col>11</xdr:col>
      <xdr:colOff>123055</xdr:colOff>
      <xdr:row>187</xdr:row>
      <xdr:rowOff>41807</xdr:rowOff>
    </xdr:to>
    <xdr:sp macro="" textlink="">
      <xdr:nvSpPr>
        <xdr:cNvPr id="182" name="テキスト ボックス 99">
          <a:extLst>
            <a:ext uri="{FF2B5EF4-FFF2-40B4-BE49-F238E27FC236}">
              <a16:creationId xmlns:a16="http://schemas.microsoft.com/office/drawing/2014/main" id="{00000000-0008-0000-0400-0000B6000000}"/>
            </a:ext>
          </a:extLst>
        </xdr:cNvPr>
        <xdr:cNvSpPr txBox="1"/>
      </xdr:nvSpPr>
      <xdr:spPr>
        <a:xfrm>
          <a:off x="1209675" y="29508450"/>
          <a:ext cx="275455" cy="222782"/>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solidFill>
                <a:sysClr val="windowText" lastClr="000000"/>
              </a:solidFill>
              <a:latin typeface="+mn-ea"/>
              <a:ea typeface="+mn-ea"/>
            </a:rPr>
            <a:t>E</a:t>
          </a:r>
          <a:endParaRPr lang="ja-JP" altLang="en-US" sz="1200">
            <a:solidFill>
              <a:sysClr val="windowText" lastClr="000000"/>
            </a:solidFill>
            <a:latin typeface="+mn-ea"/>
            <a:ea typeface="+mn-ea"/>
          </a:endParaRPr>
        </a:p>
      </xdr:txBody>
    </xdr:sp>
    <xdr:clientData/>
  </xdr:twoCellAnchor>
  <xdr:twoCellAnchor>
    <xdr:from>
      <xdr:col>20</xdr:col>
      <xdr:colOff>57150</xdr:colOff>
      <xdr:row>180</xdr:row>
      <xdr:rowOff>95250</xdr:rowOff>
    </xdr:from>
    <xdr:to>
      <xdr:col>23</xdr:col>
      <xdr:colOff>57150</xdr:colOff>
      <xdr:row>187</xdr:row>
      <xdr:rowOff>66675</xdr:rowOff>
    </xdr:to>
    <xdr:cxnSp macro="">
      <xdr:nvCxnSpPr>
        <xdr:cNvPr id="114803" name="カギ線コネクタ 56">
          <a:extLst>
            <a:ext uri="{FF2B5EF4-FFF2-40B4-BE49-F238E27FC236}">
              <a16:creationId xmlns:a16="http://schemas.microsoft.com/office/drawing/2014/main" id="{00000000-0008-0000-0400-000073C00100}"/>
            </a:ext>
          </a:extLst>
        </xdr:cNvPr>
        <xdr:cNvCxnSpPr>
          <a:cxnSpLocks noChangeShapeType="1"/>
          <a:endCxn id="181" idx="3"/>
        </xdr:cNvCxnSpPr>
      </xdr:nvCxnSpPr>
      <xdr:spPr bwMode="auto">
        <a:xfrm rot="5400000">
          <a:off x="2166938" y="29017912"/>
          <a:ext cx="1104900" cy="371475"/>
        </a:xfrm>
        <a:prstGeom prst="bentConnector2">
          <a:avLst/>
        </a:prstGeom>
        <a:noFill/>
        <a:ln w="19050" algn="ctr">
          <a:solidFill>
            <a:srgbClr val="000000"/>
          </a:solidFill>
          <a:prstDash val="sysDot"/>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24</xdr:col>
      <xdr:colOff>66675</xdr:colOff>
      <xdr:row>177</xdr:row>
      <xdr:rowOff>104775</xdr:rowOff>
    </xdr:from>
    <xdr:to>
      <xdr:col>31</xdr:col>
      <xdr:colOff>66675</xdr:colOff>
      <xdr:row>181</xdr:row>
      <xdr:rowOff>19050</xdr:rowOff>
    </xdr:to>
    <xdr:cxnSp macro="">
      <xdr:nvCxnSpPr>
        <xdr:cNvPr id="114804" name="カギ線コネクタ 56">
          <a:extLst>
            <a:ext uri="{FF2B5EF4-FFF2-40B4-BE49-F238E27FC236}">
              <a16:creationId xmlns:a16="http://schemas.microsoft.com/office/drawing/2014/main" id="{00000000-0008-0000-0400-000074C00100}"/>
            </a:ext>
          </a:extLst>
        </xdr:cNvPr>
        <xdr:cNvCxnSpPr>
          <a:cxnSpLocks noChangeShapeType="1"/>
          <a:stCxn id="114" idx="2"/>
        </xdr:cNvCxnSpPr>
      </xdr:nvCxnSpPr>
      <xdr:spPr bwMode="auto">
        <a:xfrm rot="5400000">
          <a:off x="3190875" y="28022550"/>
          <a:ext cx="561975" cy="866775"/>
        </a:xfrm>
        <a:prstGeom prst="bentConnector2">
          <a:avLst/>
        </a:prstGeom>
        <a:noFill/>
        <a:ln w="19050" algn="ctr">
          <a:solidFill>
            <a:srgbClr val="000000"/>
          </a:solidFill>
          <a:prstDash val="sysDot"/>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23</xdr:col>
      <xdr:colOff>57150</xdr:colOff>
      <xdr:row>177</xdr:row>
      <xdr:rowOff>104775</xdr:rowOff>
    </xdr:from>
    <xdr:to>
      <xdr:col>30</xdr:col>
      <xdr:colOff>57150</xdr:colOff>
      <xdr:row>180</xdr:row>
      <xdr:rowOff>95250</xdr:rowOff>
    </xdr:to>
    <xdr:cxnSp macro="">
      <xdr:nvCxnSpPr>
        <xdr:cNvPr id="114805" name="カギ線コネクタ 56">
          <a:extLst>
            <a:ext uri="{FF2B5EF4-FFF2-40B4-BE49-F238E27FC236}">
              <a16:creationId xmlns:a16="http://schemas.microsoft.com/office/drawing/2014/main" id="{00000000-0008-0000-0400-000075C00100}"/>
            </a:ext>
          </a:extLst>
        </xdr:cNvPr>
        <xdr:cNvCxnSpPr>
          <a:cxnSpLocks noChangeShapeType="1"/>
        </xdr:cNvCxnSpPr>
      </xdr:nvCxnSpPr>
      <xdr:spPr bwMode="auto">
        <a:xfrm rot="10800000" flipV="1">
          <a:off x="2905125" y="28174950"/>
          <a:ext cx="866775" cy="476250"/>
        </a:xfrm>
        <a:prstGeom prst="bentConnector3">
          <a:avLst>
            <a:gd name="adj1" fmla="val 704"/>
          </a:avLst>
        </a:prstGeom>
        <a:noFill/>
        <a:ln w="19050" algn="ctr">
          <a:solidFill>
            <a:srgbClr val="000000"/>
          </a:solidFill>
          <a:prstDash val="sysDot"/>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21</xdr:col>
      <xdr:colOff>89646</xdr:colOff>
      <xdr:row>297</xdr:row>
      <xdr:rowOff>145676</xdr:rowOff>
    </xdr:from>
    <xdr:to>
      <xdr:col>62</xdr:col>
      <xdr:colOff>44823</xdr:colOff>
      <xdr:row>304</xdr:row>
      <xdr:rowOff>21851</xdr:rowOff>
    </xdr:to>
    <xdr:sp macro="" textlink="">
      <xdr:nvSpPr>
        <xdr:cNvPr id="197" name="正方形/長方形 196">
          <a:extLst>
            <a:ext uri="{FF2B5EF4-FFF2-40B4-BE49-F238E27FC236}">
              <a16:creationId xmlns:a16="http://schemas.microsoft.com/office/drawing/2014/main" id="{00000000-0008-0000-0400-0000C5000000}"/>
            </a:ext>
          </a:extLst>
        </xdr:cNvPr>
        <xdr:cNvSpPr/>
      </xdr:nvSpPr>
      <xdr:spPr>
        <a:xfrm>
          <a:off x="2678205" y="40677352"/>
          <a:ext cx="5009030" cy="97435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Standby</a:t>
          </a:r>
          <a:r>
            <a:rPr lang="ja-JP" altLang="en-US" sz="1200">
              <a:solidFill>
                <a:sysClr val="windowText" lastClr="000000"/>
              </a:solidFill>
              <a:latin typeface="+mn-ea"/>
            </a:rPr>
            <a:t>）</a:t>
          </a:r>
        </a:p>
      </xdr:txBody>
    </xdr:sp>
    <xdr:clientData/>
  </xdr:twoCellAnchor>
  <xdr:twoCellAnchor>
    <xdr:from>
      <xdr:col>21</xdr:col>
      <xdr:colOff>89646</xdr:colOff>
      <xdr:row>283</xdr:row>
      <xdr:rowOff>112058</xdr:rowOff>
    </xdr:from>
    <xdr:to>
      <xdr:col>62</xdr:col>
      <xdr:colOff>44823</xdr:colOff>
      <xdr:row>297</xdr:row>
      <xdr:rowOff>56029</xdr:rowOff>
    </xdr:to>
    <xdr:sp macro="" textlink="">
      <xdr:nvSpPr>
        <xdr:cNvPr id="198" name="正方形/長方形 197">
          <a:extLst>
            <a:ext uri="{FF2B5EF4-FFF2-40B4-BE49-F238E27FC236}">
              <a16:creationId xmlns:a16="http://schemas.microsoft.com/office/drawing/2014/main" id="{00000000-0008-0000-0400-0000C6000000}"/>
            </a:ext>
          </a:extLst>
        </xdr:cNvPr>
        <xdr:cNvSpPr/>
      </xdr:nvSpPr>
      <xdr:spPr>
        <a:xfrm>
          <a:off x="2678205" y="38447382"/>
          <a:ext cx="5009030" cy="214032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47</xdr:col>
      <xdr:colOff>22412</xdr:colOff>
      <xdr:row>284</xdr:row>
      <xdr:rowOff>112059</xdr:rowOff>
    </xdr:from>
    <xdr:to>
      <xdr:col>59</xdr:col>
      <xdr:colOff>84019</xdr:colOff>
      <xdr:row>288</xdr:row>
      <xdr:rowOff>134470</xdr:rowOff>
    </xdr:to>
    <xdr:sp macro="" textlink="">
      <xdr:nvSpPr>
        <xdr:cNvPr id="199" name="円柱 198">
          <a:extLst>
            <a:ext uri="{FF2B5EF4-FFF2-40B4-BE49-F238E27FC236}">
              <a16:creationId xmlns:a16="http://schemas.microsoft.com/office/drawing/2014/main" id="{00000000-0008-0000-0400-0000C7000000}"/>
            </a:ext>
          </a:extLst>
        </xdr:cNvPr>
        <xdr:cNvSpPr/>
      </xdr:nvSpPr>
      <xdr:spPr>
        <a:xfrm>
          <a:off x="5815853" y="38604265"/>
          <a:ext cx="1540784" cy="649940"/>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研修インスタンス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23</xdr:col>
      <xdr:colOff>67236</xdr:colOff>
      <xdr:row>294</xdr:row>
      <xdr:rowOff>125439</xdr:rowOff>
    </xdr:from>
    <xdr:to>
      <xdr:col>33</xdr:col>
      <xdr:colOff>48165</xdr:colOff>
      <xdr:row>296</xdr:row>
      <xdr:rowOff>74168</xdr:rowOff>
    </xdr:to>
    <xdr:sp macro="" textlink="">
      <xdr:nvSpPr>
        <xdr:cNvPr id="200" name="角丸四角形 199">
          <a:extLst>
            <a:ext uri="{FF2B5EF4-FFF2-40B4-BE49-F238E27FC236}">
              <a16:creationId xmlns:a16="http://schemas.microsoft.com/office/drawing/2014/main" id="{00000000-0008-0000-0400-0000C8000000}"/>
            </a:ext>
          </a:extLst>
        </xdr:cNvPr>
        <xdr:cNvSpPr/>
      </xdr:nvSpPr>
      <xdr:spPr>
        <a:xfrm>
          <a:off x="2902324" y="40186468"/>
          <a:ext cx="1213576" cy="262494"/>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ysClr val="windowText" lastClr="000000"/>
              </a:solidFill>
              <a:latin typeface="+mn-ea"/>
            </a:rPr>
            <a:t>HULFT</a:t>
          </a:r>
          <a:endParaRPr lang="ja-JP" altLang="en-US" sz="1200">
            <a:solidFill>
              <a:sysClr val="windowText" lastClr="000000"/>
            </a:solidFill>
            <a:latin typeface="+mn-ea"/>
          </a:endParaRPr>
        </a:p>
      </xdr:txBody>
    </xdr:sp>
    <xdr:clientData/>
  </xdr:twoCellAnchor>
  <xdr:twoCellAnchor>
    <xdr:from>
      <xdr:col>23</xdr:col>
      <xdr:colOff>70577</xdr:colOff>
      <xdr:row>285</xdr:row>
      <xdr:rowOff>100850</xdr:rowOff>
    </xdr:from>
    <xdr:to>
      <xdr:col>33</xdr:col>
      <xdr:colOff>36958</xdr:colOff>
      <xdr:row>288</xdr:row>
      <xdr:rowOff>0</xdr:rowOff>
    </xdr:to>
    <xdr:sp macro="" textlink="">
      <xdr:nvSpPr>
        <xdr:cNvPr id="201" name="角丸四角形 200">
          <a:extLst>
            <a:ext uri="{FF2B5EF4-FFF2-40B4-BE49-F238E27FC236}">
              <a16:creationId xmlns:a16="http://schemas.microsoft.com/office/drawing/2014/main" id="{00000000-0008-0000-0400-0000C9000000}"/>
            </a:ext>
          </a:extLst>
        </xdr:cNvPr>
        <xdr:cNvSpPr/>
      </xdr:nvSpPr>
      <xdr:spPr>
        <a:xfrm>
          <a:off x="2905665" y="38749938"/>
          <a:ext cx="1199028" cy="369797"/>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33</xdr:col>
      <xdr:colOff>33618</xdr:colOff>
      <xdr:row>287</xdr:row>
      <xdr:rowOff>44823</xdr:rowOff>
    </xdr:from>
    <xdr:to>
      <xdr:col>47</xdr:col>
      <xdr:colOff>33619</xdr:colOff>
      <xdr:row>287</xdr:row>
      <xdr:rowOff>56029</xdr:rowOff>
    </xdr:to>
    <xdr:cxnSp macro="">
      <xdr:nvCxnSpPr>
        <xdr:cNvPr id="202" name="直線矢印コネクタ 201">
          <a:extLst>
            <a:ext uri="{FF2B5EF4-FFF2-40B4-BE49-F238E27FC236}">
              <a16:creationId xmlns:a16="http://schemas.microsoft.com/office/drawing/2014/main" id="{00000000-0008-0000-0400-0000CA000000}"/>
            </a:ext>
          </a:extLst>
        </xdr:cNvPr>
        <xdr:cNvCxnSpPr/>
      </xdr:nvCxnSpPr>
      <xdr:spPr>
        <a:xfrm flipH="1">
          <a:off x="4101353" y="39007676"/>
          <a:ext cx="1725707" cy="11206"/>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112059</xdr:colOff>
      <xdr:row>289</xdr:row>
      <xdr:rowOff>100853</xdr:rowOff>
    </xdr:from>
    <xdr:to>
      <xdr:col>31</xdr:col>
      <xdr:colOff>1</xdr:colOff>
      <xdr:row>293</xdr:row>
      <xdr:rowOff>11205</xdr:rowOff>
    </xdr:to>
    <xdr:sp macro="" textlink="">
      <xdr:nvSpPr>
        <xdr:cNvPr id="203" name="メモ 202">
          <a:extLst>
            <a:ext uri="{FF2B5EF4-FFF2-40B4-BE49-F238E27FC236}">
              <a16:creationId xmlns:a16="http://schemas.microsoft.com/office/drawing/2014/main" id="{00000000-0008-0000-0400-0000CB000000}"/>
            </a:ext>
          </a:extLst>
        </xdr:cNvPr>
        <xdr:cNvSpPr/>
      </xdr:nvSpPr>
      <xdr:spPr>
        <a:xfrm>
          <a:off x="3193677" y="39377471"/>
          <a:ext cx="627530" cy="537881"/>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24</xdr:col>
      <xdr:colOff>67236</xdr:colOff>
      <xdr:row>290</xdr:row>
      <xdr:rowOff>33616</xdr:rowOff>
    </xdr:from>
    <xdr:ext cx="1228285" cy="275717"/>
    <xdr:sp macro="" textlink="">
      <xdr:nvSpPr>
        <xdr:cNvPr id="204" name="テキスト ボックス 203">
          <a:extLst>
            <a:ext uri="{FF2B5EF4-FFF2-40B4-BE49-F238E27FC236}">
              <a16:creationId xmlns:a16="http://schemas.microsoft.com/office/drawing/2014/main" id="{00000000-0008-0000-0400-0000CC000000}"/>
            </a:ext>
          </a:extLst>
        </xdr:cNvPr>
        <xdr:cNvSpPr txBox="1"/>
      </xdr:nvSpPr>
      <xdr:spPr>
        <a:xfrm>
          <a:off x="3039036" y="45705991"/>
          <a:ext cx="12282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キャンペーン受付</a:t>
          </a:r>
        </a:p>
      </xdr:txBody>
    </xdr:sp>
    <xdr:clientData/>
  </xdr:oneCellAnchor>
  <xdr:twoCellAnchor>
    <xdr:from>
      <xdr:col>28</xdr:col>
      <xdr:colOff>53767</xdr:colOff>
      <xdr:row>288</xdr:row>
      <xdr:rowOff>0</xdr:rowOff>
    </xdr:from>
    <xdr:to>
      <xdr:col>28</xdr:col>
      <xdr:colOff>56030</xdr:colOff>
      <xdr:row>289</xdr:row>
      <xdr:rowOff>100853</xdr:rowOff>
    </xdr:to>
    <xdr:cxnSp macro="">
      <xdr:nvCxnSpPr>
        <xdr:cNvPr id="205" name="直線矢印コネクタ 204">
          <a:extLst>
            <a:ext uri="{FF2B5EF4-FFF2-40B4-BE49-F238E27FC236}">
              <a16:creationId xmlns:a16="http://schemas.microsoft.com/office/drawing/2014/main" id="{00000000-0008-0000-0400-0000CD000000}"/>
            </a:ext>
          </a:extLst>
        </xdr:cNvPr>
        <xdr:cNvCxnSpPr>
          <a:stCxn id="201" idx="2"/>
          <a:endCxn id="203" idx="0"/>
        </xdr:cNvCxnSpPr>
      </xdr:nvCxnSpPr>
      <xdr:spPr>
        <a:xfrm>
          <a:off x="3505179" y="39119735"/>
          <a:ext cx="2263" cy="257736"/>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56030</xdr:colOff>
      <xdr:row>293</xdr:row>
      <xdr:rowOff>11205</xdr:rowOff>
    </xdr:from>
    <xdr:to>
      <xdr:col>28</xdr:col>
      <xdr:colOff>57700</xdr:colOff>
      <xdr:row>294</xdr:row>
      <xdr:rowOff>125439</xdr:rowOff>
    </xdr:to>
    <xdr:cxnSp macro="">
      <xdr:nvCxnSpPr>
        <xdr:cNvPr id="206" name="直線矢印コネクタ 205">
          <a:extLst>
            <a:ext uri="{FF2B5EF4-FFF2-40B4-BE49-F238E27FC236}">
              <a16:creationId xmlns:a16="http://schemas.microsoft.com/office/drawing/2014/main" id="{00000000-0008-0000-0400-0000CE000000}"/>
            </a:ext>
          </a:extLst>
        </xdr:cNvPr>
        <xdr:cNvCxnSpPr>
          <a:stCxn id="203" idx="2"/>
          <a:endCxn id="200" idx="0"/>
        </xdr:cNvCxnSpPr>
      </xdr:nvCxnSpPr>
      <xdr:spPr>
        <a:xfrm>
          <a:off x="3507442" y="39915352"/>
          <a:ext cx="1670" cy="271116"/>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36958</xdr:colOff>
      <xdr:row>286</xdr:row>
      <xdr:rowOff>78439</xdr:rowOff>
    </xdr:from>
    <xdr:to>
      <xdr:col>47</xdr:col>
      <xdr:colOff>22412</xdr:colOff>
      <xdr:row>286</xdr:row>
      <xdr:rowOff>78441</xdr:rowOff>
    </xdr:to>
    <xdr:cxnSp macro="">
      <xdr:nvCxnSpPr>
        <xdr:cNvPr id="207" name="直線矢印コネクタ 206">
          <a:extLst>
            <a:ext uri="{FF2B5EF4-FFF2-40B4-BE49-F238E27FC236}">
              <a16:creationId xmlns:a16="http://schemas.microsoft.com/office/drawing/2014/main" id="{00000000-0008-0000-0400-0000CF000000}"/>
            </a:ext>
          </a:extLst>
        </xdr:cNvPr>
        <xdr:cNvCxnSpPr/>
      </xdr:nvCxnSpPr>
      <xdr:spPr>
        <a:xfrm>
          <a:off x="4104693" y="38884410"/>
          <a:ext cx="1711160" cy="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67235</xdr:colOff>
      <xdr:row>295</xdr:row>
      <xdr:rowOff>99804</xdr:rowOff>
    </xdr:from>
    <xdr:to>
      <xdr:col>23</xdr:col>
      <xdr:colOff>67236</xdr:colOff>
      <xdr:row>295</xdr:row>
      <xdr:rowOff>100853</xdr:rowOff>
    </xdr:to>
    <xdr:cxnSp macro="">
      <xdr:nvCxnSpPr>
        <xdr:cNvPr id="208" name="直線矢印コネクタ 207">
          <a:extLst>
            <a:ext uri="{FF2B5EF4-FFF2-40B4-BE49-F238E27FC236}">
              <a16:creationId xmlns:a16="http://schemas.microsoft.com/office/drawing/2014/main" id="{00000000-0008-0000-0400-0000D0000000}"/>
            </a:ext>
          </a:extLst>
        </xdr:cNvPr>
        <xdr:cNvCxnSpPr>
          <a:stCxn id="200" idx="1"/>
        </xdr:cNvCxnSpPr>
      </xdr:nvCxnSpPr>
      <xdr:spPr>
        <a:xfrm flipH="1">
          <a:off x="2409264" y="40317716"/>
          <a:ext cx="493060" cy="1049"/>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xdr:colOff>
      <xdr:row>284</xdr:row>
      <xdr:rowOff>22410</xdr:rowOff>
    </xdr:from>
    <xdr:ext cx="1109022" cy="275717"/>
    <xdr:sp macro="" textlink="">
      <xdr:nvSpPr>
        <xdr:cNvPr id="209" name="テキスト ボックス 208">
          <a:extLst>
            <a:ext uri="{FF2B5EF4-FFF2-40B4-BE49-F238E27FC236}">
              <a16:creationId xmlns:a16="http://schemas.microsoft.com/office/drawing/2014/main" id="{00000000-0008-0000-0400-0000D1000000}"/>
            </a:ext>
          </a:extLst>
        </xdr:cNvPr>
        <xdr:cNvSpPr txBox="1"/>
      </xdr:nvSpPr>
      <xdr:spPr>
        <a:xfrm>
          <a:off x="4333876" y="44780385"/>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①抽出</a:t>
          </a:r>
          <a:r>
            <a:rPr kumimoji="1" lang="en-US" altLang="ja-JP" sz="1100">
              <a:solidFill>
                <a:sysClr val="windowText" lastClr="000000"/>
              </a:solidFill>
            </a:rPr>
            <a:t>SQL</a:t>
          </a:r>
          <a:r>
            <a:rPr kumimoji="1" lang="ja-JP" altLang="en-US" sz="1100">
              <a:solidFill>
                <a:sysClr val="windowText" lastClr="000000"/>
              </a:solidFill>
            </a:rPr>
            <a:t>発行</a:t>
          </a:r>
        </a:p>
      </xdr:txBody>
    </xdr:sp>
    <xdr:clientData/>
  </xdr:oneCellAnchor>
  <xdr:oneCellAnchor>
    <xdr:from>
      <xdr:col>34</xdr:col>
      <xdr:colOff>112059</xdr:colOff>
      <xdr:row>288</xdr:row>
      <xdr:rowOff>33618</xdr:rowOff>
    </xdr:from>
    <xdr:ext cx="889987" cy="275717"/>
    <xdr:sp macro="" textlink="">
      <xdr:nvSpPr>
        <xdr:cNvPr id="210" name="テキスト ボックス 209">
          <a:extLst>
            <a:ext uri="{FF2B5EF4-FFF2-40B4-BE49-F238E27FC236}">
              <a16:creationId xmlns:a16="http://schemas.microsoft.com/office/drawing/2014/main" id="{00000000-0008-0000-0400-0000D2000000}"/>
            </a:ext>
          </a:extLst>
        </xdr:cNvPr>
        <xdr:cNvSpPr txBox="1"/>
      </xdr:nvSpPr>
      <xdr:spPr>
        <a:xfrm>
          <a:off x="4322109" y="45401193"/>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②結果連携</a:t>
          </a:r>
        </a:p>
      </xdr:txBody>
    </xdr:sp>
    <xdr:clientData/>
  </xdr:oneCellAnchor>
  <xdr:oneCellAnchor>
    <xdr:from>
      <xdr:col>33</xdr:col>
      <xdr:colOff>81803</xdr:colOff>
      <xdr:row>290</xdr:row>
      <xdr:rowOff>78441</xdr:rowOff>
    </xdr:from>
    <xdr:ext cx="1961030" cy="504264"/>
    <xdr:sp macro="" textlink="">
      <xdr:nvSpPr>
        <xdr:cNvPr id="211" name="テキスト ボックス 210">
          <a:extLst>
            <a:ext uri="{FF2B5EF4-FFF2-40B4-BE49-F238E27FC236}">
              <a16:creationId xmlns:a16="http://schemas.microsoft.com/office/drawing/2014/main" id="{00000000-0008-0000-0400-0000D3000000}"/>
            </a:ext>
          </a:extLst>
        </xdr:cNvPr>
        <xdr:cNvSpPr txBox="1"/>
      </xdr:nvSpPr>
      <xdr:spPr>
        <a:xfrm>
          <a:off x="4149538" y="45630353"/>
          <a:ext cx="1961030" cy="504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lnSpc>
              <a:spcPts val="1300"/>
            </a:lnSpc>
            <a:defRPr sz="1000"/>
          </a:pPr>
          <a:r>
            <a:rPr lang="ja-JP" altLang="en-US" sz="1100" b="0" i="0" u="none" strike="noStrike" baseline="0">
              <a:solidFill>
                <a:sysClr val="windowText" lastClr="000000"/>
              </a:solidFill>
              <a:latin typeface="ＭＳ Ｐゴシック"/>
              <a:ea typeface="ＭＳ Ｐゴシック"/>
            </a:rPr>
            <a:t>③ファイル出力</a:t>
          </a:r>
          <a:endParaRPr lang="ja-JP" altLang="en-US" sz="1100" b="0" i="0" u="none" strike="noStrike" baseline="0">
            <a:solidFill>
              <a:sysClr val="windowText" lastClr="000000"/>
            </a:solidFill>
            <a:latin typeface="Calibri"/>
          </a:endParaRPr>
        </a:p>
        <a:p>
          <a:pPr algn="l" rtl="0">
            <a:lnSpc>
              <a:spcPts val="1200"/>
            </a:lnSpc>
            <a:defRPr sz="1000"/>
          </a:pPr>
          <a:r>
            <a:rPr lang="ja-JP" altLang="en-US" sz="1100" b="0" i="0" u="none" strike="noStrike" baseline="0">
              <a:solidFill>
                <a:sysClr val="windowText" lastClr="000000"/>
              </a:solidFill>
              <a:latin typeface="ＭＳ Ｐゴシック"/>
              <a:ea typeface="ＭＳ Ｐゴシック"/>
            </a:rPr>
            <a:t>　</a:t>
          </a:r>
          <a:r>
            <a:rPr lang="en-US" altLang="ja-JP" sz="1100" b="0" i="0" u="none" strike="noStrike" baseline="0">
              <a:solidFill>
                <a:sysClr val="windowText" lastClr="000000"/>
              </a:solidFill>
              <a:latin typeface="ＭＳ Ｐゴシック"/>
              <a:ea typeface="ＭＳ Ｐゴシック"/>
            </a:rPr>
            <a:t>※</a:t>
          </a:r>
          <a:r>
            <a:rPr lang="ja-JP" altLang="en-US" sz="1100" b="0" i="0" u="none" strike="noStrike" baseline="0">
              <a:solidFill>
                <a:sysClr val="windowText" lastClr="000000"/>
              </a:solidFill>
              <a:latin typeface="ＭＳ Ｐゴシック"/>
              <a:ea typeface="ＭＳ Ｐゴシック"/>
            </a:rPr>
            <a:t>ローカルディスクに保存</a:t>
          </a:r>
        </a:p>
      </xdr:txBody>
    </xdr:sp>
    <xdr:clientData/>
  </xdr:oneCellAnchor>
  <xdr:oneCellAnchor>
    <xdr:from>
      <xdr:col>21</xdr:col>
      <xdr:colOff>11207</xdr:colOff>
      <xdr:row>293</xdr:row>
      <xdr:rowOff>22410</xdr:rowOff>
    </xdr:from>
    <xdr:ext cx="979179" cy="275717"/>
    <xdr:sp macro="" textlink="">
      <xdr:nvSpPr>
        <xdr:cNvPr id="212" name="テキスト ボックス 211">
          <a:extLst>
            <a:ext uri="{FF2B5EF4-FFF2-40B4-BE49-F238E27FC236}">
              <a16:creationId xmlns:a16="http://schemas.microsoft.com/office/drawing/2014/main" id="{00000000-0008-0000-0400-0000D4000000}"/>
            </a:ext>
          </a:extLst>
        </xdr:cNvPr>
        <xdr:cNvSpPr txBox="1"/>
      </xdr:nvSpPr>
      <xdr:spPr>
        <a:xfrm>
          <a:off x="2611532" y="46151985"/>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solidFill>
                <a:sysClr val="windowText" lastClr="000000"/>
              </a:solidFill>
            </a:rPr>
            <a:t>④HULFT</a:t>
          </a:r>
          <a:r>
            <a:rPr kumimoji="1" lang="ja-JP" altLang="en-US" sz="1100">
              <a:solidFill>
                <a:sysClr val="windowText" lastClr="000000"/>
              </a:solidFill>
            </a:rPr>
            <a:t>転送</a:t>
          </a:r>
        </a:p>
      </xdr:txBody>
    </xdr:sp>
    <xdr:clientData/>
  </xdr:oneCellAnchor>
  <xdr:twoCellAnchor>
    <xdr:from>
      <xdr:col>5</xdr:col>
      <xdr:colOff>67235</xdr:colOff>
      <xdr:row>283</xdr:row>
      <xdr:rowOff>112059</xdr:rowOff>
    </xdr:from>
    <xdr:to>
      <xdr:col>19</xdr:col>
      <xdr:colOff>58095</xdr:colOff>
      <xdr:row>297</xdr:row>
      <xdr:rowOff>12703</xdr:rowOff>
    </xdr:to>
    <xdr:sp macro="" textlink="">
      <xdr:nvSpPr>
        <xdr:cNvPr id="213" name="正方形/長方形 212">
          <a:extLst>
            <a:ext uri="{FF2B5EF4-FFF2-40B4-BE49-F238E27FC236}">
              <a16:creationId xmlns:a16="http://schemas.microsoft.com/office/drawing/2014/main" id="{00000000-0008-0000-0400-0000D5000000}"/>
            </a:ext>
          </a:extLst>
        </xdr:cNvPr>
        <xdr:cNvSpPr/>
      </xdr:nvSpPr>
      <xdr:spPr>
        <a:xfrm>
          <a:off x="686360" y="44717634"/>
          <a:ext cx="1724410" cy="203424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r>
            <a:rPr lang="ja-JP" altLang="en-US" sz="1200">
              <a:solidFill>
                <a:sysClr val="windowText" lastClr="000000"/>
              </a:solidFill>
              <a:latin typeface="+mn-ea"/>
            </a:rPr>
            <a:t>（検証）</a:t>
          </a:r>
        </a:p>
      </xdr:txBody>
    </xdr:sp>
    <xdr:clientData/>
  </xdr:twoCellAnchor>
  <xdr:twoCellAnchor>
    <xdr:from>
      <xdr:col>63</xdr:col>
      <xdr:colOff>67235</xdr:colOff>
      <xdr:row>283</xdr:row>
      <xdr:rowOff>112058</xdr:rowOff>
    </xdr:from>
    <xdr:to>
      <xdr:col>76</xdr:col>
      <xdr:colOff>24475</xdr:colOff>
      <xdr:row>304</xdr:row>
      <xdr:rowOff>21851</xdr:rowOff>
    </xdr:to>
    <xdr:sp macro="" textlink="">
      <xdr:nvSpPr>
        <xdr:cNvPr id="214" name="正方形/長方形 213">
          <a:extLst>
            <a:ext uri="{FF2B5EF4-FFF2-40B4-BE49-F238E27FC236}">
              <a16:creationId xmlns:a16="http://schemas.microsoft.com/office/drawing/2014/main" id="{00000000-0008-0000-0400-0000D6000000}"/>
            </a:ext>
          </a:extLst>
        </xdr:cNvPr>
        <xdr:cNvSpPr/>
      </xdr:nvSpPr>
      <xdr:spPr>
        <a:xfrm>
          <a:off x="7832911" y="38447382"/>
          <a:ext cx="1559682" cy="320432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共有 </a:t>
          </a:r>
          <a:r>
            <a:rPr lang="ja-JP" altLang="en-US" sz="1200" baseline="0">
              <a:solidFill>
                <a:sysClr val="windowText" lastClr="000000"/>
              </a:solidFill>
              <a:latin typeface="+mn-ea"/>
            </a:rPr>
            <a:t>ディスク</a:t>
          </a:r>
          <a:endParaRPr lang="ja-JP" altLang="en-US" sz="1200">
            <a:solidFill>
              <a:sysClr val="windowText" lastClr="000000"/>
            </a:solidFill>
            <a:latin typeface="+mn-ea"/>
          </a:endParaRPr>
        </a:p>
      </xdr:txBody>
    </xdr:sp>
    <xdr:clientData/>
  </xdr:twoCellAnchor>
  <xdr:twoCellAnchor>
    <xdr:from>
      <xdr:col>66</xdr:col>
      <xdr:colOff>100854</xdr:colOff>
      <xdr:row>294</xdr:row>
      <xdr:rowOff>78448</xdr:rowOff>
    </xdr:from>
    <xdr:to>
      <xdr:col>71</xdr:col>
      <xdr:colOff>112061</xdr:colOff>
      <xdr:row>297</xdr:row>
      <xdr:rowOff>145682</xdr:rowOff>
    </xdr:to>
    <xdr:sp macro="" textlink="">
      <xdr:nvSpPr>
        <xdr:cNvPr id="215" name="メモ 214">
          <a:extLst>
            <a:ext uri="{FF2B5EF4-FFF2-40B4-BE49-F238E27FC236}">
              <a16:creationId xmlns:a16="http://schemas.microsoft.com/office/drawing/2014/main" id="{00000000-0008-0000-0400-0000D7000000}"/>
            </a:ext>
          </a:extLst>
        </xdr:cNvPr>
        <xdr:cNvSpPr/>
      </xdr:nvSpPr>
      <xdr:spPr>
        <a:xfrm>
          <a:off x="8236325" y="40139477"/>
          <a:ext cx="627530" cy="537881"/>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65</xdr:col>
      <xdr:colOff>112060</xdr:colOff>
      <xdr:row>293</xdr:row>
      <xdr:rowOff>145684</xdr:rowOff>
    </xdr:from>
    <xdr:to>
      <xdr:col>71</xdr:col>
      <xdr:colOff>2</xdr:colOff>
      <xdr:row>297</xdr:row>
      <xdr:rowOff>56035</xdr:rowOff>
    </xdr:to>
    <xdr:sp macro="" textlink="">
      <xdr:nvSpPr>
        <xdr:cNvPr id="216" name="メモ 215">
          <a:extLst>
            <a:ext uri="{FF2B5EF4-FFF2-40B4-BE49-F238E27FC236}">
              <a16:creationId xmlns:a16="http://schemas.microsoft.com/office/drawing/2014/main" id="{00000000-0008-0000-0400-0000D8000000}"/>
            </a:ext>
          </a:extLst>
        </xdr:cNvPr>
        <xdr:cNvSpPr/>
      </xdr:nvSpPr>
      <xdr:spPr>
        <a:xfrm>
          <a:off x="8124266" y="40049831"/>
          <a:ext cx="627530" cy="537880"/>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44822</xdr:colOff>
      <xdr:row>294</xdr:row>
      <xdr:rowOff>11210</xdr:rowOff>
    </xdr:from>
    <xdr:ext cx="1324388" cy="795613"/>
    <xdr:sp macro="" textlink="">
      <xdr:nvSpPr>
        <xdr:cNvPr id="217" name="テキスト ボックス 216">
          <a:extLst>
            <a:ext uri="{FF2B5EF4-FFF2-40B4-BE49-F238E27FC236}">
              <a16:creationId xmlns:a16="http://schemas.microsoft.com/office/drawing/2014/main" id="{00000000-0008-0000-0400-0000D9000000}"/>
            </a:ext>
          </a:extLst>
        </xdr:cNvPr>
        <xdr:cNvSpPr txBox="1"/>
      </xdr:nvSpPr>
      <xdr:spPr>
        <a:xfrm>
          <a:off x="8057028" y="46190651"/>
          <a:ext cx="1324388" cy="7956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nSpc>
              <a:spcPts val="1000"/>
            </a:lnSpc>
          </a:pPr>
          <a:r>
            <a:rPr kumimoji="1" lang="ja-JP" altLang="en-US" sz="1100">
              <a:solidFill>
                <a:sysClr val="windowText" lastClr="000000"/>
              </a:solidFill>
            </a:rPr>
            <a:t>キャンペーン受付履歴</a:t>
          </a:r>
          <a:endParaRPr kumimoji="1" lang="en-US" altLang="ja-JP" sz="1100">
            <a:solidFill>
              <a:sysClr val="windowText" lastClr="000000"/>
            </a:solidFill>
          </a:endParaRPr>
        </a:p>
        <a:p>
          <a:r>
            <a:rPr kumimoji="1" lang="en-US" altLang="ja-JP" sz="1100">
              <a:solidFill>
                <a:sysClr val="windowText" lastClr="000000"/>
              </a:solidFill>
            </a:rPr>
            <a:t>yyyymmdd</a:t>
          </a:r>
          <a:endParaRPr kumimoji="1" lang="ja-JP" altLang="en-US" sz="1100">
            <a:solidFill>
              <a:sysClr val="windowText" lastClr="000000"/>
            </a:solidFill>
          </a:endParaRPr>
        </a:p>
      </xdr:txBody>
    </xdr:sp>
    <xdr:clientData/>
  </xdr:oneCellAnchor>
  <xdr:twoCellAnchor>
    <xdr:from>
      <xdr:col>44</xdr:col>
      <xdr:colOff>70575</xdr:colOff>
      <xdr:row>295</xdr:row>
      <xdr:rowOff>100853</xdr:rowOff>
    </xdr:from>
    <xdr:to>
      <xdr:col>65</xdr:col>
      <xdr:colOff>112060</xdr:colOff>
      <xdr:row>295</xdr:row>
      <xdr:rowOff>100860</xdr:rowOff>
    </xdr:to>
    <xdr:cxnSp macro="">
      <xdr:nvCxnSpPr>
        <xdr:cNvPr id="218" name="直線矢印コネクタ 217">
          <a:extLst>
            <a:ext uri="{FF2B5EF4-FFF2-40B4-BE49-F238E27FC236}">
              <a16:creationId xmlns:a16="http://schemas.microsoft.com/office/drawing/2014/main" id="{00000000-0008-0000-0400-0000DA000000}"/>
            </a:ext>
          </a:extLst>
        </xdr:cNvPr>
        <xdr:cNvCxnSpPr>
          <a:stCxn id="220" idx="3"/>
          <a:endCxn id="216" idx="1"/>
        </xdr:cNvCxnSpPr>
      </xdr:nvCxnSpPr>
      <xdr:spPr>
        <a:xfrm>
          <a:off x="5494222" y="40318765"/>
          <a:ext cx="2630044" cy="7"/>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112061</xdr:colOff>
      <xdr:row>294</xdr:row>
      <xdr:rowOff>11203</xdr:rowOff>
    </xdr:from>
    <xdr:ext cx="1798634" cy="275717"/>
    <xdr:sp macro="" textlink="">
      <xdr:nvSpPr>
        <xdr:cNvPr id="219" name="テキスト ボックス 218">
          <a:extLst>
            <a:ext uri="{FF2B5EF4-FFF2-40B4-BE49-F238E27FC236}">
              <a16:creationId xmlns:a16="http://schemas.microsoft.com/office/drawing/2014/main" id="{00000000-0008-0000-0400-0000DB000000}"/>
            </a:ext>
          </a:extLst>
        </xdr:cNvPr>
        <xdr:cNvSpPr txBox="1"/>
      </xdr:nvSpPr>
      <xdr:spPr>
        <a:xfrm>
          <a:off x="5560361" y="46293178"/>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⑤転送ファイルバックアップ</a:t>
          </a:r>
        </a:p>
      </xdr:txBody>
    </xdr:sp>
    <xdr:clientData/>
  </xdr:oneCellAnchor>
  <xdr:twoCellAnchor>
    <xdr:from>
      <xdr:col>34</xdr:col>
      <xdr:colOff>104194</xdr:colOff>
      <xdr:row>294</xdr:row>
      <xdr:rowOff>123264</xdr:rowOff>
    </xdr:from>
    <xdr:to>
      <xdr:col>44</xdr:col>
      <xdr:colOff>70575</xdr:colOff>
      <xdr:row>296</xdr:row>
      <xdr:rowOff>78441</xdr:rowOff>
    </xdr:to>
    <xdr:sp macro="" textlink="">
      <xdr:nvSpPr>
        <xdr:cNvPr id="220" name="角丸四角形 219">
          <a:extLst>
            <a:ext uri="{FF2B5EF4-FFF2-40B4-BE49-F238E27FC236}">
              <a16:creationId xmlns:a16="http://schemas.microsoft.com/office/drawing/2014/main" id="{00000000-0008-0000-0400-0000DC000000}"/>
            </a:ext>
          </a:extLst>
        </xdr:cNvPr>
        <xdr:cNvSpPr/>
      </xdr:nvSpPr>
      <xdr:spPr>
        <a:xfrm>
          <a:off x="4295194" y="40184293"/>
          <a:ext cx="1199028" cy="268942"/>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31</xdr:col>
      <xdr:colOff>1</xdr:colOff>
      <xdr:row>291</xdr:row>
      <xdr:rowOff>56029</xdr:rowOff>
    </xdr:from>
    <xdr:to>
      <xdr:col>34</xdr:col>
      <xdr:colOff>104194</xdr:colOff>
      <xdr:row>295</xdr:row>
      <xdr:rowOff>100853</xdr:rowOff>
    </xdr:to>
    <xdr:cxnSp macro="">
      <xdr:nvCxnSpPr>
        <xdr:cNvPr id="221" name="直線矢印コネクタ 220">
          <a:extLst>
            <a:ext uri="{FF2B5EF4-FFF2-40B4-BE49-F238E27FC236}">
              <a16:creationId xmlns:a16="http://schemas.microsoft.com/office/drawing/2014/main" id="{00000000-0008-0000-0400-0000DD000000}"/>
            </a:ext>
          </a:extLst>
        </xdr:cNvPr>
        <xdr:cNvCxnSpPr>
          <a:stCxn id="203" idx="3"/>
          <a:endCxn id="220" idx="1"/>
        </xdr:cNvCxnSpPr>
      </xdr:nvCxnSpPr>
      <xdr:spPr>
        <a:xfrm>
          <a:off x="3821207" y="39646411"/>
          <a:ext cx="473987" cy="672354"/>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78441</xdr:colOff>
      <xdr:row>285</xdr:row>
      <xdr:rowOff>100852</xdr:rowOff>
    </xdr:from>
    <xdr:to>
      <xdr:col>42</xdr:col>
      <xdr:colOff>98789</xdr:colOff>
      <xdr:row>288</xdr:row>
      <xdr:rowOff>66113</xdr:rowOff>
    </xdr:to>
    <xdr:sp macro="" textlink="">
      <xdr:nvSpPr>
        <xdr:cNvPr id="222" name="角丸四角形 221">
          <a:extLst>
            <a:ext uri="{FF2B5EF4-FFF2-40B4-BE49-F238E27FC236}">
              <a16:creationId xmlns:a16="http://schemas.microsoft.com/office/drawing/2014/main" id="{00000000-0008-0000-0400-0000DE000000}"/>
            </a:ext>
          </a:extLst>
        </xdr:cNvPr>
        <xdr:cNvSpPr/>
      </xdr:nvSpPr>
      <xdr:spPr>
        <a:xfrm>
          <a:off x="4392706" y="38749940"/>
          <a:ext cx="883201" cy="435908"/>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ysClr val="windowText" lastClr="000000"/>
              </a:solidFill>
              <a:latin typeface="+mn-ea"/>
            </a:rPr>
            <a:t>Oracle Client</a:t>
          </a:r>
          <a:endParaRPr lang="ja-JP" altLang="en-US" sz="1200">
            <a:solidFill>
              <a:sysClr val="windowText" lastClr="000000"/>
            </a:solidFill>
            <a:latin typeface="+mn-ea"/>
          </a:endParaRPr>
        </a:p>
      </xdr:txBody>
    </xdr:sp>
    <xdr:clientData/>
  </xdr:twoCellAnchor>
  <xdr:twoCellAnchor>
    <xdr:from>
      <xdr:col>26</xdr:col>
      <xdr:colOff>109819</xdr:colOff>
      <xdr:row>73</xdr:row>
      <xdr:rowOff>91321</xdr:rowOff>
    </xdr:from>
    <xdr:to>
      <xdr:col>36</xdr:col>
      <xdr:colOff>74520</xdr:colOff>
      <xdr:row>75</xdr:row>
      <xdr:rowOff>40340</xdr:rowOff>
    </xdr:to>
    <xdr:sp macro="" textlink="">
      <xdr:nvSpPr>
        <xdr:cNvPr id="227" name="角丸四角形 206">
          <a:extLst>
            <a:ext uri="{FF2B5EF4-FFF2-40B4-BE49-F238E27FC236}">
              <a16:creationId xmlns:a16="http://schemas.microsoft.com/office/drawing/2014/main" id="{F281EF3D-8401-4010-B072-05CCAE2DD8C4}"/>
            </a:ext>
          </a:extLst>
        </xdr:cNvPr>
        <xdr:cNvSpPr/>
      </xdr:nvSpPr>
      <xdr:spPr>
        <a:xfrm>
          <a:off x="3329269" y="11626096"/>
          <a:ext cx="1202951" cy="272869"/>
        </a:xfrm>
        <a:prstGeom prst="roundRect">
          <a:avLst/>
        </a:prstGeom>
        <a:gradFill>
          <a:gsLst>
            <a:gs pos="0">
              <a:srgbClr val="66FFCC"/>
            </a:gs>
            <a:gs pos="50000">
              <a:schemeClr val="bg1"/>
            </a:gs>
            <a:gs pos="100000">
              <a:srgbClr val="66FFCC"/>
            </a:gs>
          </a:gsLst>
          <a:lin ang="0" scaled="1"/>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27</xdr:col>
      <xdr:colOff>7844</xdr:colOff>
      <xdr:row>75</xdr:row>
      <xdr:rowOff>114299</xdr:rowOff>
    </xdr:from>
    <xdr:to>
      <xdr:col>36</xdr:col>
      <xdr:colOff>97490</xdr:colOff>
      <xdr:row>77</xdr:row>
      <xdr:rowOff>47063</xdr:rowOff>
    </xdr:to>
    <xdr:sp macro="" textlink="">
      <xdr:nvSpPr>
        <xdr:cNvPr id="228" name="角丸四角形 207">
          <a:extLst>
            <a:ext uri="{FF2B5EF4-FFF2-40B4-BE49-F238E27FC236}">
              <a16:creationId xmlns:a16="http://schemas.microsoft.com/office/drawing/2014/main" id="{4067AD6F-70D1-4337-837C-DC89775AC577}"/>
            </a:ext>
          </a:extLst>
        </xdr:cNvPr>
        <xdr:cNvSpPr/>
      </xdr:nvSpPr>
      <xdr:spPr>
        <a:xfrm>
          <a:off x="3351119" y="11972924"/>
          <a:ext cx="120407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27</xdr:col>
      <xdr:colOff>19049</xdr:colOff>
      <xdr:row>71</xdr:row>
      <xdr:rowOff>114300</xdr:rowOff>
    </xdr:from>
    <xdr:to>
      <xdr:col>36</xdr:col>
      <xdr:colOff>86284</xdr:colOff>
      <xdr:row>73</xdr:row>
      <xdr:rowOff>47064</xdr:rowOff>
    </xdr:to>
    <xdr:sp macro="" textlink="">
      <xdr:nvSpPr>
        <xdr:cNvPr id="229" name="角丸四角形 136">
          <a:extLst>
            <a:ext uri="{FF2B5EF4-FFF2-40B4-BE49-F238E27FC236}">
              <a16:creationId xmlns:a16="http://schemas.microsoft.com/office/drawing/2014/main" id="{3F2722BD-83CD-46BE-A609-9895A0B4BA35}"/>
            </a:ext>
          </a:extLst>
        </xdr:cNvPr>
        <xdr:cNvSpPr/>
      </xdr:nvSpPr>
      <xdr:spPr>
        <a:xfrm>
          <a:off x="3362324" y="11325225"/>
          <a:ext cx="1181660"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26</xdr:col>
      <xdr:colOff>9525</xdr:colOff>
      <xdr:row>77</xdr:row>
      <xdr:rowOff>73397</xdr:rowOff>
    </xdr:from>
    <xdr:to>
      <xdr:col>41</xdr:col>
      <xdr:colOff>66676</xdr:colOff>
      <xdr:row>79</xdr:row>
      <xdr:rowOff>92447</xdr:rowOff>
    </xdr:to>
    <xdr:sp macro="" textlink="">
      <xdr:nvSpPr>
        <xdr:cNvPr id="230" name="テキスト ボックス 99">
          <a:extLst>
            <a:ext uri="{FF2B5EF4-FFF2-40B4-BE49-F238E27FC236}">
              <a16:creationId xmlns:a16="http://schemas.microsoft.com/office/drawing/2014/main" id="{505A29A4-0C5A-488E-9A18-68FEA77FCDC9}"/>
            </a:ext>
          </a:extLst>
        </xdr:cNvPr>
        <xdr:cNvSpPr txBox="1"/>
      </xdr:nvSpPr>
      <xdr:spPr>
        <a:xfrm>
          <a:off x="3228975" y="12255872"/>
          <a:ext cx="1914526" cy="333375"/>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800">
              <a:solidFill>
                <a:srgbClr val="FF0000"/>
              </a:solidFill>
              <a:latin typeface="+mn-ea"/>
              <a:ea typeface="+mn-ea"/>
            </a:rPr>
            <a:t>正常時、</a:t>
          </a:r>
          <a:r>
            <a:rPr lang="en-US" altLang="ja-JP" sz="800">
              <a:solidFill>
                <a:srgbClr val="FF0000"/>
              </a:solidFill>
              <a:latin typeface="+mn-ea"/>
              <a:ea typeface="+mn-ea"/>
            </a:rPr>
            <a:t>JP1/AJS3</a:t>
          </a:r>
          <a:r>
            <a:rPr lang="ja-JP" altLang="en-US" sz="800">
              <a:solidFill>
                <a:srgbClr val="FF0000"/>
              </a:solidFill>
              <a:latin typeface="+mn-ea"/>
              <a:ea typeface="+mn-ea"/>
            </a:rPr>
            <a:t>は非稼働。ＩＶＲ ＤＢ（</a:t>
          </a:r>
          <a:r>
            <a:rPr lang="en-US" altLang="ja-JP" sz="800">
              <a:solidFill>
                <a:srgbClr val="FF0000"/>
              </a:solidFill>
              <a:latin typeface="+mn-ea"/>
              <a:ea typeface="+mn-ea"/>
            </a:rPr>
            <a:t>Standby</a:t>
          </a:r>
          <a:r>
            <a:rPr lang="ja-JP" altLang="en-US" sz="800">
              <a:solidFill>
                <a:srgbClr val="FF0000"/>
              </a:solidFill>
              <a:latin typeface="+mn-ea"/>
              <a:ea typeface="+mn-ea"/>
            </a:rPr>
            <a:t>）へフェイルオーバした際に自動起動する。</a:t>
          </a:r>
          <a:endParaRPr lang="en-US" altLang="ja-JP" sz="800">
            <a:solidFill>
              <a:srgbClr val="FF0000"/>
            </a:solidFill>
            <a:latin typeface="+mn-ea"/>
            <a:ea typeface="+mn-ea"/>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95250</xdr:colOff>
      <xdr:row>548</xdr:row>
      <xdr:rowOff>142876</xdr:rowOff>
    </xdr:from>
    <xdr:to>
      <xdr:col>45</xdr:col>
      <xdr:colOff>38100</xdr:colOff>
      <xdr:row>566</xdr:row>
      <xdr:rowOff>114300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962025" y="75142726"/>
          <a:ext cx="4648200" cy="2752724"/>
        </a:xfrm>
        <a:prstGeom prst="rect">
          <a:avLst/>
        </a:prstGeom>
        <a:solidFill>
          <a:schemeClr val="bg1">
            <a:lumMod val="85000"/>
          </a:schemeClr>
        </a:solidFill>
        <a:ln w="12700" cap="flat">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en-US" altLang="ja-JP" sz="1100">
              <a:solidFill>
                <a:sysClr val="windowText" lastClr="000000"/>
              </a:solidFill>
              <a:latin typeface="+mn-ea"/>
              <a:ea typeface="+mn-ea"/>
            </a:rPr>
            <a:t>IVR-</a:t>
          </a:r>
          <a:r>
            <a:rPr kumimoji="1" lang="ja-JP" altLang="en-US" sz="1100">
              <a:solidFill>
                <a:sysClr val="windowText" lastClr="000000"/>
              </a:solidFill>
              <a:latin typeface="+mn-ea"/>
              <a:ea typeface="+mn-ea"/>
            </a:rPr>
            <a:t>データベース（開発）</a:t>
          </a:r>
        </a:p>
      </xdr:txBody>
    </xdr:sp>
    <xdr:clientData/>
  </xdr:twoCellAnchor>
  <xdr:twoCellAnchor>
    <xdr:from>
      <xdr:col>8</xdr:col>
      <xdr:colOff>76200</xdr:colOff>
      <xdr:row>550</xdr:row>
      <xdr:rowOff>85725</xdr:rowOff>
    </xdr:from>
    <xdr:to>
      <xdr:col>24</xdr:col>
      <xdr:colOff>47625</xdr:colOff>
      <xdr:row>565</xdr:row>
      <xdr:rowOff>152399</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1066800" y="75390375"/>
          <a:ext cx="1952625" cy="2381249"/>
        </a:xfrm>
        <a:prstGeom prst="rect">
          <a:avLst/>
        </a:prstGeom>
        <a:solidFill>
          <a:srgbClr val="FFFF99"/>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100">
              <a:solidFill>
                <a:sysClr val="windowText" lastClr="000000"/>
              </a:solidFill>
              <a:latin typeface="HGP創英角ｺﾞｼｯｸUB" pitchFamily="50" charset="-128"/>
              <a:ea typeface="HGP創英角ｺﾞｼｯｸUB" pitchFamily="50" charset="-128"/>
            </a:rPr>
            <a:t>IVR-DB</a:t>
          </a:r>
          <a:r>
            <a:rPr kumimoji="1" lang="ja-JP" altLang="en-US" sz="1100">
              <a:solidFill>
                <a:sysClr val="windowText" lastClr="000000"/>
              </a:solidFill>
              <a:latin typeface="HGP創英角ｺﾞｼｯｸUB" pitchFamily="50" charset="-128"/>
              <a:ea typeface="HGP創英角ｺﾞｼｯｸUB" pitchFamily="50" charset="-128"/>
            </a:rPr>
            <a:t>（開発）</a:t>
          </a:r>
          <a:r>
            <a:rPr kumimoji="1" lang="en-US" altLang="ja-JP" sz="1100">
              <a:solidFill>
                <a:sysClr val="windowText" lastClr="000000"/>
              </a:solidFill>
              <a:latin typeface="HGP創英角ｺﾞｼｯｸUB" pitchFamily="50" charset="-128"/>
              <a:ea typeface="HGP創英角ｺﾞｼｯｸUB" pitchFamily="50" charset="-128"/>
            </a:rPr>
            <a:t>#1</a:t>
          </a:r>
          <a:endParaRPr kumimoji="1" lang="ja-JP" altLang="en-US" sz="1100">
            <a:solidFill>
              <a:sysClr val="windowText" lastClr="000000"/>
            </a:solidFill>
            <a:latin typeface="HGP創英角ｺﾞｼｯｸUB" pitchFamily="50" charset="-128"/>
            <a:ea typeface="HGP創英角ｺﾞｼｯｸUB" pitchFamily="50" charset="-128"/>
          </a:endParaRPr>
        </a:p>
      </xdr:txBody>
    </xdr:sp>
    <xdr:clientData/>
  </xdr:twoCellAnchor>
  <xdr:twoCellAnchor>
    <xdr:from>
      <xdr:col>28</xdr:col>
      <xdr:colOff>9525</xdr:colOff>
      <xdr:row>550</xdr:row>
      <xdr:rowOff>85725</xdr:rowOff>
    </xdr:from>
    <xdr:to>
      <xdr:col>43</xdr:col>
      <xdr:colOff>104775</xdr:colOff>
      <xdr:row>565</xdr:row>
      <xdr:rowOff>152399</xdr:rowOff>
    </xdr:to>
    <xdr:sp macro="" textlink="">
      <xdr:nvSpPr>
        <xdr:cNvPr id="4" name="正方形/長方形 3">
          <a:extLst>
            <a:ext uri="{FF2B5EF4-FFF2-40B4-BE49-F238E27FC236}">
              <a16:creationId xmlns:a16="http://schemas.microsoft.com/office/drawing/2014/main" id="{00000000-0008-0000-0500-000004000000}"/>
            </a:ext>
          </a:extLst>
        </xdr:cNvPr>
        <xdr:cNvSpPr/>
      </xdr:nvSpPr>
      <xdr:spPr>
        <a:xfrm>
          <a:off x="3476625" y="75390375"/>
          <a:ext cx="1952625" cy="2381249"/>
        </a:xfrm>
        <a:prstGeom prst="rect">
          <a:avLst/>
        </a:prstGeom>
        <a:solidFill>
          <a:schemeClr val="accent3">
            <a:lumMod val="60000"/>
            <a:lumOff val="40000"/>
          </a:schemeClr>
        </a:solid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en-US" altLang="ja-JP" sz="1100">
              <a:solidFill>
                <a:sysClr val="windowText" lastClr="000000"/>
              </a:solidFill>
              <a:latin typeface="HGP創英角ｺﾞｼｯｸUB" pitchFamily="50" charset="-128"/>
              <a:ea typeface="HGP創英角ｺﾞｼｯｸUB" pitchFamily="50" charset="-128"/>
            </a:rPr>
            <a:t>IVR-DB</a:t>
          </a:r>
          <a:r>
            <a:rPr kumimoji="1" lang="ja-JP" altLang="en-US" sz="1100">
              <a:solidFill>
                <a:sysClr val="windowText" lastClr="000000"/>
              </a:solidFill>
              <a:latin typeface="HGP創英角ｺﾞｼｯｸUB" pitchFamily="50" charset="-128"/>
              <a:ea typeface="HGP創英角ｺﾞｼｯｸUB" pitchFamily="50" charset="-128"/>
            </a:rPr>
            <a:t>（開発）</a:t>
          </a:r>
          <a:r>
            <a:rPr kumimoji="1" lang="en-US" altLang="ja-JP" sz="1100">
              <a:solidFill>
                <a:sysClr val="windowText" lastClr="000000"/>
              </a:solidFill>
              <a:latin typeface="HGP創英角ｺﾞｼｯｸUB" pitchFamily="50" charset="-128"/>
              <a:ea typeface="HGP創英角ｺﾞｼｯｸUB" pitchFamily="50" charset="-128"/>
            </a:rPr>
            <a:t>#2</a:t>
          </a:r>
          <a:endParaRPr kumimoji="1" lang="ja-JP" altLang="en-US" sz="1100">
            <a:solidFill>
              <a:sysClr val="windowText" lastClr="000000"/>
            </a:solidFill>
            <a:latin typeface="HGP創英角ｺﾞｼｯｸUB" pitchFamily="50" charset="-128"/>
            <a:ea typeface="HGP創英角ｺﾞｼｯｸUB" pitchFamily="50" charset="-128"/>
          </a:endParaRPr>
        </a:p>
      </xdr:txBody>
    </xdr:sp>
    <xdr:clientData/>
  </xdr:twoCellAnchor>
  <xdr:twoCellAnchor>
    <xdr:from>
      <xdr:col>8</xdr:col>
      <xdr:colOff>76201</xdr:colOff>
      <xdr:row>567</xdr:row>
      <xdr:rowOff>104775</xdr:rowOff>
    </xdr:from>
    <xdr:to>
      <xdr:col>44</xdr:col>
      <xdr:colOff>19051</xdr:colOff>
      <xdr:row>583</xdr:row>
      <xdr:rowOff>133349</xdr:rowOff>
    </xdr:to>
    <xdr:sp macro="" textlink="">
      <xdr:nvSpPr>
        <xdr:cNvPr id="5" name="円柱 4">
          <a:extLst>
            <a:ext uri="{FF2B5EF4-FFF2-40B4-BE49-F238E27FC236}">
              <a16:creationId xmlns:a16="http://schemas.microsoft.com/office/drawing/2014/main" id="{00000000-0008-0000-0500-000005000000}"/>
            </a:ext>
          </a:extLst>
        </xdr:cNvPr>
        <xdr:cNvSpPr/>
      </xdr:nvSpPr>
      <xdr:spPr>
        <a:xfrm>
          <a:off x="1066801" y="78047850"/>
          <a:ext cx="4400550" cy="2619374"/>
        </a:xfrm>
        <a:prstGeom prst="can">
          <a:avLst>
            <a:gd name="adj" fmla="val 7481"/>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ja-JP" altLang="en-US" sz="1100">
              <a:latin typeface="HGP創英角ｺﾞｼｯｸUB" pitchFamily="50" charset="-128"/>
              <a:ea typeface="HGP創英角ｺﾞｼｯｸUB" pitchFamily="50" charset="-128"/>
            </a:rPr>
            <a:t>共有ディスク</a:t>
          </a:r>
        </a:p>
      </xdr:txBody>
    </xdr:sp>
    <xdr:clientData/>
  </xdr:twoCellAnchor>
  <xdr:twoCellAnchor>
    <xdr:from>
      <xdr:col>14</xdr:col>
      <xdr:colOff>85725</xdr:colOff>
      <xdr:row>569</xdr:row>
      <xdr:rowOff>57150</xdr:rowOff>
    </xdr:from>
    <xdr:to>
      <xdr:col>26</xdr:col>
      <xdr:colOff>28575</xdr:colOff>
      <xdr:row>573</xdr:row>
      <xdr:rowOff>57150</xdr:rowOff>
    </xdr:to>
    <xdr:sp macro="" textlink="">
      <xdr:nvSpPr>
        <xdr:cNvPr id="6" name="正方形/長方形 5">
          <a:extLst>
            <a:ext uri="{FF2B5EF4-FFF2-40B4-BE49-F238E27FC236}">
              <a16:creationId xmlns:a16="http://schemas.microsoft.com/office/drawing/2014/main" id="{00000000-0008-0000-0500-000006000000}"/>
            </a:ext>
          </a:extLst>
        </xdr:cNvPr>
        <xdr:cNvSpPr/>
      </xdr:nvSpPr>
      <xdr:spPr>
        <a:xfrm>
          <a:off x="1819275" y="78324075"/>
          <a:ext cx="1428750" cy="6477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a:t>
          </a:r>
          <a:r>
            <a:rPr kumimoji="1" lang="en-US" altLang="ja-JP" sz="1000">
              <a:solidFill>
                <a:sysClr val="windowText" lastClr="000000"/>
              </a:solidFill>
              <a:latin typeface="+mn-ea"/>
              <a:ea typeface="+mn-ea"/>
            </a:rPr>
            <a:t>IVR</a:t>
          </a:r>
          <a:r>
            <a:rPr kumimoji="1" lang="ja-JP" altLang="en-US" sz="1000">
              <a:solidFill>
                <a:sysClr val="windowText" lastClr="000000"/>
              </a:solidFill>
              <a:latin typeface="+mn-ea"/>
              <a:ea typeface="+mn-ea"/>
            </a:rPr>
            <a:t>業務データ・内部データ格納用・開発）</a:t>
          </a:r>
        </a:p>
      </xdr:txBody>
    </xdr:sp>
    <xdr:clientData/>
  </xdr:twoCellAnchor>
  <xdr:twoCellAnchor>
    <xdr:from>
      <xdr:col>26</xdr:col>
      <xdr:colOff>85725</xdr:colOff>
      <xdr:row>569</xdr:row>
      <xdr:rowOff>57150</xdr:rowOff>
    </xdr:from>
    <xdr:to>
      <xdr:col>38</xdr:col>
      <xdr:colOff>28575</xdr:colOff>
      <xdr:row>573</xdr:row>
      <xdr:rowOff>57150</xdr:rowOff>
    </xdr:to>
    <xdr:sp macro="" textlink="">
      <xdr:nvSpPr>
        <xdr:cNvPr id="7" name="正方形/長方形 6">
          <a:extLst>
            <a:ext uri="{FF2B5EF4-FFF2-40B4-BE49-F238E27FC236}">
              <a16:creationId xmlns:a16="http://schemas.microsoft.com/office/drawing/2014/main" id="{00000000-0008-0000-0500-000007000000}"/>
            </a:ext>
          </a:extLst>
        </xdr:cNvPr>
        <xdr:cNvSpPr/>
      </xdr:nvSpPr>
      <xdr:spPr>
        <a:xfrm>
          <a:off x="3305175" y="78324075"/>
          <a:ext cx="1428750" cy="6477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a:t>
          </a:r>
          <a:r>
            <a:rPr kumimoji="1" lang="en-US" altLang="ja-JP" sz="1000">
              <a:solidFill>
                <a:sysClr val="windowText" lastClr="000000"/>
              </a:solidFill>
              <a:latin typeface="+mn-ea"/>
              <a:ea typeface="+mn-ea"/>
            </a:rPr>
            <a:t>IVR</a:t>
          </a:r>
          <a:r>
            <a:rPr kumimoji="1" lang="ja-JP" altLang="en-US" sz="1000">
              <a:solidFill>
                <a:sysClr val="windowText" lastClr="000000"/>
              </a:solidFill>
              <a:latin typeface="+mn-ea"/>
              <a:ea typeface="+mn-ea"/>
            </a:rPr>
            <a:t>操作ログ格納用・開発）</a:t>
          </a:r>
        </a:p>
      </xdr:txBody>
    </xdr:sp>
    <xdr:clientData/>
  </xdr:twoCellAnchor>
  <xdr:twoCellAnchor>
    <xdr:from>
      <xdr:col>14</xdr:col>
      <xdr:colOff>85725</xdr:colOff>
      <xdr:row>573</xdr:row>
      <xdr:rowOff>104775</xdr:rowOff>
    </xdr:from>
    <xdr:to>
      <xdr:col>26</xdr:col>
      <xdr:colOff>28575</xdr:colOff>
      <xdr:row>577</xdr:row>
      <xdr:rowOff>104775</xdr:rowOff>
    </xdr:to>
    <xdr:sp macro="" textlink="">
      <xdr:nvSpPr>
        <xdr:cNvPr id="8" name="正方形/長方形 7">
          <a:extLst>
            <a:ext uri="{FF2B5EF4-FFF2-40B4-BE49-F238E27FC236}">
              <a16:creationId xmlns:a16="http://schemas.microsoft.com/office/drawing/2014/main" id="{00000000-0008-0000-0500-000008000000}"/>
            </a:ext>
          </a:extLst>
        </xdr:cNvPr>
        <xdr:cNvSpPr/>
      </xdr:nvSpPr>
      <xdr:spPr>
        <a:xfrm>
          <a:off x="1819275" y="79019400"/>
          <a:ext cx="1428750" cy="6477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（業務データインデックス格納用・開発）</a:t>
          </a:r>
        </a:p>
      </xdr:txBody>
    </xdr:sp>
    <xdr:clientData/>
  </xdr:twoCellAnchor>
  <xdr:twoCellAnchor>
    <xdr:from>
      <xdr:col>26</xdr:col>
      <xdr:colOff>85725</xdr:colOff>
      <xdr:row>573</xdr:row>
      <xdr:rowOff>104775</xdr:rowOff>
    </xdr:from>
    <xdr:to>
      <xdr:col>38</xdr:col>
      <xdr:colOff>28575</xdr:colOff>
      <xdr:row>577</xdr:row>
      <xdr:rowOff>104775</xdr:rowOff>
    </xdr:to>
    <xdr:sp macro="" textlink="">
      <xdr:nvSpPr>
        <xdr:cNvPr id="9" name="正方形/長方形 8">
          <a:extLst>
            <a:ext uri="{FF2B5EF4-FFF2-40B4-BE49-F238E27FC236}">
              <a16:creationId xmlns:a16="http://schemas.microsoft.com/office/drawing/2014/main" id="{00000000-0008-0000-0500-000009000000}"/>
            </a:ext>
          </a:extLst>
        </xdr:cNvPr>
        <xdr:cNvSpPr/>
      </xdr:nvSpPr>
      <xdr:spPr>
        <a:xfrm>
          <a:off x="3305175" y="79019400"/>
          <a:ext cx="1428750" cy="6477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a:t>
          </a:r>
          <a:endParaRPr kumimoji="1" lang="en-US" altLang="ja-JP" sz="1000">
            <a:solidFill>
              <a:sysClr val="windowText" lastClr="000000"/>
            </a:solidFill>
            <a:latin typeface="+mn-ea"/>
            <a:ea typeface="+mn-ea"/>
          </a:endParaRPr>
        </a:p>
        <a:p>
          <a:pPr algn="ctr">
            <a:lnSpc>
              <a:spcPts val="1200"/>
            </a:lnSpc>
          </a:pPr>
          <a:r>
            <a:rPr kumimoji="1" lang="ja-JP" altLang="en-US" sz="1000">
              <a:solidFill>
                <a:sysClr val="windowText" lastClr="000000"/>
              </a:solidFill>
              <a:latin typeface="+mn-ea"/>
              <a:ea typeface="+mn-ea"/>
            </a:rPr>
            <a:t>（操作ログインデックス格納用・開発）</a:t>
          </a:r>
        </a:p>
      </xdr:txBody>
    </xdr:sp>
    <xdr:clientData/>
  </xdr:twoCellAnchor>
  <xdr:twoCellAnchor>
    <xdr:from>
      <xdr:col>9</xdr:col>
      <xdr:colOff>114300</xdr:colOff>
      <xdr:row>556</xdr:row>
      <xdr:rowOff>38101</xdr:rowOff>
    </xdr:from>
    <xdr:to>
      <xdr:col>23</xdr:col>
      <xdr:colOff>38100</xdr:colOff>
      <xdr:row>561</xdr:row>
      <xdr:rowOff>38101</xdr:rowOff>
    </xdr:to>
    <xdr:sp macro="" textlink="">
      <xdr:nvSpPr>
        <xdr:cNvPr id="10" name="円柱 9">
          <a:extLst>
            <a:ext uri="{FF2B5EF4-FFF2-40B4-BE49-F238E27FC236}">
              <a16:creationId xmlns:a16="http://schemas.microsoft.com/office/drawing/2014/main" id="{00000000-0008-0000-0500-00000A000000}"/>
            </a:ext>
          </a:extLst>
        </xdr:cNvPr>
        <xdr:cNvSpPr/>
      </xdr:nvSpPr>
      <xdr:spPr>
        <a:xfrm>
          <a:off x="1228725" y="76257151"/>
          <a:ext cx="1657350" cy="762000"/>
        </a:xfrm>
        <a:prstGeom prst="can">
          <a:avLst>
            <a:gd name="adj" fmla="val 21491"/>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chemeClr val="bg1"/>
              </a:solidFill>
              <a:latin typeface="HGP創英角ｺﾞｼｯｸUB" pitchFamily="50" charset="-128"/>
              <a:ea typeface="HGP創英角ｺﾞｼｯｸUB" pitchFamily="50" charset="-128"/>
            </a:rPr>
            <a:t>開発インスタンス</a:t>
          </a:r>
          <a:r>
            <a:rPr kumimoji="1" lang="en-US" altLang="ja-JP" sz="1000">
              <a:solidFill>
                <a:schemeClr val="bg1"/>
              </a:solidFill>
              <a:latin typeface="HGP創英角ｺﾞｼｯｸUB" pitchFamily="50" charset="-128"/>
              <a:ea typeface="HGP創英角ｺﾞｼｯｸUB" pitchFamily="50" charset="-128"/>
            </a:rPr>
            <a:t>#1</a:t>
          </a:r>
        </a:p>
        <a:p>
          <a:pPr algn="ctr">
            <a:lnSpc>
              <a:spcPts val="1200"/>
            </a:lnSpc>
          </a:pPr>
          <a:endParaRPr kumimoji="1" lang="ja-JP" altLang="en-US" sz="1000">
            <a:solidFill>
              <a:schemeClr val="bg1"/>
            </a:solidFill>
            <a:latin typeface="HGP創英角ｺﾞｼｯｸUB" pitchFamily="50" charset="-128"/>
            <a:ea typeface="HGP創英角ｺﾞｼｯｸUB" pitchFamily="50" charset="-128"/>
          </a:endParaRPr>
        </a:p>
      </xdr:txBody>
    </xdr:sp>
    <xdr:clientData/>
  </xdr:twoCellAnchor>
  <xdr:twoCellAnchor>
    <xdr:from>
      <xdr:col>29</xdr:col>
      <xdr:colOff>47625</xdr:colOff>
      <xdr:row>556</xdr:row>
      <xdr:rowOff>38101</xdr:rowOff>
    </xdr:from>
    <xdr:to>
      <xdr:col>42</xdr:col>
      <xdr:colOff>95250</xdr:colOff>
      <xdr:row>561</xdr:row>
      <xdr:rowOff>38101</xdr:rowOff>
    </xdr:to>
    <xdr:sp macro="" textlink="">
      <xdr:nvSpPr>
        <xdr:cNvPr id="11" name="円柱 10">
          <a:extLst>
            <a:ext uri="{FF2B5EF4-FFF2-40B4-BE49-F238E27FC236}">
              <a16:creationId xmlns:a16="http://schemas.microsoft.com/office/drawing/2014/main" id="{00000000-0008-0000-0500-00000B000000}"/>
            </a:ext>
          </a:extLst>
        </xdr:cNvPr>
        <xdr:cNvSpPr/>
      </xdr:nvSpPr>
      <xdr:spPr>
        <a:xfrm>
          <a:off x="3638550" y="76257151"/>
          <a:ext cx="1657350" cy="762000"/>
        </a:xfrm>
        <a:prstGeom prst="can">
          <a:avLst>
            <a:gd name="adj" fmla="val 19737"/>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000">
              <a:solidFill>
                <a:schemeClr val="bg1"/>
              </a:solidFill>
              <a:latin typeface="HGP創英角ｺﾞｼｯｸUB" pitchFamily="50" charset="-128"/>
              <a:ea typeface="HGP創英角ｺﾞｼｯｸUB" pitchFamily="50" charset="-128"/>
            </a:rPr>
            <a:t>開発インスタンス</a:t>
          </a:r>
          <a:r>
            <a:rPr kumimoji="1" lang="en-US" altLang="ja-JP" sz="1000">
              <a:solidFill>
                <a:schemeClr val="bg1"/>
              </a:solidFill>
              <a:latin typeface="HGP創英角ｺﾞｼｯｸUB" pitchFamily="50" charset="-128"/>
              <a:ea typeface="HGP創英角ｺﾞｼｯｸUB" pitchFamily="50" charset="-128"/>
            </a:rPr>
            <a:t>#2</a:t>
          </a:r>
        </a:p>
        <a:p>
          <a:pPr algn="ctr">
            <a:lnSpc>
              <a:spcPts val="1200"/>
            </a:lnSpc>
          </a:pPr>
          <a:endParaRPr kumimoji="1" lang="ja-JP" altLang="en-US" sz="1000">
            <a:solidFill>
              <a:schemeClr val="bg1"/>
            </a:solidFill>
            <a:latin typeface="HGP創英角ｺﾞｼｯｸUB" pitchFamily="50" charset="-128"/>
            <a:ea typeface="HGP創英角ｺﾞｼｯｸUB" pitchFamily="50" charset="-128"/>
          </a:endParaRPr>
        </a:p>
      </xdr:txBody>
    </xdr:sp>
    <xdr:clientData/>
  </xdr:twoCellAnchor>
  <xdr:twoCellAnchor>
    <xdr:from>
      <xdr:col>10</xdr:col>
      <xdr:colOff>66675</xdr:colOff>
      <xdr:row>559</xdr:row>
      <xdr:rowOff>9525</xdr:rowOff>
    </xdr:from>
    <xdr:to>
      <xdr:col>22</xdr:col>
      <xdr:colOff>85725</xdr:colOff>
      <xdr:row>560</xdr:row>
      <xdr:rowOff>76200</xdr:rowOff>
    </xdr:to>
    <xdr:sp macro="" textlink="">
      <xdr:nvSpPr>
        <xdr:cNvPr id="12" name="角丸四角形 11">
          <a:extLst>
            <a:ext uri="{FF2B5EF4-FFF2-40B4-BE49-F238E27FC236}">
              <a16:creationId xmlns:a16="http://schemas.microsoft.com/office/drawing/2014/main" id="{00000000-0008-0000-0500-00000C000000}"/>
            </a:ext>
          </a:extLst>
        </xdr:cNvPr>
        <xdr:cNvSpPr/>
      </xdr:nvSpPr>
      <xdr:spPr>
        <a:xfrm>
          <a:off x="1304925" y="76685775"/>
          <a:ext cx="1504950" cy="219075"/>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メモリ（</a:t>
          </a:r>
          <a:r>
            <a:rPr kumimoji="1" lang="en-US" altLang="ja-JP" sz="1000">
              <a:solidFill>
                <a:sysClr val="windowText" lastClr="000000"/>
              </a:solidFill>
              <a:latin typeface="+mn-ea"/>
              <a:ea typeface="+mn-ea"/>
            </a:rPr>
            <a:t>SGA/PGA</a:t>
          </a:r>
          <a:r>
            <a:rPr kumimoji="1" lang="ja-JP" altLang="en-US" sz="1000">
              <a:solidFill>
                <a:sysClr val="windowText" lastClr="000000"/>
              </a:solidFill>
              <a:latin typeface="+mn-ea"/>
              <a:ea typeface="+mn-ea"/>
            </a:rPr>
            <a:t>）</a:t>
          </a:r>
        </a:p>
      </xdr:txBody>
    </xdr:sp>
    <xdr:clientData/>
  </xdr:twoCellAnchor>
  <xdr:twoCellAnchor>
    <xdr:from>
      <xdr:col>30</xdr:col>
      <xdr:colOff>0</xdr:colOff>
      <xdr:row>559</xdr:row>
      <xdr:rowOff>9525</xdr:rowOff>
    </xdr:from>
    <xdr:to>
      <xdr:col>42</xdr:col>
      <xdr:colOff>19050</xdr:colOff>
      <xdr:row>560</xdr:row>
      <xdr:rowOff>76200</xdr:rowOff>
    </xdr:to>
    <xdr:sp macro="" textlink="">
      <xdr:nvSpPr>
        <xdr:cNvPr id="13" name="角丸四角形 12">
          <a:extLst>
            <a:ext uri="{FF2B5EF4-FFF2-40B4-BE49-F238E27FC236}">
              <a16:creationId xmlns:a16="http://schemas.microsoft.com/office/drawing/2014/main" id="{00000000-0008-0000-0500-00000D000000}"/>
            </a:ext>
          </a:extLst>
        </xdr:cNvPr>
        <xdr:cNvSpPr/>
      </xdr:nvSpPr>
      <xdr:spPr>
        <a:xfrm>
          <a:off x="3714750" y="76685775"/>
          <a:ext cx="1504950" cy="219075"/>
        </a:xfrm>
        <a:prstGeom prst="round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メモリ（</a:t>
          </a:r>
          <a:r>
            <a:rPr kumimoji="1" lang="en-US" altLang="ja-JP" sz="1000">
              <a:solidFill>
                <a:sysClr val="windowText" lastClr="000000"/>
              </a:solidFill>
              <a:latin typeface="+mn-ea"/>
              <a:ea typeface="+mn-ea"/>
            </a:rPr>
            <a:t>SGA/PGA</a:t>
          </a:r>
          <a:r>
            <a:rPr kumimoji="1" lang="ja-JP" altLang="en-US" sz="1000">
              <a:solidFill>
                <a:sysClr val="windowText" lastClr="000000"/>
              </a:solidFill>
              <a:latin typeface="+mn-ea"/>
              <a:ea typeface="+mn-ea"/>
            </a:rPr>
            <a:t>）</a:t>
          </a:r>
        </a:p>
      </xdr:txBody>
    </xdr:sp>
    <xdr:clientData/>
  </xdr:twoCellAnchor>
  <xdr:twoCellAnchor>
    <xdr:from>
      <xdr:col>16</xdr:col>
      <xdr:colOff>76201</xdr:colOff>
      <xdr:row>561</xdr:row>
      <xdr:rowOff>38100</xdr:rowOff>
    </xdr:from>
    <xdr:to>
      <xdr:col>24</xdr:col>
      <xdr:colOff>47629</xdr:colOff>
      <xdr:row>568</xdr:row>
      <xdr:rowOff>9527</xdr:rowOff>
    </xdr:to>
    <xdr:cxnSp macro="">
      <xdr:nvCxnSpPr>
        <xdr:cNvPr id="14" name="直線矢印コネクタ 13">
          <a:extLst>
            <a:ext uri="{FF2B5EF4-FFF2-40B4-BE49-F238E27FC236}">
              <a16:creationId xmlns:a16="http://schemas.microsoft.com/office/drawing/2014/main" id="{00000000-0008-0000-0500-00000E000000}"/>
            </a:ext>
          </a:extLst>
        </xdr:cNvPr>
        <xdr:cNvCxnSpPr>
          <a:stCxn id="10" idx="3"/>
        </xdr:cNvCxnSpPr>
      </xdr:nvCxnSpPr>
      <xdr:spPr>
        <a:xfrm rot="16200000" flipH="1">
          <a:off x="1990726" y="77085825"/>
          <a:ext cx="1095377" cy="962028"/>
        </a:xfrm>
        <a:prstGeom prst="straightConnector1">
          <a:avLst/>
        </a:prstGeom>
        <a:ln w="28575">
          <a:solidFill>
            <a:srgbClr val="00206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47625</xdr:colOff>
      <xdr:row>561</xdr:row>
      <xdr:rowOff>38101</xdr:rowOff>
    </xdr:from>
    <xdr:to>
      <xdr:col>36</xdr:col>
      <xdr:colOff>9525</xdr:colOff>
      <xdr:row>568</xdr:row>
      <xdr:rowOff>3</xdr:rowOff>
    </xdr:to>
    <xdr:cxnSp macro="">
      <xdr:nvCxnSpPr>
        <xdr:cNvPr id="15" name="直線矢印コネクタ 14">
          <a:extLst>
            <a:ext uri="{FF2B5EF4-FFF2-40B4-BE49-F238E27FC236}">
              <a16:creationId xmlns:a16="http://schemas.microsoft.com/office/drawing/2014/main" id="{00000000-0008-0000-0500-00000F000000}"/>
            </a:ext>
          </a:extLst>
        </xdr:cNvPr>
        <xdr:cNvCxnSpPr>
          <a:stCxn id="11" idx="3"/>
        </xdr:cNvCxnSpPr>
      </xdr:nvCxnSpPr>
      <xdr:spPr>
        <a:xfrm rot="5400000">
          <a:off x="3448049" y="77085827"/>
          <a:ext cx="1085852" cy="952500"/>
        </a:xfrm>
        <a:prstGeom prst="straightConnector1">
          <a:avLst/>
        </a:prstGeom>
        <a:ln w="28575">
          <a:solidFill>
            <a:srgbClr val="00206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569</xdr:row>
      <xdr:rowOff>57150</xdr:rowOff>
    </xdr:from>
    <xdr:to>
      <xdr:col>13</xdr:col>
      <xdr:colOff>104775</xdr:colOff>
      <xdr:row>577</xdr:row>
      <xdr:rowOff>114300</xdr:rowOff>
    </xdr:to>
    <xdr:sp macro="" textlink="">
      <xdr:nvSpPr>
        <xdr:cNvPr id="16" name="正方形/長方形 15">
          <a:extLst>
            <a:ext uri="{FF2B5EF4-FFF2-40B4-BE49-F238E27FC236}">
              <a16:creationId xmlns:a16="http://schemas.microsoft.com/office/drawing/2014/main" id="{00000000-0008-0000-0500-000010000000}"/>
            </a:ext>
          </a:extLst>
        </xdr:cNvPr>
        <xdr:cNvSpPr/>
      </xdr:nvSpPr>
      <xdr:spPr>
        <a:xfrm>
          <a:off x="1123950" y="78324075"/>
          <a:ext cx="590550" cy="135255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システム表領域</a:t>
          </a:r>
        </a:p>
      </xdr:txBody>
    </xdr:sp>
    <xdr:clientData/>
  </xdr:twoCellAnchor>
  <xdr:twoCellAnchor>
    <xdr:from>
      <xdr:col>38</xdr:col>
      <xdr:colOff>104775</xdr:colOff>
      <xdr:row>569</xdr:row>
      <xdr:rowOff>57150</xdr:rowOff>
    </xdr:from>
    <xdr:to>
      <xdr:col>43</xdr:col>
      <xdr:colOff>76200</xdr:colOff>
      <xdr:row>577</xdr:row>
      <xdr:rowOff>114300</xdr:rowOff>
    </xdr:to>
    <xdr:sp macro="" textlink="">
      <xdr:nvSpPr>
        <xdr:cNvPr id="17" name="正方形/長方形 16">
          <a:extLst>
            <a:ext uri="{FF2B5EF4-FFF2-40B4-BE49-F238E27FC236}">
              <a16:creationId xmlns:a16="http://schemas.microsoft.com/office/drawing/2014/main" id="{00000000-0008-0000-0500-000011000000}"/>
            </a:ext>
          </a:extLst>
        </xdr:cNvPr>
        <xdr:cNvSpPr/>
      </xdr:nvSpPr>
      <xdr:spPr>
        <a:xfrm>
          <a:off x="4810125" y="78324075"/>
          <a:ext cx="590550" cy="135255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ja-JP" sz="1000">
              <a:solidFill>
                <a:sysClr val="windowText" lastClr="000000"/>
              </a:solidFill>
              <a:latin typeface="+mn-lt"/>
              <a:ea typeface="+mn-ea"/>
              <a:cs typeface="+mn-cs"/>
            </a:rPr>
            <a:t>設定ファイル</a:t>
          </a:r>
          <a:endParaRPr kumimoji="1" lang="en-US" altLang="ja-JP" sz="1000">
            <a:solidFill>
              <a:sysClr val="windowText" lastClr="000000"/>
            </a:solidFill>
            <a:latin typeface="+mn-lt"/>
            <a:ea typeface="+mn-ea"/>
            <a:cs typeface="+mn-cs"/>
          </a:endParaRPr>
        </a:p>
      </xdr:txBody>
    </xdr:sp>
    <xdr:clientData/>
  </xdr:twoCellAnchor>
  <xdr:twoCellAnchor>
    <xdr:from>
      <xdr:col>66</xdr:col>
      <xdr:colOff>89647</xdr:colOff>
      <xdr:row>128</xdr:row>
      <xdr:rowOff>147918</xdr:rowOff>
    </xdr:from>
    <xdr:to>
      <xdr:col>79</xdr:col>
      <xdr:colOff>46888</xdr:colOff>
      <xdr:row>159</xdr:row>
      <xdr:rowOff>65553</xdr:rowOff>
    </xdr:to>
    <xdr:sp macro="" textlink="">
      <xdr:nvSpPr>
        <xdr:cNvPr id="18" name="正方形/長方形 17">
          <a:extLst>
            <a:ext uri="{FF2B5EF4-FFF2-40B4-BE49-F238E27FC236}">
              <a16:creationId xmlns:a16="http://schemas.microsoft.com/office/drawing/2014/main" id="{00000000-0008-0000-0500-000012000000}"/>
            </a:ext>
          </a:extLst>
        </xdr:cNvPr>
        <xdr:cNvSpPr/>
      </xdr:nvSpPr>
      <xdr:spPr>
        <a:xfrm>
          <a:off x="8262097" y="20912418"/>
          <a:ext cx="1566966" cy="489921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67</xdr:col>
      <xdr:colOff>11206</xdr:colOff>
      <xdr:row>130</xdr:row>
      <xdr:rowOff>112058</xdr:rowOff>
    </xdr:from>
    <xdr:to>
      <xdr:col>79</xdr:col>
      <xdr:colOff>11206</xdr:colOff>
      <xdr:row>145</xdr:row>
      <xdr:rowOff>22411</xdr:rowOff>
    </xdr:to>
    <xdr:sp macro="" textlink="">
      <xdr:nvSpPr>
        <xdr:cNvPr id="19" name="正方形/長方形 18">
          <a:extLst>
            <a:ext uri="{FF2B5EF4-FFF2-40B4-BE49-F238E27FC236}">
              <a16:creationId xmlns:a16="http://schemas.microsoft.com/office/drawing/2014/main" id="{00000000-0008-0000-0500-000013000000}"/>
            </a:ext>
          </a:extLst>
        </xdr:cNvPr>
        <xdr:cNvSpPr/>
      </xdr:nvSpPr>
      <xdr:spPr>
        <a:xfrm>
          <a:off x="8307481" y="21200408"/>
          <a:ext cx="1485900" cy="2339228"/>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89647</xdr:colOff>
      <xdr:row>51</xdr:row>
      <xdr:rowOff>145678</xdr:rowOff>
    </xdr:from>
    <xdr:to>
      <xdr:col>79</xdr:col>
      <xdr:colOff>67235</xdr:colOff>
      <xdr:row>82</xdr:row>
      <xdr:rowOff>63313</xdr:rowOff>
    </xdr:to>
    <xdr:sp macro="" textlink="">
      <xdr:nvSpPr>
        <xdr:cNvPr id="20" name="正方形/長方形 19">
          <a:extLst>
            <a:ext uri="{FF2B5EF4-FFF2-40B4-BE49-F238E27FC236}">
              <a16:creationId xmlns:a16="http://schemas.microsoft.com/office/drawing/2014/main" id="{00000000-0008-0000-0500-000014000000}"/>
            </a:ext>
          </a:extLst>
        </xdr:cNvPr>
        <xdr:cNvSpPr/>
      </xdr:nvSpPr>
      <xdr:spPr>
        <a:xfrm>
          <a:off x="8262097" y="8270503"/>
          <a:ext cx="1587313" cy="489921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67</xdr:col>
      <xdr:colOff>11205</xdr:colOff>
      <xdr:row>53</xdr:row>
      <xdr:rowOff>112060</xdr:rowOff>
    </xdr:from>
    <xdr:to>
      <xdr:col>79</xdr:col>
      <xdr:colOff>11205</xdr:colOff>
      <xdr:row>68</xdr:row>
      <xdr:rowOff>22413</xdr:rowOff>
    </xdr:to>
    <xdr:sp macro="" textlink="">
      <xdr:nvSpPr>
        <xdr:cNvPr id="21" name="正方形/長方形 20">
          <a:extLst>
            <a:ext uri="{FF2B5EF4-FFF2-40B4-BE49-F238E27FC236}">
              <a16:creationId xmlns:a16="http://schemas.microsoft.com/office/drawing/2014/main" id="{00000000-0008-0000-0500-000015000000}"/>
            </a:ext>
          </a:extLst>
        </xdr:cNvPr>
        <xdr:cNvSpPr/>
      </xdr:nvSpPr>
      <xdr:spPr>
        <a:xfrm>
          <a:off x="8307480" y="8560735"/>
          <a:ext cx="1485900" cy="2339228"/>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26</xdr:col>
      <xdr:colOff>2960</xdr:colOff>
      <xdr:row>144</xdr:row>
      <xdr:rowOff>76773</xdr:rowOff>
    </xdr:from>
    <xdr:to>
      <xdr:col>64</xdr:col>
      <xdr:colOff>91712</xdr:colOff>
      <xdr:row>159</xdr:row>
      <xdr:rowOff>110028</xdr:rowOff>
    </xdr:to>
    <xdr:sp macro="" textlink="">
      <xdr:nvSpPr>
        <xdr:cNvPr id="22" name="正方形/長方形 21">
          <a:extLst>
            <a:ext uri="{FF2B5EF4-FFF2-40B4-BE49-F238E27FC236}">
              <a16:creationId xmlns:a16="http://schemas.microsoft.com/office/drawing/2014/main" id="{00000000-0008-0000-0500-000016000000}"/>
            </a:ext>
          </a:extLst>
        </xdr:cNvPr>
        <xdr:cNvSpPr/>
      </xdr:nvSpPr>
      <xdr:spPr>
        <a:xfrm>
          <a:off x="3222410" y="23432073"/>
          <a:ext cx="4794102" cy="242403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ＩＶＲ ＤＢ（</a:t>
          </a:r>
          <a:r>
            <a:rPr lang="en-US" altLang="ja-JP" sz="1200">
              <a:solidFill>
                <a:schemeClr val="tx1"/>
              </a:solidFill>
              <a:latin typeface="+mn-ea"/>
            </a:rPr>
            <a:t>Standby</a:t>
          </a:r>
          <a:r>
            <a:rPr lang="ja-JP" altLang="en-US" sz="1200">
              <a:solidFill>
                <a:schemeClr val="tx1"/>
              </a:solidFill>
              <a:latin typeface="+mn-ea"/>
            </a:rPr>
            <a:t>）</a:t>
          </a:r>
        </a:p>
      </xdr:txBody>
    </xdr:sp>
    <xdr:clientData/>
  </xdr:twoCellAnchor>
  <xdr:twoCellAnchor>
    <xdr:from>
      <xdr:col>47</xdr:col>
      <xdr:colOff>92810</xdr:colOff>
      <xdr:row>145</xdr:row>
      <xdr:rowOff>24653</xdr:rowOff>
    </xdr:from>
    <xdr:to>
      <xdr:col>63</xdr:col>
      <xdr:colOff>102914</xdr:colOff>
      <xdr:row>156</xdr:row>
      <xdr:rowOff>147917</xdr:rowOff>
    </xdr:to>
    <xdr:sp macro="" textlink="">
      <xdr:nvSpPr>
        <xdr:cNvPr id="23" name="角丸四角形 22">
          <a:extLst>
            <a:ext uri="{FF2B5EF4-FFF2-40B4-BE49-F238E27FC236}">
              <a16:creationId xmlns:a16="http://schemas.microsoft.com/office/drawing/2014/main" id="{00000000-0008-0000-0500-000017000000}"/>
            </a:ext>
          </a:extLst>
        </xdr:cNvPr>
        <xdr:cNvSpPr/>
      </xdr:nvSpPr>
      <xdr:spPr>
        <a:xfrm>
          <a:off x="5912585" y="23541878"/>
          <a:ext cx="1991304" cy="18949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26</xdr:col>
      <xdr:colOff>23307</xdr:colOff>
      <xdr:row>67</xdr:row>
      <xdr:rowOff>74533</xdr:rowOff>
    </xdr:from>
    <xdr:to>
      <xdr:col>65</xdr:col>
      <xdr:colOff>0</xdr:colOff>
      <xdr:row>82</xdr:row>
      <xdr:rowOff>107788</xdr:rowOff>
    </xdr:to>
    <xdr:sp macro="" textlink="">
      <xdr:nvSpPr>
        <xdr:cNvPr id="24" name="正方形/長方形 23">
          <a:extLst>
            <a:ext uri="{FF2B5EF4-FFF2-40B4-BE49-F238E27FC236}">
              <a16:creationId xmlns:a16="http://schemas.microsoft.com/office/drawing/2014/main" id="{00000000-0008-0000-0500-000018000000}"/>
            </a:ext>
          </a:extLst>
        </xdr:cNvPr>
        <xdr:cNvSpPr/>
      </xdr:nvSpPr>
      <xdr:spPr>
        <a:xfrm>
          <a:off x="3242757" y="10790158"/>
          <a:ext cx="4805868" cy="242403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ＩＶＲ ＤＢ（</a:t>
          </a:r>
          <a:r>
            <a:rPr lang="en-US" altLang="ja-JP" sz="1200">
              <a:solidFill>
                <a:schemeClr val="tx1"/>
              </a:solidFill>
              <a:latin typeface="+mn-ea"/>
            </a:rPr>
            <a:t>Standby</a:t>
          </a:r>
          <a:r>
            <a:rPr lang="ja-JP" altLang="en-US" sz="1200">
              <a:solidFill>
                <a:schemeClr val="tx1"/>
              </a:solidFill>
              <a:latin typeface="+mn-ea"/>
            </a:rPr>
            <a:t>）</a:t>
          </a:r>
        </a:p>
      </xdr:txBody>
    </xdr:sp>
    <xdr:clientData/>
  </xdr:twoCellAnchor>
  <xdr:twoCellAnchor>
    <xdr:from>
      <xdr:col>6</xdr:col>
      <xdr:colOff>101554</xdr:colOff>
      <xdr:row>51</xdr:row>
      <xdr:rowOff>109818</xdr:rowOff>
    </xdr:from>
    <xdr:to>
      <xdr:col>25</xdr:col>
      <xdr:colOff>54348</xdr:colOff>
      <xdr:row>58</xdr:row>
      <xdr:rowOff>123265</xdr:rowOff>
    </xdr:to>
    <xdr:sp macro="" textlink="">
      <xdr:nvSpPr>
        <xdr:cNvPr id="25" name="正方形/長方形 24">
          <a:extLst>
            <a:ext uri="{FF2B5EF4-FFF2-40B4-BE49-F238E27FC236}">
              <a16:creationId xmlns:a16="http://schemas.microsoft.com/office/drawing/2014/main" id="{00000000-0008-0000-0500-000019000000}"/>
            </a:ext>
          </a:extLst>
        </xdr:cNvPr>
        <xdr:cNvSpPr/>
      </xdr:nvSpPr>
      <xdr:spPr>
        <a:xfrm>
          <a:off x="844504" y="8234643"/>
          <a:ext cx="2305469" cy="114692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WAS</a:t>
          </a:r>
          <a:endParaRPr lang="ja-JP" altLang="en-US" sz="1200">
            <a:solidFill>
              <a:schemeClr val="tx1"/>
            </a:solidFill>
            <a:latin typeface="+mn-ea"/>
          </a:endParaRPr>
        </a:p>
      </xdr:txBody>
    </xdr:sp>
    <xdr:clientData/>
  </xdr:twoCellAnchor>
  <xdr:twoCellAnchor>
    <xdr:from>
      <xdr:col>19</xdr:col>
      <xdr:colOff>56029</xdr:colOff>
      <xdr:row>54</xdr:row>
      <xdr:rowOff>1</xdr:rowOff>
    </xdr:from>
    <xdr:to>
      <xdr:col>24</xdr:col>
      <xdr:colOff>123264</xdr:colOff>
      <xdr:row>58</xdr:row>
      <xdr:rowOff>0</xdr:rowOff>
    </xdr:to>
    <xdr:sp macro="" textlink="">
      <xdr:nvSpPr>
        <xdr:cNvPr id="26" name="角丸四角形 25">
          <a:extLst>
            <a:ext uri="{FF2B5EF4-FFF2-40B4-BE49-F238E27FC236}">
              <a16:creationId xmlns:a16="http://schemas.microsoft.com/office/drawing/2014/main" id="{00000000-0008-0000-0500-00001A000000}"/>
            </a:ext>
          </a:extLst>
        </xdr:cNvPr>
        <xdr:cNvSpPr/>
      </xdr:nvSpPr>
      <xdr:spPr>
        <a:xfrm>
          <a:off x="2398058" y="8337177"/>
          <a:ext cx="683559" cy="62752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1200">
              <a:solidFill>
                <a:schemeClr val="tx1"/>
              </a:solidFill>
              <a:latin typeface="+mn-ea"/>
            </a:rPr>
            <a:t>データソース</a:t>
          </a:r>
        </a:p>
      </xdr:txBody>
    </xdr:sp>
    <xdr:clientData/>
  </xdr:twoCellAnchor>
  <xdr:twoCellAnchor>
    <xdr:from>
      <xdr:col>26</xdr:col>
      <xdr:colOff>13200</xdr:colOff>
      <xdr:row>51</xdr:row>
      <xdr:rowOff>134834</xdr:rowOff>
    </xdr:from>
    <xdr:to>
      <xdr:col>64</xdr:col>
      <xdr:colOff>101952</xdr:colOff>
      <xdr:row>67</xdr:row>
      <xdr:rowOff>11206</xdr:rowOff>
    </xdr:to>
    <xdr:sp macro="" textlink="">
      <xdr:nvSpPr>
        <xdr:cNvPr id="27" name="正方形/長方形 26">
          <a:extLst>
            <a:ext uri="{FF2B5EF4-FFF2-40B4-BE49-F238E27FC236}">
              <a16:creationId xmlns:a16="http://schemas.microsoft.com/office/drawing/2014/main" id="{00000000-0008-0000-0500-00001B000000}"/>
            </a:ext>
          </a:extLst>
        </xdr:cNvPr>
        <xdr:cNvSpPr/>
      </xdr:nvSpPr>
      <xdr:spPr>
        <a:xfrm>
          <a:off x="3232650" y="8259659"/>
          <a:ext cx="4794102" cy="246717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ＩＶＲ ＤＢ（</a:t>
          </a:r>
          <a:r>
            <a:rPr lang="en-US" altLang="ja-JP" sz="1200">
              <a:solidFill>
                <a:schemeClr val="tx1"/>
              </a:solidFill>
              <a:latin typeface="+mn-ea"/>
            </a:rPr>
            <a:t>Active</a:t>
          </a:r>
          <a:r>
            <a:rPr lang="ja-JP" altLang="en-US" sz="1200">
              <a:solidFill>
                <a:schemeClr val="tx1"/>
              </a:solidFill>
              <a:latin typeface="+mn-ea"/>
            </a:rPr>
            <a:t>）</a:t>
          </a:r>
        </a:p>
      </xdr:txBody>
    </xdr:sp>
    <xdr:clientData/>
  </xdr:twoCellAnchor>
  <xdr:twoCellAnchor>
    <xdr:from>
      <xdr:col>26</xdr:col>
      <xdr:colOff>87517</xdr:colOff>
      <xdr:row>64</xdr:row>
      <xdr:rowOff>134404</xdr:rowOff>
    </xdr:from>
    <xdr:to>
      <xdr:col>64</xdr:col>
      <xdr:colOff>34716</xdr:colOff>
      <xdr:row>66</xdr:row>
      <xdr:rowOff>103809</xdr:rowOff>
    </xdr:to>
    <xdr:sp macro="" textlink="">
      <xdr:nvSpPr>
        <xdr:cNvPr id="28" name="角丸四角形 27">
          <a:extLst>
            <a:ext uri="{FF2B5EF4-FFF2-40B4-BE49-F238E27FC236}">
              <a16:creationId xmlns:a16="http://schemas.microsoft.com/office/drawing/2014/main" id="{00000000-0008-0000-0500-00001C000000}"/>
            </a:ext>
          </a:extLst>
        </xdr:cNvPr>
        <xdr:cNvSpPr/>
      </xdr:nvSpPr>
      <xdr:spPr>
        <a:xfrm>
          <a:off x="3306967" y="10364254"/>
          <a:ext cx="4652549" cy="293255"/>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48</xdr:col>
      <xdr:colOff>1098</xdr:colOff>
      <xdr:row>52</xdr:row>
      <xdr:rowOff>89649</xdr:rowOff>
    </xdr:from>
    <xdr:to>
      <xdr:col>64</xdr:col>
      <xdr:colOff>11202</xdr:colOff>
      <xdr:row>64</xdr:row>
      <xdr:rowOff>56030</xdr:rowOff>
    </xdr:to>
    <xdr:sp macro="" textlink="">
      <xdr:nvSpPr>
        <xdr:cNvPr id="29" name="角丸四角形 28">
          <a:extLst>
            <a:ext uri="{FF2B5EF4-FFF2-40B4-BE49-F238E27FC236}">
              <a16:creationId xmlns:a16="http://schemas.microsoft.com/office/drawing/2014/main" id="{00000000-0008-0000-0500-00001D000000}"/>
            </a:ext>
          </a:extLst>
        </xdr:cNvPr>
        <xdr:cNvSpPr/>
      </xdr:nvSpPr>
      <xdr:spPr>
        <a:xfrm>
          <a:off x="5944698" y="8376399"/>
          <a:ext cx="1991304" cy="1909481"/>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7</xdr:col>
      <xdr:colOff>38855</xdr:colOff>
      <xdr:row>54</xdr:row>
      <xdr:rowOff>12265</xdr:rowOff>
    </xdr:from>
    <xdr:to>
      <xdr:col>18</xdr:col>
      <xdr:colOff>100852</xdr:colOff>
      <xdr:row>55</xdr:row>
      <xdr:rowOff>141047</xdr:rowOff>
    </xdr:to>
    <xdr:sp macro="" textlink="">
      <xdr:nvSpPr>
        <xdr:cNvPr id="30" name="角丸四角形 29">
          <a:extLst>
            <a:ext uri="{FF2B5EF4-FFF2-40B4-BE49-F238E27FC236}">
              <a16:creationId xmlns:a16="http://schemas.microsoft.com/office/drawing/2014/main" id="{00000000-0008-0000-0500-00001E000000}"/>
            </a:ext>
          </a:extLst>
        </xdr:cNvPr>
        <xdr:cNvSpPr/>
      </xdr:nvSpPr>
      <xdr:spPr>
        <a:xfrm>
          <a:off x="901708" y="8349441"/>
          <a:ext cx="1417909" cy="285665"/>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音声フロー</a:t>
          </a:r>
        </a:p>
      </xdr:txBody>
    </xdr:sp>
    <xdr:clientData/>
  </xdr:twoCellAnchor>
  <xdr:twoCellAnchor>
    <xdr:from>
      <xdr:col>26</xdr:col>
      <xdr:colOff>21291</xdr:colOff>
      <xdr:row>52</xdr:row>
      <xdr:rowOff>151752</xdr:rowOff>
    </xdr:from>
    <xdr:to>
      <xdr:col>28</xdr:col>
      <xdr:colOff>48758</xdr:colOff>
      <xdr:row>54</xdr:row>
      <xdr:rowOff>50077</xdr:rowOff>
    </xdr:to>
    <xdr:sp macro="" textlink="">
      <xdr:nvSpPr>
        <xdr:cNvPr id="31" name="テキスト ボックス 23">
          <a:extLst>
            <a:ext uri="{FF2B5EF4-FFF2-40B4-BE49-F238E27FC236}">
              <a16:creationId xmlns:a16="http://schemas.microsoft.com/office/drawing/2014/main" id="{00000000-0008-0000-0500-00001F000000}"/>
            </a:ext>
          </a:extLst>
        </xdr:cNvPr>
        <xdr:cNvSpPr txBox="1"/>
      </xdr:nvSpPr>
      <xdr:spPr>
        <a:xfrm>
          <a:off x="3240741" y="8438502"/>
          <a:ext cx="275117" cy="222175"/>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①</a:t>
          </a:r>
        </a:p>
      </xdr:txBody>
    </xdr:sp>
    <xdr:clientData/>
  </xdr:twoCellAnchor>
  <xdr:twoCellAnchor>
    <xdr:from>
      <xdr:col>7</xdr:col>
      <xdr:colOff>33618</xdr:colOff>
      <xdr:row>56</xdr:row>
      <xdr:rowOff>38868</xdr:rowOff>
    </xdr:from>
    <xdr:to>
      <xdr:col>18</xdr:col>
      <xdr:colOff>96338</xdr:colOff>
      <xdr:row>57</xdr:row>
      <xdr:rowOff>156419</xdr:rowOff>
    </xdr:to>
    <xdr:sp macro="" textlink="">
      <xdr:nvSpPr>
        <xdr:cNvPr id="32" name="角丸四角形 31">
          <a:extLst>
            <a:ext uri="{FF2B5EF4-FFF2-40B4-BE49-F238E27FC236}">
              <a16:creationId xmlns:a16="http://schemas.microsoft.com/office/drawing/2014/main" id="{00000000-0008-0000-0500-000020000000}"/>
            </a:ext>
          </a:extLst>
        </xdr:cNvPr>
        <xdr:cNvSpPr/>
      </xdr:nvSpPr>
      <xdr:spPr>
        <a:xfrm>
          <a:off x="896471" y="8689809"/>
          <a:ext cx="1418632" cy="274434"/>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管理画面サーバ</a:t>
          </a:r>
        </a:p>
      </xdr:txBody>
    </xdr:sp>
    <xdr:clientData/>
  </xdr:twoCellAnchor>
  <xdr:twoCellAnchor>
    <xdr:from>
      <xdr:col>6</xdr:col>
      <xdr:colOff>87582</xdr:colOff>
      <xdr:row>74</xdr:row>
      <xdr:rowOff>145677</xdr:rowOff>
    </xdr:from>
    <xdr:to>
      <xdr:col>20</xdr:col>
      <xdr:colOff>78441</xdr:colOff>
      <xdr:row>82</xdr:row>
      <xdr:rowOff>81971</xdr:rowOff>
    </xdr:to>
    <xdr:sp macro="" textlink="">
      <xdr:nvSpPr>
        <xdr:cNvPr id="33" name="正方形/長方形 32">
          <a:extLst>
            <a:ext uri="{FF2B5EF4-FFF2-40B4-BE49-F238E27FC236}">
              <a16:creationId xmlns:a16="http://schemas.microsoft.com/office/drawing/2014/main" id="{00000000-0008-0000-0500-000021000000}"/>
            </a:ext>
          </a:extLst>
        </xdr:cNvPr>
        <xdr:cNvSpPr/>
      </xdr:nvSpPr>
      <xdr:spPr>
        <a:xfrm>
          <a:off x="830532" y="11994777"/>
          <a:ext cx="1724409" cy="119359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44</xdr:col>
      <xdr:colOff>44823</xdr:colOff>
      <xdr:row>52</xdr:row>
      <xdr:rowOff>100218</xdr:rowOff>
    </xdr:from>
    <xdr:to>
      <xdr:col>47</xdr:col>
      <xdr:colOff>37527</xdr:colOff>
      <xdr:row>64</xdr:row>
      <xdr:rowOff>67234</xdr:rowOff>
    </xdr:to>
    <xdr:sp macro="" textlink="">
      <xdr:nvSpPr>
        <xdr:cNvPr id="34" name="角丸四角形 33">
          <a:extLst>
            <a:ext uri="{FF2B5EF4-FFF2-40B4-BE49-F238E27FC236}">
              <a16:creationId xmlns:a16="http://schemas.microsoft.com/office/drawing/2014/main" id="{00000000-0008-0000-0500-000022000000}"/>
            </a:ext>
          </a:extLst>
        </xdr:cNvPr>
        <xdr:cNvSpPr/>
      </xdr:nvSpPr>
      <xdr:spPr>
        <a:xfrm>
          <a:off x="5493123" y="8386968"/>
          <a:ext cx="364179" cy="191011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開発</a:t>
          </a:r>
          <a:r>
            <a:rPr lang="ja-JP" altLang="en-US" sz="1200">
              <a:solidFill>
                <a:schemeClr val="tx1"/>
              </a:solidFill>
              <a:latin typeface="+mn-ea"/>
            </a:rPr>
            <a:t>リスナー</a:t>
          </a:r>
        </a:p>
      </xdr:txBody>
    </xdr:sp>
    <xdr:clientData/>
  </xdr:twoCellAnchor>
  <xdr:twoCellAnchor>
    <xdr:from>
      <xdr:col>18</xdr:col>
      <xdr:colOff>100852</xdr:colOff>
      <xdr:row>54</xdr:row>
      <xdr:rowOff>155098</xdr:rowOff>
    </xdr:from>
    <xdr:to>
      <xdr:col>49</xdr:col>
      <xdr:colOff>85725</xdr:colOff>
      <xdr:row>56</xdr:row>
      <xdr:rowOff>47625</xdr:rowOff>
    </xdr:to>
    <xdr:cxnSp macro="">
      <xdr:nvCxnSpPr>
        <xdr:cNvPr id="113112" name="カギ線コネクタ 22">
          <a:extLst>
            <a:ext uri="{FF2B5EF4-FFF2-40B4-BE49-F238E27FC236}">
              <a16:creationId xmlns:a16="http://schemas.microsoft.com/office/drawing/2014/main" id="{00000000-0008-0000-0500-0000D8B90100}"/>
            </a:ext>
          </a:extLst>
        </xdr:cNvPr>
        <xdr:cNvCxnSpPr>
          <a:cxnSpLocks noChangeShapeType="1"/>
          <a:stCxn id="30" idx="3"/>
        </xdr:cNvCxnSpPr>
      </xdr:nvCxnSpPr>
      <xdr:spPr bwMode="auto">
        <a:xfrm>
          <a:off x="2319617" y="8492274"/>
          <a:ext cx="3806079" cy="206292"/>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18</xdr:col>
      <xdr:colOff>96338</xdr:colOff>
      <xdr:row>57</xdr:row>
      <xdr:rowOff>19202</xdr:rowOff>
    </xdr:from>
    <xdr:to>
      <xdr:col>49</xdr:col>
      <xdr:colOff>57150</xdr:colOff>
      <xdr:row>57</xdr:row>
      <xdr:rowOff>133350</xdr:rowOff>
    </xdr:to>
    <xdr:cxnSp macro="">
      <xdr:nvCxnSpPr>
        <xdr:cNvPr id="113113" name="カギ線コネクタ 22">
          <a:extLst>
            <a:ext uri="{FF2B5EF4-FFF2-40B4-BE49-F238E27FC236}">
              <a16:creationId xmlns:a16="http://schemas.microsoft.com/office/drawing/2014/main" id="{00000000-0008-0000-0500-0000D9B90100}"/>
            </a:ext>
          </a:extLst>
        </xdr:cNvPr>
        <xdr:cNvCxnSpPr>
          <a:cxnSpLocks noChangeShapeType="1"/>
          <a:stCxn id="32" idx="3"/>
        </xdr:cNvCxnSpPr>
      </xdr:nvCxnSpPr>
      <xdr:spPr bwMode="auto">
        <a:xfrm>
          <a:off x="2315103" y="8827026"/>
          <a:ext cx="3782018" cy="114148"/>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26</xdr:col>
      <xdr:colOff>11645</xdr:colOff>
      <xdr:row>54</xdr:row>
      <xdr:rowOff>152974</xdr:rowOff>
    </xdr:from>
    <xdr:to>
      <xdr:col>28</xdr:col>
      <xdr:colOff>39451</xdr:colOff>
      <xdr:row>56</xdr:row>
      <xdr:rowOff>51907</xdr:rowOff>
    </xdr:to>
    <xdr:sp macro="" textlink="">
      <xdr:nvSpPr>
        <xdr:cNvPr id="37" name="テキスト ボックス 98">
          <a:extLst>
            <a:ext uri="{FF2B5EF4-FFF2-40B4-BE49-F238E27FC236}">
              <a16:creationId xmlns:a16="http://schemas.microsoft.com/office/drawing/2014/main" id="{00000000-0008-0000-0500-000025000000}"/>
            </a:ext>
          </a:extLst>
        </xdr:cNvPr>
        <xdr:cNvSpPr txBox="1"/>
      </xdr:nvSpPr>
      <xdr:spPr>
        <a:xfrm>
          <a:off x="3231095" y="8763574"/>
          <a:ext cx="275456" cy="222783"/>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②</a:t>
          </a:r>
        </a:p>
      </xdr:txBody>
    </xdr:sp>
    <xdr:clientData/>
  </xdr:twoCellAnchor>
  <xdr:twoCellAnchor>
    <xdr:from>
      <xdr:col>21</xdr:col>
      <xdr:colOff>46148</xdr:colOff>
      <xdr:row>76</xdr:row>
      <xdr:rowOff>123236</xdr:rowOff>
    </xdr:from>
    <xdr:to>
      <xdr:col>23</xdr:col>
      <xdr:colOff>62750</xdr:colOff>
      <xdr:row>78</xdr:row>
      <xdr:rowOff>22169</xdr:rowOff>
    </xdr:to>
    <xdr:sp macro="" textlink="">
      <xdr:nvSpPr>
        <xdr:cNvPr id="38" name="テキスト ボックス 99">
          <a:extLst>
            <a:ext uri="{FF2B5EF4-FFF2-40B4-BE49-F238E27FC236}">
              <a16:creationId xmlns:a16="http://schemas.microsoft.com/office/drawing/2014/main" id="{00000000-0008-0000-0500-000026000000}"/>
            </a:ext>
          </a:extLst>
        </xdr:cNvPr>
        <xdr:cNvSpPr txBox="1"/>
      </xdr:nvSpPr>
      <xdr:spPr>
        <a:xfrm>
          <a:off x="2661860" y="12278601"/>
          <a:ext cx="265717" cy="22131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④</a:t>
          </a:r>
        </a:p>
      </xdr:txBody>
    </xdr:sp>
    <xdr:clientData/>
  </xdr:twoCellAnchor>
  <xdr:twoCellAnchor>
    <xdr:from>
      <xdr:col>63</xdr:col>
      <xdr:colOff>9525</xdr:colOff>
      <xdr:row>59</xdr:row>
      <xdr:rowOff>47625</xdr:rowOff>
    </xdr:from>
    <xdr:to>
      <xdr:col>67</xdr:col>
      <xdr:colOff>9525</xdr:colOff>
      <xdr:row>60</xdr:row>
      <xdr:rowOff>142875</xdr:rowOff>
    </xdr:to>
    <xdr:cxnSp macro="">
      <xdr:nvCxnSpPr>
        <xdr:cNvPr id="113116" name="カギ線コネクタ 104">
          <a:extLst>
            <a:ext uri="{FF2B5EF4-FFF2-40B4-BE49-F238E27FC236}">
              <a16:creationId xmlns:a16="http://schemas.microsoft.com/office/drawing/2014/main" id="{00000000-0008-0000-0500-0000DCB90100}"/>
            </a:ext>
          </a:extLst>
        </xdr:cNvPr>
        <xdr:cNvCxnSpPr>
          <a:cxnSpLocks noChangeShapeType="1"/>
          <a:stCxn id="41" idx="4"/>
          <a:endCxn id="21" idx="1"/>
        </xdr:cNvCxnSpPr>
      </xdr:nvCxnSpPr>
      <xdr:spPr bwMode="auto">
        <a:xfrm>
          <a:off x="7810500" y="9467850"/>
          <a:ext cx="495300" cy="257175"/>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64</xdr:col>
      <xdr:colOff>103414</xdr:colOff>
      <xdr:row>55</xdr:row>
      <xdr:rowOff>140725</xdr:rowOff>
    </xdr:from>
    <xdr:to>
      <xdr:col>67</xdr:col>
      <xdr:colOff>7781</xdr:colOff>
      <xdr:row>57</xdr:row>
      <xdr:rowOff>32319</xdr:rowOff>
    </xdr:to>
    <xdr:sp macro="" textlink="">
      <xdr:nvSpPr>
        <xdr:cNvPr id="40" name="テキスト ボックス 99">
          <a:extLst>
            <a:ext uri="{FF2B5EF4-FFF2-40B4-BE49-F238E27FC236}">
              <a16:creationId xmlns:a16="http://schemas.microsoft.com/office/drawing/2014/main" id="{00000000-0008-0000-0500-000028000000}"/>
            </a:ext>
          </a:extLst>
        </xdr:cNvPr>
        <xdr:cNvSpPr txBox="1"/>
      </xdr:nvSpPr>
      <xdr:spPr>
        <a:xfrm>
          <a:off x="8028214" y="8913250"/>
          <a:ext cx="275842" cy="215444"/>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latin typeface="+mn-ea"/>
              <a:ea typeface="+mn-ea"/>
            </a:rPr>
            <a:t>⑤</a:t>
          </a:r>
        </a:p>
      </xdr:txBody>
    </xdr:sp>
    <xdr:clientData/>
  </xdr:twoCellAnchor>
  <xdr:twoCellAnchor>
    <xdr:from>
      <xdr:col>49</xdr:col>
      <xdr:colOff>78437</xdr:colOff>
      <xdr:row>54</xdr:row>
      <xdr:rowOff>134470</xdr:rowOff>
    </xdr:from>
    <xdr:to>
      <xdr:col>63</xdr:col>
      <xdr:colOff>13443</xdr:colOff>
      <xdr:row>63</xdr:row>
      <xdr:rowOff>112058</xdr:rowOff>
    </xdr:to>
    <xdr:sp macro="" textlink="">
      <xdr:nvSpPr>
        <xdr:cNvPr id="41" name="円柱 40">
          <a:extLst>
            <a:ext uri="{FF2B5EF4-FFF2-40B4-BE49-F238E27FC236}">
              <a16:creationId xmlns:a16="http://schemas.microsoft.com/office/drawing/2014/main" id="{00000000-0008-0000-0500-000029000000}"/>
            </a:ext>
          </a:extLst>
        </xdr:cNvPr>
        <xdr:cNvSpPr/>
      </xdr:nvSpPr>
      <xdr:spPr>
        <a:xfrm>
          <a:off x="6145862" y="8745070"/>
          <a:ext cx="1668556" cy="1434913"/>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開発インスタンス</a:t>
          </a:r>
          <a:r>
            <a:rPr kumimoji="1" lang="en-US" altLang="ja-JP" sz="1100">
              <a:solidFill>
                <a:sysClr val="windowText" lastClr="000000"/>
              </a:solidFill>
              <a:latin typeface="+mn-ea"/>
              <a:ea typeface="+mn-ea"/>
            </a:rPr>
            <a:t>#1</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67</xdr:col>
      <xdr:colOff>78577</xdr:colOff>
      <xdr:row>58</xdr:row>
      <xdr:rowOff>78447</xdr:rowOff>
    </xdr:from>
    <xdr:to>
      <xdr:col>78</xdr:col>
      <xdr:colOff>56029</xdr:colOff>
      <xdr:row>60</xdr:row>
      <xdr:rowOff>123266</xdr:rowOff>
    </xdr:to>
    <xdr:sp macro="" textlink="">
      <xdr:nvSpPr>
        <xdr:cNvPr id="42" name="正方形/長方形 41">
          <a:extLst>
            <a:ext uri="{FF2B5EF4-FFF2-40B4-BE49-F238E27FC236}">
              <a16:creationId xmlns:a16="http://schemas.microsoft.com/office/drawing/2014/main" id="{00000000-0008-0000-0500-00002A000000}"/>
            </a:ext>
          </a:extLst>
        </xdr:cNvPr>
        <xdr:cNvSpPr/>
      </xdr:nvSpPr>
      <xdr:spPr>
        <a:xfrm>
          <a:off x="8374852" y="9336747"/>
          <a:ext cx="1339527" cy="368669"/>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開発</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78441</xdr:colOff>
      <xdr:row>60</xdr:row>
      <xdr:rowOff>126074</xdr:rowOff>
    </xdr:from>
    <xdr:to>
      <xdr:col>78</xdr:col>
      <xdr:colOff>57709</xdr:colOff>
      <xdr:row>63</xdr:row>
      <xdr:rowOff>14010</xdr:rowOff>
    </xdr:to>
    <xdr:sp macro="" textlink="">
      <xdr:nvSpPr>
        <xdr:cNvPr id="43" name="正方形/長方形 42">
          <a:extLst>
            <a:ext uri="{FF2B5EF4-FFF2-40B4-BE49-F238E27FC236}">
              <a16:creationId xmlns:a16="http://schemas.microsoft.com/office/drawing/2014/main" id="{00000000-0008-0000-0500-00002B000000}"/>
            </a:ext>
          </a:extLst>
        </xdr:cNvPr>
        <xdr:cNvSpPr/>
      </xdr:nvSpPr>
      <xdr:spPr>
        <a:xfrm>
          <a:off x="8374716" y="9708224"/>
          <a:ext cx="1341343" cy="373711"/>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a:t>
          </a:r>
          <a:r>
            <a:rPr kumimoji="1" lang="ja-JP" altLang="en-US" sz="1000">
              <a:solidFill>
                <a:sysClr val="windowText" lastClr="000000"/>
              </a:solidFill>
              <a:latin typeface="+mn-lt"/>
              <a:ea typeface="+mn-ea"/>
              <a:cs typeface="+mn-cs"/>
            </a:rPr>
            <a:t>開発</a:t>
          </a:r>
          <a:r>
            <a:rPr kumimoji="1" lang="ja-JP" altLang="en-US" sz="1000">
              <a:solidFill>
                <a:sysClr val="windowText" lastClr="000000"/>
              </a:solidFill>
              <a:latin typeface="+mn-ea"/>
              <a:ea typeface="+mn-ea"/>
            </a:rPr>
            <a:t>０２</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54</xdr:row>
      <xdr:rowOff>56038</xdr:rowOff>
    </xdr:from>
    <xdr:to>
      <xdr:col>78</xdr:col>
      <xdr:colOff>56029</xdr:colOff>
      <xdr:row>56</xdr:row>
      <xdr:rowOff>67242</xdr:rowOff>
    </xdr:to>
    <xdr:sp macro="" textlink="">
      <xdr:nvSpPr>
        <xdr:cNvPr id="44" name="正方形/長方形 43">
          <a:extLst>
            <a:ext uri="{FF2B5EF4-FFF2-40B4-BE49-F238E27FC236}">
              <a16:creationId xmlns:a16="http://schemas.microsoft.com/office/drawing/2014/main" id="{00000000-0008-0000-0500-00002C000000}"/>
            </a:ext>
          </a:extLst>
        </xdr:cNvPr>
        <xdr:cNvSpPr/>
      </xdr:nvSpPr>
      <xdr:spPr>
        <a:xfrm>
          <a:off x="8374851" y="8666638"/>
          <a:ext cx="1339528" cy="335054"/>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ｼｽﾃﾑ表領域</a:t>
          </a:r>
          <a:endParaRPr kumimoji="1" lang="en-US" altLang="ja-JP" sz="1000">
            <a:solidFill>
              <a:sysClr val="windowText" lastClr="000000"/>
            </a:solidFill>
            <a:latin typeface="+mn-ea"/>
            <a:ea typeface="+mn-ea"/>
          </a:endParaRPr>
        </a:p>
      </xdr:txBody>
    </xdr:sp>
    <xdr:clientData/>
  </xdr:twoCellAnchor>
  <xdr:twoCellAnchor>
    <xdr:from>
      <xdr:col>67</xdr:col>
      <xdr:colOff>78441</xdr:colOff>
      <xdr:row>63</xdr:row>
      <xdr:rowOff>14012</xdr:rowOff>
    </xdr:from>
    <xdr:to>
      <xdr:col>78</xdr:col>
      <xdr:colOff>57709</xdr:colOff>
      <xdr:row>65</xdr:row>
      <xdr:rowOff>58830</xdr:rowOff>
    </xdr:to>
    <xdr:sp macro="" textlink="">
      <xdr:nvSpPr>
        <xdr:cNvPr id="45" name="正方形/長方形 44">
          <a:extLst>
            <a:ext uri="{FF2B5EF4-FFF2-40B4-BE49-F238E27FC236}">
              <a16:creationId xmlns:a16="http://schemas.microsoft.com/office/drawing/2014/main" id="{00000000-0008-0000-0500-00002D000000}"/>
            </a:ext>
          </a:extLst>
        </xdr:cNvPr>
        <xdr:cNvSpPr/>
      </xdr:nvSpPr>
      <xdr:spPr>
        <a:xfrm>
          <a:off x="8374716" y="10081937"/>
          <a:ext cx="1341343" cy="368668"/>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開発０３</a:t>
          </a:r>
          <a:endParaRPr kumimoji="1" lang="en-US" altLang="ja-JP" sz="1000">
            <a:solidFill>
              <a:sysClr val="windowText" lastClr="000000"/>
            </a:solidFill>
            <a:latin typeface="+mn-ea"/>
            <a:ea typeface="+mn-ea"/>
          </a:endParaRPr>
        </a:p>
      </xdr:txBody>
    </xdr:sp>
    <xdr:clientData/>
  </xdr:twoCellAnchor>
  <xdr:twoCellAnchor>
    <xdr:from>
      <xdr:col>67</xdr:col>
      <xdr:colOff>78441</xdr:colOff>
      <xdr:row>65</xdr:row>
      <xdr:rowOff>58833</xdr:rowOff>
    </xdr:from>
    <xdr:to>
      <xdr:col>78</xdr:col>
      <xdr:colOff>57709</xdr:colOff>
      <xdr:row>67</xdr:row>
      <xdr:rowOff>103651</xdr:rowOff>
    </xdr:to>
    <xdr:sp macro="" textlink="">
      <xdr:nvSpPr>
        <xdr:cNvPr id="46" name="正方形/長方形 45">
          <a:extLst>
            <a:ext uri="{FF2B5EF4-FFF2-40B4-BE49-F238E27FC236}">
              <a16:creationId xmlns:a16="http://schemas.microsoft.com/office/drawing/2014/main" id="{00000000-0008-0000-0500-00002E000000}"/>
            </a:ext>
          </a:extLst>
        </xdr:cNvPr>
        <xdr:cNvSpPr/>
      </xdr:nvSpPr>
      <xdr:spPr>
        <a:xfrm>
          <a:off x="8374716" y="10450608"/>
          <a:ext cx="1341343" cy="368668"/>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開発０４</a:t>
          </a:r>
          <a:endParaRPr kumimoji="1" lang="en-US" altLang="ja-JP" sz="1000">
            <a:solidFill>
              <a:sysClr val="windowText" lastClr="000000"/>
            </a:solidFill>
            <a:latin typeface="+mn-ea"/>
            <a:ea typeface="+mn-ea"/>
          </a:endParaRPr>
        </a:p>
      </xdr:txBody>
    </xdr:sp>
    <xdr:clientData/>
  </xdr:twoCellAnchor>
  <xdr:twoCellAnchor>
    <xdr:from>
      <xdr:col>67</xdr:col>
      <xdr:colOff>78576</xdr:colOff>
      <xdr:row>56</xdr:row>
      <xdr:rowOff>100861</xdr:rowOff>
    </xdr:from>
    <xdr:to>
      <xdr:col>78</xdr:col>
      <xdr:colOff>56029</xdr:colOff>
      <xdr:row>58</xdr:row>
      <xdr:rowOff>44824</xdr:rowOff>
    </xdr:to>
    <xdr:sp macro="" textlink="">
      <xdr:nvSpPr>
        <xdr:cNvPr id="47" name="正方形/長方形 46">
          <a:extLst>
            <a:ext uri="{FF2B5EF4-FFF2-40B4-BE49-F238E27FC236}">
              <a16:creationId xmlns:a16="http://schemas.microsoft.com/office/drawing/2014/main" id="{00000000-0008-0000-0500-00002F000000}"/>
            </a:ext>
          </a:extLst>
        </xdr:cNvPr>
        <xdr:cNvSpPr/>
      </xdr:nvSpPr>
      <xdr:spPr>
        <a:xfrm>
          <a:off x="8374851" y="9035311"/>
          <a:ext cx="1339528" cy="267813"/>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26</xdr:col>
      <xdr:colOff>108718</xdr:colOff>
      <xdr:row>62</xdr:row>
      <xdr:rowOff>125440</xdr:rowOff>
    </xdr:from>
    <xdr:to>
      <xdr:col>36</xdr:col>
      <xdr:colOff>89647</xdr:colOff>
      <xdr:row>64</xdr:row>
      <xdr:rowOff>74169</xdr:rowOff>
    </xdr:to>
    <xdr:sp macro="" textlink="">
      <xdr:nvSpPr>
        <xdr:cNvPr id="48" name="角丸四角形 47">
          <a:extLst>
            <a:ext uri="{FF2B5EF4-FFF2-40B4-BE49-F238E27FC236}">
              <a16:creationId xmlns:a16="http://schemas.microsoft.com/office/drawing/2014/main" id="{00000000-0008-0000-0500-000030000000}"/>
            </a:ext>
          </a:extLst>
        </xdr:cNvPr>
        <xdr:cNvSpPr/>
      </xdr:nvSpPr>
      <xdr:spPr>
        <a:xfrm>
          <a:off x="3328168" y="10031440"/>
          <a:ext cx="1219179" cy="272579"/>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26</xdr:col>
      <xdr:colOff>97624</xdr:colOff>
      <xdr:row>80</xdr:row>
      <xdr:rowOff>62898</xdr:rowOff>
    </xdr:from>
    <xdr:to>
      <xdr:col>64</xdr:col>
      <xdr:colOff>44823</xdr:colOff>
      <xdr:row>82</xdr:row>
      <xdr:rowOff>32302</xdr:rowOff>
    </xdr:to>
    <xdr:sp macro="" textlink="">
      <xdr:nvSpPr>
        <xdr:cNvPr id="49" name="角丸四角形 48">
          <a:extLst>
            <a:ext uri="{FF2B5EF4-FFF2-40B4-BE49-F238E27FC236}">
              <a16:creationId xmlns:a16="http://schemas.microsoft.com/office/drawing/2014/main" id="{00000000-0008-0000-0500-000031000000}"/>
            </a:ext>
          </a:extLst>
        </xdr:cNvPr>
        <xdr:cNvSpPr/>
      </xdr:nvSpPr>
      <xdr:spPr>
        <a:xfrm>
          <a:off x="3317074" y="12864498"/>
          <a:ext cx="4652549" cy="274204"/>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48</xdr:col>
      <xdr:colOff>11205</xdr:colOff>
      <xdr:row>68</xdr:row>
      <xdr:rowOff>18141</xdr:rowOff>
    </xdr:from>
    <xdr:to>
      <xdr:col>64</xdr:col>
      <xdr:colOff>11784</xdr:colOff>
      <xdr:row>79</xdr:row>
      <xdr:rowOff>141406</xdr:rowOff>
    </xdr:to>
    <xdr:sp macro="" textlink="">
      <xdr:nvSpPr>
        <xdr:cNvPr id="50" name="角丸四角形 49">
          <a:extLst>
            <a:ext uri="{FF2B5EF4-FFF2-40B4-BE49-F238E27FC236}">
              <a16:creationId xmlns:a16="http://schemas.microsoft.com/office/drawing/2014/main" id="{00000000-0008-0000-0500-000032000000}"/>
            </a:ext>
          </a:extLst>
        </xdr:cNvPr>
        <xdr:cNvSpPr/>
      </xdr:nvSpPr>
      <xdr:spPr>
        <a:xfrm>
          <a:off x="5954805" y="10895691"/>
          <a:ext cx="1981779" cy="1894915"/>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44</xdr:col>
      <xdr:colOff>54930</xdr:colOff>
      <xdr:row>68</xdr:row>
      <xdr:rowOff>28712</xdr:rowOff>
    </xdr:from>
    <xdr:to>
      <xdr:col>47</xdr:col>
      <xdr:colOff>47634</xdr:colOff>
      <xdr:row>79</xdr:row>
      <xdr:rowOff>145676</xdr:rowOff>
    </xdr:to>
    <xdr:sp macro="" textlink="">
      <xdr:nvSpPr>
        <xdr:cNvPr id="51" name="角丸四角形 50">
          <a:extLst>
            <a:ext uri="{FF2B5EF4-FFF2-40B4-BE49-F238E27FC236}">
              <a16:creationId xmlns:a16="http://schemas.microsoft.com/office/drawing/2014/main" id="{00000000-0008-0000-0500-000033000000}"/>
            </a:ext>
          </a:extLst>
        </xdr:cNvPr>
        <xdr:cNvSpPr/>
      </xdr:nvSpPr>
      <xdr:spPr>
        <a:xfrm>
          <a:off x="5503230" y="10906262"/>
          <a:ext cx="364179" cy="1888614"/>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開発</a:t>
          </a:r>
          <a:r>
            <a:rPr lang="ja-JP" altLang="en-US" sz="1200">
              <a:solidFill>
                <a:schemeClr val="tx1"/>
              </a:solidFill>
              <a:latin typeface="+mn-ea"/>
            </a:rPr>
            <a:t>リスナー</a:t>
          </a:r>
        </a:p>
      </xdr:txBody>
    </xdr:sp>
    <xdr:clientData/>
  </xdr:twoCellAnchor>
  <xdr:twoCellAnchor>
    <xdr:from>
      <xdr:col>49</xdr:col>
      <xdr:colOff>54926</xdr:colOff>
      <xdr:row>70</xdr:row>
      <xdr:rowOff>62964</xdr:rowOff>
    </xdr:from>
    <xdr:to>
      <xdr:col>62</xdr:col>
      <xdr:colOff>101991</xdr:colOff>
      <xdr:row>78</xdr:row>
      <xdr:rowOff>123264</xdr:rowOff>
    </xdr:to>
    <xdr:sp macro="" textlink="">
      <xdr:nvSpPr>
        <xdr:cNvPr id="52" name="円柱 51">
          <a:extLst>
            <a:ext uri="{FF2B5EF4-FFF2-40B4-BE49-F238E27FC236}">
              <a16:creationId xmlns:a16="http://schemas.microsoft.com/office/drawing/2014/main" id="{00000000-0008-0000-0500-000034000000}"/>
            </a:ext>
          </a:extLst>
        </xdr:cNvPr>
        <xdr:cNvSpPr/>
      </xdr:nvSpPr>
      <xdr:spPr>
        <a:xfrm>
          <a:off x="6122351" y="11264364"/>
          <a:ext cx="1656790" cy="1355700"/>
        </a:xfrm>
        <a:prstGeom prst="can">
          <a:avLst>
            <a:gd name="adj" fmla="val 19488"/>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開発インスタンス</a:t>
          </a:r>
          <a:r>
            <a:rPr kumimoji="1" lang="en-US" altLang="ja-JP" sz="1100">
              <a:solidFill>
                <a:sysClr val="windowText" lastClr="000000"/>
              </a:solidFill>
              <a:latin typeface="+mn-ea"/>
              <a:ea typeface="+mn-ea"/>
            </a:rPr>
            <a:t>#2</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27</xdr:col>
      <xdr:colOff>1121</xdr:colOff>
      <xdr:row>58</xdr:row>
      <xdr:rowOff>140627</xdr:rowOff>
    </xdr:from>
    <xdr:to>
      <xdr:col>36</xdr:col>
      <xdr:colOff>89647</xdr:colOff>
      <xdr:row>60</xdr:row>
      <xdr:rowOff>89646</xdr:rowOff>
    </xdr:to>
    <xdr:sp macro="" textlink="">
      <xdr:nvSpPr>
        <xdr:cNvPr id="53" name="角丸四角形 52">
          <a:extLst>
            <a:ext uri="{FF2B5EF4-FFF2-40B4-BE49-F238E27FC236}">
              <a16:creationId xmlns:a16="http://schemas.microsoft.com/office/drawing/2014/main" id="{00000000-0008-0000-0500-000035000000}"/>
            </a:ext>
          </a:extLst>
        </xdr:cNvPr>
        <xdr:cNvSpPr/>
      </xdr:nvSpPr>
      <xdr:spPr>
        <a:xfrm>
          <a:off x="3344396" y="9398927"/>
          <a:ext cx="1202951" cy="272869"/>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27</xdr:col>
      <xdr:colOff>0</xdr:colOff>
      <xdr:row>60</xdr:row>
      <xdr:rowOff>134470</xdr:rowOff>
    </xdr:from>
    <xdr:to>
      <xdr:col>36</xdr:col>
      <xdr:colOff>89646</xdr:colOff>
      <xdr:row>62</xdr:row>
      <xdr:rowOff>67234</xdr:rowOff>
    </xdr:to>
    <xdr:sp macro="" textlink="">
      <xdr:nvSpPr>
        <xdr:cNvPr id="54" name="角丸四角形 53">
          <a:extLst>
            <a:ext uri="{FF2B5EF4-FFF2-40B4-BE49-F238E27FC236}">
              <a16:creationId xmlns:a16="http://schemas.microsoft.com/office/drawing/2014/main" id="{00000000-0008-0000-0500-000036000000}"/>
            </a:ext>
          </a:extLst>
        </xdr:cNvPr>
        <xdr:cNvSpPr/>
      </xdr:nvSpPr>
      <xdr:spPr>
        <a:xfrm>
          <a:off x="3343275" y="9716620"/>
          <a:ext cx="120407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20</xdr:col>
      <xdr:colOff>76200</xdr:colOff>
      <xdr:row>64</xdr:row>
      <xdr:rowOff>9525</xdr:rowOff>
    </xdr:from>
    <xdr:to>
      <xdr:col>24</xdr:col>
      <xdr:colOff>28575</xdr:colOff>
      <xdr:row>78</xdr:row>
      <xdr:rowOff>104775</xdr:rowOff>
    </xdr:to>
    <xdr:cxnSp macro="">
      <xdr:nvCxnSpPr>
        <xdr:cNvPr id="113132" name="カギ線コネクタ 56">
          <a:extLst>
            <a:ext uri="{FF2B5EF4-FFF2-40B4-BE49-F238E27FC236}">
              <a16:creationId xmlns:a16="http://schemas.microsoft.com/office/drawing/2014/main" id="{00000000-0008-0000-0500-0000ECB90100}"/>
            </a:ext>
          </a:extLst>
        </xdr:cNvPr>
        <xdr:cNvCxnSpPr>
          <a:cxnSpLocks noChangeShapeType="1"/>
          <a:endCxn id="33" idx="3"/>
        </xdr:cNvCxnSpPr>
      </xdr:nvCxnSpPr>
      <xdr:spPr bwMode="auto">
        <a:xfrm rot="5400000">
          <a:off x="1595438" y="11196637"/>
          <a:ext cx="2362200" cy="447675"/>
        </a:xfrm>
        <a:prstGeom prst="bentConnector2">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6</xdr:col>
      <xdr:colOff>81207</xdr:colOff>
      <xdr:row>128</xdr:row>
      <xdr:rowOff>112058</xdr:rowOff>
    </xdr:from>
    <xdr:to>
      <xdr:col>25</xdr:col>
      <xdr:colOff>34001</xdr:colOff>
      <xdr:row>135</xdr:row>
      <xdr:rowOff>125506</xdr:rowOff>
    </xdr:to>
    <xdr:sp macro="" textlink="">
      <xdr:nvSpPr>
        <xdr:cNvPr id="56" name="正方形/長方形 55">
          <a:extLst>
            <a:ext uri="{FF2B5EF4-FFF2-40B4-BE49-F238E27FC236}">
              <a16:creationId xmlns:a16="http://schemas.microsoft.com/office/drawing/2014/main" id="{00000000-0008-0000-0500-000038000000}"/>
            </a:ext>
          </a:extLst>
        </xdr:cNvPr>
        <xdr:cNvSpPr/>
      </xdr:nvSpPr>
      <xdr:spPr>
        <a:xfrm>
          <a:off x="824157" y="20876558"/>
          <a:ext cx="2305469" cy="114692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WAS</a:t>
          </a:r>
          <a:endParaRPr lang="ja-JP" altLang="en-US" sz="1200">
            <a:solidFill>
              <a:schemeClr val="tx1"/>
            </a:solidFill>
            <a:latin typeface="+mn-ea"/>
          </a:endParaRPr>
        </a:p>
      </xdr:txBody>
    </xdr:sp>
    <xdr:clientData/>
  </xdr:twoCellAnchor>
  <xdr:twoCellAnchor>
    <xdr:from>
      <xdr:col>19</xdr:col>
      <xdr:colOff>33618</xdr:colOff>
      <xdr:row>131</xdr:row>
      <xdr:rowOff>2241</xdr:rowOff>
    </xdr:from>
    <xdr:to>
      <xdr:col>24</xdr:col>
      <xdr:colOff>91712</xdr:colOff>
      <xdr:row>135</xdr:row>
      <xdr:rowOff>2241</xdr:rowOff>
    </xdr:to>
    <xdr:sp macro="" textlink="">
      <xdr:nvSpPr>
        <xdr:cNvPr id="57" name="角丸四角形 56">
          <a:extLst>
            <a:ext uri="{FF2B5EF4-FFF2-40B4-BE49-F238E27FC236}">
              <a16:creationId xmlns:a16="http://schemas.microsoft.com/office/drawing/2014/main" id="{00000000-0008-0000-0500-000039000000}"/>
            </a:ext>
          </a:extLst>
        </xdr:cNvPr>
        <xdr:cNvSpPr/>
      </xdr:nvSpPr>
      <xdr:spPr>
        <a:xfrm>
          <a:off x="2375647" y="20587447"/>
          <a:ext cx="674418" cy="62752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1200">
              <a:solidFill>
                <a:schemeClr val="tx1"/>
              </a:solidFill>
              <a:latin typeface="+mn-ea"/>
            </a:rPr>
            <a:t>データソース</a:t>
          </a:r>
        </a:p>
      </xdr:txBody>
    </xdr:sp>
    <xdr:clientData/>
  </xdr:twoCellAnchor>
  <xdr:twoCellAnchor>
    <xdr:from>
      <xdr:col>25</xdr:col>
      <xdr:colOff>104911</xdr:colOff>
      <xdr:row>128</xdr:row>
      <xdr:rowOff>137074</xdr:rowOff>
    </xdr:from>
    <xdr:to>
      <xdr:col>64</xdr:col>
      <xdr:colOff>81605</xdr:colOff>
      <xdr:row>144</xdr:row>
      <xdr:rowOff>13446</xdr:rowOff>
    </xdr:to>
    <xdr:sp macro="" textlink="">
      <xdr:nvSpPr>
        <xdr:cNvPr id="58" name="正方形/長方形 57">
          <a:extLst>
            <a:ext uri="{FF2B5EF4-FFF2-40B4-BE49-F238E27FC236}">
              <a16:creationId xmlns:a16="http://schemas.microsoft.com/office/drawing/2014/main" id="{00000000-0008-0000-0500-00003A000000}"/>
            </a:ext>
          </a:extLst>
        </xdr:cNvPr>
        <xdr:cNvSpPr/>
      </xdr:nvSpPr>
      <xdr:spPr>
        <a:xfrm>
          <a:off x="3200536" y="20901574"/>
          <a:ext cx="4805869" cy="246717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ＩＶＲ ＤＢ（</a:t>
          </a:r>
          <a:r>
            <a:rPr lang="en-US" altLang="ja-JP" sz="1200">
              <a:solidFill>
                <a:schemeClr val="tx1"/>
              </a:solidFill>
              <a:latin typeface="+mn-ea"/>
            </a:rPr>
            <a:t>Active</a:t>
          </a:r>
          <a:r>
            <a:rPr lang="ja-JP" altLang="en-US" sz="1200">
              <a:solidFill>
                <a:schemeClr val="tx1"/>
              </a:solidFill>
              <a:latin typeface="+mn-ea"/>
            </a:rPr>
            <a:t>）</a:t>
          </a:r>
        </a:p>
      </xdr:txBody>
    </xdr:sp>
    <xdr:clientData/>
  </xdr:twoCellAnchor>
  <xdr:twoCellAnchor>
    <xdr:from>
      <xdr:col>26</xdr:col>
      <xdr:colOff>67170</xdr:colOff>
      <xdr:row>141</xdr:row>
      <xdr:rowOff>136644</xdr:rowOff>
    </xdr:from>
    <xdr:to>
      <xdr:col>64</xdr:col>
      <xdr:colOff>14369</xdr:colOff>
      <xdr:row>143</xdr:row>
      <xdr:rowOff>106049</xdr:rowOff>
    </xdr:to>
    <xdr:sp macro="" textlink="">
      <xdr:nvSpPr>
        <xdr:cNvPr id="59" name="角丸四角形 58">
          <a:extLst>
            <a:ext uri="{FF2B5EF4-FFF2-40B4-BE49-F238E27FC236}">
              <a16:creationId xmlns:a16="http://schemas.microsoft.com/office/drawing/2014/main" id="{00000000-0008-0000-0500-00003B000000}"/>
            </a:ext>
          </a:extLst>
        </xdr:cNvPr>
        <xdr:cNvSpPr/>
      </xdr:nvSpPr>
      <xdr:spPr>
        <a:xfrm>
          <a:off x="3286620" y="23006169"/>
          <a:ext cx="4652549" cy="293255"/>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47</xdr:col>
      <xdr:colOff>92810</xdr:colOff>
      <xdr:row>129</xdr:row>
      <xdr:rowOff>91889</xdr:rowOff>
    </xdr:from>
    <xdr:to>
      <xdr:col>63</xdr:col>
      <xdr:colOff>102914</xdr:colOff>
      <xdr:row>141</xdr:row>
      <xdr:rowOff>58270</xdr:rowOff>
    </xdr:to>
    <xdr:sp macro="" textlink="">
      <xdr:nvSpPr>
        <xdr:cNvPr id="60" name="角丸四角形 59">
          <a:extLst>
            <a:ext uri="{FF2B5EF4-FFF2-40B4-BE49-F238E27FC236}">
              <a16:creationId xmlns:a16="http://schemas.microsoft.com/office/drawing/2014/main" id="{00000000-0008-0000-0500-00003C000000}"/>
            </a:ext>
          </a:extLst>
        </xdr:cNvPr>
        <xdr:cNvSpPr/>
      </xdr:nvSpPr>
      <xdr:spPr>
        <a:xfrm>
          <a:off x="5912585" y="21018314"/>
          <a:ext cx="1991304" cy="1909481"/>
        </a:xfrm>
        <a:prstGeom prst="roundRect">
          <a:avLst/>
        </a:prstGeom>
        <a:gradFill flip="none" rotWithShape="1">
          <a:gsLst>
            <a:gs pos="0">
              <a:schemeClr val="bg1">
                <a:lumMod val="75000"/>
              </a:schemeClr>
            </a:gs>
            <a:gs pos="50000">
              <a:schemeClr val="bg1"/>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OracleDB</a:t>
          </a:r>
          <a:endParaRPr lang="en-US" altLang="ja-JP" sz="1200">
            <a:solidFill>
              <a:schemeClr val="tx1"/>
            </a:solidFill>
            <a:latin typeface="ＭＳ Ｐゴシック" pitchFamily="50" charset="-128"/>
          </a:endParaRPr>
        </a:p>
      </xdr:txBody>
    </xdr:sp>
    <xdr:clientData/>
  </xdr:twoCellAnchor>
  <xdr:twoCellAnchor>
    <xdr:from>
      <xdr:col>7</xdr:col>
      <xdr:colOff>11206</xdr:colOff>
      <xdr:row>131</xdr:row>
      <xdr:rowOff>14505</xdr:rowOff>
    </xdr:from>
    <xdr:to>
      <xdr:col>18</xdr:col>
      <xdr:colOff>78441</xdr:colOff>
      <xdr:row>132</xdr:row>
      <xdr:rowOff>143288</xdr:rowOff>
    </xdr:to>
    <xdr:sp macro="" textlink="">
      <xdr:nvSpPr>
        <xdr:cNvPr id="61" name="角丸四角形 60">
          <a:extLst>
            <a:ext uri="{FF2B5EF4-FFF2-40B4-BE49-F238E27FC236}">
              <a16:creationId xmlns:a16="http://schemas.microsoft.com/office/drawing/2014/main" id="{00000000-0008-0000-0500-00003D000000}"/>
            </a:ext>
          </a:extLst>
        </xdr:cNvPr>
        <xdr:cNvSpPr/>
      </xdr:nvSpPr>
      <xdr:spPr>
        <a:xfrm>
          <a:off x="874059" y="20599711"/>
          <a:ext cx="1423147" cy="285665"/>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音声フロー</a:t>
          </a:r>
        </a:p>
      </xdr:txBody>
    </xdr:sp>
    <xdr:clientData/>
  </xdr:twoCellAnchor>
  <xdr:twoCellAnchor>
    <xdr:from>
      <xdr:col>7</xdr:col>
      <xdr:colOff>5964</xdr:colOff>
      <xdr:row>133</xdr:row>
      <xdr:rowOff>41108</xdr:rowOff>
    </xdr:from>
    <xdr:to>
      <xdr:col>18</xdr:col>
      <xdr:colOff>73925</xdr:colOff>
      <xdr:row>135</xdr:row>
      <xdr:rowOff>1777</xdr:rowOff>
    </xdr:to>
    <xdr:sp macro="" textlink="">
      <xdr:nvSpPr>
        <xdr:cNvPr id="62" name="角丸四角形 61">
          <a:extLst>
            <a:ext uri="{FF2B5EF4-FFF2-40B4-BE49-F238E27FC236}">
              <a16:creationId xmlns:a16="http://schemas.microsoft.com/office/drawing/2014/main" id="{00000000-0008-0000-0500-00003E000000}"/>
            </a:ext>
          </a:extLst>
        </xdr:cNvPr>
        <xdr:cNvSpPr/>
      </xdr:nvSpPr>
      <xdr:spPr>
        <a:xfrm>
          <a:off x="868817" y="20940079"/>
          <a:ext cx="1423873" cy="27443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bg1"/>
              </a:solidFill>
              <a:latin typeface="+mn-ea"/>
            </a:rPr>
            <a:t>管理画面サーバ</a:t>
          </a:r>
        </a:p>
      </xdr:txBody>
    </xdr:sp>
    <xdr:clientData/>
  </xdr:twoCellAnchor>
  <xdr:twoCellAnchor>
    <xdr:from>
      <xdr:col>6</xdr:col>
      <xdr:colOff>89647</xdr:colOff>
      <xdr:row>151</xdr:row>
      <xdr:rowOff>147917</xdr:rowOff>
    </xdr:from>
    <xdr:to>
      <xdr:col>17</xdr:col>
      <xdr:colOff>117662</xdr:colOff>
      <xdr:row>159</xdr:row>
      <xdr:rowOff>84211</xdr:rowOff>
    </xdr:to>
    <xdr:sp macro="" textlink="">
      <xdr:nvSpPr>
        <xdr:cNvPr id="63" name="正方形/長方形 62">
          <a:extLst>
            <a:ext uri="{FF2B5EF4-FFF2-40B4-BE49-F238E27FC236}">
              <a16:creationId xmlns:a16="http://schemas.microsoft.com/office/drawing/2014/main" id="{00000000-0008-0000-0500-00003F000000}"/>
            </a:ext>
          </a:extLst>
        </xdr:cNvPr>
        <xdr:cNvSpPr/>
      </xdr:nvSpPr>
      <xdr:spPr>
        <a:xfrm>
          <a:off x="829235" y="24027652"/>
          <a:ext cx="1383927" cy="119135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44</xdr:col>
      <xdr:colOff>24476</xdr:colOff>
      <xdr:row>129</xdr:row>
      <xdr:rowOff>102458</xdr:rowOff>
    </xdr:from>
    <xdr:to>
      <xdr:col>47</xdr:col>
      <xdr:colOff>17180</xdr:colOff>
      <xdr:row>141</xdr:row>
      <xdr:rowOff>56030</xdr:rowOff>
    </xdr:to>
    <xdr:sp macro="" textlink="">
      <xdr:nvSpPr>
        <xdr:cNvPr id="64" name="角丸四角形 63">
          <a:extLst>
            <a:ext uri="{FF2B5EF4-FFF2-40B4-BE49-F238E27FC236}">
              <a16:creationId xmlns:a16="http://schemas.microsoft.com/office/drawing/2014/main" id="{00000000-0008-0000-0500-000040000000}"/>
            </a:ext>
          </a:extLst>
        </xdr:cNvPr>
        <xdr:cNvSpPr/>
      </xdr:nvSpPr>
      <xdr:spPr>
        <a:xfrm>
          <a:off x="5472776" y="21028883"/>
          <a:ext cx="364179" cy="1896672"/>
        </a:xfrm>
        <a:prstGeom prst="roundRect">
          <a:avLst/>
        </a:prstGeom>
        <a:gradFill>
          <a:gsLst>
            <a:gs pos="0">
              <a:schemeClr val="bg1">
                <a:lumMod val="75000"/>
              </a:schemeClr>
            </a:gs>
            <a:gs pos="50000">
              <a:schemeClr val="bg1"/>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開発</a:t>
          </a:r>
          <a:r>
            <a:rPr lang="ja-JP" altLang="en-US" sz="1200">
              <a:solidFill>
                <a:schemeClr val="tx1"/>
              </a:solidFill>
              <a:latin typeface="+mn-ea"/>
            </a:rPr>
            <a:t>リスナー</a:t>
          </a:r>
        </a:p>
      </xdr:txBody>
    </xdr:sp>
    <xdr:clientData/>
  </xdr:twoCellAnchor>
  <xdr:twoCellAnchor>
    <xdr:from>
      <xdr:col>49</xdr:col>
      <xdr:colOff>58090</xdr:colOff>
      <xdr:row>131</xdr:row>
      <xdr:rowOff>136710</xdr:rowOff>
    </xdr:from>
    <xdr:to>
      <xdr:col>62</xdr:col>
      <xdr:colOff>105155</xdr:colOff>
      <xdr:row>140</xdr:row>
      <xdr:rowOff>89646</xdr:rowOff>
    </xdr:to>
    <xdr:sp macro="" textlink="">
      <xdr:nvSpPr>
        <xdr:cNvPr id="65" name="円柱 64">
          <a:extLst>
            <a:ext uri="{FF2B5EF4-FFF2-40B4-BE49-F238E27FC236}">
              <a16:creationId xmlns:a16="http://schemas.microsoft.com/office/drawing/2014/main" id="{00000000-0008-0000-0500-000041000000}"/>
            </a:ext>
          </a:extLst>
        </xdr:cNvPr>
        <xdr:cNvSpPr/>
      </xdr:nvSpPr>
      <xdr:spPr>
        <a:xfrm>
          <a:off x="6125515" y="21386985"/>
          <a:ext cx="1656790" cy="1410261"/>
        </a:xfrm>
        <a:prstGeom prst="can">
          <a:avLst>
            <a:gd name="adj" fmla="val 19488"/>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開発インスタンス</a:t>
          </a:r>
          <a:r>
            <a:rPr kumimoji="1" lang="en-US" altLang="ja-JP" sz="1100">
              <a:solidFill>
                <a:sysClr val="windowText" lastClr="000000"/>
              </a:solidFill>
              <a:latin typeface="+mn-ea"/>
              <a:ea typeface="+mn-ea"/>
            </a:rPr>
            <a:t>#1</a:t>
          </a:r>
        </a:p>
        <a:p>
          <a:pPr algn="ctr">
            <a:lnSpc>
              <a:spcPts val="1200"/>
            </a:lnSpc>
          </a:pPr>
          <a:endParaRPr kumimoji="1" lang="ja-JP" altLang="en-US" sz="1100">
            <a:solidFill>
              <a:sysClr val="windowText" lastClr="000000"/>
            </a:solidFill>
            <a:latin typeface="+mn-ea"/>
            <a:ea typeface="+mn-ea"/>
          </a:endParaRPr>
        </a:p>
      </xdr:txBody>
    </xdr:sp>
    <xdr:clientData/>
  </xdr:twoCellAnchor>
  <xdr:twoCellAnchor>
    <xdr:from>
      <xdr:col>67</xdr:col>
      <xdr:colOff>91848</xdr:colOff>
      <xdr:row>135</xdr:row>
      <xdr:rowOff>69482</xdr:rowOff>
    </xdr:from>
    <xdr:to>
      <xdr:col>78</xdr:col>
      <xdr:colOff>58094</xdr:colOff>
      <xdr:row>137</xdr:row>
      <xdr:rowOff>114300</xdr:rowOff>
    </xdr:to>
    <xdr:sp macro="" textlink="">
      <xdr:nvSpPr>
        <xdr:cNvPr id="66" name="正方形/長方形 65">
          <a:extLst>
            <a:ext uri="{FF2B5EF4-FFF2-40B4-BE49-F238E27FC236}">
              <a16:creationId xmlns:a16="http://schemas.microsoft.com/office/drawing/2014/main" id="{00000000-0008-0000-0500-000042000000}"/>
            </a:ext>
          </a:extLst>
        </xdr:cNvPr>
        <xdr:cNvSpPr/>
      </xdr:nvSpPr>
      <xdr:spPr>
        <a:xfrm>
          <a:off x="8388123" y="21967457"/>
          <a:ext cx="1328321" cy="368668"/>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開発</a:t>
          </a:r>
          <a:r>
            <a:rPr kumimoji="1" lang="en-US" altLang="ja-JP" sz="1000">
              <a:solidFill>
                <a:sysClr val="windowText" lastClr="000000"/>
              </a:solidFill>
              <a:latin typeface="+mn-ea"/>
              <a:ea typeface="+mn-ea"/>
            </a:rPr>
            <a:t>0</a:t>
          </a:r>
          <a:r>
            <a:rPr kumimoji="1" lang="ja-JP" altLang="en-US" sz="1000">
              <a:solidFill>
                <a:sysClr val="windowText" lastClr="000000"/>
              </a:solidFill>
              <a:latin typeface="+mn-ea"/>
              <a:ea typeface="+mn-ea"/>
            </a:rPr>
            <a:t>１</a:t>
          </a:r>
        </a:p>
      </xdr:txBody>
    </xdr:sp>
    <xdr:clientData/>
  </xdr:twoCellAnchor>
  <xdr:twoCellAnchor>
    <xdr:from>
      <xdr:col>67</xdr:col>
      <xdr:colOff>91712</xdr:colOff>
      <xdr:row>137</xdr:row>
      <xdr:rowOff>117108</xdr:rowOff>
    </xdr:from>
    <xdr:to>
      <xdr:col>78</xdr:col>
      <xdr:colOff>59774</xdr:colOff>
      <xdr:row>140</xdr:row>
      <xdr:rowOff>5044</xdr:rowOff>
    </xdr:to>
    <xdr:sp macro="" textlink="">
      <xdr:nvSpPr>
        <xdr:cNvPr id="67" name="正方形/長方形 66">
          <a:extLst>
            <a:ext uri="{FF2B5EF4-FFF2-40B4-BE49-F238E27FC236}">
              <a16:creationId xmlns:a16="http://schemas.microsoft.com/office/drawing/2014/main" id="{00000000-0008-0000-0500-000043000000}"/>
            </a:ext>
          </a:extLst>
        </xdr:cNvPr>
        <xdr:cNvSpPr/>
      </xdr:nvSpPr>
      <xdr:spPr>
        <a:xfrm>
          <a:off x="8387987" y="22338933"/>
          <a:ext cx="1330137" cy="373711"/>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開発０２</a:t>
          </a:r>
          <a:endParaRPr kumimoji="1" lang="en-US" altLang="ja-JP" sz="1000">
            <a:solidFill>
              <a:sysClr val="windowText" lastClr="000000"/>
            </a:solidFill>
            <a:latin typeface="+mn-ea"/>
            <a:ea typeface="+mn-ea"/>
          </a:endParaRPr>
        </a:p>
      </xdr:txBody>
    </xdr:sp>
    <xdr:clientData/>
  </xdr:twoCellAnchor>
  <xdr:twoCellAnchor>
    <xdr:from>
      <xdr:col>67</xdr:col>
      <xdr:colOff>91847</xdr:colOff>
      <xdr:row>131</xdr:row>
      <xdr:rowOff>47072</xdr:rowOff>
    </xdr:from>
    <xdr:to>
      <xdr:col>78</xdr:col>
      <xdr:colOff>58094</xdr:colOff>
      <xdr:row>133</xdr:row>
      <xdr:rowOff>58276</xdr:rowOff>
    </xdr:to>
    <xdr:sp macro="" textlink="">
      <xdr:nvSpPr>
        <xdr:cNvPr id="68" name="正方形/長方形 67">
          <a:extLst>
            <a:ext uri="{FF2B5EF4-FFF2-40B4-BE49-F238E27FC236}">
              <a16:creationId xmlns:a16="http://schemas.microsoft.com/office/drawing/2014/main" id="{00000000-0008-0000-0500-000044000000}"/>
            </a:ext>
          </a:extLst>
        </xdr:cNvPr>
        <xdr:cNvSpPr/>
      </xdr:nvSpPr>
      <xdr:spPr>
        <a:xfrm>
          <a:off x="8388122" y="21297347"/>
          <a:ext cx="1328322" cy="335054"/>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ｼｽﾃﾑ表領域</a:t>
          </a:r>
          <a:endParaRPr kumimoji="1" lang="en-US" altLang="ja-JP" sz="1000">
            <a:solidFill>
              <a:sysClr val="windowText" lastClr="000000"/>
            </a:solidFill>
            <a:latin typeface="+mn-ea"/>
            <a:ea typeface="+mn-ea"/>
          </a:endParaRPr>
        </a:p>
      </xdr:txBody>
    </xdr:sp>
    <xdr:clientData/>
  </xdr:twoCellAnchor>
  <xdr:twoCellAnchor>
    <xdr:from>
      <xdr:col>67</xdr:col>
      <xdr:colOff>91712</xdr:colOff>
      <xdr:row>140</xdr:row>
      <xdr:rowOff>5046</xdr:rowOff>
    </xdr:from>
    <xdr:to>
      <xdr:col>78</xdr:col>
      <xdr:colOff>59774</xdr:colOff>
      <xdr:row>142</xdr:row>
      <xdr:rowOff>49864</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a:xfrm>
          <a:off x="8387987" y="22712646"/>
          <a:ext cx="1330137" cy="368668"/>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開発０３</a:t>
          </a:r>
          <a:endParaRPr kumimoji="1" lang="en-US" altLang="ja-JP" sz="1000">
            <a:solidFill>
              <a:sysClr val="windowText" lastClr="000000"/>
            </a:solidFill>
            <a:latin typeface="+mn-ea"/>
            <a:ea typeface="+mn-ea"/>
          </a:endParaRPr>
        </a:p>
      </xdr:txBody>
    </xdr:sp>
    <xdr:clientData/>
  </xdr:twoCellAnchor>
  <xdr:twoCellAnchor>
    <xdr:from>
      <xdr:col>67</xdr:col>
      <xdr:colOff>91712</xdr:colOff>
      <xdr:row>142</xdr:row>
      <xdr:rowOff>49867</xdr:rowOff>
    </xdr:from>
    <xdr:to>
      <xdr:col>78</xdr:col>
      <xdr:colOff>59774</xdr:colOff>
      <xdr:row>144</xdr:row>
      <xdr:rowOff>94685</xdr:rowOff>
    </xdr:to>
    <xdr:sp macro="" textlink="">
      <xdr:nvSpPr>
        <xdr:cNvPr id="70" name="正方形/長方形 69">
          <a:extLst>
            <a:ext uri="{FF2B5EF4-FFF2-40B4-BE49-F238E27FC236}">
              <a16:creationId xmlns:a16="http://schemas.microsoft.com/office/drawing/2014/main" id="{00000000-0008-0000-0500-000046000000}"/>
            </a:ext>
          </a:extLst>
        </xdr:cNvPr>
        <xdr:cNvSpPr/>
      </xdr:nvSpPr>
      <xdr:spPr>
        <a:xfrm>
          <a:off x="8387987" y="23081317"/>
          <a:ext cx="1330137" cy="368668"/>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表領域 開発０４</a:t>
          </a:r>
          <a:endParaRPr kumimoji="1" lang="en-US" altLang="ja-JP" sz="1000">
            <a:solidFill>
              <a:sysClr val="windowText" lastClr="000000"/>
            </a:solidFill>
            <a:latin typeface="+mn-ea"/>
            <a:ea typeface="+mn-ea"/>
          </a:endParaRPr>
        </a:p>
      </xdr:txBody>
    </xdr:sp>
    <xdr:clientData/>
  </xdr:twoCellAnchor>
  <xdr:twoCellAnchor>
    <xdr:from>
      <xdr:col>67</xdr:col>
      <xdr:colOff>91847</xdr:colOff>
      <xdr:row>133</xdr:row>
      <xdr:rowOff>91895</xdr:rowOff>
    </xdr:from>
    <xdr:to>
      <xdr:col>78</xdr:col>
      <xdr:colOff>58094</xdr:colOff>
      <xdr:row>135</xdr:row>
      <xdr:rowOff>35859</xdr:rowOff>
    </xdr:to>
    <xdr:sp macro="" textlink="">
      <xdr:nvSpPr>
        <xdr:cNvPr id="71" name="正方形/長方形 70">
          <a:extLst>
            <a:ext uri="{FF2B5EF4-FFF2-40B4-BE49-F238E27FC236}">
              <a16:creationId xmlns:a16="http://schemas.microsoft.com/office/drawing/2014/main" id="{00000000-0008-0000-0500-000047000000}"/>
            </a:ext>
          </a:extLst>
        </xdr:cNvPr>
        <xdr:cNvSpPr/>
      </xdr:nvSpPr>
      <xdr:spPr>
        <a:xfrm>
          <a:off x="8388122" y="21666020"/>
          <a:ext cx="1328322" cy="267814"/>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mn-ea"/>
              <a:ea typeface="+mn-ea"/>
            </a:rPr>
            <a:t>その他設定ﾌｧｲﾙ</a:t>
          </a:r>
          <a:endParaRPr kumimoji="1" lang="en-US" altLang="ja-JP" sz="1000">
            <a:solidFill>
              <a:sysClr val="windowText" lastClr="000000"/>
            </a:solidFill>
            <a:latin typeface="+mn-ea"/>
            <a:ea typeface="+mn-ea"/>
          </a:endParaRPr>
        </a:p>
      </xdr:txBody>
    </xdr:sp>
    <xdr:clientData/>
  </xdr:twoCellAnchor>
  <xdr:twoCellAnchor>
    <xdr:from>
      <xdr:col>26</xdr:col>
      <xdr:colOff>77277</xdr:colOff>
      <xdr:row>157</xdr:row>
      <xdr:rowOff>65138</xdr:rowOff>
    </xdr:from>
    <xdr:to>
      <xdr:col>64</xdr:col>
      <xdr:colOff>24476</xdr:colOff>
      <xdr:row>159</xdr:row>
      <xdr:rowOff>34542</xdr:rowOff>
    </xdr:to>
    <xdr:sp macro="" textlink="">
      <xdr:nvSpPr>
        <xdr:cNvPr id="72" name="角丸四角形 71">
          <a:extLst>
            <a:ext uri="{FF2B5EF4-FFF2-40B4-BE49-F238E27FC236}">
              <a16:creationId xmlns:a16="http://schemas.microsoft.com/office/drawing/2014/main" id="{00000000-0008-0000-0500-000048000000}"/>
            </a:ext>
          </a:extLst>
        </xdr:cNvPr>
        <xdr:cNvSpPr/>
      </xdr:nvSpPr>
      <xdr:spPr>
        <a:xfrm>
          <a:off x="3296727" y="25506413"/>
          <a:ext cx="4652549" cy="274204"/>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Red Hat Enterprise Linux </a:t>
          </a:r>
          <a:endParaRPr lang="ja-JP" altLang="en-US" sz="1200">
            <a:solidFill>
              <a:schemeClr val="tx1"/>
            </a:solidFill>
            <a:latin typeface="+mn-ea"/>
          </a:endParaRPr>
        </a:p>
      </xdr:txBody>
    </xdr:sp>
    <xdr:clientData/>
  </xdr:twoCellAnchor>
  <xdr:twoCellAnchor>
    <xdr:from>
      <xdr:col>49</xdr:col>
      <xdr:colOff>34579</xdr:colOff>
      <xdr:row>147</xdr:row>
      <xdr:rowOff>65204</xdr:rowOff>
    </xdr:from>
    <xdr:to>
      <xdr:col>62</xdr:col>
      <xdr:colOff>81644</xdr:colOff>
      <xdr:row>155</xdr:row>
      <xdr:rowOff>145677</xdr:rowOff>
    </xdr:to>
    <xdr:sp macro="" textlink="">
      <xdr:nvSpPr>
        <xdr:cNvPr id="73" name="円柱 72">
          <a:extLst>
            <a:ext uri="{FF2B5EF4-FFF2-40B4-BE49-F238E27FC236}">
              <a16:creationId xmlns:a16="http://schemas.microsoft.com/office/drawing/2014/main" id="{00000000-0008-0000-0500-000049000000}"/>
            </a:ext>
          </a:extLst>
        </xdr:cNvPr>
        <xdr:cNvSpPr/>
      </xdr:nvSpPr>
      <xdr:spPr>
        <a:xfrm>
          <a:off x="6102004" y="23906279"/>
          <a:ext cx="1656790" cy="1375873"/>
        </a:xfrm>
        <a:prstGeom prst="can">
          <a:avLst>
            <a:gd name="adj" fmla="val 19488"/>
          </a:avLst>
        </a:prstGeom>
        <a:gradFill flip="none" rotWithShape="1">
          <a:gsLst>
            <a:gs pos="0">
              <a:srgbClr val="00B050"/>
            </a:gs>
            <a:gs pos="50000">
              <a:srgbClr val="00B050">
                <a:tint val="44500"/>
                <a:satMod val="160000"/>
              </a:srgb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1100">
              <a:solidFill>
                <a:sysClr val="windowText" lastClr="000000"/>
              </a:solidFill>
              <a:latin typeface="+mn-ea"/>
              <a:ea typeface="+mn-ea"/>
            </a:rPr>
            <a:t>開発インスタンス</a:t>
          </a:r>
          <a:r>
            <a:rPr kumimoji="1" lang="en-US" altLang="ja-JP" sz="1100">
              <a:solidFill>
                <a:sysClr val="windowText" lastClr="000000"/>
              </a:solidFill>
              <a:latin typeface="+mn-ea"/>
              <a:ea typeface="+mn-ea"/>
            </a:rPr>
            <a:t>#2</a:t>
          </a:r>
        </a:p>
        <a:p>
          <a:pPr algn="ctr">
            <a:lnSpc>
              <a:spcPts val="1300"/>
            </a:lnSpc>
          </a:pPr>
          <a:endParaRPr kumimoji="1" lang="ja-JP" altLang="en-US" sz="1100">
            <a:solidFill>
              <a:sysClr val="windowText" lastClr="000000"/>
            </a:solidFill>
            <a:latin typeface="+mn-ea"/>
            <a:ea typeface="+mn-ea"/>
          </a:endParaRPr>
        </a:p>
      </xdr:txBody>
    </xdr:sp>
    <xdr:clientData/>
  </xdr:twoCellAnchor>
  <xdr:twoCellAnchor>
    <xdr:from>
      <xdr:col>62</xdr:col>
      <xdr:colOff>85725</xdr:colOff>
      <xdr:row>137</xdr:row>
      <xdr:rowOff>142875</xdr:rowOff>
    </xdr:from>
    <xdr:to>
      <xdr:col>67</xdr:col>
      <xdr:colOff>9525</xdr:colOff>
      <xdr:row>151</xdr:row>
      <xdr:rowOff>104775</xdr:rowOff>
    </xdr:to>
    <xdr:cxnSp macro="">
      <xdr:nvCxnSpPr>
        <xdr:cNvPr id="113151" name="カギ線コネクタ 104">
          <a:extLst>
            <a:ext uri="{FF2B5EF4-FFF2-40B4-BE49-F238E27FC236}">
              <a16:creationId xmlns:a16="http://schemas.microsoft.com/office/drawing/2014/main" id="{00000000-0008-0000-0500-0000FFB90100}"/>
            </a:ext>
          </a:extLst>
        </xdr:cNvPr>
        <xdr:cNvCxnSpPr>
          <a:cxnSpLocks noChangeShapeType="1"/>
          <a:stCxn id="73" idx="4"/>
          <a:endCxn id="19" idx="1"/>
        </xdr:cNvCxnSpPr>
      </xdr:nvCxnSpPr>
      <xdr:spPr bwMode="auto">
        <a:xfrm flipV="1">
          <a:off x="7762875" y="22269450"/>
          <a:ext cx="542925" cy="2228850"/>
        </a:xfrm>
        <a:prstGeom prst="bentConnector3">
          <a:avLst>
            <a:gd name="adj1" fmla="val 68477"/>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44</xdr:col>
      <xdr:colOff>24476</xdr:colOff>
      <xdr:row>145</xdr:row>
      <xdr:rowOff>35222</xdr:rowOff>
    </xdr:from>
    <xdr:to>
      <xdr:col>47</xdr:col>
      <xdr:colOff>17180</xdr:colOff>
      <xdr:row>156</xdr:row>
      <xdr:rowOff>134470</xdr:rowOff>
    </xdr:to>
    <xdr:sp macro="" textlink="">
      <xdr:nvSpPr>
        <xdr:cNvPr id="75" name="角丸四角形 74">
          <a:extLst>
            <a:ext uri="{FF2B5EF4-FFF2-40B4-BE49-F238E27FC236}">
              <a16:creationId xmlns:a16="http://schemas.microsoft.com/office/drawing/2014/main" id="{00000000-0008-0000-0500-00004B000000}"/>
            </a:ext>
          </a:extLst>
        </xdr:cNvPr>
        <xdr:cNvSpPr/>
      </xdr:nvSpPr>
      <xdr:spPr>
        <a:xfrm>
          <a:off x="5472776" y="23552447"/>
          <a:ext cx="364179" cy="1870898"/>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開発</a:t>
          </a:r>
          <a:r>
            <a:rPr lang="ja-JP" altLang="en-US" sz="1200">
              <a:solidFill>
                <a:schemeClr val="tx1"/>
              </a:solidFill>
              <a:latin typeface="+mn-ea"/>
            </a:rPr>
            <a:t>リスナー</a:t>
          </a:r>
        </a:p>
      </xdr:txBody>
    </xdr:sp>
    <xdr:clientData/>
  </xdr:twoCellAnchor>
  <xdr:twoCellAnchor>
    <xdr:from>
      <xdr:col>18</xdr:col>
      <xdr:colOff>78441</xdr:colOff>
      <xdr:row>132</xdr:row>
      <xdr:rowOff>456</xdr:rowOff>
    </xdr:from>
    <xdr:to>
      <xdr:col>49</xdr:col>
      <xdr:colOff>66675</xdr:colOff>
      <xdr:row>149</xdr:row>
      <xdr:rowOff>38100</xdr:rowOff>
    </xdr:to>
    <xdr:cxnSp macro="">
      <xdr:nvCxnSpPr>
        <xdr:cNvPr id="113153" name="カギ線コネクタ 22">
          <a:extLst>
            <a:ext uri="{FF2B5EF4-FFF2-40B4-BE49-F238E27FC236}">
              <a16:creationId xmlns:a16="http://schemas.microsoft.com/office/drawing/2014/main" id="{00000000-0008-0000-0500-000001BA0100}"/>
            </a:ext>
          </a:extLst>
        </xdr:cNvPr>
        <xdr:cNvCxnSpPr>
          <a:cxnSpLocks noChangeShapeType="1"/>
          <a:stCxn id="61" idx="3"/>
        </xdr:cNvCxnSpPr>
      </xdr:nvCxnSpPr>
      <xdr:spPr bwMode="auto">
        <a:xfrm>
          <a:off x="2297206" y="20742544"/>
          <a:ext cx="3809440" cy="2704644"/>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18</xdr:col>
      <xdr:colOff>73925</xdr:colOff>
      <xdr:row>134</xdr:row>
      <xdr:rowOff>21443</xdr:rowOff>
    </xdr:from>
    <xdr:to>
      <xdr:col>49</xdr:col>
      <xdr:colOff>66675</xdr:colOff>
      <xdr:row>150</xdr:row>
      <xdr:rowOff>95250</xdr:rowOff>
    </xdr:to>
    <xdr:cxnSp macro="">
      <xdr:nvCxnSpPr>
        <xdr:cNvPr id="113154" name="カギ線コネクタ 22">
          <a:extLst>
            <a:ext uri="{FF2B5EF4-FFF2-40B4-BE49-F238E27FC236}">
              <a16:creationId xmlns:a16="http://schemas.microsoft.com/office/drawing/2014/main" id="{00000000-0008-0000-0500-000002BA0100}"/>
            </a:ext>
          </a:extLst>
        </xdr:cNvPr>
        <xdr:cNvCxnSpPr>
          <a:cxnSpLocks noChangeShapeType="1"/>
          <a:stCxn id="62" idx="3"/>
        </xdr:cNvCxnSpPr>
      </xdr:nvCxnSpPr>
      <xdr:spPr bwMode="auto">
        <a:xfrm>
          <a:off x="2292690" y="21077296"/>
          <a:ext cx="3813956" cy="2583925"/>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10</xdr:col>
      <xdr:colOff>2580</xdr:colOff>
      <xdr:row>153</xdr:row>
      <xdr:rowOff>119357</xdr:rowOff>
    </xdr:from>
    <xdr:to>
      <xdr:col>12</xdr:col>
      <xdr:colOff>30385</xdr:colOff>
      <xdr:row>155</xdr:row>
      <xdr:rowOff>18290</xdr:rowOff>
    </xdr:to>
    <xdr:sp macro="" textlink="">
      <xdr:nvSpPr>
        <xdr:cNvPr id="78" name="テキスト ボックス 99">
          <a:extLst>
            <a:ext uri="{FF2B5EF4-FFF2-40B4-BE49-F238E27FC236}">
              <a16:creationId xmlns:a16="http://schemas.microsoft.com/office/drawing/2014/main" id="{00000000-0008-0000-0500-00004E000000}"/>
            </a:ext>
          </a:extLst>
        </xdr:cNvPr>
        <xdr:cNvSpPr txBox="1"/>
      </xdr:nvSpPr>
      <xdr:spPr>
        <a:xfrm>
          <a:off x="1240830" y="24931982"/>
          <a:ext cx="275455" cy="222783"/>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B</a:t>
          </a:r>
          <a:endParaRPr lang="ja-JP" altLang="en-US" sz="1200">
            <a:latin typeface="+mn-ea"/>
            <a:ea typeface="+mn-ea"/>
          </a:endParaRPr>
        </a:p>
      </xdr:txBody>
    </xdr:sp>
    <xdr:clientData/>
  </xdr:twoCellAnchor>
  <xdr:twoCellAnchor>
    <xdr:from>
      <xdr:col>76</xdr:col>
      <xdr:colOff>91105</xdr:colOff>
      <xdr:row>129</xdr:row>
      <xdr:rowOff>12902</xdr:rowOff>
    </xdr:from>
    <xdr:to>
      <xdr:col>79</xdr:col>
      <xdr:colOff>6852</xdr:colOff>
      <xdr:row>130</xdr:row>
      <xdr:rowOff>82725</xdr:rowOff>
    </xdr:to>
    <xdr:sp macro="" textlink="">
      <xdr:nvSpPr>
        <xdr:cNvPr id="79" name="テキスト ボックス 99">
          <a:extLst>
            <a:ext uri="{FF2B5EF4-FFF2-40B4-BE49-F238E27FC236}">
              <a16:creationId xmlns:a16="http://schemas.microsoft.com/office/drawing/2014/main" id="{00000000-0008-0000-0500-00004F000000}"/>
            </a:ext>
          </a:extLst>
        </xdr:cNvPr>
        <xdr:cNvSpPr txBox="1"/>
      </xdr:nvSpPr>
      <xdr:spPr>
        <a:xfrm>
          <a:off x="9501805" y="20939327"/>
          <a:ext cx="287222" cy="231748"/>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C</a:t>
          </a:r>
          <a:endParaRPr lang="ja-JP" altLang="en-US" sz="1200">
            <a:latin typeface="+mn-ea"/>
            <a:ea typeface="+mn-ea"/>
          </a:endParaRPr>
        </a:p>
      </xdr:txBody>
    </xdr:sp>
    <xdr:clientData/>
  </xdr:twoCellAnchor>
  <xdr:twoCellAnchor>
    <xdr:from>
      <xdr:col>41</xdr:col>
      <xdr:colOff>44826</xdr:colOff>
      <xdr:row>129</xdr:row>
      <xdr:rowOff>113755</xdr:rowOff>
    </xdr:from>
    <xdr:to>
      <xdr:col>44</xdr:col>
      <xdr:colOff>80252</xdr:colOff>
      <xdr:row>131</xdr:row>
      <xdr:rowOff>11207</xdr:rowOff>
    </xdr:to>
    <xdr:sp macro="" textlink="">
      <xdr:nvSpPr>
        <xdr:cNvPr id="80" name="テキスト ボックス 79">
          <a:extLst>
            <a:ext uri="{FF2B5EF4-FFF2-40B4-BE49-F238E27FC236}">
              <a16:creationId xmlns:a16="http://schemas.microsoft.com/office/drawing/2014/main" id="{00000000-0008-0000-0500-000050000000}"/>
            </a:ext>
          </a:extLst>
        </xdr:cNvPr>
        <xdr:cNvSpPr txBox="1"/>
      </xdr:nvSpPr>
      <xdr:spPr>
        <a:xfrm>
          <a:off x="5121651" y="21040180"/>
          <a:ext cx="406901" cy="221302"/>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A</a:t>
          </a:r>
          <a:r>
            <a:rPr lang="ja-JP" altLang="en-US" sz="1200">
              <a:latin typeface="+mn-ea"/>
              <a:ea typeface="+mn-ea"/>
            </a:rPr>
            <a:t>’</a:t>
          </a:r>
        </a:p>
      </xdr:txBody>
    </xdr:sp>
    <xdr:clientData/>
  </xdr:twoCellAnchor>
  <xdr:twoCellAnchor>
    <xdr:from>
      <xdr:col>55</xdr:col>
      <xdr:colOff>7621</xdr:colOff>
      <xdr:row>135</xdr:row>
      <xdr:rowOff>2816</xdr:rowOff>
    </xdr:from>
    <xdr:to>
      <xdr:col>57</xdr:col>
      <xdr:colOff>35427</xdr:colOff>
      <xdr:row>136</xdr:row>
      <xdr:rowOff>58631</xdr:rowOff>
    </xdr:to>
    <xdr:sp macro="" textlink="">
      <xdr:nvSpPr>
        <xdr:cNvPr id="81" name="テキスト ボックス 99">
          <a:extLst>
            <a:ext uri="{FF2B5EF4-FFF2-40B4-BE49-F238E27FC236}">
              <a16:creationId xmlns:a16="http://schemas.microsoft.com/office/drawing/2014/main" id="{00000000-0008-0000-0500-000051000000}"/>
            </a:ext>
          </a:extLst>
        </xdr:cNvPr>
        <xdr:cNvSpPr txBox="1"/>
      </xdr:nvSpPr>
      <xdr:spPr>
        <a:xfrm>
          <a:off x="6817996" y="21900791"/>
          <a:ext cx="275456" cy="217740"/>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latin typeface="+mn-ea"/>
              <a:ea typeface="+mn-ea"/>
            </a:rPr>
            <a:t>A</a:t>
          </a:r>
          <a:endParaRPr lang="ja-JP" altLang="en-US" sz="1200">
            <a:latin typeface="+mn-ea"/>
            <a:ea typeface="+mn-ea"/>
          </a:endParaRPr>
        </a:p>
      </xdr:txBody>
    </xdr:sp>
    <xdr:clientData/>
  </xdr:twoCellAnchor>
  <xdr:twoCellAnchor>
    <xdr:from>
      <xdr:col>37</xdr:col>
      <xdr:colOff>22412</xdr:colOff>
      <xdr:row>58</xdr:row>
      <xdr:rowOff>145676</xdr:rowOff>
    </xdr:from>
    <xdr:to>
      <xdr:col>43</xdr:col>
      <xdr:colOff>87583</xdr:colOff>
      <xdr:row>60</xdr:row>
      <xdr:rowOff>100853</xdr:rowOff>
    </xdr:to>
    <xdr:sp macro="" textlink="">
      <xdr:nvSpPr>
        <xdr:cNvPr id="82" name="角丸四角形 81">
          <a:extLst>
            <a:ext uri="{FF2B5EF4-FFF2-40B4-BE49-F238E27FC236}">
              <a16:creationId xmlns:a16="http://schemas.microsoft.com/office/drawing/2014/main" id="{00000000-0008-0000-0500-000052000000}"/>
            </a:ext>
          </a:extLst>
        </xdr:cNvPr>
        <xdr:cNvSpPr/>
      </xdr:nvSpPr>
      <xdr:spPr>
        <a:xfrm>
          <a:off x="4603937" y="9403976"/>
          <a:ext cx="808121" cy="279027"/>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26</xdr:col>
      <xdr:colOff>67237</xdr:colOff>
      <xdr:row>139</xdr:row>
      <xdr:rowOff>151220</xdr:rowOff>
    </xdr:from>
    <xdr:to>
      <xdr:col>36</xdr:col>
      <xdr:colOff>48166</xdr:colOff>
      <xdr:row>141</xdr:row>
      <xdr:rowOff>99949</xdr:rowOff>
    </xdr:to>
    <xdr:sp macro="" textlink="">
      <xdr:nvSpPr>
        <xdr:cNvPr id="84" name="角丸四角形 83">
          <a:extLst>
            <a:ext uri="{FF2B5EF4-FFF2-40B4-BE49-F238E27FC236}">
              <a16:creationId xmlns:a16="http://schemas.microsoft.com/office/drawing/2014/main" id="{00000000-0008-0000-0500-000054000000}"/>
            </a:ext>
          </a:extLst>
        </xdr:cNvPr>
        <xdr:cNvSpPr/>
      </xdr:nvSpPr>
      <xdr:spPr>
        <a:xfrm>
          <a:off x="3286687" y="22706420"/>
          <a:ext cx="1219179" cy="272579"/>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26</xdr:col>
      <xdr:colOff>82905</xdr:colOff>
      <xdr:row>151</xdr:row>
      <xdr:rowOff>57150</xdr:rowOff>
    </xdr:from>
    <xdr:to>
      <xdr:col>36</xdr:col>
      <xdr:colOff>48166</xdr:colOff>
      <xdr:row>153</xdr:row>
      <xdr:rowOff>1126</xdr:rowOff>
    </xdr:to>
    <xdr:sp macro="" textlink="">
      <xdr:nvSpPr>
        <xdr:cNvPr id="85" name="角丸四角形 84">
          <a:extLst>
            <a:ext uri="{FF2B5EF4-FFF2-40B4-BE49-F238E27FC236}">
              <a16:creationId xmlns:a16="http://schemas.microsoft.com/office/drawing/2014/main" id="{00000000-0008-0000-0500-000055000000}"/>
            </a:ext>
          </a:extLst>
        </xdr:cNvPr>
        <xdr:cNvSpPr/>
      </xdr:nvSpPr>
      <xdr:spPr>
        <a:xfrm>
          <a:off x="3302355" y="24555450"/>
          <a:ext cx="1203511" cy="26782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26</xdr:col>
      <xdr:colOff>81784</xdr:colOff>
      <xdr:row>153</xdr:row>
      <xdr:rowOff>45950</xdr:rowOff>
    </xdr:from>
    <xdr:to>
      <xdr:col>36</xdr:col>
      <xdr:colOff>48165</xdr:colOff>
      <xdr:row>154</xdr:row>
      <xdr:rowOff>140639</xdr:rowOff>
    </xdr:to>
    <xdr:sp macro="" textlink="">
      <xdr:nvSpPr>
        <xdr:cNvPr id="86" name="角丸四角形 85">
          <a:extLst>
            <a:ext uri="{FF2B5EF4-FFF2-40B4-BE49-F238E27FC236}">
              <a16:creationId xmlns:a16="http://schemas.microsoft.com/office/drawing/2014/main" id="{00000000-0008-0000-0500-000056000000}"/>
            </a:ext>
          </a:extLst>
        </xdr:cNvPr>
        <xdr:cNvSpPr/>
      </xdr:nvSpPr>
      <xdr:spPr>
        <a:xfrm>
          <a:off x="3301234" y="24868100"/>
          <a:ext cx="120463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36</xdr:col>
      <xdr:colOff>104196</xdr:colOff>
      <xdr:row>151</xdr:row>
      <xdr:rowOff>52674</xdr:rowOff>
    </xdr:from>
    <xdr:to>
      <xdr:col>43</xdr:col>
      <xdr:colOff>46102</xdr:colOff>
      <xdr:row>153</xdr:row>
      <xdr:rowOff>2808</xdr:rowOff>
    </xdr:to>
    <xdr:sp macro="" textlink="">
      <xdr:nvSpPr>
        <xdr:cNvPr id="87" name="角丸四角形 86">
          <a:extLst>
            <a:ext uri="{FF2B5EF4-FFF2-40B4-BE49-F238E27FC236}">
              <a16:creationId xmlns:a16="http://schemas.microsoft.com/office/drawing/2014/main" id="{00000000-0008-0000-0500-000057000000}"/>
            </a:ext>
          </a:extLst>
        </xdr:cNvPr>
        <xdr:cNvSpPr/>
      </xdr:nvSpPr>
      <xdr:spPr>
        <a:xfrm>
          <a:off x="4561896" y="24550974"/>
          <a:ext cx="808681" cy="27398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31</xdr:col>
      <xdr:colOff>66675</xdr:colOff>
      <xdr:row>153</xdr:row>
      <xdr:rowOff>0</xdr:rowOff>
    </xdr:from>
    <xdr:to>
      <xdr:col>66</xdr:col>
      <xdr:colOff>104775</xdr:colOff>
      <xdr:row>157</xdr:row>
      <xdr:rowOff>38100</xdr:rowOff>
    </xdr:to>
    <xdr:cxnSp macro="">
      <xdr:nvCxnSpPr>
        <xdr:cNvPr id="113164" name="カギ線コネクタ 56">
          <a:extLst>
            <a:ext uri="{FF2B5EF4-FFF2-40B4-BE49-F238E27FC236}">
              <a16:creationId xmlns:a16="http://schemas.microsoft.com/office/drawing/2014/main" id="{00000000-0008-0000-0500-00000CBA0100}"/>
            </a:ext>
          </a:extLst>
        </xdr:cNvPr>
        <xdr:cNvCxnSpPr>
          <a:cxnSpLocks noChangeShapeType="1"/>
          <a:stCxn id="85" idx="2"/>
        </xdr:cNvCxnSpPr>
      </xdr:nvCxnSpPr>
      <xdr:spPr bwMode="auto">
        <a:xfrm rot="16200000" flipH="1">
          <a:off x="5757863" y="22864762"/>
          <a:ext cx="666750" cy="4371975"/>
        </a:xfrm>
        <a:prstGeom prst="bentConnector2">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37</xdr:col>
      <xdr:colOff>20731</xdr:colOff>
      <xdr:row>61</xdr:row>
      <xdr:rowOff>112059</xdr:rowOff>
    </xdr:from>
    <xdr:to>
      <xdr:col>43</xdr:col>
      <xdr:colOff>85902</xdr:colOff>
      <xdr:row>64</xdr:row>
      <xdr:rowOff>77320</xdr:rowOff>
    </xdr:to>
    <xdr:sp macro="" textlink="">
      <xdr:nvSpPr>
        <xdr:cNvPr id="89" name="角丸四角形 88">
          <a:extLst>
            <a:ext uri="{FF2B5EF4-FFF2-40B4-BE49-F238E27FC236}">
              <a16:creationId xmlns:a16="http://schemas.microsoft.com/office/drawing/2014/main" id="{00000000-0008-0000-0500-000059000000}"/>
            </a:ext>
          </a:extLst>
        </xdr:cNvPr>
        <xdr:cNvSpPr/>
      </xdr:nvSpPr>
      <xdr:spPr>
        <a:xfrm>
          <a:off x="4602256" y="9856134"/>
          <a:ext cx="808121" cy="451036"/>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36</xdr:col>
      <xdr:colOff>89646</xdr:colOff>
      <xdr:row>59</xdr:row>
      <xdr:rowOff>115137</xdr:rowOff>
    </xdr:from>
    <xdr:to>
      <xdr:col>49</xdr:col>
      <xdr:colOff>107204</xdr:colOff>
      <xdr:row>62</xdr:row>
      <xdr:rowOff>78441</xdr:rowOff>
    </xdr:to>
    <xdr:cxnSp macro="">
      <xdr:nvCxnSpPr>
        <xdr:cNvPr id="90" name="カギ線コネクタ 89">
          <a:extLst>
            <a:ext uri="{FF2B5EF4-FFF2-40B4-BE49-F238E27FC236}">
              <a16:creationId xmlns:a16="http://schemas.microsoft.com/office/drawing/2014/main" id="{00000000-0008-0000-0500-00005A000000}"/>
            </a:ext>
          </a:extLst>
        </xdr:cNvPr>
        <xdr:cNvCxnSpPr/>
      </xdr:nvCxnSpPr>
      <xdr:spPr>
        <a:xfrm>
          <a:off x="4547346" y="9535362"/>
          <a:ext cx="1627283" cy="449079"/>
        </a:xfrm>
        <a:prstGeom prst="bentConnector3">
          <a:avLst>
            <a:gd name="adj1" fmla="val 29487"/>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107713</xdr:colOff>
      <xdr:row>153</xdr:row>
      <xdr:rowOff>125308</xdr:rowOff>
    </xdr:from>
    <xdr:to>
      <xdr:col>43</xdr:col>
      <xdr:colOff>49619</xdr:colOff>
      <xdr:row>156</xdr:row>
      <xdr:rowOff>100094</xdr:rowOff>
    </xdr:to>
    <xdr:sp macro="" textlink="">
      <xdr:nvSpPr>
        <xdr:cNvPr id="91" name="角丸四角形 90">
          <a:extLst>
            <a:ext uri="{FF2B5EF4-FFF2-40B4-BE49-F238E27FC236}">
              <a16:creationId xmlns:a16="http://schemas.microsoft.com/office/drawing/2014/main" id="{00000000-0008-0000-0500-00005B000000}"/>
            </a:ext>
          </a:extLst>
        </xdr:cNvPr>
        <xdr:cNvSpPr/>
      </xdr:nvSpPr>
      <xdr:spPr>
        <a:xfrm>
          <a:off x="4565413" y="24947458"/>
          <a:ext cx="808681" cy="451036"/>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36</xdr:col>
      <xdr:colOff>48166</xdr:colOff>
      <xdr:row>152</xdr:row>
      <xdr:rowOff>29138</xdr:rowOff>
    </xdr:from>
    <xdr:to>
      <xdr:col>49</xdr:col>
      <xdr:colOff>38100</xdr:colOff>
      <xdr:row>154</xdr:row>
      <xdr:rowOff>19050</xdr:rowOff>
    </xdr:to>
    <xdr:cxnSp macro="">
      <xdr:nvCxnSpPr>
        <xdr:cNvPr id="92" name="カギ線コネクタ 91">
          <a:extLst>
            <a:ext uri="{FF2B5EF4-FFF2-40B4-BE49-F238E27FC236}">
              <a16:creationId xmlns:a16="http://schemas.microsoft.com/office/drawing/2014/main" id="{00000000-0008-0000-0500-00005C000000}"/>
            </a:ext>
          </a:extLst>
        </xdr:cNvPr>
        <xdr:cNvCxnSpPr>
          <a:stCxn id="85" idx="3"/>
        </xdr:cNvCxnSpPr>
      </xdr:nvCxnSpPr>
      <xdr:spPr>
        <a:xfrm>
          <a:off x="4505866" y="24689363"/>
          <a:ext cx="1599659" cy="313762"/>
        </a:xfrm>
        <a:prstGeom prst="bentConnector3">
          <a:avLst>
            <a:gd name="adj1" fmla="val 11892"/>
          </a:avLst>
        </a:prstGeom>
        <a:ln w="19050">
          <a:solidFill>
            <a:schemeClr val="tx1"/>
          </a:solidFill>
          <a:prstDash val="solid"/>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22411</xdr:colOff>
      <xdr:row>220</xdr:row>
      <xdr:rowOff>33618</xdr:rowOff>
    </xdr:from>
    <xdr:to>
      <xdr:col>62</xdr:col>
      <xdr:colOff>100853</xdr:colOff>
      <xdr:row>226</xdr:row>
      <xdr:rowOff>66675</xdr:rowOff>
    </xdr:to>
    <xdr:sp macro="" textlink="">
      <xdr:nvSpPr>
        <xdr:cNvPr id="122" name="正方形/長方形 121">
          <a:extLst>
            <a:ext uri="{FF2B5EF4-FFF2-40B4-BE49-F238E27FC236}">
              <a16:creationId xmlns:a16="http://schemas.microsoft.com/office/drawing/2014/main" id="{00000000-0008-0000-0500-00007A000000}"/>
            </a:ext>
          </a:extLst>
        </xdr:cNvPr>
        <xdr:cNvSpPr/>
      </xdr:nvSpPr>
      <xdr:spPr>
        <a:xfrm>
          <a:off x="2746561" y="35104668"/>
          <a:ext cx="5031442" cy="947457"/>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Standby</a:t>
          </a:r>
          <a:r>
            <a:rPr lang="ja-JP" altLang="en-US" sz="1200">
              <a:solidFill>
                <a:sysClr val="windowText" lastClr="000000"/>
              </a:solidFill>
              <a:latin typeface="+mn-ea"/>
            </a:rPr>
            <a:t>）</a:t>
          </a:r>
        </a:p>
      </xdr:txBody>
    </xdr:sp>
    <xdr:clientData/>
  </xdr:twoCellAnchor>
  <xdr:twoCellAnchor>
    <xdr:from>
      <xdr:col>22</xdr:col>
      <xdr:colOff>22411</xdr:colOff>
      <xdr:row>206</xdr:row>
      <xdr:rowOff>0</xdr:rowOff>
    </xdr:from>
    <xdr:to>
      <xdr:col>62</xdr:col>
      <xdr:colOff>100853</xdr:colOff>
      <xdr:row>219</xdr:row>
      <xdr:rowOff>100853</xdr:rowOff>
    </xdr:to>
    <xdr:sp macro="" textlink="">
      <xdr:nvSpPr>
        <xdr:cNvPr id="123" name="正方形/長方形 122">
          <a:extLst>
            <a:ext uri="{FF2B5EF4-FFF2-40B4-BE49-F238E27FC236}">
              <a16:creationId xmlns:a16="http://schemas.microsoft.com/office/drawing/2014/main" id="{00000000-0008-0000-0500-00007B000000}"/>
            </a:ext>
          </a:extLst>
        </xdr:cNvPr>
        <xdr:cNvSpPr/>
      </xdr:nvSpPr>
      <xdr:spPr>
        <a:xfrm>
          <a:off x="2746561" y="32937450"/>
          <a:ext cx="5031442" cy="208205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47</xdr:col>
      <xdr:colOff>78442</xdr:colOff>
      <xdr:row>207</xdr:row>
      <xdr:rowOff>0</xdr:rowOff>
    </xdr:from>
    <xdr:to>
      <xdr:col>60</xdr:col>
      <xdr:colOff>16785</xdr:colOff>
      <xdr:row>211</xdr:row>
      <xdr:rowOff>22412</xdr:rowOff>
    </xdr:to>
    <xdr:sp macro="" textlink="">
      <xdr:nvSpPr>
        <xdr:cNvPr id="124" name="円柱 123">
          <a:extLst>
            <a:ext uri="{FF2B5EF4-FFF2-40B4-BE49-F238E27FC236}">
              <a16:creationId xmlns:a16="http://schemas.microsoft.com/office/drawing/2014/main" id="{00000000-0008-0000-0500-00007C000000}"/>
            </a:ext>
          </a:extLst>
        </xdr:cNvPr>
        <xdr:cNvSpPr/>
      </xdr:nvSpPr>
      <xdr:spPr>
        <a:xfrm>
          <a:off x="5898217" y="33089850"/>
          <a:ext cx="1548068" cy="632012"/>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24</xdr:col>
      <xdr:colOff>1</xdr:colOff>
      <xdr:row>217</xdr:row>
      <xdr:rowOff>13381</xdr:rowOff>
    </xdr:from>
    <xdr:to>
      <xdr:col>33</xdr:col>
      <xdr:colOff>104195</xdr:colOff>
      <xdr:row>218</xdr:row>
      <xdr:rowOff>118992</xdr:rowOff>
    </xdr:to>
    <xdr:sp macro="" textlink="">
      <xdr:nvSpPr>
        <xdr:cNvPr id="125" name="角丸四角形 124">
          <a:extLst>
            <a:ext uri="{FF2B5EF4-FFF2-40B4-BE49-F238E27FC236}">
              <a16:creationId xmlns:a16="http://schemas.microsoft.com/office/drawing/2014/main" id="{00000000-0008-0000-0500-00007D000000}"/>
            </a:ext>
          </a:extLst>
        </xdr:cNvPr>
        <xdr:cNvSpPr/>
      </xdr:nvSpPr>
      <xdr:spPr>
        <a:xfrm>
          <a:off x="2971801" y="34627231"/>
          <a:ext cx="1218619" cy="2580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24</xdr:col>
      <xdr:colOff>3342</xdr:colOff>
      <xdr:row>207</xdr:row>
      <xdr:rowOff>145674</xdr:rowOff>
    </xdr:from>
    <xdr:to>
      <xdr:col>33</xdr:col>
      <xdr:colOff>92988</xdr:colOff>
      <xdr:row>210</xdr:row>
      <xdr:rowOff>44824</xdr:rowOff>
    </xdr:to>
    <xdr:sp macro="" textlink="">
      <xdr:nvSpPr>
        <xdr:cNvPr id="126" name="角丸四角形 125">
          <a:extLst>
            <a:ext uri="{FF2B5EF4-FFF2-40B4-BE49-F238E27FC236}">
              <a16:creationId xmlns:a16="http://schemas.microsoft.com/office/drawing/2014/main" id="{00000000-0008-0000-0500-00007E000000}"/>
            </a:ext>
          </a:extLst>
        </xdr:cNvPr>
        <xdr:cNvSpPr/>
      </xdr:nvSpPr>
      <xdr:spPr>
        <a:xfrm>
          <a:off x="2975142" y="33235524"/>
          <a:ext cx="1204071" cy="35635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33</xdr:col>
      <xdr:colOff>89648</xdr:colOff>
      <xdr:row>209</xdr:row>
      <xdr:rowOff>89647</xdr:rowOff>
    </xdr:from>
    <xdr:to>
      <xdr:col>47</xdr:col>
      <xdr:colOff>89649</xdr:colOff>
      <xdr:row>209</xdr:row>
      <xdr:rowOff>100853</xdr:rowOff>
    </xdr:to>
    <xdr:cxnSp macro="">
      <xdr:nvCxnSpPr>
        <xdr:cNvPr id="127" name="直線矢印コネクタ 126">
          <a:extLst>
            <a:ext uri="{FF2B5EF4-FFF2-40B4-BE49-F238E27FC236}">
              <a16:creationId xmlns:a16="http://schemas.microsoft.com/office/drawing/2014/main" id="{00000000-0008-0000-0500-00007F000000}"/>
            </a:ext>
          </a:extLst>
        </xdr:cNvPr>
        <xdr:cNvCxnSpPr/>
      </xdr:nvCxnSpPr>
      <xdr:spPr>
        <a:xfrm flipH="1">
          <a:off x="4175873" y="33484297"/>
          <a:ext cx="1733551" cy="11206"/>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44825</xdr:colOff>
      <xdr:row>211</xdr:row>
      <xdr:rowOff>145677</xdr:rowOff>
    </xdr:from>
    <xdr:to>
      <xdr:col>31</xdr:col>
      <xdr:colOff>56031</xdr:colOff>
      <xdr:row>215</xdr:row>
      <xdr:rowOff>56029</xdr:rowOff>
    </xdr:to>
    <xdr:sp macro="" textlink="">
      <xdr:nvSpPr>
        <xdr:cNvPr id="128" name="メモ 127">
          <a:extLst>
            <a:ext uri="{FF2B5EF4-FFF2-40B4-BE49-F238E27FC236}">
              <a16:creationId xmlns:a16="http://schemas.microsoft.com/office/drawing/2014/main" id="{00000000-0008-0000-0500-000080000000}"/>
            </a:ext>
          </a:extLst>
        </xdr:cNvPr>
        <xdr:cNvSpPr/>
      </xdr:nvSpPr>
      <xdr:spPr>
        <a:xfrm>
          <a:off x="3264275" y="33845127"/>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1</xdr:colOff>
      <xdr:row>212</xdr:row>
      <xdr:rowOff>78440</xdr:rowOff>
    </xdr:from>
    <xdr:ext cx="1031051" cy="275717"/>
    <xdr:sp macro="" textlink="">
      <xdr:nvSpPr>
        <xdr:cNvPr id="129" name="テキスト ボックス 128">
          <a:extLst>
            <a:ext uri="{FF2B5EF4-FFF2-40B4-BE49-F238E27FC236}">
              <a16:creationId xmlns:a16="http://schemas.microsoft.com/office/drawing/2014/main" id="{00000000-0008-0000-0500-000081000000}"/>
            </a:ext>
          </a:extLst>
        </xdr:cNvPr>
        <xdr:cNvSpPr txBox="1"/>
      </xdr:nvSpPr>
      <xdr:spPr>
        <a:xfrm>
          <a:off x="3095626" y="34044590"/>
          <a:ext cx="103105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資料請求受付</a:t>
          </a:r>
        </a:p>
      </xdr:txBody>
    </xdr:sp>
    <xdr:clientData/>
  </xdr:oneCellAnchor>
  <xdr:twoCellAnchor>
    <xdr:from>
      <xdr:col>28</xdr:col>
      <xdr:colOff>109797</xdr:colOff>
      <xdr:row>210</xdr:row>
      <xdr:rowOff>44824</xdr:rowOff>
    </xdr:from>
    <xdr:to>
      <xdr:col>28</xdr:col>
      <xdr:colOff>112060</xdr:colOff>
      <xdr:row>211</xdr:row>
      <xdr:rowOff>145677</xdr:rowOff>
    </xdr:to>
    <xdr:cxnSp macro="">
      <xdr:nvCxnSpPr>
        <xdr:cNvPr id="130" name="直線矢印コネクタ 129">
          <a:extLst>
            <a:ext uri="{FF2B5EF4-FFF2-40B4-BE49-F238E27FC236}">
              <a16:creationId xmlns:a16="http://schemas.microsoft.com/office/drawing/2014/main" id="{00000000-0008-0000-0500-000082000000}"/>
            </a:ext>
          </a:extLst>
        </xdr:cNvPr>
        <xdr:cNvCxnSpPr>
          <a:stCxn id="126" idx="2"/>
          <a:endCxn id="128" idx="0"/>
        </xdr:cNvCxnSpPr>
      </xdr:nvCxnSpPr>
      <xdr:spPr>
        <a:xfrm>
          <a:off x="3576897" y="33591874"/>
          <a:ext cx="2263" cy="25325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112060</xdr:colOff>
      <xdr:row>215</xdr:row>
      <xdr:rowOff>56029</xdr:rowOff>
    </xdr:from>
    <xdr:to>
      <xdr:col>28</xdr:col>
      <xdr:colOff>113730</xdr:colOff>
      <xdr:row>217</xdr:row>
      <xdr:rowOff>13381</xdr:rowOff>
    </xdr:to>
    <xdr:cxnSp macro="">
      <xdr:nvCxnSpPr>
        <xdr:cNvPr id="131" name="直線矢印コネクタ 130">
          <a:extLst>
            <a:ext uri="{FF2B5EF4-FFF2-40B4-BE49-F238E27FC236}">
              <a16:creationId xmlns:a16="http://schemas.microsoft.com/office/drawing/2014/main" id="{00000000-0008-0000-0500-000083000000}"/>
            </a:ext>
          </a:extLst>
        </xdr:cNvPr>
        <xdr:cNvCxnSpPr>
          <a:stCxn id="128" idx="2"/>
          <a:endCxn id="125" idx="0"/>
        </xdr:cNvCxnSpPr>
      </xdr:nvCxnSpPr>
      <xdr:spPr>
        <a:xfrm>
          <a:off x="3579160" y="34365079"/>
          <a:ext cx="1670" cy="26215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92988</xdr:colOff>
      <xdr:row>208</xdr:row>
      <xdr:rowOff>123263</xdr:rowOff>
    </xdr:from>
    <xdr:to>
      <xdr:col>47</xdr:col>
      <xdr:colOff>78442</xdr:colOff>
      <xdr:row>208</xdr:row>
      <xdr:rowOff>123265</xdr:rowOff>
    </xdr:to>
    <xdr:cxnSp macro="">
      <xdr:nvCxnSpPr>
        <xdr:cNvPr id="132" name="直線矢印コネクタ 131">
          <a:extLst>
            <a:ext uri="{FF2B5EF4-FFF2-40B4-BE49-F238E27FC236}">
              <a16:creationId xmlns:a16="http://schemas.microsoft.com/office/drawing/2014/main" id="{00000000-0008-0000-0500-000084000000}"/>
            </a:ext>
          </a:extLst>
        </xdr:cNvPr>
        <xdr:cNvCxnSpPr/>
      </xdr:nvCxnSpPr>
      <xdr:spPr>
        <a:xfrm>
          <a:off x="4179213" y="33365513"/>
          <a:ext cx="1719004" cy="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217</xdr:row>
      <xdr:rowOff>144628</xdr:rowOff>
    </xdr:from>
    <xdr:to>
      <xdr:col>24</xdr:col>
      <xdr:colOff>1</xdr:colOff>
      <xdr:row>217</xdr:row>
      <xdr:rowOff>145677</xdr:rowOff>
    </xdr:to>
    <xdr:cxnSp macro="">
      <xdr:nvCxnSpPr>
        <xdr:cNvPr id="133" name="直線矢印コネクタ 132">
          <a:extLst>
            <a:ext uri="{FF2B5EF4-FFF2-40B4-BE49-F238E27FC236}">
              <a16:creationId xmlns:a16="http://schemas.microsoft.com/office/drawing/2014/main" id="{00000000-0008-0000-0500-000085000000}"/>
            </a:ext>
          </a:extLst>
        </xdr:cNvPr>
        <xdr:cNvCxnSpPr>
          <a:stCxn id="125" idx="1"/>
        </xdr:cNvCxnSpPr>
      </xdr:nvCxnSpPr>
      <xdr:spPr>
        <a:xfrm flipH="1">
          <a:off x="2476500" y="34758478"/>
          <a:ext cx="495301" cy="1049"/>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56031</xdr:colOff>
      <xdr:row>206</xdr:row>
      <xdr:rowOff>44822</xdr:rowOff>
    </xdr:from>
    <xdr:ext cx="1109022" cy="275717"/>
    <xdr:sp macro="" textlink="">
      <xdr:nvSpPr>
        <xdr:cNvPr id="134" name="テキスト ボックス 133">
          <a:extLst>
            <a:ext uri="{FF2B5EF4-FFF2-40B4-BE49-F238E27FC236}">
              <a16:creationId xmlns:a16="http://schemas.microsoft.com/office/drawing/2014/main" id="{00000000-0008-0000-0500-000086000000}"/>
            </a:ext>
          </a:extLst>
        </xdr:cNvPr>
        <xdr:cNvSpPr txBox="1"/>
      </xdr:nvSpPr>
      <xdr:spPr>
        <a:xfrm>
          <a:off x="4389906" y="33096572"/>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①抽出</a:t>
          </a:r>
          <a:r>
            <a:rPr kumimoji="1" lang="en-US" altLang="ja-JP" sz="1100"/>
            <a:t>SQL</a:t>
          </a:r>
          <a:r>
            <a:rPr kumimoji="1" lang="ja-JP" altLang="en-US" sz="1100"/>
            <a:t>発行</a:t>
          </a:r>
        </a:p>
      </xdr:txBody>
    </xdr:sp>
    <xdr:clientData/>
  </xdr:oneCellAnchor>
  <xdr:oneCellAnchor>
    <xdr:from>
      <xdr:col>35</xdr:col>
      <xdr:colOff>78442</xdr:colOff>
      <xdr:row>210</xdr:row>
      <xdr:rowOff>56031</xdr:rowOff>
    </xdr:from>
    <xdr:ext cx="889987" cy="275717"/>
    <xdr:sp macro="" textlink="">
      <xdr:nvSpPr>
        <xdr:cNvPr id="135" name="テキスト ボックス 134">
          <a:extLst>
            <a:ext uri="{FF2B5EF4-FFF2-40B4-BE49-F238E27FC236}">
              <a16:creationId xmlns:a16="http://schemas.microsoft.com/office/drawing/2014/main" id="{00000000-0008-0000-0500-000087000000}"/>
            </a:ext>
          </a:extLst>
        </xdr:cNvPr>
        <xdr:cNvSpPr txBox="1"/>
      </xdr:nvSpPr>
      <xdr:spPr>
        <a:xfrm>
          <a:off x="4412317" y="33717381"/>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②結果連携</a:t>
          </a:r>
        </a:p>
      </xdr:txBody>
    </xdr:sp>
    <xdr:clientData/>
  </xdr:oneCellAnchor>
  <xdr:oneCellAnchor>
    <xdr:from>
      <xdr:col>33</xdr:col>
      <xdr:colOff>81803</xdr:colOff>
      <xdr:row>212</xdr:row>
      <xdr:rowOff>123265</xdr:rowOff>
    </xdr:from>
    <xdr:ext cx="1961030" cy="504264"/>
    <xdr:sp macro="" textlink="">
      <xdr:nvSpPr>
        <xdr:cNvPr id="136" name="テキスト ボックス 135">
          <a:extLst>
            <a:ext uri="{FF2B5EF4-FFF2-40B4-BE49-F238E27FC236}">
              <a16:creationId xmlns:a16="http://schemas.microsoft.com/office/drawing/2014/main" id="{00000000-0008-0000-0500-000088000000}"/>
            </a:ext>
          </a:extLst>
        </xdr:cNvPr>
        <xdr:cNvSpPr txBox="1"/>
      </xdr:nvSpPr>
      <xdr:spPr>
        <a:xfrm>
          <a:off x="4168028" y="33975115"/>
          <a:ext cx="1961030" cy="504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lnSpc>
              <a:spcPts val="1300"/>
            </a:lnSpc>
            <a:defRPr sz="1000"/>
          </a:pPr>
          <a:r>
            <a:rPr lang="ja-JP" altLang="en-US" sz="1100" b="0" i="0" u="none" strike="noStrike" baseline="0">
              <a:solidFill>
                <a:srgbClr val="000000"/>
              </a:solidFill>
              <a:latin typeface="ＭＳ Ｐゴシック"/>
              <a:ea typeface="ＭＳ Ｐゴシック"/>
            </a:rPr>
            <a:t>③ファイル出力</a:t>
          </a:r>
          <a:endParaRPr lang="ja-JP" altLang="en-US" sz="1100" b="0" i="0" u="none" strike="noStrike" baseline="0">
            <a:solidFill>
              <a:srgbClr val="000000"/>
            </a:solidFill>
            <a:latin typeface="Calibri"/>
          </a:endParaRPr>
        </a:p>
        <a:p>
          <a:pPr algn="l" rtl="0">
            <a:lnSpc>
              <a:spcPts val="1200"/>
            </a:lnSpc>
            <a:defRPr sz="1000"/>
          </a:pPr>
          <a:r>
            <a:rPr lang="ja-JP" altLang="en-US" sz="1100" b="0" i="0" u="none" strike="noStrike" baseline="0">
              <a:solidFill>
                <a:srgbClr val="000000"/>
              </a:solidFill>
              <a:latin typeface="ＭＳ Ｐゴシック"/>
              <a:ea typeface="ＭＳ Ｐゴシック"/>
            </a:rPr>
            <a:t>　</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ローカルディスクに保存</a:t>
          </a:r>
        </a:p>
      </xdr:txBody>
    </xdr:sp>
    <xdr:clientData/>
  </xdr:oneCellAnchor>
  <xdr:oneCellAnchor>
    <xdr:from>
      <xdr:col>21</xdr:col>
      <xdr:colOff>67237</xdr:colOff>
      <xdr:row>215</xdr:row>
      <xdr:rowOff>67234</xdr:rowOff>
    </xdr:from>
    <xdr:ext cx="979179" cy="275717"/>
    <xdr:sp macro="" textlink="">
      <xdr:nvSpPr>
        <xdr:cNvPr id="137" name="テキスト ボックス 136">
          <a:extLst>
            <a:ext uri="{FF2B5EF4-FFF2-40B4-BE49-F238E27FC236}">
              <a16:creationId xmlns:a16="http://schemas.microsoft.com/office/drawing/2014/main" id="{00000000-0008-0000-0500-000089000000}"/>
            </a:ext>
          </a:extLst>
        </xdr:cNvPr>
        <xdr:cNvSpPr txBox="1"/>
      </xdr:nvSpPr>
      <xdr:spPr>
        <a:xfrm>
          <a:off x="2667562" y="34490584"/>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④HULFT</a:t>
          </a:r>
          <a:r>
            <a:rPr kumimoji="1" lang="ja-JP" altLang="en-US" sz="1100"/>
            <a:t>転送</a:t>
          </a:r>
        </a:p>
      </xdr:txBody>
    </xdr:sp>
    <xdr:clientData/>
  </xdr:oneCellAnchor>
  <xdr:twoCellAnchor>
    <xdr:from>
      <xdr:col>6</xdr:col>
      <xdr:colOff>1</xdr:colOff>
      <xdr:row>206</xdr:row>
      <xdr:rowOff>1</xdr:rowOff>
    </xdr:from>
    <xdr:to>
      <xdr:col>19</xdr:col>
      <xdr:colOff>114125</xdr:colOff>
      <xdr:row>219</xdr:row>
      <xdr:rowOff>57527</xdr:rowOff>
    </xdr:to>
    <xdr:sp macro="" textlink="">
      <xdr:nvSpPr>
        <xdr:cNvPr id="138" name="正方形/長方形 137">
          <a:extLst>
            <a:ext uri="{FF2B5EF4-FFF2-40B4-BE49-F238E27FC236}">
              <a16:creationId xmlns:a16="http://schemas.microsoft.com/office/drawing/2014/main" id="{00000000-0008-0000-0500-00008A000000}"/>
            </a:ext>
          </a:extLst>
        </xdr:cNvPr>
        <xdr:cNvSpPr/>
      </xdr:nvSpPr>
      <xdr:spPr>
        <a:xfrm>
          <a:off x="742951" y="32937451"/>
          <a:ext cx="1723849" cy="20387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47</xdr:col>
      <xdr:colOff>78442</xdr:colOff>
      <xdr:row>221</xdr:row>
      <xdr:rowOff>44823</xdr:rowOff>
    </xdr:from>
    <xdr:to>
      <xdr:col>60</xdr:col>
      <xdr:colOff>16785</xdr:colOff>
      <xdr:row>225</xdr:row>
      <xdr:rowOff>67235</xdr:rowOff>
    </xdr:to>
    <xdr:sp macro="" textlink="">
      <xdr:nvSpPr>
        <xdr:cNvPr id="139" name="円柱 138">
          <a:extLst>
            <a:ext uri="{FF2B5EF4-FFF2-40B4-BE49-F238E27FC236}">
              <a16:creationId xmlns:a16="http://schemas.microsoft.com/office/drawing/2014/main" id="{00000000-0008-0000-0500-00008B000000}"/>
            </a:ext>
          </a:extLst>
        </xdr:cNvPr>
        <xdr:cNvSpPr/>
      </xdr:nvSpPr>
      <xdr:spPr>
        <a:xfrm>
          <a:off x="5898217" y="35268273"/>
          <a:ext cx="1548068" cy="632012"/>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#2</a:t>
          </a:r>
          <a:endParaRPr kumimoji="1" lang="ja-JP" altLang="en-US" sz="1100">
            <a:solidFill>
              <a:sysClr val="windowText" lastClr="000000"/>
            </a:solidFill>
            <a:latin typeface="+mn-ea"/>
            <a:ea typeface="+mn-ea"/>
          </a:endParaRPr>
        </a:p>
      </xdr:txBody>
    </xdr:sp>
    <xdr:clientData/>
  </xdr:twoCellAnchor>
  <xdr:twoCellAnchor>
    <xdr:from>
      <xdr:col>64</xdr:col>
      <xdr:colOff>0</xdr:colOff>
      <xdr:row>206</xdr:row>
      <xdr:rowOff>0</xdr:rowOff>
    </xdr:from>
    <xdr:to>
      <xdr:col>76</xdr:col>
      <xdr:colOff>80505</xdr:colOff>
      <xdr:row>226</xdr:row>
      <xdr:rowOff>66675</xdr:rowOff>
    </xdr:to>
    <xdr:sp macro="" textlink="">
      <xdr:nvSpPr>
        <xdr:cNvPr id="140" name="正方形/長方形 139">
          <a:extLst>
            <a:ext uri="{FF2B5EF4-FFF2-40B4-BE49-F238E27FC236}">
              <a16:creationId xmlns:a16="http://schemas.microsoft.com/office/drawing/2014/main" id="{00000000-0008-0000-0500-00008C000000}"/>
            </a:ext>
          </a:extLst>
        </xdr:cNvPr>
        <xdr:cNvSpPr/>
      </xdr:nvSpPr>
      <xdr:spPr>
        <a:xfrm>
          <a:off x="7924800" y="32937450"/>
          <a:ext cx="1566405" cy="311467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67</xdr:col>
      <xdr:colOff>33620</xdr:colOff>
      <xdr:row>216</xdr:row>
      <xdr:rowOff>123272</xdr:rowOff>
    </xdr:from>
    <xdr:to>
      <xdr:col>72</xdr:col>
      <xdr:colOff>44826</xdr:colOff>
      <xdr:row>220</xdr:row>
      <xdr:rowOff>33624</xdr:rowOff>
    </xdr:to>
    <xdr:sp macro="" textlink="">
      <xdr:nvSpPr>
        <xdr:cNvPr id="141" name="メモ 140">
          <a:extLst>
            <a:ext uri="{FF2B5EF4-FFF2-40B4-BE49-F238E27FC236}">
              <a16:creationId xmlns:a16="http://schemas.microsoft.com/office/drawing/2014/main" id="{00000000-0008-0000-0500-00008D000000}"/>
            </a:ext>
          </a:extLst>
        </xdr:cNvPr>
        <xdr:cNvSpPr/>
      </xdr:nvSpPr>
      <xdr:spPr>
        <a:xfrm>
          <a:off x="8329895" y="34584722"/>
          <a:ext cx="630331" cy="519952"/>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44825</xdr:colOff>
      <xdr:row>216</xdr:row>
      <xdr:rowOff>33625</xdr:rowOff>
    </xdr:from>
    <xdr:to>
      <xdr:col>71</xdr:col>
      <xdr:colOff>56032</xdr:colOff>
      <xdr:row>219</xdr:row>
      <xdr:rowOff>100859</xdr:rowOff>
    </xdr:to>
    <xdr:sp macro="" textlink="">
      <xdr:nvSpPr>
        <xdr:cNvPr id="142" name="メモ 141">
          <a:extLst>
            <a:ext uri="{FF2B5EF4-FFF2-40B4-BE49-F238E27FC236}">
              <a16:creationId xmlns:a16="http://schemas.microsoft.com/office/drawing/2014/main" id="{00000000-0008-0000-0500-00008E000000}"/>
            </a:ext>
          </a:extLst>
        </xdr:cNvPr>
        <xdr:cNvSpPr/>
      </xdr:nvSpPr>
      <xdr:spPr>
        <a:xfrm>
          <a:off x="8217275" y="34495075"/>
          <a:ext cx="630332"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100852</xdr:colOff>
      <xdr:row>216</xdr:row>
      <xdr:rowOff>56035</xdr:rowOff>
    </xdr:from>
    <xdr:ext cx="1324388" cy="493060"/>
    <xdr:sp macro="" textlink="">
      <xdr:nvSpPr>
        <xdr:cNvPr id="143" name="テキスト ボックス 142">
          <a:extLst>
            <a:ext uri="{FF2B5EF4-FFF2-40B4-BE49-F238E27FC236}">
              <a16:creationId xmlns:a16="http://schemas.microsoft.com/office/drawing/2014/main" id="{00000000-0008-0000-0500-00008F000000}"/>
            </a:ext>
          </a:extLst>
        </xdr:cNvPr>
        <xdr:cNvSpPr txBox="1"/>
      </xdr:nvSpPr>
      <xdr:spPr>
        <a:xfrm>
          <a:off x="8149477" y="34517485"/>
          <a:ext cx="1324388" cy="493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t>資料請求受付履歴</a:t>
          </a:r>
          <a:endParaRPr kumimoji="1" lang="en-US" altLang="ja-JP" sz="1100"/>
        </a:p>
        <a:p>
          <a:r>
            <a:rPr kumimoji="1" lang="en-US" altLang="ja-JP" sz="1100"/>
            <a:t>yyyymmdd</a:t>
          </a:r>
          <a:endParaRPr kumimoji="1" lang="ja-JP" altLang="en-US" sz="1100"/>
        </a:p>
      </xdr:txBody>
    </xdr:sp>
    <xdr:clientData/>
  </xdr:oneCellAnchor>
  <xdr:twoCellAnchor>
    <xdr:from>
      <xdr:col>45</xdr:col>
      <xdr:colOff>3340</xdr:colOff>
      <xdr:row>217</xdr:row>
      <xdr:rowOff>145677</xdr:rowOff>
    </xdr:from>
    <xdr:to>
      <xdr:col>66</xdr:col>
      <xdr:colOff>44825</xdr:colOff>
      <xdr:row>217</xdr:row>
      <xdr:rowOff>145684</xdr:rowOff>
    </xdr:to>
    <xdr:cxnSp macro="">
      <xdr:nvCxnSpPr>
        <xdr:cNvPr id="144" name="直線矢印コネクタ 143">
          <a:extLst>
            <a:ext uri="{FF2B5EF4-FFF2-40B4-BE49-F238E27FC236}">
              <a16:creationId xmlns:a16="http://schemas.microsoft.com/office/drawing/2014/main" id="{00000000-0008-0000-0500-000090000000}"/>
            </a:ext>
          </a:extLst>
        </xdr:cNvPr>
        <xdr:cNvCxnSpPr>
          <a:stCxn id="146" idx="3"/>
          <a:endCxn id="142" idx="1"/>
        </xdr:cNvCxnSpPr>
      </xdr:nvCxnSpPr>
      <xdr:spPr>
        <a:xfrm>
          <a:off x="5575465" y="34759527"/>
          <a:ext cx="2641810" cy="7"/>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44826</xdr:colOff>
      <xdr:row>216</xdr:row>
      <xdr:rowOff>56027</xdr:rowOff>
    </xdr:from>
    <xdr:ext cx="1798634" cy="275717"/>
    <xdr:sp macro="" textlink="">
      <xdr:nvSpPr>
        <xdr:cNvPr id="145" name="テキスト ボックス 144">
          <a:extLst>
            <a:ext uri="{FF2B5EF4-FFF2-40B4-BE49-F238E27FC236}">
              <a16:creationId xmlns:a16="http://schemas.microsoft.com/office/drawing/2014/main" id="{00000000-0008-0000-0500-000091000000}"/>
            </a:ext>
          </a:extLst>
        </xdr:cNvPr>
        <xdr:cNvSpPr txBox="1"/>
      </xdr:nvSpPr>
      <xdr:spPr>
        <a:xfrm>
          <a:off x="5616951" y="34631777"/>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⑤転送ファイルバックアップ</a:t>
          </a:r>
        </a:p>
      </xdr:txBody>
    </xdr:sp>
    <xdr:clientData/>
  </xdr:oneCellAnchor>
  <xdr:twoCellAnchor>
    <xdr:from>
      <xdr:col>35</xdr:col>
      <xdr:colOff>36959</xdr:colOff>
      <xdr:row>217</xdr:row>
      <xdr:rowOff>11206</xdr:rowOff>
    </xdr:from>
    <xdr:to>
      <xdr:col>45</xdr:col>
      <xdr:colOff>3340</xdr:colOff>
      <xdr:row>218</xdr:row>
      <xdr:rowOff>123265</xdr:rowOff>
    </xdr:to>
    <xdr:sp macro="" textlink="">
      <xdr:nvSpPr>
        <xdr:cNvPr id="146" name="角丸四角形 145">
          <a:extLst>
            <a:ext uri="{FF2B5EF4-FFF2-40B4-BE49-F238E27FC236}">
              <a16:creationId xmlns:a16="http://schemas.microsoft.com/office/drawing/2014/main" id="{00000000-0008-0000-0500-000092000000}"/>
            </a:ext>
          </a:extLst>
        </xdr:cNvPr>
        <xdr:cNvSpPr/>
      </xdr:nvSpPr>
      <xdr:spPr>
        <a:xfrm>
          <a:off x="4370834" y="34625056"/>
          <a:ext cx="1204631" cy="26445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31</xdr:col>
      <xdr:colOff>56031</xdr:colOff>
      <xdr:row>213</xdr:row>
      <xdr:rowOff>100853</xdr:rowOff>
    </xdr:from>
    <xdr:to>
      <xdr:col>35</xdr:col>
      <xdr:colOff>36959</xdr:colOff>
      <xdr:row>217</xdr:row>
      <xdr:rowOff>145677</xdr:rowOff>
    </xdr:to>
    <xdr:cxnSp macro="">
      <xdr:nvCxnSpPr>
        <xdr:cNvPr id="147" name="直線矢印コネクタ 146">
          <a:extLst>
            <a:ext uri="{FF2B5EF4-FFF2-40B4-BE49-F238E27FC236}">
              <a16:creationId xmlns:a16="http://schemas.microsoft.com/office/drawing/2014/main" id="{00000000-0008-0000-0500-000093000000}"/>
            </a:ext>
          </a:extLst>
        </xdr:cNvPr>
        <xdr:cNvCxnSpPr>
          <a:stCxn id="128" idx="3"/>
          <a:endCxn id="146" idx="1"/>
        </xdr:cNvCxnSpPr>
      </xdr:nvCxnSpPr>
      <xdr:spPr>
        <a:xfrm>
          <a:off x="3894606" y="34105103"/>
          <a:ext cx="476228" cy="654424"/>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33618</xdr:colOff>
      <xdr:row>207</xdr:row>
      <xdr:rowOff>123263</xdr:rowOff>
    </xdr:from>
    <xdr:to>
      <xdr:col>43</xdr:col>
      <xdr:colOff>53966</xdr:colOff>
      <xdr:row>210</xdr:row>
      <xdr:rowOff>88524</xdr:rowOff>
    </xdr:to>
    <xdr:sp macro="" textlink="">
      <xdr:nvSpPr>
        <xdr:cNvPr id="148" name="角丸四角形 147">
          <a:extLst>
            <a:ext uri="{FF2B5EF4-FFF2-40B4-BE49-F238E27FC236}">
              <a16:creationId xmlns:a16="http://schemas.microsoft.com/office/drawing/2014/main" id="{00000000-0008-0000-0500-000094000000}"/>
            </a:ext>
          </a:extLst>
        </xdr:cNvPr>
        <xdr:cNvSpPr/>
      </xdr:nvSpPr>
      <xdr:spPr>
        <a:xfrm>
          <a:off x="4491318" y="33213113"/>
          <a:ext cx="887123" cy="422461"/>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26</xdr:col>
      <xdr:colOff>81784</xdr:colOff>
      <xdr:row>138</xdr:row>
      <xdr:rowOff>17376</xdr:rowOff>
    </xdr:from>
    <xdr:to>
      <xdr:col>36</xdr:col>
      <xdr:colOff>48165</xdr:colOff>
      <xdr:row>139</xdr:row>
      <xdr:rowOff>112065</xdr:rowOff>
    </xdr:to>
    <xdr:sp macro="" textlink="">
      <xdr:nvSpPr>
        <xdr:cNvPr id="258" name="角丸四角形 257">
          <a:extLst>
            <a:ext uri="{FF2B5EF4-FFF2-40B4-BE49-F238E27FC236}">
              <a16:creationId xmlns:a16="http://schemas.microsoft.com/office/drawing/2014/main" id="{00000000-0008-0000-0500-000002010000}"/>
            </a:ext>
          </a:extLst>
        </xdr:cNvPr>
        <xdr:cNvSpPr/>
      </xdr:nvSpPr>
      <xdr:spPr>
        <a:xfrm>
          <a:off x="3301234" y="22410651"/>
          <a:ext cx="120463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17</xdr:col>
      <xdr:colOff>114300</xdr:colOff>
      <xdr:row>141</xdr:row>
      <xdr:rowOff>38100</xdr:rowOff>
    </xdr:from>
    <xdr:to>
      <xdr:col>21</xdr:col>
      <xdr:colOff>76200</xdr:colOff>
      <xdr:row>155</xdr:row>
      <xdr:rowOff>104775</xdr:rowOff>
    </xdr:to>
    <xdr:cxnSp macro="">
      <xdr:nvCxnSpPr>
        <xdr:cNvPr id="113197" name="カギ線コネクタ 56">
          <a:extLst>
            <a:ext uri="{FF2B5EF4-FFF2-40B4-BE49-F238E27FC236}">
              <a16:creationId xmlns:a16="http://schemas.microsoft.com/office/drawing/2014/main" id="{00000000-0008-0000-0500-00002DBA0100}"/>
            </a:ext>
          </a:extLst>
        </xdr:cNvPr>
        <xdr:cNvCxnSpPr>
          <a:cxnSpLocks noChangeShapeType="1"/>
          <a:endCxn id="63" idx="3"/>
        </xdr:cNvCxnSpPr>
      </xdr:nvCxnSpPr>
      <xdr:spPr bwMode="auto">
        <a:xfrm rot="5400000">
          <a:off x="1281112" y="23750588"/>
          <a:ext cx="2333625" cy="457200"/>
        </a:xfrm>
        <a:prstGeom prst="bentConnector2">
          <a:avLst/>
        </a:prstGeom>
        <a:noFill/>
        <a:ln w="19050" algn="ctr">
          <a:solidFill>
            <a:srgbClr val="000000"/>
          </a:solidFill>
          <a:prstDash val="dash"/>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67</xdr:col>
      <xdr:colOff>0</xdr:colOff>
      <xdr:row>154</xdr:row>
      <xdr:rowOff>133350</xdr:rowOff>
    </xdr:from>
    <xdr:to>
      <xdr:col>79</xdr:col>
      <xdr:colOff>0</xdr:colOff>
      <xdr:row>158</xdr:row>
      <xdr:rowOff>83482</xdr:rowOff>
    </xdr:to>
    <xdr:sp macro="" textlink="">
      <xdr:nvSpPr>
        <xdr:cNvPr id="263" name="正方形/長方形 262">
          <a:extLst>
            <a:ext uri="{FF2B5EF4-FFF2-40B4-BE49-F238E27FC236}">
              <a16:creationId xmlns:a16="http://schemas.microsoft.com/office/drawing/2014/main" id="{00000000-0008-0000-0500-000007010000}"/>
            </a:ext>
          </a:extLst>
        </xdr:cNvPr>
        <xdr:cNvSpPr/>
      </xdr:nvSpPr>
      <xdr:spPr>
        <a:xfrm>
          <a:off x="8296275" y="25117425"/>
          <a:ext cx="1485900" cy="569257"/>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ja-JP" altLang="en-US" sz="1000">
              <a:solidFill>
                <a:sysClr val="windowText" lastClr="000000"/>
              </a:solidFill>
            </a:rPr>
            <a:t>物理ファイル格納領域</a:t>
          </a:r>
        </a:p>
      </xdr:txBody>
    </xdr:sp>
    <xdr:clientData/>
  </xdr:twoCellAnchor>
  <xdr:twoCellAnchor>
    <xdr:from>
      <xdr:col>23</xdr:col>
      <xdr:colOff>11205</xdr:colOff>
      <xdr:row>256</xdr:row>
      <xdr:rowOff>114299</xdr:rowOff>
    </xdr:from>
    <xdr:to>
      <xdr:col>63</xdr:col>
      <xdr:colOff>89647</xdr:colOff>
      <xdr:row>268</xdr:row>
      <xdr:rowOff>47625</xdr:rowOff>
    </xdr:to>
    <xdr:sp macro="" textlink="">
      <xdr:nvSpPr>
        <xdr:cNvPr id="158" name="正方形/長方形 157">
          <a:extLst>
            <a:ext uri="{FF2B5EF4-FFF2-40B4-BE49-F238E27FC236}">
              <a16:creationId xmlns:a16="http://schemas.microsoft.com/office/drawing/2014/main" id="{00000000-0008-0000-0500-00009E000000}"/>
            </a:ext>
          </a:extLst>
        </xdr:cNvPr>
        <xdr:cNvSpPr/>
      </xdr:nvSpPr>
      <xdr:spPr>
        <a:xfrm>
          <a:off x="2859180" y="40366949"/>
          <a:ext cx="5031442" cy="17621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ＭＳ Ｐゴシック" pitchFamily="50" charset="-128"/>
              <a:ea typeface="ＭＳ Ｐゴシック" pitchFamily="50" charset="-128"/>
            </a:rPr>
            <a:t>Standby</a:t>
          </a:r>
          <a:r>
            <a:rPr lang="ja-JP" altLang="en-US" sz="1200">
              <a:solidFill>
                <a:sysClr val="windowText" lastClr="000000"/>
              </a:solidFill>
              <a:latin typeface="+mn-ea"/>
            </a:rPr>
            <a:t>）</a:t>
          </a:r>
        </a:p>
      </xdr:txBody>
    </xdr:sp>
    <xdr:clientData/>
  </xdr:twoCellAnchor>
  <xdr:twoCellAnchor>
    <xdr:from>
      <xdr:col>23</xdr:col>
      <xdr:colOff>11205</xdr:colOff>
      <xdr:row>245</xdr:row>
      <xdr:rowOff>19050</xdr:rowOff>
    </xdr:from>
    <xdr:to>
      <xdr:col>63</xdr:col>
      <xdr:colOff>89647</xdr:colOff>
      <xdr:row>256</xdr:row>
      <xdr:rowOff>38100</xdr:rowOff>
    </xdr:to>
    <xdr:sp macro="" textlink="">
      <xdr:nvSpPr>
        <xdr:cNvPr id="159" name="正方形/長方形 158">
          <a:extLst>
            <a:ext uri="{FF2B5EF4-FFF2-40B4-BE49-F238E27FC236}">
              <a16:creationId xmlns:a16="http://schemas.microsoft.com/office/drawing/2014/main" id="{00000000-0008-0000-0500-00009F000000}"/>
            </a:ext>
          </a:extLst>
        </xdr:cNvPr>
        <xdr:cNvSpPr/>
      </xdr:nvSpPr>
      <xdr:spPr>
        <a:xfrm>
          <a:off x="2859180" y="38595300"/>
          <a:ext cx="5031442" cy="169545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48</xdr:col>
      <xdr:colOff>67235</xdr:colOff>
      <xdr:row>262</xdr:row>
      <xdr:rowOff>124945</xdr:rowOff>
    </xdr:from>
    <xdr:to>
      <xdr:col>61</xdr:col>
      <xdr:colOff>5578</xdr:colOff>
      <xdr:row>266</xdr:row>
      <xdr:rowOff>142875</xdr:rowOff>
    </xdr:to>
    <xdr:sp macro="" textlink="">
      <xdr:nvSpPr>
        <xdr:cNvPr id="160" name="円柱 159">
          <a:extLst>
            <a:ext uri="{FF2B5EF4-FFF2-40B4-BE49-F238E27FC236}">
              <a16:creationId xmlns:a16="http://schemas.microsoft.com/office/drawing/2014/main" id="{00000000-0008-0000-0500-0000A0000000}"/>
            </a:ext>
          </a:extLst>
        </xdr:cNvPr>
        <xdr:cNvSpPr/>
      </xdr:nvSpPr>
      <xdr:spPr>
        <a:xfrm>
          <a:off x="6010835" y="41291995"/>
          <a:ext cx="1548068" cy="627530"/>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#2</a:t>
          </a:r>
          <a:endParaRPr kumimoji="1" lang="ja-JP" altLang="en-US" sz="1100">
            <a:solidFill>
              <a:sysClr val="windowText" lastClr="000000"/>
            </a:solidFill>
            <a:latin typeface="+mn-ea"/>
            <a:ea typeface="+mn-ea"/>
          </a:endParaRPr>
        </a:p>
      </xdr:txBody>
    </xdr:sp>
    <xdr:clientData/>
  </xdr:twoCellAnchor>
  <xdr:twoCellAnchor>
    <xdr:from>
      <xdr:col>24</xdr:col>
      <xdr:colOff>112059</xdr:colOff>
      <xdr:row>248</xdr:row>
      <xdr:rowOff>61006</xdr:rowOff>
    </xdr:from>
    <xdr:to>
      <xdr:col>34</xdr:col>
      <xdr:colOff>92988</xdr:colOff>
      <xdr:row>250</xdr:row>
      <xdr:rowOff>14217</xdr:rowOff>
    </xdr:to>
    <xdr:sp macro="" textlink="">
      <xdr:nvSpPr>
        <xdr:cNvPr id="161" name="角丸四角形 160">
          <a:extLst>
            <a:ext uri="{FF2B5EF4-FFF2-40B4-BE49-F238E27FC236}">
              <a16:creationId xmlns:a16="http://schemas.microsoft.com/office/drawing/2014/main" id="{00000000-0008-0000-0500-0000A1000000}"/>
            </a:ext>
          </a:extLst>
        </xdr:cNvPr>
        <xdr:cNvSpPr/>
      </xdr:nvSpPr>
      <xdr:spPr>
        <a:xfrm>
          <a:off x="3083859" y="39094456"/>
          <a:ext cx="1219179" cy="2580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HULFT</a:t>
          </a:r>
          <a:endParaRPr lang="ja-JP" altLang="en-US" sz="1200">
            <a:solidFill>
              <a:schemeClr val="tx1"/>
            </a:solidFill>
            <a:latin typeface="+mn-ea"/>
          </a:endParaRPr>
        </a:p>
      </xdr:txBody>
    </xdr:sp>
    <xdr:clientData/>
  </xdr:twoCellAnchor>
  <xdr:twoCellAnchor>
    <xdr:from>
      <xdr:col>27</xdr:col>
      <xdr:colOff>33618</xdr:colOff>
      <xdr:row>258</xdr:row>
      <xdr:rowOff>107577</xdr:rowOff>
    </xdr:from>
    <xdr:to>
      <xdr:col>32</xdr:col>
      <xdr:colOff>44824</xdr:colOff>
      <xdr:row>262</xdr:row>
      <xdr:rowOff>17929</xdr:rowOff>
    </xdr:to>
    <xdr:sp macro="" textlink="">
      <xdr:nvSpPr>
        <xdr:cNvPr id="162" name="メモ 161">
          <a:extLst>
            <a:ext uri="{FF2B5EF4-FFF2-40B4-BE49-F238E27FC236}">
              <a16:creationId xmlns:a16="http://schemas.microsoft.com/office/drawing/2014/main" id="{00000000-0008-0000-0500-0000A2000000}"/>
            </a:ext>
          </a:extLst>
        </xdr:cNvPr>
        <xdr:cNvSpPr/>
      </xdr:nvSpPr>
      <xdr:spPr>
        <a:xfrm>
          <a:off x="3376893" y="40665027"/>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35859</xdr:colOff>
      <xdr:row>259</xdr:row>
      <xdr:rowOff>59390</xdr:rowOff>
    </xdr:from>
    <xdr:ext cx="1031051" cy="275717"/>
    <xdr:sp macro="" textlink="">
      <xdr:nvSpPr>
        <xdr:cNvPr id="163" name="テキスト ボックス 162">
          <a:extLst>
            <a:ext uri="{FF2B5EF4-FFF2-40B4-BE49-F238E27FC236}">
              <a16:creationId xmlns:a16="http://schemas.microsoft.com/office/drawing/2014/main" id="{00000000-0008-0000-0500-0000A3000000}"/>
            </a:ext>
          </a:extLst>
        </xdr:cNvPr>
        <xdr:cNvSpPr txBox="1"/>
      </xdr:nvSpPr>
      <xdr:spPr>
        <a:xfrm>
          <a:off x="3131484" y="41226440"/>
          <a:ext cx="103105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資料請求受付</a:t>
          </a:r>
        </a:p>
      </xdr:txBody>
    </xdr:sp>
    <xdr:clientData/>
  </xdr:oneCellAnchor>
  <xdr:twoCellAnchor>
    <xdr:from>
      <xdr:col>29</xdr:col>
      <xdr:colOff>101134</xdr:colOff>
      <xdr:row>255</xdr:row>
      <xdr:rowOff>113179</xdr:rowOff>
    </xdr:from>
    <xdr:to>
      <xdr:col>29</xdr:col>
      <xdr:colOff>101134</xdr:colOff>
      <xdr:row>258</xdr:row>
      <xdr:rowOff>107577</xdr:rowOff>
    </xdr:to>
    <xdr:cxnSp macro="">
      <xdr:nvCxnSpPr>
        <xdr:cNvPr id="164" name="直線矢印コネクタ 163">
          <a:extLst>
            <a:ext uri="{FF2B5EF4-FFF2-40B4-BE49-F238E27FC236}">
              <a16:creationId xmlns:a16="http://schemas.microsoft.com/office/drawing/2014/main" id="{00000000-0008-0000-0500-0000A4000000}"/>
            </a:ext>
          </a:extLst>
        </xdr:cNvPr>
        <xdr:cNvCxnSpPr>
          <a:stCxn id="162" idx="0"/>
          <a:endCxn id="185" idx="2"/>
        </xdr:cNvCxnSpPr>
      </xdr:nvCxnSpPr>
      <xdr:spPr>
        <a:xfrm flipV="1">
          <a:off x="3692059" y="40213429"/>
          <a:ext cx="0" cy="451598"/>
        </a:xfrm>
        <a:prstGeom prst="straightConnector1">
          <a:avLst/>
        </a:prstGeom>
        <a:ln w="19050">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67236</xdr:colOff>
      <xdr:row>249</xdr:row>
      <xdr:rowOff>39853</xdr:rowOff>
    </xdr:from>
    <xdr:to>
      <xdr:col>24</xdr:col>
      <xdr:colOff>112059</xdr:colOff>
      <xdr:row>249</xdr:row>
      <xdr:rowOff>47625</xdr:rowOff>
    </xdr:to>
    <xdr:cxnSp macro="">
      <xdr:nvCxnSpPr>
        <xdr:cNvPr id="165" name="直線矢印コネクタ 164">
          <a:extLst>
            <a:ext uri="{FF2B5EF4-FFF2-40B4-BE49-F238E27FC236}">
              <a16:creationId xmlns:a16="http://schemas.microsoft.com/office/drawing/2014/main" id="{00000000-0008-0000-0500-0000A5000000}"/>
            </a:ext>
          </a:extLst>
        </xdr:cNvPr>
        <xdr:cNvCxnSpPr>
          <a:stCxn id="161" idx="1"/>
        </xdr:cNvCxnSpPr>
      </xdr:nvCxnSpPr>
      <xdr:spPr>
        <a:xfrm flipH="1">
          <a:off x="2419911" y="39225703"/>
          <a:ext cx="663948" cy="777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44825</xdr:colOff>
      <xdr:row>261</xdr:row>
      <xdr:rowOff>64432</xdr:rowOff>
    </xdr:from>
    <xdr:ext cx="1109022" cy="275717"/>
    <xdr:sp macro="" textlink="">
      <xdr:nvSpPr>
        <xdr:cNvPr id="166" name="テキスト ボックス 165">
          <a:extLst>
            <a:ext uri="{FF2B5EF4-FFF2-40B4-BE49-F238E27FC236}">
              <a16:creationId xmlns:a16="http://schemas.microsoft.com/office/drawing/2014/main" id="{00000000-0008-0000-0500-0000A6000000}"/>
            </a:ext>
          </a:extLst>
        </xdr:cNvPr>
        <xdr:cNvSpPr txBox="1"/>
      </xdr:nvSpPr>
      <xdr:spPr>
        <a:xfrm>
          <a:off x="4502525" y="41536282"/>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①抽出</a:t>
          </a:r>
          <a:r>
            <a:rPr kumimoji="1" lang="en-US" altLang="ja-JP" sz="1100"/>
            <a:t>SQL</a:t>
          </a:r>
          <a:r>
            <a:rPr kumimoji="1" lang="ja-JP" altLang="en-US" sz="1100"/>
            <a:t>発行</a:t>
          </a:r>
        </a:p>
      </xdr:txBody>
    </xdr:sp>
    <xdr:clientData/>
  </xdr:oneCellAnchor>
  <xdr:oneCellAnchor>
    <xdr:from>
      <xdr:col>36</xdr:col>
      <xdr:colOff>33618</xdr:colOff>
      <xdr:row>265</xdr:row>
      <xdr:rowOff>102535</xdr:rowOff>
    </xdr:from>
    <xdr:ext cx="889987" cy="275717"/>
    <xdr:sp macro="" textlink="">
      <xdr:nvSpPr>
        <xdr:cNvPr id="167" name="テキスト ボックス 166">
          <a:extLst>
            <a:ext uri="{FF2B5EF4-FFF2-40B4-BE49-F238E27FC236}">
              <a16:creationId xmlns:a16="http://schemas.microsoft.com/office/drawing/2014/main" id="{00000000-0008-0000-0500-0000A7000000}"/>
            </a:ext>
          </a:extLst>
        </xdr:cNvPr>
        <xdr:cNvSpPr txBox="1"/>
      </xdr:nvSpPr>
      <xdr:spPr>
        <a:xfrm>
          <a:off x="4491318" y="42183985"/>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②結果連携</a:t>
          </a:r>
        </a:p>
      </xdr:txBody>
    </xdr:sp>
    <xdr:clientData/>
  </xdr:oneCellAnchor>
  <xdr:oneCellAnchor>
    <xdr:from>
      <xdr:col>19</xdr:col>
      <xdr:colOff>78441</xdr:colOff>
      <xdr:row>246</xdr:row>
      <xdr:rowOff>59389</xdr:rowOff>
    </xdr:from>
    <xdr:ext cx="979179" cy="275717"/>
    <xdr:sp macro="" textlink="">
      <xdr:nvSpPr>
        <xdr:cNvPr id="168" name="テキスト ボックス 167">
          <a:extLst>
            <a:ext uri="{FF2B5EF4-FFF2-40B4-BE49-F238E27FC236}">
              <a16:creationId xmlns:a16="http://schemas.microsoft.com/office/drawing/2014/main" id="{00000000-0008-0000-0500-0000A8000000}"/>
            </a:ext>
          </a:extLst>
        </xdr:cNvPr>
        <xdr:cNvSpPr txBox="1"/>
      </xdr:nvSpPr>
      <xdr:spPr>
        <a:xfrm>
          <a:off x="2431116" y="39245239"/>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⑤</a:t>
          </a:r>
          <a:r>
            <a:rPr kumimoji="1" lang="en-US" altLang="ja-JP" sz="1100"/>
            <a:t>HULFT</a:t>
          </a:r>
          <a:r>
            <a:rPr kumimoji="1" lang="ja-JP" altLang="en-US" sz="1100"/>
            <a:t>転送</a:t>
          </a:r>
        </a:p>
      </xdr:txBody>
    </xdr:sp>
    <xdr:clientData/>
  </xdr:oneCellAnchor>
  <xdr:twoCellAnchor>
    <xdr:from>
      <xdr:col>5</xdr:col>
      <xdr:colOff>89647</xdr:colOff>
      <xdr:row>245</xdr:row>
      <xdr:rowOff>19051</xdr:rowOff>
    </xdr:from>
    <xdr:to>
      <xdr:col>19</xdr:col>
      <xdr:colOff>80507</xdr:colOff>
      <xdr:row>256</xdr:row>
      <xdr:rowOff>47625</xdr:rowOff>
    </xdr:to>
    <xdr:sp macro="" textlink="">
      <xdr:nvSpPr>
        <xdr:cNvPr id="169" name="正方形/長方形 168">
          <a:extLst>
            <a:ext uri="{FF2B5EF4-FFF2-40B4-BE49-F238E27FC236}">
              <a16:creationId xmlns:a16="http://schemas.microsoft.com/office/drawing/2014/main" id="{00000000-0008-0000-0500-0000A9000000}"/>
            </a:ext>
          </a:extLst>
        </xdr:cNvPr>
        <xdr:cNvSpPr/>
      </xdr:nvSpPr>
      <xdr:spPr>
        <a:xfrm>
          <a:off x="708772" y="38595301"/>
          <a:ext cx="1724410" cy="170497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1200">
              <a:solidFill>
                <a:schemeClr val="tx1"/>
              </a:solidFill>
              <a:latin typeface="+mn-ea"/>
            </a:rPr>
            <a:t>IBM</a:t>
          </a:r>
          <a:r>
            <a:rPr lang="ja-JP" altLang="en-US" sz="1200">
              <a:solidFill>
                <a:schemeClr val="tx1"/>
              </a:solidFill>
              <a:latin typeface="+mn-ea"/>
            </a:rPr>
            <a:t>ホスト</a:t>
          </a:r>
        </a:p>
      </xdr:txBody>
    </xdr:sp>
    <xdr:clientData/>
  </xdr:twoCellAnchor>
  <xdr:twoCellAnchor>
    <xdr:from>
      <xdr:col>48</xdr:col>
      <xdr:colOff>67235</xdr:colOff>
      <xdr:row>249</xdr:row>
      <xdr:rowOff>33617</xdr:rowOff>
    </xdr:from>
    <xdr:to>
      <xdr:col>61</xdr:col>
      <xdr:colOff>5578</xdr:colOff>
      <xdr:row>253</xdr:row>
      <xdr:rowOff>56029</xdr:rowOff>
    </xdr:to>
    <xdr:sp macro="" textlink="">
      <xdr:nvSpPr>
        <xdr:cNvPr id="170" name="円柱 169">
          <a:extLst>
            <a:ext uri="{FF2B5EF4-FFF2-40B4-BE49-F238E27FC236}">
              <a16:creationId xmlns:a16="http://schemas.microsoft.com/office/drawing/2014/main" id="{00000000-0008-0000-0500-0000AA000000}"/>
            </a:ext>
          </a:extLst>
        </xdr:cNvPr>
        <xdr:cNvSpPr/>
      </xdr:nvSpPr>
      <xdr:spPr>
        <a:xfrm>
          <a:off x="6010835" y="39219467"/>
          <a:ext cx="1548068" cy="632012"/>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34</xdr:col>
      <xdr:colOff>85725</xdr:colOff>
      <xdr:row>265</xdr:row>
      <xdr:rowOff>76200</xdr:rowOff>
    </xdr:from>
    <xdr:to>
      <xdr:col>48</xdr:col>
      <xdr:colOff>66675</xdr:colOff>
      <xdr:row>265</xdr:row>
      <xdr:rowOff>76201</xdr:rowOff>
    </xdr:to>
    <xdr:cxnSp macro="">
      <xdr:nvCxnSpPr>
        <xdr:cNvPr id="171" name="直線矢印コネクタ 202">
          <a:extLst>
            <a:ext uri="{FF2B5EF4-FFF2-40B4-BE49-F238E27FC236}">
              <a16:creationId xmlns:a16="http://schemas.microsoft.com/office/drawing/2014/main" id="{00000000-0008-0000-0500-0000AB000000}"/>
            </a:ext>
          </a:extLst>
        </xdr:cNvPr>
        <xdr:cNvCxnSpPr/>
      </xdr:nvCxnSpPr>
      <xdr:spPr>
        <a:xfrm rot="10800000">
          <a:off x="4295775" y="41700450"/>
          <a:ext cx="1714500" cy="1"/>
        </a:xfrm>
        <a:prstGeom prst="bentConnector3">
          <a:avLst>
            <a:gd name="adj1" fmla="val 50000"/>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98591</xdr:colOff>
      <xdr:row>262</xdr:row>
      <xdr:rowOff>17929</xdr:rowOff>
    </xdr:from>
    <xdr:to>
      <xdr:col>29</xdr:col>
      <xdr:colOff>101134</xdr:colOff>
      <xdr:row>263</xdr:row>
      <xdr:rowOff>61629</xdr:rowOff>
    </xdr:to>
    <xdr:cxnSp macro="">
      <xdr:nvCxnSpPr>
        <xdr:cNvPr id="172" name="直線矢印コネクタ 171">
          <a:extLst>
            <a:ext uri="{FF2B5EF4-FFF2-40B4-BE49-F238E27FC236}">
              <a16:creationId xmlns:a16="http://schemas.microsoft.com/office/drawing/2014/main" id="{00000000-0008-0000-0500-0000AC000000}"/>
            </a:ext>
          </a:extLst>
        </xdr:cNvPr>
        <xdr:cNvCxnSpPr>
          <a:stCxn id="183" idx="0"/>
          <a:endCxn id="162" idx="2"/>
        </xdr:cNvCxnSpPr>
      </xdr:nvCxnSpPr>
      <xdr:spPr>
        <a:xfrm flipV="1">
          <a:off x="3689516" y="41184979"/>
          <a:ext cx="2543" cy="1961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104775</xdr:colOff>
      <xdr:row>262</xdr:row>
      <xdr:rowOff>19051</xdr:rowOff>
    </xdr:from>
    <xdr:to>
      <xdr:col>30</xdr:col>
      <xdr:colOff>104775</xdr:colOff>
      <xdr:row>264</xdr:row>
      <xdr:rowOff>2</xdr:rowOff>
    </xdr:to>
    <xdr:sp macro="" textlink="">
      <xdr:nvSpPr>
        <xdr:cNvPr id="173" name="テキスト ボックス 210">
          <a:extLst>
            <a:ext uri="{FF2B5EF4-FFF2-40B4-BE49-F238E27FC236}">
              <a16:creationId xmlns:a16="http://schemas.microsoft.com/office/drawing/2014/main" id="{00000000-0008-0000-0500-0000AD000000}"/>
            </a:ext>
          </a:extLst>
        </xdr:cNvPr>
        <xdr:cNvSpPr txBox="1">
          <a:spLocks noChangeArrowheads="1"/>
        </xdr:cNvSpPr>
      </xdr:nvSpPr>
      <xdr:spPr bwMode="auto">
        <a:xfrm>
          <a:off x="2581275" y="41186101"/>
          <a:ext cx="1238250" cy="285750"/>
        </a:xfrm>
        <a:prstGeom prst="rect">
          <a:avLst/>
        </a:prstGeom>
        <a:noFill/>
        <a:ln w="9525">
          <a:no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③ファイル出力</a:t>
          </a:r>
        </a:p>
      </xdr:txBody>
    </xdr:sp>
    <xdr:clientData/>
  </xdr:twoCellAnchor>
  <xdr:twoCellAnchor>
    <xdr:from>
      <xdr:col>34</xdr:col>
      <xdr:colOff>81781</xdr:colOff>
      <xdr:row>264</xdr:row>
      <xdr:rowOff>85725</xdr:rowOff>
    </xdr:from>
    <xdr:to>
      <xdr:col>48</xdr:col>
      <xdr:colOff>95250</xdr:colOff>
      <xdr:row>264</xdr:row>
      <xdr:rowOff>87405</xdr:rowOff>
    </xdr:to>
    <xdr:cxnSp macro="">
      <xdr:nvCxnSpPr>
        <xdr:cNvPr id="174" name="直線矢印コネクタ 220">
          <a:extLst>
            <a:ext uri="{FF2B5EF4-FFF2-40B4-BE49-F238E27FC236}">
              <a16:creationId xmlns:a16="http://schemas.microsoft.com/office/drawing/2014/main" id="{00000000-0008-0000-0500-0000AE000000}"/>
            </a:ext>
          </a:extLst>
        </xdr:cNvPr>
        <xdr:cNvCxnSpPr>
          <a:stCxn id="183" idx="3"/>
        </xdr:cNvCxnSpPr>
      </xdr:nvCxnSpPr>
      <xdr:spPr>
        <a:xfrm flipV="1">
          <a:off x="4291831" y="41557575"/>
          <a:ext cx="1747019" cy="1680"/>
        </a:xfrm>
        <a:prstGeom prst="bentConnector3">
          <a:avLst>
            <a:gd name="adj1" fmla="val 50000"/>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0</xdr:colOff>
      <xdr:row>245</xdr:row>
      <xdr:rowOff>9525</xdr:rowOff>
    </xdr:from>
    <xdr:to>
      <xdr:col>77</xdr:col>
      <xdr:colOff>80506</xdr:colOff>
      <xdr:row>268</xdr:row>
      <xdr:rowOff>19051</xdr:rowOff>
    </xdr:to>
    <xdr:sp macro="" textlink="">
      <xdr:nvSpPr>
        <xdr:cNvPr id="175" name="正方形/長方形 174">
          <a:extLst>
            <a:ext uri="{FF2B5EF4-FFF2-40B4-BE49-F238E27FC236}">
              <a16:creationId xmlns:a16="http://schemas.microsoft.com/office/drawing/2014/main" id="{00000000-0008-0000-0500-0000AF000000}"/>
            </a:ext>
          </a:extLst>
        </xdr:cNvPr>
        <xdr:cNvSpPr/>
      </xdr:nvSpPr>
      <xdr:spPr>
        <a:xfrm>
          <a:off x="8048625" y="38585775"/>
          <a:ext cx="1566406" cy="35147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chemeClr val="tx1"/>
              </a:solidFill>
              <a:latin typeface="+mn-ea"/>
            </a:rPr>
            <a:t>共有 </a:t>
          </a:r>
          <a:r>
            <a:rPr lang="ja-JP" altLang="en-US" sz="1200" baseline="0">
              <a:solidFill>
                <a:schemeClr val="tx1"/>
              </a:solidFill>
              <a:latin typeface="+mn-ea"/>
            </a:rPr>
            <a:t>ディスク</a:t>
          </a:r>
          <a:endParaRPr lang="ja-JP" altLang="en-US" sz="1200">
            <a:solidFill>
              <a:schemeClr val="tx1"/>
            </a:solidFill>
            <a:latin typeface="+mn-ea"/>
          </a:endParaRPr>
        </a:p>
      </xdr:txBody>
    </xdr:sp>
    <xdr:clientData/>
  </xdr:twoCellAnchor>
  <xdr:twoCellAnchor>
    <xdr:from>
      <xdr:col>45</xdr:col>
      <xdr:colOff>92985</xdr:colOff>
      <xdr:row>260</xdr:row>
      <xdr:rowOff>58270</xdr:rowOff>
    </xdr:from>
    <xdr:to>
      <xdr:col>66</xdr:col>
      <xdr:colOff>44825</xdr:colOff>
      <xdr:row>260</xdr:row>
      <xdr:rowOff>58278</xdr:rowOff>
    </xdr:to>
    <xdr:cxnSp macro="">
      <xdr:nvCxnSpPr>
        <xdr:cNvPr id="176" name="直線矢印コネクタ 175">
          <a:extLst>
            <a:ext uri="{FF2B5EF4-FFF2-40B4-BE49-F238E27FC236}">
              <a16:creationId xmlns:a16="http://schemas.microsoft.com/office/drawing/2014/main" id="{00000000-0008-0000-0500-0000B0000000}"/>
            </a:ext>
          </a:extLst>
        </xdr:cNvPr>
        <xdr:cNvCxnSpPr>
          <a:stCxn id="177" idx="3"/>
        </xdr:cNvCxnSpPr>
      </xdr:nvCxnSpPr>
      <xdr:spPr>
        <a:xfrm>
          <a:off x="5665110" y="40920520"/>
          <a:ext cx="2552165" cy="8"/>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3340</xdr:colOff>
      <xdr:row>259</xdr:row>
      <xdr:rowOff>80682</xdr:rowOff>
    </xdr:from>
    <xdr:to>
      <xdr:col>45</xdr:col>
      <xdr:colOff>92985</xdr:colOff>
      <xdr:row>261</xdr:row>
      <xdr:rowOff>35858</xdr:rowOff>
    </xdr:to>
    <xdr:sp macro="" textlink="">
      <xdr:nvSpPr>
        <xdr:cNvPr id="177" name="角丸四角形 176">
          <a:extLst>
            <a:ext uri="{FF2B5EF4-FFF2-40B4-BE49-F238E27FC236}">
              <a16:creationId xmlns:a16="http://schemas.microsoft.com/office/drawing/2014/main" id="{00000000-0008-0000-0500-0000B1000000}"/>
            </a:ext>
          </a:extLst>
        </xdr:cNvPr>
        <xdr:cNvSpPr/>
      </xdr:nvSpPr>
      <xdr:spPr>
        <a:xfrm>
          <a:off x="4461040" y="40790532"/>
          <a:ext cx="1204070" cy="259976"/>
        </a:xfrm>
        <a:prstGeom prst="roundRect">
          <a:avLst/>
        </a:prstGeom>
        <a:gradFill flip="none" rotWithShape="1">
          <a:gsLst>
            <a:gs pos="0">
              <a:srgbClr val="00B0F0"/>
            </a:gs>
            <a:gs pos="50000">
              <a:schemeClr val="bg1"/>
            </a:gs>
            <a:gs pos="100000">
              <a:srgbClr val="00B0F0"/>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32</xdr:col>
      <xdr:colOff>44824</xdr:colOff>
      <xdr:row>260</xdr:row>
      <xdr:rowOff>58270</xdr:rowOff>
    </xdr:from>
    <xdr:to>
      <xdr:col>36</xdr:col>
      <xdr:colOff>3340</xdr:colOff>
      <xdr:row>260</xdr:row>
      <xdr:rowOff>62753</xdr:rowOff>
    </xdr:to>
    <xdr:cxnSp macro="">
      <xdr:nvCxnSpPr>
        <xdr:cNvPr id="178" name="直線矢印コネクタ 177">
          <a:extLst>
            <a:ext uri="{FF2B5EF4-FFF2-40B4-BE49-F238E27FC236}">
              <a16:creationId xmlns:a16="http://schemas.microsoft.com/office/drawing/2014/main" id="{00000000-0008-0000-0500-0000B2000000}"/>
            </a:ext>
          </a:extLst>
        </xdr:cNvPr>
        <xdr:cNvCxnSpPr>
          <a:stCxn id="162" idx="3"/>
          <a:endCxn id="177" idx="1"/>
        </xdr:cNvCxnSpPr>
      </xdr:nvCxnSpPr>
      <xdr:spPr>
        <a:xfrm flipV="1">
          <a:off x="4007224" y="40920520"/>
          <a:ext cx="453816" cy="448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47</xdr:col>
      <xdr:colOff>64437</xdr:colOff>
      <xdr:row>258</xdr:row>
      <xdr:rowOff>60514</xdr:rowOff>
    </xdr:from>
    <xdr:ext cx="1798634" cy="275717"/>
    <xdr:sp macro="" textlink="">
      <xdr:nvSpPr>
        <xdr:cNvPr id="179" name="テキスト ボックス 178">
          <a:extLst>
            <a:ext uri="{FF2B5EF4-FFF2-40B4-BE49-F238E27FC236}">
              <a16:creationId xmlns:a16="http://schemas.microsoft.com/office/drawing/2014/main" id="{00000000-0008-0000-0500-0000B3000000}"/>
            </a:ext>
          </a:extLst>
        </xdr:cNvPr>
        <xdr:cNvSpPr txBox="1"/>
      </xdr:nvSpPr>
      <xdr:spPr>
        <a:xfrm>
          <a:off x="5884212" y="41075164"/>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⑥転送ファイルバックアップ</a:t>
          </a:r>
        </a:p>
      </xdr:txBody>
    </xdr:sp>
    <xdr:clientData/>
  </xdr:oneCellAnchor>
  <xdr:twoCellAnchor>
    <xdr:from>
      <xdr:col>67</xdr:col>
      <xdr:colOff>33620</xdr:colOff>
      <xdr:row>258</xdr:row>
      <xdr:rowOff>85733</xdr:rowOff>
    </xdr:from>
    <xdr:to>
      <xdr:col>72</xdr:col>
      <xdr:colOff>44826</xdr:colOff>
      <xdr:row>262</xdr:row>
      <xdr:rowOff>567</xdr:rowOff>
    </xdr:to>
    <xdr:sp macro="" textlink="">
      <xdr:nvSpPr>
        <xdr:cNvPr id="180" name="メモ 179">
          <a:extLst>
            <a:ext uri="{FF2B5EF4-FFF2-40B4-BE49-F238E27FC236}">
              <a16:creationId xmlns:a16="http://schemas.microsoft.com/office/drawing/2014/main" id="{00000000-0008-0000-0500-0000B4000000}"/>
            </a:ext>
          </a:extLst>
        </xdr:cNvPr>
        <xdr:cNvSpPr/>
      </xdr:nvSpPr>
      <xdr:spPr>
        <a:xfrm>
          <a:off x="8329895" y="40643183"/>
          <a:ext cx="630331"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44825</xdr:colOff>
      <xdr:row>258</xdr:row>
      <xdr:rowOff>568</xdr:rowOff>
    </xdr:from>
    <xdr:to>
      <xdr:col>71</xdr:col>
      <xdr:colOff>56032</xdr:colOff>
      <xdr:row>261</xdr:row>
      <xdr:rowOff>67802</xdr:rowOff>
    </xdr:to>
    <xdr:sp macro="" textlink="">
      <xdr:nvSpPr>
        <xdr:cNvPr id="181" name="メモ 180">
          <a:extLst>
            <a:ext uri="{FF2B5EF4-FFF2-40B4-BE49-F238E27FC236}">
              <a16:creationId xmlns:a16="http://schemas.microsoft.com/office/drawing/2014/main" id="{00000000-0008-0000-0500-0000B5000000}"/>
            </a:ext>
          </a:extLst>
        </xdr:cNvPr>
        <xdr:cNvSpPr/>
      </xdr:nvSpPr>
      <xdr:spPr>
        <a:xfrm>
          <a:off x="8217275" y="40558018"/>
          <a:ext cx="630332"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112059</xdr:colOff>
      <xdr:row>257</xdr:row>
      <xdr:rowOff>141760</xdr:rowOff>
    </xdr:from>
    <xdr:ext cx="1324388" cy="493060"/>
    <xdr:sp macro="" textlink="">
      <xdr:nvSpPr>
        <xdr:cNvPr id="182" name="テキスト ボックス 181">
          <a:extLst>
            <a:ext uri="{FF2B5EF4-FFF2-40B4-BE49-F238E27FC236}">
              <a16:creationId xmlns:a16="http://schemas.microsoft.com/office/drawing/2014/main" id="{00000000-0008-0000-0500-0000B6000000}"/>
            </a:ext>
          </a:extLst>
        </xdr:cNvPr>
        <xdr:cNvSpPr txBox="1"/>
      </xdr:nvSpPr>
      <xdr:spPr>
        <a:xfrm>
          <a:off x="8160684" y="40546810"/>
          <a:ext cx="1324388" cy="493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t>資料請求受付履歴</a:t>
          </a:r>
          <a:endParaRPr kumimoji="1" lang="en-US" altLang="ja-JP" sz="1100"/>
        </a:p>
        <a:p>
          <a:r>
            <a:rPr kumimoji="1" lang="en-US" altLang="ja-JP" sz="1100"/>
            <a:t>yyyymmd</a:t>
          </a:r>
          <a:endParaRPr kumimoji="1" lang="ja-JP" altLang="en-US" sz="1100"/>
        </a:p>
      </xdr:txBody>
    </xdr:sp>
    <xdr:clientData/>
  </xdr:oneCellAnchor>
  <xdr:twoCellAnchor>
    <xdr:from>
      <xdr:col>24</xdr:col>
      <xdr:colOff>115400</xdr:colOff>
      <xdr:row>263</xdr:row>
      <xdr:rowOff>61629</xdr:rowOff>
    </xdr:from>
    <xdr:to>
      <xdr:col>34</xdr:col>
      <xdr:colOff>81781</xdr:colOff>
      <xdr:row>265</xdr:row>
      <xdr:rowOff>113180</xdr:rowOff>
    </xdr:to>
    <xdr:sp macro="" textlink="">
      <xdr:nvSpPr>
        <xdr:cNvPr id="183" name="角丸四角形 182">
          <a:extLst>
            <a:ext uri="{FF2B5EF4-FFF2-40B4-BE49-F238E27FC236}">
              <a16:creationId xmlns:a16="http://schemas.microsoft.com/office/drawing/2014/main" id="{00000000-0008-0000-0500-0000B7000000}"/>
            </a:ext>
          </a:extLst>
        </xdr:cNvPr>
        <xdr:cNvSpPr/>
      </xdr:nvSpPr>
      <xdr:spPr>
        <a:xfrm>
          <a:off x="3087200" y="41381079"/>
          <a:ext cx="1204631" cy="356351"/>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37</xdr:col>
      <xdr:colOff>0</xdr:colOff>
      <xdr:row>263</xdr:row>
      <xdr:rowOff>3362</xdr:rowOff>
    </xdr:from>
    <xdr:to>
      <xdr:col>44</xdr:col>
      <xdr:colOff>20347</xdr:colOff>
      <xdr:row>265</xdr:row>
      <xdr:rowOff>125505</xdr:rowOff>
    </xdr:to>
    <xdr:sp macro="" textlink="">
      <xdr:nvSpPr>
        <xdr:cNvPr id="184" name="角丸四角形 183">
          <a:extLst>
            <a:ext uri="{FF2B5EF4-FFF2-40B4-BE49-F238E27FC236}">
              <a16:creationId xmlns:a16="http://schemas.microsoft.com/office/drawing/2014/main" id="{00000000-0008-0000-0500-0000B8000000}"/>
            </a:ext>
          </a:extLst>
        </xdr:cNvPr>
        <xdr:cNvSpPr/>
      </xdr:nvSpPr>
      <xdr:spPr>
        <a:xfrm>
          <a:off x="4581525" y="41322812"/>
          <a:ext cx="887122" cy="426943"/>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chemeClr val="tx1"/>
              </a:solidFill>
              <a:latin typeface="+mn-ea"/>
            </a:rPr>
            <a:t>Oracle Client</a:t>
          </a:r>
          <a:endParaRPr lang="ja-JP" altLang="en-US" sz="1200">
            <a:solidFill>
              <a:schemeClr val="tx1"/>
            </a:solidFill>
            <a:latin typeface="+mn-ea"/>
          </a:endParaRPr>
        </a:p>
      </xdr:txBody>
    </xdr:sp>
    <xdr:clientData/>
  </xdr:twoCellAnchor>
  <xdr:twoCellAnchor>
    <xdr:from>
      <xdr:col>27</xdr:col>
      <xdr:colOff>33618</xdr:colOff>
      <xdr:row>252</xdr:row>
      <xdr:rowOff>50427</xdr:rowOff>
    </xdr:from>
    <xdr:to>
      <xdr:col>32</xdr:col>
      <xdr:colOff>44824</xdr:colOff>
      <xdr:row>255</xdr:row>
      <xdr:rowOff>113179</xdr:rowOff>
    </xdr:to>
    <xdr:sp macro="" textlink="">
      <xdr:nvSpPr>
        <xdr:cNvPr id="185" name="メモ 184">
          <a:extLst>
            <a:ext uri="{FF2B5EF4-FFF2-40B4-BE49-F238E27FC236}">
              <a16:creationId xmlns:a16="http://schemas.microsoft.com/office/drawing/2014/main" id="{00000000-0008-0000-0500-0000B9000000}"/>
            </a:ext>
          </a:extLst>
        </xdr:cNvPr>
        <xdr:cNvSpPr/>
      </xdr:nvSpPr>
      <xdr:spPr>
        <a:xfrm>
          <a:off x="3376893" y="39693477"/>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35859</xdr:colOff>
      <xdr:row>253</xdr:row>
      <xdr:rowOff>49865</xdr:rowOff>
    </xdr:from>
    <xdr:ext cx="1031051" cy="275717"/>
    <xdr:sp macro="" textlink="">
      <xdr:nvSpPr>
        <xdr:cNvPr id="186" name="テキスト ボックス 185">
          <a:extLst>
            <a:ext uri="{FF2B5EF4-FFF2-40B4-BE49-F238E27FC236}">
              <a16:creationId xmlns:a16="http://schemas.microsoft.com/office/drawing/2014/main" id="{00000000-0008-0000-0500-0000BA000000}"/>
            </a:ext>
          </a:extLst>
        </xdr:cNvPr>
        <xdr:cNvSpPr txBox="1"/>
      </xdr:nvSpPr>
      <xdr:spPr>
        <a:xfrm>
          <a:off x="3131484" y="40302515"/>
          <a:ext cx="103105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t>資料請求受付</a:t>
          </a:r>
        </a:p>
      </xdr:txBody>
    </xdr:sp>
    <xdr:clientData/>
  </xdr:oneCellAnchor>
  <xdr:oneCellAnchor>
    <xdr:from>
      <xdr:col>33</xdr:col>
      <xdr:colOff>11766</xdr:colOff>
      <xdr:row>254</xdr:row>
      <xdr:rowOff>59389</xdr:rowOff>
    </xdr:from>
    <xdr:ext cx="1582549" cy="275717"/>
    <xdr:sp macro="" textlink="">
      <xdr:nvSpPr>
        <xdr:cNvPr id="187" name="テキスト ボックス 186">
          <a:extLst>
            <a:ext uri="{FF2B5EF4-FFF2-40B4-BE49-F238E27FC236}">
              <a16:creationId xmlns:a16="http://schemas.microsoft.com/office/drawing/2014/main" id="{00000000-0008-0000-0500-0000BB000000}"/>
            </a:ext>
          </a:extLst>
        </xdr:cNvPr>
        <xdr:cNvSpPr txBox="1"/>
      </xdr:nvSpPr>
      <xdr:spPr>
        <a:xfrm>
          <a:off x="4097991" y="40464439"/>
          <a:ext cx="158254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④</a:t>
          </a:r>
          <a:r>
            <a:rPr kumimoji="1" lang="ja-JP" altLang="en-US" sz="1100"/>
            <a:t>手動でファイルコピー</a:t>
          </a:r>
        </a:p>
      </xdr:txBody>
    </xdr:sp>
    <xdr:clientData/>
  </xdr:oneCellAnchor>
  <xdr:oneCellAnchor>
    <xdr:from>
      <xdr:col>34</xdr:col>
      <xdr:colOff>47625</xdr:colOff>
      <xdr:row>250</xdr:row>
      <xdr:rowOff>66675</xdr:rowOff>
    </xdr:from>
    <xdr:ext cx="748923" cy="275717"/>
    <xdr:sp macro="" textlink="">
      <xdr:nvSpPr>
        <xdr:cNvPr id="188" name="テキスト ボックス 187">
          <a:extLst>
            <a:ext uri="{FF2B5EF4-FFF2-40B4-BE49-F238E27FC236}">
              <a16:creationId xmlns:a16="http://schemas.microsoft.com/office/drawing/2014/main" id="{00000000-0008-0000-0500-0000BC000000}"/>
            </a:ext>
          </a:extLst>
        </xdr:cNvPr>
        <xdr:cNvSpPr txBox="1"/>
      </xdr:nvSpPr>
      <xdr:spPr>
        <a:xfrm>
          <a:off x="4257675" y="39862125"/>
          <a:ext cx="74892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latin typeface="+mn-lt"/>
              <a:ea typeface="+mn-ea"/>
              <a:cs typeface="+mn-cs"/>
            </a:rPr>
            <a:t>※</a:t>
          </a:r>
          <a:r>
            <a:rPr lang="ja-JP" altLang="ja-JP" sz="1100">
              <a:solidFill>
                <a:sysClr val="windowText" lastClr="000000"/>
              </a:solidFill>
              <a:latin typeface="+mn-lt"/>
              <a:ea typeface="+mn-ea"/>
              <a:cs typeface="+mn-cs"/>
            </a:rPr>
            <a:t>手起動</a:t>
          </a:r>
          <a:endParaRPr lang="ja-JP" altLang="ja-JP">
            <a:solidFill>
              <a:sysClr val="windowText" lastClr="000000"/>
            </a:solidFill>
          </a:endParaRPr>
        </a:p>
      </xdr:txBody>
    </xdr:sp>
    <xdr:clientData/>
  </xdr:oneCellAnchor>
  <xdr:twoCellAnchor>
    <xdr:from>
      <xdr:col>25</xdr:col>
      <xdr:colOff>3340</xdr:colOff>
      <xdr:row>250</xdr:row>
      <xdr:rowOff>52107</xdr:rowOff>
    </xdr:from>
    <xdr:to>
      <xdr:col>34</xdr:col>
      <xdr:colOff>92985</xdr:colOff>
      <xdr:row>252</xdr:row>
      <xdr:rowOff>7283</xdr:rowOff>
    </xdr:to>
    <xdr:sp macro="" textlink="">
      <xdr:nvSpPr>
        <xdr:cNvPr id="189" name="角丸四角形 188">
          <a:extLst>
            <a:ext uri="{FF2B5EF4-FFF2-40B4-BE49-F238E27FC236}">
              <a16:creationId xmlns:a16="http://schemas.microsoft.com/office/drawing/2014/main" id="{00000000-0008-0000-0500-0000BD000000}"/>
            </a:ext>
          </a:extLst>
        </xdr:cNvPr>
        <xdr:cNvSpPr/>
      </xdr:nvSpPr>
      <xdr:spPr>
        <a:xfrm>
          <a:off x="3098965" y="39390357"/>
          <a:ext cx="1204070" cy="259976"/>
        </a:xfrm>
        <a:prstGeom prst="roundRect">
          <a:avLst/>
        </a:prstGeom>
        <a:gradFill flip="none" rotWithShape="1">
          <a:gsLst>
            <a:gs pos="0">
              <a:srgbClr val="00B0F0"/>
            </a:gs>
            <a:gs pos="50000">
              <a:schemeClr val="bg1"/>
            </a:gs>
            <a:gs pos="100000">
              <a:srgbClr val="00B0F0"/>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6</xdr:col>
      <xdr:colOff>95250</xdr:colOff>
      <xdr:row>66</xdr:row>
      <xdr:rowOff>85725</xdr:rowOff>
    </xdr:from>
    <xdr:to>
      <xdr:col>20</xdr:col>
      <xdr:colOff>86109</xdr:colOff>
      <xdr:row>73</xdr:row>
      <xdr:rowOff>145844</xdr:rowOff>
    </xdr:to>
    <xdr:sp macro="" textlink="">
      <xdr:nvSpPr>
        <xdr:cNvPr id="155" name="正方形/長方形 154">
          <a:extLst>
            <a:ext uri="{FF2B5EF4-FFF2-40B4-BE49-F238E27FC236}">
              <a16:creationId xmlns:a16="http://schemas.microsoft.com/office/drawing/2014/main" id="{00000000-0008-0000-0500-00009B000000}"/>
            </a:ext>
          </a:extLst>
        </xdr:cNvPr>
        <xdr:cNvSpPr/>
      </xdr:nvSpPr>
      <xdr:spPr>
        <a:xfrm>
          <a:off x="838200" y="10639425"/>
          <a:ext cx="1724409" cy="119359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20</xdr:col>
      <xdr:colOff>86109</xdr:colOff>
      <xdr:row>63</xdr:row>
      <xdr:rowOff>53578</xdr:rowOff>
    </xdr:from>
    <xdr:to>
      <xdr:col>22</xdr:col>
      <xdr:colOff>107156</xdr:colOff>
      <xdr:row>70</xdr:row>
      <xdr:rowOff>35417</xdr:rowOff>
    </xdr:to>
    <xdr:cxnSp macro="">
      <xdr:nvCxnSpPr>
        <xdr:cNvPr id="156" name="カギ線コネクタ 155">
          <a:extLst>
            <a:ext uri="{FF2B5EF4-FFF2-40B4-BE49-F238E27FC236}">
              <a16:creationId xmlns:a16="http://schemas.microsoft.com/office/drawing/2014/main" id="{00000000-0008-0000-0500-00009C000000}"/>
            </a:ext>
          </a:extLst>
        </xdr:cNvPr>
        <xdr:cNvCxnSpPr>
          <a:endCxn id="155" idx="3"/>
        </xdr:cNvCxnSpPr>
      </xdr:nvCxnSpPr>
      <xdr:spPr>
        <a:xfrm rot="5400000">
          <a:off x="2168471" y="10526357"/>
          <a:ext cx="1106980" cy="271078"/>
        </a:xfrm>
        <a:prstGeom prst="bentConnector2">
          <a:avLst/>
        </a:prstGeom>
        <a:ln w="19050">
          <a:solidFill>
            <a:schemeClr val="tx1"/>
          </a:solidFill>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54495</xdr:colOff>
      <xdr:row>67</xdr:row>
      <xdr:rowOff>123825</xdr:rowOff>
    </xdr:from>
    <xdr:to>
      <xdr:col>22</xdr:col>
      <xdr:colOff>71097</xdr:colOff>
      <xdr:row>69</xdr:row>
      <xdr:rowOff>23491</xdr:rowOff>
    </xdr:to>
    <xdr:sp macro="" textlink="">
      <xdr:nvSpPr>
        <xdr:cNvPr id="190" name="テキスト ボックス 99">
          <a:extLst>
            <a:ext uri="{FF2B5EF4-FFF2-40B4-BE49-F238E27FC236}">
              <a16:creationId xmlns:a16="http://schemas.microsoft.com/office/drawing/2014/main" id="{00000000-0008-0000-0500-0000BE000000}"/>
            </a:ext>
          </a:extLst>
        </xdr:cNvPr>
        <xdr:cNvSpPr txBox="1"/>
      </xdr:nvSpPr>
      <xdr:spPr>
        <a:xfrm>
          <a:off x="2554808" y="10821591"/>
          <a:ext cx="266633" cy="221134"/>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solidFill>
                <a:sysClr val="windowText" lastClr="000000"/>
              </a:solidFill>
              <a:latin typeface="+mn-ea"/>
              <a:ea typeface="+mn-ea"/>
            </a:rPr>
            <a:t>⑦</a:t>
          </a:r>
        </a:p>
      </xdr:txBody>
    </xdr:sp>
    <xdr:clientData/>
  </xdr:twoCellAnchor>
  <xdr:twoCellAnchor>
    <xdr:from>
      <xdr:col>34</xdr:col>
      <xdr:colOff>76200</xdr:colOff>
      <xdr:row>57</xdr:row>
      <xdr:rowOff>85725</xdr:rowOff>
    </xdr:from>
    <xdr:to>
      <xdr:col>39</xdr:col>
      <xdr:colOff>66675</xdr:colOff>
      <xdr:row>59</xdr:row>
      <xdr:rowOff>44967</xdr:rowOff>
    </xdr:to>
    <xdr:sp macro="" textlink="">
      <xdr:nvSpPr>
        <xdr:cNvPr id="191" name="テキスト ボックス 99">
          <a:extLst>
            <a:ext uri="{FF2B5EF4-FFF2-40B4-BE49-F238E27FC236}">
              <a16:creationId xmlns:a16="http://schemas.microsoft.com/office/drawing/2014/main" id="{00000000-0008-0000-0500-0000BF000000}"/>
            </a:ext>
          </a:extLst>
        </xdr:cNvPr>
        <xdr:cNvSpPr txBox="1"/>
      </xdr:nvSpPr>
      <xdr:spPr>
        <a:xfrm>
          <a:off x="4286250" y="9182100"/>
          <a:ext cx="609600" cy="283092"/>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1200">
              <a:solidFill>
                <a:sysClr val="windowText" lastClr="000000"/>
              </a:solidFill>
              <a:latin typeface="+mn-ea"/>
              <a:ea typeface="+mn-ea"/>
            </a:rPr>
            <a:t>③ ⑥</a:t>
          </a:r>
        </a:p>
      </xdr:txBody>
    </xdr:sp>
    <xdr:clientData/>
  </xdr:twoCellAnchor>
  <xdr:twoCellAnchor>
    <xdr:from>
      <xdr:col>6</xdr:col>
      <xdr:colOff>95250</xdr:colOff>
      <xdr:row>143</xdr:row>
      <xdr:rowOff>114300</xdr:rowOff>
    </xdr:from>
    <xdr:to>
      <xdr:col>18</xdr:col>
      <xdr:colOff>0</xdr:colOff>
      <xdr:row>151</xdr:row>
      <xdr:rowOff>12494</xdr:rowOff>
    </xdr:to>
    <xdr:sp macro="" textlink="">
      <xdr:nvSpPr>
        <xdr:cNvPr id="192" name="正方形/長方形 191">
          <a:extLst>
            <a:ext uri="{FF2B5EF4-FFF2-40B4-BE49-F238E27FC236}">
              <a16:creationId xmlns:a16="http://schemas.microsoft.com/office/drawing/2014/main" id="{00000000-0008-0000-0500-0000C0000000}"/>
            </a:ext>
          </a:extLst>
        </xdr:cNvPr>
        <xdr:cNvSpPr/>
      </xdr:nvSpPr>
      <xdr:spPr>
        <a:xfrm>
          <a:off x="834838" y="22738976"/>
          <a:ext cx="1383927" cy="115325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18</xdr:col>
      <xdr:colOff>0</xdr:colOff>
      <xdr:row>140</xdr:row>
      <xdr:rowOff>85725</xdr:rowOff>
    </xdr:from>
    <xdr:to>
      <xdr:col>19</xdr:col>
      <xdr:colOff>95250</xdr:colOff>
      <xdr:row>147</xdr:row>
      <xdr:rowOff>66675</xdr:rowOff>
    </xdr:to>
    <xdr:cxnSp macro="">
      <xdr:nvCxnSpPr>
        <xdr:cNvPr id="113236" name="カギ線コネクタ 56">
          <a:extLst>
            <a:ext uri="{FF2B5EF4-FFF2-40B4-BE49-F238E27FC236}">
              <a16:creationId xmlns:a16="http://schemas.microsoft.com/office/drawing/2014/main" id="{00000000-0008-0000-0500-000054BA0100}"/>
            </a:ext>
          </a:extLst>
        </xdr:cNvPr>
        <xdr:cNvCxnSpPr>
          <a:cxnSpLocks noChangeShapeType="1"/>
          <a:endCxn id="192" idx="3"/>
        </xdr:cNvCxnSpPr>
      </xdr:nvCxnSpPr>
      <xdr:spPr bwMode="auto">
        <a:xfrm rot="5400000">
          <a:off x="1781175" y="23145750"/>
          <a:ext cx="1114425" cy="219075"/>
        </a:xfrm>
        <a:prstGeom prst="bentConnector2">
          <a:avLst/>
        </a:prstGeom>
        <a:noFill/>
        <a:ln w="19050" algn="ctr">
          <a:solidFill>
            <a:srgbClr val="000000"/>
          </a:solidFill>
          <a:prstDash val="dash"/>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9</xdr:col>
      <xdr:colOff>114300</xdr:colOff>
      <xdr:row>145</xdr:row>
      <xdr:rowOff>114300</xdr:rowOff>
    </xdr:from>
    <xdr:to>
      <xdr:col>12</xdr:col>
      <xdr:colOff>18280</xdr:colOff>
      <xdr:row>147</xdr:row>
      <xdr:rowOff>13233</xdr:rowOff>
    </xdr:to>
    <xdr:sp macro="" textlink="">
      <xdr:nvSpPr>
        <xdr:cNvPr id="194" name="テキスト ボックス 99">
          <a:extLst>
            <a:ext uri="{FF2B5EF4-FFF2-40B4-BE49-F238E27FC236}">
              <a16:creationId xmlns:a16="http://schemas.microsoft.com/office/drawing/2014/main" id="{00000000-0008-0000-0500-0000C2000000}"/>
            </a:ext>
          </a:extLst>
        </xdr:cNvPr>
        <xdr:cNvSpPr txBox="1"/>
      </xdr:nvSpPr>
      <xdr:spPr>
        <a:xfrm>
          <a:off x="1228725" y="23536275"/>
          <a:ext cx="275455" cy="222783"/>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en-US" altLang="ja-JP" sz="1200">
              <a:solidFill>
                <a:sysClr val="windowText" lastClr="000000"/>
              </a:solidFill>
              <a:latin typeface="+mn-ea"/>
              <a:ea typeface="+mn-ea"/>
            </a:rPr>
            <a:t>D</a:t>
          </a:r>
          <a:endParaRPr lang="ja-JP" altLang="en-US" sz="1200">
            <a:solidFill>
              <a:sysClr val="windowText" lastClr="000000"/>
            </a:solidFill>
            <a:latin typeface="+mn-ea"/>
            <a:ea typeface="+mn-ea"/>
          </a:endParaRPr>
        </a:p>
      </xdr:txBody>
    </xdr:sp>
    <xdr:clientData/>
  </xdr:twoCellAnchor>
  <xdr:twoCellAnchor>
    <xdr:from>
      <xdr:col>22</xdr:col>
      <xdr:colOff>22411</xdr:colOff>
      <xdr:row>298</xdr:row>
      <xdr:rowOff>33618</xdr:rowOff>
    </xdr:from>
    <xdr:to>
      <xdr:col>62</xdr:col>
      <xdr:colOff>100853</xdr:colOff>
      <xdr:row>304</xdr:row>
      <xdr:rowOff>66675</xdr:rowOff>
    </xdr:to>
    <xdr:sp macro="" textlink="">
      <xdr:nvSpPr>
        <xdr:cNvPr id="195" name="正方形/長方形 194">
          <a:extLst>
            <a:ext uri="{FF2B5EF4-FFF2-40B4-BE49-F238E27FC236}">
              <a16:creationId xmlns:a16="http://schemas.microsoft.com/office/drawing/2014/main" id="{00000000-0008-0000-0500-0000C3000000}"/>
            </a:ext>
          </a:extLst>
        </xdr:cNvPr>
        <xdr:cNvSpPr/>
      </xdr:nvSpPr>
      <xdr:spPr>
        <a:xfrm>
          <a:off x="2746561" y="47191893"/>
          <a:ext cx="5031442" cy="947457"/>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Standby</a:t>
          </a:r>
          <a:r>
            <a:rPr lang="ja-JP" altLang="en-US" sz="1200">
              <a:solidFill>
                <a:sysClr val="windowText" lastClr="000000"/>
              </a:solidFill>
              <a:latin typeface="+mn-ea"/>
            </a:rPr>
            <a:t>）</a:t>
          </a:r>
        </a:p>
      </xdr:txBody>
    </xdr:sp>
    <xdr:clientData/>
  </xdr:twoCellAnchor>
  <xdr:twoCellAnchor>
    <xdr:from>
      <xdr:col>22</xdr:col>
      <xdr:colOff>22411</xdr:colOff>
      <xdr:row>284</xdr:row>
      <xdr:rowOff>0</xdr:rowOff>
    </xdr:from>
    <xdr:to>
      <xdr:col>62</xdr:col>
      <xdr:colOff>100853</xdr:colOff>
      <xdr:row>297</xdr:row>
      <xdr:rowOff>100853</xdr:rowOff>
    </xdr:to>
    <xdr:sp macro="" textlink="">
      <xdr:nvSpPr>
        <xdr:cNvPr id="196" name="正方形/長方形 195">
          <a:extLst>
            <a:ext uri="{FF2B5EF4-FFF2-40B4-BE49-F238E27FC236}">
              <a16:creationId xmlns:a16="http://schemas.microsoft.com/office/drawing/2014/main" id="{00000000-0008-0000-0500-0000C4000000}"/>
            </a:ext>
          </a:extLst>
        </xdr:cNvPr>
        <xdr:cNvSpPr/>
      </xdr:nvSpPr>
      <xdr:spPr>
        <a:xfrm>
          <a:off x="2746561" y="45024675"/>
          <a:ext cx="5031442" cy="208205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47</xdr:col>
      <xdr:colOff>78442</xdr:colOff>
      <xdr:row>285</xdr:row>
      <xdr:rowOff>0</xdr:rowOff>
    </xdr:from>
    <xdr:to>
      <xdr:col>60</xdr:col>
      <xdr:colOff>16785</xdr:colOff>
      <xdr:row>289</xdr:row>
      <xdr:rowOff>22412</xdr:rowOff>
    </xdr:to>
    <xdr:sp macro="" textlink="">
      <xdr:nvSpPr>
        <xdr:cNvPr id="197" name="円柱 196">
          <a:extLst>
            <a:ext uri="{FF2B5EF4-FFF2-40B4-BE49-F238E27FC236}">
              <a16:creationId xmlns:a16="http://schemas.microsoft.com/office/drawing/2014/main" id="{00000000-0008-0000-0500-0000C5000000}"/>
            </a:ext>
          </a:extLst>
        </xdr:cNvPr>
        <xdr:cNvSpPr/>
      </xdr:nvSpPr>
      <xdr:spPr>
        <a:xfrm>
          <a:off x="5898217" y="45177075"/>
          <a:ext cx="1548068" cy="632012"/>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24</xdr:col>
      <xdr:colOff>1</xdr:colOff>
      <xdr:row>295</xdr:row>
      <xdr:rowOff>13381</xdr:rowOff>
    </xdr:from>
    <xdr:to>
      <xdr:col>33</xdr:col>
      <xdr:colOff>104195</xdr:colOff>
      <xdr:row>296</xdr:row>
      <xdr:rowOff>118992</xdr:rowOff>
    </xdr:to>
    <xdr:sp macro="" textlink="">
      <xdr:nvSpPr>
        <xdr:cNvPr id="198" name="角丸四角形 197">
          <a:extLst>
            <a:ext uri="{FF2B5EF4-FFF2-40B4-BE49-F238E27FC236}">
              <a16:creationId xmlns:a16="http://schemas.microsoft.com/office/drawing/2014/main" id="{00000000-0008-0000-0500-0000C6000000}"/>
            </a:ext>
          </a:extLst>
        </xdr:cNvPr>
        <xdr:cNvSpPr/>
      </xdr:nvSpPr>
      <xdr:spPr>
        <a:xfrm>
          <a:off x="2971801" y="46714456"/>
          <a:ext cx="1218619" cy="2580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ysClr val="windowText" lastClr="000000"/>
              </a:solidFill>
              <a:latin typeface="+mn-ea"/>
            </a:rPr>
            <a:t>HULFT</a:t>
          </a:r>
          <a:endParaRPr lang="ja-JP" altLang="en-US" sz="1200">
            <a:solidFill>
              <a:sysClr val="windowText" lastClr="000000"/>
            </a:solidFill>
            <a:latin typeface="+mn-ea"/>
          </a:endParaRPr>
        </a:p>
      </xdr:txBody>
    </xdr:sp>
    <xdr:clientData/>
  </xdr:twoCellAnchor>
  <xdr:twoCellAnchor>
    <xdr:from>
      <xdr:col>24</xdr:col>
      <xdr:colOff>3342</xdr:colOff>
      <xdr:row>285</xdr:row>
      <xdr:rowOff>145674</xdr:rowOff>
    </xdr:from>
    <xdr:to>
      <xdr:col>33</xdr:col>
      <xdr:colOff>92988</xdr:colOff>
      <xdr:row>288</xdr:row>
      <xdr:rowOff>44824</xdr:rowOff>
    </xdr:to>
    <xdr:sp macro="" textlink="">
      <xdr:nvSpPr>
        <xdr:cNvPr id="199" name="角丸四角形 198">
          <a:extLst>
            <a:ext uri="{FF2B5EF4-FFF2-40B4-BE49-F238E27FC236}">
              <a16:creationId xmlns:a16="http://schemas.microsoft.com/office/drawing/2014/main" id="{00000000-0008-0000-0500-0000C7000000}"/>
            </a:ext>
          </a:extLst>
        </xdr:cNvPr>
        <xdr:cNvSpPr/>
      </xdr:nvSpPr>
      <xdr:spPr>
        <a:xfrm>
          <a:off x="2975142" y="45322749"/>
          <a:ext cx="1204071" cy="35635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33</xdr:col>
      <xdr:colOff>89648</xdr:colOff>
      <xdr:row>287</xdr:row>
      <xdr:rowOff>89647</xdr:rowOff>
    </xdr:from>
    <xdr:to>
      <xdr:col>47</xdr:col>
      <xdr:colOff>89649</xdr:colOff>
      <xdr:row>287</xdr:row>
      <xdr:rowOff>100853</xdr:rowOff>
    </xdr:to>
    <xdr:cxnSp macro="">
      <xdr:nvCxnSpPr>
        <xdr:cNvPr id="200" name="直線矢印コネクタ 199">
          <a:extLst>
            <a:ext uri="{FF2B5EF4-FFF2-40B4-BE49-F238E27FC236}">
              <a16:creationId xmlns:a16="http://schemas.microsoft.com/office/drawing/2014/main" id="{00000000-0008-0000-0500-0000C8000000}"/>
            </a:ext>
          </a:extLst>
        </xdr:cNvPr>
        <xdr:cNvCxnSpPr/>
      </xdr:nvCxnSpPr>
      <xdr:spPr>
        <a:xfrm flipH="1">
          <a:off x="4175873" y="45571522"/>
          <a:ext cx="1733551" cy="11206"/>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44825</xdr:colOff>
      <xdr:row>289</xdr:row>
      <xdr:rowOff>145677</xdr:rowOff>
    </xdr:from>
    <xdr:to>
      <xdr:col>31</xdr:col>
      <xdr:colOff>56031</xdr:colOff>
      <xdr:row>293</xdr:row>
      <xdr:rowOff>56029</xdr:rowOff>
    </xdr:to>
    <xdr:sp macro="" textlink="">
      <xdr:nvSpPr>
        <xdr:cNvPr id="201" name="メモ 200">
          <a:extLst>
            <a:ext uri="{FF2B5EF4-FFF2-40B4-BE49-F238E27FC236}">
              <a16:creationId xmlns:a16="http://schemas.microsoft.com/office/drawing/2014/main" id="{00000000-0008-0000-0500-0000C9000000}"/>
            </a:ext>
          </a:extLst>
        </xdr:cNvPr>
        <xdr:cNvSpPr/>
      </xdr:nvSpPr>
      <xdr:spPr>
        <a:xfrm>
          <a:off x="3264275" y="45932352"/>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1</xdr:colOff>
      <xdr:row>290</xdr:row>
      <xdr:rowOff>78440</xdr:rowOff>
    </xdr:from>
    <xdr:ext cx="1228285" cy="275717"/>
    <xdr:sp macro="" textlink="">
      <xdr:nvSpPr>
        <xdr:cNvPr id="202" name="テキスト ボックス 201">
          <a:extLst>
            <a:ext uri="{FF2B5EF4-FFF2-40B4-BE49-F238E27FC236}">
              <a16:creationId xmlns:a16="http://schemas.microsoft.com/office/drawing/2014/main" id="{00000000-0008-0000-0500-0000CA000000}"/>
            </a:ext>
          </a:extLst>
        </xdr:cNvPr>
        <xdr:cNvSpPr txBox="1"/>
      </xdr:nvSpPr>
      <xdr:spPr>
        <a:xfrm>
          <a:off x="3095626" y="46017515"/>
          <a:ext cx="12282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キャンペーン受付</a:t>
          </a:r>
        </a:p>
      </xdr:txBody>
    </xdr:sp>
    <xdr:clientData/>
  </xdr:oneCellAnchor>
  <xdr:twoCellAnchor>
    <xdr:from>
      <xdr:col>28</xdr:col>
      <xdr:colOff>109797</xdr:colOff>
      <xdr:row>288</xdr:row>
      <xdr:rowOff>44824</xdr:rowOff>
    </xdr:from>
    <xdr:to>
      <xdr:col>28</xdr:col>
      <xdr:colOff>112060</xdr:colOff>
      <xdr:row>289</xdr:row>
      <xdr:rowOff>145677</xdr:rowOff>
    </xdr:to>
    <xdr:cxnSp macro="">
      <xdr:nvCxnSpPr>
        <xdr:cNvPr id="203" name="直線矢印コネクタ 202">
          <a:extLst>
            <a:ext uri="{FF2B5EF4-FFF2-40B4-BE49-F238E27FC236}">
              <a16:creationId xmlns:a16="http://schemas.microsoft.com/office/drawing/2014/main" id="{00000000-0008-0000-0500-0000CB000000}"/>
            </a:ext>
          </a:extLst>
        </xdr:cNvPr>
        <xdr:cNvCxnSpPr>
          <a:stCxn id="199" idx="2"/>
          <a:endCxn id="201" idx="0"/>
        </xdr:cNvCxnSpPr>
      </xdr:nvCxnSpPr>
      <xdr:spPr>
        <a:xfrm>
          <a:off x="3576897" y="45679099"/>
          <a:ext cx="2263" cy="25325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112060</xdr:colOff>
      <xdr:row>293</xdr:row>
      <xdr:rowOff>56029</xdr:rowOff>
    </xdr:from>
    <xdr:to>
      <xdr:col>28</xdr:col>
      <xdr:colOff>113730</xdr:colOff>
      <xdr:row>295</xdr:row>
      <xdr:rowOff>13381</xdr:rowOff>
    </xdr:to>
    <xdr:cxnSp macro="">
      <xdr:nvCxnSpPr>
        <xdr:cNvPr id="204" name="直線矢印コネクタ 203">
          <a:extLst>
            <a:ext uri="{FF2B5EF4-FFF2-40B4-BE49-F238E27FC236}">
              <a16:creationId xmlns:a16="http://schemas.microsoft.com/office/drawing/2014/main" id="{00000000-0008-0000-0500-0000CC000000}"/>
            </a:ext>
          </a:extLst>
        </xdr:cNvPr>
        <xdr:cNvCxnSpPr>
          <a:stCxn id="201" idx="2"/>
          <a:endCxn id="198" idx="0"/>
        </xdr:cNvCxnSpPr>
      </xdr:nvCxnSpPr>
      <xdr:spPr>
        <a:xfrm>
          <a:off x="3579160" y="46452304"/>
          <a:ext cx="1670" cy="26215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92988</xdr:colOff>
      <xdr:row>286</xdr:row>
      <xdr:rowOff>123263</xdr:rowOff>
    </xdr:from>
    <xdr:to>
      <xdr:col>47</xdr:col>
      <xdr:colOff>78442</xdr:colOff>
      <xdr:row>286</xdr:row>
      <xdr:rowOff>123265</xdr:rowOff>
    </xdr:to>
    <xdr:cxnSp macro="">
      <xdr:nvCxnSpPr>
        <xdr:cNvPr id="205" name="直線矢印コネクタ 204">
          <a:extLst>
            <a:ext uri="{FF2B5EF4-FFF2-40B4-BE49-F238E27FC236}">
              <a16:creationId xmlns:a16="http://schemas.microsoft.com/office/drawing/2014/main" id="{00000000-0008-0000-0500-0000CD000000}"/>
            </a:ext>
          </a:extLst>
        </xdr:cNvPr>
        <xdr:cNvCxnSpPr/>
      </xdr:nvCxnSpPr>
      <xdr:spPr>
        <a:xfrm>
          <a:off x="4179213" y="45452738"/>
          <a:ext cx="1719004" cy="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295</xdr:row>
      <xdr:rowOff>144628</xdr:rowOff>
    </xdr:from>
    <xdr:to>
      <xdr:col>24</xdr:col>
      <xdr:colOff>1</xdr:colOff>
      <xdr:row>295</xdr:row>
      <xdr:rowOff>145677</xdr:rowOff>
    </xdr:to>
    <xdr:cxnSp macro="">
      <xdr:nvCxnSpPr>
        <xdr:cNvPr id="206" name="直線矢印コネクタ 205">
          <a:extLst>
            <a:ext uri="{FF2B5EF4-FFF2-40B4-BE49-F238E27FC236}">
              <a16:creationId xmlns:a16="http://schemas.microsoft.com/office/drawing/2014/main" id="{00000000-0008-0000-0500-0000CE000000}"/>
            </a:ext>
          </a:extLst>
        </xdr:cNvPr>
        <xdr:cNvCxnSpPr>
          <a:stCxn id="198" idx="1"/>
        </xdr:cNvCxnSpPr>
      </xdr:nvCxnSpPr>
      <xdr:spPr>
        <a:xfrm flipH="1">
          <a:off x="2476500" y="46845703"/>
          <a:ext cx="495301" cy="1049"/>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56031</xdr:colOff>
      <xdr:row>284</xdr:row>
      <xdr:rowOff>44822</xdr:rowOff>
    </xdr:from>
    <xdr:ext cx="1109022" cy="275717"/>
    <xdr:sp macro="" textlink="">
      <xdr:nvSpPr>
        <xdr:cNvPr id="207" name="テキスト ボックス 206">
          <a:extLst>
            <a:ext uri="{FF2B5EF4-FFF2-40B4-BE49-F238E27FC236}">
              <a16:creationId xmlns:a16="http://schemas.microsoft.com/office/drawing/2014/main" id="{00000000-0008-0000-0500-0000CF000000}"/>
            </a:ext>
          </a:extLst>
        </xdr:cNvPr>
        <xdr:cNvSpPr txBox="1"/>
      </xdr:nvSpPr>
      <xdr:spPr>
        <a:xfrm>
          <a:off x="4389906" y="45069497"/>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①抽出</a:t>
          </a:r>
          <a:r>
            <a:rPr kumimoji="1" lang="en-US" altLang="ja-JP" sz="1100">
              <a:solidFill>
                <a:sysClr val="windowText" lastClr="000000"/>
              </a:solidFill>
            </a:rPr>
            <a:t>SQL</a:t>
          </a:r>
          <a:r>
            <a:rPr kumimoji="1" lang="ja-JP" altLang="en-US" sz="1100">
              <a:solidFill>
                <a:sysClr val="windowText" lastClr="000000"/>
              </a:solidFill>
            </a:rPr>
            <a:t>発行</a:t>
          </a:r>
        </a:p>
      </xdr:txBody>
    </xdr:sp>
    <xdr:clientData/>
  </xdr:oneCellAnchor>
  <xdr:oneCellAnchor>
    <xdr:from>
      <xdr:col>35</xdr:col>
      <xdr:colOff>78442</xdr:colOff>
      <xdr:row>288</xdr:row>
      <xdr:rowOff>56031</xdr:rowOff>
    </xdr:from>
    <xdr:ext cx="889987" cy="275717"/>
    <xdr:sp macro="" textlink="">
      <xdr:nvSpPr>
        <xdr:cNvPr id="208" name="テキスト ボックス 207">
          <a:extLst>
            <a:ext uri="{FF2B5EF4-FFF2-40B4-BE49-F238E27FC236}">
              <a16:creationId xmlns:a16="http://schemas.microsoft.com/office/drawing/2014/main" id="{00000000-0008-0000-0500-0000D0000000}"/>
            </a:ext>
          </a:extLst>
        </xdr:cNvPr>
        <xdr:cNvSpPr txBox="1"/>
      </xdr:nvSpPr>
      <xdr:spPr>
        <a:xfrm>
          <a:off x="4412317" y="45690306"/>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②結果連携</a:t>
          </a:r>
        </a:p>
      </xdr:txBody>
    </xdr:sp>
    <xdr:clientData/>
  </xdr:oneCellAnchor>
  <xdr:oneCellAnchor>
    <xdr:from>
      <xdr:col>34</xdr:col>
      <xdr:colOff>34178</xdr:colOff>
      <xdr:row>290</xdr:row>
      <xdr:rowOff>123265</xdr:rowOff>
    </xdr:from>
    <xdr:ext cx="1961030" cy="504264"/>
    <xdr:sp macro="" textlink="">
      <xdr:nvSpPr>
        <xdr:cNvPr id="209" name="テキスト ボックス 208">
          <a:extLst>
            <a:ext uri="{FF2B5EF4-FFF2-40B4-BE49-F238E27FC236}">
              <a16:creationId xmlns:a16="http://schemas.microsoft.com/office/drawing/2014/main" id="{00000000-0008-0000-0500-0000D1000000}"/>
            </a:ext>
          </a:extLst>
        </xdr:cNvPr>
        <xdr:cNvSpPr txBox="1"/>
      </xdr:nvSpPr>
      <xdr:spPr>
        <a:xfrm>
          <a:off x="4244228" y="46062340"/>
          <a:ext cx="1961030" cy="504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rtl="0">
            <a:lnSpc>
              <a:spcPts val="1300"/>
            </a:lnSpc>
            <a:defRPr sz="1000"/>
          </a:pPr>
          <a:r>
            <a:rPr lang="ja-JP" altLang="en-US" sz="1100" b="0" i="0" u="none" strike="noStrike" baseline="0">
              <a:solidFill>
                <a:sysClr val="windowText" lastClr="000000"/>
              </a:solidFill>
              <a:latin typeface="ＭＳ Ｐゴシック"/>
              <a:ea typeface="ＭＳ Ｐゴシック"/>
            </a:rPr>
            <a:t>③ファイル出力</a:t>
          </a:r>
          <a:endParaRPr lang="ja-JP" altLang="en-US" sz="1100" b="0" i="0" u="none" strike="noStrike" baseline="0">
            <a:solidFill>
              <a:sysClr val="windowText" lastClr="000000"/>
            </a:solidFill>
            <a:latin typeface="Calibri"/>
          </a:endParaRPr>
        </a:p>
        <a:p>
          <a:pPr algn="l" rtl="0">
            <a:lnSpc>
              <a:spcPts val="1200"/>
            </a:lnSpc>
            <a:defRPr sz="1000"/>
          </a:pPr>
          <a:r>
            <a:rPr lang="ja-JP" altLang="en-US" sz="1100" b="0" i="0" u="none" strike="noStrike" baseline="0">
              <a:solidFill>
                <a:sysClr val="windowText" lastClr="000000"/>
              </a:solidFill>
              <a:latin typeface="ＭＳ Ｐゴシック"/>
              <a:ea typeface="ＭＳ Ｐゴシック"/>
            </a:rPr>
            <a:t>　</a:t>
          </a:r>
          <a:r>
            <a:rPr lang="en-US" altLang="ja-JP" sz="1100" b="0" i="0" u="none" strike="noStrike" baseline="0">
              <a:solidFill>
                <a:sysClr val="windowText" lastClr="000000"/>
              </a:solidFill>
              <a:latin typeface="ＭＳ Ｐゴシック"/>
              <a:ea typeface="ＭＳ Ｐゴシック"/>
            </a:rPr>
            <a:t>※</a:t>
          </a:r>
          <a:r>
            <a:rPr lang="ja-JP" altLang="en-US" sz="1100" b="0" i="0" u="none" strike="noStrike" baseline="0">
              <a:solidFill>
                <a:sysClr val="windowText" lastClr="000000"/>
              </a:solidFill>
              <a:latin typeface="ＭＳ Ｐゴシック"/>
              <a:ea typeface="ＭＳ Ｐゴシック"/>
            </a:rPr>
            <a:t>ローカルディスクに保存</a:t>
          </a:r>
        </a:p>
      </xdr:txBody>
    </xdr:sp>
    <xdr:clientData/>
  </xdr:oneCellAnchor>
  <xdr:oneCellAnchor>
    <xdr:from>
      <xdr:col>21</xdr:col>
      <xdr:colOff>67237</xdr:colOff>
      <xdr:row>293</xdr:row>
      <xdr:rowOff>67234</xdr:rowOff>
    </xdr:from>
    <xdr:ext cx="979179" cy="275717"/>
    <xdr:sp macro="" textlink="">
      <xdr:nvSpPr>
        <xdr:cNvPr id="210" name="テキスト ボックス 209">
          <a:extLst>
            <a:ext uri="{FF2B5EF4-FFF2-40B4-BE49-F238E27FC236}">
              <a16:creationId xmlns:a16="http://schemas.microsoft.com/office/drawing/2014/main" id="{00000000-0008-0000-0500-0000D2000000}"/>
            </a:ext>
          </a:extLst>
        </xdr:cNvPr>
        <xdr:cNvSpPr txBox="1"/>
      </xdr:nvSpPr>
      <xdr:spPr>
        <a:xfrm>
          <a:off x="2667562" y="46463509"/>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solidFill>
                <a:sysClr val="windowText" lastClr="000000"/>
              </a:solidFill>
            </a:rPr>
            <a:t>④HULFT</a:t>
          </a:r>
          <a:r>
            <a:rPr kumimoji="1" lang="ja-JP" altLang="en-US" sz="1100">
              <a:solidFill>
                <a:sysClr val="windowText" lastClr="000000"/>
              </a:solidFill>
            </a:rPr>
            <a:t>転送</a:t>
          </a:r>
        </a:p>
      </xdr:txBody>
    </xdr:sp>
    <xdr:clientData/>
  </xdr:oneCellAnchor>
  <xdr:twoCellAnchor>
    <xdr:from>
      <xdr:col>6</xdr:col>
      <xdr:colOff>1</xdr:colOff>
      <xdr:row>284</xdr:row>
      <xdr:rowOff>1</xdr:rowOff>
    </xdr:from>
    <xdr:to>
      <xdr:col>19</xdr:col>
      <xdr:colOff>114125</xdr:colOff>
      <xdr:row>297</xdr:row>
      <xdr:rowOff>57527</xdr:rowOff>
    </xdr:to>
    <xdr:sp macro="" textlink="">
      <xdr:nvSpPr>
        <xdr:cNvPr id="211" name="正方形/長方形 210">
          <a:extLst>
            <a:ext uri="{FF2B5EF4-FFF2-40B4-BE49-F238E27FC236}">
              <a16:creationId xmlns:a16="http://schemas.microsoft.com/office/drawing/2014/main" id="{00000000-0008-0000-0500-0000D3000000}"/>
            </a:ext>
          </a:extLst>
        </xdr:cNvPr>
        <xdr:cNvSpPr/>
      </xdr:nvSpPr>
      <xdr:spPr>
        <a:xfrm>
          <a:off x="742951" y="45024676"/>
          <a:ext cx="1723849" cy="20387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47</xdr:col>
      <xdr:colOff>78442</xdr:colOff>
      <xdr:row>299</xdr:row>
      <xdr:rowOff>44823</xdr:rowOff>
    </xdr:from>
    <xdr:to>
      <xdr:col>60</xdr:col>
      <xdr:colOff>16785</xdr:colOff>
      <xdr:row>303</xdr:row>
      <xdr:rowOff>67235</xdr:rowOff>
    </xdr:to>
    <xdr:sp macro="" textlink="">
      <xdr:nvSpPr>
        <xdr:cNvPr id="212" name="円柱 211">
          <a:extLst>
            <a:ext uri="{FF2B5EF4-FFF2-40B4-BE49-F238E27FC236}">
              <a16:creationId xmlns:a16="http://schemas.microsoft.com/office/drawing/2014/main" id="{00000000-0008-0000-0500-0000D4000000}"/>
            </a:ext>
          </a:extLst>
        </xdr:cNvPr>
        <xdr:cNvSpPr/>
      </xdr:nvSpPr>
      <xdr:spPr>
        <a:xfrm>
          <a:off x="5898217" y="47355498"/>
          <a:ext cx="1548068" cy="632012"/>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#2</a:t>
          </a:r>
          <a:endParaRPr kumimoji="1" lang="ja-JP" altLang="en-US" sz="1100">
            <a:solidFill>
              <a:sysClr val="windowText" lastClr="000000"/>
            </a:solidFill>
            <a:latin typeface="+mn-ea"/>
            <a:ea typeface="+mn-ea"/>
          </a:endParaRPr>
        </a:p>
      </xdr:txBody>
    </xdr:sp>
    <xdr:clientData/>
  </xdr:twoCellAnchor>
  <xdr:twoCellAnchor>
    <xdr:from>
      <xdr:col>64</xdr:col>
      <xdr:colOff>0</xdr:colOff>
      <xdr:row>284</xdr:row>
      <xdr:rowOff>0</xdr:rowOff>
    </xdr:from>
    <xdr:to>
      <xdr:col>76</xdr:col>
      <xdr:colOff>80505</xdr:colOff>
      <xdr:row>304</xdr:row>
      <xdr:rowOff>66675</xdr:rowOff>
    </xdr:to>
    <xdr:sp macro="" textlink="">
      <xdr:nvSpPr>
        <xdr:cNvPr id="213" name="正方形/長方形 212">
          <a:extLst>
            <a:ext uri="{FF2B5EF4-FFF2-40B4-BE49-F238E27FC236}">
              <a16:creationId xmlns:a16="http://schemas.microsoft.com/office/drawing/2014/main" id="{00000000-0008-0000-0500-0000D5000000}"/>
            </a:ext>
          </a:extLst>
        </xdr:cNvPr>
        <xdr:cNvSpPr/>
      </xdr:nvSpPr>
      <xdr:spPr>
        <a:xfrm>
          <a:off x="7924800" y="45024675"/>
          <a:ext cx="1566405" cy="311467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共有 </a:t>
          </a:r>
          <a:r>
            <a:rPr lang="ja-JP" altLang="en-US" sz="1200" baseline="0">
              <a:solidFill>
                <a:sysClr val="windowText" lastClr="000000"/>
              </a:solidFill>
              <a:latin typeface="+mn-ea"/>
            </a:rPr>
            <a:t>ディスク</a:t>
          </a:r>
          <a:endParaRPr lang="ja-JP" altLang="en-US" sz="1200">
            <a:solidFill>
              <a:sysClr val="windowText" lastClr="000000"/>
            </a:solidFill>
            <a:latin typeface="+mn-ea"/>
          </a:endParaRPr>
        </a:p>
      </xdr:txBody>
    </xdr:sp>
    <xdr:clientData/>
  </xdr:twoCellAnchor>
  <xdr:twoCellAnchor>
    <xdr:from>
      <xdr:col>67</xdr:col>
      <xdr:colOff>33620</xdr:colOff>
      <xdr:row>294</xdr:row>
      <xdr:rowOff>123272</xdr:rowOff>
    </xdr:from>
    <xdr:to>
      <xdr:col>72</xdr:col>
      <xdr:colOff>44826</xdr:colOff>
      <xdr:row>298</xdr:row>
      <xdr:rowOff>33624</xdr:rowOff>
    </xdr:to>
    <xdr:sp macro="" textlink="">
      <xdr:nvSpPr>
        <xdr:cNvPr id="214" name="メモ 213">
          <a:extLst>
            <a:ext uri="{FF2B5EF4-FFF2-40B4-BE49-F238E27FC236}">
              <a16:creationId xmlns:a16="http://schemas.microsoft.com/office/drawing/2014/main" id="{00000000-0008-0000-0500-0000D6000000}"/>
            </a:ext>
          </a:extLst>
        </xdr:cNvPr>
        <xdr:cNvSpPr/>
      </xdr:nvSpPr>
      <xdr:spPr>
        <a:xfrm>
          <a:off x="8329895" y="46671947"/>
          <a:ext cx="630331" cy="519952"/>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44825</xdr:colOff>
      <xdr:row>294</xdr:row>
      <xdr:rowOff>33625</xdr:rowOff>
    </xdr:from>
    <xdr:to>
      <xdr:col>71</xdr:col>
      <xdr:colOff>56032</xdr:colOff>
      <xdr:row>297</xdr:row>
      <xdr:rowOff>100859</xdr:rowOff>
    </xdr:to>
    <xdr:sp macro="" textlink="">
      <xdr:nvSpPr>
        <xdr:cNvPr id="215" name="メモ 214">
          <a:extLst>
            <a:ext uri="{FF2B5EF4-FFF2-40B4-BE49-F238E27FC236}">
              <a16:creationId xmlns:a16="http://schemas.microsoft.com/office/drawing/2014/main" id="{00000000-0008-0000-0500-0000D7000000}"/>
            </a:ext>
          </a:extLst>
        </xdr:cNvPr>
        <xdr:cNvSpPr/>
      </xdr:nvSpPr>
      <xdr:spPr>
        <a:xfrm>
          <a:off x="8217275" y="46582300"/>
          <a:ext cx="630332"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100852</xdr:colOff>
      <xdr:row>293</xdr:row>
      <xdr:rowOff>132234</xdr:rowOff>
    </xdr:from>
    <xdr:ext cx="1324388" cy="686915"/>
    <xdr:sp macro="" textlink="">
      <xdr:nvSpPr>
        <xdr:cNvPr id="216" name="テキスト ボックス 215">
          <a:extLst>
            <a:ext uri="{FF2B5EF4-FFF2-40B4-BE49-F238E27FC236}">
              <a16:creationId xmlns:a16="http://schemas.microsoft.com/office/drawing/2014/main" id="{00000000-0008-0000-0500-0000D8000000}"/>
            </a:ext>
          </a:extLst>
        </xdr:cNvPr>
        <xdr:cNvSpPr txBox="1"/>
      </xdr:nvSpPr>
      <xdr:spPr>
        <a:xfrm>
          <a:off x="8149477" y="46528509"/>
          <a:ext cx="1324388" cy="686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solidFill>
                <a:sysClr val="windowText" lastClr="000000"/>
              </a:solidFill>
            </a:rPr>
            <a:t>キャンペーン</a:t>
          </a:r>
          <a:endParaRPr kumimoji="1" lang="en-US" altLang="ja-JP" sz="1100">
            <a:solidFill>
              <a:sysClr val="windowText" lastClr="000000"/>
            </a:solidFill>
          </a:endParaRPr>
        </a:p>
        <a:p>
          <a:r>
            <a:rPr kumimoji="1" lang="ja-JP" altLang="en-US" sz="1100">
              <a:solidFill>
                <a:sysClr val="windowText" lastClr="000000"/>
              </a:solidFill>
            </a:rPr>
            <a:t>受付履歴</a:t>
          </a:r>
          <a:endParaRPr kumimoji="1" lang="en-US" altLang="ja-JP" sz="1100">
            <a:solidFill>
              <a:sysClr val="windowText" lastClr="000000"/>
            </a:solidFill>
          </a:endParaRPr>
        </a:p>
        <a:p>
          <a:r>
            <a:rPr kumimoji="1" lang="en-US" altLang="ja-JP" sz="1100">
              <a:solidFill>
                <a:sysClr val="windowText" lastClr="000000"/>
              </a:solidFill>
            </a:rPr>
            <a:t>yyyymmdd</a:t>
          </a:r>
          <a:endParaRPr kumimoji="1" lang="ja-JP" altLang="en-US" sz="1100">
            <a:solidFill>
              <a:sysClr val="windowText" lastClr="000000"/>
            </a:solidFill>
          </a:endParaRPr>
        </a:p>
      </xdr:txBody>
    </xdr:sp>
    <xdr:clientData/>
  </xdr:oneCellAnchor>
  <xdr:twoCellAnchor>
    <xdr:from>
      <xdr:col>45</xdr:col>
      <xdr:colOff>3340</xdr:colOff>
      <xdr:row>295</xdr:row>
      <xdr:rowOff>145677</xdr:rowOff>
    </xdr:from>
    <xdr:to>
      <xdr:col>66</xdr:col>
      <xdr:colOff>44825</xdr:colOff>
      <xdr:row>295</xdr:row>
      <xdr:rowOff>145684</xdr:rowOff>
    </xdr:to>
    <xdr:cxnSp macro="">
      <xdr:nvCxnSpPr>
        <xdr:cNvPr id="217" name="直線矢印コネクタ 216">
          <a:extLst>
            <a:ext uri="{FF2B5EF4-FFF2-40B4-BE49-F238E27FC236}">
              <a16:creationId xmlns:a16="http://schemas.microsoft.com/office/drawing/2014/main" id="{00000000-0008-0000-0500-0000D9000000}"/>
            </a:ext>
          </a:extLst>
        </xdr:cNvPr>
        <xdr:cNvCxnSpPr>
          <a:stCxn id="219" idx="3"/>
          <a:endCxn id="215" idx="1"/>
        </xdr:cNvCxnSpPr>
      </xdr:nvCxnSpPr>
      <xdr:spPr>
        <a:xfrm>
          <a:off x="5575465" y="46846752"/>
          <a:ext cx="2641810" cy="7"/>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44826</xdr:colOff>
      <xdr:row>294</xdr:row>
      <xdr:rowOff>56027</xdr:rowOff>
    </xdr:from>
    <xdr:ext cx="1798634" cy="275717"/>
    <xdr:sp macro="" textlink="">
      <xdr:nvSpPr>
        <xdr:cNvPr id="218" name="テキスト ボックス 217">
          <a:extLst>
            <a:ext uri="{FF2B5EF4-FFF2-40B4-BE49-F238E27FC236}">
              <a16:creationId xmlns:a16="http://schemas.microsoft.com/office/drawing/2014/main" id="{00000000-0008-0000-0500-0000DA000000}"/>
            </a:ext>
          </a:extLst>
        </xdr:cNvPr>
        <xdr:cNvSpPr txBox="1"/>
      </xdr:nvSpPr>
      <xdr:spPr>
        <a:xfrm>
          <a:off x="5616951" y="46604702"/>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⑤転送ファイルバックアップ</a:t>
          </a:r>
        </a:p>
      </xdr:txBody>
    </xdr:sp>
    <xdr:clientData/>
  </xdr:oneCellAnchor>
  <xdr:twoCellAnchor>
    <xdr:from>
      <xdr:col>35</xdr:col>
      <xdr:colOff>36959</xdr:colOff>
      <xdr:row>295</xdr:row>
      <xdr:rowOff>11206</xdr:rowOff>
    </xdr:from>
    <xdr:to>
      <xdr:col>45</xdr:col>
      <xdr:colOff>3340</xdr:colOff>
      <xdr:row>296</xdr:row>
      <xdr:rowOff>123265</xdr:rowOff>
    </xdr:to>
    <xdr:sp macro="" textlink="">
      <xdr:nvSpPr>
        <xdr:cNvPr id="219" name="角丸四角形 218">
          <a:extLst>
            <a:ext uri="{FF2B5EF4-FFF2-40B4-BE49-F238E27FC236}">
              <a16:creationId xmlns:a16="http://schemas.microsoft.com/office/drawing/2014/main" id="{00000000-0008-0000-0500-0000DB000000}"/>
            </a:ext>
          </a:extLst>
        </xdr:cNvPr>
        <xdr:cNvSpPr/>
      </xdr:nvSpPr>
      <xdr:spPr>
        <a:xfrm>
          <a:off x="4370834" y="46712281"/>
          <a:ext cx="1204631" cy="264459"/>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31</xdr:col>
      <xdr:colOff>56031</xdr:colOff>
      <xdr:row>291</xdr:row>
      <xdr:rowOff>100853</xdr:rowOff>
    </xdr:from>
    <xdr:to>
      <xdr:col>35</xdr:col>
      <xdr:colOff>36959</xdr:colOff>
      <xdr:row>295</xdr:row>
      <xdr:rowOff>145677</xdr:rowOff>
    </xdr:to>
    <xdr:cxnSp macro="">
      <xdr:nvCxnSpPr>
        <xdr:cNvPr id="220" name="直線矢印コネクタ 219">
          <a:extLst>
            <a:ext uri="{FF2B5EF4-FFF2-40B4-BE49-F238E27FC236}">
              <a16:creationId xmlns:a16="http://schemas.microsoft.com/office/drawing/2014/main" id="{00000000-0008-0000-0500-0000DC000000}"/>
            </a:ext>
          </a:extLst>
        </xdr:cNvPr>
        <xdr:cNvCxnSpPr>
          <a:stCxn id="201" idx="3"/>
          <a:endCxn id="219" idx="1"/>
        </xdr:cNvCxnSpPr>
      </xdr:nvCxnSpPr>
      <xdr:spPr>
        <a:xfrm>
          <a:off x="3894606" y="46192328"/>
          <a:ext cx="476228" cy="654424"/>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33618</xdr:colOff>
      <xdr:row>285</xdr:row>
      <xdr:rowOff>123263</xdr:rowOff>
    </xdr:from>
    <xdr:to>
      <xdr:col>43</xdr:col>
      <xdr:colOff>53966</xdr:colOff>
      <xdr:row>288</xdr:row>
      <xdr:rowOff>88524</xdr:rowOff>
    </xdr:to>
    <xdr:sp macro="" textlink="">
      <xdr:nvSpPr>
        <xdr:cNvPr id="221" name="角丸四角形 220">
          <a:extLst>
            <a:ext uri="{FF2B5EF4-FFF2-40B4-BE49-F238E27FC236}">
              <a16:creationId xmlns:a16="http://schemas.microsoft.com/office/drawing/2014/main" id="{00000000-0008-0000-0500-0000DD000000}"/>
            </a:ext>
          </a:extLst>
        </xdr:cNvPr>
        <xdr:cNvSpPr/>
      </xdr:nvSpPr>
      <xdr:spPr>
        <a:xfrm>
          <a:off x="4491318" y="45300338"/>
          <a:ext cx="887123" cy="422461"/>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ysClr val="windowText" lastClr="000000"/>
              </a:solidFill>
              <a:latin typeface="+mn-ea"/>
            </a:rPr>
            <a:t>Oracle Client</a:t>
          </a:r>
          <a:endParaRPr lang="ja-JP" altLang="en-US" sz="1200">
            <a:solidFill>
              <a:sysClr val="windowText" lastClr="000000"/>
            </a:solidFill>
            <a:latin typeface="+mn-ea"/>
          </a:endParaRPr>
        </a:p>
      </xdr:txBody>
    </xdr:sp>
    <xdr:clientData/>
  </xdr:twoCellAnchor>
  <xdr:twoCellAnchor>
    <xdr:from>
      <xdr:col>23</xdr:col>
      <xdr:colOff>11205</xdr:colOff>
      <xdr:row>334</xdr:row>
      <xdr:rowOff>114299</xdr:rowOff>
    </xdr:from>
    <xdr:to>
      <xdr:col>63</xdr:col>
      <xdr:colOff>89647</xdr:colOff>
      <xdr:row>346</xdr:row>
      <xdr:rowOff>47625</xdr:rowOff>
    </xdr:to>
    <xdr:sp macro="" textlink="">
      <xdr:nvSpPr>
        <xdr:cNvPr id="222" name="正方形/長方形 221">
          <a:extLst>
            <a:ext uri="{FF2B5EF4-FFF2-40B4-BE49-F238E27FC236}">
              <a16:creationId xmlns:a16="http://schemas.microsoft.com/office/drawing/2014/main" id="{00000000-0008-0000-0500-0000DE000000}"/>
            </a:ext>
          </a:extLst>
        </xdr:cNvPr>
        <xdr:cNvSpPr/>
      </xdr:nvSpPr>
      <xdr:spPr>
        <a:xfrm>
          <a:off x="2859180" y="52797074"/>
          <a:ext cx="5031442" cy="17621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ＭＳ Ｐゴシック" pitchFamily="50" charset="-128"/>
              <a:ea typeface="ＭＳ Ｐゴシック" pitchFamily="50" charset="-128"/>
            </a:rPr>
            <a:t>Standby</a:t>
          </a:r>
          <a:r>
            <a:rPr lang="ja-JP" altLang="en-US" sz="1200">
              <a:solidFill>
                <a:sysClr val="windowText" lastClr="000000"/>
              </a:solidFill>
              <a:latin typeface="+mn-ea"/>
            </a:rPr>
            <a:t>）</a:t>
          </a:r>
        </a:p>
      </xdr:txBody>
    </xdr:sp>
    <xdr:clientData/>
  </xdr:twoCellAnchor>
  <xdr:twoCellAnchor>
    <xdr:from>
      <xdr:col>23</xdr:col>
      <xdr:colOff>11205</xdr:colOff>
      <xdr:row>323</xdr:row>
      <xdr:rowOff>19050</xdr:rowOff>
    </xdr:from>
    <xdr:to>
      <xdr:col>63</xdr:col>
      <xdr:colOff>89647</xdr:colOff>
      <xdr:row>334</xdr:row>
      <xdr:rowOff>38100</xdr:rowOff>
    </xdr:to>
    <xdr:sp macro="" textlink="">
      <xdr:nvSpPr>
        <xdr:cNvPr id="223" name="正方形/長方形 222">
          <a:extLst>
            <a:ext uri="{FF2B5EF4-FFF2-40B4-BE49-F238E27FC236}">
              <a16:creationId xmlns:a16="http://schemas.microsoft.com/office/drawing/2014/main" id="{00000000-0008-0000-0500-0000DF000000}"/>
            </a:ext>
          </a:extLst>
        </xdr:cNvPr>
        <xdr:cNvSpPr/>
      </xdr:nvSpPr>
      <xdr:spPr>
        <a:xfrm>
          <a:off x="2859180" y="51025425"/>
          <a:ext cx="5031442" cy="169545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ＩＶＲ ＤＢ（</a:t>
          </a:r>
          <a:r>
            <a:rPr lang="en-US" altLang="ja-JP" sz="1200">
              <a:solidFill>
                <a:sysClr val="windowText" lastClr="000000"/>
              </a:solidFill>
              <a:latin typeface="+mn-ea"/>
            </a:rPr>
            <a:t>Active</a:t>
          </a:r>
          <a:r>
            <a:rPr lang="ja-JP" altLang="en-US" sz="1200">
              <a:solidFill>
                <a:sysClr val="windowText" lastClr="000000"/>
              </a:solidFill>
              <a:latin typeface="+mn-ea"/>
            </a:rPr>
            <a:t>）</a:t>
          </a:r>
        </a:p>
      </xdr:txBody>
    </xdr:sp>
    <xdr:clientData/>
  </xdr:twoCellAnchor>
  <xdr:twoCellAnchor>
    <xdr:from>
      <xdr:col>48</xdr:col>
      <xdr:colOff>67235</xdr:colOff>
      <xdr:row>340</xdr:row>
      <xdr:rowOff>124945</xdr:rowOff>
    </xdr:from>
    <xdr:to>
      <xdr:col>61</xdr:col>
      <xdr:colOff>5578</xdr:colOff>
      <xdr:row>344</xdr:row>
      <xdr:rowOff>142875</xdr:rowOff>
    </xdr:to>
    <xdr:sp macro="" textlink="">
      <xdr:nvSpPr>
        <xdr:cNvPr id="224" name="円柱 223">
          <a:extLst>
            <a:ext uri="{FF2B5EF4-FFF2-40B4-BE49-F238E27FC236}">
              <a16:creationId xmlns:a16="http://schemas.microsoft.com/office/drawing/2014/main" id="{00000000-0008-0000-0500-0000E0000000}"/>
            </a:ext>
          </a:extLst>
        </xdr:cNvPr>
        <xdr:cNvSpPr/>
      </xdr:nvSpPr>
      <xdr:spPr>
        <a:xfrm>
          <a:off x="6010835" y="53722120"/>
          <a:ext cx="1548068" cy="627530"/>
        </a:xfrm>
        <a:prstGeom prst="can">
          <a:avLst>
            <a:gd name="adj" fmla="val 19488"/>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#2</a:t>
          </a:r>
          <a:endParaRPr kumimoji="1" lang="ja-JP" altLang="en-US" sz="1100">
            <a:solidFill>
              <a:sysClr val="windowText" lastClr="000000"/>
            </a:solidFill>
            <a:latin typeface="+mn-ea"/>
            <a:ea typeface="+mn-ea"/>
          </a:endParaRPr>
        </a:p>
      </xdr:txBody>
    </xdr:sp>
    <xdr:clientData/>
  </xdr:twoCellAnchor>
  <xdr:twoCellAnchor>
    <xdr:from>
      <xdr:col>24</xdr:col>
      <xdr:colOff>112059</xdr:colOff>
      <xdr:row>326</xdr:row>
      <xdr:rowOff>61006</xdr:rowOff>
    </xdr:from>
    <xdr:to>
      <xdr:col>34</xdr:col>
      <xdr:colOff>92988</xdr:colOff>
      <xdr:row>328</xdr:row>
      <xdr:rowOff>14217</xdr:rowOff>
    </xdr:to>
    <xdr:sp macro="" textlink="">
      <xdr:nvSpPr>
        <xdr:cNvPr id="225" name="角丸四角形 224">
          <a:extLst>
            <a:ext uri="{FF2B5EF4-FFF2-40B4-BE49-F238E27FC236}">
              <a16:creationId xmlns:a16="http://schemas.microsoft.com/office/drawing/2014/main" id="{00000000-0008-0000-0500-0000E1000000}"/>
            </a:ext>
          </a:extLst>
        </xdr:cNvPr>
        <xdr:cNvSpPr/>
      </xdr:nvSpPr>
      <xdr:spPr>
        <a:xfrm>
          <a:off x="3083859" y="51524581"/>
          <a:ext cx="1219179" cy="258011"/>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ysClr val="windowText" lastClr="000000"/>
              </a:solidFill>
              <a:latin typeface="+mn-ea"/>
            </a:rPr>
            <a:t>HULFT</a:t>
          </a:r>
          <a:endParaRPr lang="ja-JP" altLang="en-US" sz="1200">
            <a:solidFill>
              <a:sysClr val="windowText" lastClr="000000"/>
            </a:solidFill>
            <a:latin typeface="+mn-ea"/>
          </a:endParaRPr>
        </a:p>
      </xdr:txBody>
    </xdr:sp>
    <xdr:clientData/>
  </xdr:twoCellAnchor>
  <xdr:twoCellAnchor>
    <xdr:from>
      <xdr:col>27</xdr:col>
      <xdr:colOff>33618</xdr:colOff>
      <xdr:row>336</xdr:row>
      <xdr:rowOff>107577</xdr:rowOff>
    </xdr:from>
    <xdr:to>
      <xdr:col>32</xdr:col>
      <xdr:colOff>44824</xdr:colOff>
      <xdr:row>340</xdr:row>
      <xdr:rowOff>17929</xdr:rowOff>
    </xdr:to>
    <xdr:sp macro="" textlink="">
      <xdr:nvSpPr>
        <xdr:cNvPr id="226" name="メモ 225">
          <a:extLst>
            <a:ext uri="{FF2B5EF4-FFF2-40B4-BE49-F238E27FC236}">
              <a16:creationId xmlns:a16="http://schemas.microsoft.com/office/drawing/2014/main" id="{00000000-0008-0000-0500-0000E2000000}"/>
            </a:ext>
          </a:extLst>
        </xdr:cNvPr>
        <xdr:cNvSpPr/>
      </xdr:nvSpPr>
      <xdr:spPr>
        <a:xfrm>
          <a:off x="3376893" y="53095152"/>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35859</xdr:colOff>
      <xdr:row>337</xdr:row>
      <xdr:rowOff>59390</xdr:rowOff>
    </xdr:from>
    <xdr:ext cx="1228285" cy="275717"/>
    <xdr:sp macro="" textlink="">
      <xdr:nvSpPr>
        <xdr:cNvPr id="227" name="テキスト ボックス 226">
          <a:extLst>
            <a:ext uri="{FF2B5EF4-FFF2-40B4-BE49-F238E27FC236}">
              <a16:creationId xmlns:a16="http://schemas.microsoft.com/office/drawing/2014/main" id="{00000000-0008-0000-0500-0000E3000000}"/>
            </a:ext>
          </a:extLst>
        </xdr:cNvPr>
        <xdr:cNvSpPr txBox="1"/>
      </xdr:nvSpPr>
      <xdr:spPr>
        <a:xfrm>
          <a:off x="3131484" y="53199365"/>
          <a:ext cx="12282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キャンペーン受付</a:t>
          </a:r>
        </a:p>
      </xdr:txBody>
    </xdr:sp>
    <xdr:clientData/>
  </xdr:oneCellAnchor>
  <xdr:twoCellAnchor>
    <xdr:from>
      <xdr:col>29</xdr:col>
      <xdr:colOff>101134</xdr:colOff>
      <xdr:row>333</xdr:row>
      <xdr:rowOff>113179</xdr:rowOff>
    </xdr:from>
    <xdr:to>
      <xdr:col>29</xdr:col>
      <xdr:colOff>101134</xdr:colOff>
      <xdr:row>336</xdr:row>
      <xdr:rowOff>107577</xdr:rowOff>
    </xdr:to>
    <xdr:cxnSp macro="">
      <xdr:nvCxnSpPr>
        <xdr:cNvPr id="228" name="直線矢印コネクタ 227">
          <a:extLst>
            <a:ext uri="{FF2B5EF4-FFF2-40B4-BE49-F238E27FC236}">
              <a16:creationId xmlns:a16="http://schemas.microsoft.com/office/drawing/2014/main" id="{00000000-0008-0000-0500-0000E4000000}"/>
            </a:ext>
          </a:extLst>
        </xdr:cNvPr>
        <xdr:cNvCxnSpPr>
          <a:stCxn id="226" idx="0"/>
          <a:endCxn id="249" idx="2"/>
        </xdr:cNvCxnSpPr>
      </xdr:nvCxnSpPr>
      <xdr:spPr>
        <a:xfrm flipV="1">
          <a:off x="3692059" y="52643554"/>
          <a:ext cx="0" cy="451598"/>
        </a:xfrm>
        <a:prstGeom prst="straightConnector1">
          <a:avLst/>
        </a:prstGeom>
        <a:ln w="19050">
          <a:solidFill>
            <a:sysClr val="windowText" lastClr="000000"/>
          </a:solidFill>
          <a:prstDash val="dash"/>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67236</xdr:colOff>
      <xdr:row>327</xdr:row>
      <xdr:rowOff>39853</xdr:rowOff>
    </xdr:from>
    <xdr:to>
      <xdr:col>24</xdr:col>
      <xdr:colOff>112059</xdr:colOff>
      <xdr:row>327</xdr:row>
      <xdr:rowOff>47625</xdr:rowOff>
    </xdr:to>
    <xdr:cxnSp macro="">
      <xdr:nvCxnSpPr>
        <xdr:cNvPr id="229" name="直線矢印コネクタ 228">
          <a:extLst>
            <a:ext uri="{FF2B5EF4-FFF2-40B4-BE49-F238E27FC236}">
              <a16:creationId xmlns:a16="http://schemas.microsoft.com/office/drawing/2014/main" id="{00000000-0008-0000-0500-0000E5000000}"/>
            </a:ext>
          </a:extLst>
        </xdr:cNvPr>
        <xdr:cNvCxnSpPr>
          <a:stCxn id="225" idx="1"/>
        </xdr:cNvCxnSpPr>
      </xdr:nvCxnSpPr>
      <xdr:spPr>
        <a:xfrm flipH="1">
          <a:off x="2419911" y="51655828"/>
          <a:ext cx="663948" cy="7772"/>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44825</xdr:colOff>
      <xdr:row>339</xdr:row>
      <xdr:rowOff>64432</xdr:rowOff>
    </xdr:from>
    <xdr:ext cx="1109022" cy="275717"/>
    <xdr:sp macro="" textlink="">
      <xdr:nvSpPr>
        <xdr:cNvPr id="230" name="テキスト ボックス 229">
          <a:extLst>
            <a:ext uri="{FF2B5EF4-FFF2-40B4-BE49-F238E27FC236}">
              <a16:creationId xmlns:a16="http://schemas.microsoft.com/office/drawing/2014/main" id="{00000000-0008-0000-0500-0000E6000000}"/>
            </a:ext>
          </a:extLst>
        </xdr:cNvPr>
        <xdr:cNvSpPr txBox="1"/>
      </xdr:nvSpPr>
      <xdr:spPr>
        <a:xfrm>
          <a:off x="4502525" y="53509207"/>
          <a:ext cx="110902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①抽出</a:t>
          </a:r>
          <a:r>
            <a:rPr kumimoji="1" lang="en-US" altLang="ja-JP" sz="1100">
              <a:solidFill>
                <a:sysClr val="windowText" lastClr="000000"/>
              </a:solidFill>
            </a:rPr>
            <a:t>SQL</a:t>
          </a:r>
          <a:r>
            <a:rPr kumimoji="1" lang="ja-JP" altLang="en-US" sz="1100">
              <a:solidFill>
                <a:sysClr val="windowText" lastClr="000000"/>
              </a:solidFill>
            </a:rPr>
            <a:t>発行</a:t>
          </a:r>
        </a:p>
      </xdr:txBody>
    </xdr:sp>
    <xdr:clientData/>
  </xdr:oneCellAnchor>
  <xdr:oneCellAnchor>
    <xdr:from>
      <xdr:col>36</xdr:col>
      <xdr:colOff>33618</xdr:colOff>
      <xdr:row>343</xdr:row>
      <xdr:rowOff>102535</xdr:rowOff>
    </xdr:from>
    <xdr:ext cx="889987" cy="275717"/>
    <xdr:sp macro="" textlink="">
      <xdr:nvSpPr>
        <xdr:cNvPr id="231" name="テキスト ボックス 230">
          <a:extLst>
            <a:ext uri="{FF2B5EF4-FFF2-40B4-BE49-F238E27FC236}">
              <a16:creationId xmlns:a16="http://schemas.microsoft.com/office/drawing/2014/main" id="{00000000-0008-0000-0500-0000E7000000}"/>
            </a:ext>
          </a:extLst>
        </xdr:cNvPr>
        <xdr:cNvSpPr txBox="1"/>
      </xdr:nvSpPr>
      <xdr:spPr>
        <a:xfrm>
          <a:off x="4491318" y="54156910"/>
          <a:ext cx="88998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②結果連携</a:t>
          </a:r>
        </a:p>
      </xdr:txBody>
    </xdr:sp>
    <xdr:clientData/>
  </xdr:oneCellAnchor>
  <xdr:oneCellAnchor>
    <xdr:from>
      <xdr:col>19</xdr:col>
      <xdr:colOff>78441</xdr:colOff>
      <xdr:row>324</xdr:row>
      <xdr:rowOff>59389</xdr:rowOff>
    </xdr:from>
    <xdr:ext cx="979179" cy="275717"/>
    <xdr:sp macro="" textlink="">
      <xdr:nvSpPr>
        <xdr:cNvPr id="232" name="テキスト ボックス 231">
          <a:extLst>
            <a:ext uri="{FF2B5EF4-FFF2-40B4-BE49-F238E27FC236}">
              <a16:creationId xmlns:a16="http://schemas.microsoft.com/office/drawing/2014/main" id="{00000000-0008-0000-0500-0000E8000000}"/>
            </a:ext>
          </a:extLst>
        </xdr:cNvPr>
        <xdr:cNvSpPr txBox="1"/>
      </xdr:nvSpPr>
      <xdr:spPr>
        <a:xfrm>
          <a:off x="2431116" y="51218164"/>
          <a:ext cx="9791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⑤</a:t>
          </a:r>
          <a:r>
            <a:rPr kumimoji="1" lang="en-US" altLang="ja-JP" sz="1100">
              <a:solidFill>
                <a:sysClr val="windowText" lastClr="000000"/>
              </a:solidFill>
            </a:rPr>
            <a:t>HULFT</a:t>
          </a:r>
          <a:r>
            <a:rPr kumimoji="1" lang="ja-JP" altLang="en-US" sz="1100">
              <a:solidFill>
                <a:sysClr val="windowText" lastClr="000000"/>
              </a:solidFill>
            </a:rPr>
            <a:t>転送</a:t>
          </a:r>
        </a:p>
      </xdr:txBody>
    </xdr:sp>
    <xdr:clientData/>
  </xdr:oneCellAnchor>
  <xdr:twoCellAnchor>
    <xdr:from>
      <xdr:col>5</xdr:col>
      <xdr:colOff>89647</xdr:colOff>
      <xdr:row>323</xdr:row>
      <xdr:rowOff>19051</xdr:rowOff>
    </xdr:from>
    <xdr:to>
      <xdr:col>19</xdr:col>
      <xdr:colOff>80507</xdr:colOff>
      <xdr:row>334</xdr:row>
      <xdr:rowOff>47625</xdr:rowOff>
    </xdr:to>
    <xdr:sp macro="" textlink="">
      <xdr:nvSpPr>
        <xdr:cNvPr id="233" name="正方形/長方形 232">
          <a:extLst>
            <a:ext uri="{FF2B5EF4-FFF2-40B4-BE49-F238E27FC236}">
              <a16:creationId xmlns:a16="http://schemas.microsoft.com/office/drawing/2014/main" id="{00000000-0008-0000-0500-0000E9000000}"/>
            </a:ext>
          </a:extLst>
        </xdr:cNvPr>
        <xdr:cNvSpPr/>
      </xdr:nvSpPr>
      <xdr:spPr>
        <a:xfrm>
          <a:off x="708772" y="51025426"/>
          <a:ext cx="1724410" cy="1704974"/>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集配信</a:t>
          </a:r>
          <a:r>
            <a:rPr lang="en-US" altLang="ja-JP" sz="1200">
              <a:solidFill>
                <a:sysClr val="windowText" lastClr="000000"/>
              </a:solidFill>
              <a:latin typeface="+mn-ea"/>
            </a:rPr>
            <a:t>HUB</a:t>
          </a:r>
          <a:endParaRPr lang="ja-JP" altLang="en-US" sz="1200">
            <a:solidFill>
              <a:sysClr val="windowText" lastClr="000000"/>
            </a:solidFill>
            <a:latin typeface="+mn-ea"/>
          </a:endParaRPr>
        </a:p>
      </xdr:txBody>
    </xdr:sp>
    <xdr:clientData/>
  </xdr:twoCellAnchor>
  <xdr:twoCellAnchor>
    <xdr:from>
      <xdr:col>48</xdr:col>
      <xdr:colOff>67235</xdr:colOff>
      <xdr:row>327</xdr:row>
      <xdr:rowOff>33617</xdr:rowOff>
    </xdr:from>
    <xdr:to>
      <xdr:col>61</xdr:col>
      <xdr:colOff>5578</xdr:colOff>
      <xdr:row>331</xdr:row>
      <xdr:rowOff>56029</xdr:rowOff>
    </xdr:to>
    <xdr:sp macro="" textlink="">
      <xdr:nvSpPr>
        <xdr:cNvPr id="234" name="円柱 233">
          <a:extLst>
            <a:ext uri="{FF2B5EF4-FFF2-40B4-BE49-F238E27FC236}">
              <a16:creationId xmlns:a16="http://schemas.microsoft.com/office/drawing/2014/main" id="{00000000-0008-0000-0500-0000EA000000}"/>
            </a:ext>
          </a:extLst>
        </xdr:cNvPr>
        <xdr:cNvSpPr/>
      </xdr:nvSpPr>
      <xdr:spPr>
        <a:xfrm>
          <a:off x="6010835" y="51649592"/>
          <a:ext cx="1548068" cy="632012"/>
        </a:xfrm>
        <a:prstGeom prst="can">
          <a:avLst>
            <a:gd name="adj" fmla="val 19488"/>
          </a:avLst>
        </a:prstGeom>
        <a:gradFill flip="none" rotWithShape="1">
          <a:gsLst>
            <a:gs pos="0">
              <a:schemeClr val="bg1">
                <a:lumMod val="75000"/>
              </a:schemeClr>
            </a:gs>
            <a:gs pos="50000">
              <a:schemeClr val="accent3">
                <a:lumMod val="20000"/>
                <a:lumOff val="8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lnSpc>
              <a:spcPts val="1300"/>
            </a:lnSpc>
          </a:pPr>
          <a:r>
            <a:rPr kumimoji="1" lang="ja-JP" altLang="en-US" sz="1100">
              <a:solidFill>
                <a:sysClr val="windowText" lastClr="000000"/>
              </a:solidFill>
              <a:latin typeface="+mn-ea"/>
              <a:ea typeface="+mn-ea"/>
            </a:rPr>
            <a:t>インスタンス</a:t>
          </a:r>
          <a:r>
            <a:rPr kumimoji="1" lang="en-US" altLang="ja-JP" sz="1100">
              <a:solidFill>
                <a:sysClr val="windowText" lastClr="000000"/>
              </a:solidFill>
              <a:latin typeface="+mn-ea"/>
              <a:ea typeface="+mn-ea"/>
            </a:rPr>
            <a:t>#1</a:t>
          </a:r>
          <a:endParaRPr kumimoji="1" lang="ja-JP" altLang="en-US" sz="1100">
            <a:solidFill>
              <a:sysClr val="windowText" lastClr="000000"/>
            </a:solidFill>
            <a:latin typeface="+mn-ea"/>
            <a:ea typeface="+mn-ea"/>
          </a:endParaRPr>
        </a:p>
      </xdr:txBody>
    </xdr:sp>
    <xdr:clientData/>
  </xdr:twoCellAnchor>
  <xdr:twoCellAnchor>
    <xdr:from>
      <xdr:col>34</xdr:col>
      <xdr:colOff>85725</xdr:colOff>
      <xdr:row>343</xdr:row>
      <xdr:rowOff>76200</xdr:rowOff>
    </xdr:from>
    <xdr:to>
      <xdr:col>48</xdr:col>
      <xdr:colOff>66675</xdr:colOff>
      <xdr:row>343</xdr:row>
      <xdr:rowOff>76201</xdr:rowOff>
    </xdr:to>
    <xdr:cxnSp macro="">
      <xdr:nvCxnSpPr>
        <xdr:cNvPr id="235" name="直線矢印コネクタ 202">
          <a:extLst>
            <a:ext uri="{FF2B5EF4-FFF2-40B4-BE49-F238E27FC236}">
              <a16:creationId xmlns:a16="http://schemas.microsoft.com/office/drawing/2014/main" id="{00000000-0008-0000-0500-0000EB000000}"/>
            </a:ext>
          </a:extLst>
        </xdr:cNvPr>
        <xdr:cNvCxnSpPr/>
      </xdr:nvCxnSpPr>
      <xdr:spPr>
        <a:xfrm rot="10800000">
          <a:off x="4295775" y="54130575"/>
          <a:ext cx="1714500" cy="1"/>
        </a:xfrm>
        <a:prstGeom prst="bentConnector3">
          <a:avLst>
            <a:gd name="adj1" fmla="val 50000"/>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98591</xdr:colOff>
      <xdr:row>340</xdr:row>
      <xdr:rowOff>17929</xdr:rowOff>
    </xdr:from>
    <xdr:to>
      <xdr:col>29</xdr:col>
      <xdr:colOff>101134</xdr:colOff>
      <xdr:row>341</xdr:row>
      <xdr:rowOff>61629</xdr:rowOff>
    </xdr:to>
    <xdr:cxnSp macro="">
      <xdr:nvCxnSpPr>
        <xdr:cNvPr id="236" name="直線矢印コネクタ 235">
          <a:extLst>
            <a:ext uri="{FF2B5EF4-FFF2-40B4-BE49-F238E27FC236}">
              <a16:creationId xmlns:a16="http://schemas.microsoft.com/office/drawing/2014/main" id="{00000000-0008-0000-0500-0000EC000000}"/>
            </a:ext>
          </a:extLst>
        </xdr:cNvPr>
        <xdr:cNvCxnSpPr>
          <a:stCxn id="247" idx="0"/>
          <a:endCxn id="226" idx="2"/>
        </xdr:cNvCxnSpPr>
      </xdr:nvCxnSpPr>
      <xdr:spPr>
        <a:xfrm flipV="1">
          <a:off x="3689516" y="53615104"/>
          <a:ext cx="2543" cy="196100"/>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104775</xdr:colOff>
      <xdr:row>340</xdr:row>
      <xdr:rowOff>19051</xdr:rowOff>
    </xdr:from>
    <xdr:to>
      <xdr:col>30</xdr:col>
      <xdr:colOff>104775</xdr:colOff>
      <xdr:row>342</xdr:row>
      <xdr:rowOff>0</xdr:rowOff>
    </xdr:to>
    <xdr:sp macro="" textlink="">
      <xdr:nvSpPr>
        <xdr:cNvPr id="237" name="テキスト ボックス 210">
          <a:extLst>
            <a:ext uri="{FF2B5EF4-FFF2-40B4-BE49-F238E27FC236}">
              <a16:creationId xmlns:a16="http://schemas.microsoft.com/office/drawing/2014/main" id="{00000000-0008-0000-0500-0000ED000000}"/>
            </a:ext>
          </a:extLst>
        </xdr:cNvPr>
        <xdr:cNvSpPr txBox="1">
          <a:spLocks noChangeArrowheads="1"/>
        </xdr:cNvSpPr>
      </xdr:nvSpPr>
      <xdr:spPr bwMode="auto">
        <a:xfrm>
          <a:off x="2581275" y="53616226"/>
          <a:ext cx="1238250" cy="285750"/>
        </a:xfrm>
        <a:prstGeom prst="rect">
          <a:avLst/>
        </a:prstGeom>
        <a:noFill/>
        <a:ln w="9525">
          <a:no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ysClr val="windowText" lastClr="000000"/>
              </a:solidFill>
              <a:latin typeface="ＭＳ Ｐゴシック"/>
              <a:ea typeface="ＭＳ Ｐゴシック"/>
            </a:rPr>
            <a:t>③ファイル出力</a:t>
          </a:r>
        </a:p>
      </xdr:txBody>
    </xdr:sp>
    <xdr:clientData/>
  </xdr:twoCellAnchor>
  <xdr:twoCellAnchor>
    <xdr:from>
      <xdr:col>34</xdr:col>
      <xdr:colOff>81781</xdr:colOff>
      <xdr:row>342</xdr:row>
      <xdr:rowOff>85725</xdr:rowOff>
    </xdr:from>
    <xdr:to>
      <xdr:col>48</xdr:col>
      <xdr:colOff>95250</xdr:colOff>
      <xdr:row>342</xdr:row>
      <xdr:rowOff>87405</xdr:rowOff>
    </xdr:to>
    <xdr:cxnSp macro="">
      <xdr:nvCxnSpPr>
        <xdr:cNvPr id="238" name="直線矢印コネクタ 220">
          <a:extLst>
            <a:ext uri="{FF2B5EF4-FFF2-40B4-BE49-F238E27FC236}">
              <a16:creationId xmlns:a16="http://schemas.microsoft.com/office/drawing/2014/main" id="{00000000-0008-0000-0500-0000EE000000}"/>
            </a:ext>
          </a:extLst>
        </xdr:cNvPr>
        <xdr:cNvCxnSpPr>
          <a:stCxn id="247" idx="3"/>
        </xdr:cNvCxnSpPr>
      </xdr:nvCxnSpPr>
      <xdr:spPr>
        <a:xfrm flipV="1">
          <a:off x="4291831" y="53987700"/>
          <a:ext cx="1747019" cy="1680"/>
        </a:xfrm>
        <a:prstGeom prst="bentConnector3">
          <a:avLst>
            <a:gd name="adj1" fmla="val 50000"/>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0</xdr:colOff>
      <xdr:row>323</xdr:row>
      <xdr:rowOff>9525</xdr:rowOff>
    </xdr:from>
    <xdr:to>
      <xdr:col>77</xdr:col>
      <xdr:colOff>80506</xdr:colOff>
      <xdr:row>346</xdr:row>
      <xdr:rowOff>19051</xdr:rowOff>
    </xdr:to>
    <xdr:sp macro="" textlink="">
      <xdr:nvSpPr>
        <xdr:cNvPr id="239" name="正方形/長方形 238">
          <a:extLst>
            <a:ext uri="{FF2B5EF4-FFF2-40B4-BE49-F238E27FC236}">
              <a16:creationId xmlns:a16="http://schemas.microsoft.com/office/drawing/2014/main" id="{00000000-0008-0000-0500-0000EF000000}"/>
            </a:ext>
          </a:extLst>
        </xdr:cNvPr>
        <xdr:cNvSpPr/>
      </xdr:nvSpPr>
      <xdr:spPr>
        <a:xfrm>
          <a:off x="8048625" y="51015900"/>
          <a:ext cx="1566406" cy="3514726"/>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1200">
              <a:solidFill>
                <a:sysClr val="windowText" lastClr="000000"/>
              </a:solidFill>
              <a:latin typeface="+mn-ea"/>
            </a:rPr>
            <a:t>共有 </a:t>
          </a:r>
          <a:r>
            <a:rPr lang="ja-JP" altLang="en-US" sz="1200" baseline="0">
              <a:solidFill>
                <a:sysClr val="windowText" lastClr="000000"/>
              </a:solidFill>
              <a:latin typeface="+mn-ea"/>
            </a:rPr>
            <a:t>ディスク</a:t>
          </a:r>
          <a:endParaRPr lang="ja-JP" altLang="en-US" sz="1200">
            <a:solidFill>
              <a:sysClr val="windowText" lastClr="000000"/>
            </a:solidFill>
            <a:latin typeface="+mn-ea"/>
          </a:endParaRPr>
        </a:p>
      </xdr:txBody>
    </xdr:sp>
    <xdr:clientData/>
  </xdr:twoCellAnchor>
  <xdr:twoCellAnchor>
    <xdr:from>
      <xdr:col>45</xdr:col>
      <xdr:colOff>92985</xdr:colOff>
      <xdr:row>338</xdr:row>
      <xdr:rowOff>58270</xdr:rowOff>
    </xdr:from>
    <xdr:to>
      <xdr:col>66</xdr:col>
      <xdr:colOff>44825</xdr:colOff>
      <xdr:row>338</xdr:row>
      <xdr:rowOff>58278</xdr:rowOff>
    </xdr:to>
    <xdr:cxnSp macro="">
      <xdr:nvCxnSpPr>
        <xdr:cNvPr id="240" name="直線矢印コネクタ 239">
          <a:extLst>
            <a:ext uri="{FF2B5EF4-FFF2-40B4-BE49-F238E27FC236}">
              <a16:creationId xmlns:a16="http://schemas.microsoft.com/office/drawing/2014/main" id="{00000000-0008-0000-0500-0000F0000000}"/>
            </a:ext>
          </a:extLst>
        </xdr:cNvPr>
        <xdr:cNvCxnSpPr>
          <a:stCxn id="241" idx="3"/>
        </xdr:cNvCxnSpPr>
      </xdr:nvCxnSpPr>
      <xdr:spPr>
        <a:xfrm>
          <a:off x="5665110" y="53350645"/>
          <a:ext cx="2552165" cy="8"/>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3340</xdr:colOff>
      <xdr:row>337</xdr:row>
      <xdr:rowOff>80682</xdr:rowOff>
    </xdr:from>
    <xdr:to>
      <xdr:col>45</xdr:col>
      <xdr:colOff>92985</xdr:colOff>
      <xdr:row>339</xdr:row>
      <xdr:rowOff>35858</xdr:rowOff>
    </xdr:to>
    <xdr:sp macro="" textlink="">
      <xdr:nvSpPr>
        <xdr:cNvPr id="241" name="角丸四角形 240">
          <a:extLst>
            <a:ext uri="{FF2B5EF4-FFF2-40B4-BE49-F238E27FC236}">
              <a16:creationId xmlns:a16="http://schemas.microsoft.com/office/drawing/2014/main" id="{00000000-0008-0000-0500-0000F1000000}"/>
            </a:ext>
          </a:extLst>
        </xdr:cNvPr>
        <xdr:cNvSpPr/>
      </xdr:nvSpPr>
      <xdr:spPr>
        <a:xfrm>
          <a:off x="4461040" y="53220657"/>
          <a:ext cx="1204070" cy="259976"/>
        </a:xfrm>
        <a:prstGeom prst="roundRect">
          <a:avLst/>
        </a:prstGeom>
        <a:gradFill flip="none" rotWithShape="1">
          <a:gsLst>
            <a:gs pos="0">
              <a:srgbClr val="00B0F0"/>
            </a:gs>
            <a:gs pos="50000">
              <a:schemeClr val="bg1"/>
            </a:gs>
            <a:gs pos="100000">
              <a:srgbClr val="00B0F0"/>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32</xdr:col>
      <xdr:colOff>44824</xdr:colOff>
      <xdr:row>338</xdr:row>
      <xdr:rowOff>58270</xdr:rowOff>
    </xdr:from>
    <xdr:to>
      <xdr:col>36</xdr:col>
      <xdr:colOff>3340</xdr:colOff>
      <xdr:row>338</xdr:row>
      <xdr:rowOff>62753</xdr:rowOff>
    </xdr:to>
    <xdr:cxnSp macro="">
      <xdr:nvCxnSpPr>
        <xdr:cNvPr id="242" name="直線矢印コネクタ 241">
          <a:extLst>
            <a:ext uri="{FF2B5EF4-FFF2-40B4-BE49-F238E27FC236}">
              <a16:creationId xmlns:a16="http://schemas.microsoft.com/office/drawing/2014/main" id="{00000000-0008-0000-0500-0000F2000000}"/>
            </a:ext>
          </a:extLst>
        </xdr:cNvPr>
        <xdr:cNvCxnSpPr>
          <a:stCxn id="226" idx="3"/>
          <a:endCxn id="241" idx="1"/>
        </xdr:cNvCxnSpPr>
      </xdr:nvCxnSpPr>
      <xdr:spPr>
        <a:xfrm flipV="1">
          <a:off x="4007224" y="53350645"/>
          <a:ext cx="453816" cy="4483"/>
        </a:xfrm>
        <a:prstGeom prst="straightConnector1">
          <a:avLst/>
        </a:prstGeom>
        <a:ln w="19050">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47</xdr:col>
      <xdr:colOff>64437</xdr:colOff>
      <xdr:row>336</xdr:row>
      <xdr:rowOff>60514</xdr:rowOff>
    </xdr:from>
    <xdr:ext cx="1798634" cy="275717"/>
    <xdr:sp macro="" textlink="">
      <xdr:nvSpPr>
        <xdr:cNvPr id="243" name="テキスト ボックス 242">
          <a:extLst>
            <a:ext uri="{FF2B5EF4-FFF2-40B4-BE49-F238E27FC236}">
              <a16:creationId xmlns:a16="http://schemas.microsoft.com/office/drawing/2014/main" id="{00000000-0008-0000-0500-0000F3000000}"/>
            </a:ext>
          </a:extLst>
        </xdr:cNvPr>
        <xdr:cNvSpPr txBox="1"/>
      </xdr:nvSpPr>
      <xdr:spPr>
        <a:xfrm>
          <a:off x="5884212" y="53048089"/>
          <a:ext cx="1798634"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⑥転送ファイルバックアップ</a:t>
          </a:r>
        </a:p>
      </xdr:txBody>
    </xdr:sp>
    <xdr:clientData/>
  </xdr:oneCellAnchor>
  <xdr:twoCellAnchor>
    <xdr:from>
      <xdr:col>67</xdr:col>
      <xdr:colOff>33620</xdr:colOff>
      <xdr:row>336</xdr:row>
      <xdr:rowOff>85733</xdr:rowOff>
    </xdr:from>
    <xdr:to>
      <xdr:col>72</xdr:col>
      <xdr:colOff>44826</xdr:colOff>
      <xdr:row>340</xdr:row>
      <xdr:rowOff>567</xdr:rowOff>
    </xdr:to>
    <xdr:sp macro="" textlink="">
      <xdr:nvSpPr>
        <xdr:cNvPr id="244" name="メモ 243">
          <a:extLst>
            <a:ext uri="{FF2B5EF4-FFF2-40B4-BE49-F238E27FC236}">
              <a16:creationId xmlns:a16="http://schemas.microsoft.com/office/drawing/2014/main" id="{00000000-0008-0000-0500-0000F4000000}"/>
            </a:ext>
          </a:extLst>
        </xdr:cNvPr>
        <xdr:cNvSpPr/>
      </xdr:nvSpPr>
      <xdr:spPr>
        <a:xfrm>
          <a:off x="8329895" y="53073308"/>
          <a:ext cx="630331"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66</xdr:col>
      <xdr:colOff>44825</xdr:colOff>
      <xdr:row>336</xdr:row>
      <xdr:rowOff>568</xdr:rowOff>
    </xdr:from>
    <xdr:to>
      <xdr:col>71</xdr:col>
      <xdr:colOff>56032</xdr:colOff>
      <xdr:row>339</xdr:row>
      <xdr:rowOff>67802</xdr:rowOff>
    </xdr:to>
    <xdr:sp macro="" textlink="">
      <xdr:nvSpPr>
        <xdr:cNvPr id="245" name="メモ 244">
          <a:extLst>
            <a:ext uri="{FF2B5EF4-FFF2-40B4-BE49-F238E27FC236}">
              <a16:creationId xmlns:a16="http://schemas.microsoft.com/office/drawing/2014/main" id="{00000000-0008-0000-0500-0000F5000000}"/>
            </a:ext>
          </a:extLst>
        </xdr:cNvPr>
        <xdr:cNvSpPr/>
      </xdr:nvSpPr>
      <xdr:spPr>
        <a:xfrm>
          <a:off x="8217275" y="52988143"/>
          <a:ext cx="630332" cy="524434"/>
        </a:xfrm>
        <a:prstGeom prst="foldedCorner">
          <a:avLst/>
        </a:prstGeom>
        <a:gradFill flip="none" rotWithShape="1">
          <a:gsLst>
            <a:gs pos="0">
              <a:schemeClr val="accent2">
                <a:lumMod val="40000"/>
                <a:lumOff val="60000"/>
              </a:schemeClr>
            </a:gs>
            <a:gs pos="50000">
              <a:schemeClr val="bg1"/>
            </a:gs>
            <a:gs pos="100000">
              <a:schemeClr val="accent2">
                <a:lumMod val="40000"/>
                <a:lumOff val="6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65</xdr:col>
      <xdr:colOff>112059</xdr:colOff>
      <xdr:row>335</xdr:row>
      <xdr:rowOff>75084</xdr:rowOff>
    </xdr:from>
    <xdr:ext cx="1324388" cy="648815"/>
    <xdr:sp macro="" textlink="">
      <xdr:nvSpPr>
        <xdr:cNvPr id="246" name="テキスト ボックス 245">
          <a:extLst>
            <a:ext uri="{FF2B5EF4-FFF2-40B4-BE49-F238E27FC236}">
              <a16:creationId xmlns:a16="http://schemas.microsoft.com/office/drawing/2014/main" id="{00000000-0008-0000-0500-0000F6000000}"/>
            </a:ext>
          </a:extLst>
        </xdr:cNvPr>
        <xdr:cNvSpPr txBox="1"/>
      </xdr:nvSpPr>
      <xdr:spPr>
        <a:xfrm>
          <a:off x="8160684" y="52910259"/>
          <a:ext cx="1324388" cy="648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kumimoji="1" lang="ja-JP" altLang="en-US" sz="1100">
              <a:solidFill>
                <a:sysClr val="windowText" lastClr="000000"/>
              </a:solidFill>
            </a:rPr>
            <a:t>キャンペーン</a:t>
          </a:r>
          <a:endParaRPr kumimoji="1" lang="en-US" altLang="ja-JP" sz="1100">
            <a:solidFill>
              <a:sysClr val="windowText" lastClr="000000"/>
            </a:solidFill>
          </a:endParaRPr>
        </a:p>
        <a:p>
          <a:r>
            <a:rPr kumimoji="1" lang="ja-JP" altLang="en-US" sz="1100">
              <a:solidFill>
                <a:sysClr val="windowText" lastClr="000000"/>
              </a:solidFill>
            </a:rPr>
            <a:t>受付履歴</a:t>
          </a:r>
          <a:endParaRPr kumimoji="1" lang="en-US" altLang="ja-JP" sz="1100">
            <a:solidFill>
              <a:sysClr val="windowText" lastClr="000000"/>
            </a:solidFill>
          </a:endParaRPr>
        </a:p>
        <a:p>
          <a:r>
            <a:rPr kumimoji="1" lang="en-US" altLang="ja-JP" sz="1100">
              <a:solidFill>
                <a:sysClr val="windowText" lastClr="000000"/>
              </a:solidFill>
            </a:rPr>
            <a:t>yyyymmd</a:t>
          </a:r>
          <a:endParaRPr kumimoji="1" lang="ja-JP" altLang="en-US" sz="1100">
            <a:solidFill>
              <a:sysClr val="windowText" lastClr="000000"/>
            </a:solidFill>
          </a:endParaRPr>
        </a:p>
      </xdr:txBody>
    </xdr:sp>
    <xdr:clientData/>
  </xdr:oneCellAnchor>
  <xdr:twoCellAnchor>
    <xdr:from>
      <xdr:col>24</xdr:col>
      <xdr:colOff>115400</xdr:colOff>
      <xdr:row>341</xdr:row>
      <xdr:rowOff>61629</xdr:rowOff>
    </xdr:from>
    <xdr:to>
      <xdr:col>34</xdr:col>
      <xdr:colOff>81781</xdr:colOff>
      <xdr:row>343</xdr:row>
      <xdr:rowOff>113180</xdr:rowOff>
    </xdr:to>
    <xdr:sp macro="" textlink="">
      <xdr:nvSpPr>
        <xdr:cNvPr id="247" name="角丸四角形 246">
          <a:extLst>
            <a:ext uri="{FF2B5EF4-FFF2-40B4-BE49-F238E27FC236}">
              <a16:creationId xmlns:a16="http://schemas.microsoft.com/office/drawing/2014/main" id="{00000000-0008-0000-0500-0000F7000000}"/>
            </a:ext>
          </a:extLst>
        </xdr:cNvPr>
        <xdr:cNvSpPr/>
      </xdr:nvSpPr>
      <xdr:spPr>
        <a:xfrm>
          <a:off x="3087200" y="53811204"/>
          <a:ext cx="1204631" cy="356351"/>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37</xdr:col>
      <xdr:colOff>0</xdr:colOff>
      <xdr:row>341</xdr:row>
      <xdr:rowOff>3362</xdr:rowOff>
    </xdr:from>
    <xdr:to>
      <xdr:col>44</xdr:col>
      <xdr:colOff>20347</xdr:colOff>
      <xdr:row>343</xdr:row>
      <xdr:rowOff>125505</xdr:rowOff>
    </xdr:to>
    <xdr:sp macro="" textlink="">
      <xdr:nvSpPr>
        <xdr:cNvPr id="248" name="角丸四角形 247">
          <a:extLst>
            <a:ext uri="{FF2B5EF4-FFF2-40B4-BE49-F238E27FC236}">
              <a16:creationId xmlns:a16="http://schemas.microsoft.com/office/drawing/2014/main" id="{00000000-0008-0000-0500-0000F8000000}"/>
            </a:ext>
          </a:extLst>
        </xdr:cNvPr>
        <xdr:cNvSpPr/>
      </xdr:nvSpPr>
      <xdr:spPr>
        <a:xfrm>
          <a:off x="4581525" y="53752937"/>
          <a:ext cx="887122" cy="426943"/>
        </a:xfrm>
        <a:prstGeom prst="roundRect">
          <a:avLst/>
        </a:prstGeom>
        <a:gradFill flip="none" rotWithShape="1">
          <a:gsLst>
            <a:gs pos="0">
              <a:srgbClr val="00FFCC"/>
            </a:gs>
            <a:gs pos="50000">
              <a:schemeClr val="bg1"/>
            </a:gs>
            <a:gs pos="100000">
              <a:srgbClr val="00FFCC"/>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1200">
              <a:solidFill>
                <a:sysClr val="windowText" lastClr="000000"/>
              </a:solidFill>
              <a:latin typeface="+mn-ea"/>
            </a:rPr>
            <a:t>Oracle Client</a:t>
          </a:r>
          <a:endParaRPr lang="ja-JP" altLang="en-US" sz="1200">
            <a:solidFill>
              <a:sysClr val="windowText" lastClr="000000"/>
            </a:solidFill>
            <a:latin typeface="+mn-ea"/>
          </a:endParaRPr>
        </a:p>
      </xdr:txBody>
    </xdr:sp>
    <xdr:clientData/>
  </xdr:twoCellAnchor>
  <xdr:twoCellAnchor>
    <xdr:from>
      <xdr:col>27</xdr:col>
      <xdr:colOff>33618</xdr:colOff>
      <xdr:row>330</xdr:row>
      <xdr:rowOff>50427</xdr:rowOff>
    </xdr:from>
    <xdr:to>
      <xdr:col>32</xdr:col>
      <xdr:colOff>44824</xdr:colOff>
      <xdr:row>333</xdr:row>
      <xdr:rowOff>113179</xdr:rowOff>
    </xdr:to>
    <xdr:sp macro="" textlink="">
      <xdr:nvSpPr>
        <xdr:cNvPr id="249" name="メモ 248">
          <a:extLst>
            <a:ext uri="{FF2B5EF4-FFF2-40B4-BE49-F238E27FC236}">
              <a16:creationId xmlns:a16="http://schemas.microsoft.com/office/drawing/2014/main" id="{00000000-0008-0000-0500-0000F9000000}"/>
            </a:ext>
          </a:extLst>
        </xdr:cNvPr>
        <xdr:cNvSpPr/>
      </xdr:nvSpPr>
      <xdr:spPr>
        <a:xfrm>
          <a:off x="3376893" y="52123602"/>
          <a:ext cx="630331" cy="519952"/>
        </a:xfrm>
        <a:prstGeom prst="foldedCorner">
          <a:avLst/>
        </a:prstGeom>
        <a:gradFill flip="none" rotWithShape="1">
          <a:gsLst>
            <a:gs pos="0">
              <a:srgbClr val="FFC000"/>
            </a:gs>
            <a:gs pos="50000">
              <a:schemeClr val="accent6">
                <a:lumMod val="20000"/>
                <a:lumOff val="80000"/>
              </a:schemeClr>
            </a:gs>
            <a:gs pos="100000">
              <a:srgbClr val="FFC00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oneCellAnchor>
    <xdr:from>
      <xdr:col>25</xdr:col>
      <xdr:colOff>35859</xdr:colOff>
      <xdr:row>331</xdr:row>
      <xdr:rowOff>49865</xdr:rowOff>
    </xdr:from>
    <xdr:ext cx="1228285" cy="275717"/>
    <xdr:sp macro="" textlink="">
      <xdr:nvSpPr>
        <xdr:cNvPr id="250" name="テキスト ボックス 249">
          <a:extLst>
            <a:ext uri="{FF2B5EF4-FFF2-40B4-BE49-F238E27FC236}">
              <a16:creationId xmlns:a16="http://schemas.microsoft.com/office/drawing/2014/main" id="{00000000-0008-0000-0500-0000FA000000}"/>
            </a:ext>
          </a:extLst>
        </xdr:cNvPr>
        <xdr:cNvSpPr txBox="1"/>
      </xdr:nvSpPr>
      <xdr:spPr>
        <a:xfrm>
          <a:off x="3131484" y="52275440"/>
          <a:ext cx="122828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ja-JP" altLang="en-US" sz="1100">
              <a:solidFill>
                <a:sysClr val="windowText" lastClr="000000"/>
              </a:solidFill>
            </a:rPr>
            <a:t>キャンペーン受付</a:t>
          </a:r>
        </a:p>
      </xdr:txBody>
    </xdr:sp>
    <xdr:clientData/>
  </xdr:oneCellAnchor>
  <xdr:oneCellAnchor>
    <xdr:from>
      <xdr:col>33</xdr:col>
      <xdr:colOff>11766</xdr:colOff>
      <xdr:row>332</xdr:row>
      <xdr:rowOff>59389</xdr:rowOff>
    </xdr:from>
    <xdr:ext cx="1582549" cy="275717"/>
    <xdr:sp macro="" textlink="">
      <xdr:nvSpPr>
        <xdr:cNvPr id="251" name="テキスト ボックス 250">
          <a:extLst>
            <a:ext uri="{FF2B5EF4-FFF2-40B4-BE49-F238E27FC236}">
              <a16:creationId xmlns:a16="http://schemas.microsoft.com/office/drawing/2014/main" id="{00000000-0008-0000-0500-0000FB000000}"/>
            </a:ext>
          </a:extLst>
        </xdr:cNvPr>
        <xdr:cNvSpPr txBox="1"/>
      </xdr:nvSpPr>
      <xdr:spPr>
        <a:xfrm>
          <a:off x="4097991" y="52437364"/>
          <a:ext cx="158254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solidFill>
                <a:sysClr val="windowText" lastClr="000000"/>
              </a:solidFill>
            </a:rPr>
            <a:t>④</a:t>
          </a:r>
          <a:r>
            <a:rPr kumimoji="1" lang="ja-JP" altLang="en-US" sz="1100">
              <a:solidFill>
                <a:sysClr val="windowText" lastClr="000000"/>
              </a:solidFill>
            </a:rPr>
            <a:t>手動でファイルコピー</a:t>
          </a:r>
        </a:p>
      </xdr:txBody>
    </xdr:sp>
    <xdr:clientData/>
  </xdr:oneCellAnchor>
  <xdr:oneCellAnchor>
    <xdr:from>
      <xdr:col>34</xdr:col>
      <xdr:colOff>47625</xdr:colOff>
      <xdr:row>328</xdr:row>
      <xdr:rowOff>66675</xdr:rowOff>
    </xdr:from>
    <xdr:ext cx="748923" cy="275717"/>
    <xdr:sp macro="" textlink="">
      <xdr:nvSpPr>
        <xdr:cNvPr id="252" name="テキスト ボックス 251">
          <a:extLst>
            <a:ext uri="{FF2B5EF4-FFF2-40B4-BE49-F238E27FC236}">
              <a16:creationId xmlns:a16="http://schemas.microsoft.com/office/drawing/2014/main" id="{00000000-0008-0000-0500-0000FC000000}"/>
            </a:ext>
          </a:extLst>
        </xdr:cNvPr>
        <xdr:cNvSpPr txBox="1"/>
      </xdr:nvSpPr>
      <xdr:spPr>
        <a:xfrm>
          <a:off x="4257675" y="51835050"/>
          <a:ext cx="748923"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latin typeface="+mn-lt"/>
              <a:ea typeface="+mn-ea"/>
              <a:cs typeface="+mn-cs"/>
            </a:rPr>
            <a:t>※</a:t>
          </a:r>
          <a:r>
            <a:rPr lang="ja-JP" altLang="ja-JP" sz="1100">
              <a:solidFill>
                <a:sysClr val="windowText" lastClr="000000"/>
              </a:solidFill>
              <a:latin typeface="+mn-lt"/>
              <a:ea typeface="+mn-ea"/>
              <a:cs typeface="+mn-cs"/>
            </a:rPr>
            <a:t>手起動</a:t>
          </a:r>
          <a:endParaRPr lang="ja-JP" altLang="ja-JP">
            <a:solidFill>
              <a:sysClr val="windowText" lastClr="000000"/>
            </a:solidFill>
          </a:endParaRPr>
        </a:p>
      </xdr:txBody>
    </xdr:sp>
    <xdr:clientData/>
  </xdr:oneCellAnchor>
  <xdr:twoCellAnchor>
    <xdr:from>
      <xdr:col>25</xdr:col>
      <xdr:colOff>3340</xdr:colOff>
      <xdr:row>328</xdr:row>
      <xdr:rowOff>52107</xdr:rowOff>
    </xdr:from>
    <xdr:to>
      <xdr:col>34</xdr:col>
      <xdr:colOff>92985</xdr:colOff>
      <xdr:row>330</xdr:row>
      <xdr:rowOff>7283</xdr:rowOff>
    </xdr:to>
    <xdr:sp macro="" textlink="">
      <xdr:nvSpPr>
        <xdr:cNvPr id="253" name="角丸四角形 252">
          <a:extLst>
            <a:ext uri="{FF2B5EF4-FFF2-40B4-BE49-F238E27FC236}">
              <a16:creationId xmlns:a16="http://schemas.microsoft.com/office/drawing/2014/main" id="{00000000-0008-0000-0500-0000FD000000}"/>
            </a:ext>
          </a:extLst>
        </xdr:cNvPr>
        <xdr:cNvSpPr/>
      </xdr:nvSpPr>
      <xdr:spPr>
        <a:xfrm>
          <a:off x="3098965" y="51820482"/>
          <a:ext cx="1204070" cy="259976"/>
        </a:xfrm>
        <a:prstGeom prst="roundRect">
          <a:avLst/>
        </a:prstGeom>
        <a:gradFill flip="none" rotWithShape="1">
          <a:gsLst>
            <a:gs pos="0">
              <a:srgbClr val="00B0F0"/>
            </a:gs>
            <a:gs pos="50000">
              <a:schemeClr val="bg1"/>
            </a:gs>
            <a:gs pos="100000">
              <a:srgbClr val="00B0F0"/>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ysClr val="windowText" lastClr="000000"/>
              </a:solidFill>
              <a:latin typeface="+mn-ea"/>
            </a:rPr>
            <a:t>バッチ</a:t>
          </a:r>
        </a:p>
      </xdr:txBody>
    </xdr:sp>
    <xdr:clientData/>
  </xdr:twoCellAnchor>
  <xdr:twoCellAnchor>
    <xdr:from>
      <xdr:col>24</xdr:col>
      <xdr:colOff>38100</xdr:colOff>
      <xdr:row>60</xdr:row>
      <xdr:rowOff>85725</xdr:rowOff>
    </xdr:from>
    <xdr:to>
      <xdr:col>31</xdr:col>
      <xdr:colOff>104775</xdr:colOff>
      <xdr:row>64</xdr:row>
      <xdr:rowOff>19050</xdr:rowOff>
    </xdr:to>
    <xdr:cxnSp macro="">
      <xdr:nvCxnSpPr>
        <xdr:cNvPr id="113297" name="カギ線コネクタ 56">
          <a:extLst>
            <a:ext uri="{FF2B5EF4-FFF2-40B4-BE49-F238E27FC236}">
              <a16:creationId xmlns:a16="http://schemas.microsoft.com/office/drawing/2014/main" id="{00000000-0008-0000-0500-000091BA0100}"/>
            </a:ext>
          </a:extLst>
        </xdr:cNvPr>
        <xdr:cNvCxnSpPr>
          <a:cxnSpLocks noChangeShapeType="1"/>
          <a:stCxn id="53" idx="2"/>
        </xdr:cNvCxnSpPr>
      </xdr:nvCxnSpPr>
      <xdr:spPr bwMode="auto">
        <a:xfrm rot="5400000">
          <a:off x="3186112" y="9491663"/>
          <a:ext cx="581025" cy="933450"/>
        </a:xfrm>
        <a:prstGeom prst="bentConnector2">
          <a:avLst/>
        </a:prstGeom>
        <a:noFill/>
        <a:ln w="19050" algn="ctr">
          <a:solidFill>
            <a:srgbClr val="000000"/>
          </a:solidFill>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22</xdr:col>
      <xdr:colOff>104775</xdr:colOff>
      <xdr:row>60</xdr:row>
      <xdr:rowOff>85725</xdr:rowOff>
    </xdr:from>
    <xdr:to>
      <xdr:col>30</xdr:col>
      <xdr:colOff>104775</xdr:colOff>
      <xdr:row>63</xdr:row>
      <xdr:rowOff>66675</xdr:rowOff>
    </xdr:to>
    <xdr:cxnSp macro="">
      <xdr:nvCxnSpPr>
        <xdr:cNvPr id="113298" name="カギ線コネクタ 56">
          <a:extLst>
            <a:ext uri="{FF2B5EF4-FFF2-40B4-BE49-F238E27FC236}">
              <a16:creationId xmlns:a16="http://schemas.microsoft.com/office/drawing/2014/main" id="{00000000-0008-0000-0500-000092BA0100}"/>
            </a:ext>
          </a:extLst>
        </xdr:cNvPr>
        <xdr:cNvCxnSpPr>
          <a:cxnSpLocks noChangeShapeType="1"/>
        </xdr:cNvCxnSpPr>
      </xdr:nvCxnSpPr>
      <xdr:spPr bwMode="auto">
        <a:xfrm rot="10800000" flipV="1">
          <a:off x="2828925" y="9667875"/>
          <a:ext cx="990600" cy="466725"/>
        </a:xfrm>
        <a:prstGeom prst="bentConnector3">
          <a:avLst>
            <a:gd name="adj1" fmla="val 477"/>
          </a:avLst>
        </a:prstGeom>
        <a:noFill/>
        <a:ln w="19050" algn="ctr">
          <a:solidFill>
            <a:srgbClr val="000000"/>
          </a:solidFill>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19</xdr:col>
      <xdr:colOff>95250</xdr:colOff>
      <xdr:row>139</xdr:row>
      <xdr:rowOff>104775</xdr:rowOff>
    </xdr:from>
    <xdr:to>
      <xdr:col>29</xdr:col>
      <xdr:colOff>123825</xdr:colOff>
      <xdr:row>140</xdr:row>
      <xdr:rowOff>95250</xdr:rowOff>
    </xdr:to>
    <xdr:cxnSp macro="">
      <xdr:nvCxnSpPr>
        <xdr:cNvPr id="113299" name="カギ線コネクタ 56">
          <a:extLst>
            <a:ext uri="{FF2B5EF4-FFF2-40B4-BE49-F238E27FC236}">
              <a16:creationId xmlns:a16="http://schemas.microsoft.com/office/drawing/2014/main" id="{00000000-0008-0000-0500-000093BA0100}"/>
            </a:ext>
          </a:extLst>
        </xdr:cNvPr>
        <xdr:cNvCxnSpPr>
          <a:cxnSpLocks noChangeShapeType="1"/>
        </xdr:cNvCxnSpPr>
      </xdr:nvCxnSpPr>
      <xdr:spPr bwMode="auto">
        <a:xfrm rot="10800000" flipV="1">
          <a:off x="2447925" y="22555200"/>
          <a:ext cx="1266825" cy="152400"/>
        </a:xfrm>
        <a:prstGeom prst="bentConnector3">
          <a:avLst>
            <a:gd name="adj1" fmla="val -431"/>
          </a:avLst>
        </a:prstGeom>
        <a:noFill/>
        <a:ln w="19050" algn="ctr">
          <a:solidFill>
            <a:srgbClr val="000000"/>
          </a:solidFill>
          <a:prstDash val="dash"/>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21</xdr:col>
      <xdr:colOff>76200</xdr:colOff>
      <xdr:row>139</xdr:row>
      <xdr:rowOff>114300</xdr:rowOff>
    </xdr:from>
    <xdr:to>
      <xdr:col>31</xdr:col>
      <xdr:colOff>66675</xdr:colOff>
      <xdr:row>141</xdr:row>
      <xdr:rowOff>57150</xdr:rowOff>
    </xdr:to>
    <xdr:cxnSp macro="">
      <xdr:nvCxnSpPr>
        <xdr:cNvPr id="113300" name="カギ線コネクタ 56">
          <a:extLst>
            <a:ext uri="{FF2B5EF4-FFF2-40B4-BE49-F238E27FC236}">
              <a16:creationId xmlns:a16="http://schemas.microsoft.com/office/drawing/2014/main" id="{00000000-0008-0000-0500-000094BA0100}"/>
            </a:ext>
          </a:extLst>
        </xdr:cNvPr>
        <xdr:cNvCxnSpPr>
          <a:cxnSpLocks noChangeShapeType="1"/>
          <a:stCxn id="258" idx="2"/>
        </xdr:cNvCxnSpPr>
      </xdr:nvCxnSpPr>
      <xdr:spPr bwMode="auto">
        <a:xfrm rot="5400000">
          <a:off x="3157538" y="22083712"/>
          <a:ext cx="266700" cy="1228725"/>
        </a:xfrm>
        <a:prstGeom prst="bentConnector2">
          <a:avLst/>
        </a:prstGeom>
        <a:noFill/>
        <a:ln w="19050" algn="ctr">
          <a:solidFill>
            <a:srgbClr val="000000"/>
          </a:solidFill>
          <a:prstDash val="dash"/>
          <a:miter lim="800000"/>
          <a:headEnd/>
          <a:tailEnd type="none" w="lg" len="lg"/>
        </a:ln>
        <a:extLst>
          <a:ext uri="{909E8E84-426E-40DD-AFC4-6F175D3DCCD1}">
            <a14:hiddenFill xmlns:a14="http://schemas.microsoft.com/office/drawing/2010/main">
              <a:noFill/>
            </a14:hiddenFill>
          </a:ext>
        </a:extLst>
      </xdr:spPr>
    </xdr:cxnSp>
    <xdr:clientData/>
  </xdr:twoCellAnchor>
  <xdr:twoCellAnchor>
    <xdr:from>
      <xdr:col>26</xdr:col>
      <xdr:colOff>109819</xdr:colOff>
      <xdr:row>73</xdr:row>
      <xdr:rowOff>62746</xdr:rowOff>
    </xdr:from>
    <xdr:to>
      <xdr:col>36</xdr:col>
      <xdr:colOff>74520</xdr:colOff>
      <xdr:row>75</xdr:row>
      <xdr:rowOff>11765</xdr:rowOff>
    </xdr:to>
    <xdr:sp macro="" textlink="">
      <xdr:nvSpPr>
        <xdr:cNvPr id="254" name="角丸四角形 206">
          <a:extLst>
            <a:ext uri="{FF2B5EF4-FFF2-40B4-BE49-F238E27FC236}">
              <a16:creationId xmlns:a16="http://schemas.microsoft.com/office/drawing/2014/main" id="{828D94EB-93C5-4C0D-87F1-46376189CB80}"/>
            </a:ext>
          </a:extLst>
        </xdr:cNvPr>
        <xdr:cNvSpPr/>
      </xdr:nvSpPr>
      <xdr:spPr>
        <a:xfrm>
          <a:off x="3329269" y="11597521"/>
          <a:ext cx="1202951" cy="272869"/>
        </a:xfrm>
        <a:prstGeom prst="roundRect">
          <a:avLst/>
        </a:prstGeom>
        <a:gradFill>
          <a:gsLst>
            <a:gs pos="0">
              <a:srgbClr val="66FFCC"/>
            </a:gs>
            <a:gs pos="50000">
              <a:schemeClr val="bg1"/>
            </a:gs>
            <a:gs pos="100000">
              <a:srgbClr val="66FFCC"/>
            </a:gs>
          </a:gsLst>
          <a:lin ang="0" scaled="1"/>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en-US" altLang="ja-JP" sz="1200">
              <a:solidFill>
                <a:schemeClr val="tx1"/>
              </a:solidFill>
              <a:latin typeface="+mn-ea"/>
            </a:rPr>
            <a:t>JP1/AJS3</a:t>
          </a:r>
          <a:endParaRPr lang="ja-JP" altLang="en-US" sz="1200">
            <a:solidFill>
              <a:schemeClr val="tx1"/>
            </a:solidFill>
            <a:latin typeface="+mn-ea"/>
          </a:endParaRPr>
        </a:p>
      </xdr:txBody>
    </xdr:sp>
    <xdr:clientData/>
  </xdr:twoCellAnchor>
  <xdr:twoCellAnchor>
    <xdr:from>
      <xdr:col>27</xdr:col>
      <xdr:colOff>7844</xdr:colOff>
      <xdr:row>75</xdr:row>
      <xdr:rowOff>85724</xdr:rowOff>
    </xdr:from>
    <xdr:to>
      <xdr:col>36</xdr:col>
      <xdr:colOff>97490</xdr:colOff>
      <xdr:row>77</xdr:row>
      <xdr:rowOff>18488</xdr:rowOff>
    </xdr:to>
    <xdr:sp macro="" textlink="">
      <xdr:nvSpPr>
        <xdr:cNvPr id="255" name="角丸四角形 207">
          <a:extLst>
            <a:ext uri="{FF2B5EF4-FFF2-40B4-BE49-F238E27FC236}">
              <a16:creationId xmlns:a16="http://schemas.microsoft.com/office/drawing/2014/main" id="{13FF5FCC-9BEC-4964-892D-AEB16AB760CB}"/>
            </a:ext>
          </a:extLst>
        </xdr:cNvPr>
        <xdr:cNvSpPr/>
      </xdr:nvSpPr>
      <xdr:spPr>
        <a:xfrm>
          <a:off x="3351119" y="11944349"/>
          <a:ext cx="1204071"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27</xdr:col>
      <xdr:colOff>19049</xdr:colOff>
      <xdr:row>71</xdr:row>
      <xdr:rowOff>85725</xdr:rowOff>
    </xdr:from>
    <xdr:to>
      <xdr:col>36</xdr:col>
      <xdr:colOff>86284</xdr:colOff>
      <xdr:row>73</xdr:row>
      <xdr:rowOff>18489</xdr:rowOff>
    </xdr:to>
    <xdr:sp macro="" textlink="">
      <xdr:nvSpPr>
        <xdr:cNvPr id="256" name="角丸四角形 136">
          <a:extLst>
            <a:ext uri="{FF2B5EF4-FFF2-40B4-BE49-F238E27FC236}">
              <a16:creationId xmlns:a16="http://schemas.microsoft.com/office/drawing/2014/main" id="{AC5542A5-5827-4123-B5E9-6C6789D4DFDC}"/>
            </a:ext>
          </a:extLst>
        </xdr:cNvPr>
        <xdr:cNvSpPr/>
      </xdr:nvSpPr>
      <xdr:spPr>
        <a:xfrm>
          <a:off x="3362324" y="11296650"/>
          <a:ext cx="1181660" cy="256614"/>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1200">
              <a:solidFill>
                <a:schemeClr val="tx1"/>
              </a:solidFill>
              <a:latin typeface="+mn-ea"/>
            </a:rPr>
            <a:t>バッチ</a:t>
          </a:r>
        </a:p>
      </xdr:txBody>
    </xdr:sp>
    <xdr:clientData/>
  </xdr:twoCellAnchor>
  <xdr:twoCellAnchor>
    <xdr:from>
      <xdr:col>26</xdr:col>
      <xdr:colOff>9525</xdr:colOff>
      <xdr:row>77</xdr:row>
      <xdr:rowOff>44822</xdr:rowOff>
    </xdr:from>
    <xdr:to>
      <xdr:col>41</xdr:col>
      <xdr:colOff>66676</xdr:colOff>
      <xdr:row>79</xdr:row>
      <xdr:rowOff>63872</xdr:rowOff>
    </xdr:to>
    <xdr:sp macro="" textlink="">
      <xdr:nvSpPr>
        <xdr:cNvPr id="257" name="テキスト ボックス 99">
          <a:extLst>
            <a:ext uri="{FF2B5EF4-FFF2-40B4-BE49-F238E27FC236}">
              <a16:creationId xmlns:a16="http://schemas.microsoft.com/office/drawing/2014/main" id="{684D0C33-B1C2-4E22-9089-F8D6F8E254B2}"/>
            </a:ext>
          </a:extLst>
        </xdr:cNvPr>
        <xdr:cNvSpPr txBox="1"/>
      </xdr:nvSpPr>
      <xdr:spPr>
        <a:xfrm>
          <a:off x="3228975" y="12227297"/>
          <a:ext cx="1914526" cy="333375"/>
        </a:xfrm>
        <a:prstGeom prst="rect">
          <a:avLst/>
        </a:prstGeom>
        <a:noFill/>
      </xdr:spPr>
      <xdr:txBody>
        <a:bodyPr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pPr>
            <a:defRPr/>
          </a:pPr>
          <a:r>
            <a:rPr lang="ja-JP" altLang="en-US" sz="800">
              <a:solidFill>
                <a:srgbClr val="FF0000"/>
              </a:solidFill>
              <a:latin typeface="+mn-ea"/>
              <a:ea typeface="+mn-ea"/>
            </a:rPr>
            <a:t>正常時、</a:t>
          </a:r>
          <a:r>
            <a:rPr lang="en-US" altLang="ja-JP" sz="800">
              <a:solidFill>
                <a:srgbClr val="FF0000"/>
              </a:solidFill>
              <a:latin typeface="+mn-ea"/>
              <a:ea typeface="+mn-ea"/>
            </a:rPr>
            <a:t>JP1/AJS3</a:t>
          </a:r>
          <a:r>
            <a:rPr lang="ja-JP" altLang="en-US" sz="800">
              <a:solidFill>
                <a:srgbClr val="FF0000"/>
              </a:solidFill>
              <a:latin typeface="+mn-ea"/>
              <a:ea typeface="+mn-ea"/>
            </a:rPr>
            <a:t>は非稼働。ＩＶＲ ＤＢ（</a:t>
          </a:r>
          <a:r>
            <a:rPr lang="en-US" altLang="ja-JP" sz="800">
              <a:solidFill>
                <a:srgbClr val="FF0000"/>
              </a:solidFill>
              <a:latin typeface="+mn-ea"/>
              <a:ea typeface="+mn-ea"/>
            </a:rPr>
            <a:t>Standby</a:t>
          </a:r>
          <a:r>
            <a:rPr lang="ja-JP" altLang="en-US" sz="800">
              <a:solidFill>
                <a:srgbClr val="FF0000"/>
              </a:solidFill>
              <a:latin typeface="+mn-ea"/>
              <a:ea typeface="+mn-ea"/>
            </a:rPr>
            <a:t>）へフェイルオーバした際に自動起動する。</a:t>
          </a:r>
          <a:endParaRPr lang="en-US" altLang="ja-JP" sz="800">
            <a:solidFill>
              <a:srgbClr val="FF0000"/>
            </a:solidFill>
            <a:latin typeface="+mn-ea"/>
            <a:ea typeface="+mn-ea"/>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O20"/>
  <sheetViews>
    <sheetView view="pageBreakPreview" zoomScaleNormal="70" zoomScaleSheetLayoutView="100" workbookViewId="0">
      <selection activeCell="P17" sqref="P17:S17"/>
    </sheetView>
  </sheetViews>
  <sheetFormatPr defaultColWidth="3.125" defaultRowHeight="18.75" customHeight="1" x14ac:dyDescent="0.15"/>
  <cols>
    <col min="1" max="1" width="9" customWidth="1"/>
  </cols>
  <sheetData>
    <row r="1" spans="2:41" ht="18.75" customHeight="1" thickBot="1" x14ac:dyDescent="0.2"/>
    <row r="2" spans="2:41" ht="18.75" customHeight="1" thickTop="1" x14ac:dyDescent="0.15">
      <c r="B2" s="406" t="str">
        <f ca="1">MID(CELL("filename",$A$1),FIND("[",CELL("filename",$A$1))+1,FIND("]",CELL("filename",$A$1))-FIND("[",CELL("filename",$A$1))-1-LEN(".xls"))</f>
        <v>21基本_MS盤_05_v1.3_DBサーバ基本設計書（AEP基盤編）R01.</v>
      </c>
      <c r="C2" s="407"/>
      <c r="D2" s="407"/>
      <c r="E2" s="407"/>
      <c r="F2" s="407"/>
      <c r="G2" s="407"/>
      <c r="H2" s="407"/>
      <c r="I2" s="412" t="s">
        <v>785</v>
      </c>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4"/>
      <c r="AI2" s="421"/>
      <c r="AJ2" s="422"/>
      <c r="AK2" s="422"/>
      <c r="AL2" s="422"/>
      <c r="AM2" s="422"/>
      <c r="AN2" s="422"/>
      <c r="AO2" s="423"/>
    </row>
    <row r="3" spans="2:41" ht="18.75" customHeight="1" x14ac:dyDescent="0.15">
      <c r="B3" s="408"/>
      <c r="C3" s="409"/>
      <c r="D3" s="409"/>
      <c r="E3" s="409"/>
      <c r="F3" s="409"/>
      <c r="G3" s="409"/>
      <c r="H3" s="409"/>
      <c r="I3" s="415"/>
      <c r="J3" s="416"/>
      <c r="K3" s="416"/>
      <c r="L3" s="416"/>
      <c r="M3" s="416"/>
      <c r="N3" s="416"/>
      <c r="O3" s="416"/>
      <c r="P3" s="416"/>
      <c r="Q3" s="416"/>
      <c r="R3" s="416"/>
      <c r="S3" s="416"/>
      <c r="T3" s="416"/>
      <c r="U3" s="416"/>
      <c r="V3" s="416"/>
      <c r="W3" s="416"/>
      <c r="X3" s="416"/>
      <c r="Y3" s="416"/>
      <c r="Z3" s="416"/>
      <c r="AA3" s="416"/>
      <c r="AB3" s="416"/>
      <c r="AC3" s="416"/>
      <c r="AD3" s="416"/>
      <c r="AE3" s="416"/>
      <c r="AF3" s="416"/>
      <c r="AG3" s="416"/>
      <c r="AH3" s="417"/>
      <c r="AI3" s="424"/>
      <c r="AJ3" s="425"/>
      <c r="AK3" s="425"/>
      <c r="AL3" s="425"/>
      <c r="AM3" s="425"/>
      <c r="AN3" s="425"/>
      <c r="AO3" s="426"/>
    </row>
    <row r="4" spans="2:41" ht="18.75" customHeight="1" thickBot="1" x14ac:dyDescent="0.2">
      <c r="B4" s="410"/>
      <c r="C4" s="411"/>
      <c r="D4" s="411"/>
      <c r="E4" s="411"/>
      <c r="F4" s="411"/>
      <c r="G4" s="411"/>
      <c r="H4" s="411"/>
      <c r="I4" s="418"/>
      <c r="J4" s="419"/>
      <c r="K4" s="419"/>
      <c r="L4" s="419"/>
      <c r="M4" s="419"/>
      <c r="N4" s="419"/>
      <c r="O4" s="419"/>
      <c r="P4" s="419"/>
      <c r="Q4" s="419"/>
      <c r="R4" s="419"/>
      <c r="S4" s="419"/>
      <c r="T4" s="419"/>
      <c r="U4" s="419"/>
      <c r="V4" s="419"/>
      <c r="W4" s="419"/>
      <c r="X4" s="419"/>
      <c r="Y4" s="419"/>
      <c r="Z4" s="419"/>
      <c r="AA4" s="419"/>
      <c r="AB4" s="419"/>
      <c r="AC4" s="419"/>
      <c r="AD4" s="419"/>
      <c r="AE4" s="419"/>
      <c r="AF4" s="419"/>
      <c r="AG4" s="419"/>
      <c r="AH4" s="420"/>
      <c r="AI4" s="427"/>
      <c r="AJ4" s="428"/>
      <c r="AK4" s="428"/>
      <c r="AL4" s="428"/>
      <c r="AM4" s="428"/>
      <c r="AN4" s="428"/>
      <c r="AO4" s="429"/>
    </row>
    <row r="5" spans="2:41" ht="18.75" customHeight="1" thickTop="1" x14ac:dyDescent="0.15"/>
    <row r="15" spans="2:41" ht="18.75" customHeight="1" x14ac:dyDescent="0.15">
      <c r="O15" s="338"/>
      <c r="P15" s="338"/>
      <c r="Q15" s="338"/>
      <c r="R15" s="338"/>
      <c r="S15" s="338"/>
      <c r="T15" s="338"/>
      <c r="U15" s="338"/>
      <c r="V15" s="338"/>
    </row>
    <row r="16" spans="2:41" ht="18.75" customHeight="1" x14ac:dyDescent="0.15">
      <c r="L16" s="430" t="s">
        <v>256</v>
      </c>
      <c r="M16" s="430"/>
      <c r="N16" s="430"/>
      <c r="O16" s="430"/>
      <c r="P16" s="430" t="s">
        <v>257</v>
      </c>
      <c r="Q16" s="430"/>
      <c r="R16" s="430"/>
      <c r="S16" s="430"/>
      <c r="T16" s="338"/>
      <c r="U16" s="338"/>
      <c r="V16" s="338"/>
    </row>
    <row r="17" spans="12:22" ht="18.75" customHeight="1" x14ac:dyDescent="0.15">
      <c r="L17" s="431">
        <v>43567</v>
      </c>
      <c r="M17" s="405"/>
      <c r="N17" s="405"/>
      <c r="O17" s="405"/>
      <c r="P17" s="431">
        <v>43567</v>
      </c>
      <c r="Q17" s="405"/>
      <c r="R17" s="405"/>
      <c r="S17" s="405"/>
      <c r="T17" s="338"/>
      <c r="U17" s="338"/>
      <c r="V17" s="338"/>
    </row>
    <row r="18" spans="12:22" ht="18.75" customHeight="1" x14ac:dyDescent="0.15">
      <c r="L18" s="404" t="s">
        <v>943</v>
      </c>
      <c r="M18" s="405"/>
      <c r="N18" s="405"/>
      <c r="O18" s="405"/>
      <c r="P18" s="404" t="s">
        <v>944</v>
      </c>
      <c r="Q18" s="405"/>
      <c r="R18" s="405"/>
      <c r="S18" s="405"/>
      <c r="T18" s="338"/>
      <c r="U18" s="338"/>
      <c r="V18" s="338"/>
    </row>
    <row r="19" spans="12:22" ht="18.75" customHeight="1" x14ac:dyDescent="0.15">
      <c r="L19" s="405"/>
      <c r="M19" s="405"/>
      <c r="N19" s="405"/>
      <c r="O19" s="405"/>
      <c r="P19" s="405"/>
      <c r="Q19" s="405"/>
      <c r="R19" s="405"/>
      <c r="S19" s="405"/>
      <c r="T19" s="338"/>
      <c r="U19" s="338"/>
      <c r="V19" s="338"/>
    </row>
    <row r="20" spans="12:22" ht="18.75" customHeight="1" x14ac:dyDescent="0.15">
      <c r="L20" s="405"/>
      <c r="M20" s="405"/>
      <c r="N20" s="405"/>
      <c r="O20" s="405"/>
      <c r="P20" s="405"/>
      <c r="Q20" s="405"/>
      <c r="R20" s="405"/>
      <c r="S20" s="405"/>
      <c r="T20" s="338"/>
      <c r="U20" s="338"/>
      <c r="V20" s="338"/>
    </row>
  </sheetData>
  <mergeCells count="9">
    <mergeCell ref="L18:O20"/>
    <mergeCell ref="P18:S20"/>
    <mergeCell ref="B2:H4"/>
    <mergeCell ref="I2:AH4"/>
    <mergeCell ref="AI2:AO4"/>
    <mergeCell ref="L16:O16"/>
    <mergeCell ref="P16:S16"/>
    <mergeCell ref="L17:O17"/>
    <mergeCell ref="P17:S17"/>
  </mergeCells>
  <phoneticPr fontId="42"/>
  <pageMargins left="0.70866141732283472" right="0.70866141732283472" top="0.31" bottom="0.32" header="0.31496062992125984" footer="0.31496062992125984"/>
  <pageSetup paperSize="9" scale="9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E49"/>
  <sheetViews>
    <sheetView showGridLines="0" view="pageBreakPreview" zoomScaleNormal="100" zoomScaleSheetLayoutView="100" workbookViewId="0">
      <selection activeCell="AS5" sqref="AS5:AY5"/>
    </sheetView>
  </sheetViews>
  <sheetFormatPr defaultColWidth="1.625" defaultRowHeight="12" x14ac:dyDescent="0.15"/>
  <cols>
    <col min="1" max="1" width="1.5" style="4" customWidth="1"/>
    <col min="2" max="16384" width="1.625" style="4"/>
  </cols>
  <sheetData>
    <row r="1" spans="1:83" s="339" customFormat="1" ht="18" customHeight="1" x14ac:dyDescent="0.2">
      <c r="A1" s="458" t="s">
        <v>942</v>
      </c>
      <c r="B1" s="458"/>
      <c r="C1" s="458"/>
      <c r="D1" s="458"/>
      <c r="E1" s="458"/>
      <c r="F1" s="458"/>
      <c r="G1" s="458"/>
      <c r="H1" s="458"/>
      <c r="I1" s="458"/>
      <c r="J1" s="458"/>
      <c r="K1" s="458"/>
      <c r="L1" s="458"/>
      <c r="M1" s="458"/>
      <c r="N1" s="458"/>
      <c r="O1" s="458"/>
      <c r="P1" s="458"/>
      <c r="Q1" s="458"/>
      <c r="R1" s="458"/>
      <c r="S1" s="458"/>
      <c r="T1" s="458"/>
      <c r="U1" s="458"/>
      <c r="V1" s="458"/>
      <c r="W1" s="458"/>
      <c r="X1" s="458"/>
      <c r="Y1" s="458"/>
      <c r="Z1" s="458"/>
      <c r="AA1" s="458"/>
      <c r="AB1" s="458"/>
      <c r="AC1" s="458"/>
      <c r="AD1" s="458"/>
      <c r="AE1" s="458"/>
      <c r="AF1" s="458"/>
      <c r="AG1" s="458"/>
      <c r="AH1" s="458"/>
      <c r="AI1" s="458"/>
      <c r="AJ1" s="458"/>
      <c r="AK1" s="458"/>
      <c r="AL1" s="458"/>
      <c r="AM1" s="458"/>
      <c r="AN1" s="458"/>
      <c r="AO1" s="458"/>
      <c r="AP1" s="458"/>
      <c r="AQ1" s="458"/>
      <c r="AR1" s="458"/>
      <c r="AS1" s="458"/>
      <c r="AT1" s="458"/>
      <c r="AU1" s="458"/>
      <c r="AV1" s="458"/>
      <c r="AW1" s="458"/>
      <c r="AX1" s="458"/>
      <c r="AY1" s="458"/>
      <c r="AZ1" s="458"/>
      <c r="BA1" s="458"/>
      <c r="BB1" s="458"/>
      <c r="BC1" s="458"/>
      <c r="BD1" s="458"/>
      <c r="BE1" s="458"/>
      <c r="BF1" s="458"/>
      <c r="BG1" s="458"/>
      <c r="BH1" s="458"/>
      <c r="BI1" s="458"/>
      <c r="BJ1" s="458"/>
      <c r="BK1" s="458"/>
      <c r="BL1" s="458"/>
      <c r="BM1" s="458"/>
      <c r="BN1" s="458"/>
      <c r="BO1" s="458"/>
      <c r="BP1" s="458"/>
      <c r="BQ1" s="458"/>
      <c r="BR1" s="458"/>
      <c r="BS1" s="458"/>
      <c r="BT1" s="458"/>
      <c r="BU1" s="458"/>
      <c r="BV1" s="458"/>
      <c r="BW1" s="458"/>
      <c r="BX1" s="458"/>
      <c r="BY1" s="458"/>
      <c r="BZ1" s="458"/>
      <c r="CA1" s="458"/>
      <c r="CB1" s="458"/>
      <c r="CC1" s="458"/>
      <c r="CD1" s="458"/>
      <c r="CE1" s="458"/>
    </row>
    <row r="2" spans="1:83" ht="5.25" customHeight="1" x14ac:dyDescent="0.15">
      <c r="BH2" s="73"/>
      <c r="BI2" s="73"/>
      <c r="BJ2" s="73"/>
      <c r="BK2" s="73"/>
      <c r="BL2" s="73"/>
      <c r="BM2" s="73"/>
      <c r="BN2" s="73"/>
    </row>
    <row r="3" spans="1:83" ht="12.75" customHeight="1" x14ac:dyDescent="0.15">
      <c r="A3" s="440" t="s">
        <v>78</v>
      </c>
      <c r="B3" s="441"/>
      <c r="C3" s="441"/>
      <c r="D3" s="441"/>
      <c r="E3" s="441"/>
      <c r="F3" s="441"/>
      <c r="G3" s="441"/>
      <c r="H3" s="442"/>
      <c r="I3" s="440" t="s">
        <v>193</v>
      </c>
      <c r="J3" s="441"/>
      <c r="K3" s="441"/>
      <c r="L3" s="441"/>
      <c r="M3" s="441"/>
      <c r="N3" s="441"/>
      <c r="O3" s="441"/>
      <c r="P3" s="441"/>
      <c r="Q3" s="441"/>
      <c r="R3" s="441"/>
      <c r="S3" s="441"/>
      <c r="T3" s="441"/>
      <c r="U3" s="441"/>
      <c r="V3" s="441"/>
      <c r="W3" s="441"/>
      <c r="X3" s="441"/>
      <c r="Y3" s="441"/>
      <c r="Z3" s="441"/>
      <c r="AA3" s="441"/>
      <c r="AB3" s="441"/>
      <c r="AC3" s="442"/>
      <c r="AD3" s="440" t="s">
        <v>79</v>
      </c>
      <c r="AE3" s="441"/>
      <c r="AF3" s="441"/>
      <c r="AG3" s="441"/>
      <c r="AH3" s="441"/>
      <c r="AI3" s="441"/>
      <c r="AJ3" s="441"/>
      <c r="AK3" s="441"/>
      <c r="AL3" s="442"/>
      <c r="AM3" s="440" t="s">
        <v>788</v>
      </c>
      <c r="AN3" s="441"/>
      <c r="AO3" s="441"/>
      <c r="AP3" s="441"/>
      <c r="AQ3" s="441"/>
      <c r="AR3" s="441"/>
      <c r="AS3" s="441"/>
      <c r="AT3" s="441"/>
      <c r="AU3" s="441"/>
      <c r="AV3" s="441"/>
      <c r="AW3" s="441"/>
      <c r="AX3" s="441"/>
      <c r="AY3" s="441"/>
      <c r="AZ3" s="441"/>
      <c r="BA3" s="441"/>
      <c r="BB3" s="441"/>
      <c r="BC3" s="441"/>
      <c r="BD3" s="441"/>
      <c r="BE3" s="441"/>
      <c r="BF3" s="441"/>
      <c r="BG3" s="441"/>
      <c r="BH3" s="441"/>
      <c r="BI3" s="441"/>
      <c r="BJ3" s="441"/>
      <c r="BK3" s="441"/>
      <c r="BL3" s="441"/>
      <c r="BM3" s="441"/>
      <c r="BN3" s="441"/>
      <c r="BO3" s="441"/>
      <c r="BP3" s="441"/>
      <c r="BQ3" s="442"/>
      <c r="BR3" s="468" t="s">
        <v>80</v>
      </c>
      <c r="BS3" s="469"/>
      <c r="BT3" s="459" t="s">
        <v>784</v>
      </c>
      <c r="BU3" s="460"/>
      <c r="BV3" s="460"/>
      <c r="BW3" s="460"/>
      <c r="BX3" s="461"/>
      <c r="BY3" s="468" t="s">
        <v>81</v>
      </c>
      <c r="BZ3" s="469"/>
      <c r="CA3" s="459" t="s">
        <v>783</v>
      </c>
      <c r="CB3" s="460"/>
      <c r="CC3" s="460"/>
      <c r="CD3" s="460"/>
      <c r="CE3" s="461"/>
    </row>
    <row r="4" spans="1:83" ht="12.75" customHeight="1" x14ac:dyDescent="0.15">
      <c r="A4" s="452" t="s">
        <v>82</v>
      </c>
      <c r="B4" s="453"/>
      <c r="C4" s="453"/>
      <c r="D4" s="453"/>
      <c r="E4" s="453"/>
      <c r="F4" s="453"/>
      <c r="G4" s="453"/>
      <c r="H4" s="454"/>
      <c r="I4" s="434" t="s">
        <v>786</v>
      </c>
      <c r="J4" s="435"/>
      <c r="K4" s="435"/>
      <c r="L4" s="435"/>
      <c r="M4" s="435"/>
      <c r="N4" s="435"/>
      <c r="O4" s="435"/>
      <c r="P4" s="435"/>
      <c r="Q4" s="435"/>
      <c r="R4" s="435"/>
      <c r="S4" s="435"/>
      <c r="T4" s="435"/>
      <c r="U4" s="435"/>
      <c r="V4" s="435"/>
      <c r="W4" s="435"/>
      <c r="X4" s="435"/>
      <c r="Y4" s="435"/>
      <c r="Z4" s="435"/>
      <c r="AA4" s="435"/>
      <c r="AB4" s="435"/>
      <c r="AC4" s="436"/>
      <c r="AD4" s="440" t="s">
        <v>83</v>
      </c>
      <c r="AE4" s="441"/>
      <c r="AF4" s="441"/>
      <c r="AG4" s="441"/>
      <c r="AH4" s="441"/>
      <c r="AI4" s="441"/>
      <c r="AJ4" s="441"/>
      <c r="AK4" s="441"/>
      <c r="AL4" s="442"/>
      <c r="AM4" s="440" t="s">
        <v>705</v>
      </c>
      <c r="AN4" s="441"/>
      <c r="AO4" s="441"/>
      <c r="AP4" s="441"/>
      <c r="AQ4" s="441"/>
      <c r="AR4" s="441"/>
      <c r="AS4" s="441"/>
      <c r="AT4" s="441"/>
      <c r="AU4" s="441"/>
      <c r="AV4" s="441"/>
      <c r="AW4" s="441"/>
      <c r="AX4" s="441"/>
      <c r="AY4" s="441"/>
      <c r="AZ4" s="441"/>
      <c r="BA4" s="441"/>
      <c r="BB4" s="441"/>
      <c r="BC4" s="441"/>
      <c r="BD4" s="441"/>
      <c r="BE4" s="441"/>
      <c r="BF4" s="441"/>
      <c r="BG4" s="441"/>
      <c r="BH4" s="441"/>
      <c r="BI4" s="441"/>
      <c r="BJ4" s="441"/>
      <c r="BK4" s="441"/>
      <c r="BL4" s="441"/>
      <c r="BM4" s="441"/>
      <c r="BN4" s="441"/>
      <c r="BO4" s="441"/>
      <c r="BP4" s="441"/>
      <c r="BQ4" s="442"/>
      <c r="BR4" s="470"/>
      <c r="BS4" s="471"/>
      <c r="BT4" s="462"/>
      <c r="BU4" s="463"/>
      <c r="BV4" s="463"/>
      <c r="BW4" s="463"/>
      <c r="BX4" s="464"/>
      <c r="BY4" s="470"/>
      <c r="BZ4" s="471"/>
      <c r="CA4" s="462"/>
      <c r="CB4" s="463"/>
      <c r="CC4" s="463"/>
      <c r="CD4" s="463"/>
      <c r="CE4" s="464"/>
    </row>
    <row r="5" spans="1:83" ht="12.75" customHeight="1" x14ac:dyDescent="0.15">
      <c r="A5" s="455"/>
      <c r="B5" s="456"/>
      <c r="C5" s="456"/>
      <c r="D5" s="456"/>
      <c r="E5" s="456"/>
      <c r="F5" s="456"/>
      <c r="G5" s="456"/>
      <c r="H5" s="457"/>
      <c r="I5" s="437"/>
      <c r="J5" s="438"/>
      <c r="K5" s="438"/>
      <c r="L5" s="438"/>
      <c r="M5" s="438"/>
      <c r="N5" s="438"/>
      <c r="O5" s="438"/>
      <c r="P5" s="438"/>
      <c r="Q5" s="438"/>
      <c r="R5" s="438"/>
      <c r="S5" s="438"/>
      <c r="T5" s="438"/>
      <c r="U5" s="438"/>
      <c r="V5" s="438"/>
      <c r="W5" s="438"/>
      <c r="X5" s="438"/>
      <c r="Y5" s="438"/>
      <c r="Z5" s="438"/>
      <c r="AA5" s="438"/>
      <c r="AB5" s="438"/>
      <c r="AC5" s="439"/>
      <c r="AD5" s="440" t="s">
        <v>84</v>
      </c>
      <c r="AE5" s="441"/>
      <c r="AF5" s="441"/>
      <c r="AG5" s="442"/>
      <c r="AH5" s="443">
        <v>43476</v>
      </c>
      <c r="AI5" s="444"/>
      <c r="AJ5" s="445"/>
      <c r="AK5" s="445"/>
      <c r="AL5" s="445"/>
      <c r="AM5" s="445"/>
      <c r="AN5" s="446"/>
      <c r="AO5" s="440" t="s">
        <v>85</v>
      </c>
      <c r="AP5" s="441"/>
      <c r="AQ5" s="441"/>
      <c r="AR5" s="442"/>
      <c r="AS5" s="447"/>
      <c r="AT5" s="448"/>
      <c r="AU5" s="449"/>
      <c r="AV5" s="449"/>
      <c r="AW5" s="449"/>
      <c r="AX5" s="449"/>
      <c r="AY5" s="450"/>
      <c r="AZ5" s="451" t="s">
        <v>86</v>
      </c>
      <c r="BA5" s="449"/>
      <c r="BB5" s="449"/>
      <c r="BC5" s="450"/>
      <c r="BD5" s="443">
        <v>43476</v>
      </c>
      <c r="BE5" s="444"/>
      <c r="BF5" s="445"/>
      <c r="BG5" s="445"/>
      <c r="BH5" s="445"/>
      <c r="BI5" s="445"/>
      <c r="BJ5" s="446"/>
      <c r="BK5" s="440" t="s">
        <v>87</v>
      </c>
      <c r="BL5" s="441"/>
      <c r="BM5" s="442"/>
      <c r="BN5" s="474">
        <v>1</v>
      </c>
      <c r="BO5" s="475"/>
      <c r="BP5" s="475"/>
      <c r="BQ5" s="476"/>
      <c r="BR5" s="472"/>
      <c r="BS5" s="473"/>
      <c r="BT5" s="465"/>
      <c r="BU5" s="466"/>
      <c r="BV5" s="466"/>
      <c r="BW5" s="466"/>
      <c r="BX5" s="467"/>
      <c r="BY5" s="472"/>
      <c r="BZ5" s="473"/>
      <c r="CA5" s="465"/>
      <c r="CB5" s="466"/>
      <c r="CC5" s="466"/>
      <c r="CD5" s="466"/>
      <c r="CE5" s="467"/>
    </row>
    <row r="6" spans="1:83" ht="4.5" customHeight="1" x14ac:dyDescent="0.15">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83" ht="12.75" thickBot="1" x14ac:dyDescent="0.2">
      <c r="A7" s="73"/>
      <c r="B7" s="73"/>
      <c r="C7" s="73"/>
      <c r="D7" s="73"/>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c r="CC7" s="73"/>
    </row>
    <row r="8" spans="1:83" s="342" customFormat="1" ht="12" customHeight="1" x14ac:dyDescent="0.15">
      <c r="A8" s="340"/>
      <c r="B8" s="160"/>
      <c r="C8" s="160"/>
      <c r="D8" s="160"/>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K8" s="160"/>
      <c r="AL8" s="160"/>
      <c r="AM8" s="160"/>
      <c r="AN8" s="160"/>
      <c r="AO8" s="160"/>
      <c r="AP8" s="160"/>
      <c r="AQ8" s="160"/>
      <c r="AR8" s="160"/>
      <c r="AS8" s="160"/>
      <c r="AT8" s="160"/>
      <c r="AU8" s="160"/>
      <c r="AV8" s="160"/>
      <c r="AW8" s="160"/>
      <c r="AX8" s="160"/>
      <c r="AY8" s="160"/>
      <c r="AZ8" s="160"/>
      <c r="BA8" s="160"/>
      <c r="BB8" s="160"/>
      <c r="BC8" s="160"/>
      <c r="BD8" s="160"/>
      <c r="BE8" s="160"/>
      <c r="BF8" s="160"/>
      <c r="BG8" s="160"/>
      <c r="BH8" s="160"/>
      <c r="BI8" s="160"/>
      <c r="BJ8" s="160"/>
      <c r="BK8" s="160"/>
      <c r="BL8" s="160"/>
      <c r="BM8" s="160"/>
      <c r="BN8" s="160"/>
      <c r="BO8" s="160"/>
      <c r="BP8" s="160"/>
      <c r="BQ8" s="160"/>
      <c r="BR8" s="160"/>
      <c r="BS8" s="160"/>
      <c r="BT8" s="160"/>
      <c r="BU8" s="160"/>
      <c r="BV8" s="160"/>
      <c r="BW8" s="160"/>
      <c r="BX8" s="160"/>
      <c r="BY8" s="160"/>
      <c r="BZ8" s="160"/>
      <c r="CA8" s="160"/>
      <c r="CB8" s="160"/>
      <c r="CC8" s="160"/>
      <c r="CD8" s="160"/>
      <c r="CE8" s="341"/>
    </row>
    <row r="9" spans="1:83" s="342" customFormat="1" ht="12" customHeight="1" x14ac:dyDescent="0.15">
      <c r="A9" s="343"/>
      <c r="B9" s="344"/>
      <c r="C9" s="344"/>
      <c r="D9" s="344"/>
      <c r="E9" s="344"/>
      <c r="X9" s="344"/>
      <c r="Y9" s="344"/>
      <c r="Z9" s="344"/>
      <c r="AA9" s="344"/>
      <c r="AB9" s="344"/>
      <c r="AC9" s="344"/>
      <c r="AD9" s="344"/>
      <c r="AE9" s="344"/>
      <c r="AF9" s="344"/>
      <c r="AG9" s="344"/>
      <c r="AH9" s="344"/>
      <c r="AI9" s="344"/>
      <c r="AJ9" s="344"/>
      <c r="AK9" s="344"/>
      <c r="AL9" s="344"/>
      <c r="AM9" s="344"/>
      <c r="AN9" s="344"/>
      <c r="AO9" s="344"/>
      <c r="AP9" s="344"/>
      <c r="AQ9" s="344"/>
      <c r="AR9" s="344"/>
      <c r="AS9" s="344"/>
      <c r="BH9" s="344"/>
      <c r="BI9" s="344"/>
      <c r="BJ9" s="344"/>
      <c r="BK9" s="344"/>
      <c r="BL9" s="344"/>
      <c r="BM9" s="344"/>
      <c r="BN9" s="344"/>
      <c r="BO9" s="344"/>
      <c r="BP9" s="344"/>
      <c r="BQ9" s="344"/>
      <c r="BR9" s="344"/>
      <c r="BS9" s="344"/>
      <c r="BT9" s="344"/>
      <c r="BU9" s="344"/>
      <c r="BV9" s="344"/>
      <c r="BW9" s="344"/>
      <c r="BX9" s="344"/>
      <c r="BY9" s="344"/>
      <c r="BZ9" s="344"/>
      <c r="CA9" s="344"/>
      <c r="CB9" s="344"/>
      <c r="CC9" s="344"/>
      <c r="CD9" s="344"/>
      <c r="CE9" s="345"/>
    </row>
    <row r="10" spans="1:83" s="342" customFormat="1" ht="12" customHeight="1" x14ac:dyDescent="0.15">
      <c r="A10" s="343"/>
      <c r="B10" s="344"/>
      <c r="E10" s="344"/>
      <c r="F10" s="344" t="s">
        <v>791</v>
      </c>
      <c r="G10" s="344"/>
      <c r="H10" s="344"/>
      <c r="I10" s="344"/>
      <c r="K10" s="344"/>
      <c r="L10" s="344"/>
      <c r="M10" s="344"/>
      <c r="N10" s="344"/>
      <c r="O10" s="344"/>
      <c r="P10" s="344"/>
      <c r="Q10" s="344"/>
      <c r="R10" s="344"/>
      <c r="S10" s="344"/>
      <c r="T10" s="344"/>
      <c r="U10" s="344"/>
      <c r="V10" s="17" t="s">
        <v>338</v>
      </c>
      <c r="W10" s="344"/>
      <c r="X10" s="344"/>
      <c r="Y10" s="344"/>
      <c r="AE10" s="344"/>
      <c r="AG10" s="344"/>
      <c r="AH10" s="344"/>
      <c r="AI10" s="344"/>
      <c r="AJ10" s="344"/>
      <c r="AK10" s="344"/>
      <c r="AL10" s="344"/>
      <c r="AM10" s="344"/>
      <c r="AN10" s="344"/>
      <c r="AO10" s="344"/>
      <c r="AP10" s="344"/>
      <c r="AQ10" s="344"/>
      <c r="AR10" s="344"/>
      <c r="AS10" s="344"/>
      <c r="AT10" s="344"/>
      <c r="AU10" s="346"/>
      <c r="AV10" s="344"/>
      <c r="AW10" s="344"/>
      <c r="AX10" s="344"/>
      <c r="AY10" s="344"/>
      <c r="AZ10" s="344"/>
      <c r="BA10" s="344"/>
      <c r="BB10" s="344"/>
      <c r="BC10" s="344"/>
      <c r="BD10" s="344"/>
      <c r="BE10" s="344"/>
      <c r="BF10" s="344"/>
      <c r="BG10" s="344"/>
      <c r="BH10" s="344"/>
      <c r="BI10" s="344"/>
      <c r="BJ10" s="344"/>
      <c r="BK10" s="344"/>
      <c r="BL10" s="344"/>
      <c r="BM10" s="344"/>
      <c r="BN10" s="344"/>
      <c r="BO10" s="344"/>
      <c r="BP10" s="344"/>
      <c r="BQ10" s="344"/>
      <c r="BR10" s="344"/>
      <c r="BS10" s="344"/>
      <c r="BT10" s="344"/>
      <c r="BU10" s="344"/>
      <c r="BV10" s="344"/>
      <c r="BW10" s="344"/>
      <c r="BX10" s="344"/>
      <c r="BY10" s="344"/>
      <c r="BZ10" s="344"/>
      <c r="CA10" s="344"/>
      <c r="CB10" s="344"/>
      <c r="CC10" s="344"/>
      <c r="CD10" s="344"/>
      <c r="CE10" s="345"/>
    </row>
    <row r="11" spans="1:83" s="342" customFormat="1" ht="12" customHeight="1" x14ac:dyDescent="0.15">
      <c r="A11" s="343"/>
      <c r="B11" s="344"/>
      <c r="G11" s="344"/>
      <c r="H11" s="344"/>
      <c r="I11" s="344"/>
      <c r="K11" s="344"/>
      <c r="L11" s="344"/>
      <c r="M11" s="344"/>
      <c r="N11" s="344"/>
      <c r="O11" s="344"/>
      <c r="P11" s="344"/>
      <c r="Q11" s="344"/>
      <c r="R11" s="344"/>
      <c r="S11" s="344"/>
      <c r="T11" s="344"/>
      <c r="U11" s="344"/>
      <c r="V11" s="22" t="s">
        <v>422</v>
      </c>
      <c r="W11" s="344"/>
      <c r="X11" s="344"/>
      <c r="AE11" s="344"/>
      <c r="AG11" s="344"/>
      <c r="AH11" s="344"/>
      <c r="AI11" s="344"/>
      <c r="AJ11" s="344"/>
      <c r="AK11" s="344"/>
      <c r="AL11" s="344"/>
      <c r="AM11" s="344"/>
      <c r="AN11" s="344"/>
      <c r="AO11" s="344"/>
      <c r="AP11" s="344"/>
      <c r="AQ11" s="344"/>
      <c r="AR11" s="344"/>
      <c r="AS11" s="344"/>
      <c r="AT11" s="344"/>
      <c r="AU11" s="346"/>
      <c r="AV11" s="344"/>
      <c r="AW11" s="344"/>
      <c r="AX11" s="344"/>
      <c r="AY11" s="344"/>
      <c r="AZ11" s="344"/>
      <c r="BA11" s="344"/>
      <c r="BB11" s="344"/>
      <c r="BC11" s="344"/>
      <c r="BD11" s="344"/>
      <c r="BE11" s="344"/>
      <c r="BF11" s="344"/>
      <c r="BG11" s="344"/>
      <c r="BH11" s="344"/>
      <c r="BI11" s="344"/>
      <c r="BJ11" s="344"/>
      <c r="BK11" s="344"/>
      <c r="BL11" s="344"/>
      <c r="BM11" s="344"/>
      <c r="BN11" s="344"/>
      <c r="BO11" s="344"/>
      <c r="BP11" s="344"/>
      <c r="BQ11" s="344"/>
      <c r="BR11" s="344"/>
      <c r="BS11" s="344"/>
      <c r="BT11" s="344"/>
      <c r="BU11" s="344"/>
      <c r="BV11" s="344"/>
      <c r="BW11" s="344"/>
      <c r="BX11" s="344"/>
      <c r="BY11" s="344"/>
      <c r="BZ11" s="344"/>
      <c r="CA11" s="344"/>
      <c r="CB11" s="344"/>
      <c r="CC11" s="344"/>
      <c r="CD11" s="344"/>
      <c r="CE11" s="345"/>
    </row>
    <row r="12" spans="1:83" s="342" customFormat="1" ht="12" customHeight="1" x14ac:dyDescent="0.15">
      <c r="A12" s="343"/>
      <c r="B12" s="344"/>
      <c r="E12" s="344"/>
      <c r="H12" s="344"/>
      <c r="I12" s="344"/>
      <c r="J12" s="344"/>
      <c r="V12" s="22" t="s">
        <v>425</v>
      </c>
      <c r="AE12" s="344"/>
      <c r="AG12" s="344"/>
      <c r="AH12" s="344"/>
      <c r="AI12" s="344"/>
      <c r="AJ12" s="344"/>
      <c r="AK12" s="344"/>
      <c r="AL12" s="344"/>
      <c r="AM12" s="344"/>
      <c r="AN12" s="344"/>
      <c r="AO12" s="344"/>
      <c r="AP12" s="344"/>
      <c r="AQ12" s="344"/>
      <c r="AR12" s="344"/>
      <c r="AS12" s="344"/>
      <c r="AT12" s="344"/>
      <c r="AU12" s="344"/>
      <c r="AV12" s="344"/>
      <c r="AW12" s="344"/>
      <c r="BL12" s="344"/>
      <c r="BM12" s="344"/>
      <c r="BN12" s="344"/>
      <c r="BO12" s="344"/>
      <c r="BP12" s="344"/>
      <c r="BQ12" s="344"/>
      <c r="BR12" s="344"/>
      <c r="BS12" s="344"/>
      <c r="BT12" s="344"/>
      <c r="BU12" s="344"/>
      <c r="BV12" s="344"/>
      <c r="BW12" s="344"/>
      <c r="BX12" s="344"/>
      <c r="BY12" s="344"/>
      <c r="BZ12" s="344"/>
      <c r="CA12" s="344"/>
      <c r="CB12" s="344"/>
      <c r="CC12" s="344"/>
      <c r="CD12" s="344"/>
      <c r="CE12" s="345"/>
    </row>
    <row r="13" spans="1:83" s="342" customFormat="1" ht="12" customHeight="1" x14ac:dyDescent="0.15">
      <c r="A13" s="343"/>
      <c r="B13" s="344"/>
      <c r="E13" s="344"/>
      <c r="F13" s="344"/>
      <c r="I13" s="344"/>
      <c r="J13" s="344"/>
      <c r="K13" s="344"/>
      <c r="L13" s="344"/>
      <c r="M13" s="344"/>
      <c r="N13" s="344"/>
      <c r="O13" s="344"/>
      <c r="P13" s="346"/>
      <c r="Q13" s="344"/>
      <c r="R13" s="344"/>
      <c r="S13" s="344"/>
      <c r="T13" s="344"/>
      <c r="U13" s="344"/>
      <c r="V13" s="22" t="s">
        <v>33</v>
      </c>
      <c r="W13" s="344"/>
      <c r="X13" s="344"/>
      <c r="AA13" s="344"/>
      <c r="AB13" s="344"/>
      <c r="AC13" s="344"/>
      <c r="AD13" s="344"/>
      <c r="AE13" s="344"/>
      <c r="AG13" s="344"/>
      <c r="AH13" s="344"/>
      <c r="AI13" s="344"/>
      <c r="AJ13" s="344"/>
      <c r="AK13" s="344"/>
      <c r="AL13" s="344"/>
      <c r="AM13" s="344"/>
      <c r="AN13" s="344"/>
      <c r="AO13" s="344"/>
      <c r="AP13" s="344"/>
      <c r="AQ13" s="344"/>
      <c r="AR13" s="344"/>
      <c r="AS13" s="344"/>
      <c r="AT13" s="344"/>
      <c r="AU13" s="344"/>
      <c r="AV13" s="344"/>
      <c r="AW13" s="344"/>
      <c r="AX13" s="344"/>
      <c r="AY13" s="346"/>
      <c r="AZ13" s="344"/>
      <c r="BA13" s="344"/>
      <c r="BB13" s="344"/>
      <c r="BC13" s="344"/>
      <c r="BD13" s="344"/>
      <c r="BE13" s="344"/>
      <c r="BF13" s="344"/>
      <c r="BG13" s="344"/>
      <c r="BH13" s="344"/>
      <c r="BI13" s="344"/>
      <c r="BJ13" s="344"/>
      <c r="BK13" s="344"/>
      <c r="BL13" s="344"/>
      <c r="BM13" s="344"/>
      <c r="BN13" s="344"/>
      <c r="BO13" s="344"/>
      <c r="BP13" s="344"/>
      <c r="BQ13" s="344"/>
      <c r="BR13" s="344"/>
      <c r="BS13" s="344"/>
      <c r="BT13" s="344"/>
      <c r="BU13" s="344"/>
      <c r="BV13" s="344"/>
      <c r="BW13" s="344"/>
      <c r="BX13" s="344"/>
      <c r="BY13" s="344"/>
      <c r="BZ13" s="344"/>
      <c r="CA13" s="344"/>
      <c r="CB13" s="344"/>
      <c r="CC13" s="344"/>
      <c r="CD13" s="344"/>
      <c r="CE13" s="345"/>
    </row>
    <row r="14" spans="1:83" s="342" customFormat="1" ht="12" customHeight="1" x14ac:dyDescent="0.15">
      <c r="A14" s="343"/>
      <c r="B14" s="344"/>
      <c r="E14" s="344"/>
      <c r="AA14" s="344"/>
      <c r="AB14" s="344"/>
      <c r="AC14" s="344"/>
      <c r="AD14" s="344"/>
      <c r="AE14" s="344"/>
      <c r="AG14" s="344"/>
      <c r="AH14" s="344"/>
      <c r="AI14" s="344"/>
      <c r="AJ14" s="344"/>
      <c r="AK14" s="344"/>
      <c r="AL14" s="344"/>
      <c r="AM14" s="344"/>
      <c r="AN14" s="344"/>
      <c r="AO14" s="344"/>
      <c r="AP14" s="344"/>
      <c r="AQ14" s="344"/>
      <c r="AR14" s="344"/>
      <c r="AS14" s="344"/>
      <c r="AT14" s="344"/>
      <c r="AU14" s="344"/>
      <c r="AV14" s="344"/>
      <c r="AW14" s="344"/>
      <c r="AX14" s="344"/>
      <c r="AY14" s="346"/>
      <c r="AZ14" s="344"/>
      <c r="BA14" s="344"/>
      <c r="BB14" s="344"/>
      <c r="BC14" s="344"/>
      <c r="BD14" s="344"/>
      <c r="BE14" s="344"/>
      <c r="BF14" s="344"/>
      <c r="BG14" s="344"/>
      <c r="BH14" s="344"/>
      <c r="BI14" s="344"/>
      <c r="BJ14" s="344"/>
      <c r="BK14" s="344"/>
      <c r="BL14" s="344"/>
      <c r="BM14" s="344"/>
      <c r="BN14" s="344"/>
      <c r="BO14" s="344"/>
      <c r="BP14" s="344"/>
      <c r="BQ14" s="344"/>
      <c r="BR14" s="344"/>
      <c r="BS14" s="344"/>
      <c r="BT14" s="344"/>
      <c r="BU14" s="344"/>
      <c r="BV14" s="344"/>
      <c r="BW14" s="344"/>
      <c r="BX14" s="344"/>
      <c r="BY14" s="344"/>
      <c r="BZ14" s="344"/>
      <c r="CA14" s="344"/>
      <c r="CB14" s="344"/>
      <c r="CC14" s="344"/>
      <c r="CD14" s="344"/>
      <c r="CE14" s="345"/>
    </row>
    <row r="15" spans="1:83" s="342" customFormat="1" ht="12" customHeight="1" x14ac:dyDescent="0.15">
      <c r="A15" s="343"/>
      <c r="B15" s="344"/>
      <c r="E15" s="344"/>
      <c r="F15" s="342" t="s">
        <v>790</v>
      </c>
      <c r="J15" s="344"/>
      <c r="K15" s="344"/>
      <c r="L15" s="344"/>
      <c r="M15" s="344"/>
      <c r="N15" s="344"/>
      <c r="O15" s="344"/>
      <c r="P15" s="346"/>
      <c r="Q15" s="344"/>
      <c r="R15" s="344"/>
      <c r="V15" s="17" t="s">
        <v>89</v>
      </c>
      <c r="AC15" s="344"/>
      <c r="AD15" s="344"/>
      <c r="AE15" s="344"/>
      <c r="AG15" s="344"/>
      <c r="AH15" s="344"/>
      <c r="AI15" s="344"/>
      <c r="AJ15" s="344"/>
      <c r="AK15" s="344"/>
      <c r="AL15" s="344"/>
      <c r="AM15" s="344"/>
      <c r="AN15" s="344"/>
      <c r="AO15" s="344"/>
      <c r="AP15" s="344"/>
      <c r="AQ15" s="344"/>
      <c r="AR15" s="344"/>
      <c r="AS15" s="344"/>
      <c r="AT15" s="344"/>
      <c r="AU15" s="344"/>
      <c r="AV15" s="344"/>
      <c r="AW15" s="344"/>
      <c r="AX15" s="344"/>
      <c r="AY15" s="346"/>
      <c r="AZ15" s="344"/>
      <c r="BA15" s="344"/>
      <c r="BB15" s="344"/>
      <c r="BC15" s="344"/>
      <c r="BD15" s="344"/>
      <c r="BE15" s="344"/>
      <c r="BF15" s="344"/>
      <c r="BG15" s="344"/>
      <c r="BH15" s="344"/>
      <c r="BI15" s="344"/>
      <c r="BJ15" s="344"/>
      <c r="BK15" s="344"/>
      <c r="BL15" s="344"/>
      <c r="BM15" s="344"/>
      <c r="BN15" s="344"/>
      <c r="BO15" s="344"/>
      <c r="BP15" s="344"/>
      <c r="BQ15" s="344"/>
      <c r="BR15" s="344"/>
      <c r="BS15" s="344"/>
      <c r="BT15" s="344"/>
      <c r="BU15" s="344"/>
      <c r="BV15" s="344"/>
      <c r="BW15" s="344"/>
      <c r="BX15" s="344"/>
      <c r="BY15" s="344"/>
      <c r="BZ15" s="344"/>
      <c r="CA15" s="344"/>
      <c r="CB15" s="344"/>
      <c r="CC15" s="344"/>
      <c r="CD15" s="344"/>
      <c r="CE15" s="345"/>
    </row>
    <row r="16" spans="1:83" s="342" customFormat="1" ht="12" customHeight="1" x14ac:dyDescent="0.15">
      <c r="A16" s="343"/>
      <c r="B16" s="344"/>
      <c r="E16" s="344"/>
      <c r="V16" s="22" t="s">
        <v>102</v>
      </c>
      <c r="Y16" s="344"/>
      <c r="AC16" s="344"/>
      <c r="AD16" s="344"/>
      <c r="AE16" s="344"/>
      <c r="AG16" s="344"/>
      <c r="AH16" s="344"/>
      <c r="AI16" s="344"/>
      <c r="AJ16" s="344"/>
      <c r="AK16" s="344"/>
      <c r="AL16" s="344"/>
      <c r="AM16" s="344"/>
      <c r="AN16" s="344"/>
      <c r="AO16" s="344"/>
      <c r="AP16" s="344"/>
      <c r="AQ16" s="344"/>
      <c r="AR16" s="344"/>
      <c r="AS16" s="344"/>
      <c r="AT16" s="344"/>
      <c r="AU16" s="344"/>
      <c r="AV16" s="344"/>
      <c r="AW16" s="344"/>
      <c r="AX16" s="344"/>
      <c r="AY16" s="346"/>
      <c r="AZ16" s="344"/>
      <c r="BA16" s="344"/>
      <c r="BB16" s="344"/>
      <c r="BC16" s="344"/>
      <c r="BD16" s="344"/>
      <c r="BE16" s="344"/>
      <c r="BF16" s="344"/>
      <c r="BG16" s="344"/>
      <c r="BH16" s="344"/>
      <c r="BI16" s="344"/>
      <c r="BJ16" s="344"/>
      <c r="BK16" s="344"/>
      <c r="BL16" s="344"/>
      <c r="BM16" s="344"/>
      <c r="BN16" s="344"/>
      <c r="BO16" s="344"/>
      <c r="BP16" s="344"/>
      <c r="BQ16" s="344"/>
      <c r="BR16" s="344"/>
      <c r="BS16" s="344"/>
      <c r="BT16" s="344"/>
      <c r="BU16" s="344"/>
      <c r="BV16" s="344"/>
      <c r="BW16" s="344"/>
      <c r="BX16" s="344"/>
      <c r="BY16" s="344"/>
      <c r="BZ16" s="344"/>
      <c r="CA16" s="344"/>
      <c r="CB16" s="344"/>
      <c r="CC16" s="344"/>
      <c r="CD16" s="344"/>
      <c r="CE16" s="345"/>
    </row>
    <row r="17" spans="1:83" s="342" customFormat="1" ht="12" customHeight="1" x14ac:dyDescent="0.15">
      <c r="A17" s="343"/>
      <c r="B17" s="344"/>
      <c r="E17" s="344"/>
      <c r="F17" s="344"/>
      <c r="I17" s="344"/>
      <c r="J17" s="344"/>
      <c r="K17" s="344"/>
      <c r="L17" s="344"/>
      <c r="M17" s="344"/>
      <c r="N17" s="344"/>
      <c r="O17" s="344"/>
      <c r="P17" s="346"/>
      <c r="Q17" s="344"/>
      <c r="R17" s="344"/>
      <c r="V17" s="22" t="s">
        <v>148</v>
      </c>
      <c r="AC17" s="344"/>
      <c r="AD17" s="344"/>
      <c r="AE17" s="344"/>
      <c r="AG17" s="344"/>
      <c r="AH17" s="344"/>
      <c r="AI17" s="344"/>
      <c r="AJ17" s="344"/>
      <c r="AK17" s="344"/>
      <c r="AL17" s="344"/>
      <c r="AM17" s="344"/>
      <c r="AN17" s="344"/>
      <c r="AO17" s="344"/>
      <c r="AP17" s="344"/>
      <c r="AQ17" s="344"/>
      <c r="AR17" s="344"/>
      <c r="AS17" s="344"/>
      <c r="AT17" s="344"/>
      <c r="AU17" s="344"/>
      <c r="AV17" s="344"/>
      <c r="AW17" s="344"/>
      <c r="AX17" s="344"/>
      <c r="AY17" s="346"/>
      <c r="AZ17" s="344"/>
      <c r="BA17" s="344"/>
      <c r="BB17" s="344"/>
      <c r="BC17" s="344"/>
      <c r="BD17" s="344"/>
      <c r="BE17" s="344"/>
      <c r="BF17" s="344"/>
      <c r="BG17" s="344"/>
      <c r="BH17" s="344"/>
      <c r="BI17" s="344"/>
      <c r="BJ17" s="344"/>
      <c r="BK17" s="344"/>
      <c r="BL17" s="344"/>
      <c r="BM17" s="344"/>
      <c r="BN17" s="344"/>
      <c r="BO17" s="344"/>
      <c r="BP17" s="344"/>
      <c r="BQ17" s="344"/>
      <c r="BR17" s="344"/>
      <c r="BS17" s="344"/>
      <c r="BT17" s="344"/>
      <c r="BU17" s="344"/>
      <c r="BV17" s="344"/>
      <c r="BW17" s="344"/>
      <c r="BX17" s="344"/>
      <c r="BY17" s="344"/>
      <c r="BZ17" s="344"/>
      <c r="CA17" s="344"/>
      <c r="CB17" s="344"/>
      <c r="CC17" s="344"/>
      <c r="CD17" s="344"/>
      <c r="CE17" s="345"/>
    </row>
    <row r="18" spans="1:83" s="342" customFormat="1" ht="12" customHeight="1" x14ac:dyDescent="0.15">
      <c r="A18" s="343"/>
      <c r="B18" s="344"/>
      <c r="E18" s="344"/>
      <c r="X18" s="344"/>
      <c r="Y18" s="347"/>
      <c r="AC18" s="344"/>
      <c r="AD18" s="344"/>
      <c r="AE18" s="344"/>
      <c r="AG18" s="344"/>
      <c r="AH18" s="344"/>
      <c r="AI18" s="344"/>
      <c r="AJ18" s="344"/>
      <c r="AK18" s="344"/>
      <c r="AL18" s="344"/>
      <c r="AM18" s="344"/>
      <c r="AN18" s="344"/>
      <c r="AO18" s="344"/>
      <c r="AP18" s="344"/>
      <c r="AQ18" s="344"/>
      <c r="AR18" s="344"/>
      <c r="AS18" s="344"/>
      <c r="AT18" s="344"/>
      <c r="AU18" s="344"/>
      <c r="AV18" s="344"/>
      <c r="AW18" s="344"/>
      <c r="AX18" s="344"/>
      <c r="AY18" s="346"/>
      <c r="AZ18" s="344"/>
      <c r="BA18" s="344"/>
      <c r="BC18" s="344"/>
      <c r="BD18" s="344"/>
      <c r="BE18" s="344"/>
      <c r="BF18" s="344"/>
      <c r="BG18" s="344"/>
      <c r="BH18" s="344"/>
      <c r="BI18" s="344"/>
      <c r="BJ18" s="344"/>
      <c r="BK18" s="344"/>
      <c r="BL18" s="344"/>
      <c r="BM18" s="344"/>
      <c r="BN18" s="344"/>
      <c r="BO18" s="344"/>
      <c r="BP18" s="344"/>
      <c r="BQ18" s="344"/>
      <c r="BR18" s="344"/>
      <c r="BS18" s="344"/>
      <c r="BT18" s="344"/>
      <c r="BU18" s="344"/>
      <c r="BV18" s="344"/>
      <c r="BW18" s="344"/>
      <c r="BX18" s="344"/>
      <c r="BY18" s="344"/>
      <c r="BZ18" s="344"/>
      <c r="CA18" s="344"/>
      <c r="CB18" s="344"/>
      <c r="CC18" s="344"/>
      <c r="CD18" s="344"/>
      <c r="CE18" s="345"/>
    </row>
    <row r="19" spans="1:83" s="342" customFormat="1" ht="12" customHeight="1" x14ac:dyDescent="0.15">
      <c r="A19" s="343"/>
      <c r="B19" s="344"/>
      <c r="E19" s="344"/>
      <c r="F19" s="342" t="s">
        <v>789</v>
      </c>
      <c r="J19" s="344"/>
      <c r="K19" s="344"/>
      <c r="L19" s="344"/>
      <c r="M19" s="344"/>
      <c r="N19" s="344"/>
      <c r="O19" s="344"/>
      <c r="P19" s="346"/>
      <c r="R19" s="344"/>
      <c r="S19" s="344"/>
      <c r="U19" s="344"/>
      <c r="V19" s="17" t="s">
        <v>278</v>
      </c>
      <c r="W19" s="344"/>
      <c r="X19" s="344"/>
      <c r="AC19" s="344"/>
      <c r="AD19" s="344"/>
      <c r="AE19" s="344"/>
      <c r="AG19" s="344"/>
      <c r="AH19" s="344"/>
      <c r="AI19" s="344"/>
      <c r="AJ19" s="344"/>
      <c r="AK19" s="344"/>
      <c r="AL19" s="344"/>
      <c r="AM19" s="344"/>
      <c r="AN19" s="344"/>
      <c r="AO19" s="344"/>
      <c r="AP19" s="344"/>
      <c r="AQ19" s="344"/>
      <c r="AR19" s="344"/>
      <c r="AS19" s="344"/>
      <c r="AT19" s="344"/>
      <c r="AU19" s="344"/>
      <c r="AV19" s="344"/>
      <c r="AW19" s="344"/>
      <c r="AX19" s="344"/>
      <c r="AY19" s="346"/>
      <c r="AZ19" s="344"/>
      <c r="BC19" s="344"/>
      <c r="BD19" s="344"/>
      <c r="BE19" s="344"/>
      <c r="BF19" s="344"/>
      <c r="BG19" s="344"/>
      <c r="BI19" s="344"/>
      <c r="BJ19" s="344"/>
      <c r="BK19" s="344"/>
      <c r="BL19" s="344"/>
      <c r="BM19" s="344"/>
      <c r="BN19" s="344"/>
      <c r="BO19" s="344"/>
      <c r="BP19" s="344"/>
      <c r="BQ19" s="344"/>
      <c r="BR19" s="344"/>
      <c r="BS19" s="344"/>
      <c r="BT19" s="344"/>
      <c r="BU19" s="344"/>
      <c r="BV19" s="344"/>
      <c r="BW19" s="344"/>
      <c r="BX19" s="344"/>
      <c r="BY19" s="344"/>
      <c r="BZ19" s="344"/>
      <c r="CA19" s="344"/>
      <c r="CB19" s="344"/>
      <c r="CC19" s="344"/>
      <c r="CD19" s="344"/>
      <c r="CE19" s="345"/>
    </row>
    <row r="20" spans="1:83" s="342" customFormat="1" ht="12" customHeight="1" x14ac:dyDescent="0.15">
      <c r="A20" s="343"/>
      <c r="B20" s="344"/>
      <c r="C20" s="344"/>
      <c r="D20" s="344"/>
      <c r="E20" s="344"/>
      <c r="F20" s="344"/>
      <c r="J20" s="344"/>
      <c r="K20" s="344"/>
      <c r="L20" s="344"/>
      <c r="M20" s="344"/>
      <c r="N20" s="344"/>
      <c r="O20" s="344"/>
      <c r="P20" s="346"/>
      <c r="R20" s="344"/>
      <c r="S20" s="344"/>
      <c r="U20" s="344"/>
      <c r="V20" s="22" t="s">
        <v>288</v>
      </c>
      <c r="W20" s="344"/>
      <c r="X20" s="344"/>
      <c r="Y20" s="20"/>
      <c r="Z20" s="20"/>
      <c r="AA20" s="344"/>
      <c r="AB20" s="344"/>
      <c r="AC20" s="344"/>
      <c r="AD20" s="344"/>
      <c r="AE20" s="344"/>
      <c r="AF20" s="20"/>
      <c r="AG20" s="344"/>
      <c r="AH20" s="344"/>
      <c r="AI20" s="344"/>
      <c r="AJ20" s="344"/>
      <c r="AK20" s="344"/>
      <c r="AL20" s="344"/>
      <c r="AM20" s="344"/>
      <c r="AN20" s="344"/>
      <c r="AO20" s="344"/>
      <c r="AP20" s="344"/>
      <c r="AQ20" s="344"/>
      <c r="AR20" s="344"/>
      <c r="AS20" s="344"/>
      <c r="AT20" s="344"/>
      <c r="AU20" s="344"/>
      <c r="AV20" s="344"/>
      <c r="AW20" s="344"/>
      <c r="AX20" s="344"/>
      <c r="AY20" s="346"/>
      <c r="AZ20" s="344"/>
      <c r="BA20" s="344"/>
      <c r="BB20" s="20"/>
      <c r="BC20" s="344"/>
      <c r="BD20" s="344"/>
      <c r="BE20" s="344"/>
      <c r="BF20" s="344"/>
      <c r="BG20" s="344"/>
      <c r="BH20" s="344"/>
      <c r="BI20" s="344"/>
      <c r="BJ20" s="344"/>
      <c r="BK20" s="344"/>
      <c r="BL20" s="344"/>
      <c r="BM20" s="344"/>
      <c r="BN20" s="344"/>
      <c r="BO20" s="344"/>
      <c r="BP20" s="344"/>
      <c r="BQ20" s="344"/>
      <c r="BR20" s="344"/>
      <c r="BS20" s="344"/>
      <c r="BT20" s="344"/>
      <c r="BU20" s="344"/>
      <c r="BV20" s="344"/>
      <c r="BW20" s="344"/>
      <c r="BX20" s="344"/>
      <c r="BY20" s="344"/>
      <c r="BZ20" s="344"/>
      <c r="CA20" s="344"/>
      <c r="CB20" s="344"/>
      <c r="CC20" s="344"/>
      <c r="CD20" s="344"/>
      <c r="CE20" s="345"/>
    </row>
    <row r="21" spans="1:83" s="342" customFormat="1" ht="12" customHeight="1" x14ac:dyDescent="0.15">
      <c r="A21" s="343"/>
      <c r="B21" s="344"/>
      <c r="C21" s="20"/>
      <c r="D21" s="20"/>
      <c r="E21" s="344"/>
      <c r="F21" s="20"/>
      <c r="G21" s="20"/>
      <c r="H21" s="20"/>
      <c r="I21" s="20"/>
      <c r="J21" s="20"/>
      <c r="K21" s="20"/>
      <c r="L21" s="20"/>
      <c r="M21" s="20"/>
      <c r="N21" s="20"/>
      <c r="O21" s="20"/>
      <c r="P21" s="20"/>
      <c r="Q21" s="20"/>
      <c r="R21" s="20"/>
      <c r="S21" s="20"/>
      <c r="T21" s="20"/>
      <c r="U21" s="20"/>
      <c r="V21" s="22" t="s">
        <v>312</v>
      </c>
      <c r="W21" s="20"/>
      <c r="X21" s="20"/>
      <c r="Y21" s="20"/>
      <c r="Z21" s="20"/>
      <c r="AA21" s="344"/>
      <c r="AB21" s="344"/>
      <c r="AC21" s="344"/>
      <c r="AD21" s="344"/>
      <c r="AE21" s="344"/>
      <c r="AF21" s="20"/>
      <c r="AG21" s="20"/>
      <c r="AH21" s="344"/>
      <c r="AI21" s="344"/>
      <c r="AJ21" s="344"/>
      <c r="AK21" s="344"/>
      <c r="AL21" s="344"/>
      <c r="AM21" s="344"/>
      <c r="AN21" s="344"/>
      <c r="AO21" s="344"/>
      <c r="AP21" s="344"/>
      <c r="AQ21" s="344"/>
      <c r="AR21" s="344"/>
      <c r="AS21" s="344"/>
      <c r="AT21" s="344"/>
      <c r="AU21" s="344"/>
      <c r="AV21" s="344"/>
      <c r="AW21" s="344"/>
      <c r="AX21" s="344"/>
      <c r="AY21" s="346"/>
      <c r="AZ21" s="344"/>
      <c r="BA21" s="20"/>
      <c r="BB21" s="20"/>
      <c r="BC21" s="344"/>
      <c r="BD21" s="344"/>
      <c r="BE21" s="344"/>
      <c r="BF21" s="344"/>
      <c r="BG21" s="344"/>
      <c r="BH21" s="20"/>
      <c r="BI21" s="344"/>
      <c r="BJ21" s="344"/>
      <c r="BK21" s="344"/>
      <c r="BL21" s="344"/>
      <c r="BM21" s="344"/>
      <c r="BN21" s="344"/>
      <c r="BO21" s="344"/>
      <c r="BP21" s="344"/>
      <c r="BQ21" s="344"/>
      <c r="BR21" s="344"/>
      <c r="BS21" s="344"/>
      <c r="BT21" s="344"/>
      <c r="BU21" s="344"/>
      <c r="BV21" s="344"/>
      <c r="BW21" s="344"/>
      <c r="BX21" s="344"/>
      <c r="BY21" s="344"/>
      <c r="BZ21" s="344"/>
      <c r="CA21" s="344"/>
      <c r="CB21" s="344"/>
      <c r="CC21" s="344"/>
      <c r="CD21" s="344"/>
      <c r="CE21" s="345"/>
    </row>
    <row r="22" spans="1:83" s="342" customFormat="1" ht="12" customHeight="1" x14ac:dyDescent="0.15">
      <c r="A22" s="343"/>
      <c r="B22" s="344"/>
      <c r="C22" s="344"/>
      <c r="D22" s="344"/>
      <c r="E22" s="344"/>
      <c r="F22" s="344"/>
      <c r="G22" s="20"/>
      <c r="H22" s="20"/>
      <c r="I22" s="344"/>
      <c r="J22" s="20"/>
      <c r="K22" s="20"/>
      <c r="L22" s="20"/>
      <c r="M22" s="20"/>
      <c r="N22" s="20"/>
      <c r="O22" s="344"/>
      <c r="P22" s="346"/>
      <c r="Q22" s="344"/>
      <c r="R22" s="344"/>
      <c r="S22" s="344"/>
      <c r="T22" s="20"/>
      <c r="U22" s="344"/>
      <c r="V22" s="344"/>
      <c r="W22" s="344"/>
      <c r="X22" s="344"/>
      <c r="Y22" s="344"/>
      <c r="Z22" s="344"/>
      <c r="AA22" s="344"/>
      <c r="AB22" s="344"/>
      <c r="AC22" s="344"/>
      <c r="AD22" s="344"/>
      <c r="AE22" s="344"/>
      <c r="AF22" s="20"/>
      <c r="AG22" s="344"/>
      <c r="AH22" s="344"/>
      <c r="AI22" s="344"/>
      <c r="AJ22" s="344"/>
      <c r="AK22" s="344"/>
      <c r="AL22" s="344"/>
      <c r="AM22" s="344"/>
      <c r="AN22" s="344"/>
      <c r="AO22" s="344"/>
      <c r="AP22" s="344"/>
      <c r="AQ22" s="344"/>
      <c r="AR22" s="344"/>
      <c r="AS22" s="344"/>
      <c r="AT22" s="344"/>
      <c r="AU22" s="344"/>
      <c r="AV22" s="344"/>
      <c r="AW22" s="344"/>
      <c r="AX22" s="344"/>
      <c r="AY22" s="344"/>
      <c r="AZ22" s="344"/>
      <c r="BA22" s="20"/>
      <c r="BB22" s="344"/>
      <c r="BC22" s="344"/>
      <c r="BD22" s="344"/>
      <c r="BE22" s="344"/>
      <c r="BF22" s="344"/>
      <c r="BG22" s="344"/>
      <c r="BH22" s="344"/>
      <c r="BI22" s="344"/>
      <c r="BJ22" s="344"/>
      <c r="BK22" s="344"/>
      <c r="BL22" s="344"/>
      <c r="BM22" s="344"/>
      <c r="BN22" s="344"/>
      <c r="BO22" s="344"/>
      <c r="BP22" s="344"/>
      <c r="BQ22" s="344"/>
      <c r="BR22" s="344"/>
      <c r="BS22" s="344"/>
      <c r="BT22" s="344"/>
      <c r="BU22" s="344"/>
      <c r="BV22" s="344"/>
      <c r="BW22" s="344"/>
      <c r="BX22" s="344"/>
      <c r="BY22" s="344"/>
      <c r="BZ22" s="344"/>
      <c r="CA22" s="344"/>
      <c r="CB22" s="344"/>
      <c r="CC22" s="344"/>
      <c r="CD22" s="344"/>
      <c r="CE22" s="345"/>
    </row>
    <row r="23" spans="1:83" s="342" customFormat="1" ht="12" customHeight="1" x14ac:dyDescent="0.15">
      <c r="A23" s="343"/>
      <c r="B23" s="344"/>
      <c r="C23" s="344"/>
      <c r="D23" s="344"/>
      <c r="E23" s="344"/>
      <c r="F23" s="344"/>
      <c r="G23" s="20"/>
      <c r="H23" s="344"/>
      <c r="I23" s="344"/>
      <c r="J23" s="20"/>
      <c r="K23" s="20"/>
      <c r="L23" s="20"/>
      <c r="M23" s="20"/>
      <c r="N23" s="20"/>
      <c r="O23" s="20"/>
      <c r="P23" s="346"/>
      <c r="Q23" s="344"/>
      <c r="R23" s="344"/>
      <c r="S23" s="20"/>
      <c r="T23" s="20"/>
      <c r="U23" s="20"/>
      <c r="V23" s="20"/>
      <c r="W23" s="20"/>
      <c r="X23" s="20"/>
      <c r="Y23" s="20"/>
      <c r="Z23" s="344"/>
      <c r="AA23" s="20"/>
      <c r="AB23" s="20"/>
      <c r="AC23" s="344"/>
      <c r="AD23" s="344"/>
      <c r="AE23" s="344"/>
      <c r="AF23" s="20"/>
      <c r="AG23" s="344"/>
      <c r="AH23" s="344"/>
      <c r="AI23" s="344"/>
      <c r="AJ23" s="344"/>
      <c r="AK23" s="344"/>
      <c r="AL23" s="344"/>
      <c r="AM23" s="344"/>
      <c r="AN23" s="344"/>
      <c r="AO23" s="344"/>
      <c r="AP23" s="344"/>
      <c r="AQ23" s="344"/>
      <c r="AR23" s="344"/>
      <c r="AS23" s="344"/>
      <c r="AT23" s="344"/>
      <c r="AU23" s="344"/>
      <c r="AV23" s="344"/>
      <c r="AW23" s="344"/>
      <c r="AX23" s="344"/>
      <c r="AY23" s="344"/>
      <c r="AZ23" s="20"/>
      <c r="BA23" s="344"/>
      <c r="BB23" s="20"/>
      <c r="BC23" s="20"/>
      <c r="BD23" s="20"/>
      <c r="BE23" s="20"/>
      <c r="BF23" s="20"/>
      <c r="BG23" s="20"/>
      <c r="BH23" s="20"/>
      <c r="BI23" s="20"/>
      <c r="BJ23" s="344"/>
      <c r="BK23" s="344"/>
      <c r="BL23" s="344"/>
      <c r="BM23" s="344"/>
      <c r="BN23" s="344"/>
      <c r="BO23" s="344"/>
      <c r="BP23" s="344"/>
      <c r="BQ23" s="344"/>
      <c r="BR23" s="344"/>
      <c r="BS23" s="344"/>
      <c r="BT23" s="344"/>
      <c r="BU23" s="344"/>
      <c r="BV23" s="344"/>
      <c r="BW23" s="344"/>
      <c r="BX23" s="344"/>
      <c r="BY23" s="344"/>
      <c r="BZ23" s="344"/>
      <c r="CA23" s="344"/>
      <c r="CB23" s="344"/>
      <c r="CC23" s="344"/>
      <c r="CD23" s="344"/>
      <c r="CE23" s="345"/>
    </row>
    <row r="24" spans="1:83" s="342" customFormat="1" ht="12" customHeight="1" x14ac:dyDescent="0.15">
      <c r="A24" s="343"/>
      <c r="B24" s="344"/>
      <c r="C24" s="344"/>
      <c r="D24" s="344"/>
      <c r="E24" s="344"/>
      <c r="F24" s="344"/>
      <c r="G24" s="20"/>
      <c r="H24" s="344"/>
      <c r="I24" s="344"/>
      <c r="J24" s="20"/>
      <c r="K24" s="20"/>
      <c r="L24" s="20"/>
      <c r="M24" s="20"/>
      <c r="N24" s="20"/>
      <c r="O24" s="20"/>
      <c r="P24" s="346"/>
      <c r="Q24" s="344"/>
      <c r="R24" s="344"/>
      <c r="S24" s="20"/>
      <c r="T24" s="20"/>
      <c r="U24" s="20"/>
      <c r="V24" s="20"/>
      <c r="W24" s="20"/>
      <c r="X24" s="20"/>
      <c r="Y24" s="20"/>
      <c r="Z24" s="344"/>
      <c r="AA24" s="344"/>
      <c r="AB24" s="344"/>
      <c r="AC24" s="344"/>
      <c r="AD24" s="344"/>
      <c r="AE24" s="344"/>
      <c r="AF24" s="20"/>
      <c r="AG24" s="344"/>
      <c r="AH24" s="344"/>
      <c r="AI24" s="344"/>
      <c r="AJ24" s="344"/>
      <c r="AK24" s="344"/>
      <c r="AL24" s="344"/>
      <c r="AM24" s="344"/>
      <c r="AN24" s="344"/>
      <c r="AO24" s="344"/>
      <c r="AP24" s="344"/>
      <c r="AQ24" s="344"/>
      <c r="AR24" s="344"/>
      <c r="AS24" s="344"/>
      <c r="AT24" s="344"/>
      <c r="AU24" s="344"/>
      <c r="AV24" s="344"/>
      <c r="AW24" s="344"/>
      <c r="AX24" s="344"/>
      <c r="AY24" s="344"/>
      <c r="AZ24" s="344"/>
      <c r="BA24" s="344"/>
      <c r="BB24" s="20"/>
      <c r="BC24" s="344"/>
      <c r="BD24" s="344"/>
      <c r="BE24" s="344"/>
      <c r="BF24" s="344"/>
      <c r="BG24" s="344"/>
      <c r="BH24" s="344"/>
      <c r="BI24" s="344"/>
      <c r="BJ24" s="344"/>
      <c r="BK24" s="344"/>
      <c r="BL24" s="344"/>
      <c r="BM24" s="344"/>
      <c r="BN24" s="20"/>
      <c r="BO24" s="20"/>
      <c r="BP24" s="20"/>
      <c r="BQ24" s="344"/>
      <c r="BR24" s="344"/>
      <c r="BS24" s="344"/>
      <c r="BT24" s="344"/>
      <c r="BU24" s="344"/>
      <c r="BV24" s="344"/>
      <c r="BW24" s="344"/>
      <c r="BX24" s="344"/>
      <c r="BY24" s="344"/>
      <c r="BZ24" s="344"/>
      <c r="CA24" s="344"/>
      <c r="CB24" s="344"/>
      <c r="CC24" s="344"/>
      <c r="CD24" s="344"/>
      <c r="CE24" s="345"/>
    </row>
    <row r="25" spans="1:83" s="342" customFormat="1" ht="12" customHeight="1" x14ac:dyDescent="0.15">
      <c r="A25" s="343"/>
      <c r="B25" s="344"/>
      <c r="C25" s="344"/>
      <c r="D25" s="344"/>
      <c r="E25" s="344"/>
      <c r="F25" s="20"/>
      <c r="G25" s="20"/>
      <c r="H25" s="20"/>
      <c r="I25" s="20"/>
      <c r="J25" s="20"/>
      <c r="K25" s="20"/>
      <c r="L25" s="20"/>
      <c r="M25" s="20"/>
      <c r="N25" s="20"/>
      <c r="O25" s="20"/>
      <c r="P25" s="344"/>
      <c r="Q25" s="20"/>
      <c r="R25" s="344"/>
      <c r="S25" s="344"/>
      <c r="T25" s="20"/>
      <c r="U25" s="344"/>
      <c r="V25" s="344"/>
      <c r="W25" s="20"/>
      <c r="X25" s="344"/>
      <c r="Y25" s="344"/>
      <c r="Z25" s="344"/>
      <c r="AA25" s="344"/>
      <c r="AB25" s="344"/>
      <c r="AC25" s="344"/>
      <c r="AD25" s="344"/>
      <c r="AE25" s="344"/>
      <c r="AF25" s="20"/>
      <c r="AG25" s="20"/>
      <c r="AH25" s="344"/>
      <c r="AI25" s="344"/>
      <c r="AJ25" s="344"/>
      <c r="AK25" s="344"/>
      <c r="AL25" s="344"/>
      <c r="AM25" s="344"/>
      <c r="AN25" s="344"/>
      <c r="AO25" s="344"/>
      <c r="AP25" s="344"/>
      <c r="AQ25" s="344"/>
      <c r="AR25" s="344"/>
      <c r="AS25" s="344"/>
      <c r="AT25" s="344"/>
      <c r="AU25" s="344"/>
      <c r="AV25" s="344"/>
      <c r="AW25" s="344"/>
      <c r="AX25" s="344"/>
      <c r="AY25" s="344"/>
      <c r="AZ25" s="344"/>
      <c r="BA25" s="20"/>
      <c r="BB25" s="20"/>
      <c r="BC25" s="344"/>
      <c r="BD25" s="344"/>
      <c r="BE25" s="344"/>
      <c r="BF25" s="344"/>
      <c r="BG25" s="344"/>
      <c r="BH25" s="20"/>
      <c r="BI25" s="344"/>
      <c r="BJ25" s="344"/>
      <c r="BK25" s="344"/>
      <c r="BL25" s="344"/>
      <c r="BM25" s="344"/>
      <c r="BN25" s="344"/>
      <c r="BO25" s="344"/>
      <c r="BP25" s="344"/>
      <c r="BQ25" s="344"/>
      <c r="BR25" s="344"/>
      <c r="BS25" s="344"/>
      <c r="BT25" s="344"/>
      <c r="BU25" s="344"/>
      <c r="BV25" s="344"/>
      <c r="BW25" s="344"/>
      <c r="BX25" s="344"/>
      <c r="BY25" s="344"/>
      <c r="BZ25" s="344"/>
      <c r="CA25" s="344"/>
      <c r="CB25" s="344"/>
      <c r="CC25" s="344"/>
      <c r="CD25" s="344"/>
      <c r="CE25" s="345"/>
    </row>
    <row r="26" spans="1:83" s="342" customFormat="1" ht="12" customHeight="1" x14ac:dyDescent="0.15">
      <c r="A26" s="343"/>
      <c r="B26" s="344"/>
      <c r="C26" s="344"/>
      <c r="D26" s="344"/>
      <c r="E26" s="344"/>
      <c r="F26" s="20"/>
      <c r="G26" s="20"/>
      <c r="H26" s="20"/>
      <c r="I26" s="20"/>
      <c r="J26" s="20"/>
      <c r="K26" s="20"/>
      <c r="L26" s="20"/>
      <c r="M26" s="20"/>
      <c r="N26" s="20"/>
      <c r="O26" s="20"/>
      <c r="P26" s="20"/>
      <c r="Q26" s="20"/>
      <c r="R26" s="20"/>
      <c r="S26" s="20"/>
      <c r="T26" s="20"/>
      <c r="U26" s="20"/>
      <c r="V26" s="20"/>
      <c r="W26" s="20"/>
      <c r="X26" s="20"/>
      <c r="Y26" s="20"/>
      <c r="Z26" s="20"/>
      <c r="AA26" s="20"/>
      <c r="AB26" s="20"/>
      <c r="AC26" s="344"/>
      <c r="AD26" s="344"/>
      <c r="AE26" s="344"/>
      <c r="AF26" s="20"/>
      <c r="AG26" s="344"/>
      <c r="AH26" s="344"/>
      <c r="AI26" s="344"/>
      <c r="AJ26" s="344"/>
      <c r="AK26" s="344"/>
      <c r="AL26" s="344"/>
      <c r="AM26" s="344"/>
      <c r="AN26" s="344"/>
      <c r="AO26" s="344"/>
      <c r="AP26" s="344"/>
      <c r="AQ26" s="344"/>
      <c r="AR26" s="344"/>
      <c r="AS26" s="344"/>
      <c r="AT26" s="344"/>
      <c r="AU26" s="344"/>
      <c r="AV26" s="344"/>
      <c r="AW26" s="344"/>
      <c r="AX26" s="344"/>
      <c r="AY26" s="344"/>
      <c r="AZ26" s="344"/>
      <c r="BA26" s="20"/>
      <c r="BB26" s="344"/>
      <c r="BC26" s="344"/>
      <c r="BD26" s="344"/>
      <c r="BE26" s="344"/>
      <c r="BF26" s="344"/>
      <c r="BG26" s="344"/>
      <c r="BH26" s="344"/>
      <c r="BI26" s="344"/>
      <c r="BJ26" s="344"/>
      <c r="BK26" s="344"/>
      <c r="BL26" s="344"/>
      <c r="BM26" s="344"/>
      <c r="BN26" s="344"/>
      <c r="BO26" s="344"/>
      <c r="BP26" s="344"/>
      <c r="BQ26" s="344"/>
      <c r="BR26" s="344"/>
      <c r="BS26" s="344"/>
      <c r="BT26" s="344"/>
      <c r="BU26" s="344"/>
      <c r="BV26" s="344"/>
      <c r="BW26" s="344"/>
      <c r="BX26" s="344"/>
      <c r="BY26" s="344"/>
      <c r="BZ26" s="344"/>
      <c r="CA26" s="344"/>
      <c r="CB26" s="344"/>
      <c r="CC26" s="344"/>
      <c r="CD26" s="344"/>
      <c r="CE26" s="345"/>
    </row>
    <row r="27" spans="1:83" s="342" customFormat="1" ht="12" customHeight="1" x14ac:dyDescent="0.15">
      <c r="A27" s="343"/>
      <c r="B27" s="344"/>
      <c r="C27" s="344"/>
      <c r="D27" s="344"/>
      <c r="E27" s="344"/>
      <c r="F27" s="20"/>
      <c r="G27" s="20"/>
      <c r="H27" s="20"/>
      <c r="I27" s="20"/>
      <c r="J27" s="20"/>
      <c r="K27" s="20"/>
      <c r="L27" s="20"/>
      <c r="M27" s="20"/>
      <c r="N27" s="20"/>
      <c r="O27" s="20"/>
      <c r="P27" s="20"/>
      <c r="Q27" s="20"/>
      <c r="R27" s="20"/>
      <c r="S27" s="20"/>
      <c r="T27" s="20"/>
      <c r="U27" s="20"/>
      <c r="V27" s="20"/>
      <c r="W27" s="20"/>
      <c r="X27" s="20"/>
      <c r="Y27" s="20"/>
      <c r="Z27" s="20"/>
      <c r="AA27" s="20"/>
      <c r="AB27" s="20"/>
      <c r="AC27" s="344"/>
      <c r="AD27" s="344"/>
      <c r="AE27" s="344"/>
      <c r="AF27" s="20"/>
      <c r="AG27" s="344"/>
      <c r="AH27" s="344"/>
      <c r="AI27" s="344"/>
      <c r="AJ27" s="344"/>
      <c r="AK27" s="344"/>
      <c r="AL27" s="344"/>
      <c r="AM27" s="344"/>
      <c r="AN27" s="344"/>
      <c r="AO27" s="344"/>
      <c r="AP27" s="20"/>
      <c r="AQ27" s="20"/>
      <c r="AR27" s="344"/>
      <c r="AS27" s="344"/>
      <c r="AT27" s="344"/>
      <c r="AU27" s="344"/>
      <c r="AV27" s="344"/>
      <c r="AW27" s="344"/>
      <c r="AX27" s="344"/>
      <c r="AY27" s="344"/>
      <c r="AZ27" s="20"/>
      <c r="BA27" s="20"/>
      <c r="BB27" s="20"/>
      <c r="BC27" s="20"/>
      <c r="BD27" s="20"/>
      <c r="BE27" s="20"/>
      <c r="BF27" s="20"/>
      <c r="BG27" s="20"/>
      <c r="BH27" s="20"/>
      <c r="BI27" s="20"/>
      <c r="BJ27" s="20"/>
      <c r="BK27" s="20"/>
      <c r="BL27" s="20"/>
      <c r="BM27" s="20"/>
      <c r="BN27" s="344"/>
      <c r="BO27" s="344"/>
      <c r="BP27" s="344"/>
      <c r="BQ27" s="344"/>
      <c r="BR27" s="344"/>
      <c r="BS27" s="344"/>
      <c r="BT27" s="344"/>
      <c r="BU27" s="344"/>
      <c r="BV27" s="344"/>
      <c r="BW27" s="344"/>
      <c r="BX27" s="344"/>
      <c r="BY27" s="344"/>
      <c r="BZ27" s="344"/>
      <c r="CA27" s="344"/>
      <c r="CB27" s="344"/>
      <c r="CC27" s="344"/>
      <c r="CD27" s="344"/>
      <c r="CE27" s="345"/>
    </row>
    <row r="28" spans="1:83" s="342" customFormat="1" ht="12" customHeight="1" x14ac:dyDescent="0.15">
      <c r="A28" s="343"/>
      <c r="B28" s="344"/>
      <c r="C28" s="344"/>
      <c r="D28" s="344"/>
      <c r="E28" s="344"/>
      <c r="F28" s="20"/>
      <c r="G28" s="20"/>
      <c r="H28" s="20"/>
      <c r="I28" s="20"/>
      <c r="J28" s="20"/>
      <c r="K28" s="20"/>
      <c r="L28" s="20"/>
      <c r="M28" s="20"/>
      <c r="N28" s="20"/>
      <c r="O28" s="20"/>
      <c r="P28" s="20"/>
      <c r="Q28" s="20"/>
      <c r="R28" s="20"/>
      <c r="S28" s="20"/>
      <c r="T28" s="20"/>
      <c r="U28" s="20"/>
      <c r="V28" s="20"/>
      <c r="W28" s="20"/>
      <c r="X28" s="20"/>
      <c r="Y28" s="20"/>
      <c r="Z28" s="20"/>
      <c r="AA28" s="20"/>
      <c r="AB28" s="20"/>
      <c r="AC28" s="344"/>
      <c r="AD28" s="344"/>
      <c r="AE28" s="344"/>
      <c r="AF28" s="20"/>
      <c r="AG28" s="344"/>
      <c r="AH28" s="344"/>
      <c r="AI28" s="344"/>
      <c r="AJ28" s="344"/>
      <c r="AK28" s="344"/>
      <c r="AL28" s="344"/>
      <c r="AM28" s="344"/>
      <c r="AN28" s="344"/>
      <c r="AO28" s="344"/>
      <c r="AP28" s="344"/>
      <c r="AQ28" s="344"/>
      <c r="AR28" s="344"/>
      <c r="AS28" s="344"/>
      <c r="AT28" s="344"/>
      <c r="AU28" s="344"/>
      <c r="AV28" s="344"/>
      <c r="AW28" s="344"/>
      <c r="AX28" s="20"/>
      <c r="AY28" s="344"/>
      <c r="AZ28" s="344"/>
      <c r="BA28" s="344"/>
      <c r="BB28" s="344"/>
      <c r="BC28" s="344"/>
      <c r="BD28" s="344"/>
      <c r="BE28" s="344"/>
      <c r="BF28" s="344"/>
      <c r="BG28" s="344"/>
      <c r="BH28" s="344"/>
      <c r="BI28" s="344"/>
      <c r="BJ28" s="344"/>
      <c r="BK28" s="344"/>
      <c r="BL28" s="344"/>
      <c r="BM28" s="344"/>
      <c r="BN28" s="344"/>
      <c r="BO28" s="344"/>
      <c r="BP28" s="344"/>
      <c r="BQ28" s="344"/>
      <c r="BR28" s="344"/>
      <c r="BS28" s="344"/>
      <c r="BT28" s="344"/>
      <c r="BU28" s="344"/>
      <c r="BV28" s="344"/>
      <c r="BW28" s="344"/>
      <c r="BX28" s="344"/>
      <c r="BY28" s="344"/>
      <c r="BZ28" s="344"/>
      <c r="CA28" s="344"/>
      <c r="CB28" s="344"/>
      <c r="CC28" s="344"/>
      <c r="CD28" s="344"/>
      <c r="CE28" s="345"/>
    </row>
    <row r="29" spans="1:83" s="342" customFormat="1" ht="12" customHeight="1" x14ac:dyDescent="0.15">
      <c r="A29" s="343"/>
      <c r="B29" s="344"/>
      <c r="C29" s="20"/>
      <c r="D29" s="20"/>
      <c r="E29" s="344"/>
      <c r="F29" s="20"/>
      <c r="G29" s="20"/>
      <c r="H29" s="20"/>
      <c r="I29" s="20"/>
      <c r="J29" s="20"/>
      <c r="K29" s="20"/>
      <c r="L29" s="20"/>
      <c r="M29" s="20"/>
      <c r="N29" s="20"/>
      <c r="O29" s="20"/>
      <c r="P29" s="20"/>
      <c r="Q29" s="20"/>
      <c r="R29" s="20"/>
      <c r="S29" s="20"/>
      <c r="T29" s="20"/>
      <c r="U29" s="20"/>
      <c r="V29" s="20"/>
      <c r="W29" s="20"/>
      <c r="X29" s="20"/>
      <c r="Y29" s="20"/>
      <c r="Z29" s="20"/>
      <c r="AA29" s="20"/>
      <c r="AB29" s="20"/>
      <c r="AC29" s="344"/>
      <c r="AD29" s="344"/>
      <c r="AE29" s="344"/>
      <c r="AF29" s="344"/>
      <c r="AG29" s="344"/>
      <c r="AH29" s="344"/>
      <c r="AI29" s="344"/>
      <c r="AJ29" s="344"/>
      <c r="AK29" s="344"/>
      <c r="AL29" s="344"/>
      <c r="AM29" s="344"/>
      <c r="AN29" s="344"/>
      <c r="AO29" s="344"/>
      <c r="AP29" s="344"/>
      <c r="AQ29" s="344"/>
      <c r="AR29" s="344"/>
      <c r="AS29" s="344"/>
      <c r="AT29" s="344"/>
      <c r="AU29" s="344"/>
      <c r="AV29" s="344"/>
      <c r="AW29" s="344"/>
      <c r="AX29" s="344"/>
      <c r="AY29" s="346"/>
      <c r="AZ29" s="344"/>
      <c r="BA29" s="344"/>
      <c r="BB29" s="344"/>
      <c r="BC29" s="344"/>
      <c r="BD29" s="344"/>
      <c r="BE29" s="344"/>
      <c r="BF29" s="344"/>
      <c r="BG29" s="344"/>
      <c r="BH29" s="344"/>
      <c r="BI29" s="344"/>
      <c r="BJ29" s="344"/>
      <c r="BK29" s="344"/>
      <c r="BL29" s="344"/>
      <c r="BM29" s="344"/>
      <c r="BN29" s="344"/>
      <c r="BO29" s="344"/>
      <c r="BP29" s="344"/>
      <c r="BQ29" s="344"/>
      <c r="BR29" s="344"/>
      <c r="BS29" s="344"/>
      <c r="BT29" s="344"/>
      <c r="BU29" s="344"/>
      <c r="BV29" s="344"/>
      <c r="BW29" s="344"/>
      <c r="BX29" s="344"/>
      <c r="BY29" s="344"/>
      <c r="BZ29" s="344"/>
      <c r="CA29" s="344"/>
      <c r="CB29" s="344"/>
      <c r="CC29" s="344"/>
      <c r="CD29" s="344"/>
      <c r="CE29" s="345"/>
    </row>
    <row r="30" spans="1:83" s="342" customFormat="1" ht="12" customHeight="1" x14ac:dyDescent="0.15">
      <c r="A30" s="343"/>
      <c r="B30" s="344"/>
      <c r="C30" s="20"/>
      <c r="D30" s="20"/>
      <c r="E30" s="344"/>
      <c r="F30" s="20"/>
      <c r="G30" s="20"/>
      <c r="H30" s="20"/>
      <c r="I30" s="20"/>
      <c r="J30" s="20"/>
      <c r="K30" s="20"/>
      <c r="L30" s="20"/>
      <c r="M30" s="20"/>
      <c r="N30" s="20"/>
      <c r="O30" s="20"/>
      <c r="P30" s="20"/>
      <c r="Q30" s="20"/>
      <c r="R30" s="20"/>
      <c r="S30" s="20"/>
      <c r="T30" s="20"/>
      <c r="U30" s="20"/>
      <c r="V30" s="20"/>
      <c r="W30" s="20"/>
      <c r="X30" s="20"/>
      <c r="Y30" s="20"/>
      <c r="Z30" s="20"/>
      <c r="AA30" s="20"/>
      <c r="AB30" s="20"/>
      <c r="AC30" s="344"/>
      <c r="AD30" s="344"/>
      <c r="AE30" s="344"/>
      <c r="AF30" s="344"/>
      <c r="AG30" s="344"/>
      <c r="AH30" s="344"/>
      <c r="AI30" s="344"/>
      <c r="AJ30" s="344"/>
      <c r="AK30" s="344"/>
      <c r="AL30" s="344"/>
      <c r="AM30" s="344"/>
      <c r="AN30" s="344"/>
      <c r="AO30" s="344"/>
      <c r="AP30" s="344"/>
      <c r="AQ30" s="344"/>
      <c r="AR30" s="344"/>
      <c r="AS30" s="344"/>
      <c r="AT30" s="344"/>
      <c r="AU30" s="344"/>
      <c r="AV30" s="344"/>
      <c r="AW30" s="344"/>
      <c r="AX30" s="344"/>
      <c r="AY30" s="346"/>
      <c r="AZ30" s="344"/>
      <c r="BA30" s="344"/>
      <c r="BB30" s="344"/>
      <c r="BC30" s="344"/>
      <c r="BD30" s="344"/>
      <c r="BE30" s="344"/>
      <c r="BF30" s="344"/>
      <c r="BG30" s="344"/>
      <c r="BH30" s="344"/>
      <c r="BI30" s="344"/>
      <c r="BJ30" s="344"/>
      <c r="BK30" s="344"/>
      <c r="BL30" s="344"/>
      <c r="BM30" s="344"/>
      <c r="BN30" s="344"/>
      <c r="BO30" s="344"/>
      <c r="BP30" s="344"/>
      <c r="BQ30" s="344"/>
      <c r="BR30" s="344"/>
      <c r="BS30" s="344"/>
      <c r="BT30" s="344"/>
      <c r="BU30" s="344"/>
      <c r="BV30" s="344"/>
      <c r="BW30" s="344"/>
      <c r="BX30" s="344"/>
      <c r="BY30" s="344"/>
      <c r="BZ30" s="344"/>
      <c r="CA30" s="344"/>
      <c r="CB30" s="344"/>
      <c r="CC30" s="344"/>
      <c r="CD30" s="344"/>
      <c r="CE30" s="345"/>
    </row>
    <row r="31" spans="1:83" s="342" customFormat="1" ht="12" customHeight="1" x14ac:dyDescent="0.15">
      <c r="A31" s="343"/>
      <c r="B31" s="344"/>
      <c r="C31" s="20"/>
      <c r="D31" s="20"/>
      <c r="E31" s="344"/>
      <c r="F31" s="20"/>
      <c r="G31" s="20"/>
      <c r="H31" s="20"/>
      <c r="I31" s="20"/>
      <c r="J31" s="20"/>
      <c r="K31" s="20"/>
      <c r="L31" s="20"/>
      <c r="M31" s="20"/>
      <c r="N31" s="20"/>
      <c r="O31" s="20"/>
      <c r="P31" s="20"/>
      <c r="Q31" s="20"/>
      <c r="R31" s="20"/>
      <c r="S31" s="20"/>
      <c r="T31" s="20"/>
      <c r="U31" s="20"/>
      <c r="V31" s="20"/>
      <c r="W31" s="20"/>
      <c r="X31" s="20"/>
      <c r="Y31" s="20"/>
      <c r="Z31" s="20"/>
      <c r="AA31" s="344"/>
      <c r="AB31" s="344"/>
      <c r="AC31" s="344"/>
      <c r="AD31" s="344"/>
      <c r="AE31" s="344"/>
      <c r="AF31" s="344"/>
      <c r="AG31" s="344"/>
      <c r="AH31" s="344"/>
      <c r="AI31" s="344"/>
      <c r="AJ31" s="344"/>
      <c r="AK31" s="344"/>
      <c r="AL31" s="344"/>
      <c r="AM31" s="344"/>
      <c r="AN31" s="344"/>
      <c r="AO31" s="344"/>
      <c r="AP31" s="344"/>
      <c r="AQ31" s="344"/>
      <c r="AR31" s="344"/>
      <c r="AS31" s="344"/>
      <c r="AT31" s="344"/>
      <c r="AU31" s="344"/>
      <c r="AV31" s="344"/>
      <c r="AW31" s="344"/>
      <c r="AX31" s="344"/>
      <c r="AY31" s="346"/>
      <c r="AZ31" s="344"/>
      <c r="BA31" s="344"/>
      <c r="BB31" s="344"/>
      <c r="BC31" s="344"/>
      <c r="BD31" s="344"/>
      <c r="BE31" s="344"/>
      <c r="BF31" s="344"/>
      <c r="BG31" s="344"/>
      <c r="BH31" s="344"/>
      <c r="BI31" s="344"/>
      <c r="BJ31" s="344"/>
      <c r="BK31" s="344"/>
      <c r="BL31" s="344"/>
      <c r="BM31" s="344"/>
      <c r="BN31" s="344"/>
      <c r="BO31" s="344"/>
      <c r="BP31" s="344"/>
      <c r="BQ31" s="344"/>
      <c r="BR31" s="344"/>
      <c r="BS31" s="344"/>
      <c r="BT31" s="344"/>
      <c r="BU31" s="344"/>
      <c r="BV31" s="344"/>
      <c r="BW31" s="344"/>
      <c r="BX31" s="344"/>
      <c r="BY31" s="344"/>
      <c r="BZ31" s="344"/>
      <c r="CA31" s="344"/>
      <c r="CB31" s="344"/>
      <c r="CC31" s="344"/>
      <c r="CD31" s="344"/>
      <c r="CE31" s="345"/>
    </row>
    <row r="32" spans="1:83" s="342" customFormat="1" ht="12" customHeight="1" x14ac:dyDescent="0.15">
      <c r="A32" s="343"/>
      <c r="B32" s="344"/>
      <c r="C32" s="344"/>
      <c r="D32" s="344"/>
      <c r="E32" s="344"/>
      <c r="F32" s="20"/>
      <c r="G32" s="20"/>
      <c r="H32" s="20"/>
      <c r="I32" s="20"/>
      <c r="J32" s="20"/>
      <c r="K32" s="20"/>
      <c r="L32" s="20"/>
      <c r="M32" s="20"/>
      <c r="N32" s="20"/>
      <c r="O32" s="20"/>
      <c r="P32" s="20"/>
      <c r="Q32" s="20"/>
      <c r="R32" s="20"/>
      <c r="S32" s="20"/>
      <c r="T32" s="20"/>
      <c r="U32" s="20"/>
      <c r="V32" s="20"/>
      <c r="W32" s="20"/>
      <c r="X32" s="20"/>
      <c r="Y32" s="20"/>
      <c r="Z32" s="20"/>
      <c r="AA32" s="344"/>
      <c r="AB32" s="344"/>
      <c r="AC32" s="344"/>
      <c r="AD32" s="344"/>
      <c r="AE32" s="344"/>
      <c r="AF32" s="20"/>
      <c r="AG32" s="344"/>
      <c r="AH32" s="344"/>
      <c r="AI32" s="344"/>
      <c r="AJ32" s="344"/>
      <c r="AK32" s="344"/>
      <c r="AL32" s="344"/>
      <c r="AM32" s="344"/>
      <c r="AN32" s="344"/>
      <c r="AO32" s="344"/>
      <c r="AP32" s="344"/>
      <c r="AQ32" s="344"/>
      <c r="AR32" s="344"/>
      <c r="AS32" s="344"/>
      <c r="AT32" s="344"/>
      <c r="AU32" s="344"/>
      <c r="AV32" s="344"/>
      <c r="AW32" s="344"/>
      <c r="AX32" s="344"/>
      <c r="AY32" s="346"/>
      <c r="AZ32" s="344"/>
      <c r="BA32" s="344"/>
      <c r="BB32" s="344"/>
      <c r="BC32" s="344"/>
      <c r="BD32" s="344"/>
      <c r="BE32" s="344"/>
      <c r="BF32" s="344"/>
      <c r="BG32" s="344"/>
      <c r="BH32" s="344"/>
      <c r="BI32" s="344"/>
      <c r="BJ32" s="344"/>
      <c r="BK32" s="344"/>
      <c r="BL32" s="344"/>
      <c r="BM32" s="344"/>
      <c r="BN32" s="344"/>
      <c r="BO32" s="344"/>
      <c r="BP32" s="344"/>
      <c r="BQ32" s="344"/>
      <c r="BR32" s="344"/>
      <c r="BS32" s="344"/>
      <c r="BT32" s="344"/>
      <c r="BU32" s="344"/>
      <c r="BV32" s="344"/>
      <c r="BW32" s="344"/>
      <c r="BX32" s="344"/>
      <c r="BY32" s="344"/>
      <c r="BZ32" s="344"/>
      <c r="CA32" s="344"/>
      <c r="CB32" s="344"/>
      <c r="CC32" s="344"/>
      <c r="CD32" s="344"/>
      <c r="CE32" s="345"/>
    </row>
    <row r="33" spans="1:83" s="342" customFormat="1" ht="12" customHeight="1" x14ac:dyDescent="0.15">
      <c r="A33" s="343"/>
      <c r="B33" s="344"/>
      <c r="C33" s="20"/>
      <c r="D33" s="20"/>
      <c r="E33" s="344"/>
      <c r="F33" s="20"/>
      <c r="G33" s="20"/>
      <c r="H33" s="20"/>
      <c r="I33" s="20"/>
      <c r="J33" s="20"/>
      <c r="K33" s="20"/>
      <c r="L33" s="20"/>
      <c r="M33" s="20"/>
      <c r="N33" s="20"/>
      <c r="O33" s="20"/>
      <c r="P33" s="20"/>
      <c r="Q33" s="20"/>
      <c r="R33" s="20"/>
      <c r="S33" s="20"/>
      <c r="T33" s="20"/>
      <c r="U33" s="20"/>
      <c r="V33" s="20"/>
      <c r="W33" s="20"/>
      <c r="X33" s="20"/>
      <c r="Y33" s="20"/>
      <c r="Z33" s="20"/>
      <c r="AA33" s="344"/>
      <c r="AB33" s="344"/>
      <c r="AC33" s="344"/>
      <c r="AD33" s="344"/>
      <c r="AE33" s="344"/>
      <c r="AF33" s="20"/>
      <c r="AG33" s="20"/>
      <c r="AH33" s="344"/>
      <c r="AI33" s="344"/>
      <c r="AJ33" s="344"/>
      <c r="AK33" s="344"/>
      <c r="AL33" s="344"/>
      <c r="AM33" s="344"/>
      <c r="AN33" s="344"/>
      <c r="AO33" s="344"/>
      <c r="AP33" s="344"/>
      <c r="AQ33" s="344"/>
      <c r="AR33" s="344"/>
      <c r="AS33" s="344"/>
      <c r="AT33" s="344"/>
      <c r="AU33" s="344"/>
      <c r="AV33" s="344"/>
      <c r="AW33" s="344"/>
      <c r="AX33" s="344"/>
      <c r="AY33" s="346"/>
      <c r="AZ33" s="344"/>
      <c r="BA33" s="344"/>
      <c r="BB33" s="344"/>
      <c r="BC33" s="344"/>
      <c r="BD33" s="344"/>
      <c r="BE33" s="344"/>
      <c r="BF33" s="344"/>
      <c r="BG33" s="344"/>
      <c r="BH33" s="344"/>
      <c r="BI33" s="344"/>
      <c r="BJ33" s="344"/>
      <c r="BK33" s="344"/>
      <c r="BL33" s="344"/>
      <c r="BM33" s="344"/>
      <c r="BN33" s="344"/>
      <c r="BO33" s="344"/>
      <c r="BP33" s="344"/>
      <c r="BQ33" s="344"/>
      <c r="BR33" s="344"/>
      <c r="BS33" s="344"/>
      <c r="BT33" s="344"/>
      <c r="BU33" s="344"/>
      <c r="BV33" s="344"/>
      <c r="BW33" s="344"/>
      <c r="BX33" s="344"/>
      <c r="BY33" s="344"/>
      <c r="BZ33" s="344"/>
      <c r="CA33" s="344"/>
      <c r="CB33" s="344"/>
      <c r="CC33" s="344"/>
      <c r="CD33" s="344"/>
      <c r="CE33" s="345"/>
    </row>
    <row r="34" spans="1:83" s="342" customFormat="1" ht="12" customHeight="1" x14ac:dyDescent="0.15">
      <c r="A34" s="343"/>
      <c r="B34" s="344"/>
      <c r="C34" s="344"/>
      <c r="D34" s="344"/>
      <c r="E34" s="344"/>
      <c r="F34" s="344"/>
      <c r="G34" s="20"/>
      <c r="H34" s="20"/>
      <c r="I34" s="344"/>
      <c r="J34" s="344"/>
      <c r="K34" s="344"/>
      <c r="L34" s="344"/>
      <c r="M34" s="344"/>
      <c r="N34" s="344"/>
      <c r="O34" s="344"/>
      <c r="P34" s="346"/>
      <c r="Q34" s="20"/>
      <c r="R34" s="344"/>
      <c r="S34" s="20"/>
      <c r="T34" s="20"/>
      <c r="U34" s="344"/>
      <c r="V34" s="344"/>
      <c r="W34" s="344"/>
      <c r="X34" s="344"/>
      <c r="Y34" s="344"/>
      <c r="Z34" s="344"/>
      <c r="AA34" s="344"/>
      <c r="AB34" s="344"/>
      <c r="AC34" s="344"/>
      <c r="AD34" s="344"/>
      <c r="AE34" s="344"/>
      <c r="AF34" s="344"/>
      <c r="AG34" s="344"/>
      <c r="AH34" s="344"/>
      <c r="AI34" s="344"/>
      <c r="AJ34" s="344"/>
      <c r="AK34" s="344"/>
      <c r="AL34" s="344"/>
      <c r="AM34" s="344"/>
      <c r="AN34" s="344"/>
      <c r="AO34" s="344"/>
      <c r="AP34" s="344"/>
      <c r="AQ34" s="344"/>
      <c r="AR34" s="344"/>
      <c r="AS34" s="344"/>
      <c r="AT34" s="344"/>
      <c r="AU34" s="344"/>
      <c r="AV34" s="344"/>
      <c r="AW34" s="344"/>
      <c r="AX34" s="344"/>
      <c r="AY34" s="346"/>
      <c r="AZ34" s="344"/>
      <c r="BA34" s="344"/>
      <c r="BB34" s="344"/>
      <c r="BC34" s="344"/>
      <c r="BD34" s="344"/>
      <c r="BE34" s="344"/>
      <c r="BF34" s="344"/>
      <c r="BG34" s="344"/>
      <c r="BH34" s="344"/>
      <c r="BI34" s="344"/>
      <c r="BJ34" s="344"/>
      <c r="BK34" s="344"/>
      <c r="BL34" s="344"/>
      <c r="BM34" s="344"/>
      <c r="BN34" s="344"/>
      <c r="BO34" s="344"/>
      <c r="BP34" s="344"/>
      <c r="BQ34" s="344"/>
      <c r="BR34" s="344"/>
      <c r="BS34" s="344"/>
      <c r="BT34" s="344"/>
      <c r="BU34" s="344"/>
      <c r="BV34" s="344"/>
      <c r="BW34" s="344"/>
      <c r="BX34" s="344"/>
      <c r="BY34" s="344"/>
      <c r="BZ34" s="344"/>
      <c r="CA34" s="344"/>
      <c r="CB34" s="344"/>
      <c r="CC34" s="344"/>
      <c r="CD34" s="344"/>
      <c r="CE34" s="345"/>
    </row>
    <row r="35" spans="1:83" s="342" customFormat="1" ht="12" customHeight="1" x14ac:dyDescent="0.15">
      <c r="A35" s="343"/>
      <c r="B35" s="344"/>
      <c r="C35" s="344"/>
      <c r="D35" s="344"/>
      <c r="E35" s="344"/>
      <c r="F35" s="344"/>
      <c r="G35" s="344"/>
      <c r="H35" s="344"/>
      <c r="I35" s="344"/>
      <c r="J35" s="20"/>
      <c r="K35" s="20"/>
      <c r="L35" s="20"/>
      <c r="M35" s="20"/>
      <c r="N35" s="20"/>
      <c r="O35" s="20"/>
      <c r="P35" s="346"/>
      <c r="Q35" s="20"/>
      <c r="R35" s="344"/>
      <c r="S35" s="344"/>
      <c r="T35" s="344"/>
      <c r="U35" s="344"/>
      <c r="V35" s="344"/>
      <c r="W35" s="344"/>
      <c r="X35" s="344"/>
      <c r="Y35" s="344"/>
      <c r="Z35" s="344"/>
      <c r="AA35" s="344"/>
      <c r="AB35" s="344"/>
      <c r="AC35" s="344"/>
      <c r="AD35" s="344"/>
      <c r="AE35" s="344"/>
      <c r="AF35" s="344"/>
      <c r="AG35" s="344"/>
      <c r="AH35" s="344"/>
      <c r="AI35" s="344"/>
      <c r="AJ35" s="344"/>
      <c r="AK35" s="344"/>
      <c r="AL35" s="344"/>
      <c r="AM35" s="344"/>
      <c r="AN35" s="344"/>
      <c r="AO35" s="344"/>
      <c r="AP35" s="344"/>
      <c r="AQ35" s="344"/>
      <c r="AR35" s="344"/>
      <c r="AS35" s="344"/>
      <c r="AT35" s="344"/>
      <c r="AU35" s="344"/>
      <c r="AV35" s="344"/>
      <c r="AW35" s="344"/>
      <c r="AX35" s="344"/>
      <c r="AY35" s="346"/>
      <c r="AZ35" s="344"/>
      <c r="BA35" s="344"/>
      <c r="BB35" s="344"/>
      <c r="BC35" s="344"/>
      <c r="BD35" s="344"/>
      <c r="BE35" s="344"/>
      <c r="BF35" s="344"/>
      <c r="BG35" s="344"/>
      <c r="BH35" s="344"/>
      <c r="BI35" s="344"/>
      <c r="BJ35" s="344"/>
      <c r="BK35" s="344"/>
      <c r="BL35" s="344"/>
      <c r="BM35" s="344"/>
      <c r="BN35" s="344"/>
      <c r="BO35" s="344"/>
      <c r="BP35" s="344"/>
      <c r="BQ35" s="344"/>
      <c r="BR35" s="344"/>
      <c r="BS35" s="344"/>
      <c r="BT35" s="344"/>
      <c r="BU35" s="344"/>
      <c r="BV35" s="344"/>
      <c r="BW35" s="344"/>
      <c r="BX35" s="344"/>
      <c r="BY35" s="344"/>
      <c r="BZ35" s="344"/>
      <c r="CA35" s="344"/>
      <c r="CB35" s="344"/>
      <c r="CC35" s="344"/>
      <c r="CD35" s="344"/>
      <c r="CE35" s="345"/>
    </row>
    <row r="36" spans="1:83" s="342" customFormat="1" ht="12" customHeight="1" x14ac:dyDescent="0.15">
      <c r="A36" s="343"/>
      <c r="B36" s="344"/>
      <c r="C36" s="344"/>
      <c r="D36" s="344"/>
      <c r="E36" s="344"/>
      <c r="F36" s="20"/>
      <c r="G36" s="20"/>
      <c r="H36" s="20"/>
      <c r="I36" s="20"/>
      <c r="J36" s="20"/>
      <c r="K36" s="20"/>
      <c r="L36" s="346"/>
      <c r="M36" s="344"/>
      <c r="N36" s="344"/>
      <c r="O36" s="20"/>
      <c r="P36" s="20"/>
      <c r="Q36" s="20"/>
      <c r="R36" s="20"/>
      <c r="S36" s="20"/>
      <c r="T36" s="20"/>
      <c r="U36" s="344"/>
      <c r="V36" s="20"/>
      <c r="W36" s="20"/>
      <c r="X36" s="20"/>
      <c r="Y36" s="344"/>
      <c r="Z36" s="344"/>
      <c r="AA36" s="344"/>
      <c r="AB36" s="344"/>
      <c r="AC36" s="344"/>
      <c r="AD36" s="344"/>
      <c r="AE36" s="344"/>
      <c r="AF36" s="344"/>
      <c r="AG36" s="344"/>
      <c r="AH36" s="344"/>
      <c r="AI36" s="344"/>
      <c r="AJ36" s="344"/>
      <c r="AK36" s="344"/>
      <c r="AL36" s="344"/>
      <c r="AM36" s="344"/>
      <c r="AN36" s="344"/>
      <c r="AO36" s="344"/>
      <c r="AP36" s="344"/>
      <c r="AQ36" s="344"/>
      <c r="AR36" s="344"/>
      <c r="AS36" s="344"/>
      <c r="AT36" s="344"/>
      <c r="AU36" s="346"/>
      <c r="AV36" s="344"/>
      <c r="AW36" s="20"/>
      <c r="AX36" s="20"/>
      <c r="AY36" s="344"/>
      <c r="AZ36" s="344"/>
      <c r="BA36" s="344"/>
      <c r="BB36" s="344"/>
      <c r="BC36" s="344"/>
      <c r="BD36" s="20"/>
      <c r="BE36" s="344"/>
      <c r="BF36" s="344"/>
      <c r="BG36" s="344"/>
      <c r="BH36" s="344"/>
      <c r="BI36" s="344"/>
      <c r="BJ36" s="344"/>
      <c r="BK36" s="344"/>
      <c r="BL36" s="344"/>
      <c r="BM36" s="344"/>
      <c r="BN36" s="344"/>
      <c r="BO36" s="344"/>
      <c r="BP36" s="344"/>
      <c r="BQ36" s="344"/>
      <c r="BR36" s="344"/>
      <c r="BS36" s="344"/>
      <c r="BT36" s="344"/>
      <c r="BU36" s="344"/>
      <c r="BV36" s="344"/>
      <c r="BW36" s="344"/>
      <c r="BX36" s="344"/>
      <c r="BY36" s="344"/>
      <c r="BZ36" s="344"/>
      <c r="CA36" s="344"/>
      <c r="CB36" s="344"/>
      <c r="CC36" s="344"/>
      <c r="CD36" s="344"/>
      <c r="CE36" s="345"/>
    </row>
    <row r="37" spans="1:83" s="342" customFormat="1" ht="12" customHeight="1" x14ac:dyDescent="0.15">
      <c r="A37" s="343"/>
      <c r="B37" s="344"/>
      <c r="C37" s="344"/>
      <c r="D37" s="344"/>
      <c r="E37" s="344"/>
      <c r="F37" s="20"/>
      <c r="G37" s="20"/>
      <c r="H37" s="20"/>
      <c r="I37" s="20"/>
      <c r="J37" s="20"/>
      <c r="K37" s="20"/>
      <c r="L37" s="346"/>
      <c r="M37" s="344"/>
      <c r="N37" s="344"/>
      <c r="O37" s="20"/>
      <c r="P37" s="20"/>
      <c r="Q37" s="20"/>
      <c r="R37" s="20"/>
      <c r="S37" s="20"/>
      <c r="T37" s="20"/>
      <c r="U37" s="344"/>
      <c r="V37" s="20"/>
      <c r="W37" s="20"/>
      <c r="X37" s="20"/>
      <c r="Y37" s="344"/>
      <c r="Z37" s="344"/>
      <c r="AA37" s="344"/>
      <c r="AB37" s="344"/>
      <c r="AC37" s="344"/>
      <c r="AD37" s="344"/>
      <c r="AE37" s="344"/>
      <c r="AF37" s="344"/>
      <c r="AG37" s="344"/>
      <c r="AH37" s="344"/>
      <c r="AI37" s="344"/>
      <c r="AJ37" s="344"/>
      <c r="AK37" s="344"/>
      <c r="AL37" s="344"/>
      <c r="AM37" s="344"/>
      <c r="AN37" s="344"/>
      <c r="AO37" s="344"/>
      <c r="AP37" s="344"/>
      <c r="AQ37" s="344"/>
      <c r="AR37" s="344"/>
      <c r="AS37" s="344"/>
      <c r="AT37" s="344"/>
      <c r="AU37" s="344"/>
      <c r="AV37" s="344"/>
      <c r="AW37" s="20"/>
      <c r="AX37" s="344"/>
      <c r="AY37" s="344"/>
      <c r="AZ37" s="344"/>
      <c r="BA37" s="344"/>
      <c r="BB37" s="344"/>
      <c r="BC37" s="344"/>
      <c r="BD37" s="344"/>
      <c r="BE37" s="344"/>
      <c r="BF37" s="344"/>
      <c r="BG37" s="344"/>
      <c r="BH37" s="344"/>
      <c r="BI37" s="344"/>
      <c r="BJ37" s="344"/>
      <c r="BK37" s="344"/>
      <c r="BL37" s="344"/>
      <c r="BM37" s="344"/>
      <c r="BN37" s="344"/>
      <c r="BO37" s="344"/>
      <c r="BP37" s="344"/>
      <c r="BQ37" s="344"/>
      <c r="BR37" s="344"/>
      <c r="BS37" s="344"/>
      <c r="BT37" s="344"/>
      <c r="BU37" s="344"/>
      <c r="BV37" s="344"/>
      <c r="BW37" s="344"/>
      <c r="BX37" s="344"/>
      <c r="BY37" s="344"/>
      <c r="BZ37" s="344"/>
      <c r="CA37" s="344"/>
      <c r="CB37" s="344"/>
      <c r="CC37" s="344"/>
      <c r="CD37" s="344"/>
      <c r="CE37" s="345"/>
    </row>
    <row r="38" spans="1:83" s="342" customFormat="1" ht="12" customHeight="1" x14ac:dyDescent="0.15">
      <c r="A38" s="343"/>
      <c r="B38" s="344"/>
      <c r="C38" s="344"/>
      <c r="D38" s="344"/>
      <c r="E38" s="344"/>
      <c r="F38" s="20"/>
      <c r="G38" s="20"/>
      <c r="H38" s="20"/>
      <c r="I38" s="20"/>
      <c r="J38" s="20"/>
      <c r="K38" s="20"/>
      <c r="L38" s="346"/>
      <c r="M38" s="344"/>
      <c r="N38" s="344"/>
      <c r="O38" s="20"/>
      <c r="P38" s="20"/>
      <c r="Q38" s="20"/>
      <c r="R38" s="20"/>
      <c r="S38" s="20"/>
      <c r="T38" s="20"/>
      <c r="U38" s="344"/>
      <c r="V38" s="20"/>
      <c r="W38" s="20"/>
      <c r="X38" s="20"/>
      <c r="Y38" s="344"/>
      <c r="Z38" s="344"/>
      <c r="AA38" s="344"/>
      <c r="AB38" s="344"/>
      <c r="AC38" s="344"/>
      <c r="AD38" s="344"/>
      <c r="AE38" s="344"/>
      <c r="AF38" s="344"/>
      <c r="AG38" s="344"/>
      <c r="AH38" s="344"/>
      <c r="AI38" s="344"/>
      <c r="AJ38" s="344"/>
      <c r="AK38" s="344"/>
      <c r="AL38" s="344"/>
      <c r="AM38" s="344"/>
      <c r="AN38" s="432"/>
      <c r="AO38" s="432"/>
      <c r="AP38" s="432"/>
      <c r="AQ38" s="432"/>
      <c r="AR38" s="432"/>
      <c r="AS38" s="432"/>
      <c r="AT38" s="432"/>
      <c r="AU38" s="20"/>
      <c r="AV38" s="20"/>
      <c r="AW38" s="344"/>
      <c r="AX38" s="20"/>
      <c r="AY38" s="20"/>
      <c r="AZ38" s="20"/>
      <c r="BA38" s="20"/>
      <c r="BB38" s="20"/>
      <c r="BC38" s="20"/>
      <c r="BD38" s="20"/>
      <c r="BE38" s="20"/>
      <c r="BF38" s="344"/>
      <c r="BG38" s="344"/>
      <c r="BH38" s="344"/>
      <c r="BI38" s="344"/>
      <c r="BJ38" s="344"/>
      <c r="BK38" s="344"/>
      <c r="BL38" s="344"/>
      <c r="BM38" s="344"/>
      <c r="BN38" s="344"/>
      <c r="BO38" s="344"/>
      <c r="BP38" s="344"/>
      <c r="BQ38" s="344"/>
      <c r="BR38" s="344"/>
      <c r="BS38" s="344"/>
      <c r="BT38" s="344"/>
      <c r="BU38" s="344"/>
      <c r="BV38" s="344"/>
      <c r="BW38" s="344"/>
      <c r="BX38" s="344"/>
      <c r="BY38" s="344"/>
      <c r="BZ38" s="344"/>
      <c r="CA38" s="344"/>
      <c r="CB38" s="344"/>
      <c r="CC38" s="344"/>
      <c r="CD38" s="344"/>
      <c r="CE38" s="345"/>
    </row>
    <row r="39" spans="1:83" s="342" customFormat="1" ht="12" customHeight="1" x14ac:dyDescent="0.15">
      <c r="A39" s="343"/>
      <c r="B39" s="344"/>
      <c r="C39" s="344"/>
      <c r="D39" s="344"/>
      <c r="E39" s="344"/>
      <c r="F39" s="344"/>
      <c r="G39" s="344"/>
      <c r="H39" s="344"/>
      <c r="I39" s="20"/>
      <c r="J39" s="20"/>
      <c r="K39" s="20"/>
      <c r="L39" s="346"/>
      <c r="M39" s="344"/>
      <c r="N39" s="344"/>
      <c r="O39" s="20"/>
      <c r="P39" s="20"/>
      <c r="Q39" s="20"/>
      <c r="R39" s="20"/>
      <c r="S39" s="20"/>
      <c r="T39" s="20"/>
      <c r="U39" s="344"/>
      <c r="V39" s="20"/>
      <c r="W39" s="20"/>
      <c r="X39" s="20"/>
      <c r="Y39" s="344"/>
      <c r="Z39" s="344"/>
      <c r="AA39" s="344"/>
      <c r="AB39" s="344"/>
      <c r="AC39" s="344"/>
      <c r="AD39" s="344"/>
      <c r="AE39" s="344"/>
      <c r="AF39" s="344"/>
      <c r="AG39" s="344"/>
      <c r="AH39" s="344"/>
      <c r="AI39" s="344"/>
      <c r="AJ39" s="344"/>
      <c r="AK39" s="344"/>
      <c r="AL39" s="344"/>
      <c r="AM39" s="344"/>
      <c r="AN39" s="432"/>
      <c r="AO39" s="432"/>
      <c r="AP39" s="432"/>
      <c r="AQ39" s="432"/>
      <c r="AR39" s="432"/>
      <c r="AS39" s="432"/>
      <c r="AT39" s="432"/>
      <c r="AU39" s="346"/>
      <c r="AV39" s="344"/>
      <c r="AW39" s="344"/>
      <c r="AX39" s="20"/>
      <c r="AY39" s="344"/>
      <c r="AZ39" s="344"/>
      <c r="BA39" s="344"/>
      <c r="BB39" s="344"/>
      <c r="BC39" s="344"/>
      <c r="BD39" s="344"/>
      <c r="BE39" s="344"/>
      <c r="BF39" s="344"/>
      <c r="BG39" s="344"/>
      <c r="BH39" s="344"/>
      <c r="BI39" s="344"/>
      <c r="BJ39" s="344"/>
      <c r="BK39" s="344"/>
      <c r="BL39" s="344"/>
      <c r="BM39" s="344"/>
      <c r="BN39" s="344"/>
      <c r="BO39" s="344"/>
      <c r="BP39" s="344"/>
      <c r="BQ39" s="344"/>
      <c r="BR39" s="344"/>
      <c r="BS39" s="344"/>
      <c r="BT39" s="344"/>
      <c r="BU39" s="344"/>
      <c r="BV39" s="344"/>
      <c r="BW39" s="344"/>
      <c r="BX39" s="344"/>
      <c r="BY39" s="344"/>
      <c r="BZ39" s="344"/>
      <c r="CA39" s="344"/>
      <c r="CB39" s="344"/>
      <c r="CC39" s="344"/>
      <c r="CD39" s="344"/>
      <c r="CE39" s="345"/>
    </row>
    <row r="40" spans="1:83" s="342" customFormat="1" ht="12" customHeight="1" x14ac:dyDescent="0.15">
      <c r="A40" s="343"/>
      <c r="B40" s="344"/>
      <c r="C40" s="344"/>
      <c r="D40" s="344"/>
      <c r="E40" s="344"/>
      <c r="F40" s="344"/>
      <c r="G40" s="344"/>
      <c r="H40" s="344"/>
      <c r="I40" s="20"/>
      <c r="J40" s="20"/>
      <c r="K40" s="344"/>
      <c r="L40" s="344"/>
      <c r="M40" s="344"/>
      <c r="N40" s="344"/>
      <c r="O40" s="344"/>
      <c r="P40" s="344"/>
      <c r="Q40" s="344"/>
      <c r="R40" s="346"/>
      <c r="S40" s="20"/>
      <c r="T40" s="344"/>
      <c r="U40" s="344"/>
      <c r="V40" s="344"/>
      <c r="W40" s="344"/>
      <c r="X40" s="344"/>
      <c r="Y40" s="344"/>
      <c r="Z40" s="344"/>
      <c r="AA40" s="344"/>
      <c r="AB40" s="344"/>
      <c r="AC40" s="344"/>
      <c r="AD40" s="344"/>
      <c r="AE40" s="344"/>
      <c r="AF40" s="344"/>
      <c r="AG40" s="344"/>
      <c r="AH40" s="344"/>
      <c r="AI40" s="344"/>
      <c r="AJ40" s="344"/>
      <c r="AK40" s="344"/>
      <c r="AL40" s="344"/>
      <c r="AM40" s="344"/>
      <c r="AN40" s="432"/>
      <c r="AO40" s="432"/>
      <c r="AP40" s="432"/>
      <c r="AQ40" s="432"/>
      <c r="AR40" s="432"/>
      <c r="AS40" s="432"/>
      <c r="AT40" s="432"/>
      <c r="AU40" s="20"/>
      <c r="AV40" s="344"/>
      <c r="AW40" s="20"/>
      <c r="AX40" s="20"/>
      <c r="AY40" s="344"/>
      <c r="AZ40" s="344"/>
      <c r="BA40" s="344"/>
      <c r="BB40" s="344"/>
      <c r="BC40" s="344"/>
      <c r="BD40" s="20"/>
      <c r="BE40" s="344"/>
      <c r="BF40" s="344"/>
      <c r="BG40" s="344"/>
      <c r="BH40" s="344"/>
      <c r="BI40" s="344"/>
      <c r="BJ40" s="344"/>
      <c r="BK40" s="344"/>
      <c r="BL40" s="344"/>
      <c r="BM40" s="344"/>
      <c r="BN40" s="344"/>
      <c r="BO40" s="344"/>
      <c r="BP40" s="344"/>
      <c r="BQ40" s="344"/>
      <c r="BR40" s="344"/>
      <c r="BS40" s="344"/>
      <c r="BT40" s="344"/>
      <c r="BU40" s="344"/>
      <c r="BV40" s="344"/>
      <c r="BW40" s="344"/>
      <c r="BX40" s="344"/>
      <c r="BY40" s="344"/>
      <c r="BZ40" s="344"/>
      <c r="CA40" s="344"/>
      <c r="CB40" s="344"/>
      <c r="CC40" s="344"/>
      <c r="CD40" s="344"/>
      <c r="CE40" s="345"/>
    </row>
    <row r="41" spans="1:83" s="342" customFormat="1" ht="12" customHeight="1" x14ac:dyDescent="0.15">
      <c r="A41" s="343"/>
      <c r="B41" s="344"/>
      <c r="C41" s="344"/>
      <c r="D41" s="344"/>
      <c r="E41" s="344"/>
      <c r="F41" s="344"/>
      <c r="G41" s="344"/>
      <c r="H41" s="344"/>
      <c r="I41" s="20"/>
      <c r="J41" s="20"/>
      <c r="K41" s="344"/>
      <c r="L41" s="344"/>
      <c r="M41" s="344"/>
      <c r="N41" s="344"/>
      <c r="O41" s="344"/>
      <c r="P41" s="344"/>
      <c r="Q41" s="344"/>
      <c r="R41" s="346"/>
      <c r="S41" s="20"/>
      <c r="T41" s="344"/>
      <c r="U41" s="344"/>
      <c r="V41" s="344"/>
      <c r="W41" s="344"/>
      <c r="X41" s="344"/>
      <c r="Y41" s="344"/>
      <c r="Z41" s="344"/>
      <c r="AA41" s="344"/>
      <c r="AB41" s="344"/>
      <c r="AC41" s="344"/>
      <c r="AD41" s="344"/>
      <c r="AE41" s="344"/>
      <c r="AF41" s="344"/>
      <c r="AG41" s="344"/>
      <c r="AH41" s="344"/>
      <c r="AI41" s="344"/>
      <c r="AJ41" s="344"/>
      <c r="AK41" s="344"/>
      <c r="AL41" s="344"/>
      <c r="AM41" s="344"/>
      <c r="AN41" s="432"/>
      <c r="AO41" s="432"/>
      <c r="AP41" s="432"/>
      <c r="AQ41" s="432"/>
      <c r="AR41" s="432"/>
      <c r="AS41" s="432"/>
      <c r="AT41" s="432"/>
      <c r="AU41" s="346"/>
      <c r="AV41" s="344"/>
      <c r="AW41" s="20"/>
      <c r="AX41" s="344"/>
      <c r="AY41" s="344"/>
      <c r="AZ41" s="344"/>
      <c r="BA41" s="344"/>
      <c r="BB41" s="344"/>
      <c r="BC41" s="344"/>
      <c r="BD41" s="344"/>
      <c r="BE41" s="344"/>
      <c r="BF41" s="344"/>
      <c r="BG41" s="344"/>
      <c r="BH41" s="344"/>
      <c r="BI41" s="344"/>
      <c r="BJ41" s="344"/>
      <c r="BK41" s="344"/>
      <c r="BL41" s="344"/>
      <c r="BM41" s="344"/>
      <c r="BN41" s="344"/>
      <c r="BO41" s="344"/>
      <c r="BP41" s="344"/>
      <c r="BQ41" s="344"/>
      <c r="BR41" s="344"/>
      <c r="BS41" s="344"/>
      <c r="BT41" s="344"/>
      <c r="BU41" s="344"/>
      <c r="BV41" s="344"/>
      <c r="BW41" s="344"/>
      <c r="BX41" s="344"/>
      <c r="BY41" s="344"/>
      <c r="BZ41" s="344"/>
      <c r="CA41" s="344"/>
      <c r="CB41" s="344"/>
      <c r="CC41" s="344"/>
      <c r="CD41" s="344"/>
      <c r="CE41" s="345"/>
    </row>
    <row r="42" spans="1:83" s="342" customFormat="1" ht="12" customHeight="1" thickBot="1" x14ac:dyDescent="0.2">
      <c r="A42" s="348"/>
      <c r="B42" s="27"/>
      <c r="C42" s="27"/>
      <c r="D42" s="27"/>
      <c r="E42" s="27"/>
      <c r="F42" s="27"/>
      <c r="G42" s="27"/>
      <c r="H42" s="27"/>
      <c r="I42" s="27"/>
      <c r="J42" s="27"/>
      <c r="K42" s="349"/>
      <c r="L42" s="349"/>
      <c r="M42" s="349"/>
      <c r="N42" s="349"/>
      <c r="O42" s="349"/>
      <c r="P42" s="349"/>
      <c r="Q42" s="349"/>
      <c r="R42" s="350"/>
      <c r="S42" s="27"/>
      <c r="T42" s="349"/>
      <c r="U42" s="349"/>
      <c r="V42" s="349"/>
      <c r="W42" s="27"/>
      <c r="X42" s="27"/>
      <c r="Y42" s="27"/>
      <c r="Z42" s="27"/>
      <c r="AA42" s="27"/>
      <c r="AB42" s="27"/>
      <c r="AC42" s="27"/>
      <c r="AD42" s="27"/>
      <c r="AE42" s="27"/>
      <c r="AF42" s="27"/>
      <c r="AG42" s="27"/>
      <c r="AH42" s="27"/>
      <c r="AI42" s="27"/>
      <c r="AJ42" s="27"/>
      <c r="AK42" s="27"/>
      <c r="AL42" s="27"/>
      <c r="AM42" s="27"/>
      <c r="AN42" s="433"/>
      <c r="AO42" s="433"/>
      <c r="AP42" s="433"/>
      <c r="AQ42" s="433"/>
      <c r="AR42" s="433"/>
      <c r="AS42" s="433"/>
      <c r="AT42" s="433"/>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351"/>
    </row>
    <row r="43" spans="1:83" s="342" customFormat="1" ht="12" customHeight="1" x14ac:dyDescent="0.15"/>
    <row r="44" spans="1:83" s="342" customFormat="1" ht="12" customHeight="1" x14ac:dyDescent="0.15"/>
    <row r="45" spans="1:83" s="342" customFormat="1" ht="12" customHeight="1" x14ac:dyDescent="0.15"/>
    <row r="46" spans="1:83" s="342" customFormat="1" ht="12" customHeight="1" x14ac:dyDescent="0.15"/>
    <row r="47" spans="1:83" ht="12" customHeight="1" x14ac:dyDescent="0.15"/>
    <row r="48" spans="1:83" ht="12" customHeight="1" x14ac:dyDescent="0.15"/>
    <row r="49" ht="12" customHeight="1" x14ac:dyDescent="0.15"/>
  </sheetData>
  <mergeCells count="22">
    <mergeCell ref="A4:H5"/>
    <mergeCell ref="BD5:BJ5"/>
    <mergeCell ref="BK5:BM5"/>
    <mergeCell ref="A1:CE1"/>
    <mergeCell ref="A3:H3"/>
    <mergeCell ref="I3:AC3"/>
    <mergeCell ref="AD3:AL3"/>
    <mergeCell ref="AM3:BQ3"/>
    <mergeCell ref="CA3:CE5"/>
    <mergeCell ref="BR3:BS5"/>
    <mergeCell ref="BT3:BX5"/>
    <mergeCell ref="BY3:BZ5"/>
    <mergeCell ref="BN5:BQ5"/>
    <mergeCell ref="AN38:AT42"/>
    <mergeCell ref="I4:AC5"/>
    <mergeCell ref="AD4:AL4"/>
    <mergeCell ref="AM4:BQ4"/>
    <mergeCell ref="AD5:AG5"/>
    <mergeCell ref="AH5:AN5"/>
    <mergeCell ref="AO5:AR5"/>
    <mergeCell ref="AS5:AY5"/>
    <mergeCell ref="AZ5:BC5"/>
  </mergeCells>
  <phoneticPr fontId="29"/>
  <pageMargins left="0.59055118110236227" right="0.59055118110236227" top="0.78740157480314965" bottom="0" header="0.43307086614173229" footer="0"/>
  <pageSetup paperSize="9" orientation="landscape" r:id="rId1"/>
  <headerFooter alignWithMargins="0">
    <oddHeader>&amp;R
（&amp;P　／　&amp;N）　　　　　　　　　</oddHeader>
    <oddFooter>&amp;L&amp;9Copyright c 2014 The Japan Research Institute, Limited.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E50"/>
  <sheetViews>
    <sheetView showGridLines="0" view="pageBreakPreview" zoomScaleNormal="100" zoomScaleSheetLayoutView="100" workbookViewId="0">
      <selection activeCell="BD5" sqref="BD5:BJ5"/>
    </sheetView>
  </sheetViews>
  <sheetFormatPr defaultColWidth="1.625" defaultRowHeight="12" x14ac:dyDescent="0.15"/>
  <cols>
    <col min="1" max="1" width="1.5" style="4" customWidth="1"/>
    <col min="2" max="16384" width="1.625" style="4"/>
  </cols>
  <sheetData>
    <row r="1" spans="1:83" s="339" customFormat="1" ht="18" customHeight="1" x14ac:dyDescent="0.2">
      <c r="A1" s="458" t="s">
        <v>941</v>
      </c>
      <c r="B1" s="458"/>
      <c r="C1" s="458"/>
      <c r="D1" s="458"/>
      <c r="E1" s="458"/>
      <c r="F1" s="458"/>
      <c r="G1" s="458"/>
      <c r="H1" s="458"/>
      <c r="I1" s="458"/>
      <c r="J1" s="458"/>
      <c r="K1" s="458"/>
      <c r="L1" s="458"/>
      <c r="M1" s="458"/>
      <c r="N1" s="458"/>
      <c r="O1" s="458"/>
      <c r="P1" s="458"/>
      <c r="Q1" s="458"/>
      <c r="R1" s="458"/>
      <c r="S1" s="458"/>
      <c r="T1" s="458"/>
      <c r="U1" s="458"/>
      <c r="V1" s="458"/>
      <c r="W1" s="458"/>
      <c r="X1" s="458"/>
      <c r="Y1" s="458"/>
      <c r="Z1" s="458"/>
      <c r="AA1" s="458"/>
      <c r="AB1" s="458"/>
      <c r="AC1" s="458"/>
      <c r="AD1" s="458"/>
      <c r="AE1" s="458"/>
      <c r="AF1" s="458"/>
      <c r="AG1" s="458"/>
      <c r="AH1" s="458"/>
      <c r="AI1" s="458"/>
      <c r="AJ1" s="458"/>
      <c r="AK1" s="458"/>
      <c r="AL1" s="458"/>
      <c r="AM1" s="458"/>
      <c r="AN1" s="458"/>
      <c r="AO1" s="458"/>
      <c r="AP1" s="458"/>
      <c r="AQ1" s="458"/>
      <c r="AR1" s="458"/>
      <c r="AS1" s="458"/>
      <c r="AT1" s="458"/>
      <c r="AU1" s="458"/>
      <c r="AV1" s="458"/>
      <c r="AW1" s="458"/>
      <c r="AX1" s="458"/>
      <c r="AY1" s="458"/>
      <c r="AZ1" s="458"/>
      <c r="BA1" s="458"/>
      <c r="BB1" s="458"/>
      <c r="BC1" s="458"/>
      <c r="BD1" s="458"/>
      <c r="BE1" s="458"/>
      <c r="BF1" s="458"/>
      <c r="BG1" s="458"/>
      <c r="BH1" s="458"/>
      <c r="BI1" s="458"/>
      <c r="BJ1" s="458"/>
      <c r="BK1" s="458"/>
      <c r="BL1" s="458"/>
      <c r="BM1" s="458"/>
      <c r="BN1" s="458"/>
      <c r="BO1" s="458"/>
      <c r="BP1" s="458"/>
      <c r="BQ1" s="458"/>
      <c r="BR1" s="458"/>
      <c r="BS1" s="458"/>
      <c r="BT1" s="458"/>
      <c r="BU1" s="458"/>
      <c r="BV1" s="458"/>
      <c r="BW1" s="458"/>
      <c r="BX1" s="458"/>
      <c r="BY1" s="458"/>
      <c r="BZ1" s="458"/>
      <c r="CA1" s="458"/>
      <c r="CB1" s="458"/>
      <c r="CC1" s="458"/>
      <c r="CD1" s="458"/>
      <c r="CE1" s="458"/>
    </row>
    <row r="2" spans="1:83" ht="5.25" customHeight="1" x14ac:dyDescent="0.15">
      <c r="BH2" s="73"/>
      <c r="BI2" s="73"/>
      <c r="BJ2" s="73"/>
      <c r="BK2" s="73"/>
      <c r="BL2" s="73"/>
      <c r="BM2" s="73"/>
      <c r="BN2" s="73"/>
    </row>
    <row r="3" spans="1:83" ht="12.75" customHeight="1" x14ac:dyDescent="0.15">
      <c r="A3" s="440" t="s">
        <v>78</v>
      </c>
      <c r="B3" s="441"/>
      <c r="C3" s="441"/>
      <c r="D3" s="441"/>
      <c r="E3" s="441"/>
      <c r="F3" s="441"/>
      <c r="G3" s="441"/>
      <c r="H3" s="442"/>
      <c r="I3" s="440" t="s">
        <v>193</v>
      </c>
      <c r="J3" s="441"/>
      <c r="K3" s="441"/>
      <c r="L3" s="441"/>
      <c r="M3" s="441"/>
      <c r="N3" s="441"/>
      <c r="O3" s="441"/>
      <c r="P3" s="441"/>
      <c r="Q3" s="441"/>
      <c r="R3" s="441"/>
      <c r="S3" s="441"/>
      <c r="T3" s="441"/>
      <c r="U3" s="441"/>
      <c r="V3" s="441"/>
      <c r="W3" s="441"/>
      <c r="X3" s="441"/>
      <c r="Y3" s="441"/>
      <c r="Z3" s="441"/>
      <c r="AA3" s="441"/>
      <c r="AB3" s="441"/>
      <c r="AC3" s="442"/>
      <c r="AD3" s="440" t="s">
        <v>79</v>
      </c>
      <c r="AE3" s="441"/>
      <c r="AF3" s="441"/>
      <c r="AG3" s="441"/>
      <c r="AH3" s="441"/>
      <c r="AI3" s="441"/>
      <c r="AJ3" s="441"/>
      <c r="AK3" s="441"/>
      <c r="AL3" s="442"/>
      <c r="AM3" s="440" t="s">
        <v>788</v>
      </c>
      <c r="AN3" s="441"/>
      <c r="AO3" s="441"/>
      <c r="AP3" s="441"/>
      <c r="AQ3" s="441"/>
      <c r="AR3" s="441"/>
      <c r="AS3" s="441"/>
      <c r="AT3" s="441"/>
      <c r="AU3" s="441"/>
      <c r="AV3" s="441"/>
      <c r="AW3" s="441"/>
      <c r="AX3" s="441"/>
      <c r="AY3" s="441"/>
      <c r="AZ3" s="441"/>
      <c r="BA3" s="441"/>
      <c r="BB3" s="441"/>
      <c r="BC3" s="441"/>
      <c r="BD3" s="441"/>
      <c r="BE3" s="441"/>
      <c r="BF3" s="441"/>
      <c r="BG3" s="441"/>
      <c r="BH3" s="441"/>
      <c r="BI3" s="441"/>
      <c r="BJ3" s="441"/>
      <c r="BK3" s="441"/>
      <c r="BL3" s="441"/>
      <c r="BM3" s="441"/>
      <c r="BN3" s="441"/>
      <c r="BO3" s="441"/>
      <c r="BP3" s="441"/>
      <c r="BQ3" s="442"/>
      <c r="BR3" s="468" t="s">
        <v>80</v>
      </c>
      <c r="BS3" s="469"/>
      <c r="BT3" s="459" t="s">
        <v>943</v>
      </c>
      <c r="BU3" s="460"/>
      <c r="BV3" s="460"/>
      <c r="BW3" s="460"/>
      <c r="BX3" s="461"/>
      <c r="BY3" s="468" t="s">
        <v>81</v>
      </c>
      <c r="BZ3" s="469"/>
      <c r="CA3" s="459" t="s">
        <v>944</v>
      </c>
      <c r="CB3" s="460"/>
      <c r="CC3" s="460"/>
      <c r="CD3" s="460"/>
      <c r="CE3" s="461"/>
    </row>
    <row r="4" spans="1:83" ht="12.75" customHeight="1" x14ac:dyDescent="0.15">
      <c r="A4" s="452" t="s">
        <v>82</v>
      </c>
      <c r="B4" s="453"/>
      <c r="C4" s="453"/>
      <c r="D4" s="453"/>
      <c r="E4" s="453"/>
      <c r="F4" s="453"/>
      <c r="G4" s="453"/>
      <c r="H4" s="454"/>
      <c r="I4" s="434" t="s">
        <v>786</v>
      </c>
      <c r="J4" s="435"/>
      <c r="K4" s="435"/>
      <c r="L4" s="435"/>
      <c r="M4" s="435"/>
      <c r="N4" s="435"/>
      <c r="O4" s="435"/>
      <c r="P4" s="435"/>
      <c r="Q4" s="435"/>
      <c r="R4" s="435"/>
      <c r="S4" s="435"/>
      <c r="T4" s="435"/>
      <c r="U4" s="435"/>
      <c r="V4" s="435"/>
      <c r="W4" s="435"/>
      <c r="X4" s="435"/>
      <c r="Y4" s="435"/>
      <c r="Z4" s="435"/>
      <c r="AA4" s="435"/>
      <c r="AB4" s="435"/>
      <c r="AC4" s="436"/>
      <c r="AD4" s="440" t="s">
        <v>83</v>
      </c>
      <c r="AE4" s="441"/>
      <c r="AF4" s="441"/>
      <c r="AG4" s="441"/>
      <c r="AH4" s="441"/>
      <c r="AI4" s="441"/>
      <c r="AJ4" s="441"/>
      <c r="AK4" s="441"/>
      <c r="AL4" s="442"/>
      <c r="AM4" s="440" t="s">
        <v>705</v>
      </c>
      <c r="AN4" s="441"/>
      <c r="AO4" s="441"/>
      <c r="AP4" s="441"/>
      <c r="AQ4" s="441"/>
      <c r="AR4" s="441"/>
      <c r="AS4" s="441"/>
      <c r="AT4" s="441"/>
      <c r="AU4" s="441"/>
      <c r="AV4" s="441"/>
      <c r="AW4" s="441"/>
      <c r="AX4" s="441"/>
      <c r="AY4" s="441"/>
      <c r="AZ4" s="441"/>
      <c r="BA4" s="441"/>
      <c r="BB4" s="441"/>
      <c r="BC4" s="441"/>
      <c r="BD4" s="441"/>
      <c r="BE4" s="441"/>
      <c r="BF4" s="441"/>
      <c r="BG4" s="441"/>
      <c r="BH4" s="441"/>
      <c r="BI4" s="441"/>
      <c r="BJ4" s="441"/>
      <c r="BK4" s="441"/>
      <c r="BL4" s="441"/>
      <c r="BM4" s="441"/>
      <c r="BN4" s="441"/>
      <c r="BO4" s="441"/>
      <c r="BP4" s="441"/>
      <c r="BQ4" s="442"/>
      <c r="BR4" s="470"/>
      <c r="BS4" s="471"/>
      <c r="BT4" s="462"/>
      <c r="BU4" s="463"/>
      <c r="BV4" s="463"/>
      <c r="BW4" s="463"/>
      <c r="BX4" s="464"/>
      <c r="BY4" s="470"/>
      <c r="BZ4" s="471"/>
      <c r="CA4" s="462"/>
      <c r="CB4" s="463"/>
      <c r="CC4" s="463"/>
      <c r="CD4" s="463"/>
      <c r="CE4" s="464"/>
    </row>
    <row r="5" spans="1:83" ht="12.75" customHeight="1" x14ac:dyDescent="0.15">
      <c r="A5" s="455"/>
      <c r="B5" s="456"/>
      <c r="C5" s="456"/>
      <c r="D5" s="456"/>
      <c r="E5" s="456"/>
      <c r="F5" s="456"/>
      <c r="G5" s="456"/>
      <c r="H5" s="457"/>
      <c r="I5" s="437"/>
      <c r="J5" s="438"/>
      <c r="K5" s="438"/>
      <c r="L5" s="438"/>
      <c r="M5" s="438"/>
      <c r="N5" s="438"/>
      <c r="O5" s="438"/>
      <c r="P5" s="438"/>
      <c r="Q5" s="438"/>
      <c r="R5" s="438"/>
      <c r="S5" s="438"/>
      <c r="T5" s="438"/>
      <c r="U5" s="438"/>
      <c r="V5" s="438"/>
      <c r="W5" s="438"/>
      <c r="X5" s="438"/>
      <c r="Y5" s="438"/>
      <c r="Z5" s="438"/>
      <c r="AA5" s="438"/>
      <c r="AB5" s="438"/>
      <c r="AC5" s="439"/>
      <c r="AD5" s="440" t="s">
        <v>84</v>
      </c>
      <c r="AE5" s="441"/>
      <c r="AF5" s="441"/>
      <c r="AG5" s="442"/>
      <c r="AH5" s="443">
        <v>43476</v>
      </c>
      <c r="AI5" s="444"/>
      <c r="AJ5" s="445"/>
      <c r="AK5" s="445"/>
      <c r="AL5" s="445"/>
      <c r="AM5" s="445"/>
      <c r="AN5" s="446"/>
      <c r="AO5" s="440" t="s">
        <v>85</v>
      </c>
      <c r="AP5" s="441"/>
      <c r="AQ5" s="441"/>
      <c r="AR5" s="442"/>
      <c r="AS5" s="443">
        <v>43567</v>
      </c>
      <c r="AT5" s="444"/>
      <c r="AU5" s="445"/>
      <c r="AV5" s="445"/>
      <c r="AW5" s="445"/>
      <c r="AX5" s="445"/>
      <c r="AY5" s="446"/>
      <c r="AZ5" s="451" t="s">
        <v>86</v>
      </c>
      <c r="BA5" s="449"/>
      <c r="BB5" s="449"/>
      <c r="BC5" s="450"/>
      <c r="BD5" s="443">
        <v>43567</v>
      </c>
      <c r="BE5" s="444"/>
      <c r="BF5" s="445"/>
      <c r="BG5" s="445"/>
      <c r="BH5" s="445"/>
      <c r="BI5" s="445"/>
      <c r="BJ5" s="446"/>
      <c r="BK5" s="440" t="s">
        <v>87</v>
      </c>
      <c r="BL5" s="441"/>
      <c r="BM5" s="442"/>
      <c r="BN5" s="489">
        <v>1.3</v>
      </c>
      <c r="BO5" s="490"/>
      <c r="BP5" s="490"/>
      <c r="BQ5" s="491"/>
      <c r="BR5" s="472"/>
      <c r="BS5" s="473"/>
      <c r="BT5" s="465"/>
      <c r="BU5" s="466"/>
      <c r="BV5" s="466"/>
      <c r="BW5" s="466"/>
      <c r="BX5" s="467"/>
      <c r="BY5" s="472"/>
      <c r="BZ5" s="473"/>
      <c r="CA5" s="465"/>
      <c r="CB5" s="466"/>
      <c r="CC5" s="466"/>
      <c r="CD5" s="466"/>
      <c r="CE5" s="467"/>
    </row>
    <row r="6" spans="1:83" ht="4.5" customHeight="1" x14ac:dyDescent="0.15">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83" s="352" customFormat="1" x14ac:dyDescent="0.1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row>
    <row r="8" spans="1:83" s="20" customFormat="1" ht="12" customHeight="1" x14ac:dyDescent="0.15">
      <c r="B8" s="486" t="s">
        <v>258</v>
      </c>
      <c r="C8" s="486"/>
      <c r="D8" s="486"/>
      <c r="E8" s="486"/>
      <c r="F8" s="486"/>
      <c r="G8" s="486"/>
      <c r="H8" s="486"/>
      <c r="I8" s="486" t="s">
        <v>259</v>
      </c>
      <c r="J8" s="486"/>
      <c r="K8" s="486"/>
      <c r="L8" s="486"/>
      <c r="M8" s="486"/>
      <c r="N8" s="486"/>
      <c r="O8" s="486"/>
      <c r="P8" s="486"/>
      <c r="Q8" s="486"/>
      <c r="R8" s="488" t="s">
        <v>260</v>
      </c>
      <c r="S8" s="486"/>
      <c r="T8" s="486"/>
      <c r="U8" s="486"/>
      <c r="V8" s="486"/>
      <c r="W8" s="486"/>
      <c r="X8" s="486"/>
      <c r="Y8" s="486"/>
      <c r="Z8" s="486"/>
      <c r="AA8" s="486"/>
      <c r="AB8" s="486"/>
      <c r="AC8" s="486"/>
      <c r="AD8" s="486"/>
      <c r="AE8" s="486"/>
      <c r="AF8" s="486"/>
      <c r="AG8" s="486"/>
      <c r="AH8" s="486"/>
      <c r="AI8" s="486"/>
      <c r="AJ8" s="486"/>
      <c r="AK8" s="486"/>
      <c r="AL8" s="486"/>
      <c r="AM8" s="486"/>
      <c r="AN8" s="486"/>
      <c r="AO8" s="486"/>
      <c r="AP8" s="486"/>
      <c r="AQ8" s="486"/>
      <c r="AR8" s="486"/>
      <c r="AS8" s="486"/>
      <c r="AT8" s="486"/>
      <c r="AU8" s="486"/>
      <c r="AV8" s="486"/>
      <c r="AW8" s="486"/>
      <c r="AX8" s="486"/>
      <c r="AY8" s="486"/>
      <c r="AZ8" s="486"/>
      <c r="BA8" s="486"/>
      <c r="BB8" s="486"/>
      <c r="BC8" s="486"/>
      <c r="BD8" s="486"/>
      <c r="BE8" s="486"/>
      <c r="BF8" s="486"/>
      <c r="BG8" s="486"/>
      <c r="BH8" s="486"/>
      <c r="BI8" s="486"/>
      <c r="BJ8" s="486"/>
      <c r="BK8" s="486"/>
      <c r="BL8" s="486"/>
      <c r="BM8" s="486"/>
      <c r="BN8" s="486"/>
      <c r="BO8" s="486"/>
      <c r="BP8" s="486"/>
      <c r="BQ8" s="486"/>
      <c r="BR8" s="486"/>
      <c r="BS8" s="486"/>
      <c r="BT8" s="486" t="s">
        <v>261</v>
      </c>
      <c r="BU8" s="486"/>
      <c r="BV8" s="486"/>
      <c r="BW8" s="486"/>
      <c r="BX8" s="486"/>
      <c r="BY8" s="486"/>
      <c r="BZ8" s="486"/>
      <c r="CA8" s="486"/>
      <c r="CB8" s="486"/>
      <c r="CC8" s="486"/>
      <c r="CD8" s="486"/>
    </row>
    <row r="9" spans="1:83" s="20" customFormat="1" ht="12" customHeight="1" x14ac:dyDescent="0.15">
      <c r="B9" s="487"/>
      <c r="C9" s="487"/>
      <c r="D9" s="487"/>
      <c r="E9" s="487"/>
      <c r="F9" s="487"/>
      <c r="G9" s="487"/>
      <c r="H9" s="487"/>
      <c r="I9" s="487"/>
      <c r="J9" s="487"/>
      <c r="K9" s="487"/>
      <c r="L9" s="487"/>
      <c r="M9" s="487"/>
      <c r="N9" s="487"/>
      <c r="O9" s="487"/>
      <c r="P9" s="487"/>
      <c r="Q9" s="487"/>
      <c r="R9" s="487"/>
      <c r="S9" s="487"/>
      <c r="T9" s="487"/>
      <c r="U9" s="487"/>
      <c r="V9" s="487"/>
      <c r="W9" s="487"/>
      <c r="X9" s="487"/>
      <c r="Y9" s="487"/>
      <c r="Z9" s="487"/>
      <c r="AA9" s="487"/>
      <c r="AB9" s="487"/>
      <c r="AC9" s="487"/>
      <c r="AD9" s="487"/>
      <c r="AE9" s="487"/>
      <c r="AF9" s="487"/>
      <c r="AG9" s="487"/>
      <c r="AH9" s="487"/>
      <c r="AI9" s="487"/>
      <c r="AJ9" s="487"/>
      <c r="AK9" s="487"/>
      <c r="AL9" s="487"/>
      <c r="AM9" s="487"/>
      <c r="AN9" s="487"/>
      <c r="AO9" s="487"/>
      <c r="AP9" s="487"/>
      <c r="AQ9" s="487"/>
      <c r="AR9" s="487"/>
      <c r="AS9" s="487"/>
      <c r="AT9" s="487"/>
      <c r="AU9" s="487"/>
      <c r="AV9" s="487"/>
      <c r="AW9" s="487"/>
      <c r="AX9" s="487"/>
      <c r="AY9" s="487"/>
      <c r="AZ9" s="487"/>
      <c r="BA9" s="487"/>
      <c r="BB9" s="487"/>
      <c r="BC9" s="487"/>
      <c r="BD9" s="487"/>
      <c r="BE9" s="487"/>
      <c r="BF9" s="487"/>
      <c r="BG9" s="487"/>
      <c r="BH9" s="487"/>
      <c r="BI9" s="487"/>
      <c r="BJ9" s="487"/>
      <c r="BK9" s="487"/>
      <c r="BL9" s="487"/>
      <c r="BM9" s="487"/>
      <c r="BN9" s="487"/>
      <c r="BO9" s="487"/>
      <c r="BP9" s="487"/>
      <c r="BQ9" s="487"/>
      <c r="BR9" s="487"/>
      <c r="BS9" s="487"/>
      <c r="BT9" s="487"/>
      <c r="BU9" s="487"/>
      <c r="BV9" s="487"/>
      <c r="BW9" s="487"/>
      <c r="BX9" s="487"/>
      <c r="BY9" s="487"/>
      <c r="BZ9" s="487"/>
      <c r="CA9" s="487"/>
      <c r="CB9" s="487"/>
      <c r="CC9" s="487"/>
      <c r="CD9" s="487"/>
    </row>
    <row r="10" spans="1:83" s="20" customFormat="1" ht="12" customHeight="1" x14ac:dyDescent="0.15">
      <c r="B10" s="481" t="s">
        <v>795</v>
      </c>
      <c r="C10" s="481"/>
      <c r="D10" s="481"/>
      <c r="E10" s="481"/>
      <c r="F10" s="481"/>
      <c r="G10" s="481"/>
      <c r="H10" s="481"/>
      <c r="I10" s="481" t="s">
        <v>880</v>
      </c>
      <c r="J10" s="481"/>
      <c r="K10" s="481"/>
      <c r="L10" s="481"/>
      <c r="M10" s="481"/>
      <c r="N10" s="481"/>
      <c r="O10" s="481"/>
      <c r="P10" s="481"/>
      <c r="Q10" s="481"/>
      <c r="R10" s="483" t="s">
        <v>796</v>
      </c>
      <c r="S10" s="484"/>
      <c r="T10" s="484"/>
      <c r="U10" s="484"/>
      <c r="V10" s="484"/>
      <c r="W10" s="484"/>
      <c r="X10" s="484"/>
      <c r="Y10" s="484"/>
      <c r="Z10" s="484"/>
      <c r="AA10" s="484"/>
      <c r="AB10" s="484"/>
      <c r="AC10" s="484"/>
      <c r="AD10" s="484"/>
      <c r="AE10" s="484"/>
      <c r="AF10" s="484"/>
      <c r="AG10" s="484"/>
      <c r="AH10" s="484"/>
      <c r="AI10" s="484"/>
      <c r="AJ10" s="484"/>
      <c r="AK10" s="484"/>
      <c r="AL10" s="484"/>
      <c r="AM10" s="484"/>
      <c r="AN10" s="484"/>
      <c r="AO10" s="484"/>
      <c r="AP10" s="484"/>
      <c r="AQ10" s="484"/>
      <c r="AR10" s="484"/>
      <c r="AS10" s="484"/>
      <c r="AT10" s="484"/>
      <c r="AU10" s="484"/>
      <c r="AV10" s="484"/>
      <c r="AW10" s="484"/>
      <c r="AX10" s="484"/>
      <c r="AY10" s="484"/>
      <c r="AZ10" s="484"/>
      <c r="BA10" s="484"/>
      <c r="BB10" s="484"/>
      <c r="BC10" s="484"/>
      <c r="BD10" s="484"/>
      <c r="BE10" s="484"/>
      <c r="BF10" s="484"/>
      <c r="BG10" s="484"/>
      <c r="BH10" s="484"/>
      <c r="BI10" s="484"/>
      <c r="BJ10" s="484"/>
      <c r="BK10" s="484"/>
      <c r="BL10" s="484"/>
      <c r="BM10" s="484"/>
      <c r="BN10" s="484"/>
      <c r="BO10" s="484"/>
      <c r="BP10" s="484"/>
      <c r="BQ10" s="484"/>
      <c r="BR10" s="484"/>
      <c r="BS10" s="484"/>
      <c r="BT10" s="481" t="s">
        <v>797</v>
      </c>
      <c r="BU10" s="481"/>
      <c r="BV10" s="481"/>
      <c r="BW10" s="481"/>
      <c r="BX10" s="481"/>
      <c r="BY10" s="481"/>
      <c r="BZ10" s="481"/>
      <c r="CA10" s="481"/>
      <c r="CB10" s="481"/>
      <c r="CC10" s="481"/>
      <c r="CD10" s="481"/>
    </row>
    <row r="11" spans="1:83" s="20" customFormat="1" ht="12" customHeight="1" x14ac:dyDescent="0.15">
      <c r="B11" s="482"/>
      <c r="C11" s="482"/>
      <c r="D11" s="482"/>
      <c r="E11" s="482"/>
      <c r="F11" s="482"/>
      <c r="G11" s="482"/>
      <c r="H11" s="482"/>
      <c r="I11" s="482"/>
      <c r="J11" s="482"/>
      <c r="K11" s="482"/>
      <c r="L11" s="482"/>
      <c r="M11" s="482"/>
      <c r="N11" s="482"/>
      <c r="O11" s="482"/>
      <c r="P11" s="482"/>
      <c r="Q11" s="482"/>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485"/>
      <c r="BS11" s="485"/>
      <c r="BT11" s="482"/>
      <c r="BU11" s="482"/>
      <c r="BV11" s="482"/>
      <c r="BW11" s="482"/>
      <c r="BX11" s="482"/>
      <c r="BY11" s="482"/>
      <c r="BZ11" s="482"/>
      <c r="CA11" s="482"/>
      <c r="CB11" s="482"/>
      <c r="CC11" s="482"/>
      <c r="CD11" s="482"/>
    </row>
    <row r="12" spans="1:83" s="20" customFormat="1" ht="12" customHeight="1" x14ac:dyDescent="0.15">
      <c r="B12" s="481" t="s">
        <v>922</v>
      </c>
      <c r="C12" s="481"/>
      <c r="D12" s="481"/>
      <c r="E12" s="481"/>
      <c r="F12" s="481"/>
      <c r="G12" s="481"/>
      <c r="H12" s="481"/>
      <c r="I12" s="481" t="s">
        <v>923</v>
      </c>
      <c r="J12" s="481"/>
      <c r="K12" s="481"/>
      <c r="L12" s="481"/>
      <c r="M12" s="481"/>
      <c r="N12" s="481"/>
      <c r="O12" s="481"/>
      <c r="P12" s="481"/>
      <c r="Q12" s="481"/>
      <c r="R12" s="484" t="s">
        <v>924</v>
      </c>
      <c r="S12" s="484"/>
      <c r="T12" s="484"/>
      <c r="U12" s="484"/>
      <c r="V12" s="484"/>
      <c r="W12" s="484"/>
      <c r="X12" s="484"/>
      <c r="Y12" s="484"/>
      <c r="Z12" s="484"/>
      <c r="AA12" s="484"/>
      <c r="AB12" s="484"/>
      <c r="AC12" s="484"/>
      <c r="AD12" s="484"/>
      <c r="AE12" s="484"/>
      <c r="AF12" s="484"/>
      <c r="AG12" s="484"/>
      <c r="AH12" s="484"/>
      <c r="AI12" s="484"/>
      <c r="AJ12" s="484"/>
      <c r="AK12" s="484"/>
      <c r="AL12" s="484"/>
      <c r="AM12" s="484"/>
      <c r="AN12" s="484"/>
      <c r="AO12" s="484"/>
      <c r="AP12" s="484"/>
      <c r="AQ12" s="484"/>
      <c r="AR12" s="484"/>
      <c r="AS12" s="484"/>
      <c r="AT12" s="484"/>
      <c r="AU12" s="484"/>
      <c r="AV12" s="484"/>
      <c r="AW12" s="484"/>
      <c r="AX12" s="484"/>
      <c r="AY12" s="484"/>
      <c r="AZ12" s="484"/>
      <c r="BA12" s="484"/>
      <c r="BB12" s="484"/>
      <c r="BC12" s="484"/>
      <c r="BD12" s="484"/>
      <c r="BE12" s="484"/>
      <c r="BF12" s="484"/>
      <c r="BG12" s="484"/>
      <c r="BH12" s="484"/>
      <c r="BI12" s="484"/>
      <c r="BJ12" s="484"/>
      <c r="BK12" s="484"/>
      <c r="BL12" s="484"/>
      <c r="BM12" s="484"/>
      <c r="BN12" s="484"/>
      <c r="BO12" s="484"/>
      <c r="BP12" s="484"/>
      <c r="BQ12" s="484"/>
      <c r="BR12" s="484"/>
      <c r="BS12" s="484"/>
      <c r="BT12" s="481" t="s">
        <v>797</v>
      </c>
      <c r="BU12" s="481"/>
      <c r="BV12" s="481"/>
      <c r="BW12" s="481"/>
      <c r="BX12" s="481"/>
      <c r="BY12" s="481"/>
      <c r="BZ12" s="481"/>
      <c r="CA12" s="481"/>
      <c r="CB12" s="481"/>
      <c r="CC12" s="481"/>
      <c r="CD12" s="481"/>
    </row>
    <row r="13" spans="1:83" s="20" customFormat="1" ht="12" customHeight="1" x14ac:dyDescent="0.15">
      <c r="B13" s="482"/>
      <c r="C13" s="482"/>
      <c r="D13" s="482"/>
      <c r="E13" s="482"/>
      <c r="F13" s="482"/>
      <c r="G13" s="482"/>
      <c r="H13" s="482"/>
      <c r="I13" s="482"/>
      <c r="J13" s="482"/>
      <c r="K13" s="482"/>
      <c r="L13" s="482"/>
      <c r="M13" s="482"/>
      <c r="N13" s="482"/>
      <c r="O13" s="482"/>
      <c r="P13" s="482"/>
      <c r="Q13" s="482"/>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485"/>
      <c r="BS13" s="485"/>
      <c r="BT13" s="482"/>
      <c r="BU13" s="482"/>
      <c r="BV13" s="482"/>
      <c r="BW13" s="482"/>
      <c r="BX13" s="482"/>
      <c r="BY13" s="482"/>
      <c r="BZ13" s="482"/>
      <c r="CA13" s="482"/>
      <c r="CB13" s="482"/>
      <c r="CC13" s="482"/>
      <c r="CD13" s="482"/>
    </row>
    <row r="14" spans="1:83" s="20" customFormat="1" ht="12" customHeight="1" x14ac:dyDescent="0.15">
      <c r="B14" s="481" t="s">
        <v>938</v>
      </c>
      <c r="C14" s="481"/>
      <c r="D14" s="481"/>
      <c r="E14" s="481"/>
      <c r="F14" s="481"/>
      <c r="G14" s="481"/>
      <c r="H14" s="481"/>
      <c r="I14" s="481" t="s">
        <v>940</v>
      </c>
      <c r="J14" s="481"/>
      <c r="K14" s="481"/>
      <c r="L14" s="481"/>
      <c r="M14" s="481"/>
      <c r="N14" s="481"/>
      <c r="O14" s="481"/>
      <c r="P14" s="481"/>
      <c r="Q14" s="481"/>
      <c r="R14" s="484" t="s">
        <v>939</v>
      </c>
      <c r="S14" s="484"/>
      <c r="T14" s="484"/>
      <c r="U14" s="484"/>
      <c r="V14" s="484"/>
      <c r="W14" s="484"/>
      <c r="X14" s="484"/>
      <c r="Y14" s="484"/>
      <c r="Z14" s="484"/>
      <c r="AA14" s="484"/>
      <c r="AB14" s="484"/>
      <c r="AC14" s="484"/>
      <c r="AD14" s="484"/>
      <c r="AE14" s="484"/>
      <c r="AF14" s="484"/>
      <c r="AG14" s="484"/>
      <c r="AH14" s="484"/>
      <c r="AI14" s="484"/>
      <c r="AJ14" s="484"/>
      <c r="AK14" s="484"/>
      <c r="AL14" s="484"/>
      <c r="AM14" s="484"/>
      <c r="AN14" s="484"/>
      <c r="AO14" s="484"/>
      <c r="AP14" s="484"/>
      <c r="AQ14" s="484"/>
      <c r="AR14" s="484"/>
      <c r="AS14" s="484"/>
      <c r="AT14" s="484"/>
      <c r="AU14" s="484"/>
      <c r="AV14" s="484"/>
      <c r="AW14" s="484"/>
      <c r="AX14" s="484"/>
      <c r="AY14" s="484"/>
      <c r="AZ14" s="484"/>
      <c r="BA14" s="484"/>
      <c r="BB14" s="484"/>
      <c r="BC14" s="484"/>
      <c r="BD14" s="484"/>
      <c r="BE14" s="484"/>
      <c r="BF14" s="484"/>
      <c r="BG14" s="484"/>
      <c r="BH14" s="484"/>
      <c r="BI14" s="484"/>
      <c r="BJ14" s="484"/>
      <c r="BK14" s="484"/>
      <c r="BL14" s="484"/>
      <c r="BM14" s="484"/>
      <c r="BN14" s="484"/>
      <c r="BO14" s="484"/>
      <c r="BP14" s="484"/>
      <c r="BQ14" s="484"/>
      <c r="BR14" s="484"/>
      <c r="BS14" s="484"/>
      <c r="BT14" s="481" t="s">
        <v>797</v>
      </c>
      <c r="BU14" s="481"/>
      <c r="BV14" s="481"/>
      <c r="BW14" s="481"/>
      <c r="BX14" s="481"/>
      <c r="BY14" s="481"/>
      <c r="BZ14" s="481"/>
      <c r="CA14" s="481"/>
      <c r="CB14" s="481"/>
      <c r="CC14" s="481"/>
      <c r="CD14" s="481"/>
    </row>
    <row r="15" spans="1:83" s="20" customFormat="1" ht="12" customHeight="1" x14ac:dyDescent="0.15">
      <c r="B15" s="482"/>
      <c r="C15" s="482"/>
      <c r="D15" s="482"/>
      <c r="E15" s="482"/>
      <c r="F15" s="482"/>
      <c r="G15" s="482"/>
      <c r="H15" s="482"/>
      <c r="I15" s="482"/>
      <c r="J15" s="482"/>
      <c r="K15" s="482"/>
      <c r="L15" s="482"/>
      <c r="M15" s="482"/>
      <c r="N15" s="482"/>
      <c r="O15" s="482"/>
      <c r="P15" s="482"/>
      <c r="Q15" s="482"/>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485"/>
      <c r="BS15" s="485"/>
      <c r="BT15" s="482"/>
      <c r="BU15" s="482"/>
      <c r="BV15" s="482"/>
      <c r="BW15" s="482"/>
      <c r="BX15" s="482"/>
      <c r="BY15" s="482"/>
      <c r="BZ15" s="482"/>
      <c r="CA15" s="482"/>
      <c r="CB15" s="482"/>
      <c r="CC15" s="482"/>
      <c r="CD15" s="482"/>
    </row>
    <row r="16" spans="1:83" s="20" customFormat="1" ht="12" customHeight="1" x14ac:dyDescent="0.15">
      <c r="B16" s="481" t="s">
        <v>945</v>
      </c>
      <c r="C16" s="481"/>
      <c r="D16" s="481"/>
      <c r="E16" s="481"/>
      <c r="F16" s="481"/>
      <c r="G16" s="481"/>
      <c r="H16" s="481"/>
      <c r="I16" s="481" t="s">
        <v>946</v>
      </c>
      <c r="J16" s="481"/>
      <c r="K16" s="481"/>
      <c r="L16" s="481"/>
      <c r="M16" s="481"/>
      <c r="N16" s="481"/>
      <c r="O16" s="481"/>
      <c r="P16" s="481"/>
      <c r="Q16" s="481"/>
      <c r="R16" s="484" t="s">
        <v>939</v>
      </c>
      <c r="S16" s="484"/>
      <c r="T16" s="484"/>
      <c r="U16" s="484"/>
      <c r="V16" s="484"/>
      <c r="W16" s="484"/>
      <c r="X16" s="484"/>
      <c r="Y16" s="484"/>
      <c r="Z16" s="484"/>
      <c r="AA16" s="484"/>
      <c r="AB16" s="484"/>
      <c r="AC16" s="484"/>
      <c r="AD16" s="484"/>
      <c r="AE16" s="484"/>
      <c r="AF16" s="484"/>
      <c r="AG16" s="484"/>
      <c r="AH16" s="484"/>
      <c r="AI16" s="484"/>
      <c r="AJ16" s="484"/>
      <c r="AK16" s="484"/>
      <c r="AL16" s="484"/>
      <c r="AM16" s="484"/>
      <c r="AN16" s="484"/>
      <c r="AO16" s="484"/>
      <c r="AP16" s="484"/>
      <c r="AQ16" s="484"/>
      <c r="AR16" s="484"/>
      <c r="AS16" s="484"/>
      <c r="AT16" s="484"/>
      <c r="AU16" s="484"/>
      <c r="AV16" s="484"/>
      <c r="AW16" s="484"/>
      <c r="AX16" s="484"/>
      <c r="AY16" s="484"/>
      <c r="AZ16" s="484"/>
      <c r="BA16" s="484"/>
      <c r="BB16" s="484"/>
      <c r="BC16" s="484"/>
      <c r="BD16" s="484"/>
      <c r="BE16" s="484"/>
      <c r="BF16" s="484"/>
      <c r="BG16" s="484"/>
      <c r="BH16" s="484"/>
      <c r="BI16" s="484"/>
      <c r="BJ16" s="484"/>
      <c r="BK16" s="484"/>
      <c r="BL16" s="484"/>
      <c r="BM16" s="484"/>
      <c r="BN16" s="484"/>
      <c r="BO16" s="484"/>
      <c r="BP16" s="484"/>
      <c r="BQ16" s="484"/>
      <c r="BR16" s="484"/>
      <c r="BS16" s="484"/>
      <c r="BT16" s="481" t="s">
        <v>947</v>
      </c>
      <c r="BU16" s="481"/>
      <c r="BV16" s="481"/>
      <c r="BW16" s="481"/>
      <c r="BX16" s="481"/>
      <c r="BY16" s="481"/>
      <c r="BZ16" s="481"/>
      <c r="CA16" s="481"/>
      <c r="CB16" s="481"/>
      <c r="CC16" s="481"/>
      <c r="CD16" s="481"/>
    </row>
    <row r="17" spans="2:82" s="20" customFormat="1" ht="12" customHeight="1" x14ac:dyDescent="0.15">
      <c r="B17" s="482"/>
      <c r="C17" s="482"/>
      <c r="D17" s="482"/>
      <c r="E17" s="482"/>
      <c r="F17" s="482"/>
      <c r="G17" s="482"/>
      <c r="H17" s="482"/>
      <c r="I17" s="482"/>
      <c r="J17" s="482"/>
      <c r="K17" s="482"/>
      <c r="L17" s="482"/>
      <c r="M17" s="482"/>
      <c r="N17" s="482"/>
      <c r="O17" s="482"/>
      <c r="P17" s="482"/>
      <c r="Q17" s="482"/>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485"/>
      <c r="BS17" s="485"/>
      <c r="BT17" s="482"/>
      <c r="BU17" s="482"/>
      <c r="BV17" s="482"/>
      <c r="BW17" s="482"/>
      <c r="BX17" s="482"/>
      <c r="BY17" s="482"/>
      <c r="BZ17" s="482"/>
      <c r="CA17" s="482"/>
      <c r="CB17" s="482"/>
      <c r="CC17" s="482"/>
      <c r="CD17" s="482"/>
    </row>
    <row r="18" spans="2:82" s="20" customFormat="1" ht="12" customHeight="1" x14ac:dyDescent="0.15">
      <c r="B18" s="477"/>
      <c r="C18" s="477"/>
      <c r="D18" s="477"/>
      <c r="E18" s="477"/>
      <c r="F18" s="477"/>
      <c r="G18" s="477"/>
      <c r="H18" s="477"/>
      <c r="I18" s="477"/>
      <c r="J18" s="477"/>
      <c r="K18" s="477"/>
      <c r="L18" s="477"/>
      <c r="M18" s="477"/>
      <c r="N18" s="477"/>
      <c r="O18" s="477"/>
      <c r="P18" s="477"/>
      <c r="Q18" s="477"/>
      <c r="R18" s="479"/>
      <c r="S18" s="479"/>
      <c r="T18" s="479"/>
      <c r="U18" s="479"/>
      <c r="V18" s="479"/>
      <c r="W18" s="479"/>
      <c r="X18" s="479"/>
      <c r="Y18" s="479"/>
      <c r="Z18" s="479"/>
      <c r="AA18" s="479"/>
      <c r="AB18" s="479"/>
      <c r="AC18" s="479"/>
      <c r="AD18" s="479"/>
      <c r="AE18" s="479"/>
      <c r="AF18" s="479"/>
      <c r="AG18" s="479"/>
      <c r="AH18" s="479"/>
      <c r="AI18" s="479"/>
      <c r="AJ18" s="479"/>
      <c r="AK18" s="479"/>
      <c r="AL18" s="479"/>
      <c r="AM18" s="479"/>
      <c r="AN18" s="479"/>
      <c r="AO18" s="479"/>
      <c r="AP18" s="479"/>
      <c r="AQ18" s="479"/>
      <c r="AR18" s="479"/>
      <c r="AS18" s="479"/>
      <c r="AT18" s="479"/>
      <c r="AU18" s="479"/>
      <c r="AV18" s="479"/>
      <c r="AW18" s="479"/>
      <c r="AX18" s="479"/>
      <c r="AY18" s="479"/>
      <c r="AZ18" s="479"/>
      <c r="BA18" s="479"/>
      <c r="BB18" s="479"/>
      <c r="BC18" s="479"/>
      <c r="BD18" s="479"/>
      <c r="BE18" s="479"/>
      <c r="BF18" s="479"/>
      <c r="BG18" s="479"/>
      <c r="BH18" s="479"/>
      <c r="BI18" s="479"/>
      <c r="BJ18" s="479"/>
      <c r="BK18" s="479"/>
      <c r="BL18" s="479"/>
      <c r="BM18" s="479"/>
      <c r="BN18" s="479"/>
      <c r="BO18" s="479"/>
      <c r="BP18" s="479"/>
      <c r="BQ18" s="479"/>
      <c r="BR18" s="479"/>
      <c r="BS18" s="479"/>
      <c r="BT18" s="477"/>
      <c r="BU18" s="477"/>
      <c r="BV18" s="477"/>
      <c r="BW18" s="477"/>
      <c r="BX18" s="477"/>
      <c r="BY18" s="477"/>
      <c r="BZ18" s="477"/>
      <c r="CA18" s="477"/>
      <c r="CB18" s="477"/>
      <c r="CC18" s="477"/>
      <c r="CD18" s="477"/>
    </row>
    <row r="19" spans="2:82" s="20" customFormat="1" ht="12" customHeight="1" x14ac:dyDescent="0.15">
      <c r="B19" s="478"/>
      <c r="C19" s="478"/>
      <c r="D19" s="478"/>
      <c r="E19" s="478"/>
      <c r="F19" s="478"/>
      <c r="G19" s="478"/>
      <c r="H19" s="478"/>
      <c r="I19" s="478"/>
      <c r="J19" s="478"/>
      <c r="K19" s="478"/>
      <c r="L19" s="478"/>
      <c r="M19" s="478"/>
      <c r="N19" s="478"/>
      <c r="O19" s="478"/>
      <c r="P19" s="478"/>
      <c r="Q19" s="478"/>
      <c r="R19" s="480"/>
      <c r="S19" s="480"/>
      <c r="T19" s="480"/>
      <c r="U19" s="480"/>
      <c r="V19" s="480"/>
      <c r="W19" s="480"/>
      <c r="X19" s="480"/>
      <c r="Y19" s="480"/>
      <c r="Z19" s="480"/>
      <c r="AA19" s="480"/>
      <c r="AB19" s="480"/>
      <c r="AC19" s="480"/>
      <c r="AD19" s="480"/>
      <c r="AE19" s="480"/>
      <c r="AF19" s="480"/>
      <c r="AG19" s="480"/>
      <c r="AH19" s="480"/>
      <c r="AI19" s="480"/>
      <c r="AJ19" s="480"/>
      <c r="AK19" s="480"/>
      <c r="AL19" s="480"/>
      <c r="AM19" s="480"/>
      <c r="AN19" s="480"/>
      <c r="AO19" s="480"/>
      <c r="AP19" s="480"/>
      <c r="AQ19" s="480"/>
      <c r="AR19" s="480"/>
      <c r="AS19" s="480"/>
      <c r="AT19" s="480"/>
      <c r="AU19" s="480"/>
      <c r="AV19" s="480"/>
      <c r="AW19" s="480"/>
      <c r="AX19" s="480"/>
      <c r="AY19" s="480"/>
      <c r="AZ19" s="480"/>
      <c r="BA19" s="480"/>
      <c r="BB19" s="480"/>
      <c r="BC19" s="480"/>
      <c r="BD19" s="480"/>
      <c r="BE19" s="480"/>
      <c r="BF19" s="480"/>
      <c r="BG19" s="480"/>
      <c r="BH19" s="480"/>
      <c r="BI19" s="480"/>
      <c r="BJ19" s="480"/>
      <c r="BK19" s="480"/>
      <c r="BL19" s="480"/>
      <c r="BM19" s="480"/>
      <c r="BN19" s="480"/>
      <c r="BO19" s="480"/>
      <c r="BP19" s="480"/>
      <c r="BQ19" s="480"/>
      <c r="BR19" s="480"/>
      <c r="BS19" s="480"/>
      <c r="BT19" s="478"/>
      <c r="BU19" s="478"/>
      <c r="BV19" s="478"/>
      <c r="BW19" s="478"/>
      <c r="BX19" s="478"/>
      <c r="BY19" s="478"/>
      <c r="BZ19" s="478"/>
      <c r="CA19" s="478"/>
      <c r="CB19" s="478"/>
      <c r="CC19" s="478"/>
      <c r="CD19" s="478"/>
    </row>
    <row r="20" spans="2:82" s="20" customFormat="1" ht="12" customHeight="1" x14ac:dyDescent="0.15">
      <c r="B20" s="481"/>
      <c r="C20" s="481"/>
      <c r="D20" s="481"/>
      <c r="E20" s="481"/>
      <c r="F20" s="481"/>
      <c r="G20" s="481"/>
      <c r="H20" s="481"/>
      <c r="I20" s="481"/>
      <c r="J20" s="481"/>
      <c r="K20" s="481"/>
      <c r="L20" s="481"/>
      <c r="M20" s="481"/>
      <c r="N20" s="481"/>
      <c r="O20" s="481"/>
      <c r="P20" s="481"/>
      <c r="Q20" s="481"/>
      <c r="R20" s="483"/>
      <c r="S20" s="484"/>
      <c r="T20" s="484"/>
      <c r="U20" s="484"/>
      <c r="V20" s="484"/>
      <c r="W20" s="484"/>
      <c r="X20" s="484"/>
      <c r="Y20" s="484"/>
      <c r="Z20" s="484"/>
      <c r="AA20" s="484"/>
      <c r="AB20" s="484"/>
      <c r="AC20" s="484"/>
      <c r="AD20" s="484"/>
      <c r="AE20" s="484"/>
      <c r="AF20" s="484"/>
      <c r="AG20" s="484"/>
      <c r="AH20" s="484"/>
      <c r="AI20" s="484"/>
      <c r="AJ20" s="484"/>
      <c r="AK20" s="484"/>
      <c r="AL20" s="484"/>
      <c r="AM20" s="484"/>
      <c r="AN20" s="484"/>
      <c r="AO20" s="484"/>
      <c r="AP20" s="484"/>
      <c r="AQ20" s="484"/>
      <c r="AR20" s="484"/>
      <c r="AS20" s="484"/>
      <c r="AT20" s="484"/>
      <c r="AU20" s="484"/>
      <c r="AV20" s="484"/>
      <c r="AW20" s="484"/>
      <c r="AX20" s="484"/>
      <c r="AY20" s="484"/>
      <c r="AZ20" s="484"/>
      <c r="BA20" s="484"/>
      <c r="BB20" s="484"/>
      <c r="BC20" s="484"/>
      <c r="BD20" s="484"/>
      <c r="BE20" s="484"/>
      <c r="BF20" s="484"/>
      <c r="BG20" s="484"/>
      <c r="BH20" s="484"/>
      <c r="BI20" s="484"/>
      <c r="BJ20" s="484"/>
      <c r="BK20" s="484"/>
      <c r="BL20" s="484"/>
      <c r="BM20" s="484"/>
      <c r="BN20" s="484"/>
      <c r="BO20" s="484"/>
      <c r="BP20" s="484"/>
      <c r="BQ20" s="484"/>
      <c r="BR20" s="484"/>
      <c r="BS20" s="484"/>
      <c r="BT20" s="481"/>
      <c r="BU20" s="481"/>
      <c r="BV20" s="481"/>
      <c r="BW20" s="481"/>
      <c r="BX20" s="481"/>
      <c r="BY20" s="481"/>
      <c r="BZ20" s="481"/>
      <c r="CA20" s="481"/>
      <c r="CB20" s="481"/>
      <c r="CC20" s="481"/>
      <c r="CD20" s="481"/>
    </row>
    <row r="21" spans="2:82" s="20" customFormat="1" ht="12" customHeight="1" x14ac:dyDescent="0.15">
      <c r="B21" s="482"/>
      <c r="C21" s="482"/>
      <c r="D21" s="482"/>
      <c r="E21" s="482"/>
      <c r="F21" s="482"/>
      <c r="G21" s="482"/>
      <c r="H21" s="482"/>
      <c r="I21" s="482"/>
      <c r="J21" s="482"/>
      <c r="K21" s="482"/>
      <c r="L21" s="482"/>
      <c r="M21" s="482"/>
      <c r="N21" s="482"/>
      <c r="O21" s="482"/>
      <c r="P21" s="482"/>
      <c r="Q21" s="482"/>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485"/>
      <c r="BS21" s="485"/>
      <c r="BT21" s="482"/>
      <c r="BU21" s="482"/>
      <c r="BV21" s="482"/>
      <c r="BW21" s="482"/>
      <c r="BX21" s="482"/>
      <c r="BY21" s="482"/>
      <c r="BZ21" s="482"/>
      <c r="CA21" s="482"/>
      <c r="CB21" s="482"/>
      <c r="CC21" s="482"/>
      <c r="CD21" s="482"/>
    </row>
    <row r="22" spans="2:82" s="20" customFormat="1" ht="12" customHeight="1" x14ac:dyDescent="0.15">
      <c r="B22" s="477"/>
      <c r="C22" s="477"/>
      <c r="D22" s="477"/>
      <c r="E22" s="477"/>
      <c r="F22" s="477"/>
      <c r="G22" s="477"/>
      <c r="H22" s="477"/>
      <c r="I22" s="477"/>
      <c r="J22" s="477"/>
      <c r="K22" s="477"/>
      <c r="L22" s="477"/>
      <c r="M22" s="477"/>
      <c r="N22" s="477"/>
      <c r="O22" s="477"/>
      <c r="P22" s="477"/>
      <c r="Q22" s="477"/>
      <c r="R22" s="479"/>
      <c r="S22" s="479"/>
      <c r="T22" s="479"/>
      <c r="U22" s="479"/>
      <c r="V22" s="479"/>
      <c r="W22" s="479"/>
      <c r="X22" s="479"/>
      <c r="Y22" s="479"/>
      <c r="Z22" s="479"/>
      <c r="AA22" s="479"/>
      <c r="AB22" s="479"/>
      <c r="AC22" s="479"/>
      <c r="AD22" s="479"/>
      <c r="AE22" s="479"/>
      <c r="AF22" s="479"/>
      <c r="AG22" s="479"/>
      <c r="AH22" s="479"/>
      <c r="AI22" s="479"/>
      <c r="AJ22" s="479"/>
      <c r="AK22" s="479"/>
      <c r="AL22" s="479"/>
      <c r="AM22" s="479"/>
      <c r="AN22" s="479"/>
      <c r="AO22" s="479"/>
      <c r="AP22" s="479"/>
      <c r="AQ22" s="479"/>
      <c r="AR22" s="479"/>
      <c r="AS22" s="479"/>
      <c r="AT22" s="479"/>
      <c r="AU22" s="479"/>
      <c r="AV22" s="479"/>
      <c r="AW22" s="479"/>
      <c r="AX22" s="479"/>
      <c r="AY22" s="479"/>
      <c r="AZ22" s="479"/>
      <c r="BA22" s="479"/>
      <c r="BB22" s="479"/>
      <c r="BC22" s="479"/>
      <c r="BD22" s="479"/>
      <c r="BE22" s="479"/>
      <c r="BF22" s="479"/>
      <c r="BG22" s="479"/>
      <c r="BH22" s="479"/>
      <c r="BI22" s="479"/>
      <c r="BJ22" s="479"/>
      <c r="BK22" s="479"/>
      <c r="BL22" s="479"/>
      <c r="BM22" s="479"/>
      <c r="BN22" s="479"/>
      <c r="BO22" s="479"/>
      <c r="BP22" s="479"/>
      <c r="BQ22" s="479"/>
      <c r="BR22" s="479"/>
      <c r="BS22" s="479"/>
      <c r="BT22" s="477"/>
      <c r="BU22" s="477"/>
      <c r="BV22" s="477"/>
      <c r="BW22" s="477"/>
      <c r="BX22" s="477"/>
      <c r="BY22" s="477"/>
      <c r="BZ22" s="477"/>
      <c r="CA22" s="477"/>
      <c r="CB22" s="477"/>
      <c r="CC22" s="477"/>
      <c r="CD22" s="477"/>
    </row>
    <row r="23" spans="2:82" s="20" customFormat="1" ht="12" customHeight="1" x14ac:dyDescent="0.15">
      <c r="B23" s="478"/>
      <c r="C23" s="478"/>
      <c r="D23" s="478"/>
      <c r="E23" s="478"/>
      <c r="F23" s="478"/>
      <c r="G23" s="478"/>
      <c r="H23" s="478"/>
      <c r="I23" s="478"/>
      <c r="J23" s="478"/>
      <c r="K23" s="478"/>
      <c r="L23" s="478"/>
      <c r="M23" s="478"/>
      <c r="N23" s="478"/>
      <c r="O23" s="478"/>
      <c r="P23" s="478"/>
      <c r="Q23" s="478"/>
      <c r="R23" s="480"/>
      <c r="S23" s="480"/>
      <c r="T23" s="480"/>
      <c r="U23" s="480"/>
      <c r="V23" s="480"/>
      <c r="W23" s="480"/>
      <c r="X23" s="480"/>
      <c r="Y23" s="480"/>
      <c r="Z23" s="480"/>
      <c r="AA23" s="480"/>
      <c r="AB23" s="480"/>
      <c r="AC23" s="480"/>
      <c r="AD23" s="480"/>
      <c r="AE23" s="480"/>
      <c r="AF23" s="480"/>
      <c r="AG23" s="480"/>
      <c r="AH23" s="480"/>
      <c r="AI23" s="480"/>
      <c r="AJ23" s="480"/>
      <c r="AK23" s="480"/>
      <c r="AL23" s="480"/>
      <c r="AM23" s="480"/>
      <c r="AN23" s="480"/>
      <c r="AO23" s="480"/>
      <c r="AP23" s="480"/>
      <c r="AQ23" s="480"/>
      <c r="AR23" s="480"/>
      <c r="AS23" s="480"/>
      <c r="AT23" s="480"/>
      <c r="AU23" s="480"/>
      <c r="AV23" s="480"/>
      <c r="AW23" s="480"/>
      <c r="AX23" s="480"/>
      <c r="AY23" s="480"/>
      <c r="AZ23" s="480"/>
      <c r="BA23" s="480"/>
      <c r="BB23" s="480"/>
      <c r="BC23" s="480"/>
      <c r="BD23" s="480"/>
      <c r="BE23" s="480"/>
      <c r="BF23" s="480"/>
      <c r="BG23" s="480"/>
      <c r="BH23" s="480"/>
      <c r="BI23" s="480"/>
      <c r="BJ23" s="480"/>
      <c r="BK23" s="480"/>
      <c r="BL23" s="480"/>
      <c r="BM23" s="480"/>
      <c r="BN23" s="480"/>
      <c r="BO23" s="480"/>
      <c r="BP23" s="480"/>
      <c r="BQ23" s="480"/>
      <c r="BR23" s="480"/>
      <c r="BS23" s="480"/>
      <c r="BT23" s="478"/>
      <c r="BU23" s="478"/>
      <c r="BV23" s="478"/>
      <c r="BW23" s="478"/>
      <c r="BX23" s="478"/>
      <c r="BY23" s="478"/>
      <c r="BZ23" s="478"/>
      <c r="CA23" s="478"/>
      <c r="CB23" s="478"/>
      <c r="CC23" s="478"/>
      <c r="CD23" s="478"/>
    </row>
    <row r="24" spans="2:82" s="376" customFormat="1" ht="12" customHeight="1" x14ac:dyDescent="0.15">
      <c r="B24" s="477"/>
      <c r="C24" s="477"/>
      <c r="D24" s="477"/>
      <c r="E24" s="477"/>
      <c r="F24" s="477"/>
      <c r="G24" s="477"/>
      <c r="H24" s="477"/>
      <c r="I24" s="477"/>
      <c r="J24" s="477"/>
      <c r="K24" s="477"/>
      <c r="L24" s="477"/>
      <c r="M24" s="477"/>
      <c r="N24" s="477"/>
      <c r="O24" s="477"/>
      <c r="P24" s="477"/>
      <c r="Q24" s="477"/>
      <c r="R24" s="479"/>
      <c r="S24" s="479"/>
      <c r="T24" s="479"/>
      <c r="U24" s="479"/>
      <c r="V24" s="479"/>
      <c r="W24" s="479"/>
      <c r="X24" s="479"/>
      <c r="Y24" s="479"/>
      <c r="Z24" s="479"/>
      <c r="AA24" s="479"/>
      <c r="AB24" s="479"/>
      <c r="AC24" s="479"/>
      <c r="AD24" s="479"/>
      <c r="AE24" s="479"/>
      <c r="AF24" s="479"/>
      <c r="AG24" s="479"/>
      <c r="AH24" s="479"/>
      <c r="AI24" s="479"/>
      <c r="AJ24" s="479"/>
      <c r="AK24" s="479"/>
      <c r="AL24" s="479"/>
      <c r="AM24" s="479"/>
      <c r="AN24" s="479"/>
      <c r="AO24" s="479"/>
      <c r="AP24" s="479"/>
      <c r="AQ24" s="479"/>
      <c r="AR24" s="479"/>
      <c r="AS24" s="479"/>
      <c r="AT24" s="479"/>
      <c r="AU24" s="479"/>
      <c r="AV24" s="479"/>
      <c r="AW24" s="479"/>
      <c r="AX24" s="479"/>
      <c r="AY24" s="479"/>
      <c r="AZ24" s="479"/>
      <c r="BA24" s="479"/>
      <c r="BB24" s="479"/>
      <c r="BC24" s="479"/>
      <c r="BD24" s="479"/>
      <c r="BE24" s="479"/>
      <c r="BF24" s="479"/>
      <c r="BG24" s="479"/>
      <c r="BH24" s="479"/>
      <c r="BI24" s="479"/>
      <c r="BJ24" s="479"/>
      <c r="BK24" s="479"/>
      <c r="BL24" s="479"/>
      <c r="BM24" s="479"/>
      <c r="BN24" s="479"/>
      <c r="BO24" s="479"/>
      <c r="BP24" s="479"/>
      <c r="BQ24" s="479"/>
      <c r="BR24" s="479"/>
      <c r="BS24" s="479"/>
      <c r="BT24" s="477"/>
      <c r="BU24" s="477"/>
      <c r="BV24" s="477"/>
      <c r="BW24" s="477"/>
      <c r="BX24" s="477"/>
      <c r="BY24" s="477"/>
      <c r="BZ24" s="477"/>
      <c r="CA24" s="477"/>
      <c r="CB24" s="477"/>
      <c r="CC24" s="477"/>
      <c r="CD24" s="477"/>
    </row>
    <row r="25" spans="2:82" s="376" customFormat="1" ht="12" customHeight="1" x14ac:dyDescent="0.15">
      <c r="B25" s="478"/>
      <c r="C25" s="478"/>
      <c r="D25" s="478"/>
      <c r="E25" s="478"/>
      <c r="F25" s="478"/>
      <c r="G25" s="478"/>
      <c r="H25" s="478"/>
      <c r="I25" s="478"/>
      <c r="J25" s="478"/>
      <c r="K25" s="478"/>
      <c r="L25" s="478"/>
      <c r="M25" s="478"/>
      <c r="N25" s="478"/>
      <c r="O25" s="478"/>
      <c r="P25" s="478"/>
      <c r="Q25" s="478"/>
      <c r="R25" s="480"/>
      <c r="S25" s="480"/>
      <c r="T25" s="480"/>
      <c r="U25" s="480"/>
      <c r="V25" s="480"/>
      <c r="W25" s="480"/>
      <c r="X25" s="480"/>
      <c r="Y25" s="480"/>
      <c r="Z25" s="480"/>
      <c r="AA25" s="480"/>
      <c r="AB25" s="480"/>
      <c r="AC25" s="480"/>
      <c r="AD25" s="480"/>
      <c r="AE25" s="480"/>
      <c r="AF25" s="480"/>
      <c r="AG25" s="480"/>
      <c r="AH25" s="480"/>
      <c r="AI25" s="480"/>
      <c r="AJ25" s="480"/>
      <c r="AK25" s="480"/>
      <c r="AL25" s="480"/>
      <c r="AM25" s="480"/>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0"/>
      <c r="BK25" s="480"/>
      <c r="BL25" s="480"/>
      <c r="BM25" s="480"/>
      <c r="BN25" s="480"/>
      <c r="BO25" s="480"/>
      <c r="BP25" s="480"/>
      <c r="BQ25" s="480"/>
      <c r="BR25" s="480"/>
      <c r="BS25" s="480"/>
      <c r="BT25" s="478"/>
      <c r="BU25" s="478"/>
      <c r="BV25" s="478"/>
      <c r="BW25" s="478"/>
      <c r="BX25" s="478"/>
      <c r="BY25" s="478"/>
      <c r="BZ25" s="478"/>
      <c r="CA25" s="478"/>
      <c r="CB25" s="478"/>
      <c r="CC25" s="478"/>
      <c r="CD25" s="478"/>
    </row>
    <row r="26" spans="2:82" s="376" customFormat="1" ht="12" customHeight="1" x14ac:dyDescent="0.15">
      <c r="B26" s="477"/>
      <c r="C26" s="477"/>
      <c r="D26" s="477"/>
      <c r="E26" s="477"/>
      <c r="F26" s="477"/>
      <c r="G26" s="477"/>
      <c r="H26" s="477"/>
      <c r="I26" s="477"/>
      <c r="J26" s="477"/>
      <c r="K26" s="477"/>
      <c r="L26" s="477"/>
      <c r="M26" s="477"/>
      <c r="N26" s="477"/>
      <c r="O26" s="477"/>
      <c r="P26" s="477"/>
      <c r="Q26" s="477"/>
      <c r="R26" s="479"/>
      <c r="S26" s="479"/>
      <c r="T26" s="479"/>
      <c r="U26" s="479"/>
      <c r="V26" s="479"/>
      <c r="W26" s="479"/>
      <c r="X26" s="479"/>
      <c r="Y26" s="479"/>
      <c r="Z26" s="479"/>
      <c r="AA26" s="479"/>
      <c r="AB26" s="479"/>
      <c r="AC26" s="479"/>
      <c r="AD26" s="479"/>
      <c r="AE26" s="479"/>
      <c r="AF26" s="479"/>
      <c r="AG26" s="479"/>
      <c r="AH26" s="479"/>
      <c r="AI26" s="479"/>
      <c r="AJ26" s="479"/>
      <c r="AK26" s="479"/>
      <c r="AL26" s="479"/>
      <c r="AM26" s="479"/>
      <c r="AN26" s="479"/>
      <c r="AO26" s="479"/>
      <c r="AP26" s="479"/>
      <c r="AQ26" s="479"/>
      <c r="AR26" s="479"/>
      <c r="AS26" s="479"/>
      <c r="AT26" s="479"/>
      <c r="AU26" s="479"/>
      <c r="AV26" s="479"/>
      <c r="AW26" s="479"/>
      <c r="AX26" s="479"/>
      <c r="AY26" s="479"/>
      <c r="AZ26" s="479"/>
      <c r="BA26" s="479"/>
      <c r="BB26" s="479"/>
      <c r="BC26" s="479"/>
      <c r="BD26" s="479"/>
      <c r="BE26" s="479"/>
      <c r="BF26" s="479"/>
      <c r="BG26" s="479"/>
      <c r="BH26" s="479"/>
      <c r="BI26" s="479"/>
      <c r="BJ26" s="479"/>
      <c r="BK26" s="479"/>
      <c r="BL26" s="479"/>
      <c r="BM26" s="479"/>
      <c r="BN26" s="479"/>
      <c r="BO26" s="479"/>
      <c r="BP26" s="479"/>
      <c r="BQ26" s="479"/>
      <c r="BR26" s="479"/>
      <c r="BS26" s="479"/>
      <c r="BT26" s="477"/>
      <c r="BU26" s="477"/>
      <c r="BV26" s="477"/>
      <c r="BW26" s="477"/>
      <c r="BX26" s="477"/>
      <c r="BY26" s="477"/>
      <c r="BZ26" s="477"/>
      <c r="CA26" s="477"/>
      <c r="CB26" s="477"/>
      <c r="CC26" s="477"/>
      <c r="CD26" s="477"/>
    </row>
    <row r="27" spans="2:82" s="376" customFormat="1" ht="12" customHeight="1" x14ac:dyDescent="0.15">
      <c r="B27" s="478"/>
      <c r="C27" s="478"/>
      <c r="D27" s="478"/>
      <c r="E27" s="478"/>
      <c r="F27" s="478"/>
      <c r="G27" s="478"/>
      <c r="H27" s="478"/>
      <c r="I27" s="478"/>
      <c r="J27" s="478"/>
      <c r="K27" s="478"/>
      <c r="L27" s="478"/>
      <c r="M27" s="478"/>
      <c r="N27" s="478"/>
      <c r="O27" s="478"/>
      <c r="P27" s="478"/>
      <c r="Q27" s="478"/>
      <c r="R27" s="480"/>
      <c r="S27" s="480"/>
      <c r="T27" s="480"/>
      <c r="U27" s="480"/>
      <c r="V27" s="480"/>
      <c r="W27" s="480"/>
      <c r="X27" s="480"/>
      <c r="Y27" s="480"/>
      <c r="Z27" s="480"/>
      <c r="AA27" s="480"/>
      <c r="AB27" s="480"/>
      <c r="AC27" s="480"/>
      <c r="AD27" s="480"/>
      <c r="AE27" s="480"/>
      <c r="AF27" s="480"/>
      <c r="AG27" s="480"/>
      <c r="AH27" s="480"/>
      <c r="AI27" s="480"/>
      <c r="AJ27" s="480"/>
      <c r="AK27" s="480"/>
      <c r="AL27" s="480"/>
      <c r="AM27" s="48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0"/>
      <c r="BK27" s="480"/>
      <c r="BL27" s="480"/>
      <c r="BM27" s="480"/>
      <c r="BN27" s="480"/>
      <c r="BO27" s="480"/>
      <c r="BP27" s="480"/>
      <c r="BQ27" s="480"/>
      <c r="BR27" s="480"/>
      <c r="BS27" s="480"/>
      <c r="BT27" s="478"/>
      <c r="BU27" s="478"/>
      <c r="BV27" s="478"/>
      <c r="BW27" s="478"/>
      <c r="BX27" s="478"/>
      <c r="BY27" s="478"/>
      <c r="BZ27" s="478"/>
      <c r="CA27" s="478"/>
      <c r="CB27" s="478"/>
      <c r="CC27" s="478"/>
      <c r="CD27" s="478"/>
    </row>
    <row r="28" spans="2:82" s="376" customFormat="1" ht="12" customHeight="1" x14ac:dyDescent="0.15">
      <c r="B28" s="477"/>
      <c r="C28" s="477"/>
      <c r="D28" s="477"/>
      <c r="E28" s="477"/>
      <c r="F28" s="477"/>
      <c r="G28" s="477"/>
      <c r="H28" s="477"/>
      <c r="I28" s="477"/>
      <c r="J28" s="477"/>
      <c r="K28" s="477"/>
      <c r="L28" s="477"/>
      <c r="M28" s="477"/>
      <c r="N28" s="477"/>
      <c r="O28" s="477"/>
      <c r="P28" s="477"/>
      <c r="Q28" s="477"/>
      <c r="R28" s="479"/>
      <c r="S28" s="479"/>
      <c r="T28" s="479"/>
      <c r="U28" s="479"/>
      <c r="V28" s="479"/>
      <c r="W28" s="479"/>
      <c r="X28" s="479"/>
      <c r="Y28" s="479"/>
      <c r="Z28" s="479"/>
      <c r="AA28" s="479"/>
      <c r="AB28" s="479"/>
      <c r="AC28" s="479"/>
      <c r="AD28" s="479"/>
      <c r="AE28" s="479"/>
      <c r="AF28" s="479"/>
      <c r="AG28" s="479"/>
      <c r="AH28" s="479"/>
      <c r="AI28" s="479"/>
      <c r="AJ28" s="479"/>
      <c r="AK28" s="479"/>
      <c r="AL28" s="479"/>
      <c r="AM28" s="479"/>
      <c r="AN28" s="479"/>
      <c r="AO28" s="479"/>
      <c r="AP28" s="479"/>
      <c r="AQ28" s="479"/>
      <c r="AR28" s="479"/>
      <c r="AS28" s="479"/>
      <c r="AT28" s="479"/>
      <c r="AU28" s="479"/>
      <c r="AV28" s="479"/>
      <c r="AW28" s="479"/>
      <c r="AX28" s="479"/>
      <c r="AY28" s="479"/>
      <c r="AZ28" s="479"/>
      <c r="BA28" s="479"/>
      <c r="BB28" s="479"/>
      <c r="BC28" s="479"/>
      <c r="BD28" s="479"/>
      <c r="BE28" s="479"/>
      <c r="BF28" s="479"/>
      <c r="BG28" s="479"/>
      <c r="BH28" s="479"/>
      <c r="BI28" s="479"/>
      <c r="BJ28" s="479"/>
      <c r="BK28" s="479"/>
      <c r="BL28" s="479"/>
      <c r="BM28" s="479"/>
      <c r="BN28" s="479"/>
      <c r="BO28" s="479"/>
      <c r="BP28" s="479"/>
      <c r="BQ28" s="479"/>
      <c r="BR28" s="479"/>
      <c r="BS28" s="479"/>
      <c r="BT28" s="477"/>
      <c r="BU28" s="477"/>
      <c r="BV28" s="477"/>
      <c r="BW28" s="477"/>
      <c r="BX28" s="477"/>
      <c r="BY28" s="477"/>
      <c r="BZ28" s="477"/>
      <c r="CA28" s="477"/>
      <c r="CB28" s="477"/>
      <c r="CC28" s="477"/>
      <c r="CD28" s="477"/>
    </row>
    <row r="29" spans="2:82" s="376" customFormat="1" ht="12" customHeight="1" x14ac:dyDescent="0.15">
      <c r="B29" s="478"/>
      <c r="C29" s="478"/>
      <c r="D29" s="478"/>
      <c r="E29" s="478"/>
      <c r="F29" s="478"/>
      <c r="G29" s="478"/>
      <c r="H29" s="478"/>
      <c r="I29" s="478"/>
      <c r="J29" s="478"/>
      <c r="K29" s="478"/>
      <c r="L29" s="478"/>
      <c r="M29" s="478"/>
      <c r="N29" s="478"/>
      <c r="O29" s="478"/>
      <c r="P29" s="478"/>
      <c r="Q29" s="478"/>
      <c r="R29" s="480"/>
      <c r="S29" s="480"/>
      <c r="T29" s="480"/>
      <c r="U29" s="480"/>
      <c r="V29" s="480"/>
      <c r="W29" s="480"/>
      <c r="X29" s="480"/>
      <c r="Y29" s="480"/>
      <c r="Z29" s="480"/>
      <c r="AA29" s="480"/>
      <c r="AB29" s="480"/>
      <c r="AC29" s="480"/>
      <c r="AD29" s="480"/>
      <c r="AE29" s="480"/>
      <c r="AF29" s="480"/>
      <c r="AG29" s="480"/>
      <c r="AH29" s="480"/>
      <c r="AI29" s="480"/>
      <c r="AJ29" s="480"/>
      <c r="AK29" s="480"/>
      <c r="AL29" s="480"/>
      <c r="AM29" s="480"/>
      <c r="AN29" s="480"/>
      <c r="AO29" s="480"/>
      <c r="AP29" s="480"/>
      <c r="AQ29" s="480"/>
      <c r="AR29" s="480"/>
      <c r="AS29" s="480"/>
      <c r="AT29" s="480"/>
      <c r="AU29" s="480"/>
      <c r="AV29" s="480"/>
      <c r="AW29" s="480"/>
      <c r="AX29" s="480"/>
      <c r="AY29" s="480"/>
      <c r="AZ29" s="480"/>
      <c r="BA29" s="480"/>
      <c r="BB29" s="480"/>
      <c r="BC29" s="480"/>
      <c r="BD29" s="480"/>
      <c r="BE29" s="480"/>
      <c r="BF29" s="480"/>
      <c r="BG29" s="480"/>
      <c r="BH29" s="480"/>
      <c r="BI29" s="480"/>
      <c r="BJ29" s="480"/>
      <c r="BK29" s="480"/>
      <c r="BL29" s="480"/>
      <c r="BM29" s="480"/>
      <c r="BN29" s="480"/>
      <c r="BO29" s="480"/>
      <c r="BP29" s="480"/>
      <c r="BQ29" s="480"/>
      <c r="BR29" s="480"/>
      <c r="BS29" s="480"/>
      <c r="BT29" s="478"/>
      <c r="BU29" s="478"/>
      <c r="BV29" s="478"/>
      <c r="BW29" s="478"/>
      <c r="BX29" s="478"/>
      <c r="BY29" s="478"/>
      <c r="BZ29" s="478"/>
      <c r="CA29" s="478"/>
      <c r="CB29" s="478"/>
      <c r="CC29" s="478"/>
      <c r="CD29" s="478"/>
    </row>
    <row r="30" spans="2:82" s="376" customFormat="1" ht="12" customHeight="1" x14ac:dyDescent="0.15">
      <c r="B30" s="477"/>
      <c r="C30" s="477"/>
      <c r="D30" s="477"/>
      <c r="E30" s="477"/>
      <c r="F30" s="477"/>
      <c r="G30" s="477"/>
      <c r="H30" s="477"/>
      <c r="I30" s="477"/>
      <c r="J30" s="477"/>
      <c r="K30" s="477"/>
      <c r="L30" s="477"/>
      <c r="M30" s="477"/>
      <c r="N30" s="477"/>
      <c r="O30" s="477"/>
      <c r="P30" s="477"/>
      <c r="Q30" s="477"/>
      <c r="R30" s="479"/>
      <c r="S30" s="479"/>
      <c r="T30" s="479"/>
      <c r="U30" s="479"/>
      <c r="V30" s="479"/>
      <c r="W30" s="479"/>
      <c r="X30" s="479"/>
      <c r="Y30" s="479"/>
      <c r="Z30" s="479"/>
      <c r="AA30" s="479"/>
      <c r="AB30" s="479"/>
      <c r="AC30" s="479"/>
      <c r="AD30" s="479"/>
      <c r="AE30" s="479"/>
      <c r="AF30" s="479"/>
      <c r="AG30" s="479"/>
      <c r="AH30" s="479"/>
      <c r="AI30" s="479"/>
      <c r="AJ30" s="479"/>
      <c r="AK30" s="479"/>
      <c r="AL30" s="479"/>
      <c r="AM30" s="479"/>
      <c r="AN30" s="479"/>
      <c r="AO30" s="479"/>
      <c r="AP30" s="479"/>
      <c r="AQ30" s="479"/>
      <c r="AR30" s="479"/>
      <c r="AS30" s="479"/>
      <c r="AT30" s="479"/>
      <c r="AU30" s="479"/>
      <c r="AV30" s="479"/>
      <c r="AW30" s="479"/>
      <c r="AX30" s="479"/>
      <c r="AY30" s="479"/>
      <c r="AZ30" s="479"/>
      <c r="BA30" s="479"/>
      <c r="BB30" s="479"/>
      <c r="BC30" s="479"/>
      <c r="BD30" s="479"/>
      <c r="BE30" s="479"/>
      <c r="BF30" s="479"/>
      <c r="BG30" s="479"/>
      <c r="BH30" s="479"/>
      <c r="BI30" s="479"/>
      <c r="BJ30" s="479"/>
      <c r="BK30" s="479"/>
      <c r="BL30" s="479"/>
      <c r="BM30" s="479"/>
      <c r="BN30" s="479"/>
      <c r="BO30" s="479"/>
      <c r="BP30" s="479"/>
      <c r="BQ30" s="479"/>
      <c r="BR30" s="479"/>
      <c r="BS30" s="479"/>
      <c r="BT30" s="477"/>
      <c r="BU30" s="477"/>
      <c r="BV30" s="477"/>
      <c r="BW30" s="477"/>
      <c r="BX30" s="477"/>
      <c r="BY30" s="477"/>
      <c r="BZ30" s="477"/>
      <c r="CA30" s="477"/>
      <c r="CB30" s="477"/>
      <c r="CC30" s="477"/>
      <c r="CD30" s="477"/>
    </row>
    <row r="31" spans="2:82" s="376" customFormat="1" ht="12" customHeight="1" x14ac:dyDescent="0.15">
      <c r="B31" s="478"/>
      <c r="C31" s="478"/>
      <c r="D31" s="478"/>
      <c r="E31" s="478"/>
      <c r="F31" s="478"/>
      <c r="G31" s="478"/>
      <c r="H31" s="478"/>
      <c r="I31" s="478"/>
      <c r="J31" s="478"/>
      <c r="K31" s="478"/>
      <c r="L31" s="478"/>
      <c r="M31" s="478"/>
      <c r="N31" s="478"/>
      <c r="O31" s="478"/>
      <c r="P31" s="478"/>
      <c r="Q31" s="478"/>
      <c r="R31" s="480"/>
      <c r="S31" s="480"/>
      <c r="T31" s="480"/>
      <c r="U31" s="480"/>
      <c r="V31" s="480"/>
      <c r="W31" s="480"/>
      <c r="X31" s="480"/>
      <c r="Y31" s="480"/>
      <c r="Z31" s="480"/>
      <c r="AA31" s="480"/>
      <c r="AB31" s="480"/>
      <c r="AC31" s="480"/>
      <c r="AD31" s="480"/>
      <c r="AE31" s="480"/>
      <c r="AF31" s="480"/>
      <c r="AG31" s="480"/>
      <c r="AH31" s="480"/>
      <c r="AI31" s="480"/>
      <c r="AJ31" s="480"/>
      <c r="AK31" s="480"/>
      <c r="AL31" s="480"/>
      <c r="AM31" s="48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0"/>
      <c r="BK31" s="480"/>
      <c r="BL31" s="480"/>
      <c r="BM31" s="480"/>
      <c r="BN31" s="480"/>
      <c r="BO31" s="480"/>
      <c r="BP31" s="480"/>
      <c r="BQ31" s="480"/>
      <c r="BR31" s="480"/>
      <c r="BS31" s="480"/>
      <c r="BT31" s="478"/>
      <c r="BU31" s="478"/>
      <c r="BV31" s="478"/>
      <c r="BW31" s="478"/>
      <c r="BX31" s="478"/>
      <c r="BY31" s="478"/>
      <c r="BZ31" s="478"/>
      <c r="CA31" s="478"/>
      <c r="CB31" s="478"/>
      <c r="CC31" s="478"/>
      <c r="CD31" s="478"/>
    </row>
    <row r="32" spans="2:82" s="376" customFormat="1" ht="12" customHeight="1" x14ac:dyDescent="0.15">
      <c r="B32" s="477"/>
      <c r="C32" s="477"/>
      <c r="D32" s="477"/>
      <c r="E32" s="477"/>
      <c r="F32" s="477"/>
      <c r="G32" s="477"/>
      <c r="H32" s="477"/>
      <c r="I32" s="477"/>
      <c r="J32" s="477"/>
      <c r="K32" s="477"/>
      <c r="L32" s="477"/>
      <c r="M32" s="477"/>
      <c r="N32" s="477"/>
      <c r="O32" s="477"/>
      <c r="P32" s="477"/>
      <c r="Q32" s="477"/>
      <c r="R32" s="479"/>
      <c r="S32" s="479"/>
      <c r="T32" s="479"/>
      <c r="U32" s="479"/>
      <c r="V32" s="479"/>
      <c r="W32" s="479"/>
      <c r="X32" s="479"/>
      <c r="Y32" s="479"/>
      <c r="Z32" s="479"/>
      <c r="AA32" s="479"/>
      <c r="AB32" s="479"/>
      <c r="AC32" s="479"/>
      <c r="AD32" s="479"/>
      <c r="AE32" s="479"/>
      <c r="AF32" s="479"/>
      <c r="AG32" s="479"/>
      <c r="AH32" s="479"/>
      <c r="AI32" s="479"/>
      <c r="AJ32" s="479"/>
      <c r="AK32" s="479"/>
      <c r="AL32" s="479"/>
      <c r="AM32" s="479"/>
      <c r="AN32" s="479"/>
      <c r="AO32" s="479"/>
      <c r="AP32" s="479"/>
      <c r="AQ32" s="479"/>
      <c r="AR32" s="479"/>
      <c r="AS32" s="479"/>
      <c r="AT32" s="479"/>
      <c r="AU32" s="479"/>
      <c r="AV32" s="479"/>
      <c r="AW32" s="479"/>
      <c r="AX32" s="479"/>
      <c r="AY32" s="479"/>
      <c r="AZ32" s="479"/>
      <c r="BA32" s="479"/>
      <c r="BB32" s="479"/>
      <c r="BC32" s="479"/>
      <c r="BD32" s="479"/>
      <c r="BE32" s="479"/>
      <c r="BF32" s="479"/>
      <c r="BG32" s="479"/>
      <c r="BH32" s="479"/>
      <c r="BI32" s="479"/>
      <c r="BJ32" s="479"/>
      <c r="BK32" s="479"/>
      <c r="BL32" s="479"/>
      <c r="BM32" s="479"/>
      <c r="BN32" s="479"/>
      <c r="BO32" s="479"/>
      <c r="BP32" s="479"/>
      <c r="BQ32" s="479"/>
      <c r="BR32" s="479"/>
      <c r="BS32" s="479"/>
      <c r="BT32" s="477"/>
      <c r="BU32" s="477"/>
      <c r="BV32" s="477"/>
      <c r="BW32" s="477"/>
      <c r="BX32" s="477"/>
      <c r="BY32" s="477"/>
      <c r="BZ32" s="477"/>
      <c r="CA32" s="477"/>
      <c r="CB32" s="477"/>
      <c r="CC32" s="477"/>
      <c r="CD32" s="477"/>
    </row>
    <row r="33" spans="2:82" s="376" customFormat="1" ht="12" customHeight="1" x14ac:dyDescent="0.15">
      <c r="B33" s="478"/>
      <c r="C33" s="478"/>
      <c r="D33" s="478"/>
      <c r="E33" s="478"/>
      <c r="F33" s="478"/>
      <c r="G33" s="478"/>
      <c r="H33" s="478"/>
      <c r="I33" s="478"/>
      <c r="J33" s="478"/>
      <c r="K33" s="478"/>
      <c r="L33" s="478"/>
      <c r="M33" s="478"/>
      <c r="N33" s="478"/>
      <c r="O33" s="478"/>
      <c r="P33" s="478"/>
      <c r="Q33" s="478"/>
      <c r="R33" s="480"/>
      <c r="S33" s="480"/>
      <c r="T33" s="480"/>
      <c r="U33" s="480"/>
      <c r="V33" s="480"/>
      <c r="W33" s="480"/>
      <c r="X33" s="480"/>
      <c r="Y33" s="480"/>
      <c r="Z33" s="480"/>
      <c r="AA33" s="480"/>
      <c r="AB33" s="480"/>
      <c r="AC33" s="480"/>
      <c r="AD33" s="480"/>
      <c r="AE33" s="480"/>
      <c r="AF33" s="480"/>
      <c r="AG33" s="480"/>
      <c r="AH33" s="480"/>
      <c r="AI33" s="480"/>
      <c r="AJ33" s="480"/>
      <c r="AK33" s="480"/>
      <c r="AL33" s="480"/>
      <c r="AM33" s="480"/>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0"/>
      <c r="BK33" s="480"/>
      <c r="BL33" s="480"/>
      <c r="BM33" s="480"/>
      <c r="BN33" s="480"/>
      <c r="BO33" s="480"/>
      <c r="BP33" s="480"/>
      <c r="BQ33" s="480"/>
      <c r="BR33" s="480"/>
      <c r="BS33" s="480"/>
      <c r="BT33" s="478"/>
      <c r="BU33" s="478"/>
      <c r="BV33" s="478"/>
      <c r="BW33" s="478"/>
      <c r="BX33" s="478"/>
      <c r="BY33" s="478"/>
      <c r="BZ33" s="478"/>
      <c r="CA33" s="478"/>
      <c r="CB33" s="478"/>
      <c r="CC33" s="478"/>
      <c r="CD33" s="478"/>
    </row>
    <row r="34" spans="2:82" s="376" customFormat="1" ht="12" customHeight="1" x14ac:dyDescent="0.15">
      <c r="B34" s="477"/>
      <c r="C34" s="477"/>
      <c r="D34" s="477"/>
      <c r="E34" s="477"/>
      <c r="F34" s="477"/>
      <c r="G34" s="477"/>
      <c r="H34" s="477"/>
      <c r="I34" s="477"/>
      <c r="J34" s="477"/>
      <c r="K34" s="477"/>
      <c r="L34" s="477"/>
      <c r="M34" s="477"/>
      <c r="N34" s="477"/>
      <c r="O34" s="477"/>
      <c r="P34" s="477"/>
      <c r="Q34" s="477"/>
      <c r="R34" s="479"/>
      <c r="S34" s="479"/>
      <c r="T34" s="479"/>
      <c r="U34" s="479"/>
      <c r="V34" s="479"/>
      <c r="W34" s="479"/>
      <c r="X34" s="479"/>
      <c r="Y34" s="479"/>
      <c r="Z34" s="479"/>
      <c r="AA34" s="479"/>
      <c r="AB34" s="479"/>
      <c r="AC34" s="479"/>
      <c r="AD34" s="479"/>
      <c r="AE34" s="479"/>
      <c r="AF34" s="479"/>
      <c r="AG34" s="479"/>
      <c r="AH34" s="479"/>
      <c r="AI34" s="479"/>
      <c r="AJ34" s="479"/>
      <c r="AK34" s="479"/>
      <c r="AL34" s="479"/>
      <c r="AM34" s="479"/>
      <c r="AN34" s="479"/>
      <c r="AO34" s="479"/>
      <c r="AP34" s="479"/>
      <c r="AQ34" s="479"/>
      <c r="AR34" s="479"/>
      <c r="AS34" s="479"/>
      <c r="AT34" s="479"/>
      <c r="AU34" s="479"/>
      <c r="AV34" s="479"/>
      <c r="AW34" s="479"/>
      <c r="AX34" s="479"/>
      <c r="AY34" s="479"/>
      <c r="AZ34" s="479"/>
      <c r="BA34" s="479"/>
      <c r="BB34" s="479"/>
      <c r="BC34" s="479"/>
      <c r="BD34" s="479"/>
      <c r="BE34" s="479"/>
      <c r="BF34" s="479"/>
      <c r="BG34" s="479"/>
      <c r="BH34" s="479"/>
      <c r="BI34" s="479"/>
      <c r="BJ34" s="479"/>
      <c r="BK34" s="479"/>
      <c r="BL34" s="479"/>
      <c r="BM34" s="479"/>
      <c r="BN34" s="479"/>
      <c r="BO34" s="479"/>
      <c r="BP34" s="479"/>
      <c r="BQ34" s="479"/>
      <c r="BR34" s="479"/>
      <c r="BS34" s="479"/>
      <c r="BT34" s="477"/>
      <c r="BU34" s="477"/>
      <c r="BV34" s="477"/>
      <c r="BW34" s="477"/>
      <c r="BX34" s="477"/>
      <c r="BY34" s="477"/>
      <c r="BZ34" s="477"/>
      <c r="CA34" s="477"/>
      <c r="CB34" s="477"/>
      <c r="CC34" s="477"/>
      <c r="CD34" s="477"/>
    </row>
    <row r="35" spans="2:82" s="376" customFormat="1" ht="12" customHeight="1" x14ac:dyDescent="0.15">
      <c r="B35" s="478"/>
      <c r="C35" s="478"/>
      <c r="D35" s="478"/>
      <c r="E35" s="478"/>
      <c r="F35" s="478"/>
      <c r="G35" s="478"/>
      <c r="H35" s="478"/>
      <c r="I35" s="478"/>
      <c r="J35" s="478"/>
      <c r="K35" s="478"/>
      <c r="L35" s="478"/>
      <c r="M35" s="478"/>
      <c r="N35" s="478"/>
      <c r="O35" s="478"/>
      <c r="P35" s="478"/>
      <c r="Q35" s="478"/>
      <c r="R35" s="480"/>
      <c r="S35" s="480"/>
      <c r="T35" s="480"/>
      <c r="U35" s="480"/>
      <c r="V35" s="480"/>
      <c r="W35" s="480"/>
      <c r="X35" s="480"/>
      <c r="Y35" s="480"/>
      <c r="Z35" s="480"/>
      <c r="AA35" s="480"/>
      <c r="AB35" s="480"/>
      <c r="AC35" s="480"/>
      <c r="AD35" s="480"/>
      <c r="AE35" s="480"/>
      <c r="AF35" s="480"/>
      <c r="AG35" s="480"/>
      <c r="AH35" s="480"/>
      <c r="AI35" s="480"/>
      <c r="AJ35" s="480"/>
      <c r="AK35" s="480"/>
      <c r="AL35" s="480"/>
      <c r="AM35" s="480"/>
      <c r="AN35" s="480"/>
      <c r="AO35" s="480"/>
      <c r="AP35" s="480"/>
      <c r="AQ35" s="480"/>
      <c r="AR35" s="480"/>
      <c r="AS35" s="480"/>
      <c r="AT35" s="480"/>
      <c r="AU35" s="480"/>
      <c r="AV35" s="480"/>
      <c r="AW35" s="480"/>
      <c r="AX35" s="480"/>
      <c r="AY35" s="480"/>
      <c r="AZ35" s="480"/>
      <c r="BA35" s="480"/>
      <c r="BB35" s="480"/>
      <c r="BC35" s="480"/>
      <c r="BD35" s="480"/>
      <c r="BE35" s="480"/>
      <c r="BF35" s="480"/>
      <c r="BG35" s="480"/>
      <c r="BH35" s="480"/>
      <c r="BI35" s="480"/>
      <c r="BJ35" s="480"/>
      <c r="BK35" s="480"/>
      <c r="BL35" s="480"/>
      <c r="BM35" s="480"/>
      <c r="BN35" s="480"/>
      <c r="BO35" s="480"/>
      <c r="BP35" s="480"/>
      <c r="BQ35" s="480"/>
      <c r="BR35" s="480"/>
      <c r="BS35" s="480"/>
      <c r="BT35" s="478"/>
      <c r="BU35" s="478"/>
      <c r="BV35" s="478"/>
      <c r="BW35" s="478"/>
      <c r="BX35" s="478"/>
      <c r="BY35" s="478"/>
      <c r="BZ35" s="478"/>
      <c r="CA35" s="478"/>
      <c r="CB35" s="478"/>
      <c r="CC35" s="478"/>
      <c r="CD35" s="478"/>
    </row>
    <row r="36" spans="2:82" s="20" customFormat="1" ht="12" customHeight="1" x14ac:dyDescent="0.15">
      <c r="B36" s="477"/>
      <c r="C36" s="477"/>
      <c r="D36" s="477"/>
      <c r="E36" s="477"/>
      <c r="F36" s="477"/>
      <c r="G36" s="477"/>
      <c r="H36" s="477"/>
      <c r="I36" s="477"/>
      <c r="J36" s="477"/>
      <c r="K36" s="477"/>
      <c r="L36" s="477"/>
      <c r="M36" s="477"/>
      <c r="N36" s="477"/>
      <c r="O36" s="477"/>
      <c r="P36" s="477"/>
      <c r="Q36" s="477"/>
      <c r="R36" s="479"/>
      <c r="S36" s="479"/>
      <c r="T36" s="479"/>
      <c r="U36" s="479"/>
      <c r="V36" s="479"/>
      <c r="W36" s="479"/>
      <c r="X36" s="479"/>
      <c r="Y36" s="479"/>
      <c r="Z36" s="479"/>
      <c r="AA36" s="479"/>
      <c r="AB36" s="479"/>
      <c r="AC36" s="479"/>
      <c r="AD36" s="479"/>
      <c r="AE36" s="479"/>
      <c r="AF36" s="479"/>
      <c r="AG36" s="479"/>
      <c r="AH36" s="479"/>
      <c r="AI36" s="479"/>
      <c r="AJ36" s="479"/>
      <c r="AK36" s="479"/>
      <c r="AL36" s="479"/>
      <c r="AM36" s="479"/>
      <c r="AN36" s="479"/>
      <c r="AO36" s="479"/>
      <c r="AP36" s="479"/>
      <c r="AQ36" s="479"/>
      <c r="AR36" s="479"/>
      <c r="AS36" s="479"/>
      <c r="AT36" s="479"/>
      <c r="AU36" s="479"/>
      <c r="AV36" s="479"/>
      <c r="AW36" s="479"/>
      <c r="AX36" s="479"/>
      <c r="AY36" s="479"/>
      <c r="AZ36" s="479"/>
      <c r="BA36" s="479"/>
      <c r="BB36" s="479"/>
      <c r="BC36" s="479"/>
      <c r="BD36" s="479"/>
      <c r="BE36" s="479"/>
      <c r="BF36" s="479"/>
      <c r="BG36" s="479"/>
      <c r="BH36" s="479"/>
      <c r="BI36" s="479"/>
      <c r="BJ36" s="479"/>
      <c r="BK36" s="479"/>
      <c r="BL36" s="479"/>
      <c r="BM36" s="479"/>
      <c r="BN36" s="479"/>
      <c r="BO36" s="479"/>
      <c r="BP36" s="479"/>
      <c r="BQ36" s="479"/>
      <c r="BR36" s="479"/>
      <c r="BS36" s="479"/>
      <c r="BT36" s="477"/>
      <c r="BU36" s="477"/>
      <c r="BV36" s="477"/>
      <c r="BW36" s="477"/>
      <c r="BX36" s="477"/>
      <c r="BY36" s="477"/>
      <c r="BZ36" s="477"/>
      <c r="CA36" s="477"/>
      <c r="CB36" s="477"/>
      <c r="CC36" s="477"/>
      <c r="CD36" s="477"/>
    </row>
    <row r="37" spans="2:82" s="20" customFormat="1" ht="12" customHeight="1" x14ac:dyDescent="0.15">
      <c r="B37" s="478"/>
      <c r="C37" s="478"/>
      <c r="D37" s="478"/>
      <c r="E37" s="478"/>
      <c r="F37" s="478"/>
      <c r="G37" s="478"/>
      <c r="H37" s="478"/>
      <c r="I37" s="478"/>
      <c r="J37" s="478"/>
      <c r="K37" s="478"/>
      <c r="L37" s="478"/>
      <c r="M37" s="478"/>
      <c r="N37" s="478"/>
      <c r="O37" s="478"/>
      <c r="P37" s="478"/>
      <c r="Q37" s="478"/>
      <c r="R37" s="480"/>
      <c r="S37" s="480"/>
      <c r="T37" s="480"/>
      <c r="U37" s="480"/>
      <c r="V37" s="480"/>
      <c r="W37" s="480"/>
      <c r="X37" s="480"/>
      <c r="Y37" s="480"/>
      <c r="Z37" s="480"/>
      <c r="AA37" s="480"/>
      <c r="AB37" s="480"/>
      <c r="AC37" s="480"/>
      <c r="AD37" s="480"/>
      <c r="AE37" s="480"/>
      <c r="AF37" s="480"/>
      <c r="AG37" s="480"/>
      <c r="AH37" s="480"/>
      <c r="AI37" s="480"/>
      <c r="AJ37" s="480"/>
      <c r="AK37" s="480"/>
      <c r="AL37" s="480"/>
      <c r="AM37" s="480"/>
      <c r="AN37" s="480"/>
      <c r="AO37" s="480"/>
      <c r="AP37" s="480"/>
      <c r="AQ37" s="480"/>
      <c r="AR37" s="480"/>
      <c r="AS37" s="480"/>
      <c r="AT37" s="480"/>
      <c r="AU37" s="480"/>
      <c r="AV37" s="480"/>
      <c r="AW37" s="480"/>
      <c r="AX37" s="480"/>
      <c r="AY37" s="480"/>
      <c r="AZ37" s="480"/>
      <c r="BA37" s="480"/>
      <c r="BB37" s="480"/>
      <c r="BC37" s="480"/>
      <c r="BD37" s="480"/>
      <c r="BE37" s="480"/>
      <c r="BF37" s="480"/>
      <c r="BG37" s="480"/>
      <c r="BH37" s="480"/>
      <c r="BI37" s="480"/>
      <c r="BJ37" s="480"/>
      <c r="BK37" s="480"/>
      <c r="BL37" s="480"/>
      <c r="BM37" s="480"/>
      <c r="BN37" s="480"/>
      <c r="BO37" s="480"/>
      <c r="BP37" s="480"/>
      <c r="BQ37" s="480"/>
      <c r="BR37" s="480"/>
      <c r="BS37" s="480"/>
      <c r="BT37" s="478"/>
      <c r="BU37" s="478"/>
      <c r="BV37" s="478"/>
      <c r="BW37" s="478"/>
      <c r="BX37" s="478"/>
      <c r="BY37" s="478"/>
      <c r="BZ37" s="478"/>
      <c r="CA37" s="478"/>
      <c r="CB37" s="478"/>
      <c r="CC37" s="478"/>
      <c r="CD37" s="478"/>
    </row>
    <row r="38" spans="2:82" s="20" customFormat="1" ht="12" customHeight="1" x14ac:dyDescent="0.15">
      <c r="B38" s="477"/>
      <c r="C38" s="477"/>
      <c r="D38" s="477"/>
      <c r="E38" s="477"/>
      <c r="F38" s="477"/>
      <c r="G38" s="477"/>
      <c r="H38" s="477"/>
      <c r="I38" s="477"/>
      <c r="J38" s="477"/>
      <c r="K38" s="477"/>
      <c r="L38" s="477"/>
      <c r="M38" s="477"/>
      <c r="N38" s="477"/>
      <c r="O38" s="477"/>
      <c r="P38" s="477"/>
      <c r="Q38" s="477"/>
      <c r="R38" s="479"/>
      <c r="S38" s="479"/>
      <c r="T38" s="479"/>
      <c r="U38" s="479"/>
      <c r="V38" s="479"/>
      <c r="W38" s="479"/>
      <c r="X38" s="479"/>
      <c r="Y38" s="479"/>
      <c r="Z38" s="479"/>
      <c r="AA38" s="479"/>
      <c r="AB38" s="479"/>
      <c r="AC38" s="479"/>
      <c r="AD38" s="479"/>
      <c r="AE38" s="479"/>
      <c r="AF38" s="479"/>
      <c r="AG38" s="479"/>
      <c r="AH38" s="479"/>
      <c r="AI38" s="479"/>
      <c r="AJ38" s="479"/>
      <c r="AK38" s="479"/>
      <c r="AL38" s="479"/>
      <c r="AM38" s="479"/>
      <c r="AN38" s="479"/>
      <c r="AO38" s="479"/>
      <c r="AP38" s="479"/>
      <c r="AQ38" s="479"/>
      <c r="AR38" s="479"/>
      <c r="AS38" s="479"/>
      <c r="AT38" s="479"/>
      <c r="AU38" s="479"/>
      <c r="AV38" s="479"/>
      <c r="AW38" s="479"/>
      <c r="AX38" s="479"/>
      <c r="AY38" s="479"/>
      <c r="AZ38" s="479"/>
      <c r="BA38" s="479"/>
      <c r="BB38" s="479"/>
      <c r="BC38" s="479"/>
      <c r="BD38" s="479"/>
      <c r="BE38" s="479"/>
      <c r="BF38" s="479"/>
      <c r="BG38" s="479"/>
      <c r="BH38" s="479"/>
      <c r="BI38" s="479"/>
      <c r="BJ38" s="479"/>
      <c r="BK38" s="479"/>
      <c r="BL38" s="479"/>
      <c r="BM38" s="479"/>
      <c r="BN38" s="479"/>
      <c r="BO38" s="479"/>
      <c r="BP38" s="479"/>
      <c r="BQ38" s="479"/>
      <c r="BR38" s="479"/>
      <c r="BS38" s="479"/>
      <c r="BT38" s="477"/>
      <c r="BU38" s="477"/>
      <c r="BV38" s="477"/>
      <c r="BW38" s="477"/>
      <c r="BX38" s="477"/>
      <c r="BY38" s="477"/>
      <c r="BZ38" s="477"/>
      <c r="CA38" s="477"/>
      <c r="CB38" s="477"/>
      <c r="CC38" s="477"/>
      <c r="CD38" s="477"/>
    </row>
    <row r="39" spans="2:82" s="20" customFormat="1" ht="12" customHeight="1" x14ac:dyDescent="0.15">
      <c r="B39" s="478"/>
      <c r="C39" s="478"/>
      <c r="D39" s="478"/>
      <c r="E39" s="478"/>
      <c r="F39" s="478"/>
      <c r="G39" s="478"/>
      <c r="H39" s="478"/>
      <c r="I39" s="478"/>
      <c r="J39" s="478"/>
      <c r="K39" s="478"/>
      <c r="L39" s="478"/>
      <c r="M39" s="478"/>
      <c r="N39" s="478"/>
      <c r="O39" s="478"/>
      <c r="P39" s="478"/>
      <c r="Q39" s="478"/>
      <c r="R39" s="480"/>
      <c r="S39" s="480"/>
      <c r="T39" s="480"/>
      <c r="U39" s="480"/>
      <c r="V39" s="480"/>
      <c r="W39" s="480"/>
      <c r="X39" s="480"/>
      <c r="Y39" s="480"/>
      <c r="Z39" s="480"/>
      <c r="AA39" s="480"/>
      <c r="AB39" s="480"/>
      <c r="AC39" s="480"/>
      <c r="AD39" s="480"/>
      <c r="AE39" s="480"/>
      <c r="AF39" s="480"/>
      <c r="AG39" s="480"/>
      <c r="AH39" s="480"/>
      <c r="AI39" s="480"/>
      <c r="AJ39" s="480"/>
      <c r="AK39" s="480"/>
      <c r="AL39" s="480"/>
      <c r="AM39" s="48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0"/>
      <c r="BK39" s="480"/>
      <c r="BL39" s="480"/>
      <c r="BM39" s="480"/>
      <c r="BN39" s="480"/>
      <c r="BO39" s="480"/>
      <c r="BP39" s="480"/>
      <c r="BQ39" s="480"/>
      <c r="BR39" s="480"/>
      <c r="BS39" s="480"/>
      <c r="BT39" s="478"/>
      <c r="BU39" s="478"/>
      <c r="BV39" s="478"/>
      <c r="BW39" s="478"/>
      <c r="BX39" s="478"/>
      <c r="BY39" s="478"/>
      <c r="BZ39" s="478"/>
      <c r="CA39" s="478"/>
      <c r="CB39" s="478"/>
      <c r="CC39" s="478"/>
      <c r="CD39" s="478"/>
    </row>
    <row r="40" spans="2:82" s="20" customFormat="1" ht="12" customHeight="1" x14ac:dyDescent="0.15">
      <c r="B40" s="477"/>
      <c r="C40" s="477"/>
      <c r="D40" s="477"/>
      <c r="E40" s="477"/>
      <c r="F40" s="477"/>
      <c r="G40" s="477"/>
      <c r="H40" s="477"/>
      <c r="I40" s="477"/>
      <c r="J40" s="477"/>
      <c r="K40" s="477"/>
      <c r="L40" s="477"/>
      <c r="M40" s="477"/>
      <c r="N40" s="477"/>
      <c r="O40" s="477"/>
      <c r="P40" s="477"/>
      <c r="Q40" s="477"/>
      <c r="R40" s="479"/>
      <c r="S40" s="479"/>
      <c r="T40" s="479"/>
      <c r="U40" s="479"/>
      <c r="V40" s="479"/>
      <c r="W40" s="479"/>
      <c r="X40" s="479"/>
      <c r="Y40" s="479"/>
      <c r="Z40" s="479"/>
      <c r="AA40" s="479"/>
      <c r="AB40" s="479"/>
      <c r="AC40" s="479"/>
      <c r="AD40" s="479"/>
      <c r="AE40" s="479"/>
      <c r="AF40" s="479"/>
      <c r="AG40" s="479"/>
      <c r="AH40" s="479"/>
      <c r="AI40" s="479"/>
      <c r="AJ40" s="479"/>
      <c r="AK40" s="479"/>
      <c r="AL40" s="479"/>
      <c r="AM40" s="479"/>
      <c r="AN40" s="479"/>
      <c r="AO40" s="479"/>
      <c r="AP40" s="479"/>
      <c r="AQ40" s="479"/>
      <c r="AR40" s="479"/>
      <c r="AS40" s="479"/>
      <c r="AT40" s="479"/>
      <c r="AU40" s="479"/>
      <c r="AV40" s="479"/>
      <c r="AW40" s="479"/>
      <c r="AX40" s="479"/>
      <c r="AY40" s="479"/>
      <c r="AZ40" s="479"/>
      <c r="BA40" s="479"/>
      <c r="BB40" s="479"/>
      <c r="BC40" s="479"/>
      <c r="BD40" s="479"/>
      <c r="BE40" s="479"/>
      <c r="BF40" s="479"/>
      <c r="BG40" s="479"/>
      <c r="BH40" s="479"/>
      <c r="BI40" s="479"/>
      <c r="BJ40" s="479"/>
      <c r="BK40" s="479"/>
      <c r="BL40" s="479"/>
      <c r="BM40" s="479"/>
      <c r="BN40" s="479"/>
      <c r="BO40" s="479"/>
      <c r="BP40" s="479"/>
      <c r="BQ40" s="479"/>
      <c r="BR40" s="479"/>
      <c r="BS40" s="479"/>
      <c r="BT40" s="477"/>
      <c r="BU40" s="477"/>
      <c r="BV40" s="477"/>
      <c r="BW40" s="477"/>
      <c r="BX40" s="477"/>
      <c r="BY40" s="477"/>
      <c r="BZ40" s="477"/>
      <c r="CA40" s="477"/>
      <c r="CB40" s="477"/>
      <c r="CC40" s="477"/>
      <c r="CD40" s="477"/>
    </row>
    <row r="41" spans="2:82" s="20" customFormat="1" ht="12" customHeight="1" x14ac:dyDescent="0.15">
      <c r="B41" s="478"/>
      <c r="C41" s="478"/>
      <c r="D41" s="478"/>
      <c r="E41" s="478"/>
      <c r="F41" s="478"/>
      <c r="G41" s="478"/>
      <c r="H41" s="478"/>
      <c r="I41" s="478"/>
      <c r="J41" s="478"/>
      <c r="K41" s="478"/>
      <c r="L41" s="478"/>
      <c r="M41" s="478"/>
      <c r="N41" s="478"/>
      <c r="O41" s="478"/>
      <c r="P41" s="478"/>
      <c r="Q41" s="478"/>
      <c r="R41" s="480"/>
      <c r="S41" s="480"/>
      <c r="T41" s="480"/>
      <c r="U41" s="480"/>
      <c r="V41" s="480"/>
      <c r="W41" s="480"/>
      <c r="X41" s="480"/>
      <c r="Y41" s="480"/>
      <c r="Z41" s="480"/>
      <c r="AA41" s="480"/>
      <c r="AB41" s="480"/>
      <c r="AC41" s="480"/>
      <c r="AD41" s="480"/>
      <c r="AE41" s="480"/>
      <c r="AF41" s="480"/>
      <c r="AG41" s="480"/>
      <c r="AH41" s="480"/>
      <c r="AI41" s="480"/>
      <c r="AJ41" s="480"/>
      <c r="AK41" s="480"/>
      <c r="AL41" s="480"/>
      <c r="AM41" s="48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0"/>
      <c r="BK41" s="480"/>
      <c r="BL41" s="480"/>
      <c r="BM41" s="480"/>
      <c r="BN41" s="480"/>
      <c r="BO41" s="480"/>
      <c r="BP41" s="480"/>
      <c r="BQ41" s="480"/>
      <c r="BR41" s="480"/>
      <c r="BS41" s="480"/>
      <c r="BT41" s="478"/>
      <c r="BU41" s="478"/>
      <c r="BV41" s="478"/>
      <c r="BW41" s="478"/>
      <c r="BX41" s="478"/>
      <c r="BY41" s="478"/>
      <c r="BZ41" s="478"/>
      <c r="CA41" s="478"/>
      <c r="CB41" s="478"/>
      <c r="CC41" s="478"/>
      <c r="CD41" s="478"/>
    </row>
    <row r="42" spans="2:82" s="20" customFormat="1" ht="12" customHeight="1" x14ac:dyDescent="0.15">
      <c r="B42" s="477"/>
      <c r="C42" s="477"/>
      <c r="D42" s="477"/>
      <c r="E42" s="477"/>
      <c r="F42" s="477"/>
      <c r="G42" s="477"/>
      <c r="H42" s="477"/>
      <c r="I42" s="477"/>
      <c r="J42" s="477"/>
      <c r="K42" s="477"/>
      <c r="L42" s="477"/>
      <c r="M42" s="477"/>
      <c r="N42" s="477"/>
      <c r="O42" s="477"/>
      <c r="P42" s="477"/>
      <c r="Q42" s="477"/>
      <c r="R42" s="479"/>
      <c r="S42" s="479"/>
      <c r="T42" s="479"/>
      <c r="U42" s="479"/>
      <c r="V42" s="479"/>
      <c r="W42" s="479"/>
      <c r="X42" s="479"/>
      <c r="Y42" s="479"/>
      <c r="Z42" s="479"/>
      <c r="AA42" s="479"/>
      <c r="AB42" s="479"/>
      <c r="AC42" s="479"/>
      <c r="AD42" s="479"/>
      <c r="AE42" s="479"/>
      <c r="AF42" s="479"/>
      <c r="AG42" s="479"/>
      <c r="AH42" s="479"/>
      <c r="AI42" s="479"/>
      <c r="AJ42" s="479"/>
      <c r="AK42" s="479"/>
      <c r="AL42" s="479"/>
      <c r="AM42" s="479"/>
      <c r="AN42" s="479"/>
      <c r="AO42" s="479"/>
      <c r="AP42" s="479"/>
      <c r="AQ42" s="479"/>
      <c r="AR42" s="479"/>
      <c r="AS42" s="479"/>
      <c r="AT42" s="479"/>
      <c r="AU42" s="479"/>
      <c r="AV42" s="479"/>
      <c r="AW42" s="479"/>
      <c r="AX42" s="479"/>
      <c r="AY42" s="479"/>
      <c r="AZ42" s="479"/>
      <c r="BA42" s="479"/>
      <c r="BB42" s="479"/>
      <c r="BC42" s="479"/>
      <c r="BD42" s="479"/>
      <c r="BE42" s="479"/>
      <c r="BF42" s="479"/>
      <c r="BG42" s="479"/>
      <c r="BH42" s="479"/>
      <c r="BI42" s="479"/>
      <c r="BJ42" s="479"/>
      <c r="BK42" s="479"/>
      <c r="BL42" s="479"/>
      <c r="BM42" s="479"/>
      <c r="BN42" s="479"/>
      <c r="BO42" s="479"/>
      <c r="BP42" s="479"/>
      <c r="BQ42" s="479"/>
      <c r="BR42" s="479"/>
      <c r="BS42" s="479"/>
      <c r="BT42" s="477"/>
      <c r="BU42" s="477"/>
      <c r="BV42" s="477"/>
      <c r="BW42" s="477"/>
      <c r="BX42" s="477"/>
      <c r="BY42" s="477"/>
      <c r="BZ42" s="477"/>
      <c r="CA42" s="477"/>
      <c r="CB42" s="477"/>
      <c r="CC42" s="477"/>
      <c r="CD42" s="477"/>
    </row>
    <row r="43" spans="2:82" s="20" customFormat="1" ht="12" customHeight="1" x14ac:dyDescent="0.15">
      <c r="B43" s="478"/>
      <c r="C43" s="478"/>
      <c r="D43" s="478"/>
      <c r="E43" s="478"/>
      <c r="F43" s="478"/>
      <c r="G43" s="478"/>
      <c r="H43" s="478"/>
      <c r="I43" s="478"/>
      <c r="J43" s="478"/>
      <c r="K43" s="478"/>
      <c r="L43" s="478"/>
      <c r="M43" s="478"/>
      <c r="N43" s="478"/>
      <c r="O43" s="478"/>
      <c r="P43" s="478"/>
      <c r="Q43" s="478"/>
      <c r="R43" s="480"/>
      <c r="S43" s="480"/>
      <c r="T43" s="480"/>
      <c r="U43" s="480"/>
      <c r="V43" s="480"/>
      <c r="W43" s="480"/>
      <c r="X43" s="480"/>
      <c r="Y43" s="480"/>
      <c r="Z43" s="480"/>
      <c r="AA43" s="480"/>
      <c r="AB43" s="480"/>
      <c r="AC43" s="480"/>
      <c r="AD43" s="480"/>
      <c r="AE43" s="480"/>
      <c r="AF43" s="480"/>
      <c r="AG43" s="480"/>
      <c r="AH43" s="480"/>
      <c r="AI43" s="480"/>
      <c r="AJ43" s="480"/>
      <c r="AK43" s="480"/>
      <c r="AL43" s="480"/>
      <c r="AM43" s="48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0"/>
      <c r="BK43" s="480"/>
      <c r="BL43" s="480"/>
      <c r="BM43" s="480"/>
      <c r="BN43" s="480"/>
      <c r="BO43" s="480"/>
      <c r="BP43" s="480"/>
      <c r="BQ43" s="480"/>
      <c r="BR43" s="480"/>
      <c r="BS43" s="480"/>
      <c r="BT43" s="478"/>
      <c r="BU43" s="478"/>
      <c r="BV43" s="478"/>
      <c r="BW43" s="478"/>
      <c r="BX43" s="478"/>
      <c r="BY43" s="478"/>
      <c r="BZ43" s="478"/>
      <c r="CA43" s="478"/>
      <c r="CB43" s="478"/>
      <c r="CC43" s="478"/>
      <c r="CD43" s="478"/>
    </row>
    <row r="44" spans="2:82" s="20" customFormat="1" ht="12" customHeight="1" x14ac:dyDescent="0.15"/>
    <row r="45" spans="2:82" s="20" customFormat="1" ht="12" customHeight="1" x14ac:dyDescent="0.15"/>
    <row r="46" spans="2:82" s="20" customFormat="1" ht="12" customHeight="1" x14ac:dyDescent="0.15"/>
    <row r="47" spans="2:82" s="20" customFormat="1" ht="12" customHeight="1" x14ac:dyDescent="0.15"/>
    <row r="48" spans="2:82" ht="12" customHeight="1" x14ac:dyDescent="0.15"/>
    <row r="49" ht="12" customHeight="1" x14ac:dyDescent="0.15"/>
    <row r="50" ht="12" customHeight="1" x14ac:dyDescent="0.15"/>
  </sheetData>
  <mergeCells count="93">
    <mergeCell ref="A1:CE1"/>
    <mergeCell ref="A3:H3"/>
    <mergeCell ref="I3:AC3"/>
    <mergeCell ref="AD3:AL3"/>
    <mergeCell ref="AM3:BQ3"/>
    <mergeCell ref="BR3:BS5"/>
    <mergeCell ref="BT3:BX5"/>
    <mergeCell ref="BY3:BZ5"/>
    <mergeCell ref="CA3:CE5"/>
    <mergeCell ref="A4:H5"/>
    <mergeCell ref="AS5:AY5"/>
    <mergeCell ref="AZ5:BC5"/>
    <mergeCell ref="BD5:BJ5"/>
    <mergeCell ref="BK5:BM5"/>
    <mergeCell ref="BN5:BQ5"/>
    <mergeCell ref="I4:AC5"/>
    <mergeCell ref="BT8:CD9"/>
    <mergeCell ref="B10:H11"/>
    <mergeCell ref="I10:Q11"/>
    <mergeCell ref="R10:BS11"/>
    <mergeCell ref="BT10:CD11"/>
    <mergeCell ref="B8:H9"/>
    <mergeCell ref="I8:Q9"/>
    <mergeCell ref="R8:BS9"/>
    <mergeCell ref="AD4:AL4"/>
    <mergeCell ref="AM4:BQ4"/>
    <mergeCell ref="AD5:AG5"/>
    <mergeCell ref="AH5:AN5"/>
    <mergeCell ref="AO5:AR5"/>
    <mergeCell ref="B12:H13"/>
    <mergeCell ref="I12:Q13"/>
    <mergeCell ref="R12:BS13"/>
    <mergeCell ref="BT12:CD13"/>
    <mergeCell ref="B14:H15"/>
    <mergeCell ref="I14:Q15"/>
    <mergeCell ref="R14:BS15"/>
    <mergeCell ref="BT14:CD15"/>
    <mergeCell ref="B28:H29"/>
    <mergeCell ref="I28:Q29"/>
    <mergeCell ref="R28:BS29"/>
    <mergeCell ref="BT28:CD29"/>
    <mergeCell ref="B30:H31"/>
    <mergeCell ref="B20:H21"/>
    <mergeCell ref="I20:Q21"/>
    <mergeCell ref="R20:BS21"/>
    <mergeCell ref="BT20:CD21"/>
    <mergeCell ref="B16:H17"/>
    <mergeCell ref="I16:Q17"/>
    <mergeCell ref="R16:BS17"/>
    <mergeCell ref="BT16:CD17"/>
    <mergeCell ref="B18:H19"/>
    <mergeCell ref="I18:Q19"/>
    <mergeCell ref="R18:BS19"/>
    <mergeCell ref="BT18:CD19"/>
    <mergeCell ref="B22:H23"/>
    <mergeCell ref="I22:Q23"/>
    <mergeCell ref="R22:BS23"/>
    <mergeCell ref="BT22:CD23"/>
    <mergeCell ref="B36:H37"/>
    <mergeCell ref="I36:Q37"/>
    <mergeCell ref="R36:BS37"/>
    <mergeCell ref="BT36:CD37"/>
    <mergeCell ref="B24:H25"/>
    <mergeCell ref="I24:Q25"/>
    <mergeCell ref="R24:BS25"/>
    <mergeCell ref="BT24:CD25"/>
    <mergeCell ref="B26:H27"/>
    <mergeCell ref="I26:Q27"/>
    <mergeCell ref="R26:BS27"/>
    <mergeCell ref="BT26:CD27"/>
    <mergeCell ref="B42:H43"/>
    <mergeCell ref="I42:Q43"/>
    <mergeCell ref="R42:BS43"/>
    <mergeCell ref="BT42:CD43"/>
    <mergeCell ref="B38:H39"/>
    <mergeCell ref="I38:Q39"/>
    <mergeCell ref="R38:BS39"/>
    <mergeCell ref="BT38:CD39"/>
    <mergeCell ref="B40:H41"/>
    <mergeCell ref="I40:Q41"/>
    <mergeCell ref="R40:BS41"/>
    <mergeCell ref="BT40:CD41"/>
    <mergeCell ref="B34:H35"/>
    <mergeCell ref="I34:Q35"/>
    <mergeCell ref="R34:BS35"/>
    <mergeCell ref="BT34:CD35"/>
    <mergeCell ref="I30:Q31"/>
    <mergeCell ref="R30:BS31"/>
    <mergeCell ref="BT30:CD31"/>
    <mergeCell ref="B32:H33"/>
    <mergeCell ref="I32:Q33"/>
    <mergeCell ref="R32:BS33"/>
    <mergeCell ref="BT32:CD33"/>
  </mergeCells>
  <phoneticPr fontId="29"/>
  <pageMargins left="0.59055118110236227" right="0.59055118110236227" top="0.78740157480314965" bottom="0" header="0.43307086614173229" footer="0"/>
  <pageSetup paperSize="9" orientation="landscape" r:id="rId1"/>
  <headerFooter alignWithMargins="0">
    <oddHeader>&amp;R
（&amp;P　／　&amp;N）　　　　　　　　　</oddHeader>
    <oddFooter>&amp;L&amp;9Copyright c 2014 The Japan Research Institute, Limited.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H737"/>
  <sheetViews>
    <sheetView showGridLines="0" tabSelected="1" view="pageBreakPreview" topLeftCell="A196" zoomScaleNormal="85" zoomScaleSheetLayoutView="100" zoomScalePageLayoutView="85" workbookViewId="0">
      <selection activeCell="AH207" sqref="AH207:CB216"/>
    </sheetView>
  </sheetViews>
  <sheetFormatPr defaultColWidth="1.625" defaultRowHeight="12" x14ac:dyDescent="0.15"/>
  <cols>
    <col min="1" max="82" width="1.625" style="2"/>
    <col min="83" max="83" width="1.625" style="2" customWidth="1"/>
    <col min="84" max="16384" width="1.625" style="2"/>
  </cols>
  <sheetData>
    <row r="1" spans="1:86" s="1" customFormat="1" ht="18" customHeight="1" x14ac:dyDescent="0.15">
      <c r="A1" s="735" t="s">
        <v>792</v>
      </c>
      <c r="B1" s="735"/>
      <c r="C1" s="735"/>
      <c r="D1" s="735"/>
      <c r="E1" s="735"/>
      <c r="F1" s="735"/>
      <c r="G1" s="735"/>
      <c r="H1" s="735"/>
      <c r="I1" s="735"/>
      <c r="J1" s="735"/>
      <c r="K1" s="735"/>
      <c r="L1" s="735"/>
      <c r="M1" s="735"/>
      <c r="N1" s="735"/>
      <c r="O1" s="735"/>
      <c r="P1" s="735"/>
      <c r="Q1" s="735"/>
      <c r="R1" s="735"/>
      <c r="S1" s="735"/>
      <c r="T1" s="735"/>
      <c r="U1" s="735"/>
      <c r="V1" s="735"/>
      <c r="W1" s="735"/>
      <c r="X1" s="735"/>
      <c r="Y1" s="735"/>
      <c r="Z1" s="735"/>
      <c r="AA1" s="735"/>
      <c r="AB1" s="735"/>
      <c r="AC1" s="735"/>
      <c r="AD1" s="735"/>
      <c r="AE1" s="735"/>
      <c r="AF1" s="735"/>
      <c r="AG1" s="735"/>
      <c r="AH1" s="735"/>
      <c r="AI1" s="735"/>
      <c r="AJ1" s="735"/>
      <c r="AK1" s="735"/>
      <c r="AL1" s="735"/>
      <c r="AM1" s="735"/>
      <c r="AN1" s="735"/>
      <c r="AO1" s="735"/>
      <c r="AP1" s="735"/>
      <c r="AQ1" s="735"/>
      <c r="AR1" s="735"/>
      <c r="AS1" s="735"/>
      <c r="AT1" s="735"/>
      <c r="AU1" s="735"/>
      <c r="AV1" s="735"/>
      <c r="AW1" s="735"/>
      <c r="AX1" s="735"/>
      <c r="AY1" s="735"/>
      <c r="AZ1" s="735"/>
      <c r="BA1" s="735"/>
      <c r="BB1" s="735"/>
      <c r="BC1" s="735"/>
      <c r="BD1" s="735"/>
      <c r="BE1" s="735"/>
      <c r="BF1" s="735"/>
      <c r="BG1" s="735"/>
      <c r="BH1" s="735"/>
      <c r="BI1" s="735"/>
      <c r="BJ1" s="735"/>
      <c r="BK1" s="735"/>
      <c r="BL1" s="735"/>
      <c r="BM1" s="735"/>
      <c r="BN1" s="735"/>
      <c r="BO1" s="735"/>
      <c r="BP1" s="735"/>
      <c r="BQ1" s="735"/>
      <c r="BR1" s="735"/>
      <c r="BS1" s="735"/>
      <c r="BT1" s="735"/>
      <c r="BU1" s="735"/>
      <c r="BV1" s="735"/>
      <c r="BW1" s="735"/>
      <c r="BX1" s="735"/>
      <c r="BY1" s="735"/>
      <c r="BZ1" s="735"/>
      <c r="CA1" s="735"/>
      <c r="CB1" s="735"/>
      <c r="CC1" s="735"/>
      <c r="CD1" s="735"/>
      <c r="CE1" s="735"/>
    </row>
    <row r="2" spans="1:86" ht="4.5" customHeight="1" x14ac:dyDescent="0.15">
      <c r="BN2" s="3"/>
      <c r="BO2" s="3"/>
      <c r="BP2" s="3"/>
      <c r="BQ2" s="3"/>
      <c r="BR2" s="3"/>
      <c r="BS2" s="3"/>
      <c r="BT2" s="3"/>
      <c r="BU2" s="3"/>
      <c r="BV2" s="3"/>
    </row>
    <row r="3" spans="1:86" ht="12.95" customHeight="1" x14ac:dyDescent="0.15">
      <c r="A3" s="440" t="s">
        <v>78</v>
      </c>
      <c r="B3" s="441"/>
      <c r="C3" s="441"/>
      <c r="D3" s="441"/>
      <c r="E3" s="441"/>
      <c r="F3" s="441"/>
      <c r="G3" s="441"/>
      <c r="H3" s="442"/>
      <c r="I3" s="440" t="s">
        <v>193</v>
      </c>
      <c r="J3" s="441"/>
      <c r="K3" s="441"/>
      <c r="L3" s="441"/>
      <c r="M3" s="441"/>
      <c r="N3" s="441"/>
      <c r="O3" s="441"/>
      <c r="P3" s="441"/>
      <c r="Q3" s="441"/>
      <c r="R3" s="441"/>
      <c r="S3" s="441"/>
      <c r="T3" s="441"/>
      <c r="U3" s="441"/>
      <c r="V3" s="441"/>
      <c r="W3" s="441"/>
      <c r="X3" s="441"/>
      <c r="Y3" s="441"/>
      <c r="Z3" s="441"/>
      <c r="AA3" s="441"/>
      <c r="AB3" s="441"/>
      <c r="AC3" s="442"/>
      <c r="AD3" s="440" t="s">
        <v>79</v>
      </c>
      <c r="AE3" s="441"/>
      <c r="AF3" s="441"/>
      <c r="AG3" s="441"/>
      <c r="AH3" s="441"/>
      <c r="AI3" s="441"/>
      <c r="AJ3" s="441"/>
      <c r="AK3" s="441"/>
      <c r="AL3" s="442"/>
      <c r="AM3" s="440" t="s">
        <v>788</v>
      </c>
      <c r="AN3" s="441"/>
      <c r="AO3" s="441"/>
      <c r="AP3" s="441"/>
      <c r="AQ3" s="441"/>
      <c r="AR3" s="441"/>
      <c r="AS3" s="441"/>
      <c r="AT3" s="441"/>
      <c r="AU3" s="441"/>
      <c r="AV3" s="441"/>
      <c r="AW3" s="441"/>
      <c r="AX3" s="441"/>
      <c r="AY3" s="441"/>
      <c r="AZ3" s="441"/>
      <c r="BA3" s="441"/>
      <c r="BB3" s="441"/>
      <c r="BC3" s="441"/>
      <c r="BD3" s="441"/>
      <c r="BE3" s="441"/>
      <c r="BF3" s="441"/>
      <c r="BG3" s="441"/>
      <c r="BH3" s="441"/>
      <c r="BI3" s="441"/>
      <c r="BJ3" s="441"/>
      <c r="BK3" s="441"/>
      <c r="BL3" s="441"/>
      <c r="BM3" s="441"/>
      <c r="BN3" s="441"/>
      <c r="BO3" s="441"/>
      <c r="BP3" s="441"/>
      <c r="BQ3" s="442"/>
      <c r="BR3" s="468" t="s">
        <v>80</v>
      </c>
      <c r="BS3" s="469"/>
      <c r="BT3" s="459" t="s">
        <v>943</v>
      </c>
      <c r="BU3" s="460"/>
      <c r="BV3" s="460"/>
      <c r="BW3" s="460"/>
      <c r="BX3" s="461"/>
      <c r="BY3" s="468" t="s">
        <v>81</v>
      </c>
      <c r="BZ3" s="469"/>
      <c r="CA3" s="459" t="s">
        <v>944</v>
      </c>
      <c r="CB3" s="460"/>
      <c r="CC3" s="460"/>
      <c r="CD3" s="460"/>
      <c r="CE3" s="461"/>
      <c r="CF3" s="3"/>
      <c r="CG3" s="3"/>
    </row>
    <row r="4" spans="1:86" ht="12.95" customHeight="1" x14ac:dyDescent="0.15">
      <c r="A4" s="452" t="s">
        <v>82</v>
      </c>
      <c r="B4" s="453"/>
      <c r="C4" s="453"/>
      <c r="D4" s="453"/>
      <c r="E4" s="453"/>
      <c r="F4" s="453"/>
      <c r="G4" s="453"/>
      <c r="H4" s="454"/>
      <c r="I4" s="434" t="s">
        <v>787</v>
      </c>
      <c r="J4" s="435"/>
      <c r="K4" s="435"/>
      <c r="L4" s="435"/>
      <c r="M4" s="435"/>
      <c r="N4" s="435"/>
      <c r="O4" s="435"/>
      <c r="P4" s="435"/>
      <c r="Q4" s="435"/>
      <c r="R4" s="435"/>
      <c r="S4" s="435"/>
      <c r="T4" s="435"/>
      <c r="U4" s="435"/>
      <c r="V4" s="435"/>
      <c r="W4" s="435"/>
      <c r="X4" s="435"/>
      <c r="Y4" s="435"/>
      <c r="Z4" s="435"/>
      <c r="AA4" s="435"/>
      <c r="AB4" s="435"/>
      <c r="AC4" s="436"/>
      <c r="AD4" s="440" t="s">
        <v>83</v>
      </c>
      <c r="AE4" s="441"/>
      <c r="AF4" s="441"/>
      <c r="AG4" s="441"/>
      <c r="AH4" s="441"/>
      <c r="AI4" s="441"/>
      <c r="AJ4" s="441"/>
      <c r="AK4" s="441"/>
      <c r="AL4" s="442"/>
      <c r="AM4" s="440" t="s">
        <v>705</v>
      </c>
      <c r="AN4" s="441"/>
      <c r="AO4" s="441"/>
      <c r="AP4" s="441"/>
      <c r="AQ4" s="441"/>
      <c r="AR4" s="441"/>
      <c r="AS4" s="441"/>
      <c r="AT4" s="441"/>
      <c r="AU4" s="441"/>
      <c r="AV4" s="441"/>
      <c r="AW4" s="441"/>
      <c r="AX4" s="441"/>
      <c r="AY4" s="441"/>
      <c r="AZ4" s="441"/>
      <c r="BA4" s="441"/>
      <c r="BB4" s="441"/>
      <c r="BC4" s="441"/>
      <c r="BD4" s="441"/>
      <c r="BE4" s="441"/>
      <c r="BF4" s="441"/>
      <c r="BG4" s="441"/>
      <c r="BH4" s="441"/>
      <c r="BI4" s="441"/>
      <c r="BJ4" s="441"/>
      <c r="BK4" s="441"/>
      <c r="BL4" s="441"/>
      <c r="BM4" s="441"/>
      <c r="BN4" s="441"/>
      <c r="BO4" s="441"/>
      <c r="BP4" s="441"/>
      <c r="BQ4" s="442"/>
      <c r="BR4" s="470"/>
      <c r="BS4" s="471"/>
      <c r="BT4" s="462"/>
      <c r="BU4" s="463"/>
      <c r="BV4" s="463"/>
      <c r="BW4" s="463"/>
      <c r="BX4" s="464"/>
      <c r="BY4" s="470"/>
      <c r="BZ4" s="471"/>
      <c r="CA4" s="462"/>
      <c r="CB4" s="463"/>
      <c r="CC4" s="463"/>
      <c r="CD4" s="463"/>
      <c r="CE4" s="464"/>
      <c r="CF4" s="3"/>
      <c r="CG4" s="3"/>
    </row>
    <row r="5" spans="1:86" ht="12.95" customHeight="1" x14ac:dyDescent="0.15">
      <c r="A5" s="455"/>
      <c r="B5" s="456"/>
      <c r="C5" s="456"/>
      <c r="D5" s="456"/>
      <c r="E5" s="456"/>
      <c r="F5" s="456"/>
      <c r="G5" s="456"/>
      <c r="H5" s="457"/>
      <c r="I5" s="437"/>
      <c r="J5" s="438"/>
      <c r="K5" s="438"/>
      <c r="L5" s="438"/>
      <c r="M5" s="438"/>
      <c r="N5" s="438"/>
      <c r="O5" s="438"/>
      <c r="P5" s="438"/>
      <c r="Q5" s="438"/>
      <c r="R5" s="438"/>
      <c r="S5" s="438"/>
      <c r="T5" s="438"/>
      <c r="U5" s="438"/>
      <c r="V5" s="438"/>
      <c r="W5" s="438"/>
      <c r="X5" s="438"/>
      <c r="Y5" s="438"/>
      <c r="Z5" s="438"/>
      <c r="AA5" s="438"/>
      <c r="AB5" s="438"/>
      <c r="AC5" s="439"/>
      <c r="AD5" s="440" t="s">
        <v>84</v>
      </c>
      <c r="AE5" s="441"/>
      <c r="AF5" s="441"/>
      <c r="AG5" s="442"/>
      <c r="AH5" s="443">
        <v>43476</v>
      </c>
      <c r="AI5" s="444"/>
      <c r="AJ5" s="445"/>
      <c r="AK5" s="445"/>
      <c r="AL5" s="445"/>
      <c r="AM5" s="445"/>
      <c r="AN5" s="446"/>
      <c r="AO5" s="440" t="s">
        <v>85</v>
      </c>
      <c r="AP5" s="441"/>
      <c r="AQ5" s="441"/>
      <c r="AR5" s="442"/>
      <c r="AS5" s="443">
        <v>43567</v>
      </c>
      <c r="AT5" s="444"/>
      <c r="AU5" s="445"/>
      <c r="AV5" s="445"/>
      <c r="AW5" s="445"/>
      <c r="AX5" s="445"/>
      <c r="AY5" s="446"/>
      <c r="AZ5" s="451" t="s">
        <v>86</v>
      </c>
      <c r="BA5" s="449"/>
      <c r="BB5" s="449"/>
      <c r="BC5" s="450"/>
      <c r="BD5" s="443">
        <v>43567</v>
      </c>
      <c r="BE5" s="444"/>
      <c r="BF5" s="445"/>
      <c r="BG5" s="445"/>
      <c r="BH5" s="445"/>
      <c r="BI5" s="445"/>
      <c r="BJ5" s="446"/>
      <c r="BK5" s="440" t="s">
        <v>87</v>
      </c>
      <c r="BL5" s="441"/>
      <c r="BM5" s="442"/>
      <c r="BN5" s="489">
        <v>1.3</v>
      </c>
      <c r="BO5" s="490"/>
      <c r="BP5" s="490"/>
      <c r="BQ5" s="491"/>
      <c r="BR5" s="472"/>
      <c r="BS5" s="473"/>
      <c r="BT5" s="465"/>
      <c r="BU5" s="466"/>
      <c r="BV5" s="466"/>
      <c r="BW5" s="466"/>
      <c r="BX5" s="467"/>
      <c r="BY5" s="472"/>
      <c r="BZ5" s="473"/>
      <c r="CA5" s="465"/>
      <c r="CB5" s="466"/>
      <c r="CC5" s="466"/>
      <c r="CD5" s="466"/>
      <c r="CE5" s="467"/>
      <c r="CF5" s="3"/>
      <c r="CG5" s="3"/>
    </row>
    <row r="6" spans="1:86"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6"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s="4" customFormat="1" ht="12" customHeight="1" x14ac:dyDescent="0.15">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5"/>
    </row>
    <row r="9" spans="1:86" s="4" customFormat="1" ht="12" customHeight="1" x14ac:dyDescent="0.15">
      <c r="A9" s="16"/>
      <c r="B9" s="8" t="s">
        <v>387</v>
      </c>
      <c r="C9" s="1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17"/>
      <c r="CD9" s="8"/>
      <c r="CE9" s="18"/>
    </row>
    <row r="10" spans="1:86" s="6" customFormat="1" ht="12" customHeight="1" x14ac:dyDescent="0.15">
      <c r="A10" s="16"/>
      <c r="B10" s="19"/>
      <c r="C10" s="24"/>
      <c r="D10" s="17"/>
      <c r="E10" s="17"/>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19"/>
      <c r="CD10" s="5"/>
      <c r="CE10" s="18"/>
    </row>
    <row r="11" spans="1:86" s="4" customFormat="1" ht="12" customHeight="1" x14ac:dyDescent="0.15">
      <c r="A11" s="16"/>
      <c r="B11" s="5"/>
      <c r="C11" s="17" t="s">
        <v>338</v>
      </c>
      <c r="D11" s="21"/>
      <c r="E11" s="12"/>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10"/>
      <c r="CE11" s="18"/>
    </row>
    <row r="12" spans="1:86" s="4" customFormat="1" ht="12" customHeight="1" x14ac:dyDescent="0.15">
      <c r="A12" s="16"/>
      <c r="B12" s="5"/>
      <c r="C12" s="73"/>
      <c r="D12" s="21" t="s">
        <v>388</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10"/>
      <c r="CE12" s="18"/>
    </row>
    <row r="13" spans="1:86" s="4" customFormat="1" ht="12" customHeight="1" x14ac:dyDescent="0.15">
      <c r="A13" s="16"/>
      <c r="B13" s="5"/>
      <c r="C13" s="21"/>
      <c r="E13" s="73" t="s">
        <v>835</v>
      </c>
      <c r="F13" s="21"/>
      <c r="G13" s="21"/>
      <c r="H13" s="21"/>
      <c r="I13" s="21"/>
      <c r="J13" s="21"/>
      <c r="K13" s="21"/>
      <c r="L13" s="21"/>
      <c r="M13" s="21"/>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0"/>
      <c r="CE13" s="18"/>
    </row>
    <row r="14" spans="1:86" s="4" customFormat="1" ht="12" customHeight="1" x14ac:dyDescent="0.15">
      <c r="A14" s="16"/>
      <c r="B14" s="5"/>
      <c r="C14" s="73"/>
      <c r="D14" s="12"/>
      <c r="E14" s="12"/>
      <c r="F14" s="12"/>
      <c r="G14" s="12"/>
      <c r="H14" s="12"/>
      <c r="I14" s="12"/>
      <c r="J14" s="12"/>
      <c r="K14" s="12"/>
      <c r="L14" s="12"/>
      <c r="M14" s="12"/>
      <c r="N14" s="12"/>
      <c r="O14" s="11"/>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0"/>
      <c r="CE14" s="18"/>
    </row>
    <row r="15" spans="1:86" s="4" customFormat="1" ht="12" customHeight="1" x14ac:dyDescent="0.15">
      <c r="A15" s="16"/>
      <c r="B15" s="5"/>
      <c r="C15" s="73"/>
      <c r="D15" s="22" t="s">
        <v>389</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0"/>
      <c r="CE15" s="18"/>
    </row>
    <row r="16" spans="1:86" s="4" customFormat="1" ht="12" customHeight="1" x14ac:dyDescent="0.15">
      <c r="A16" s="16"/>
      <c r="B16" s="5"/>
      <c r="C16" s="73"/>
      <c r="E16" s="22" t="s">
        <v>836</v>
      </c>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0"/>
      <c r="CE16" s="18"/>
    </row>
    <row r="17" spans="1:84" s="4" customFormat="1" ht="12" customHeight="1" x14ac:dyDescent="0.15">
      <c r="A17" s="16"/>
      <c r="B17" s="5"/>
      <c r="C17" s="73"/>
      <c r="D17" s="752" t="s">
        <v>390</v>
      </c>
      <c r="E17" s="752"/>
      <c r="F17" s="766"/>
      <c r="G17" s="752" t="s">
        <v>391</v>
      </c>
      <c r="H17" s="752"/>
      <c r="I17" s="752"/>
      <c r="J17" s="752"/>
      <c r="K17" s="752"/>
      <c r="L17" s="752"/>
      <c r="M17" s="752" t="s">
        <v>392</v>
      </c>
      <c r="N17" s="752"/>
      <c r="O17" s="752"/>
      <c r="P17" s="752"/>
      <c r="Q17" s="752"/>
      <c r="R17" s="752"/>
      <c r="S17" s="752"/>
      <c r="T17" s="752"/>
      <c r="U17" s="752"/>
      <c r="V17" s="752"/>
      <c r="W17" s="752"/>
      <c r="X17" s="752"/>
      <c r="Y17" s="752"/>
      <c r="Z17" s="752"/>
      <c r="AA17" s="752"/>
      <c r="AB17" s="752"/>
      <c r="AC17" s="752"/>
      <c r="AD17" s="752"/>
      <c r="AE17" s="586" t="s">
        <v>393</v>
      </c>
      <c r="AF17" s="703"/>
      <c r="AG17" s="703"/>
      <c r="AH17" s="703"/>
      <c r="AI17" s="703"/>
      <c r="AJ17" s="703"/>
      <c r="AK17" s="703"/>
      <c r="AL17" s="703"/>
      <c r="AM17" s="703"/>
      <c r="AN17" s="703"/>
      <c r="AO17" s="703"/>
      <c r="AP17" s="703"/>
      <c r="AQ17" s="703"/>
      <c r="AR17" s="703"/>
      <c r="AS17" s="703"/>
      <c r="AT17" s="703"/>
      <c r="AU17" s="703"/>
      <c r="AV17" s="703"/>
      <c r="AW17" s="703"/>
      <c r="AX17" s="703"/>
      <c r="AY17" s="703"/>
      <c r="AZ17" s="703"/>
      <c r="BA17" s="703"/>
      <c r="BB17" s="703"/>
      <c r="BC17" s="703"/>
      <c r="BD17" s="703"/>
      <c r="BE17" s="703"/>
      <c r="BF17" s="703"/>
      <c r="BG17" s="703"/>
      <c r="BH17" s="703"/>
      <c r="BI17" s="703"/>
      <c r="BJ17" s="703"/>
      <c r="BK17" s="703"/>
      <c r="BL17" s="703"/>
      <c r="BM17" s="703"/>
      <c r="BN17" s="703"/>
      <c r="BO17" s="703"/>
      <c r="BP17" s="703"/>
      <c r="BQ17" s="703"/>
      <c r="BR17" s="703"/>
      <c r="BS17" s="703"/>
      <c r="BT17" s="703"/>
      <c r="BU17" s="703"/>
      <c r="BV17" s="703"/>
      <c r="BW17" s="703"/>
      <c r="BX17" s="703"/>
      <c r="BY17" s="703"/>
      <c r="BZ17" s="703"/>
      <c r="CA17" s="703"/>
      <c r="CB17" s="704"/>
      <c r="CC17" s="75"/>
      <c r="CD17" s="58"/>
      <c r="CE17" s="76"/>
      <c r="CF17" s="58"/>
    </row>
    <row r="18" spans="1:84" s="4" customFormat="1" ht="12" customHeight="1" x14ac:dyDescent="0.15">
      <c r="A18" s="16"/>
      <c r="B18" s="5"/>
      <c r="C18" s="73"/>
      <c r="D18" s="752"/>
      <c r="E18" s="752"/>
      <c r="F18" s="766"/>
      <c r="G18" s="752"/>
      <c r="H18" s="752"/>
      <c r="I18" s="752"/>
      <c r="J18" s="752"/>
      <c r="K18" s="752"/>
      <c r="L18" s="752"/>
      <c r="M18" s="752"/>
      <c r="N18" s="752"/>
      <c r="O18" s="752"/>
      <c r="P18" s="752"/>
      <c r="Q18" s="752"/>
      <c r="R18" s="752"/>
      <c r="S18" s="752"/>
      <c r="T18" s="752"/>
      <c r="U18" s="752"/>
      <c r="V18" s="752"/>
      <c r="W18" s="752"/>
      <c r="X18" s="752"/>
      <c r="Y18" s="752"/>
      <c r="Z18" s="752"/>
      <c r="AA18" s="752"/>
      <c r="AB18" s="752"/>
      <c r="AC18" s="752"/>
      <c r="AD18" s="752"/>
      <c r="AE18" s="707"/>
      <c r="AF18" s="708"/>
      <c r="AG18" s="708"/>
      <c r="AH18" s="708"/>
      <c r="AI18" s="708"/>
      <c r="AJ18" s="708"/>
      <c r="AK18" s="708"/>
      <c r="AL18" s="708"/>
      <c r="AM18" s="708"/>
      <c r="AN18" s="708"/>
      <c r="AO18" s="708"/>
      <c r="AP18" s="708"/>
      <c r="AQ18" s="708"/>
      <c r="AR18" s="708"/>
      <c r="AS18" s="708"/>
      <c r="AT18" s="708"/>
      <c r="AU18" s="708"/>
      <c r="AV18" s="708"/>
      <c r="AW18" s="708"/>
      <c r="AX18" s="708"/>
      <c r="AY18" s="708"/>
      <c r="AZ18" s="708"/>
      <c r="BA18" s="708"/>
      <c r="BB18" s="708"/>
      <c r="BC18" s="708"/>
      <c r="BD18" s="708"/>
      <c r="BE18" s="708"/>
      <c r="BF18" s="708"/>
      <c r="BG18" s="708"/>
      <c r="BH18" s="708"/>
      <c r="BI18" s="708"/>
      <c r="BJ18" s="708"/>
      <c r="BK18" s="708"/>
      <c r="BL18" s="708"/>
      <c r="BM18" s="708"/>
      <c r="BN18" s="708"/>
      <c r="BO18" s="708"/>
      <c r="BP18" s="708"/>
      <c r="BQ18" s="708"/>
      <c r="BR18" s="708"/>
      <c r="BS18" s="708"/>
      <c r="BT18" s="708"/>
      <c r="BU18" s="708"/>
      <c r="BV18" s="708"/>
      <c r="BW18" s="708"/>
      <c r="BX18" s="708"/>
      <c r="BY18" s="708"/>
      <c r="BZ18" s="708"/>
      <c r="CA18" s="708"/>
      <c r="CB18" s="709"/>
      <c r="CC18" s="75"/>
      <c r="CD18" s="58"/>
      <c r="CE18" s="76"/>
      <c r="CF18" s="58"/>
    </row>
    <row r="19" spans="1:84" s="4" customFormat="1" ht="12.75" customHeight="1" x14ac:dyDescent="0.15">
      <c r="A19" s="16"/>
      <c r="B19" s="5"/>
      <c r="C19" s="73"/>
      <c r="D19" s="586">
        <v>1</v>
      </c>
      <c r="E19" s="703"/>
      <c r="F19" s="704"/>
      <c r="G19" s="710" t="s">
        <v>394</v>
      </c>
      <c r="H19" s="711"/>
      <c r="I19" s="711"/>
      <c r="J19" s="711"/>
      <c r="K19" s="711"/>
      <c r="L19" s="712"/>
      <c r="M19" s="647" t="s">
        <v>937</v>
      </c>
      <c r="N19" s="648"/>
      <c r="O19" s="648"/>
      <c r="P19" s="648"/>
      <c r="Q19" s="648"/>
      <c r="R19" s="648"/>
      <c r="S19" s="648"/>
      <c r="T19" s="648"/>
      <c r="U19" s="648"/>
      <c r="V19" s="648"/>
      <c r="W19" s="648"/>
      <c r="X19" s="648"/>
      <c r="Y19" s="648"/>
      <c r="Z19" s="648"/>
      <c r="AA19" s="648"/>
      <c r="AB19" s="648"/>
      <c r="AC19" s="648"/>
      <c r="AD19" s="649"/>
      <c r="AE19" s="719" t="s">
        <v>798</v>
      </c>
      <c r="AF19" s="720"/>
      <c r="AG19" s="720"/>
      <c r="AH19" s="720"/>
      <c r="AI19" s="720"/>
      <c r="AJ19" s="720"/>
      <c r="AK19" s="720"/>
      <c r="AL19" s="720"/>
      <c r="AM19" s="720"/>
      <c r="AN19" s="720"/>
      <c r="AO19" s="720"/>
      <c r="AP19" s="720"/>
      <c r="AQ19" s="720"/>
      <c r="AR19" s="720"/>
      <c r="AS19" s="720"/>
      <c r="AT19" s="720"/>
      <c r="AU19" s="720"/>
      <c r="AV19" s="720"/>
      <c r="AW19" s="720"/>
      <c r="AX19" s="720"/>
      <c r="AY19" s="720"/>
      <c r="AZ19" s="720"/>
      <c r="BA19" s="720"/>
      <c r="BB19" s="720"/>
      <c r="BC19" s="720"/>
      <c r="BD19" s="720"/>
      <c r="BE19" s="720"/>
      <c r="BF19" s="720"/>
      <c r="BG19" s="720"/>
      <c r="BH19" s="720"/>
      <c r="BI19" s="720"/>
      <c r="BJ19" s="720"/>
      <c r="BK19" s="720"/>
      <c r="BL19" s="720"/>
      <c r="BM19" s="720"/>
      <c r="BN19" s="720"/>
      <c r="BO19" s="720"/>
      <c r="BP19" s="720"/>
      <c r="BQ19" s="720"/>
      <c r="BR19" s="720"/>
      <c r="BS19" s="720"/>
      <c r="BT19" s="720"/>
      <c r="BU19" s="720"/>
      <c r="BV19" s="720"/>
      <c r="BW19" s="720"/>
      <c r="BX19" s="720"/>
      <c r="BY19" s="720"/>
      <c r="BZ19" s="720"/>
      <c r="CA19" s="720"/>
      <c r="CB19" s="721"/>
      <c r="CC19" s="75"/>
      <c r="CD19" s="58"/>
      <c r="CE19" s="76"/>
      <c r="CF19" s="58"/>
    </row>
    <row r="20" spans="1:84" s="4" customFormat="1" ht="12.75" customHeight="1" x14ac:dyDescent="0.15">
      <c r="A20" s="16"/>
      <c r="B20" s="5"/>
      <c r="C20" s="73"/>
      <c r="D20" s="589"/>
      <c r="E20" s="705"/>
      <c r="F20" s="706"/>
      <c r="G20" s="713"/>
      <c r="H20" s="714"/>
      <c r="I20" s="714"/>
      <c r="J20" s="714"/>
      <c r="K20" s="714"/>
      <c r="L20" s="715"/>
      <c r="M20" s="650"/>
      <c r="N20" s="651"/>
      <c r="O20" s="651"/>
      <c r="P20" s="651"/>
      <c r="Q20" s="651"/>
      <c r="R20" s="651"/>
      <c r="S20" s="651"/>
      <c r="T20" s="651"/>
      <c r="U20" s="651"/>
      <c r="V20" s="651"/>
      <c r="W20" s="651"/>
      <c r="X20" s="651"/>
      <c r="Y20" s="651"/>
      <c r="Z20" s="651"/>
      <c r="AA20" s="651"/>
      <c r="AB20" s="651"/>
      <c r="AC20" s="651"/>
      <c r="AD20" s="652"/>
      <c r="AE20" s="722"/>
      <c r="AF20" s="723"/>
      <c r="AG20" s="723"/>
      <c r="AH20" s="723"/>
      <c r="AI20" s="723"/>
      <c r="AJ20" s="723"/>
      <c r="AK20" s="723"/>
      <c r="AL20" s="723"/>
      <c r="AM20" s="723"/>
      <c r="AN20" s="723"/>
      <c r="AO20" s="723"/>
      <c r="AP20" s="723"/>
      <c r="AQ20" s="723"/>
      <c r="AR20" s="723"/>
      <c r="AS20" s="723"/>
      <c r="AT20" s="723"/>
      <c r="AU20" s="723"/>
      <c r="AV20" s="723"/>
      <c r="AW20" s="723"/>
      <c r="AX20" s="723"/>
      <c r="AY20" s="723"/>
      <c r="AZ20" s="723"/>
      <c r="BA20" s="723"/>
      <c r="BB20" s="723"/>
      <c r="BC20" s="723"/>
      <c r="BD20" s="723"/>
      <c r="BE20" s="723"/>
      <c r="BF20" s="723"/>
      <c r="BG20" s="723"/>
      <c r="BH20" s="723"/>
      <c r="BI20" s="723"/>
      <c r="BJ20" s="723"/>
      <c r="BK20" s="723"/>
      <c r="BL20" s="723"/>
      <c r="BM20" s="723"/>
      <c r="BN20" s="723"/>
      <c r="BO20" s="723"/>
      <c r="BP20" s="723"/>
      <c r="BQ20" s="723"/>
      <c r="BR20" s="723"/>
      <c r="BS20" s="723"/>
      <c r="BT20" s="723"/>
      <c r="BU20" s="723"/>
      <c r="BV20" s="723"/>
      <c r="BW20" s="723"/>
      <c r="BX20" s="723"/>
      <c r="BY20" s="723"/>
      <c r="BZ20" s="723"/>
      <c r="CA20" s="723"/>
      <c r="CB20" s="724"/>
      <c r="CC20" s="75"/>
      <c r="CD20" s="58"/>
      <c r="CE20" s="76"/>
      <c r="CF20" s="58"/>
    </row>
    <row r="21" spans="1:84" s="4" customFormat="1" ht="12.75" customHeight="1" x14ac:dyDescent="0.15">
      <c r="A21" s="16"/>
      <c r="B21" s="5"/>
      <c r="C21" s="73"/>
      <c r="D21" s="589"/>
      <c r="E21" s="705"/>
      <c r="F21" s="706"/>
      <c r="G21" s="713"/>
      <c r="H21" s="714"/>
      <c r="I21" s="714"/>
      <c r="J21" s="714"/>
      <c r="K21" s="714"/>
      <c r="L21" s="715"/>
      <c r="M21" s="650"/>
      <c r="N21" s="651"/>
      <c r="O21" s="651"/>
      <c r="P21" s="651"/>
      <c r="Q21" s="651"/>
      <c r="R21" s="651"/>
      <c r="S21" s="651"/>
      <c r="T21" s="651"/>
      <c r="U21" s="651"/>
      <c r="V21" s="651"/>
      <c r="W21" s="651"/>
      <c r="X21" s="651"/>
      <c r="Y21" s="651"/>
      <c r="Z21" s="651"/>
      <c r="AA21" s="651"/>
      <c r="AB21" s="651"/>
      <c r="AC21" s="651"/>
      <c r="AD21" s="652"/>
      <c r="AE21" s="722"/>
      <c r="AF21" s="723"/>
      <c r="AG21" s="723"/>
      <c r="AH21" s="723"/>
      <c r="AI21" s="723"/>
      <c r="AJ21" s="723"/>
      <c r="AK21" s="723"/>
      <c r="AL21" s="723"/>
      <c r="AM21" s="723"/>
      <c r="AN21" s="723"/>
      <c r="AO21" s="723"/>
      <c r="AP21" s="723"/>
      <c r="AQ21" s="723"/>
      <c r="AR21" s="723"/>
      <c r="AS21" s="723"/>
      <c r="AT21" s="723"/>
      <c r="AU21" s="723"/>
      <c r="AV21" s="723"/>
      <c r="AW21" s="723"/>
      <c r="AX21" s="723"/>
      <c r="AY21" s="723"/>
      <c r="AZ21" s="723"/>
      <c r="BA21" s="723"/>
      <c r="BB21" s="723"/>
      <c r="BC21" s="723"/>
      <c r="BD21" s="723"/>
      <c r="BE21" s="723"/>
      <c r="BF21" s="723"/>
      <c r="BG21" s="723"/>
      <c r="BH21" s="723"/>
      <c r="BI21" s="723"/>
      <c r="BJ21" s="723"/>
      <c r="BK21" s="723"/>
      <c r="BL21" s="723"/>
      <c r="BM21" s="723"/>
      <c r="BN21" s="723"/>
      <c r="BO21" s="723"/>
      <c r="BP21" s="723"/>
      <c r="BQ21" s="723"/>
      <c r="BR21" s="723"/>
      <c r="BS21" s="723"/>
      <c r="BT21" s="723"/>
      <c r="BU21" s="723"/>
      <c r="BV21" s="723"/>
      <c r="BW21" s="723"/>
      <c r="BX21" s="723"/>
      <c r="BY21" s="723"/>
      <c r="BZ21" s="723"/>
      <c r="CA21" s="723"/>
      <c r="CB21" s="724"/>
      <c r="CC21" s="75"/>
      <c r="CD21" s="58"/>
      <c r="CE21" s="76"/>
      <c r="CF21" s="58"/>
    </row>
    <row r="22" spans="1:84" s="4" customFormat="1" ht="12.75" customHeight="1" x14ac:dyDescent="0.15">
      <c r="A22" s="16"/>
      <c r="B22" s="5"/>
      <c r="C22" s="73"/>
      <c r="D22" s="589"/>
      <c r="E22" s="705"/>
      <c r="F22" s="706"/>
      <c r="G22" s="713"/>
      <c r="H22" s="714"/>
      <c r="I22" s="714"/>
      <c r="J22" s="714"/>
      <c r="K22" s="714"/>
      <c r="L22" s="715"/>
      <c r="M22" s="650"/>
      <c r="N22" s="651"/>
      <c r="O22" s="651"/>
      <c r="P22" s="651"/>
      <c r="Q22" s="651"/>
      <c r="R22" s="651"/>
      <c r="S22" s="651"/>
      <c r="T22" s="651"/>
      <c r="U22" s="651"/>
      <c r="V22" s="651"/>
      <c r="W22" s="651"/>
      <c r="X22" s="651"/>
      <c r="Y22" s="651"/>
      <c r="Z22" s="651"/>
      <c r="AA22" s="651"/>
      <c r="AB22" s="651"/>
      <c r="AC22" s="651"/>
      <c r="AD22" s="652"/>
      <c r="AE22" s="722"/>
      <c r="AF22" s="723"/>
      <c r="AG22" s="723"/>
      <c r="AH22" s="723"/>
      <c r="AI22" s="723"/>
      <c r="AJ22" s="723"/>
      <c r="AK22" s="723"/>
      <c r="AL22" s="723"/>
      <c r="AM22" s="723"/>
      <c r="AN22" s="723"/>
      <c r="AO22" s="723"/>
      <c r="AP22" s="723"/>
      <c r="AQ22" s="723"/>
      <c r="AR22" s="723"/>
      <c r="AS22" s="723"/>
      <c r="AT22" s="723"/>
      <c r="AU22" s="723"/>
      <c r="AV22" s="723"/>
      <c r="AW22" s="723"/>
      <c r="AX22" s="723"/>
      <c r="AY22" s="723"/>
      <c r="AZ22" s="723"/>
      <c r="BA22" s="723"/>
      <c r="BB22" s="723"/>
      <c r="BC22" s="723"/>
      <c r="BD22" s="723"/>
      <c r="BE22" s="723"/>
      <c r="BF22" s="723"/>
      <c r="BG22" s="723"/>
      <c r="BH22" s="723"/>
      <c r="BI22" s="723"/>
      <c r="BJ22" s="723"/>
      <c r="BK22" s="723"/>
      <c r="BL22" s="723"/>
      <c r="BM22" s="723"/>
      <c r="BN22" s="723"/>
      <c r="BO22" s="723"/>
      <c r="BP22" s="723"/>
      <c r="BQ22" s="723"/>
      <c r="BR22" s="723"/>
      <c r="BS22" s="723"/>
      <c r="BT22" s="723"/>
      <c r="BU22" s="723"/>
      <c r="BV22" s="723"/>
      <c r="BW22" s="723"/>
      <c r="BX22" s="723"/>
      <c r="BY22" s="723"/>
      <c r="BZ22" s="723"/>
      <c r="CA22" s="723"/>
      <c r="CB22" s="724"/>
      <c r="CC22" s="75"/>
      <c r="CD22" s="58"/>
      <c r="CE22" s="76"/>
      <c r="CF22" s="58"/>
    </row>
    <row r="23" spans="1:84" s="4" customFormat="1" ht="12.75" customHeight="1" x14ac:dyDescent="0.15">
      <c r="A23" s="16"/>
      <c r="B23" s="5"/>
      <c r="C23" s="73"/>
      <c r="D23" s="589"/>
      <c r="E23" s="705"/>
      <c r="F23" s="706"/>
      <c r="G23" s="713"/>
      <c r="H23" s="714"/>
      <c r="I23" s="714"/>
      <c r="J23" s="714"/>
      <c r="K23" s="714"/>
      <c r="L23" s="715"/>
      <c r="M23" s="650"/>
      <c r="N23" s="651"/>
      <c r="O23" s="651"/>
      <c r="P23" s="651"/>
      <c r="Q23" s="651"/>
      <c r="R23" s="651"/>
      <c r="S23" s="651"/>
      <c r="T23" s="651"/>
      <c r="U23" s="651"/>
      <c r="V23" s="651"/>
      <c r="W23" s="651"/>
      <c r="X23" s="651"/>
      <c r="Y23" s="651"/>
      <c r="Z23" s="651"/>
      <c r="AA23" s="651"/>
      <c r="AB23" s="651"/>
      <c r="AC23" s="651"/>
      <c r="AD23" s="652"/>
      <c r="AE23" s="722"/>
      <c r="AF23" s="723"/>
      <c r="AG23" s="723"/>
      <c r="AH23" s="723"/>
      <c r="AI23" s="723"/>
      <c r="AJ23" s="723"/>
      <c r="AK23" s="723"/>
      <c r="AL23" s="723"/>
      <c r="AM23" s="723"/>
      <c r="AN23" s="723"/>
      <c r="AO23" s="723"/>
      <c r="AP23" s="723"/>
      <c r="AQ23" s="723"/>
      <c r="AR23" s="723"/>
      <c r="AS23" s="723"/>
      <c r="AT23" s="723"/>
      <c r="AU23" s="723"/>
      <c r="AV23" s="723"/>
      <c r="AW23" s="723"/>
      <c r="AX23" s="723"/>
      <c r="AY23" s="723"/>
      <c r="AZ23" s="723"/>
      <c r="BA23" s="723"/>
      <c r="BB23" s="723"/>
      <c r="BC23" s="723"/>
      <c r="BD23" s="723"/>
      <c r="BE23" s="723"/>
      <c r="BF23" s="723"/>
      <c r="BG23" s="723"/>
      <c r="BH23" s="723"/>
      <c r="BI23" s="723"/>
      <c r="BJ23" s="723"/>
      <c r="BK23" s="723"/>
      <c r="BL23" s="723"/>
      <c r="BM23" s="723"/>
      <c r="BN23" s="723"/>
      <c r="BO23" s="723"/>
      <c r="BP23" s="723"/>
      <c r="BQ23" s="723"/>
      <c r="BR23" s="723"/>
      <c r="BS23" s="723"/>
      <c r="BT23" s="723"/>
      <c r="BU23" s="723"/>
      <c r="BV23" s="723"/>
      <c r="BW23" s="723"/>
      <c r="BX23" s="723"/>
      <c r="BY23" s="723"/>
      <c r="BZ23" s="723"/>
      <c r="CA23" s="723"/>
      <c r="CB23" s="724"/>
      <c r="CC23" s="75"/>
      <c r="CD23" s="58"/>
      <c r="CE23" s="76"/>
      <c r="CF23" s="58"/>
    </row>
    <row r="24" spans="1:84" s="4" customFormat="1" ht="12.75" customHeight="1" x14ac:dyDescent="0.15">
      <c r="A24" s="16"/>
      <c r="B24" s="5"/>
      <c r="C24" s="73"/>
      <c r="D24" s="707"/>
      <c r="E24" s="708"/>
      <c r="F24" s="709"/>
      <c r="G24" s="716"/>
      <c r="H24" s="717"/>
      <c r="I24" s="717"/>
      <c r="J24" s="717"/>
      <c r="K24" s="717"/>
      <c r="L24" s="718"/>
      <c r="M24" s="653"/>
      <c r="N24" s="654"/>
      <c r="O24" s="654"/>
      <c r="P24" s="654"/>
      <c r="Q24" s="654"/>
      <c r="R24" s="654"/>
      <c r="S24" s="654"/>
      <c r="T24" s="654"/>
      <c r="U24" s="654"/>
      <c r="V24" s="654"/>
      <c r="W24" s="654"/>
      <c r="X24" s="654"/>
      <c r="Y24" s="654"/>
      <c r="Z24" s="654"/>
      <c r="AA24" s="654"/>
      <c r="AB24" s="654"/>
      <c r="AC24" s="654"/>
      <c r="AD24" s="655"/>
      <c r="AE24" s="725"/>
      <c r="AF24" s="726"/>
      <c r="AG24" s="726"/>
      <c r="AH24" s="726"/>
      <c r="AI24" s="726"/>
      <c r="AJ24" s="726"/>
      <c r="AK24" s="726"/>
      <c r="AL24" s="726"/>
      <c r="AM24" s="726"/>
      <c r="AN24" s="726"/>
      <c r="AO24" s="726"/>
      <c r="AP24" s="726"/>
      <c r="AQ24" s="726"/>
      <c r="AR24" s="726"/>
      <c r="AS24" s="726"/>
      <c r="AT24" s="726"/>
      <c r="AU24" s="726"/>
      <c r="AV24" s="726"/>
      <c r="AW24" s="726"/>
      <c r="AX24" s="726"/>
      <c r="AY24" s="726"/>
      <c r="AZ24" s="726"/>
      <c r="BA24" s="726"/>
      <c r="BB24" s="726"/>
      <c r="BC24" s="726"/>
      <c r="BD24" s="726"/>
      <c r="BE24" s="726"/>
      <c r="BF24" s="726"/>
      <c r="BG24" s="726"/>
      <c r="BH24" s="726"/>
      <c r="BI24" s="726"/>
      <c r="BJ24" s="726"/>
      <c r="BK24" s="726"/>
      <c r="BL24" s="726"/>
      <c r="BM24" s="726"/>
      <c r="BN24" s="726"/>
      <c r="BO24" s="726"/>
      <c r="BP24" s="726"/>
      <c r="BQ24" s="726"/>
      <c r="BR24" s="726"/>
      <c r="BS24" s="726"/>
      <c r="BT24" s="726"/>
      <c r="BU24" s="726"/>
      <c r="BV24" s="726"/>
      <c r="BW24" s="726"/>
      <c r="BX24" s="726"/>
      <c r="BY24" s="726"/>
      <c r="BZ24" s="726"/>
      <c r="CA24" s="726"/>
      <c r="CB24" s="727"/>
      <c r="CC24" s="75"/>
      <c r="CD24" s="58"/>
      <c r="CE24" s="76"/>
      <c r="CF24" s="58"/>
    </row>
    <row r="25" spans="1:84" s="4" customFormat="1" ht="12.75" customHeight="1" x14ac:dyDescent="0.15">
      <c r="A25" s="16"/>
      <c r="B25" s="5"/>
      <c r="C25" s="73"/>
      <c r="D25" s="586">
        <v>2</v>
      </c>
      <c r="E25" s="703"/>
      <c r="F25" s="704"/>
      <c r="G25" s="762" t="s">
        <v>395</v>
      </c>
      <c r="H25" s="763"/>
      <c r="I25" s="763"/>
      <c r="J25" s="763"/>
      <c r="K25" s="763"/>
      <c r="L25" s="764"/>
      <c r="M25" s="647" t="s">
        <v>799</v>
      </c>
      <c r="N25" s="648"/>
      <c r="O25" s="648"/>
      <c r="P25" s="648"/>
      <c r="Q25" s="648"/>
      <c r="R25" s="648"/>
      <c r="S25" s="648"/>
      <c r="T25" s="648"/>
      <c r="U25" s="648"/>
      <c r="V25" s="648"/>
      <c r="W25" s="648"/>
      <c r="X25" s="648"/>
      <c r="Y25" s="648"/>
      <c r="Z25" s="648"/>
      <c r="AA25" s="648"/>
      <c r="AB25" s="648"/>
      <c r="AC25" s="648"/>
      <c r="AD25" s="649"/>
      <c r="AE25" s="647" t="s">
        <v>800</v>
      </c>
      <c r="AF25" s="648"/>
      <c r="AG25" s="648"/>
      <c r="AH25" s="648"/>
      <c r="AI25" s="648"/>
      <c r="AJ25" s="648"/>
      <c r="AK25" s="648"/>
      <c r="AL25" s="648"/>
      <c r="AM25" s="648"/>
      <c r="AN25" s="648"/>
      <c r="AO25" s="648"/>
      <c r="AP25" s="648"/>
      <c r="AQ25" s="648"/>
      <c r="AR25" s="648"/>
      <c r="AS25" s="648"/>
      <c r="AT25" s="648"/>
      <c r="AU25" s="648"/>
      <c r="AV25" s="648"/>
      <c r="AW25" s="648"/>
      <c r="AX25" s="648"/>
      <c r="AY25" s="648"/>
      <c r="AZ25" s="648"/>
      <c r="BA25" s="648"/>
      <c r="BB25" s="648"/>
      <c r="BC25" s="648"/>
      <c r="BD25" s="648"/>
      <c r="BE25" s="648"/>
      <c r="BF25" s="648"/>
      <c r="BG25" s="648"/>
      <c r="BH25" s="648"/>
      <c r="BI25" s="648"/>
      <c r="BJ25" s="648"/>
      <c r="BK25" s="648"/>
      <c r="BL25" s="648"/>
      <c r="BM25" s="648"/>
      <c r="BN25" s="648"/>
      <c r="BO25" s="648"/>
      <c r="BP25" s="648"/>
      <c r="BQ25" s="648"/>
      <c r="BR25" s="648"/>
      <c r="BS25" s="648"/>
      <c r="BT25" s="648"/>
      <c r="BU25" s="648"/>
      <c r="BV25" s="648"/>
      <c r="BW25" s="648"/>
      <c r="BX25" s="648"/>
      <c r="BY25" s="648"/>
      <c r="BZ25" s="648"/>
      <c r="CA25" s="648"/>
      <c r="CB25" s="649"/>
      <c r="CC25" s="75"/>
      <c r="CD25" s="58"/>
      <c r="CE25" s="76"/>
      <c r="CF25" s="58"/>
    </row>
    <row r="26" spans="1:84" s="4" customFormat="1" ht="12.75" customHeight="1" x14ac:dyDescent="0.15">
      <c r="A26" s="16"/>
      <c r="B26" s="5"/>
      <c r="C26" s="73"/>
      <c r="D26" s="589"/>
      <c r="E26" s="705"/>
      <c r="F26" s="706"/>
      <c r="G26" s="743"/>
      <c r="H26" s="765"/>
      <c r="I26" s="765"/>
      <c r="J26" s="765"/>
      <c r="K26" s="765"/>
      <c r="L26" s="745"/>
      <c r="M26" s="650"/>
      <c r="N26" s="651"/>
      <c r="O26" s="651"/>
      <c r="P26" s="651"/>
      <c r="Q26" s="651"/>
      <c r="R26" s="651"/>
      <c r="S26" s="651"/>
      <c r="T26" s="651"/>
      <c r="U26" s="651"/>
      <c r="V26" s="651"/>
      <c r="W26" s="651"/>
      <c r="X26" s="651"/>
      <c r="Y26" s="651"/>
      <c r="Z26" s="651"/>
      <c r="AA26" s="651"/>
      <c r="AB26" s="651"/>
      <c r="AC26" s="651"/>
      <c r="AD26" s="652"/>
      <c r="AE26" s="650"/>
      <c r="AF26" s="651"/>
      <c r="AG26" s="651"/>
      <c r="AH26" s="651"/>
      <c r="AI26" s="651"/>
      <c r="AJ26" s="651"/>
      <c r="AK26" s="651"/>
      <c r="AL26" s="651"/>
      <c r="AM26" s="651"/>
      <c r="AN26" s="651"/>
      <c r="AO26" s="651"/>
      <c r="AP26" s="651"/>
      <c r="AQ26" s="651"/>
      <c r="AR26" s="651"/>
      <c r="AS26" s="651"/>
      <c r="AT26" s="651"/>
      <c r="AU26" s="651"/>
      <c r="AV26" s="651"/>
      <c r="AW26" s="651"/>
      <c r="AX26" s="651"/>
      <c r="AY26" s="651"/>
      <c r="AZ26" s="651"/>
      <c r="BA26" s="651"/>
      <c r="BB26" s="651"/>
      <c r="BC26" s="651"/>
      <c r="BD26" s="651"/>
      <c r="BE26" s="651"/>
      <c r="BF26" s="651"/>
      <c r="BG26" s="651"/>
      <c r="BH26" s="651"/>
      <c r="BI26" s="651"/>
      <c r="BJ26" s="651"/>
      <c r="BK26" s="651"/>
      <c r="BL26" s="651"/>
      <c r="BM26" s="651"/>
      <c r="BN26" s="651"/>
      <c r="BO26" s="651"/>
      <c r="BP26" s="651"/>
      <c r="BQ26" s="651"/>
      <c r="BR26" s="651"/>
      <c r="BS26" s="651"/>
      <c r="BT26" s="651"/>
      <c r="BU26" s="651"/>
      <c r="BV26" s="651"/>
      <c r="BW26" s="651"/>
      <c r="BX26" s="651"/>
      <c r="BY26" s="651"/>
      <c r="BZ26" s="651"/>
      <c r="CA26" s="651"/>
      <c r="CB26" s="652"/>
      <c r="CC26" s="75"/>
      <c r="CD26" s="58"/>
      <c r="CE26" s="76"/>
      <c r="CF26" s="58"/>
    </row>
    <row r="27" spans="1:84" s="4" customFormat="1" ht="12.75" customHeight="1" x14ac:dyDescent="0.15">
      <c r="A27" s="16"/>
      <c r="B27" s="5"/>
      <c r="C27" s="73"/>
      <c r="D27" s="589"/>
      <c r="E27" s="705"/>
      <c r="F27" s="706"/>
      <c r="G27" s="743"/>
      <c r="H27" s="765"/>
      <c r="I27" s="765"/>
      <c r="J27" s="765"/>
      <c r="K27" s="765"/>
      <c r="L27" s="745"/>
      <c r="M27" s="650"/>
      <c r="N27" s="651"/>
      <c r="O27" s="651"/>
      <c r="P27" s="651"/>
      <c r="Q27" s="651"/>
      <c r="R27" s="651"/>
      <c r="S27" s="651"/>
      <c r="T27" s="651"/>
      <c r="U27" s="651"/>
      <c r="V27" s="651"/>
      <c r="W27" s="651"/>
      <c r="X27" s="651"/>
      <c r="Y27" s="651"/>
      <c r="Z27" s="651"/>
      <c r="AA27" s="651"/>
      <c r="AB27" s="651"/>
      <c r="AC27" s="651"/>
      <c r="AD27" s="652"/>
      <c r="AE27" s="650"/>
      <c r="AF27" s="651"/>
      <c r="AG27" s="651"/>
      <c r="AH27" s="651"/>
      <c r="AI27" s="651"/>
      <c r="AJ27" s="651"/>
      <c r="AK27" s="651"/>
      <c r="AL27" s="651"/>
      <c r="AM27" s="651"/>
      <c r="AN27" s="651"/>
      <c r="AO27" s="651"/>
      <c r="AP27" s="651"/>
      <c r="AQ27" s="651"/>
      <c r="AR27" s="651"/>
      <c r="AS27" s="651"/>
      <c r="AT27" s="651"/>
      <c r="AU27" s="651"/>
      <c r="AV27" s="651"/>
      <c r="AW27" s="651"/>
      <c r="AX27" s="651"/>
      <c r="AY27" s="651"/>
      <c r="AZ27" s="651"/>
      <c r="BA27" s="651"/>
      <c r="BB27" s="651"/>
      <c r="BC27" s="651"/>
      <c r="BD27" s="651"/>
      <c r="BE27" s="651"/>
      <c r="BF27" s="651"/>
      <c r="BG27" s="651"/>
      <c r="BH27" s="651"/>
      <c r="BI27" s="651"/>
      <c r="BJ27" s="651"/>
      <c r="BK27" s="651"/>
      <c r="BL27" s="651"/>
      <c r="BM27" s="651"/>
      <c r="BN27" s="651"/>
      <c r="BO27" s="651"/>
      <c r="BP27" s="651"/>
      <c r="BQ27" s="651"/>
      <c r="BR27" s="651"/>
      <c r="BS27" s="651"/>
      <c r="BT27" s="651"/>
      <c r="BU27" s="651"/>
      <c r="BV27" s="651"/>
      <c r="BW27" s="651"/>
      <c r="BX27" s="651"/>
      <c r="BY27" s="651"/>
      <c r="BZ27" s="651"/>
      <c r="CA27" s="651"/>
      <c r="CB27" s="652"/>
      <c r="CC27" s="75"/>
      <c r="CD27" s="58"/>
      <c r="CE27" s="76"/>
      <c r="CF27" s="58"/>
    </row>
    <row r="28" spans="1:84" s="4" customFormat="1" ht="12.75" customHeight="1" x14ac:dyDescent="0.15">
      <c r="A28" s="16"/>
      <c r="B28" s="5"/>
      <c r="C28" s="73"/>
      <c r="D28" s="707"/>
      <c r="E28" s="708"/>
      <c r="F28" s="709"/>
      <c r="G28" s="746"/>
      <c r="H28" s="747"/>
      <c r="I28" s="747"/>
      <c r="J28" s="747"/>
      <c r="K28" s="747"/>
      <c r="L28" s="748"/>
      <c r="M28" s="650"/>
      <c r="N28" s="651"/>
      <c r="O28" s="651"/>
      <c r="P28" s="651"/>
      <c r="Q28" s="651"/>
      <c r="R28" s="651"/>
      <c r="S28" s="651"/>
      <c r="T28" s="651"/>
      <c r="U28" s="651"/>
      <c r="V28" s="651"/>
      <c r="W28" s="651"/>
      <c r="X28" s="651"/>
      <c r="Y28" s="651"/>
      <c r="Z28" s="651"/>
      <c r="AA28" s="651"/>
      <c r="AB28" s="651"/>
      <c r="AC28" s="651"/>
      <c r="AD28" s="652"/>
      <c r="AE28" s="653"/>
      <c r="AF28" s="654"/>
      <c r="AG28" s="654"/>
      <c r="AH28" s="654"/>
      <c r="AI28" s="654"/>
      <c r="AJ28" s="654"/>
      <c r="AK28" s="654"/>
      <c r="AL28" s="654"/>
      <c r="AM28" s="654"/>
      <c r="AN28" s="654"/>
      <c r="AO28" s="654"/>
      <c r="AP28" s="654"/>
      <c r="AQ28" s="654"/>
      <c r="AR28" s="654"/>
      <c r="AS28" s="654"/>
      <c r="AT28" s="654"/>
      <c r="AU28" s="654"/>
      <c r="AV28" s="654"/>
      <c r="AW28" s="654"/>
      <c r="AX28" s="654"/>
      <c r="AY28" s="654"/>
      <c r="AZ28" s="654"/>
      <c r="BA28" s="654"/>
      <c r="BB28" s="654"/>
      <c r="BC28" s="654"/>
      <c r="BD28" s="654"/>
      <c r="BE28" s="654"/>
      <c r="BF28" s="654"/>
      <c r="BG28" s="654"/>
      <c r="BH28" s="654"/>
      <c r="BI28" s="654"/>
      <c r="BJ28" s="654"/>
      <c r="BK28" s="654"/>
      <c r="BL28" s="654"/>
      <c r="BM28" s="654"/>
      <c r="BN28" s="654"/>
      <c r="BO28" s="654"/>
      <c r="BP28" s="654"/>
      <c r="BQ28" s="654"/>
      <c r="BR28" s="654"/>
      <c r="BS28" s="654"/>
      <c r="BT28" s="654"/>
      <c r="BU28" s="654"/>
      <c r="BV28" s="654"/>
      <c r="BW28" s="654"/>
      <c r="BX28" s="654"/>
      <c r="BY28" s="654"/>
      <c r="BZ28" s="654"/>
      <c r="CA28" s="654"/>
      <c r="CB28" s="655"/>
      <c r="CC28" s="75"/>
      <c r="CD28" s="58"/>
      <c r="CE28" s="76"/>
      <c r="CF28" s="58"/>
    </row>
    <row r="29" spans="1:84" s="4" customFormat="1" ht="12.75" customHeight="1" x14ac:dyDescent="0.15">
      <c r="A29" s="16"/>
      <c r="B29" s="5"/>
      <c r="C29" s="73"/>
      <c r="D29" s="586">
        <v>3</v>
      </c>
      <c r="E29" s="703"/>
      <c r="F29" s="704"/>
      <c r="G29" s="767" t="s">
        <v>396</v>
      </c>
      <c r="H29" s="767"/>
      <c r="I29" s="767"/>
      <c r="J29" s="767"/>
      <c r="K29" s="767"/>
      <c r="L29" s="767"/>
      <c r="M29" s="768" t="s">
        <v>397</v>
      </c>
      <c r="N29" s="768"/>
      <c r="O29" s="768"/>
      <c r="P29" s="768"/>
      <c r="Q29" s="768"/>
      <c r="R29" s="768"/>
      <c r="S29" s="768"/>
      <c r="T29" s="768"/>
      <c r="U29" s="768"/>
      <c r="V29" s="768"/>
      <c r="W29" s="768"/>
      <c r="X29" s="768"/>
      <c r="Y29" s="768"/>
      <c r="Z29" s="768"/>
      <c r="AA29" s="768"/>
      <c r="AB29" s="768"/>
      <c r="AC29" s="768"/>
      <c r="AD29" s="768"/>
      <c r="AE29" s="719" t="s">
        <v>925</v>
      </c>
      <c r="AF29" s="720"/>
      <c r="AG29" s="720"/>
      <c r="AH29" s="720"/>
      <c r="AI29" s="720"/>
      <c r="AJ29" s="720"/>
      <c r="AK29" s="720"/>
      <c r="AL29" s="720"/>
      <c r="AM29" s="720"/>
      <c r="AN29" s="720"/>
      <c r="AO29" s="720"/>
      <c r="AP29" s="720"/>
      <c r="AQ29" s="720"/>
      <c r="AR29" s="720"/>
      <c r="AS29" s="720"/>
      <c r="AT29" s="720"/>
      <c r="AU29" s="720"/>
      <c r="AV29" s="720"/>
      <c r="AW29" s="720"/>
      <c r="AX29" s="720"/>
      <c r="AY29" s="720"/>
      <c r="AZ29" s="720"/>
      <c r="BA29" s="720"/>
      <c r="BB29" s="720"/>
      <c r="BC29" s="720"/>
      <c r="BD29" s="720"/>
      <c r="BE29" s="720"/>
      <c r="BF29" s="720"/>
      <c r="BG29" s="720"/>
      <c r="BH29" s="720"/>
      <c r="BI29" s="720"/>
      <c r="BJ29" s="720"/>
      <c r="BK29" s="720"/>
      <c r="BL29" s="720"/>
      <c r="BM29" s="720"/>
      <c r="BN29" s="720"/>
      <c r="BO29" s="720"/>
      <c r="BP29" s="720"/>
      <c r="BQ29" s="720"/>
      <c r="BR29" s="720"/>
      <c r="BS29" s="720"/>
      <c r="BT29" s="720"/>
      <c r="BU29" s="720"/>
      <c r="BV29" s="720"/>
      <c r="BW29" s="720"/>
      <c r="BX29" s="720"/>
      <c r="BY29" s="720"/>
      <c r="BZ29" s="720"/>
      <c r="CA29" s="720"/>
      <c r="CB29" s="721"/>
      <c r="CC29" s="75"/>
      <c r="CD29" s="58"/>
      <c r="CE29" s="76"/>
      <c r="CF29" s="58"/>
    </row>
    <row r="30" spans="1:84" s="4" customFormat="1" ht="12.75" customHeight="1" x14ac:dyDescent="0.15">
      <c r="A30" s="16"/>
      <c r="B30" s="5"/>
      <c r="C30" s="73"/>
      <c r="D30" s="589"/>
      <c r="E30" s="705"/>
      <c r="F30" s="706"/>
      <c r="G30" s="767"/>
      <c r="H30" s="767"/>
      <c r="I30" s="767"/>
      <c r="J30" s="767"/>
      <c r="K30" s="767"/>
      <c r="L30" s="767"/>
      <c r="M30" s="768"/>
      <c r="N30" s="768"/>
      <c r="O30" s="768"/>
      <c r="P30" s="768"/>
      <c r="Q30" s="768"/>
      <c r="R30" s="768"/>
      <c r="S30" s="768"/>
      <c r="T30" s="768"/>
      <c r="U30" s="768"/>
      <c r="V30" s="768"/>
      <c r="W30" s="768"/>
      <c r="X30" s="768"/>
      <c r="Y30" s="768"/>
      <c r="Z30" s="768"/>
      <c r="AA30" s="768"/>
      <c r="AB30" s="768"/>
      <c r="AC30" s="768"/>
      <c r="AD30" s="768"/>
      <c r="AE30" s="722"/>
      <c r="AF30" s="723"/>
      <c r="AG30" s="723"/>
      <c r="AH30" s="723"/>
      <c r="AI30" s="723"/>
      <c r="AJ30" s="723"/>
      <c r="AK30" s="723"/>
      <c r="AL30" s="723"/>
      <c r="AM30" s="723"/>
      <c r="AN30" s="723"/>
      <c r="AO30" s="723"/>
      <c r="AP30" s="723"/>
      <c r="AQ30" s="723"/>
      <c r="AR30" s="723"/>
      <c r="AS30" s="723"/>
      <c r="AT30" s="723"/>
      <c r="AU30" s="723"/>
      <c r="AV30" s="723"/>
      <c r="AW30" s="723"/>
      <c r="AX30" s="723"/>
      <c r="AY30" s="723"/>
      <c r="AZ30" s="723"/>
      <c r="BA30" s="723"/>
      <c r="BB30" s="723"/>
      <c r="BC30" s="723"/>
      <c r="BD30" s="723"/>
      <c r="BE30" s="723"/>
      <c r="BF30" s="723"/>
      <c r="BG30" s="723"/>
      <c r="BH30" s="723"/>
      <c r="BI30" s="723"/>
      <c r="BJ30" s="723"/>
      <c r="BK30" s="723"/>
      <c r="BL30" s="723"/>
      <c r="BM30" s="723"/>
      <c r="BN30" s="723"/>
      <c r="BO30" s="723"/>
      <c r="BP30" s="723"/>
      <c r="BQ30" s="723"/>
      <c r="BR30" s="723"/>
      <c r="BS30" s="723"/>
      <c r="BT30" s="723"/>
      <c r="BU30" s="723"/>
      <c r="BV30" s="723"/>
      <c r="BW30" s="723"/>
      <c r="BX30" s="723"/>
      <c r="BY30" s="723"/>
      <c r="BZ30" s="723"/>
      <c r="CA30" s="723"/>
      <c r="CB30" s="724"/>
      <c r="CC30" s="75"/>
      <c r="CD30" s="58"/>
      <c r="CE30" s="76"/>
      <c r="CF30" s="58"/>
    </row>
    <row r="31" spans="1:84" s="4" customFormat="1" ht="12.75" customHeight="1" x14ac:dyDescent="0.15">
      <c r="A31" s="16"/>
      <c r="B31" s="5"/>
      <c r="C31" s="73"/>
      <c r="D31" s="589"/>
      <c r="E31" s="705"/>
      <c r="F31" s="706"/>
      <c r="G31" s="767"/>
      <c r="H31" s="767"/>
      <c r="I31" s="767"/>
      <c r="J31" s="767"/>
      <c r="K31" s="767"/>
      <c r="L31" s="767"/>
      <c r="M31" s="768"/>
      <c r="N31" s="768"/>
      <c r="O31" s="768"/>
      <c r="P31" s="768"/>
      <c r="Q31" s="768"/>
      <c r="R31" s="768"/>
      <c r="S31" s="768"/>
      <c r="T31" s="768"/>
      <c r="U31" s="768"/>
      <c r="V31" s="768"/>
      <c r="W31" s="768"/>
      <c r="X31" s="768"/>
      <c r="Y31" s="768"/>
      <c r="Z31" s="768"/>
      <c r="AA31" s="768"/>
      <c r="AB31" s="768"/>
      <c r="AC31" s="768"/>
      <c r="AD31" s="768"/>
      <c r="AE31" s="722"/>
      <c r="AF31" s="723"/>
      <c r="AG31" s="723"/>
      <c r="AH31" s="723"/>
      <c r="AI31" s="723"/>
      <c r="AJ31" s="723"/>
      <c r="AK31" s="723"/>
      <c r="AL31" s="723"/>
      <c r="AM31" s="723"/>
      <c r="AN31" s="723"/>
      <c r="AO31" s="723"/>
      <c r="AP31" s="723"/>
      <c r="AQ31" s="723"/>
      <c r="AR31" s="723"/>
      <c r="AS31" s="723"/>
      <c r="AT31" s="723"/>
      <c r="AU31" s="723"/>
      <c r="AV31" s="723"/>
      <c r="AW31" s="723"/>
      <c r="AX31" s="723"/>
      <c r="AY31" s="723"/>
      <c r="AZ31" s="723"/>
      <c r="BA31" s="723"/>
      <c r="BB31" s="723"/>
      <c r="BC31" s="723"/>
      <c r="BD31" s="723"/>
      <c r="BE31" s="723"/>
      <c r="BF31" s="723"/>
      <c r="BG31" s="723"/>
      <c r="BH31" s="723"/>
      <c r="BI31" s="723"/>
      <c r="BJ31" s="723"/>
      <c r="BK31" s="723"/>
      <c r="BL31" s="723"/>
      <c r="BM31" s="723"/>
      <c r="BN31" s="723"/>
      <c r="BO31" s="723"/>
      <c r="BP31" s="723"/>
      <c r="BQ31" s="723"/>
      <c r="BR31" s="723"/>
      <c r="BS31" s="723"/>
      <c r="BT31" s="723"/>
      <c r="BU31" s="723"/>
      <c r="BV31" s="723"/>
      <c r="BW31" s="723"/>
      <c r="BX31" s="723"/>
      <c r="BY31" s="723"/>
      <c r="BZ31" s="723"/>
      <c r="CA31" s="723"/>
      <c r="CB31" s="724"/>
      <c r="CC31" s="75"/>
      <c r="CD31" s="58"/>
      <c r="CE31" s="76"/>
      <c r="CF31" s="58"/>
    </row>
    <row r="32" spans="1:84" s="4" customFormat="1" ht="12.75" customHeight="1" x14ac:dyDescent="0.15">
      <c r="A32" s="16"/>
      <c r="B32" s="5"/>
      <c r="C32" s="73"/>
      <c r="D32" s="589"/>
      <c r="E32" s="705"/>
      <c r="F32" s="706"/>
      <c r="G32" s="767"/>
      <c r="H32" s="767"/>
      <c r="I32" s="767"/>
      <c r="J32" s="767"/>
      <c r="K32" s="767"/>
      <c r="L32" s="767"/>
      <c r="M32" s="768"/>
      <c r="N32" s="768"/>
      <c r="O32" s="768"/>
      <c r="P32" s="768"/>
      <c r="Q32" s="768"/>
      <c r="R32" s="768"/>
      <c r="S32" s="768"/>
      <c r="T32" s="768"/>
      <c r="U32" s="768"/>
      <c r="V32" s="768"/>
      <c r="W32" s="768"/>
      <c r="X32" s="768"/>
      <c r="Y32" s="768"/>
      <c r="Z32" s="768"/>
      <c r="AA32" s="768"/>
      <c r="AB32" s="768"/>
      <c r="AC32" s="768"/>
      <c r="AD32" s="768"/>
      <c r="AE32" s="722"/>
      <c r="AF32" s="723"/>
      <c r="AG32" s="723"/>
      <c r="AH32" s="723"/>
      <c r="AI32" s="723"/>
      <c r="AJ32" s="723"/>
      <c r="AK32" s="723"/>
      <c r="AL32" s="723"/>
      <c r="AM32" s="723"/>
      <c r="AN32" s="723"/>
      <c r="AO32" s="723"/>
      <c r="AP32" s="723"/>
      <c r="AQ32" s="723"/>
      <c r="AR32" s="723"/>
      <c r="AS32" s="723"/>
      <c r="AT32" s="723"/>
      <c r="AU32" s="723"/>
      <c r="AV32" s="723"/>
      <c r="AW32" s="723"/>
      <c r="AX32" s="723"/>
      <c r="AY32" s="723"/>
      <c r="AZ32" s="723"/>
      <c r="BA32" s="723"/>
      <c r="BB32" s="723"/>
      <c r="BC32" s="723"/>
      <c r="BD32" s="723"/>
      <c r="BE32" s="723"/>
      <c r="BF32" s="723"/>
      <c r="BG32" s="723"/>
      <c r="BH32" s="723"/>
      <c r="BI32" s="723"/>
      <c r="BJ32" s="723"/>
      <c r="BK32" s="723"/>
      <c r="BL32" s="723"/>
      <c r="BM32" s="723"/>
      <c r="BN32" s="723"/>
      <c r="BO32" s="723"/>
      <c r="BP32" s="723"/>
      <c r="BQ32" s="723"/>
      <c r="BR32" s="723"/>
      <c r="BS32" s="723"/>
      <c r="BT32" s="723"/>
      <c r="BU32" s="723"/>
      <c r="BV32" s="723"/>
      <c r="BW32" s="723"/>
      <c r="BX32" s="723"/>
      <c r="BY32" s="723"/>
      <c r="BZ32" s="723"/>
      <c r="CA32" s="723"/>
      <c r="CB32" s="724"/>
      <c r="CC32" s="75"/>
      <c r="CD32" s="58"/>
      <c r="CE32" s="76"/>
      <c r="CF32" s="58"/>
    </row>
    <row r="33" spans="1:84" s="4" customFormat="1" ht="12.75" customHeight="1" x14ac:dyDescent="0.15">
      <c r="A33" s="16"/>
      <c r="B33" s="5"/>
      <c r="C33" s="73"/>
      <c r="D33" s="707"/>
      <c r="E33" s="708"/>
      <c r="F33" s="709"/>
      <c r="G33" s="767"/>
      <c r="H33" s="767"/>
      <c r="I33" s="767"/>
      <c r="J33" s="767"/>
      <c r="K33" s="767"/>
      <c r="L33" s="767"/>
      <c r="M33" s="768"/>
      <c r="N33" s="768"/>
      <c r="O33" s="768"/>
      <c r="P33" s="768"/>
      <c r="Q33" s="768"/>
      <c r="R33" s="768"/>
      <c r="S33" s="768"/>
      <c r="T33" s="768"/>
      <c r="U33" s="768"/>
      <c r="V33" s="768"/>
      <c r="W33" s="768"/>
      <c r="X33" s="768"/>
      <c r="Y33" s="768"/>
      <c r="Z33" s="768"/>
      <c r="AA33" s="768"/>
      <c r="AB33" s="768"/>
      <c r="AC33" s="768"/>
      <c r="AD33" s="768"/>
      <c r="AE33" s="725"/>
      <c r="AF33" s="726"/>
      <c r="AG33" s="726"/>
      <c r="AH33" s="726"/>
      <c r="AI33" s="726"/>
      <c r="AJ33" s="726"/>
      <c r="AK33" s="726"/>
      <c r="AL33" s="726"/>
      <c r="AM33" s="726"/>
      <c r="AN33" s="726"/>
      <c r="AO33" s="726"/>
      <c r="AP33" s="726"/>
      <c r="AQ33" s="726"/>
      <c r="AR33" s="726"/>
      <c r="AS33" s="726"/>
      <c r="AT33" s="726"/>
      <c r="AU33" s="726"/>
      <c r="AV33" s="726"/>
      <c r="AW33" s="726"/>
      <c r="AX33" s="726"/>
      <c r="AY33" s="726"/>
      <c r="AZ33" s="726"/>
      <c r="BA33" s="726"/>
      <c r="BB33" s="726"/>
      <c r="BC33" s="726"/>
      <c r="BD33" s="726"/>
      <c r="BE33" s="726"/>
      <c r="BF33" s="726"/>
      <c r="BG33" s="726"/>
      <c r="BH33" s="726"/>
      <c r="BI33" s="726"/>
      <c r="BJ33" s="726"/>
      <c r="BK33" s="726"/>
      <c r="BL33" s="726"/>
      <c r="BM33" s="726"/>
      <c r="BN33" s="726"/>
      <c r="BO33" s="726"/>
      <c r="BP33" s="726"/>
      <c r="BQ33" s="726"/>
      <c r="BR33" s="726"/>
      <c r="BS33" s="726"/>
      <c r="BT33" s="726"/>
      <c r="BU33" s="726"/>
      <c r="BV33" s="726"/>
      <c r="BW33" s="726"/>
      <c r="BX33" s="726"/>
      <c r="BY33" s="726"/>
      <c r="BZ33" s="726"/>
      <c r="CA33" s="726"/>
      <c r="CB33" s="727"/>
      <c r="CC33" s="75"/>
      <c r="CD33" s="58"/>
      <c r="CE33" s="76"/>
      <c r="CF33" s="58"/>
    </row>
    <row r="34" spans="1:84" s="4" customFormat="1" ht="12.75" customHeight="1" x14ac:dyDescent="0.15">
      <c r="A34" s="16"/>
      <c r="B34" s="5"/>
      <c r="C34" s="73"/>
      <c r="D34" s="586">
        <v>4</v>
      </c>
      <c r="E34" s="703"/>
      <c r="F34" s="704"/>
      <c r="G34" s="710" t="s">
        <v>398</v>
      </c>
      <c r="H34" s="711"/>
      <c r="I34" s="711"/>
      <c r="J34" s="711"/>
      <c r="K34" s="711"/>
      <c r="L34" s="712"/>
      <c r="M34" s="719" t="s">
        <v>399</v>
      </c>
      <c r="N34" s="720"/>
      <c r="O34" s="720"/>
      <c r="P34" s="720"/>
      <c r="Q34" s="720"/>
      <c r="R34" s="720"/>
      <c r="S34" s="720"/>
      <c r="T34" s="720"/>
      <c r="U34" s="720"/>
      <c r="V34" s="720"/>
      <c r="W34" s="720"/>
      <c r="X34" s="720"/>
      <c r="Y34" s="720"/>
      <c r="Z34" s="720"/>
      <c r="AA34" s="720"/>
      <c r="AB34" s="720"/>
      <c r="AC34" s="720"/>
      <c r="AD34" s="721"/>
      <c r="AE34" s="719" t="s">
        <v>925</v>
      </c>
      <c r="AF34" s="720"/>
      <c r="AG34" s="720"/>
      <c r="AH34" s="720"/>
      <c r="AI34" s="720"/>
      <c r="AJ34" s="720"/>
      <c r="AK34" s="720"/>
      <c r="AL34" s="720"/>
      <c r="AM34" s="720"/>
      <c r="AN34" s="720"/>
      <c r="AO34" s="720"/>
      <c r="AP34" s="720"/>
      <c r="AQ34" s="720"/>
      <c r="AR34" s="720"/>
      <c r="AS34" s="720"/>
      <c r="AT34" s="720"/>
      <c r="AU34" s="720"/>
      <c r="AV34" s="720"/>
      <c r="AW34" s="720"/>
      <c r="AX34" s="720"/>
      <c r="AY34" s="720"/>
      <c r="AZ34" s="720"/>
      <c r="BA34" s="720"/>
      <c r="BB34" s="720"/>
      <c r="BC34" s="720"/>
      <c r="BD34" s="720"/>
      <c r="BE34" s="720"/>
      <c r="BF34" s="720"/>
      <c r="BG34" s="720"/>
      <c r="BH34" s="720"/>
      <c r="BI34" s="720"/>
      <c r="BJ34" s="720"/>
      <c r="BK34" s="720"/>
      <c r="BL34" s="720"/>
      <c r="BM34" s="720"/>
      <c r="BN34" s="720"/>
      <c r="BO34" s="720"/>
      <c r="BP34" s="720"/>
      <c r="BQ34" s="720"/>
      <c r="BR34" s="720"/>
      <c r="BS34" s="720"/>
      <c r="BT34" s="720"/>
      <c r="BU34" s="720"/>
      <c r="BV34" s="720"/>
      <c r="BW34" s="720"/>
      <c r="BX34" s="720"/>
      <c r="BY34" s="720"/>
      <c r="BZ34" s="720"/>
      <c r="CA34" s="720"/>
      <c r="CB34" s="721"/>
      <c r="CC34" s="75"/>
      <c r="CD34" s="58"/>
      <c r="CE34" s="76"/>
      <c r="CF34" s="58"/>
    </row>
    <row r="35" spans="1:84" s="4" customFormat="1" ht="12.75" customHeight="1" x14ac:dyDescent="0.15">
      <c r="A35" s="16"/>
      <c r="B35" s="5"/>
      <c r="C35" s="73"/>
      <c r="D35" s="589"/>
      <c r="E35" s="705"/>
      <c r="F35" s="706"/>
      <c r="G35" s="713"/>
      <c r="H35" s="714"/>
      <c r="I35" s="714"/>
      <c r="J35" s="714"/>
      <c r="K35" s="714"/>
      <c r="L35" s="715"/>
      <c r="M35" s="722"/>
      <c r="N35" s="723"/>
      <c r="O35" s="723"/>
      <c r="P35" s="723"/>
      <c r="Q35" s="723"/>
      <c r="R35" s="723"/>
      <c r="S35" s="723"/>
      <c r="T35" s="723"/>
      <c r="U35" s="723"/>
      <c r="V35" s="723"/>
      <c r="W35" s="723"/>
      <c r="X35" s="723"/>
      <c r="Y35" s="723"/>
      <c r="Z35" s="723"/>
      <c r="AA35" s="723"/>
      <c r="AB35" s="723"/>
      <c r="AC35" s="723"/>
      <c r="AD35" s="724"/>
      <c r="AE35" s="722"/>
      <c r="AF35" s="723"/>
      <c r="AG35" s="723"/>
      <c r="AH35" s="723"/>
      <c r="AI35" s="723"/>
      <c r="AJ35" s="723"/>
      <c r="AK35" s="723"/>
      <c r="AL35" s="723"/>
      <c r="AM35" s="723"/>
      <c r="AN35" s="723"/>
      <c r="AO35" s="723"/>
      <c r="AP35" s="723"/>
      <c r="AQ35" s="723"/>
      <c r="AR35" s="723"/>
      <c r="AS35" s="723"/>
      <c r="AT35" s="723"/>
      <c r="AU35" s="723"/>
      <c r="AV35" s="723"/>
      <c r="AW35" s="723"/>
      <c r="AX35" s="723"/>
      <c r="AY35" s="723"/>
      <c r="AZ35" s="723"/>
      <c r="BA35" s="723"/>
      <c r="BB35" s="723"/>
      <c r="BC35" s="723"/>
      <c r="BD35" s="723"/>
      <c r="BE35" s="723"/>
      <c r="BF35" s="723"/>
      <c r="BG35" s="723"/>
      <c r="BH35" s="723"/>
      <c r="BI35" s="723"/>
      <c r="BJ35" s="723"/>
      <c r="BK35" s="723"/>
      <c r="BL35" s="723"/>
      <c r="BM35" s="723"/>
      <c r="BN35" s="723"/>
      <c r="BO35" s="723"/>
      <c r="BP35" s="723"/>
      <c r="BQ35" s="723"/>
      <c r="BR35" s="723"/>
      <c r="BS35" s="723"/>
      <c r="BT35" s="723"/>
      <c r="BU35" s="723"/>
      <c r="BV35" s="723"/>
      <c r="BW35" s="723"/>
      <c r="BX35" s="723"/>
      <c r="BY35" s="723"/>
      <c r="BZ35" s="723"/>
      <c r="CA35" s="723"/>
      <c r="CB35" s="724"/>
      <c r="CC35" s="75"/>
      <c r="CD35" s="58"/>
      <c r="CE35" s="76"/>
      <c r="CF35" s="58"/>
    </row>
    <row r="36" spans="1:84" s="4" customFormat="1" ht="12.75" customHeight="1" x14ac:dyDescent="0.15">
      <c r="A36" s="16"/>
      <c r="B36" s="5"/>
      <c r="C36" s="73"/>
      <c r="D36" s="707"/>
      <c r="E36" s="708"/>
      <c r="F36" s="709"/>
      <c r="G36" s="716"/>
      <c r="H36" s="717"/>
      <c r="I36" s="717"/>
      <c r="J36" s="717"/>
      <c r="K36" s="717"/>
      <c r="L36" s="718"/>
      <c r="M36" s="725"/>
      <c r="N36" s="726"/>
      <c r="O36" s="726"/>
      <c r="P36" s="726"/>
      <c r="Q36" s="726"/>
      <c r="R36" s="726"/>
      <c r="S36" s="726"/>
      <c r="T36" s="726"/>
      <c r="U36" s="726"/>
      <c r="V36" s="726"/>
      <c r="W36" s="726"/>
      <c r="X36" s="726"/>
      <c r="Y36" s="726"/>
      <c r="Z36" s="726"/>
      <c r="AA36" s="726"/>
      <c r="AB36" s="726"/>
      <c r="AC36" s="726"/>
      <c r="AD36" s="727"/>
      <c r="AE36" s="725"/>
      <c r="AF36" s="726"/>
      <c r="AG36" s="726"/>
      <c r="AH36" s="726"/>
      <c r="AI36" s="726"/>
      <c r="AJ36" s="726"/>
      <c r="AK36" s="726"/>
      <c r="AL36" s="726"/>
      <c r="AM36" s="726"/>
      <c r="AN36" s="726"/>
      <c r="AO36" s="726"/>
      <c r="AP36" s="726"/>
      <c r="AQ36" s="726"/>
      <c r="AR36" s="726"/>
      <c r="AS36" s="726"/>
      <c r="AT36" s="726"/>
      <c r="AU36" s="726"/>
      <c r="AV36" s="726"/>
      <c r="AW36" s="726"/>
      <c r="AX36" s="726"/>
      <c r="AY36" s="726"/>
      <c r="AZ36" s="726"/>
      <c r="BA36" s="726"/>
      <c r="BB36" s="726"/>
      <c r="BC36" s="726"/>
      <c r="BD36" s="726"/>
      <c r="BE36" s="726"/>
      <c r="BF36" s="726"/>
      <c r="BG36" s="726"/>
      <c r="BH36" s="726"/>
      <c r="BI36" s="726"/>
      <c r="BJ36" s="726"/>
      <c r="BK36" s="726"/>
      <c r="BL36" s="726"/>
      <c r="BM36" s="726"/>
      <c r="BN36" s="726"/>
      <c r="BO36" s="726"/>
      <c r="BP36" s="726"/>
      <c r="BQ36" s="726"/>
      <c r="BR36" s="726"/>
      <c r="BS36" s="726"/>
      <c r="BT36" s="726"/>
      <c r="BU36" s="726"/>
      <c r="BV36" s="726"/>
      <c r="BW36" s="726"/>
      <c r="BX36" s="726"/>
      <c r="BY36" s="726"/>
      <c r="BZ36" s="726"/>
      <c r="CA36" s="726"/>
      <c r="CB36" s="727"/>
      <c r="CC36" s="75"/>
      <c r="CD36" s="58"/>
      <c r="CE36" s="76"/>
      <c r="CF36" s="58"/>
    </row>
    <row r="37" spans="1:84" s="4" customFormat="1" ht="12.75" customHeight="1" x14ac:dyDescent="0.15">
      <c r="A37" s="16"/>
      <c r="B37" s="5"/>
      <c r="C37" s="73"/>
      <c r="D37" s="79"/>
      <c r="E37" s="79"/>
      <c r="F37" s="79"/>
      <c r="G37" s="77"/>
      <c r="H37" s="77"/>
      <c r="I37" s="77"/>
      <c r="J37" s="77"/>
      <c r="K37" s="77"/>
      <c r="L37" s="77"/>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58"/>
      <c r="CD37" s="58"/>
      <c r="CE37" s="76"/>
      <c r="CF37" s="58"/>
    </row>
    <row r="38" spans="1:84" s="4" customFormat="1" ht="12.75" customHeight="1" x14ac:dyDescent="0.15">
      <c r="A38" s="16"/>
      <c r="B38" s="5"/>
      <c r="C38" s="73"/>
      <c r="D38" s="22" t="s">
        <v>485</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8"/>
      <c r="CE38" s="76"/>
      <c r="CF38" s="58"/>
    </row>
    <row r="39" spans="1:84" s="4" customFormat="1" ht="12.75" customHeight="1" x14ac:dyDescent="0.15">
      <c r="A39" s="16"/>
      <c r="B39" s="5"/>
      <c r="C39" s="73"/>
      <c r="D39" s="562" t="s">
        <v>486</v>
      </c>
      <c r="E39" s="563"/>
      <c r="F39" s="564"/>
      <c r="G39" s="122" t="s">
        <v>487</v>
      </c>
      <c r="H39" s="123"/>
      <c r="I39" s="123"/>
      <c r="J39" s="123"/>
      <c r="K39" s="123"/>
      <c r="L39" s="123"/>
      <c r="M39" s="123"/>
      <c r="N39" s="123"/>
      <c r="O39" s="123"/>
      <c r="P39" s="123"/>
      <c r="Q39" s="123"/>
      <c r="R39" s="123"/>
      <c r="S39" s="123"/>
      <c r="T39" s="123"/>
      <c r="U39" s="123"/>
      <c r="V39" s="123"/>
      <c r="W39" s="123"/>
      <c r="X39" s="123"/>
      <c r="Y39" s="123"/>
      <c r="Z39" s="123"/>
      <c r="AA39" s="123"/>
      <c r="AB39" s="123"/>
      <c r="AC39" s="123"/>
      <c r="AD39" s="134"/>
      <c r="AE39" s="122" t="s">
        <v>506</v>
      </c>
      <c r="AF39" s="123"/>
      <c r="AG39" s="123"/>
      <c r="AH39" s="123"/>
      <c r="AI39" s="123"/>
      <c r="AJ39" s="123"/>
      <c r="AK39" s="123"/>
      <c r="AL39" s="134"/>
      <c r="AM39" s="122" t="s">
        <v>488</v>
      </c>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3"/>
      <c r="BQ39" s="123"/>
      <c r="BR39" s="123"/>
      <c r="BS39" s="123"/>
      <c r="BT39" s="123"/>
      <c r="BU39" s="123"/>
      <c r="BV39" s="123"/>
      <c r="BW39" s="123"/>
      <c r="BX39" s="123"/>
      <c r="BY39" s="123"/>
      <c r="BZ39" s="123"/>
      <c r="CA39" s="123"/>
      <c r="CB39" s="134"/>
      <c r="CC39" s="137"/>
      <c r="CD39" s="138"/>
      <c r="CE39" s="76"/>
      <c r="CF39" s="58"/>
    </row>
    <row r="40" spans="1:84" s="4" customFormat="1" ht="12.75" customHeight="1" x14ac:dyDescent="0.15">
      <c r="A40" s="16"/>
      <c r="B40" s="5"/>
      <c r="C40" s="73"/>
      <c r="D40" s="562">
        <v>1</v>
      </c>
      <c r="E40" s="563"/>
      <c r="F40" s="564"/>
      <c r="G40" s="56" t="s">
        <v>478</v>
      </c>
      <c r="H40" s="56"/>
      <c r="I40" s="56"/>
      <c r="J40" s="56"/>
      <c r="K40" s="56"/>
      <c r="L40" s="56"/>
      <c r="M40" s="56"/>
      <c r="N40" s="56"/>
      <c r="O40" s="56"/>
      <c r="P40" s="56"/>
      <c r="Q40" s="56"/>
      <c r="R40" s="56"/>
      <c r="S40" s="56"/>
      <c r="T40" s="56"/>
      <c r="U40" s="56"/>
      <c r="V40" s="56"/>
      <c r="W40" s="56"/>
      <c r="X40" s="56"/>
      <c r="Y40" s="56"/>
      <c r="Z40" s="56"/>
      <c r="AA40" s="56"/>
      <c r="AB40" s="56"/>
      <c r="AC40" s="56"/>
      <c r="AD40" s="57"/>
      <c r="AE40" s="146" t="s">
        <v>504</v>
      </c>
      <c r="AF40" s="133"/>
      <c r="AG40" s="133"/>
      <c r="AH40" s="133"/>
      <c r="AI40" s="133"/>
      <c r="AJ40" s="133"/>
      <c r="AK40" s="133"/>
      <c r="AL40" s="136"/>
      <c r="AM40" s="146" t="s">
        <v>489</v>
      </c>
      <c r="AN40" s="135"/>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c r="BS40" s="133"/>
      <c r="BT40" s="133"/>
      <c r="BU40" s="133"/>
      <c r="BV40" s="133"/>
      <c r="BW40" s="133"/>
      <c r="BX40" s="133"/>
      <c r="BY40" s="133"/>
      <c r="BZ40" s="133"/>
      <c r="CA40" s="133"/>
      <c r="CB40" s="136"/>
      <c r="CC40" s="139"/>
      <c r="CD40" s="140"/>
      <c r="CE40" s="76"/>
      <c r="CF40" s="58"/>
    </row>
    <row r="41" spans="1:84" s="4" customFormat="1" ht="12.75" customHeight="1" x14ac:dyDescent="0.15">
      <c r="A41" s="16"/>
      <c r="B41" s="5"/>
      <c r="C41" s="73"/>
      <c r="D41" s="562">
        <v>2</v>
      </c>
      <c r="E41" s="563"/>
      <c r="F41" s="564"/>
      <c r="G41" s="133" t="s">
        <v>479</v>
      </c>
      <c r="H41" s="133"/>
      <c r="I41" s="133"/>
      <c r="J41" s="133"/>
      <c r="K41" s="133"/>
      <c r="L41" s="133"/>
      <c r="M41" s="133"/>
      <c r="N41" s="133"/>
      <c r="O41" s="133"/>
      <c r="P41" s="133"/>
      <c r="Q41" s="133"/>
      <c r="R41" s="133"/>
      <c r="S41" s="133"/>
      <c r="T41" s="133"/>
      <c r="U41" s="133"/>
      <c r="V41" s="133"/>
      <c r="W41" s="133"/>
      <c r="X41" s="133"/>
      <c r="Y41" s="133"/>
      <c r="Z41" s="133"/>
      <c r="AA41" s="133"/>
      <c r="AB41" s="133"/>
      <c r="AC41" s="133"/>
      <c r="AD41" s="136"/>
      <c r="AE41" s="146" t="s">
        <v>505</v>
      </c>
      <c r="AF41" s="133"/>
      <c r="AG41" s="133"/>
      <c r="AH41" s="133"/>
      <c r="AI41" s="133"/>
      <c r="AJ41" s="133"/>
      <c r="AK41" s="133"/>
      <c r="AL41" s="136"/>
      <c r="AM41" s="146" t="s">
        <v>490</v>
      </c>
      <c r="AN41" s="135"/>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133"/>
      <c r="BW41" s="133"/>
      <c r="BX41" s="133"/>
      <c r="BY41" s="133"/>
      <c r="BZ41" s="133"/>
      <c r="CA41" s="133"/>
      <c r="CB41" s="136"/>
      <c r="CC41" s="139"/>
      <c r="CD41" s="140"/>
      <c r="CE41" s="76"/>
      <c r="CF41" s="58"/>
    </row>
    <row r="42" spans="1:84" s="4" customFormat="1" ht="12.75" customHeight="1" x14ac:dyDescent="0.15">
      <c r="A42" s="16"/>
      <c r="B42" s="5"/>
      <c r="C42" s="73"/>
      <c r="D42" s="562">
        <v>3</v>
      </c>
      <c r="E42" s="563"/>
      <c r="F42" s="564"/>
      <c r="G42" s="133" t="s">
        <v>480</v>
      </c>
      <c r="H42" s="133"/>
      <c r="I42" s="133"/>
      <c r="J42" s="133"/>
      <c r="K42" s="133"/>
      <c r="L42" s="133"/>
      <c r="M42" s="133"/>
      <c r="N42" s="133"/>
      <c r="O42" s="133"/>
      <c r="P42" s="133"/>
      <c r="Q42" s="133"/>
      <c r="R42" s="133"/>
      <c r="S42" s="133"/>
      <c r="T42" s="133"/>
      <c r="U42" s="133"/>
      <c r="V42" s="133"/>
      <c r="W42" s="133"/>
      <c r="X42" s="133"/>
      <c r="Y42" s="133"/>
      <c r="Z42" s="133"/>
      <c r="AA42" s="133"/>
      <c r="AB42" s="133"/>
      <c r="AC42" s="133"/>
      <c r="AD42" s="136"/>
      <c r="AE42" s="146" t="s">
        <v>505</v>
      </c>
      <c r="AF42" s="133"/>
      <c r="AG42" s="133"/>
      <c r="AH42" s="133"/>
      <c r="AI42" s="133"/>
      <c r="AJ42" s="133"/>
      <c r="AK42" s="133"/>
      <c r="AL42" s="136"/>
      <c r="AM42" s="146" t="s">
        <v>491</v>
      </c>
      <c r="AN42" s="135"/>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c r="BK42" s="133"/>
      <c r="BL42" s="133"/>
      <c r="BM42" s="133"/>
      <c r="BN42" s="133"/>
      <c r="BO42" s="133"/>
      <c r="BP42" s="133"/>
      <c r="BQ42" s="133"/>
      <c r="BR42" s="133"/>
      <c r="BS42" s="133"/>
      <c r="BT42" s="133"/>
      <c r="BU42" s="133"/>
      <c r="BV42" s="133"/>
      <c r="BW42" s="133"/>
      <c r="BX42" s="133"/>
      <c r="BY42" s="133"/>
      <c r="BZ42" s="133"/>
      <c r="CA42" s="133"/>
      <c r="CB42" s="136"/>
      <c r="CC42" s="139"/>
      <c r="CD42" s="140"/>
      <c r="CE42" s="76"/>
      <c r="CF42" s="58"/>
    </row>
    <row r="43" spans="1:84" s="4" customFormat="1" ht="12.75" customHeight="1" x14ac:dyDescent="0.15">
      <c r="A43" s="16"/>
      <c r="B43" s="5"/>
      <c r="C43" s="73"/>
      <c r="D43" s="562">
        <v>4</v>
      </c>
      <c r="E43" s="563"/>
      <c r="F43" s="564"/>
      <c r="G43" s="133" t="s">
        <v>481</v>
      </c>
      <c r="H43" s="133"/>
      <c r="I43" s="133"/>
      <c r="J43" s="133"/>
      <c r="K43" s="133"/>
      <c r="L43" s="133"/>
      <c r="M43" s="133"/>
      <c r="N43" s="133"/>
      <c r="O43" s="133"/>
      <c r="P43" s="133"/>
      <c r="Q43" s="133"/>
      <c r="R43" s="133"/>
      <c r="S43" s="133"/>
      <c r="T43" s="133"/>
      <c r="U43" s="133"/>
      <c r="V43" s="133"/>
      <c r="W43" s="133"/>
      <c r="X43" s="133"/>
      <c r="Y43" s="133"/>
      <c r="Z43" s="133"/>
      <c r="AA43" s="133"/>
      <c r="AB43" s="133"/>
      <c r="AC43" s="133"/>
      <c r="AD43" s="136"/>
      <c r="AE43" s="146" t="s">
        <v>505</v>
      </c>
      <c r="AF43" s="133"/>
      <c r="AG43" s="133"/>
      <c r="AH43" s="133"/>
      <c r="AI43" s="133"/>
      <c r="AJ43" s="133"/>
      <c r="AK43" s="133"/>
      <c r="AL43" s="136"/>
      <c r="AM43" s="146" t="s">
        <v>492</v>
      </c>
      <c r="AN43" s="135"/>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c r="CA43" s="133"/>
      <c r="CB43" s="136"/>
      <c r="CC43" s="139"/>
      <c r="CD43" s="140"/>
      <c r="CE43" s="76"/>
      <c r="CF43" s="58"/>
    </row>
    <row r="44" spans="1:84" s="4" customFormat="1" ht="12.75" customHeight="1" x14ac:dyDescent="0.15">
      <c r="A44" s="16"/>
      <c r="B44" s="5"/>
      <c r="C44" s="73"/>
      <c r="D44" s="562">
        <v>5</v>
      </c>
      <c r="E44" s="563"/>
      <c r="F44" s="564"/>
      <c r="G44" s="133" t="s">
        <v>482</v>
      </c>
      <c r="H44" s="133"/>
      <c r="I44" s="133"/>
      <c r="J44" s="133"/>
      <c r="K44" s="133"/>
      <c r="L44" s="133"/>
      <c r="M44" s="133"/>
      <c r="N44" s="133"/>
      <c r="O44" s="133"/>
      <c r="P44" s="133"/>
      <c r="Q44" s="133"/>
      <c r="R44" s="133"/>
      <c r="S44" s="133"/>
      <c r="T44" s="133"/>
      <c r="U44" s="133"/>
      <c r="V44" s="133"/>
      <c r="W44" s="133"/>
      <c r="X44" s="133"/>
      <c r="Y44" s="133"/>
      <c r="Z44" s="133"/>
      <c r="AA44" s="133"/>
      <c r="AB44" s="133"/>
      <c r="AC44" s="133"/>
      <c r="AD44" s="136"/>
      <c r="AE44" s="146" t="s">
        <v>509</v>
      </c>
      <c r="AF44" s="133"/>
      <c r="AG44" s="133"/>
      <c r="AH44" s="133"/>
      <c r="AI44" s="133"/>
      <c r="AJ44" s="133"/>
      <c r="AK44" s="133"/>
      <c r="AL44" s="136"/>
      <c r="AM44" s="146" t="s">
        <v>493</v>
      </c>
      <c r="AN44" s="135"/>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36"/>
      <c r="CC44" s="139"/>
      <c r="CD44" s="140"/>
      <c r="CE44" s="76"/>
      <c r="CF44" s="58"/>
    </row>
    <row r="45" spans="1:84" s="4" customFormat="1" ht="12.75" customHeight="1" x14ac:dyDescent="0.15">
      <c r="A45" s="16"/>
      <c r="B45" s="5"/>
      <c r="C45" s="73"/>
      <c r="D45" s="562">
        <v>6</v>
      </c>
      <c r="E45" s="563"/>
      <c r="F45" s="564"/>
      <c r="G45" s="133" t="s">
        <v>483</v>
      </c>
      <c r="H45" s="133"/>
      <c r="I45" s="133"/>
      <c r="J45" s="133"/>
      <c r="K45" s="133"/>
      <c r="L45" s="133"/>
      <c r="M45" s="133"/>
      <c r="N45" s="133"/>
      <c r="O45" s="133"/>
      <c r="P45" s="133"/>
      <c r="Q45" s="133"/>
      <c r="R45" s="133"/>
      <c r="S45" s="133"/>
      <c r="T45" s="133"/>
      <c r="U45" s="133"/>
      <c r="V45" s="133"/>
      <c r="W45" s="133"/>
      <c r="X45" s="133"/>
      <c r="Y45" s="133"/>
      <c r="Z45" s="133"/>
      <c r="AA45" s="133"/>
      <c r="AB45" s="133"/>
      <c r="AC45" s="133"/>
      <c r="AD45" s="136"/>
      <c r="AE45" s="146" t="s">
        <v>507</v>
      </c>
      <c r="AF45" s="133"/>
      <c r="AG45" s="133"/>
      <c r="AH45" s="133"/>
      <c r="AI45" s="133"/>
      <c r="AJ45" s="133"/>
      <c r="AK45" s="133"/>
      <c r="AL45" s="136"/>
      <c r="AM45" s="146" t="s">
        <v>494</v>
      </c>
      <c r="AN45" s="135"/>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c r="BS45" s="133"/>
      <c r="BT45" s="133"/>
      <c r="BU45" s="133"/>
      <c r="BV45" s="133"/>
      <c r="BW45" s="133"/>
      <c r="BX45" s="133"/>
      <c r="BY45" s="133"/>
      <c r="BZ45" s="133"/>
      <c r="CA45" s="133"/>
      <c r="CB45" s="136"/>
      <c r="CC45" s="139"/>
      <c r="CD45" s="140"/>
      <c r="CE45" s="76"/>
      <c r="CF45" s="58"/>
    </row>
    <row r="46" spans="1:84" s="4" customFormat="1" ht="12.75" customHeight="1" thickBot="1" x14ac:dyDescent="0.2">
      <c r="A46" s="25"/>
      <c r="B46" s="141"/>
      <c r="C46" s="142"/>
      <c r="D46" s="798">
        <v>7</v>
      </c>
      <c r="E46" s="799"/>
      <c r="F46" s="800"/>
      <c r="G46" s="186" t="s">
        <v>484</v>
      </c>
      <c r="H46" s="186"/>
      <c r="I46" s="186"/>
      <c r="J46" s="186"/>
      <c r="K46" s="186"/>
      <c r="L46" s="186"/>
      <c r="M46" s="186"/>
      <c r="N46" s="186"/>
      <c r="O46" s="186"/>
      <c r="P46" s="186"/>
      <c r="Q46" s="186"/>
      <c r="R46" s="186"/>
      <c r="S46" s="186"/>
      <c r="T46" s="186"/>
      <c r="U46" s="186"/>
      <c r="V46" s="186"/>
      <c r="W46" s="186"/>
      <c r="X46" s="186"/>
      <c r="Y46" s="186"/>
      <c r="Z46" s="186"/>
      <c r="AA46" s="186"/>
      <c r="AB46" s="186"/>
      <c r="AC46" s="186"/>
      <c r="AD46" s="187"/>
      <c r="AE46" s="188" t="s">
        <v>507</v>
      </c>
      <c r="AF46" s="186"/>
      <c r="AG46" s="186"/>
      <c r="AH46" s="186"/>
      <c r="AI46" s="186"/>
      <c r="AJ46" s="186"/>
      <c r="AK46" s="186"/>
      <c r="AL46" s="187"/>
      <c r="AM46" s="188" t="s">
        <v>494</v>
      </c>
      <c r="AN46" s="189"/>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6"/>
      <c r="BN46" s="186"/>
      <c r="BO46" s="186"/>
      <c r="BP46" s="186"/>
      <c r="BQ46" s="186"/>
      <c r="BR46" s="186"/>
      <c r="BS46" s="186"/>
      <c r="BT46" s="186"/>
      <c r="BU46" s="186"/>
      <c r="BV46" s="186"/>
      <c r="BW46" s="186"/>
      <c r="BX46" s="186"/>
      <c r="BY46" s="186"/>
      <c r="BZ46" s="186"/>
      <c r="CA46" s="186"/>
      <c r="CB46" s="187"/>
      <c r="CC46" s="190"/>
      <c r="CD46" s="191"/>
      <c r="CE46" s="143"/>
      <c r="CF46" s="58"/>
    </row>
    <row r="47" spans="1:84" s="4" customFormat="1" ht="12.75" customHeight="1" x14ac:dyDescent="0.15">
      <c r="A47" s="13"/>
      <c r="B47" s="85"/>
      <c r="C47" s="86"/>
      <c r="D47" s="87"/>
      <c r="E47" s="88"/>
      <c r="F47" s="88"/>
      <c r="G47" s="88"/>
      <c r="H47" s="88"/>
      <c r="I47" s="88"/>
      <c r="J47" s="88"/>
      <c r="K47" s="88"/>
      <c r="L47" s="88"/>
      <c r="M47" s="88"/>
      <c r="N47" s="88"/>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89"/>
      <c r="AT47" s="89"/>
      <c r="AU47" s="89"/>
      <c r="AV47" s="89"/>
      <c r="AW47" s="89"/>
      <c r="AX47" s="89"/>
      <c r="AY47" s="89"/>
      <c r="AZ47" s="89"/>
      <c r="BA47" s="89"/>
      <c r="BB47" s="89"/>
      <c r="BC47" s="89"/>
      <c r="BD47" s="89"/>
      <c r="BE47" s="89"/>
      <c r="BF47" s="89"/>
      <c r="BG47" s="89"/>
      <c r="BH47" s="89"/>
      <c r="BI47" s="89"/>
      <c r="BJ47" s="89"/>
      <c r="BK47" s="89"/>
      <c r="BL47" s="89"/>
      <c r="BM47" s="89"/>
      <c r="BN47" s="89"/>
      <c r="BO47" s="89"/>
      <c r="BP47" s="89"/>
      <c r="BQ47" s="89"/>
      <c r="BR47" s="89"/>
      <c r="BS47" s="89"/>
      <c r="BT47" s="89"/>
      <c r="BU47" s="89"/>
      <c r="BV47" s="89"/>
      <c r="BW47" s="89"/>
      <c r="BX47" s="89"/>
      <c r="BY47" s="89"/>
      <c r="BZ47" s="89"/>
      <c r="CA47" s="89"/>
      <c r="CB47" s="89"/>
      <c r="CC47" s="89"/>
      <c r="CD47" s="88"/>
      <c r="CE47" s="15"/>
    </row>
    <row r="48" spans="1:84" s="4" customFormat="1" ht="12.75" customHeight="1" x14ac:dyDescent="0.15">
      <c r="A48" s="16"/>
      <c r="B48" s="5"/>
      <c r="C48" s="22" t="s">
        <v>760</v>
      </c>
      <c r="D48" s="22"/>
      <c r="E48" s="11"/>
      <c r="F48" s="11"/>
      <c r="G48" s="11"/>
      <c r="H48" s="11"/>
      <c r="I48" s="11"/>
      <c r="J48" s="11"/>
      <c r="K48" s="11"/>
      <c r="L48" s="11"/>
      <c r="M48" s="11"/>
      <c r="N48" s="11"/>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1"/>
      <c r="CE48" s="18"/>
    </row>
    <row r="49" spans="1:83" s="4" customFormat="1" ht="12.75" customHeight="1" x14ac:dyDescent="0.15">
      <c r="A49" s="16"/>
      <c r="B49" s="5"/>
      <c r="C49" s="22"/>
      <c r="D49" s="22" t="s">
        <v>423</v>
      </c>
      <c r="E49" s="11"/>
      <c r="F49" s="11"/>
      <c r="G49" s="11"/>
      <c r="H49" s="11"/>
      <c r="I49" s="11"/>
      <c r="J49" s="11"/>
      <c r="K49" s="11"/>
      <c r="L49" s="11"/>
      <c r="M49" s="11"/>
      <c r="N49" s="11"/>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1"/>
      <c r="CE49" s="18"/>
    </row>
    <row r="50" spans="1:83" s="4" customFormat="1" ht="12.75" customHeight="1" x14ac:dyDescent="0.15">
      <c r="A50" s="16"/>
      <c r="B50" s="5"/>
      <c r="C50" s="22"/>
      <c r="D50" s="22"/>
      <c r="E50" s="12" t="s">
        <v>406</v>
      </c>
      <c r="F50" s="11"/>
      <c r="G50" s="11"/>
      <c r="H50" s="11"/>
      <c r="I50" s="11"/>
      <c r="J50" s="11"/>
      <c r="K50" s="11"/>
      <c r="L50" s="11"/>
      <c r="M50" s="11"/>
      <c r="N50" s="11"/>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1"/>
      <c r="CE50" s="18"/>
    </row>
    <row r="51" spans="1:83" s="4" customFormat="1" ht="12.75" customHeight="1" x14ac:dyDescent="0.15">
      <c r="A51" s="16"/>
      <c r="B51" s="5"/>
      <c r="C51" s="73"/>
      <c r="D51" s="586" t="s">
        <v>391</v>
      </c>
      <c r="E51" s="703"/>
      <c r="F51" s="704"/>
      <c r="G51" s="729" t="s">
        <v>400</v>
      </c>
      <c r="H51" s="730"/>
      <c r="I51" s="730"/>
      <c r="J51" s="730"/>
      <c r="K51" s="730"/>
      <c r="L51" s="730"/>
      <c r="M51" s="731"/>
      <c r="N51" s="586" t="s">
        <v>348</v>
      </c>
      <c r="O51" s="703"/>
      <c r="P51" s="703"/>
      <c r="Q51" s="704"/>
      <c r="R51" s="729">
        <v>1</v>
      </c>
      <c r="S51" s="730"/>
      <c r="T51" s="730"/>
      <c r="U51" s="730"/>
      <c r="V51" s="730"/>
      <c r="W51" s="730"/>
      <c r="X51" s="731"/>
      <c r="Y51" s="586" t="s">
        <v>401</v>
      </c>
      <c r="Z51" s="703"/>
      <c r="AA51" s="703"/>
      <c r="AB51" s="703"/>
      <c r="AC51" s="703"/>
      <c r="AD51" s="703"/>
      <c r="AE51" s="704"/>
      <c r="AF51" s="736" t="s">
        <v>407</v>
      </c>
      <c r="AG51" s="737"/>
      <c r="AH51" s="737"/>
      <c r="AI51" s="737"/>
      <c r="AJ51" s="737"/>
      <c r="AK51" s="737"/>
      <c r="AL51" s="737"/>
      <c r="AM51" s="737"/>
      <c r="AN51" s="737"/>
      <c r="AO51" s="737"/>
      <c r="AP51" s="737"/>
      <c r="AQ51" s="737"/>
      <c r="AR51" s="737"/>
      <c r="AS51" s="737"/>
      <c r="AT51" s="737"/>
      <c r="AU51" s="737"/>
      <c r="AV51" s="737"/>
      <c r="AW51" s="737"/>
      <c r="AX51" s="737"/>
      <c r="AY51" s="737"/>
      <c r="AZ51" s="737"/>
      <c r="BA51" s="737"/>
      <c r="BB51" s="737"/>
      <c r="BC51" s="737"/>
      <c r="BD51" s="737"/>
      <c r="BE51" s="737"/>
      <c r="BF51" s="737"/>
      <c r="BG51" s="737"/>
      <c r="BH51" s="737"/>
      <c r="BI51" s="737"/>
      <c r="BJ51" s="737"/>
      <c r="BK51" s="737"/>
      <c r="BL51" s="737"/>
      <c r="BM51" s="737"/>
      <c r="BN51" s="737"/>
      <c r="BO51" s="737"/>
      <c r="BP51" s="737"/>
      <c r="BQ51" s="737"/>
      <c r="BR51" s="737"/>
      <c r="BS51" s="737"/>
      <c r="BT51" s="737"/>
      <c r="BU51" s="737"/>
      <c r="BV51" s="737"/>
      <c r="BW51" s="737"/>
      <c r="BX51" s="737"/>
      <c r="BY51" s="737"/>
      <c r="BZ51" s="737"/>
      <c r="CA51" s="737"/>
      <c r="CB51" s="738"/>
      <c r="CC51" s="8"/>
      <c r="CD51" s="73"/>
      <c r="CE51" s="90"/>
    </row>
    <row r="52" spans="1:83" s="4" customFormat="1" ht="12.75" customHeight="1" x14ac:dyDescent="0.15">
      <c r="A52" s="16"/>
      <c r="B52" s="5"/>
      <c r="C52" s="73"/>
      <c r="D52" s="707"/>
      <c r="E52" s="708"/>
      <c r="F52" s="709"/>
      <c r="G52" s="732"/>
      <c r="H52" s="733"/>
      <c r="I52" s="733"/>
      <c r="J52" s="733"/>
      <c r="K52" s="733"/>
      <c r="L52" s="733"/>
      <c r="M52" s="734"/>
      <c r="N52" s="707"/>
      <c r="O52" s="708"/>
      <c r="P52" s="708"/>
      <c r="Q52" s="709"/>
      <c r="R52" s="732"/>
      <c r="S52" s="733"/>
      <c r="T52" s="733"/>
      <c r="U52" s="733"/>
      <c r="V52" s="733"/>
      <c r="W52" s="733"/>
      <c r="X52" s="734"/>
      <c r="Y52" s="707"/>
      <c r="Z52" s="708"/>
      <c r="AA52" s="708"/>
      <c r="AB52" s="708"/>
      <c r="AC52" s="708"/>
      <c r="AD52" s="708"/>
      <c r="AE52" s="709"/>
      <c r="AF52" s="739"/>
      <c r="AG52" s="740"/>
      <c r="AH52" s="740"/>
      <c r="AI52" s="740"/>
      <c r="AJ52" s="740"/>
      <c r="AK52" s="740"/>
      <c r="AL52" s="740"/>
      <c r="AM52" s="740"/>
      <c r="AN52" s="740"/>
      <c r="AO52" s="740"/>
      <c r="AP52" s="740"/>
      <c r="AQ52" s="740"/>
      <c r="AR52" s="740"/>
      <c r="AS52" s="740"/>
      <c r="AT52" s="740"/>
      <c r="AU52" s="740"/>
      <c r="AV52" s="740"/>
      <c r="AW52" s="740"/>
      <c r="AX52" s="740"/>
      <c r="AY52" s="740"/>
      <c r="AZ52" s="740"/>
      <c r="BA52" s="740"/>
      <c r="BB52" s="740"/>
      <c r="BC52" s="740"/>
      <c r="BD52" s="740"/>
      <c r="BE52" s="740"/>
      <c r="BF52" s="740"/>
      <c r="BG52" s="740"/>
      <c r="BH52" s="740"/>
      <c r="BI52" s="740"/>
      <c r="BJ52" s="740"/>
      <c r="BK52" s="740"/>
      <c r="BL52" s="740"/>
      <c r="BM52" s="740"/>
      <c r="BN52" s="740"/>
      <c r="BO52" s="740"/>
      <c r="BP52" s="740"/>
      <c r="BQ52" s="740"/>
      <c r="BR52" s="740"/>
      <c r="BS52" s="740"/>
      <c r="BT52" s="740"/>
      <c r="BU52" s="740"/>
      <c r="BV52" s="740"/>
      <c r="BW52" s="740"/>
      <c r="BX52" s="740"/>
      <c r="BY52" s="740"/>
      <c r="BZ52" s="740"/>
      <c r="CA52" s="740"/>
      <c r="CB52" s="741"/>
      <c r="CC52" s="58"/>
      <c r="CD52" s="73"/>
      <c r="CE52" s="90"/>
    </row>
    <row r="53" spans="1:83" s="4" customFormat="1" ht="12.75" customHeight="1" x14ac:dyDescent="0.15">
      <c r="A53" s="16"/>
      <c r="B53" s="5"/>
      <c r="C53" s="73"/>
      <c r="D53" s="753" t="s">
        <v>402</v>
      </c>
      <c r="E53" s="754"/>
      <c r="F53" s="755"/>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80"/>
      <c r="BK53" s="80"/>
      <c r="BL53" s="80"/>
      <c r="BM53" s="80"/>
      <c r="BN53" s="80"/>
      <c r="BO53" s="80"/>
      <c r="BP53" s="80"/>
      <c r="BQ53" s="80"/>
      <c r="BR53" s="80"/>
      <c r="BS53" s="80"/>
      <c r="BT53" s="80"/>
      <c r="BU53" s="80"/>
      <c r="BV53" s="80"/>
      <c r="BW53" s="80"/>
      <c r="BX53" s="80"/>
      <c r="BY53" s="80"/>
      <c r="BZ53" s="80"/>
      <c r="CA53" s="80"/>
      <c r="CB53" s="81"/>
      <c r="CC53" s="58"/>
      <c r="CD53" s="73"/>
      <c r="CE53" s="90"/>
    </row>
    <row r="54" spans="1:83" s="94" customFormat="1" ht="12.75" customHeight="1" x14ac:dyDescent="0.15">
      <c r="A54" s="91"/>
      <c r="B54" s="5"/>
      <c r="C54" s="92"/>
      <c r="D54" s="756"/>
      <c r="E54" s="757"/>
      <c r="F54" s="7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92"/>
      <c r="BI54" s="58"/>
      <c r="BJ54" s="58"/>
      <c r="BK54" s="58"/>
      <c r="BL54" s="54"/>
      <c r="BM54" s="58"/>
      <c r="BN54" s="58"/>
      <c r="BO54" s="58"/>
      <c r="BP54" s="58"/>
      <c r="BQ54" s="58"/>
      <c r="BR54" s="92"/>
      <c r="BS54" s="58"/>
      <c r="BT54" s="58"/>
      <c r="BU54" s="58"/>
      <c r="BV54" s="58"/>
      <c r="BW54" s="58"/>
      <c r="BX54" s="58"/>
      <c r="BY54" s="58"/>
      <c r="BZ54" s="58"/>
      <c r="CA54" s="58"/>
      <c r="CB54" s="82"/>
      <c r="CC54" s="58"/>
      <c r="CD54" s="92"/>
      <c r="CE54" s="93"/>
    </row>
    <row r="55" spans="1:83" s="94" customFormat="1" ht="12.75" customHeight="1" x14ac:dyDescent="0.15">
      <c r="A55" s="91"/>
      <c r="B55" s="5"/>
      <c r="C55" s="92"/>
      <c r="D55" s="756"/>
      <c r="E55" s="757"/>
      <c r="F55" s="7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4"/>
      <c r="BI55" s="58"/>
      <c r="BJ55" s="58"/>
      <c r="BK55" s="58"/>
      <c r="BL55" s="58"/>
      <c r="BM55" s="58"/>
      <c r="BN55" s="58"/>
      <c r="BO55" s="58"/>
      <c r="BP55" s="58"/>
      <c r="BQ55" s="58"/>
      <c r="BR55" s="58"/>
      <c r="BS55" s="58"/>
      <c r="BT55" s="58"/>
      <c r="BU55" s="58"/>
      <c r="BV55" s="58"/>
      <c r="BW55" s="58"/>
      <c r="BX55" s="58"/>
      <c r="BY55" s="58"/>
      <c r="BZ55" s="58"/>
      <c r="CA55" s="58"/>
      <c r="CB55" s="82"/>
      <c r="CC55" s="58"/>
      <c r="CD55" s="92"/>
      <c r="CE55" s="93"/>
    </row>
    <row r="56" spans="1:83" s="94" customFormat="1" ht="12.75" customHeight="1" x14ac:dyDescent="0.15">
      <c r="A56" s="91"/>
      <c r="B56" s="5"/>
      <c r="C56" s="92"/>
      <c r="D56" s="756"/>
      <c r="E56" s="757"/>
      <c r="F56" s="7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82"/>
      <c r="CC56" s="58"/>
      <c r="CD56" s="92"/>
      <c r="CE56" s="93"/>
    </row>
    <row r="57" spans="1:83" s="94" customFormat="1" ht="12.75" customHeight="1" x14ac:dyDescent="0.15">
      <c r="A57" s="91"/>
      <c r="B57" s="5"/>
      <c r="C57" s="92"/>
      <c r="D57" s="756"/>
      <c r="E57" s="757"/>
      <c r="F57" s="7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82"/>
      <c r="CC57" s="58"/>
      <c r="CD57" s="92"/>
      <c r="CE57" s="93"/>
    </row>
    <row r="58" spans="1:83" s="94" customFormat="1" ht="12.75" customHeight="1" x14ac:dyDescent="0.15">
      <c r="A58" s="91"/>
      <c r="B58" s="5"/>
      <c r="C58" s="92"/>
      <c r="D58" s="756"/>
      <c r="E58" s="757"/>
      <c r="F58" s="7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82"/>
      <c r="CC58" s="58"/>
      <c r="CD58" s="92"/>
      <c r="CE58" s="93"/>
    </row>
    <row r="59" spans="1:83" s="94" customFormat="1" ht="12.75" customHeight="1" x14ac:dyDescent="0.15">
      <c r="A59" s="91"/>
      <c r="B59" s="5"/>
      <c r="C59" s="92"/>
      <c r="D59" s="756"/>
      <c r="E59" s="757"/>
      <c r="F59" s="7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82"/>
      <c r="CC59" s="58"/>
      <c r="CD59" s="92"/>
      <c r="CE59" s="93"/>
    </row>
    <row r="60" spans="1:83" s="94" customFormat="1" ht="12.75" customHeight="1" x14ac:dyDescent="0.15">
      <c r="A60" s="91"/>
      <c r="B60" s="5"/>
      <c r="C60" s="92"/>
      <c r="D60" s="756"/>
      <c r="E60" s="757"/>
      <c r="F60" s="7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82"/>
      <c r="CC60" s="58"/>
      <c r="CD60" s="92"/>
      <c r="CE60" s="93"/>
    </row>
    <row r="61" spans="1:83" s="94" customFormat="1" ht="12.75" customHeight="1" x14ac:dyDescent="0.15">
      <c r="A61" s="91"/>
      <c r="B61" s="5"/>
      <c r="C61" s="92"/>
      <c r="D61" s="756"/>
      <c r="E61" s="757"/>
      <c r="F61" s="7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82"/>
      <c r="CC61" s="58"/>
      <c r="CD61" s="92"/>
      <c r="CE61" s="93"/>
    </row>
    <row r="62" spans="1:83" s="94" customFormat="1" ht="12.75" customHeight="1" x14ac:dyDescent="0.15">
      <c r="A62" s="91"/>
      <c r="B62" s="5"/>
      <c r="C62" s="92"/>
      <c r="D62" s="756"/>
      <c r="E62" s="757"/>
      <c r="F62" s="7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82"/>
      <c r="CC62" s="58"/>
      <c r="CD62" s="92"/>
      <c r="CE62" s="93"/>
    </row>
    <row r="63" spans="1:83" s="94" customFormat="1" ht="12.75" customHeight="1" x14ac:dyDescent="0.15">
      <c r="A63" s="91"/>
      <c r="B63" s="5"/>
      <c r="C63" s="92"/>
      <c r="D63" s="756"/>
      <c r="E63" s="757"/>
      <c r="F63" s="7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82"/>
      <c r="CC63" s="58"/>
      <c r="CD63" s="92"/>
      <c r="CE63" s="93"/>
    </row>
    <row r="64" spans="1:83" s="9" customFormat="1" ht="12.75" customHeight="1" x14ac:dyDescent="0.15">
      <c r="A64" s="16"/>
      <c r="B64" s="8"/>
      <c r="C64" s="29"/>
      <c r="D64" s="756"/>
      <c r="E64" s="757"/>
      <c r="F64" s="7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82"/>
      <c r="CC64" s="58"/>
      <c r="CD64" s="29"/>
      <c r="CE64" s="95"/>
    </row>
    <row r="65" spans="1:83" s="4" customFormat="1" ht="12.75" customHeight="1" x14ac:dyDescent="0.15">
      <c r="A65" s="16"/>
      <c r="B65" s="5"/>
      <c r="C65" s="73"/>
      <c r="D65" s="756"/>
      <c r="E65" s="757"/>
      <c r="F65" s="7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82"/>
      <c r="CC65" s="58"/>
      <c r="CD65" s="73"/>
      <c r="CE65" s="90"/>
    </row>
    <row r="66" spans="1:83" s="4" customFormat="1" ht="12.75" customHeight="1" x14ac:dyDescent="0.15">
      <c r="A66" s="16"/>
      <c r="B66" s="96"/>
      <c r="C66" s="73"/>
      <c r="D66" s="756"/>
      <c r="E66" s="757"/>
      <c r="F66" s="7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82"/>
      <c r="CC66" s="58"/>
      <c r="CD66" s="73"/>
      <c r="CE66" s="90"/>
    </row>
    <row r="67" spans="1:83" s="4" customFormat="1" ht="12.75" customHeight="1" x14ac:dyDescent="0.15">
      <c r="A67" s="16"/>
      <c r="B67" s="96"/>
      <c r="C67" s="73"/>
      <c r="D67" s="756"/>
      <c r="E67" s="757"/>
      <c r="F67" s="7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82"/>
      <c r="CC67" s="58"/>
      <c r="CD67" s="73"/>
      <c r="CE67" s="90"/>
    </row>
    <row r="68" spans="1:83" s="4" customFormat="1" ht="12.75" customHeight="1" x14ac:dyDescent="0.15">
      <c r="A68" s="16"/>
      <c r="B68" s="5"/>
      <c r="C68" s="73"/>
      <c r="D68" s="756"/>
      <c r="E68" s="757"/>
      <c r="F68" s="7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82"/>
      <c r="CC68" s="58"/>
      <c r="CD68" s="73"/>
      <c r="CE68" s="90"/>
    </row>
    <row r="69" spans="1:83" s="4" customFormat="1" ht="12.75" customHeight="1" x14ac:dyDescent="0.15">
      <c r="A69" s="16"/>
      <c r="B69" s="5"/>
      <c r="C69" s="73"/>
      <c r="D69" s="756"/>
      <c r="E69" s="757"/>
      <c r="F69" s="7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82"/>
      <c r="CC69" s="58"/>
      <c r="CD69" s="73"/>
      <c r="CE69" s="90"/>
    </row>
    <row r="70" spans="1:83" s="4" customFormat="1" ht="12.75" customHeight="1" x14ac:dyDescent="0.15">
      <c r="A70" s="16"/>
      <c r="B70" s="8"/>
      <c r="C70" s="73"/>
      <c r="D70" s="756"/>
      <c r="E70" s="757"/>
      <c r="F70" s="7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82"/>
      <c r="CC70" s="58"/>
      <c r="CD70" s="73"/>
      <c r="CE70" s="90"/>
    </row>
    <row r="71" spans="1:83" s="4" customFormat="1" ht="12.75" customHeight="1" x14ac:dyDescent="0.15">
      <c r="A71" s="16"/>
      <c r="B71" s="5"/>
      <c r="C71" s="73"/>
      <c r="D71" s="756"/>
      <c r="E71" s="757"/>
      <c r="F71" s="7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82"/>
      <c r="CC71" s="58"/>
      <c r="CD71" s="73"/>
      <c r="CE71" s="90"/>
    </row>
    <row r="72" spans="1:83" s="4" customFormat="1" ht="12.75" customHeight="1" x14ac:dyDescent="0.15">
      <c r="A72" s="16"/>
      <c r="B72" s="5"/>
      <c r="C72" s="73"/>
      <c r="D72" s="756"/>
      <c r="E72" s="757"/>
      <c r="F72" s="7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82"/>
      <c r="CC72" s="58"/>
      <c r="CD72" s="73"/>
      <c r="CE72" s="90"/>
    </row>
    <row r="73" spans="1:83" s="4" customFormat="1" ht="12.75" customHeight="1" x14ac:dyDescent="0.15">
      <c r="A73" s="97"/>
      <c r="B73" s="24"/>
      <c r="C73" s="73"/>
      <c r="D73" s="756"/>
      <c r="E73" s="757"/>
      <c r="F73" s="7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82"/>
      <c r="CC73" s="58"/>
      <c r="CD73" s="73"/>
      <c r="CE73" s="90"/>
    </row>
    <row r="74" spans="1:83" ht="12.75" customHeight="1" x14ac:dyDescent="0.15">
      <c r="A74" s="98"/>
      <c r="B74" s="99"/>
      <c r="C74" s="3"/>
      <c r="D74" s="756"/>
      <c r="E74" s="757"/>
      <c r="F74" s="7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82"/>
      <c r="CC74" s="58"/>
      <c r="CD74" s="3"/>
      <c r="CE74" s="100"/>
    </row>
    <row r="75" spans="1:83" ht="12.75" customHeight="1" x14ac:dyDescent="0.15">
      <c r="A75" s="98"/>
      <c r="B75" s="99"/>
      <c r="C75" s="3"/>
      <c r="D75" s="756"/>
      <c r="E75" s="757"/>
      <c r="F75" s="7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82"/>
      <c r="CC75" s="58"/>
      <c r="CD75" s="3"/>
      <c r="CE75" s="100"/>
    </row>
    <row r="76" spans="1:83" ht="12.75" customHeight="1" x14ac:dyDescent="0.15">
      <c r="A76" s="98"/>
      <c r="B76" s="99"/>
      <c r="C76" s="3"/>
      <c r="D76" s="756"/>
      <c r="E76" s="757"/>
      <c r="F76" s="7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82"/>
      <c r="CC76" s="58"/>
      <c r="CD76" s="3"/>
      <c r="CE76" s="100"/>
    </row>
    <row r="77" spans="1:83" ht="12.75" customHeight="1" x14ac:dyDescent="0.15">
      <c r="A77" s="98"/>
      <c r="B77" s="99"/>
      <c r="C77" s="3"/>
      <c r="D77" s="756"/>
      <c r="E77" s="757"/>
      <c r="F77" s="7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82"/>
      <c r="CC77" s="58"/>
      <c r="CD77" s="3"/>
      <c r="CE77" s="100"/>
    </row>
    <row r="78" spans="1:83" ht="12.75" customHeight="1" x14ac:dyDescent="0.15">
      <c r="A78" s="98"/>
      <c r="B78" s="99"/>
      <c r="C78" s="3"/>
      <c r="D78" s="756"/>
      <c r="E78" s="757"/>
      <c r="F78" s="7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82"/>
      <c r="CC78" s="58"/>
      <c r="CD78" s="3"/>
      <c r="CE78" s="100"/>
    </row>
    <row r="79" spans="1:83" ht="12.75" customHeight="1" x14ac:dyDescent="0.15">
      <c r="A79" s="98"/>
      <c r="B79" s="99"/>
      <c r="C79" s="3"/>
      <c r="D79" s="756"/>
      <c r="E79" s="757"/>
      <c r="F79" s="758"/>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82"/>
      <c r="CC79" s="58"/>
      <c r="CD79" s="3"/>
      <c r="CE79" s="100"/>
    </row>
    <row r="80" spans="1:83" x14ac:dyDescent="0.15">
      <c r="A80" s="109"/>
      <c r="B80" s="3"/>
      <c r="C80" s="3"/>
      <c r="D80" s="756"/>
      <c r="E80" s="757"/>
      <c r="F80" s="758"/>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82"/>
      <c r="CC80" s="58"/>
      <c r="CD80" s="3"/>
      <c r="CE80" s="100"/>
    </row>
    <row r="81" spans="1:83" x14ac:dyDescent="0.15">
      <c r="A81" s="109"/>
      <c r="B81" s="3"/>
      <c r="C81" s="3"/>
      <c r="D81" s="756"/>
      <c r="E81" s="757"/>
      <c r="F81" s="758"/>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82"/>
      <c r="CC81" s="58"/>
      <c r="CD81" s="3"/>
      <c r="CE81" s="100"/>
    </row>
    <row r="82" spans="1:83" x14ac:dyDescent="0.15">
      <c r="A82" s="109"/>
      <c r="B82" s="3"/>
      <c r="C82" s="3"/>
      <c r="D82" s="756"/>
      <c r="E82" s="757"/>
      <c r="F82" s="758"/>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82"/>
      <c r="CC82" s="58"/>
      <c r="CD82" s="3"/>
      <c r="CE82" s="100"/>
    </row>
    <row r="83" spans="1:83" x14ac:dyDescent="0.15">
      <c r="A83" s="109"/>
      <c r="B83" s="3"/>
      <c r="C83" s="3"/>
      <c r="D83" s="756"/>
      <c r="E83" s="757"/>
      <c r="F83" s="758"/>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82"/>
      <c r="CC83" s="58"/>
      <c r="CD83" s="3"/>
      <c r="CE83" s="100"/>
    </row>
    <row r="84" spans="1:83" ht="12.75" customHeight="1" x14ac:dyDescent="0.15">
      <c r="A84" s="98"/>
      <c r="B84" s="99"/>
      <c r="C84" s="3"/>
      <c r="D84" s="759"/>
      <c r="E84" s="760"/>
      <c r="F84" s="761"/>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4"/>
      <c r="CC84" s="58"/>
      <c r="CD84" s="3"/>
      <c r="CE84" s="100"/>
    </row>
    <row r="85" spans="1:83" ht="12.75" customHeight="1" thickBot="1" x14ac:dyDescent="0.2">
      <c r="A85" s="101"/>
      <c r="B85" s="102"/>
      <c r="C85" s="103"/>
      <c r="D85" s="158"/>
      <c r="E85" s="158"/>
      <c r="F85" s="158"/>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c r="BK85" s="104"/>
      <c r="BL85" s="104"/>
      <c r="BM85" s="104"/>
      <c r="BN85" s="104"/>
      <c r="BO85" s="104"/>
      <c r="BP85" s="104"/>
      <c r="BQ85" s="104"/>
      <c r="BR85" s="104"/>
      <c r="BS85" s="104"/>
      <c r="BT85" s="104"/>
      <c r="BU85" s="104"/>
      <c r="BV85" s="104"/>
      <c r="BW85" s="104"/>
      <c r="BX85" s="104"/>
      <c r="BY85" s="104"/>
      <c r="BZ85" s="104"/>
      <c r="CA85" s="104"/>
      <c r="CB85" s="104"/>
      <c r="CC85" s="104"/>
      <c r="CD85" s="103"/>
      <c r="CE85" s="105"/>
    </row>
    <row r="86" spans="1:83" ht="12.75" customHeight="1" x14ac:dyDescent="0.15">
      <c r="A86" s="107"/>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c r="BL86" s="106"/>
      <c r="BM86" s="106"/>
      <c r="BN86" s="106"/>
      <c r="BO86" s="106"/>
      <c r="BP86" s="106"/>
      <c r="BQ86" s="106"/>
      <c r="BR86" s="106"/>
      <c r="BS86" s="106"/>
      <c r="BT86" s="106"/>
      <c r="BU86" s="106"/>
      <c r="BV86" s="106"/>
      <c r="BW86" s="106"/>
      <c r="BX86" s="106"/>
      <c r="BY86" s="106"/>
      <c r="BZ86" s="106"/>
      <c r="CA86" s="106"/>
      <c r="CB86" s="106"/>
      <c r="CC86" s="106"/>
      <c r="CD86" s="106"/>
      <c r="CE86" s="108"/>
    </row>
    <row r="87" spans="1:83" ht="12.75" customHeight="1" x14ac:dyDescent="0.15">
      <c r="A87" s="98"/>
      <c r="B87" s="99"/>
      <c r="C87" s="3"/>
      <c r="D87" s="534" t="s">
        <v>594</v>
      </c>
      <c r="E87" s="534"/>
      <c r="F87" s="534"/>
      <c r="G87" s="534"/>
      <c r="H87" s="534"/>
      <c r="I87" s="534"/>
      <c r="J87" s="534"/>
      <c r="K87" s="534"/>
      <c r="L87" s="534"/>
      <c r="M87" s="534"/>
      <c r="N87" s="534"/>
      <c r="O87" s="534"/>
      <c r="P87" s="534"/>
      <c r="Q87" s="534"/>
      <c r="R87" s="534"/>
      <c r="S87" s="534"/>
      <c r="T87" s="534"/>
      <c r="U87" s="534"/>
      <c r="V87" s="534"/>
      <c r="W87" s="534"/>
      <c r="X87" s="534"/>
      <c r="Y87" s="534"/>
      <c r="Z87" s="534"/>
      <c r="AA87" s="534"/>
      <c r="AB87" s="534"/>
      <c r="AC87" s="534"/>
      <c r="AD87" s="534"/>
      <c r="AE87" s="534"/>
      <c r="AF87" s="534"/>
      <c r="AG87" s="534"/>
      <c r="AH87" s="534"/>
      <c r="AI87" s="534"/>
      <c r="AJ87" s="534"/>
      <c r="AK87" s="534"/>
      <c r="AL87" s="534"/>
      <c r="AM87" s="534"/>
      <c r="AN87" s="534"/>
      <c r="AO87" s="534"/>
      <c r="AP87" s="534"/>
      <c r="AQ87" s="534"/>
      <c r="AR87" s="534"/>
      <c r="AS87" s="534"/>
      <c r="AT87" s="534"/>
      <c r="AU87" s="534"/>
      <c r="AV87" s="534"/>
      <c r="AW87" s="534"/>
      <c r="AX87" s="534"/>
      <c r="AY87" s="534"/>
      <c r="AZ87" s="534"/>
      <c r="BA87" s="534"/>
      <c r="BB87" s="534"/>
      <c r="BC87" s="534"/>
      <c r="BD87" s="534"/>
      <c r="BE87" s="534"/>
      <c r="BF87" s="534"/>
      <c r="BG87" s="534"/>
      <c r="BH87" s="534"/>
      <c r="BI87" s="534"/>
      <c r="BJ87" s="534"/>
      <c r="BK87" s="534"/>
      <c r="BL87" s="534"/>
      <c r="BM87" s="534"/>
      <c r="BN87" s="534"/>
      <c r="BO87" s="534"/>
      <c r="BP87" s="534"/>
      <c r="BQ87" s="534"/>
      <c r="BR87" s="534"/>
      <c r="BS87" s="534"/>
      <c r="BT87" s="534"/>
      <c r="BU87" s="534"/>
      <c r="BV87" s="534"/>
      <c r="BW87" s="534"/>
      <c r="BX87" s="534"/>
      <c r="BY87" s="534"/>
      <c r="BZ87" s="534"/>
      <c r="CA87" s="534"/>
      <c r="CB87" s="534"/>
      <c r="CC87" s="58"/>
      <c r="CD87" s="3"/>
      <c r="CE87" s="100"/>
    </row>
    <row r="88" spans="1:83" ht="12.75" customHeight="1" x14ac:dyDescent="0.15">
      <c r="A88" s="98"/>
      <c r="B88" s="99"/>
      <c r="C88" s="3"/>
      <c r="D88" s="535" t="s">
        <v>403</v>
      </c>
      <c r="E88" s="536"/>
      <c r="F88" s="536"/>
      <c r="G88" s="536"/>
      <c r="H88" s="537"/>
      <c r="I88" s="538" t="s">
        <v>404</v>
      </c>
      <c r="J88" s="539"/>
      <c r="K88" s="539"/>
      <c r="L88" s="539"/>
      <c r="M88" s="539"/>
      <c r="N88" s="539"/>
      <c r="O88" s="539"/>
      <c r="P88" s="539"/>
      <c r="Q88" s="539"/>
      <c r="R88" s="539"/>
      <c r="S88" s="539"/>
      <c r="T88" s="539"/>
      <c r="U88" s="539"/>
      <c r="V88" s="539"/>
      <c r="W88" s="539"/>
      <c r="X88" s="539"/>
      <c r="Y88" s="539"/>
      <c r="Z88" s="539"/>
      <c r="AA88" s="539"/>
      <c r="AB88" s="539"/>
      <c r="AC88" s="539"/>
      <c r="AD88" s="539"/>
      <c r="AE88" s="539"/>
      <c r="AF88" s="539"/>
      <c r="AG88" s="540"/>
      <c r="AH88" s="538" t="s">
        <v>405</v>
      </c>
      <c r="AI88" s="539"/>
      <c r="AJ88" s="539"/>
      <c r="AK88" s="539"/>
      <c r="AL88" s="539"/>
      <c r="AM88" s="539"/>
      <c r="AN88" s="539"/>
      <c r="AO88" s="539"/>
      <c r="AP88" s="539"/>
      <c r="AQ88" s="539"/>
      <c r="AR88" s="539"/>
      <c r="AS88" s="539"/>
      <c r="AT88" s="539"/>
      <c r="AU88" s="539"/>
      <c r="AV88" s="539"/>
      <c r="AW88" s="539"/>
      <c r="AX88" s="539"/>
      <c r="AY88" s="539"/>
      <c r="AZ88" s="539"/>
      <c r="BA88" s="539"/>
      <c r="BB88" s="539"/>
      <c r="BC88" s="539"/>
      <c r="BD88" s="539"/>
      <c r="BE88" s="539"/>
      <c r="BF88" s="539"/>
      <c r="BG88" s="539"/>
      <c r="BH88" s="539"/>
      <c r="BI88" s="539"/>
      <c r="BJ88" s="539"/>
      <c r="BK88" s="539"/>
      <c r="BL88" s="539"/>
      <c r="BM88" s="539"/>
      <c r="BN88" s="539"/>
      <c r="BO88" s="539"/>
      <c r="BP88" s="539"/>
      <c r="BQ88" s="539"/>
      <c r="BR88" s="539"/>
      <c r="BS88" s="539"/>
      <c r="BT88" s="539"/>
      <c r="BU88" s="539"/>
      <c r="BV88" s="539"/>
      <c r="BW88" s="539"/>
      <c r="BX88" s="539"/>
      <c r="BY88" s="539"/>
      <c r="BZ88" s="539"/>
      <c r="CA88" s="539"/>
      <c r="CB88" s="540"/>
      <c r="CC88" s="58"/>
      <c r="CD88" s="3"/>
      <c r="CE88" s="100"/>
    </row>
    <row r="89" spans="1:83" ht="12.75" customHeight="1" x14ac:dyDescent="0.15">
      <c r="A89" s="98"/>
      <c r="B89" s="99"/>
      <c r="C89" s="3"/>
      <c r="D89" s="501" t="s">
        <v>473</v>
      </c>
      <c r="E89" s="502"/>
      <c r="F89" s="502"/>
      <c r="G89" s="502"/>
      <c r="H89" s="503"/>
      <c r="I89" s="510" t="s">
        <v>745</v>
      </c>
      <c r="J89" s="511"/>
      <c r="K89" s="511"/>
      <c r="L89" s="511"/>
      <c r="M89" s="511"/>
      <c r="N89" s="511"/>
      <c r="O89" s="511"/>
      <c r="P89" s="511"/>
      <c r="Q89" s="511"/>
      <c r="R89" s="511"/>
      <c r="S89" s="511"/>
      <c r="T89" s="511"/>
      <c r="U89" s="511"/>
      <c r="V89" s="511"/>
      <c r="W89" s="511"/>
      <c r="X89" s="511"/>
      <c r="Y89" s="511"/>
      <c r="Z89" s="511"/>
      <c r="AA89" s="511"/>
      <c r="AB89" s="511"/>
      <c r="AC89" s="511"/>
      <c r="AD89" s="511"/>
      <c r="AE89" s="511"/>
      <c r="AF89" s="511"/>
      <c r="AG89" s="512"/>
      <c r="AH89" s="519" t="s">
        <v>746</v>
      </c>
      <c r="AI89" s="520"/>
      <c r="AJ89" s="520"/>
      <c r="AK89" s="520"/>
      <c r="AL89" s="520"/>
      <c r="AM89" s="520"/>
      <c r="AN89" s="520"/>
      <c r="AO89" s="520"/>
      <c r="AP89" s="520"/>
      <c r="AQ89" s="520"/>
      <c r="AR89" s="520"/>
      <c r="AS89" s="520"/>
      <c r="AT89" s="520"/>
      <c r="AU89" s="520"/>
      <c r="AV89" s="520"/>
      <c r="AW89" s="520"/>
      <c r="AX89" s="520"/>
      <c r="AY89" s="520"/>
      <c r="AZ89" s="520"/>
      <c r="BA89" s="520"/>
      <c r="BB89" s="520"/>
      <c r="BC89" s="520"/>
      <c r="BD89" s="520"/>
      <c r="BE89" s="520"/>
      <c r="BF89" s="520"/>
      <c r="BG89" s="520"/>
      <c r="BH89" s="520"/>
      <c r="BI89" s="520"/>
      <c r="BJ89" s="520"/>
      <c r="BK89" s="520"/>
      <c r="BL89" s="520"/>
      <c r="BM89" s="520"/>
      <c r="BN89" s="520"/>
      <c r="BO89" s="520"/>
      <c r="BP89" s="520"/>
      <c r="BQ89" s="520"/>
      <c r="BR89" s="520"/>
      <c r="BS89" s="520"/>
      <c r="BT89" s="520"/>
      <c r="BU89" s="520"/>
      <c r="BV89" s="520"/>
      <c r="BW89" s="520"/>
      <c r="BX89" s="520"/>
      <c r="BY89" s="520"/>
      <c r="BZ89" s="520"/>
      <c r="CA89" s="520"/>
      <c r="CB89" s="521"/>
      <c r="CC89" s="58"/>
      <c r="CD89" s="3"/>
      <c r="CE89" s="100"/>
    </row>
    <row r="90" spans="1:83" ht="12.75" customHeight="1" x14ac:dyDescent="0.15">
      <c r="A90" s="98"/>
      <c r="B90" s="99"/>
      <c r="C90" s="3"/>
      <c r="D90" s="544"/>
      <c r="E90" s="545"/>
      <c r="F90" s="545"/>
      <c r="G90" s="545"/>
      <c r="H90" s="546"/>
      <c r="I90" s="547"/>
      <c r="J90" s="548"/>
      <c r="K90" s="548"/>
      <c r="L90" s="548"/>
      <c r="M90" s="548"/>
      <c r="N90" s="548"/>
      <c r="O90" s="548"/>
      <c r="P90" s="548"/>
      <c r="Q90" s="548"/>
      <c r="R90" s="548"/>
      <c r="S90" s="548"/>
      <c r="T90" s="548"/>
      <c r="U90" s="548"/>
      <c r="V90" s="548"/>
      <c r="W90" s="548"/>
      <c r="X90" s="548"/>
      <c r="Y90" s="548"/>
      <c r="Z90" s="548"/>
      <c r="AA90" s="548"/>
      <c r="AB90" s="548"/>
      <c r="AC90" s="548"/>
      <c r="AD90" s="548"/>
      <c r="AE90" s="548"/>
      <c r="AF90" s="548"/>
      <c r="AG90" s="549"/>
      <c r="AH90" s="550"/>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2"/>
      <c r="CC90" s="58"/>
      <c r="CD90" s="3"/>
      <c r="CE90" s="100"/>
    </row>
    <row r="91" spans="1:83" ht="12.75" customHeight="1" x14ac:dyDescent="0.15">
      <c r="A91" s="98"/>
      <c r="B91" s="99"/>
      <c r="C91" s="3"/>
      <c r="D91" s="501" t="s">
        <v>474</v>
      </c>
      <c r="E91" s="502"/>
      <c r="F91" s="502"/>
      <c r="G91" s="502"/>
      <c r="H91" s="503"/>
      <c r="I91" s="510" t="s">
        <v>744</v>
      </c>
      <c r="J91" s="511"/>
      <c r="K91" s="511"/>
      <c r="L91" s="511"/>
      <c r="M91" s="511"/>
      <c r="N91" s="511"/>
      <c r="O91" s="511"/>
      <c r="P91" s="511"/>
      <c r="Q91" s="511"/>
      <c r="R91" s="511"/>
      <c r="S91" s="511"/>
      <c r="T91" s="511"/>
      <c r="U91" s="511"/>
      <c r="V91" s="511"/>
      <c r="W91" s="511"/>
      <c r="X91" s="511"/>
      <c r="Y91" s="511"/>
      <c r="Z91" s="511"/>
      <c r="AA91" s="511"/>
      <c r="AB91" s="511"/>
      <c r="AC91" s="511"/>
      <c r="AD91" s="511"/>
      <c r="AE91" s="511"/>
      <c r="AF91" s="511"/>
      <c r="AG91" s="512"/>
      <c r="AH91" s="519" t="s">
        <v>747</v>
      </c>
      <c r="AI91" s="520"/>
      <c r="AJ91" s="520"/>
      <c r="AK91" s="520"/>
      <c r="AL91" s="520"/>
      <c r="AM91" s="520"/>
      <c r="AN91" s="520"/>
      <c r="AO91" s="520"/>
      <c r="AP91" s="520"/>
      <c r="AQ91" s="520"/>
      <c r="AR91" s="520"/>
      <c r="AS91" s="520"/>
      <c r="AT91" s="520"/>
      <c r="AU91" s="520"/>
      <c r="AV91" s="520"/>
      <c r="AW91" s="520"/>
      <c r="AX91" s="520"/>
      <c r="AY91" s="520"/>
      <c r="AZ91" s="520"/>
      <c r="BA91" s="520"/>
      <c r="BB91" s="520"/>
      <c r="BC91" s="520"/>
      <c r="BD91" s="520"/>
      <c r="BE91" s="520"/>
      <c r="BF91" s="520"/>
      <c r="BG91" s="520"/>
      <c r="BH91" s="520"/>
      <c r="BI91" s="520"/>
      <c r="BJ91" s="520"/>
      <c r="BK91" s="520"/>
      <c r="BL91" s="520"/>
      <c r="BM91" s="520"/>
      <c r="BN91" s="520"/>
      <c r="BO91" s="520"/>
      <c r="BP91" s="520"/>
      <c r="BQ91" s="520"/>
      <c r="BR91" s="520"/>
      <c r="BS91" s="520"/>
      <c r="BT91" s="520"/>
      <c r="BU91" s="520"/>
      <c r="BV91" s="520"/>
      <c r="BW91" s="520"/>
      <c r="BX91" s="520"/>
      <c r="BY91" s="520"/>
      <c r="BZ91" s="520"/>
      <c r="CA91" s="520"/>
      <c r="CB91" s="521"/>
      <c r="CC91" s="58"/>
      <c r="CD91" s="3"/>
      <c r="CE91" s="100"/>
    </row>
    <row r="92" spans="1:83" ht="12.75" customHeight="1" x14ac:dyDescent="0.15">
      <c r="A92" s="98"/>
      <c r="B92" s="99"/>
      <c r="C92" s="3"/>
      <c r="D92" s="544"/>
      <c r="E92" s="545"/>
      <c r="F92" s="545"/>
      <c r="G92" s="545"/>
      <c r="H92" s="546"/>
      <c r="I92" s="547"/>
      <c r="J92" s="548"/>
      <c r="K92" s="548"/>
      <c r="L92" s="548"/>
      <c r="M92" s="548"/>
      <c r="N92" s="548"/>
      <c r="O92" s="548"/>
      <c r="P92" s="548"/>
      <c r="Q92" s="548"/>
      <c r="R92" s="548"/>
      <c r="S92" s="548"/>
      <c r="T92" s="548"/>
      <c r="U92" s="548"/>
      <c r="V92" s="548"/>
      <c r="W92" s="548"/>
      <c r="X92" s="548"/>
      <c r="Y92" s="548"/>
      <c r="Z92" s="548"/>
      <c r="AA92" s="548"/>
      <c r="AB92" s="548"/>
      <c r="AC92" s="548"/>
      <c r="AD92" s="548"/>
      <c r="AE92" s="548"/>
      <c r="AF92" s="548"/>
      <c r="AG92" s="549"/>
      <c r="AH92" s="550"/>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2"/>
      <c r="CC92" s="58"/>
      <c r="CD92" s="3"/>
      <c r="CE92" s="100"/>
    </row>
    <row r="93" spans="1:83" ht="12.75" customHeight="1" x14ac:dyDescent="0.15">
      <c r="A93" s="98"/>
      <c r="B93" s="99"/>
      <c r="C93" s="3"/>
      <c r="D93" s="501" t="s">
        <v>475</v>
      </c>
      <c r="E93" s="502"/>
      <c r="F93" s="502"/>
      <c r="G93" s="502"/>
      <c r="H93" s="503"/>
      <c r="I93" s="510" t="s">
        <v>801</v>
      </c>
      <c r="J93" s="511"/>
      <c r="K93" s="511"/>
      <c r="L93" s="511"/>
      <c r="M93" s="511"/>
      <c r="N93" s="511"/>
      <c r="O93" s="511"/>
      <c r="P93" s="511"/>
      <c r="Q93" s="511"/>
      <c r="R93" s="511"/>
      <c r="S93" s="511"/>
      <c r="T93" s="511"/>
      <c r="U93" s="511"/>
      <c r="V93" s="511"/>
      <c r="W93" s="511"/>
      <c r="X93" s="511"/>
      <c r="Y93" s="511"/>
      <c r="Z93" s="511"/>
      <c r="AA93" s="511"/>
      <c r="AB93" s="511"/>
      <c r="AC93" s="511"/>
      <c r="AD93" s="511"/>
      <c r="AE93" s="511"/>
      <c r="AF93" s="511"/>
      <c r="AG93" s="512"/>
      <c r="AH93" s="519" t="s">
        <v>804</v>
      </c>
      <c r="AI93" s="520"/>
      <c r="AJ93" s="520"/>
      <c r="AK93" s="520"/>
      <c r="AL93" s="520"/>
      <c r="AM93" s="520"/>
      <c r="AN93" s="520"/>
      <c r="AO93" s="520"/>
      <c r="AP93" s="520"/>
      <c r="AQ93" s="520"/>
      <c r="AR93" s="520"/>
      <c r="AS93" s="520"/>
      <c r="AT93" s="520"/>
      <c r="AU93" s="520"/>
      <c r="AV93" s="520"/>
      <c r="AW93" s="520"/>
      <c r="AX93" s="520"/>
      <c r="AY93" s="520"/>
      <c r="AZ93" s="520"/>
      <c r="BA93" s="520"/>
      <c r="BB93" s="520"/>
      <c r="BC93" s="520"/>
      <c r="BD93" s="520"/>
      <c r="BE93" s="520"/>
      <c r="BF93" s="520"/>
      <c r="BG93" s="520"/>
      <c r="BH93" s="520"/>
      <c r="BI93" s="520"/>
      <c r="BJ93" s="520"/>
      <c r="BK93" s="520"/>
      <c r="BL93" s="520"/>
      <c r="BM93" s="520"/>
      <c r="BN93" s="520"/>
      <c r="BO93" s="520"/>
      <c r="BP93" s="520"/>
      <c r="BQ93" s="520"/>
      <c r="BR93" s="520"/>
      <c r="BS93" s="520"/>
      <c r="BT93" s="520"/>
      <c r="BU93" s="520"/>
      <c r="BV93" s="520"/>
      <c r="BW93" s="520"/>
      <c r="BX93" s="520"/>
      <c r="BY93" s="520"/>
      <c r="BZ93" s="520"/>
      <c r="CA93" s="520"/>
      <c r="CB93" s="521"/>
      <c r="CC93" s="58"/>
      <c r="CD93" s="3"/>
      <c r="CE93" s="100"/>
    </row>
    <row r="94" spans="1:83" ht="12.75" customHeight="1" x14ac:dyDescent="0.15">
      <c r="A94" s="98"/>
      <c r="B94" s="99"/>
      <c r="C94" s="3"/>
      <c r="D94" s="544"/>
      <c r="E94" s="545"/>
      <c r="F94" s="545"/>
      <c r="G94" s="545"/>
      <c r="H94" s="546"/>
      <c r="I94" s="794"/>
      <c r="J94" s="795"/>
      <c r="K94" s="795"/>
      <c r="L94" s="795"/>
      <c r="M94" s="795"/>
      <c r="N94" s="795"/>
      <c r="O94" s="795"/>
      <c r="P94" s="795"/>
      <c r="Q94" s="795"/>
      <c r="R94" s="795"/>
      <c r="S94" s="795"/>
      <c r="T94" s="795"/>
      <c r="U94" s="795"/>
      <c r="V94" s="795"/>
      <c r="W94" s="795"/>
      <c r="X94" s="795"/>
      <c r="Y94" s="795"/>
      <c r="Z94" s="795"/>
      <c r="AA94" s="795"/>
      <c r="AB94" s="795"/>
      <c r="AC94" s="795"/>
      <c r="AD94" s="795"/>
      <c r="AE94" s="795"/>
      <c r="AF94" s="795"/>
      <c r="AG94" s="796"/>
      <c r="AH94" s="550"/>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2"/>
      <c r="CC94" s="58"/>
      <c r="CD94" s="3"/>
      <c r="CE94" s="100"/>
    </row>
    <row r="95" spans="1:83" ht="12.75" customHeight="1" x14ac:dyDescent="0.15">
      <c r="A95" s="98"/>
      <c r="B95" s="99"/>
      <c r="C95" s="3"/>
      <c r="D95" s="501" t="s">
        <v>476</v>
      </c>
      <c r="E95" s="502"/>
      <c r="F95" s="502"/>
      <c r="G95" s="502"/>
      <c r="H95" s="503"/>
      <c r="I95" s="510" t="s">
        <v>802</v>
      </c>
      <c r="J95" s="511"/>
      <c r="K95" s="511"/>
      <c r="L95" s="511"/>
      <c r="M95" s="511"/>
      <c r="N95" s="511"/>
      <c r="O95" s="511"/>
      <c r="P95" s="511"/>
      <c r="Q95" s="511"/>
      <c r="R95" s="511"/>
      <c r="S95" s="511"/>
      <c r="T95" s="511"/>
      <c r="U95" s="511"/>
      <c r="V95" s="511"/>
      <c r="W95" s="511"/>
      <c r="X95" s="511"/>
      <c r="Y95" s="511"/>
      <c r="Z95" s="511"/>
      <c r="AA95" s="511"/>
      <c r="AB95" s="511"/>
      <c r="AC95" s="511"/>
      <c r="AD95" s="511"/>
      <c r="AE95" s="511"/>
      <c r="AF95" s="511"/>
      <c r="AG95" s="512"/>
      <c r="AH95" s="519" t="s">
        <v>805</v>
      </c>
      <c r="AI95" s="520"/>
      <c r="AJ95" s="520"/>
      <c r="AK95" s="520"/>
      <c r="AL95" s="520"/>
      <c r="AM95" s="520"/>
      <c r="AN95" s="520"/>
      <c r="AO95" s="520"/>
      <c r="AP95" s="520"/>
      <c r="AQ95" s="520"/>
      <c r="AR95" s="520"/>
      <c r="AS95" s="520"/>
      <c r="AT95" s="520"/>
      <c r="AU95" s="520"/>
      <c r="AV95" s="520"/>
      <c r="AW95" s="520"/>
      <c r="AX95" s="520"/>
      <c r="AY95" s="520"/>
      <c r="AZ95" s="520"/>
      <c r="BA95" s="520"/>
      <c r="BB95" s="520"/>
      <c r="BC95" s="520"/>
      <c r="BD95" s="520"/>
      <c r="BE95" s="520"/>
      <c r="BF95" s="520"/>
      <c r="BG95" s="520"/>
      <c r="BH95" s="520"/>
      <c r="BI95" s="520"/>
      <c r="BJ95" s="520"/>
      <c r="BK95" s="520"/>
      <c r="BL95" s="520"/>
      <c r="BM95" s="520"/>
      <c r="BN95" s="520"/>
      <c r="BO95" s="520"/>
      <c r="BP95" s="520"/>
      <c r="BQ95" s="520"/>
      <c r="BR95" s="520"/>
      <c r="BS95" s="520"/>
      <c r="BT95" s="520"/>
      <c r="BU95" s="520"/>
      <c r="BV95" s="520"/>
      <c r="BW95" s="520"/>
      <c r="BX95" s="520"/>
      <c r="BY95" s="520"/>
      <c r="BZ95" s="520"/>
      <c r="CA95" s="520"/>
      <c r="CB95" s="521"/>
      <c r="CC95" s="58"/>
      <c r="CD95" s="3"/>
      <c r="CE95" s="100"/>
    </row>
    <row r="96" spans="1:83" ht="12.75" customHeight="1" x14ac:dyDescent="0.15">
      <c r="A96" s="98"/>
      <c r="B96" s="99"/>
      <c r="C96" s="3"/>
      <c r="D96" s="544"/>
      <c r="E96" s="545"/>
      <c r="F96" s="545"/>
      <c r="G96" s="545"/>
      <c r="H96" s="546"/>
      <c r="I96" s="794"/>
      <c r="J96" s="795"/>
      <c r="K96" s="795"/>
      <c r="L96" s="795"/>
      <c r="M96" s="795"/>
      <c r="N96" s="795"/>
      <c r="O96" s="795"/>
      <c r="P96" s="795"/>
      <c r="Q96" s="795"/>
      <c r="R96" s="795"/>
      <c r="S96" s="795"/>
      <c r="T96" s="795"/>
      <c r="U96" s="795"/>
      <c r="V96" s="795"/>
      <c r="W96" s="795"/>
      <c r="X96" s="795"/>
      <c r="Y96" s="795"/>
      <c r="Z96" s="795"/>
      <c r="AA96" s="795"/>
      <c r="AB96" s="795"/>
      <c r="AC96" s="795"/>
      <c r="AD96" s="795"/>
      <c r="AE96" s="795"/>
      <c r="AF96" s="795"/>
      <c r="AG96" s="796"/>
      <c r="AH96" s="550"/>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2"/>
      <c r="CC96" s="58"/>
      <c r="CD96" s="3"/>
      <c r="CE96" s="100"/>
    </row>
    <row r="97" spans="1:83" ht="12.75" customHeight="1" x14ac:dyDescent="0.15">
      <c r="A97" s="98"/>
      <c r="B97" s="99"/>
      <c r="C97" s="3"/>
      <c r="D97" s="501" t="s">
        <v>477</v>
      </c>
      <c r="E97" s="502"/>
      <c r="F97" s="502"/>
      <c r="G97" s="502"/>
      <c r="H97" s="503"/>
      <c r="I97" s="519" t="s">
        <v>823</v>
      </c>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2"/>
      <c r="AH97" s="519" t="s">
        <v>10</v>
      </c>
      <c r="AI97" s="511"/>
      <c r="AJ97" s="511"/>
      <c r="AK97" s="511"/>
      <c r="AL97" s="511"/>
      <c r="AM97" s="511"/>
      <c r="AN97" s="511"/>
      <c r="AO97" s="511"/>
      <c r="AP97" s="511"/>
      <c r="AQ97" s="511"/>
      <c r="AR97" s="511"/>
      <c r="AS97" s="511"/>
      <c r="AT97" s="511"/>
      <c r="AU97" s="511"/>
      <c r="AV97" s="511"/>
      <c r="AW97" s="511"/>
      <c r="AX97" s="511"/>
      <c r="AY97" s="511"/>
      <c r="AZ97" s="511"/>
      <c r="BA97" s="511"/>
      <c r="BB97" s="511"/>
      <c r="BC97" s="511"/>
      <c r="BD97" s="511"/>
      <c r="BE97" s="511"/>
      <c r="BF97" s="511"/>
      <c r="BG97" s="511"/>
      <c r="BH97" s="511"/>
      <c r="BI97" s="511"/>
      <c r="BJ97" s="511"/>
      <c r="BK97" s="511"/>
      <c r="BL97" s="511"/>
      <c r="BM97" s="511"/>
      <c r="BN97" s="511"/>
      <c r="BO97" s="511"/>
      <c r="BP97" s="511"/>
      <c r="BQ97" s="511"/>
      <c r="BR97" s="511"/>
      <c r="BS97" s="511"/>
      <c r="BT97" s="511"/>
      <c r="BU97" s="511"/>
      <c r="BV97" s="511"/>
      <c r="BW97" s="511"/>
      <c r="BX97" s="511"/>
      <c r="BY97" s="511"/>
      <c r="BZ97" s="511"/>
      <c r="CA97" s="511"/>
      <c r="CB97" s="512"/>
      <c r="CC97" s="58"/>
      <c r="CD97" s="3"/>
      <c r="CE97" s="100"/>
    </row>
    <row r="98" spans="1:83" ht="12.75" customHeight="1" x14ac:dyDescent="0.15">
      <c r="A98" s="98"/>
      <c r="B98" s="99"/>
      <c r="C98" s="3"/>
      <c r="D98" s="544"/>
      <c r="E98" s="545"/>
      <c r="F98" s="545"/>
      <c r="G98" s="545"/>
      <c r="H98" s="546"/>
      <c r="I98" s="547"/>
      <c r="J98" s="548"/>
      <c r="K98" s="548"/>
      <c r="L98" s="548"/>
      <c r="M98" s="548"/>
      <c r="N98" s="548"/>
      <c r="O98" s="548"/>
      <c r="P98" s="548"/>
      <c r="Q98" s="548"/>
      <c r="R98" s="548"/>
      <c r="S98" s="548"/>
      <c r="T98" s="548"/>
      <c r="U98" s="548"/>
      <c r="V98" s="548"/>
      <c r="W98" s="548"/>
      <c r="X98" s="548"/>
      <c r="Y98" s="548"/>
      <c r="Z98" s="548"/>
      <c r="AA98" s="548"/>
      <c r="AB98" s="548"/>
      <c r="AC98" s="548"/>
      <c r="AD98" s="548"/>
      <c r="AE98" s="548"/>
      <c r="AF98" s="548"/>
      <c r="AG98" s="549"/>
      <c r="AH98" s="547"/>
      <c r="AI98" s="548"/>
      <c r="AJ98" s="548"/>
      <c r="AK98" s="548"/>
      <c r="AL98" s="548"/>
      <c r="AM98" s="548"/>
      <c r="AN98" s="548"/>
      <c r="AO98" s="548"/>
      <c r="AP98" s="548"/>
      <c r="AQ98" s="548"/>
      <c r="AR98" s="548"/>
      <c r="AS98" s="548"/>
      <c r="AT98" s="548"/>
      <c r="AU98" s="548"/>
      <c r="AV98" s="548"/>
      <c r="AW98" s="548"/>
      <c r="AX98" s="548"/>
      <c r="AY98" s="548"/>
      <c r="AZ98" s="548"/>
      <c r="BA98" s="548"/>
      <c r="BB98" s="548"/>
      <c r="BC98" s="548"/>
      <c r="BD98" s="548"/>
      <c r="BE98" s="548"/>
      <c r="BF98" s="548"/>
      <c r="BG98" s="548"/>
      <c r="BH98" s="548"/>
      <c r="BI98" s="548"/>
      <c r="BJ98" s="548"/>
      <c r="BK98" s="548"/>
      <c r="BL98" s="548"/>
      <c r="BM98" s="548"/>
      <c r="BN98" s="548"/>
      <c r="BO98" s="548"/>
      <c r="BP98" s="548"/>
      <c r="BQ98" s="548"/>
      <c r="BR98" s="548"/>
      <c r="BS98" s="548"/>
      <c r="BT98" s="548"/>
      <c r="BU98" s="548"/>
      <c r="BV98" s="548"/>
      <c r="BW98" s="548"/>
      <c r="BX98" s="548"/>
      <c r="BY98" s="548"/>
      <c r="BZ98" s="548"/>
      <c r="CA98" s="548"/>
      <c r="CB98" s="549"/>
      <c r="CC98" s="58"/>
      <c r="CD98" s="3"/>
      <c r="CE98" s="100"/>
    </row>
    <row r="99" spans="1:83" x14ac:dyDescent="0.15">
      <c r="A99" s="109"/>
      <c r="B99" s="3"/>
      <c r="C99" s="3"/>
      <c r="D99" s="501" t="s">
        <v>9</v>
      </c>
      <c r="E99" s="502"/>
      <c r="F99" s="502"/>
      <c r="G99" s="502"/>
      <c r="H99" s="503"/>
      <c r="I99" s="519" t="s">
        <v>822</v>
      </c>
      <c r="J99" s="511"/>
      <c r="K99" s="511"/>
      <c r="L99" s="511"/>
      <c r="M99" s="511"/>
      <c r="N99" s="511"/>
      <c r="O99" s="511"/>
      <c r="P99" s="511"/>
      <c r="Q99" s="511"/>
      <c r="R99" s="511"/>
      <c r="S99" s="511"/>
      <c r="T99" s="511"/>
      <c r="U99" s="511"/>
      <c r="V99" s="511"/>
      <c r="W99" s="511"/>
      <c r="X99" s="511"/>
      <c r="Y99" s="511"/>
      <c r="Z99" s="511"/>
      <c r="AA99" s="511"/>
      <c r="AB99" s="511"/>
      <c r="AC99" s="511"/>
      <c r="AD99" s="511"/>
      <c r="AE99" s="511"/>
      <c r="AF99" s="511"/>
      <c r="AG99" s="512"/>
      <c r="AH99" s="519" t="s">
        <v>430</v>
      </c>
      <c r="AI99" s="511"/>
      <c r="AJ99" s="511"/>
      <c r="AK99" s="511"/>
      <c r="AL99" s="511"/>
      <c r="AM99" s="511"/>
      <c r="AN99" s="511"/>
      <c r="AO99" s="511"/>
      <c r="AP99" s="511"/>
      <c r="AQ99" s="511"/>
      <c r="AR99" s="511"/>
      <c r="AS99" s="511"/>
      <c r="AT99" s="511"/>
      <c r="AU99" s="511"/>
      <c r="AV99" s="511"/>
      <c r="AW99" s="511"/>
      <c r="AX99" s="511"/>
      <c r="AY99" s="511"/>
      <c r="AZ99" s="511"/>
      <c r="BA99" s="511"/>
      <c r="BB99" s="511"/>
      <c r="BC99" s="511"/>
      <c r="BD99" s="511"/>
      <c r="BE99" s="511"/>
      <c r="BF99" s="511"/>
      <c r="BG99" s="511"/>
      <c r="BH99" s="511"/>
      <c r="BI99" s="511"/>
      <c r="BJ99" s="511"/>
      <c r="BK99" s="511"/>
      <c r="BL99" s="511"/>
      <c r="BM99" s="511"/>
      <c r="BN99" s="511"/>
      <c r="BO99" s="511"/>
      <c r="BP99" s="511"/>
      <c r="BQ99" s="511"/>
      <c r="BR99" s="511"/>
      <c r="BS99" s="511"/>
      <c r="BT99" s="511"/>
      <c r="BU99" s="511"/>
      <c r="BV99" s="511"/>
      <c r="BW99" s="511"/>
      <c r="BX99" s="511"/>
      <c r="BY99" s="511"/>
      <c r="BZ99" s="511"/>
      <c r="CA99" s="511"/>
      <c r="CB99" s="512"/>
      <c r="CC99" s="3"/>
      <c r="CD99" s="3"/>
      <c r="CE99" s="100"/>
    </row>
    <row r="100" spans="1:83" x14ac:dyDescent="0.15">
      <c r="A100" s="109"/>
      <c r="B100" s="3"/>
      <c r="C100" s="3"/>
      <c r="D100" s="544"/>
      <c r="E100" s="545"/>
      <c r="F100" s="545"/>
      <c r="G100" s="545"/>
      <c r="H100" s="546"/>
      <c r="I100" s="791"/>
      <c r="J100" s="792"/>
      <c r="K100" s="792"/>
      <c r="L100" s="792"/>
      <c r="M100" s="792"/>
      <c r="N100" s="792"/>
      <c r="O100" s="792"/>
      <c r="P100" s="792"/>
      <c r="Q100" s="792"/>
      <c r="R100" s="792"/>
      <c r="S100" s="792"/>
      <c r="T100" s="792"/>
      <c r="U100" s="792"/>
      <c r="V100" s="792"/>
      <c r="W100" s="792"/>
      <c r="X100" s="792"/>
      <c r="Y100" s="792"/>
      <c r="Z100" s="792"/>
      <c r="AA100" s="792"/>
      <c r="AB100" s="792"/>
      <c r="AC100" s="792"/>
      <c r="AD100" s="792"/>
      <c r="AE100" s="792"/>
      <c r="AF100" s="792"/>
      <c r="AG100" s="793"/>
      <c r="AH100" s="791"/>
      <c r="AI100" s="792"/>
      <c r="AJ100" s="792"/>
      <c r="AK100" s="792"/>
      <c r="AL100" s="792"/>
      <c r="AM100" s="792"/>
      <c r="AN100" s="792"/>
      <c r="AO100" s="792"/>
      <c r="AP100" s="792"/>
      <c r="AQ100" s="792"/>
      <c r="AR100" s="792"/>
      <c r="AS100" s="792"/>
      <c r="AT100" s="792"/>
      <c r="AU100" s="792"/>
      <c r="AV100" s="792"/>
      <c r="AW100" s="792"/>
      <c r="AX100" s="792"/>
      <c r="AY100" s="792"/>
      <c r="AZ100" s="792"/>
      <c r="BA100" s="792"/>
      <c r="BB100" s="792"/>
      <c r="BC100" s="792"/>
      <c r="BD100" s="792"/>
      <c r="BE100" s="792"/>
      <c r="BF100" s="792"/>
      <c r="BG100" s="792"/>
      <c r="BH100" s="792"/>
      <c r="BI100" s="792"/>
      <c r="BJ100" s="792"/>
      <c r="BK100" s="792"/>
      <c r="BL100" s="792"/>
      <c r="BM100" s="792"/>
      <c r="BN100" s="792"/>
      <c r="BO100" s="792"/>
      <c r="BP100" s="792"/>
      <c r="BQ100" s="792"/>
      <c r="BR100" s="792"/>
      <c r="BS100" s="792"/>
      <c r="BT100" s="792"/>
      <c r="BU100" s="792"/>
      <c r="BV100" s="792"/>
      <c r="BW100" s="792"/>
      <c r="BX100" s="792"/>
      <c r="BY100" s="792"/>
      <c r="BZ100" s="792"/>
      <c r="CA100" s="792"/>
      <c r="CB100" s="793"/>
      <c r="CC100" s="3"/>
      <c r="CD100" s="3"/>
      <c r="CE100" s="100"/>
    </row>
    <row r="101" spans="1:83" ht="12.75" customHeight="1" x14ac:dyDescent="0.15">
      <c r="A101" s="98"/>
      <c r="B101" s="99"/>
      <c r="C101" s="3"/>
      <c r="D101" s="501" t="s">
        <v>706</v>
      </c>
      <c r="E101" s="502"/>
      <c r="F101" s="502"/>
      <c r="G101" s="502"/>
      <c r="H101" s="503"/>
      <c r="I101" s="510" t="s">
        <v>801</v>
      </c>
      <c r="J101" s="511"/>
      <c r="K101" s="511"/>
      <c r="L101" s="511"/>
      <c r="M101" s="511"/>
      <c r="N101" s="511"/>
      <c r="O101" s="511"/>
      <c r="P101" s="511"/>
      <c r="Q101" s="511"/>
      <c r="R101" s="511"/>
      <c r="S101" s="511"/>
      <c r="T101" s="511"/>
      <c r="U101" s="511"/>
      <c r="V101" s="511"/>
      <c r="W101" s="511"/>
      <c r="X101" s="511"/>
      <c r="Y101" s="511"/>
      <c r="Z101" s="511"/>
      <c r="AA101" s="511"/>
      <c r="AB101" s="511"/>
      <c r="AC101" s="511"/>
      <c r="AD101" s="511"/>
      <c r="AE101" s="511"/>
      <c r="AF101" s="511"/>
      <c r="AG101" s="512"/>
      <c r="AH101" s="519" t="s">
        <v>806</v>
      </c>
      <c r="AI101" s="520"/>
      <c r="AJ101" s="520"/>
      <c r="AK101" s="520"/>
      <c r="AL101" s="520"/>
      <c r="AM101" s="520"/>
      <c r="AN101" s="520"/>
      <c r="AO101" s="520"/>
      <c r="AP101" s="520"/>
      <c r="AQ101" s="520"/>
      <c r="AR101" s="520"/>
      <c r="AS101" s="520"/>
      <c r="AT101" s="520"/>
      <c r="AU101" s="520"/>
      <c r="AV101" s="520"/>
      <c r="AW101" s="520"/>
      <c r="AX101" s="520"/>
      <c r="AY101" s="520"/>
      <c r="AZ101" s="520"/>
      <c r="BA101" s="520"/>
      <c r="BB101" s="520"/>
      <c r="BC101" s="520"/>
      <c r="BD101" s="520"/>
      <c r="BE101" s="520"/>
      <c r="BF101" s="520"/>
      <c r="BG101" s="520"/>
      <c r="BH101" s="520"/>
      <c r="BI101" s="520"/>
      <c r="BJ101" s="520"/>
      <c r="BK101" s="520"/>
      <c r="BL101" s="520"/>
      <c r="BM101" s="520"/>
      <c r="BN101" s="520"/>
      <c r="BO101" s="520"/>
      <c r="BP101" s="520"/>
      <c r="BQ101" s="520"/>
      <c r="BR101" s="520"/>
      <c r="BS101" s="520"/>
      <c r="BT101" s="520"/>
      <c r="BU101" s="520"/>
      <c r="BV101" s="520"/>
      <c r="BW101" s="520"/>
      <c r="BX101" s="520"/>
      <c r="BY101" s="520"/>
      <c r="BZ101" s="520"/>
      <c r="CA101" s="520"/>
      <c r="CB101" s="521"/>
      <c r="CC101" s="58"/>
      <c r="CD101" s="3"/>
      <c r="CE101" s="100"/>
    </row>
    <row r="102" spans="1:83" ht="12.75" customHeight="1" x14ac:dyDescent="0.15">
      <c r="A102" s="98"/>
      <c r="B102" s="99"/>
      <c r="C102" s="3"/>
      <c r="D102" s="544"/>
      <c r="E102" s="545"/>
      <c r="F102" s="545"/>
      <c r="G102" s="545"/>
      <c r="H102" s="546"/>
      <c r="I102" s="547"/>
      <c r="J102" s="548"/>
      <c r="K102" s="548"/>
      <c r="L102" s="548"/>
      <c r="M102" s="548"/>
      <c r="N102" s="548"/>
      <c r="O102" s="548"/>
      <c r="P102" s="548"/>
      <c r="Q102" s="548"/>
      <c r="R102" s="548"/>
      <c r="S102" s="548"/>
      <c r="T102" s="548"/>
      <c r="U102" s="548"/>
      <c r="V102" s="548"/>
      <c r="W102" s="548"/>
      <c r="X102" s="548"/>
      <c r="Y102" s="548"/>
      <c r="Z102" s="548"/>
      <c r="AA102" s="548"/>
      <c r="AB102" s="548"/>
      <c r="AC102" s="548"/>
      <c r="AD102" s="548"/>
      <c r="AE102" s="548"/>
      <c r="AF102" s="548"/>
      <c r="AG102" s="549"/>
      <c r="AH102" s="550"/>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2"/>
      <c r="CC102" s="58"/>
      <c r="CD102" s="3"/>
      <c r="CE102" s="100"/>
    </row>
    <row r="103" spans="1:83" ht="12.75" customHeight="1" x14ac:dyDescent="0.15">
      <c r="A103" s="98"/>
      <c r="B103" s="99"/>
      <c r="C103" s="3"/>
      <c r="D103" s="553" t="s">
        <v>707</v>
      </c>
      <c r="E103" s="554"/>
      <c r="F103" s="554"/>
      <c r="G103" s="554"/>
      <c r="H103" s="555"/>
      <c r="I103" s="510" t="s">
        <v>803</v>
      </c>
      <c r="J103" s="511"/>
      <c r="K103" s="511"/>
      <c r="L103" s="511"/>
      <c r="M103" s="511"/>
      <c r="N103" s="511"/>
      <c r="O103" s="511"/>
      <c r="P103" s="511"/>
      <c r="Q103" s="511"/>
      <c r="R103" s="511"/>
      <c r="S103" s="511"/>
      <c r="T103" s="511"/>
      <c r="U103" s="511"/>
      <c r="V103" s="511"/>
      <c r="W103" s="511"/>
      <c r="X103" s="511"/>
      <c r="Y103" s="511"/>
      <c r="Z103" s="511"/>
      <c r="AA103" s="511"/>
      <c r="AB103" s="511"/>
      <c r="AC103" s="511"/>
      <c r="AD103" s="511"/>
      <c r="AE103" s="511"/>
      <c r="AF103" s="511"/>
      <c r="AG103" s="512"/>
      <c r="AH103" s="519" t="s">
        <v>807</v>
      </c>
      <c r="AI103" s="520"/>
      <c r="AJ103" s="520"/>
      <c r="AK103" s="520"/>
      <c r="AL103" s="520"/>
      <c r="AM103" s="520"/>
      <c r="AN103" s="520"/>
      <c r="AO103" s="520"/>
      <c r="AP103" s="520"/>
      <c r="AQ103" s="520"/>
      <c r="AR103" s="520"/>
      <c r="AS103" s="520"/>
      <c r="AT103" s="520"/>
      <c r="AU103" s="520"/>
      <c r="AV103" s="520"/>
      <c r="AW103" s="520"/>
      <c r="AX103" s="520"/>
      <c r="AY103" s="520"/>
      <c r="AZ103" s="520"/>
      <c r="BA103" s="520"/>
      <c r="BB103" s="520"/>
      <c r="BC103" s="520"/>
      <c r="BD103" s="520"/>
      <c r="BE103" s="520"/>
      <c r="BF103" s="520"/>
      <c r="BG103" s="520"/>
      <c r="BH103" s="520"/>
      <c r="BI103" s="520"/>
      <c r="BJ103" s="520"/>
      <c r="BK103" s="520"/>
      <c r="BL103" s="520"/>
      <c r="BM103" s="520"/>
      <c r="BN103" s="520"/>
      <c r="BO103" s="520"/>
      <c r="BP103" s="520"/>
      <c r="BQ103" s="520"/>
      <c r="BR103" s="520"/>
      <c r="BS103" s="520"/>
      <c r="BT103" s="520"/>
      <c r="BU103" s="520"/>
      <c r="BV103" s="520"/>
      <c r="BW103" s="520"/>
      <c r="BX103" s="520"/>
      <c r="BY103" s="520"/>
      <c r="BZ103" s="520"/>
      <c r="CA103" s="520"/>
      <c r="CB103" s="521"/>
      <c r="CC103" s="58"/>
      <c r="CD103" s="3"/>
      <c r="CE103" s="100"/>
    </row>
    <row r="104" spans="1:83" ht="12.75" customHeight="1" x14ac:dyDescent="0.15">
      <c r="A104" s="98"/>
      <c r="B104" s="99"/>
      <c r="C104" s="3"/>
      <c r="D104" s="556"/>
      <c r="E104" s="557"/>
      <c r="F104" s="557"/>
      <c r="G104" s="557"/>
      <c r="H104" s="558"/>
      <c r="I104" s="513"/>
      <c r="J104" s="514"/>
      <c r="K104" s="514"/>
      <c r="L104" s="514"/>
      <c r="M104" s="514"/>
      <c r="N104" s="514"/>
      <c r="O104" s="514"/>
      <c r="P104" s="514"/>
      <c r="Q104" s="514"/>
      <c r="R104" s="514"/>
      <c r="S104" s="514"/>
      <c r="T104" s="514"/>
      <c r="U104" s="514"/>
      <c r="V104" s="514"/>
      <c r="W104" s="514"/>
      <c r="X104" s="514"/>
      <c r="Y104" s="514"/>
      <c r="Z104" s="514"/>
      <c r="AA104" s="514"/>
      <c r="AB104" s="514"/>
      <c r="AC104" s="514"/>
      <c r="AD104" s="514"/>
      <c r="AE104" s="514"/>
      <c r="AF104" s="514"/>
      <c r="AG104" s="515"/>
      <c r="AH104" s="522"/>
      <c r="AI104" s="523"/>
      <c r="AJ104" s="523"/>
      <c r="AK104" s="523"/>
      <c r="AL104" s="523"/>
      <c r="AM104" s="523"/>
      <c r="AN104" s="523"/>
      <c r="AO104" s="523"/>
      <c r="AP104" s="523"/>
      <c r="AQ104" s="523"/>
      <c r="AR104" s="523"/>
      <c r="AS104" s="523"/>
      <c r="AT104" s="523"/>
      <c r="AU104" s="523"/>
      <c r="AV104" s="523"/>
      <c r="AW104" s="523"/>
      <c r="AX104" s="523"/>
      <c r="AY104" s="523"/>
      <c r="AZ104" s="523"/>
      <c r="BA104" s="523"/>
      <c r="BB104" s="523"/>
      <c r="BC104" s="523"/>
      <c r="BD104" s="523"/>
      <c r="BE104" s="523"/>
      <c r="BF104" s="523"/>
      <c r="BG104" s="523"/>
      <c r="BH104" s="523"/>
      <c r="BI104" s="523"/>
      <c r="BJ104" s="523"/>
      <c r="BK104" s="523"/>
      <c r="BL104" s="523"/>
      <c r="BM104" s="523"/>
      <c r="BN104" s="523"/>
      <c r="BO104" s="523"/>
      <c r="BP104" s="523"/>
      <c r="BQ104" s="523"/>
      <c r="BR104" s="523"/>
      <c r="BS104" s="523"/>
      <c r="BT104" s="523"/>
      <c r="BU104" s="523"/>
      <c r="BV104" s="523"/>
      <c r="BW104" s="523"/>
      <c r="BX104" s="523"/>
      <c r="BY104" s="523"/>
      <c r="BZ104" s="523"/>
      <c r="CA104" s="523"/>
      <c r="CB104" s="524"/>
      <c r="CC104" s="58"/>
      <c r="CD104" s="3"/>
      <c r="CE104" s="100"/>
    </row>
    <row r="105" spans="1:83" ht="12.75" customHeight="1" x14ac:dyDescent="0.15">
      <c r="A105" s="98"/>
      <c r="B105" s="99"/>
      <c r="C105" s="3"/>
      <c r="D105" s="559"/>
      <c r="E105" s="560"/>
      <c r="F105" s="560"/>
      <c r="G105" s="560"/>
      <c r="H105" s="561"/>
      <c r="I105" s="547"/>
      <c r="J105" s="548"/>
      <c r="K105" s="548"/>
      <c r="L105" s="548"/>
      <c r="M105" s="548"/>
      <c r="N105" s="548"/>
      <c r="O105" s="548"/>
      <c r="P105" s="548"/>
      <c r="Q105" s="548"/>
      <c r="R105" s="548"/>
      <c r="S105" s="548"/>
      <c r="T105" s="548"/>
      <c r="U105" s="548"/>
      <c r="V105" s="548"/>
      <c r="W105" s="548"/>
      <c r="X105" s="548"/>
      <c r="Y105" s="548"/>
      <c r="Z105" s="548"/>
      <c r="AA105" s="548"/>
      <c r="AB105" s="548"/>
      <c r="AC105" s="548"/>
      <c r="AD105" s="548"/>
      <c r="AE105" s="548"/>
      <c r="AF105" s="548"/>
      <c r="AG105" s="549"/>
      <c r="AH105" s="550"/>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2"/>
      <c r="CC105" s="58"/>
      <c r="CD105" s="3"/>
      <c r="CE105" s="100"/>
    </row>
    <row r="106" spans="1:83" x14ac:dyDescent="0.15">
      <c r="A106" s="109"/>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100"/>
    </row>
    <row r="107" spans="1:83" x14ac:dyDescent="0.15">
      <c r="A107" s="109"/>
      <c r="B107" s="3"/>
      <c r="C107" s="3"/>
      <c r="D107" s="534" t="s">
        <v>593</v>
      </c>
      <c r="E107" s="534"/>
      <c r="F107" s="534"/>
      <c r="G107" s="534"/>
      <c r="H107" s="534"/>
      <c r="I107" s="534"/>
      <c r="J107" s="534"/>
      <c r="K107" s="534"/>
      <c r="L107" s="534"/>
      <c r="M107" s="534"/>
      <c r="N107" s="534"/>
      <c r="O107" s="534"/>
      <c r="P107" s="534"/>
      <c r="Q107" s="534"/>
      <c r="R107" s="534"/>
      <c r="S107" s="534"/>
      <c r="T107" s="534"/>
      <c r="U107" s="534"/>
      <c r="V107" s="534"/>
      <c r="W107" s="534"/>
      <c r="X107" s="534"/>
      <c r="Y107" s="534"/>
      <c r="Z107" s="534"/>
      <c r="AA107" s="534"/>
      <c r="AB107" s="534"/>
      <c r="AC107" s="534"/>
      <c r="AD107" s="534"/>
      <c r="AE107" s="534"/>
      <c r="AF107" s="534"/>
      <c r="AG107" s="534"/>
      <c r="AH107" s="534"/>
      <c r="AI107" s="534"/>
      <c r="AJ107" s="534"/>
      <c r="AK107" s="534"/>
      <c r="AL107" s="534"/>
      <c r="AM107" s="534"/>
      <c r="AN107" s="534"/>
      <c r="AO107" s="534"/>
      <c r="AP107" s="534"/>
      <c r="AQ107" s="534"/>
      <c r="AR107" s="534"/>
      <c r="AS107" s="534"/>
      <c r="AT107" s="534"/>
      <c r="AU107" s="534"/>
      <c r="AV107" s="534"/>
      <c r="AW107" s="534"/>
      <c r="AX107" s="534"/>
      <c r="AY107" s="534"/>
      <c r="AZ107" s="534"/>
      <c r="BA107" s="534"/>
      <c r="BB107" s="534"/>
      <c r="BC107" s="534"/>
      <c r="BD107" s="534"/>
      <c r="BE107" s="534"/>
      <c r="BF107" s="534"/>
      <c r="BG107" s="534"/>
      <c r="BH107" s="534"/>
      <c r="BI107" s="534"/>
      <c r="BJ107" s="534"/>
      <c r="BK107" s="534"/>
      <c r="BL107" s="534"/>
      <c r="BM107" s="534"/>
      <c r="BN107" s="534"/>
      <c r="BO107" s="534"/>
      <c r="BP107" s="534"/>
      <c r="BQ107" s="534"/>
      <c r="BR107" s="534"/>
      <c r="BS107" s="534"/>
      <c r="BT107" s="534"/>
      <c r="BU107" s="534"/>
      <c r="BV107" s="534"/>
      <c r="BW107" s="534"/>
      <c r="BX107" s="534"/>
      <c r="BY107" s="534"/>
      <c r="BZ107" s="534"/>
      <c r="CA107" s="534"/>
      <c r="CB107" s="534"/>
      <c r="CC107" s="3"/>
      <c r="CD107" s="3"/>
      <c r="CE107" s="100"/>
    </row>
    <row r="108" spans="1:83" x14ac:dyDescent="0.15">
      <c r="A108" s="109"/>
      <c r="B108" s="3"/>
      <c r="C108" s="3"/>
      <c r="D108" s="119"/>
      <c r="E108" s="120"/>
      <c r="F108" s="120"/>
      <c r="G108" s="120"/>
      <c r="H108" s="120"/>
      <c r="I108" s="120"/>
      <c r="J108" s="123"/>
      <c r="K108" s="123"/>
      <c r="L108" s="123"/>
      <c r="M108" s="123"/>
      <c r="N108" s="123"/>
      <c r="O108" s="123"/>
      <c r="P108" s="123"/>
      <c r="Q108" s="123"/>
      <c r="R108" s="123"/>
      <c r="S108" s="123"/>
      <c r="T108" s="120"/>
      <c r="U108" s="120"/>
      <c r="V108" s="120"/>
      <c r="W108" s="120"/>
      <c r="X108" s="121"/>
      <c r="Y108" s="121"/>
      <c r="Z108" s="121"/>
      <c r="AA108" s="121"/>
      <c r="AB108" s="123"/>
      <c r="AC108" s="123"/>
      <c r="AD108" s="123"/>
      <c r="AE108" s="123"/>
      <c r="AF108" s="134"/>
      <c r="AG108" s="562" t="s">
        <v>431</v>
      </c>
      <c r="AH108" s="563"/>
      <c r="AI108" s="563"/>
      <c r="AJ108" s="563"/>
      <c r="AK108" s="563"/>
      <c r="AL108" s="563"/>
      <c r="AM108" s="563"/>
      <c r="AN108" s="563"/>
      <c r="AO108" s="563"/>
      <c r="AP108" s="563"/>
      <c r="AQ108" s="563"/>
      <c r="AR108" s="563"/>
      <c r="AS108" s="563"/>
      <c r="AT108" s="563"/>
      <c r="AU108" s="563"/>
      <c r="AV108" s="563"/>
      <c r="AW108" s="563"/>
      <c r="AX108" s="563"/>
      <c r="AY108" s="563"/>
      <c r="AZ108" s="563"/>
      <c r="BA108" s="563"/>
      <c r="BB108" s="563"/>
      <c r="BC108" s="563"/>
      <c r="BD108" s="563"/>
      <c r="BE108" s="563"/>
      <c r="BF108" s="563"/>
      <c r="BG108" s="563"/>
      <c r="BH108" s="563"/>
      <c r="BI108" s="563"/>
      <c r="BJ108" s="563"/>
      <c r="BK108" s="563"/>
      <c r="BL108" s="563"/>
      <c r="BM108" s="563"/>
      <c r="BN108" s="563"/>
      <c r="BO108" s="563"/>
      <c r="BP108" s="563"/>
      <c r="BQ108" s="563"/>
      <c r="BR108" s="563"/>
      <c r="BS108" s="563"/>
      <c r="BT108" s="563"/>
      <c r="BU108" s="563"/>
      <c r="BV108" s="563"/>
      <c r="BW108" s="563"/>
      <c r="BX108" s="563"/>
      <c r="BY108" s="563"/>
      <c r="BZ108" s="563"/>
      <c r="CA108" s="563"/>
      <c r="CB108" s="564"/>
      <c r="CC108" s="3"/>
      <c r="CD108" s="3"/>
      <c r="CE108" s="100"/>
    </row>
    <row r="109" spans="1:83" x14ac:dyDescent="0.15">
      <c r="A109" s="109"/>
      <c r="B109" s="3"/>
      <c r="C109" s="3"/>
      <c r="D109" s="562" t="s">
        <v>486</v>
      </c>
      <c r="E109" s="563"/>
      <c r="F109" s="564"/>
      <c r="G109" s="119" t="s">
        <v>487</v>
      </c>
      <c r="H109" s="120"/>
      <c r="I109" s="120"/>
      <c r="J109" s="123"/>
      <c r="K109" s="123"/>
      <c r="L109" s="123"/>
      <c r="M109" s="123"/>
      <c r="N109" s="123"/>
      <c r="O109" s="123"/>
      <c r="P109" s="123"/>
      <c r="Q109" s="123"/>
      <c r="R109" s="123"/>
      <c r="S109" s="123"/>
      <c r="T109" s="120"/>
      <c r="U109" s="120"/>
      <c r="V109" s="120"/>
      <c r="W109" s="120"/>
      <c r="X109" s="123"/>
      <c r="Y109" s="123"/>
      <c r="Z109" s="123"/>
      <c r="AA109" s="122" t="s">
        <v>503</v>
      </c>
      <c r="AB109" s="123"/>
      <c r="AC109" s="123"/>
      <c r="AD109" s="123"/>
      <c r="AE109" s="123"/>
      <c r="AF109" s="134"/>
      <c r="AG109" s="562" t="s">
        <v>495</v>
      </c>
      <c r="AH109" s="563"/>
      <c r="AI109" s="563"/>
      <c r="AJ109" s="563"/>
      <c r="AK109" s="563"/>
      <c r="AL109" s="564"/>
      <c r="AM109" s="562" t="s">
        <v>496</v>
      </c>
      <c r="AN109" s="563"/>
      <c r="AO109" s="563"/>
      <c r="AP109" s="563"/>
      <c r="AQ109" s="563"/>
      <c r="AR109" s="564"/>
      <c r="AS109" s="562" t="s">
        <v>497</v>
      </c>
      <c r="AT109" s="563"/>
      <c r="AU109" s="563"/>
      <c r="AV109" s="563"/>
      <c r="AW109" s="563"/>
      <c r="AX109" s="564"/>
      <c r="AY109" s="562" t="s">
        <v>498</v>
      </c>
      <c r="AZ109" s="563"/>
      <c r="BA109" s="563"/>
      <c r="BB109" s="563"/>
      <c r="BC109" s="563"/>
      <c r="BD109" s="564"/>
      <c r="BE109" s="562" t="s">
        <v>499</v>
      </c>
      <c r="BF109" s="563"/>
      <c r="BG109" s="563"/>
      <c r="BH109" s="563"/>
      <c r="BI109" s="563"/>
      <c r="BJ109" s="564"/>
      <c r="BK109" s="562" t="s">
        <v>500</v>
      </c>
      <c r="BL109" s="563"/>
      <c r="BM109" s="563"/>
      <c r="BN109" s="563"/>
      <c r="BO109" s="563"/>
      <c r="BP109" s="564"/>
      <c r="BQ109" s="562" t="s">
        <v>501</v>
      </c>
      <c r="BR109" s="563"/>
      <c r="BS109" s="563"/>
      <c r="BT109" s="563"/>
      <c r="BU109" s="563"/>
      <c r="BV109" s="564"/>
      <c r="BW109" s="562" t="s">
        <v>502</v>
      </c>
      <c r="BX109" s="563"/>
      <c r="BY109" s="563"/>
      <c r="BZ109" s="563"/>
      <c r="CA109" s="563"/>
      <c r="CB109" s="564"/>
      <c r="CC109" s="3"/>
      <c r="CD109" s="3"/>
      <c r="CE109" s="100"/>
    </row>
    <row r="110" spans="1:83" x14ac:dyDescent="0.15">
      <c r="A110" s="109"/>
      <c r="B110" s="3"/>
      <c r="C110" s="3"/>
      <c r="D110" s="562">
        <v>1</v>
      </c>
      <c r="E110" s="563"/>
      <c r="F110" s="564"/>
      <c r="G110" s="147" t="s">
        <v>478</v>
      </c>
      <c r="H110" s="124"/>
      <c r="I110" s="124"/>
      <c r="J110" s="124"/>
      <c r="K110" s="124"/>
      <c r="L110" s="124"/>
      <c r="M110" s="124"/>
      <c r="N110" s="124"/>
      <c r="O110" s="124"/>
      <c r="P110" s="124"/>
      <c r="Q110" s="124"/>
      <c r="R110" s="124"/>
      <c r="S110" s="124"/>
      <c r="T110" s="124"/>
      <c r="U110" s="124"/>
      <c r="V110" s="124"/>
      <c r="W110" s="124"/>
      <c r="X110" s="124"/>
      <c r="Y110" s="124"/>
      <c r="Z110" s="124"/>
      <c r="AA110" s="686" t="s">
        <v>514</v>
      </c>
      <c r="AB110" s="687"/>
      <c r="AC110" s="687"/>
      <c r="AD110" s="687"/>
      <c r="AE110" s="687"/>
      <c r="AF110" s="688"/>
      <c r="AG110" s="686"/>
      <c r="AH110" s="687"/>
      <c r="AI110" s="687"/>
      <c r="AJ110" s="687"/>
      <c r="AK110" s="687"/>
      <c r="AL110" s="688"/>
      <c r="AM110" s="686" t="s">
        <v>515</v>
      </c>
      <c r="AN110" s="687"/>
      <c r="AO110" s="687"/>
      <c r="AP110" s="687"/>
      <c r="AQ110" s="687"/>
      <c r="AR110" s="688"/>
      <c r="AS110" s="686"/>
      <c r="AT110" s="687"/>
      <c r="AU110" s="687"/>
      <c r="AV110" s="687"/>
      <c r="AW110" s="687"/>
      <c r="AX110" s="688"/>
      <c r="AY110" s="686"/>
      <c r="AZ110" s="687"/>
      <c r="BA110" s="687"/>
      <c r="BB110" s="687"/>
      <c r="BC110" s="687"/>
      <c r="BD110" s="688"/>
      <c r="BE110" s="686"/>
      <c r="BF110" s="687"/>
      <c r="BG110" s="687"/>
      <c r="BH110" s="687"/>
      <c r="BI110" s="687"/>
      <c r="BJ110" s="688"/>
      <c r="BK110" s="686" t="s">
        <v>515</v>
      </c>
      <c r="BL110" s="687"/>
      <c r="BM110" s="687"/>
      <c r="BN110" s="687"/>
      <c r="BO110" s="687"/>
      <c r="BP110" s="688"/>
      <c r="BQ110" s="686"/>
      <c r="BR110" s="687"/>
      <c r="BS110" s="687"/>
      <c r="BT110" s="687"/>
      <c r="BU110" s="687"/>
      <c r="BV110" s="688"/>
      <c r="BW110" s="686"/>
      <c r="BX110" s="687"/>
      <c r="BY110" s="687"/>
      <c r="BZ110" s="687"/>
      <c r="CA110" s="687"/>
      <c r="CB110" s="688"/>
      <c r="CC110" s="3"/>
      <c r="CD110" s="3"/>
      <c r="CE110" s="100"/>
    </row>
    <row r="111" spans="1:83" x14ac:dyDescent="0.15">
      <c r="A111" s="109"/>
      <c r="B111" s="3"/>
      <c r="C111" s="3"/>
      <c r="D111" s="562">
        <v>2</v>
      </c>
      <c r="E111" s="563"/>
      <c r="F111" s="564"/>
      <c r="G111" s="147" t="s">
        <v>479</v>
      </c>
      <c r="H111" s="124"/>
      <c r="I111" s="124"/>
      <c r="J111" s="124"/>
      <c r="K111" s="124"/>
      <c r="L111" s="124"/>
      <c r="M111" s="124"/>
      <c r="N111" s="124"/>
      <c r="O111" s="124"/>
      <c r="P111" s="124"/>
      <c r="Q111" s="124"/>
      <c r="R111" s="124"/>
      <c r="S111" s="124"/>
      <c r="T111" s="124"/>
      <c r="U111" s="124"/>
      <c r="V111" s="124"/>
      <c r="W111" s="124"/>
      <c r="X111" s="124"/>
      <c r="Y111" s="124"/>
      <c r="Z111" s="124"/>
      <c r="AA111" s="686" t="s">
        <v>514</v>
      </c>
      <c r="AB111" s="687"/>
      <c r="AC111" s="687"/>
      <c r="AD111" s="687"/>
      <c r="AE111" s="687"/>
      <c r="AF111" s="688"/>
      <c r="AG111" s="686" t="s">
        <v>515</v>
      </c>
      <c r="AH111" s="687"/>
      <c r="AI111" s="687"/>
      <c r="AJ111" s="687"/>
      <c r="AK111" s="687"/>
      <c r="AL111" s="688"/>
      <c r="AM111" s="686"/>
      <c r="AN111" s="687"/>
      <c r="AO111" s="687"/>
      <c r="AP111" s="687"/>
      <c r="AQ111" s="687"/>
      <c r="AR111" s="688"/>
      <c r="AS111" s="686"/>
      <c r="AT111" s="687"/>
      <c r="AU111" s="687"/>
      <c r="AV111" s="687"/>
      <c r="AW111" s="687"/>
      <c r="AX111" s="688"/>
      <c r="AY111" s="686"/>
      <c r="AZ111" s="687"/>
      <c r="BA111" s="687"/>
      <c r="BB111" s="687"/>
      <c r="BC111" s="687"/>
      <c r="BD111" s="688"/>
      <c r="BE111" s="686" t="s">
        <v>515</v>
      </c>
      <c r="BF111" s="687"/>
      <c r="BG111" s="687"/>
      <c r="BH111" s="687"/>
      <c r="BI111" s="687"/>
      <c r="BJ111" s="688"/>
      <c r="BK111" s="686"/>
      <c r="BL111" s="687"/>
      <c r="BM111" s="687"/>
      <c r="BN111" s="687"/>
      <c r="BO111" s="687"/>
      <c r="BP111" s="688"/>
      <c r="BQ111" s="686"/>
      <c r="BR111" s="687"/>
      <c r="BS111" s="687"/>
      <c r="BT111" s="687"/>
      <c r="BU111" s="687"/>
      <c r="BV111" s="688"/>
      <c r="BW111" s="686"/>
      <c r="BX111" s="687"/>
      <c r="BY111" s="687"/>
      <c r="BZ111" s="687"/>
      <c r="CA111" s="687"/>
      <c r="CB111" s="688"/>
      <c r="CC111" s="3"/>
      <c r="CD111" s="3"/>
      <c r="CE111" s="100"/>
    </row>
    <row r="112" spans="1:83" x14ac:dyDescent="0.15">
      <c r="A112" s="109"/>
      <c r="B112" s="3"/>
      <c r="C112" s="3"/>
      <c r="D112" s="562">
        <v>3</v>
      </c>
      <c r="E112" s="563"/>
      <c r="F112" s="564"/>
      <c r="G112" s="147" t="s">
        <v>480</v>
      </c>
      <c r="H112" s="124"/>
      <c r="I112" s="124"/>
      <c r="J112" s="124"/>
      <c r="K112" s="124"/>
      <c r="L112" s="124"/>
      <c r="M112" s="124"/>
      <c r="N112" s="124"/>
      <c r="O112" s="124"/>
      <c r="P112" s="124"/>
      <c r="Q112" s="124"/>
      <c r="R112" s="124"/>
      <c r="S112" s="124"/>
      <c r="T112" s="124"/>
      <c r="U112" s="124"/>
      <c r="V112" s="124"/>
      <c r="W112" s="124"/>
      <c r="X112" s="124"/>
      <c r="Y112" s="124"/>
      <c r="Z112" s="124"/>
      <c r="AA112" s="686" t="s">
        <v>514</v>
      </c>
      <c r="AB112" s="687"/>
      <c r="AC112" s="687"/>
      <c r="AD112" s="687"/>
      <c r="AE112" s="687"/>
      <c r="AF112" s="688"/>
      <c r="AG112" s="686" t="s">
        <v>515</v>
      </c>
      <c r="AH112" s="687"/>
      <c r="AI112" s="687"/>
      <c r="AJ112" s="687"/>
      <c r="AK112" s="687"/>
      <c r="AL112" s="688"/>
      <c r="AM112" s="686"/>
      <c r="AN112" s="687"/>
      <c r="AO112" s="687"/>
      <c r="AP112" s="687"/>
      <c r="AQ112" s="687"/>
      <c r="AR112" s="688"/>
      <c r="AS112" s="686"/>
      <c r="AT112" s="687"/>
      <c r="AU112" s="687"/>
      <c r="AV112" s="687"/>
      <c r="AW112" s="687"/>
      <c r="AX112" s="688"/>
      <c r="AY112" s="686"/>
      <c r="AZ112" s="687"/>
      <c r="BA112" s="687"/>
      <c r="BB112" s="687"/>
      <c r="BC112" s="687"/>
      <c r="BD112" s="688"/>
      <c r="BE112" s="686" t="s">
        <v>515</v>
      </c>
      <c r="BF112" s="687"/>
      <c r="BG112" s="687"/>
      <c r="BH112" s="687"/>
      <c r="BI112" s="687"/>
      <c r="BJ112" s="688"/>
      <c r="BK112" s="686"/>
      <c r="BL112" s="687"/>
      <c r="BM112" s="687"/>
      <c r="BN112" s="687"/>
      <c r="BO112" s="687"/>
      <c r="BP112" s="688"/>
      <c r="BQ112" s="686"/>
      <c r="BR112" s="687"/>
      <c r="BS112" s="687"/>
      <c r="BT112" s="687"/>
      <c r="BU112" s="687"/>
      <c r="BV112" s="688"/>
      <c r="BW112" s="686"/>
      <c r="BX112" s="687"/>
      <c r="BY112" s="687"/>
      <c r="BZ112" s="687"/>
      <c r="CA112" s="687"/>
      <c r="CB112" s="688"/>
      <c r="CC112" s="3"/>
      <c r="CD112" s="3"/>
      <c r="CE112" s="100"/>
    </row>
    <row r="113" spans="1:83" x14ac:dyDescent="0.15">
      <c r="A113" s="109"/>
      <c r="B113" s="3"/>
      <c r="C113" s="3"/>
      <c r="D113" s="562">
        <v>4</v>
      </c>
      <c r="E113" s="563"/>
      <c r="F113" s="564"/>
      <c r="G113" s="147" t="s">
        <v>481</v>
      </c>
      <c r="H113" s="124"/>
      <c r="I113" s="124"/>
      <c r="J113" s="124"/>
      <c r="K113" s="124"/>
      <c r="L113" s="124"/>
      <c r="M113" s="124"/>
      <c r="N113" s="124"/>
      <c r="O113" s="124"/>
      <c r="P113" s="124"/>
      <c r="Q113" s="124"/>
      <c r="R113" s="124"/>
      <c r="S113" s="124"/>
      <c r="T113" s="124"/>
      <c r="U113" s="124"/>
      <c r="V113" s="124"/>
      <c r="W113" s="124"/>
      <c r="X113" s="124"/>
      <c r="Y113" s="124"/>
      <c r="Z113" s="124"/>
      <c r="AA113" s="686" t="s">
        <v>514</v>
      </c>
      <c r="AB113" s="687"/>
      <c r="AC113" s="687"/>
      <c r="AD113" s="687"/>
      <c r="AE113" s="687"/>
      <c r="AF113" s="688"/>
      <c r="AG113" s="686" t="s">
        <v>515</v>
      </c>
      <c r="AH113" s="687"/>
      <c r="AI113" s="687"/>
      <c r="AJ113" s="687"/>
      <c r="AK113" s="687"/>
      <c r="AL113" s="688"/>
      <c r="AM113" s="686"/>
      <c r="AN113" s="687"/>
      <c r="AO113" s="687"/>
      <c r="AP113" s="687"/>
      <c r="AQ113" s="687"/>
      <c r="AR113" s="688"/>
      <c r="AS113" s="686"/>
      <c r="AT113" s="687"/>
      <c r="AU113" s="687"/>
      <c r="AV113" s="687"/>
      <c r="AW113" s="687"/>
      <c r="AX113" s="688"/>
      <c r="AY113" s="686"/>
      <c r="AZ113" s="687"/>
      <c r="BA113" s="687"/>
      <c r="BB113" s="687"/>
      <c r="BC113" s="687"/>
      <c r="BD113" s="688"/>
      <c r="BE113" s="686" t="s">
        <v>515</v>
      </c>
      <c r="BF113" s="687"/>
      <c r="BG113" s="687"/>
      <c r="BH113" s="687"/>
      <c r="BI113" s="687"/>
      <c r="BJ113" s="688"/>
      <c r="BK113" s="686"/>
      <c r="BL113" s="687"/>
      <c r="BM113" s="687"/>
      <c r="BN113" s="687"/>
      <c r="BO113" s="687"/>
      <c r="BP113" s="688"/>
      <c r="BQ113" s="686"/>
      <c r="BR113" s="687"/>
      <c r="BS113" s="687"/>
      <c r="BT113" s="687"/>
      <c r="BU113" s="687"/>
      <c r="BV113" s="688"/>
      <c r="BW113" s="686"/>
      <c r="BX113" s="687"/>
      <c r="BY113" s="687"/>
      <c r="BZ113" s="687"/>
      <c r="CA113" s="687"/>
      <c r="CB113" s="688"/>
      <c r="CC113" s="3"/>
      <c r="CD113" s="3"/>
      <c r="CE113" s="100"/>
    </row>
    <row r="114" spans="1:83" x14ac:dyDescent="0.15">
      <c r="A114" s="109"/>
      <c r="B114" s="3"/>
      <c r="C114" s="3"/>
      <c r="D114" s="562">
        <v>5</v>
      </c>
      <c r="E114" s="563"/>
      <c r="F114" s="564"/>
      <c r="G114" s="147" t="s">
        <v>482</v>
      </c>
      <c r="H114" s="124"/>
      <c r="I114" s="124"/>
      <c r="J114" s="124"/>
      <c r="K114" s="124"/>
      <c r="L114" s="124"/>
      <c r="M114" s="124"/>
      <c r="N114" s="124"/>
      <c r="O114" s="124"/>
      <c r="P114" s="124"/>
      <c r="Q114" s="124"/>
      <c r="R114" s="124"/>
      <c r="S114" s="124"/>
      <c r="T114" s="124"/>
      <c r="U114" s="124"/>
      <c r="V114" s="124"/>
      <c r="W114" s="124"/>
      <c r="X114" s="124"/>
      <c r="Y114" s="124"/>
      <c r="Z114" s="124"/>
      <c r="AA114" s="686" t="s">
        <v>514</v>
      </c>
      <c r="AB114" s="687"/>
      <c r="AC114" s="687"/>
      <c r="AD114" s="687"/>
      <c r="AE114" s="687"/>
      <c r="AF114" s="688"/>
      <c r="AG114" s="686" t="s">
        <v>515</v>
      </c>
      <c r="AH114" s="687"/>
      <c r="AI114" s="687"/>
      <c r="AJ114" s="687"/>
      <c r="AK114" s="687"/>
      <c r="AL114" s="688"/>
      <c r="AM114" s="686"/>
      <c r="AN114" s="687"/>
      <c r="AO114" s="687"/>
      <c r="AP114" s="687"/>
      <c r="AQ114" s="687"/>
      <c r="AR114" s="688"/>
      <c r="AS114" s="686"/>
      <c r="AT114" s="687"/>
      <c r="AU114" s="687"/>
      <c r="AV114" s="687"/>
      <c r="AW114" s="687"/>
      <c r="AX114" s="688"/>
      <c r="AY114" s="686"/>
      <c r="AZ114" s="687"/>
      <c r="BA114" s="687"/>
      <c r="BB114" s="687"/>
      <c r="BC114" s="687"/>
      <c r="BD114" s="688"/>
      <c r="BE114" s="686" t="s">
        <v>515</v>
      </c>
      <c r="BF114" s="687"/>
      <c r="BG114" s="687"/>
      <c r="BH114" s="687"/>
      <c r="BI114" s="687"/>
      <c r="BJ114" s="688"/>
      <c r="BK114" s="686"/>
      <c r="BL114" s="687"/>
      <c r="BM114" s="687"/>
      <c r="BN114" s="687"/>
      <c r="BO114" s="687"/>
      <c r="BP114" s="688"/>
      <c r="BQ114" s="686"/>
      <c r="BR114" s="687"/>
      <c r="BS114" s="687"/>
      <c r="BT114" s="687"/>
      <c r="BU114" s="687"/>
      <c r="BV114" s="688"/>
      <c r="BW114" s="686"/>
      <c r="BX114" s="687"/>
      <c r="BY114" s="687"/>
      <c r="BZ114" s="687"/>
      <c r="CA114" s="687"/>
      <c r="CB114" s="688"/>
      <c r="CC114" s="3"/>
      <c r="CD114" s="3"/>
      <c r="CE114" s="100"/>
    </row>
    <row r="115" spans="1:83" x14ac:dyDescent="0.15">
      <c r="A115" s="109"/>
      <c r="B115" s="3"/>
      <c r="C115" s="3"/>
      <c r="D115" s="562">
        <v>6</v>
      </c>
      <c r="E115" s="563"/>
      <c r="F115" s="564"/>
      <c r="G115" s="147" t="s">
        <v>483</v>
      </c>
      <c r="H115" s="124"/>
      <c r="I115" s="124"/>
      <c r="J115" s="124"/>
      <c r="K115" s="124"/>
      <c r="L115" s="124"/>
      <c r="M115" s="124"/>
      <c r="N115" s="124"/>
      <c r="O115" s="124"/>
      <c r="P115" s="124"/>
      <c r="Q115" s="124"/>
      <c r="R115" s="124"/>
      <c r="S115" s="124"/>
      <c r="T115" s="124"/>
      <c r="U115" s="124"/>
      <c r="V115" s="124"/>
      <c r="W115" s="124"/>
      <c r="X115" s="124"/>
      <c r="Y115" s="124"/>
      <c r="Z115" s="124"/>
      <c r="AA115" s="686" t="s">
        <v>514</v>
      </c>
      <c r="AB115" s="687"/>
      <c r="AC115" s="687"/>
      <c r="AD115" s="687"/>
      <c r="AE115" s="687"/>
      <c r="AF115" s="688"/>
      <c r="AG115" s="686"/>
      <c r="AH115" s="687"/>
      <c r="AI115" s="687"/>
      <c r="AJ115" s="687"/>
      <c r="AK115" s="687"/>
      <c r="AL115" s="688"/>
      <c r="AM115" s="686" t="s">
        <v>515</v>
      </c>
      <c r="AN115" s="687"/>
      <c r="AO115" s="687"/>
      <c r="AP115" s="687"/>
      <c r="AQ115" s="687"/>
      <c r="AR115" s="688"/>
      <c r="AS115" s="686"/>
      <c r="AT115" s="687"/>
      <c r="AU115" s="687"/>
      <c r="AV115" s="687"/>
      <c r="AW115" s="687"/>
      <c r="AX115" s="688"/>
      <c r="AY115" s="686"/>
      <c r="AZ115" s="687"/>
      <c r="BA115" s="687"/>
      <c r="BB115" s="687"/>
      <c r="BC115" s="687"/>
      <c r="BD115" s="688"/>
      <c r="BE115" s="686"/>
      <c r="BF115" s="687"/>
      <c r="BG115" s="687"/>
      <c r="BH115" s="687"/>
      <c r="BI115" s="687"/>
      <c r="BJ115" s="688"/>
      <c r="BK115" s="686" t="s">
        <v>515</v>
      </c>
      <c r="BL115" s="687"/>
      <c r="BM115" s="687"/>
      <c r="BN115" s="687"/>
      <c r="BO115" s="687"/>
      <c r="BP115" s="688"/>
      <c r="BQ115" s="686"/>
      <c r="BR115" s="687"/>
      <c r="BS115" s="687"/>
      <c r="BT115" s="687"/>
      <c r="BU115" s="687"/>
      <c r="BV115" s="688"/>
      <c r="BW115" s="686"/>
      <c r="BX115" s="687"/>
      <c r="BY115" s="687"/>
      <c r="BZ115" s="687"/>
      <c r="CA115" s="687"/>
      <c r="CB115" s="688"/>
      <c r="CC115" s="3"/>
      <c r="CD115" s="3"/>
      <c r="CE115" s="100"/>
    </row>
    <row r="116" spans="1:83" x14ac:dyDescent="0.15">
      <c r="A116" s="109"/>
      <c r="B116" s="3"/>
      <c r="C116" s="3"/>
      <c r="D116" s="562">
        <v>7</v>
      </c>
      <c r="E116" s="563"/>
      <c r="F116" s="564"/>
      <c r="G116" s="147" t="s">
        <v>484</v>
      </c>
      <c r="H116" s="124"/>
      <c r="I116" s="124"/>
      <c r="J116" s="124"/>
      <c r="K116" s="124"/>
      <c r="L116" s="124"/>
      <c r="M116" s="124"/>
      <c r="N116" s="124"/>
      <c r="O116" s="124"/>
      <c r="P116" s="124"/>
      <c r="Q116" s="124"/>
      <c r="R116" s="124"/>
      <c r="S116" s="124"/>
      <c r="T116" s="124"/>
      <c r="U116" s="124"/>
      <c r="V116" s="124"/>
      <c r="W116" s="124"/>
      <c r="X116" s="124"/>
      <c r="Y116" s="124"/>
      <c r="Z116" s="124"/>
      <c r="AA116" s="686" t="s">
        <v>514</v>
      </c>
      <c r="AB116" s="687"/>
      <c r="AC116" s="687"/>
      <c r="AD116" s="687"/>
      <c r="AE116" s="687"/>
      <c r="AF116" s="688"/>
      <c r="AG116" s="686"/>
      <c r="AH116" s="687"/>
      <c r="AI116" s="687"/>
      <c r="AJ116" s="687"/>
      <c r="AK116" s="687"/>
      <c r="AL116" s="688"/>
      <c r="AM116" s="686" t="s">
        <v>515</v>
      </c>
      <c r="AN116" s="687"/>
      <c r="AO116" s="687"/>
      <c r="AP116" s="687"/>
      <c r="AQ116" s="687"/>
      <c r="AR116" s="688"/>
      <c r="AS116" s="686"/>
      <c r="AT116" s="687"/>
      <c r="AU116" s="687"/>
      <c r="AV116" s="687"/>
      <c r="AW116" s="687"/>
      <c r="AX116" s="688"/>
      <c r="AY116" s="686"/>
      <c r="AZ116" s="687"/>
      <c r="BA116" s="687"/>
      <c r="BB116" s="687"/>
      <c r="BC116" s="687"/>
      <c r="BD116" s="688"/>
      <c r="BE116" s="686"/>
      <c r="BF116" s="687"/>
      <c r="BG116" s="687"/>
      <c r="BH116" s="687"/>
      <c r="BI116" s="687"/>
      <c r="BJ116" s="688"/>
      <c r="BK116" s="686" t="s">
        <v>515</v>
      </c>
      <c r="BL116" s="687"/>
      <c r="BM116" s="687"/>
      <c r="BN116" s="687"/>
      <c r="BO116" s="687"/>
      <c r="BP116" s="688"/>
      <c r="BQ116" s="686"/>
      <c r="BR116" s="687"/>
      <c r="BS116" s="687"/>
      <c r="BT116" s="687"/>
      <c r="BU116" s="687"/>
      <c r="BV116" s="688"/>
      <c r="BW116" s="686"/>
      <c r="BX116" s="687"/>
      <c r="BY116" s="687"/>
      <c r="BZ116" s="687"/>
      <c r="CA116" s="687"/>
      <c r="CB116" s="688"/>
      <c r="CC116" s="3"/>
      <c r="CD116" s="3"/>
      <c r="CE116" s="100"/>
    </row>
    <row r="117" spans="1:83" x14ac:dyDescent="0.15">
      <c r="A117" s="109"/>
      <c r="B117" s="3"/>
      <c r="C117" s="3"/>
      <c r="D117" s="562">
        <v>8</v>
      </c>
      <c r="E117" s="563"/>
      <c r="F117" s="564"/>
      <c r="G117" s="147" t="s">
        <v>478</v>
      </c>
      <c r="H117" s="124"/>
      <c r="I117" s="124"/>
      <c r="J117" s="124"/>
      <c r="K117" s="124"/>
      <c r="L117" s="124"/>
      <c r="M117" s="124"/>
      <c r="N117" s="124"/>
      <c r="O117" s="124"/>
      <c r="P117" s="124"/>
      <c r="Q117" s="124"/>
      <c r="R117" s="124"/>
      <c r="S117" s="124"/>
      <c r="T117" s="124"/>
      <c r="U117" s="124"/>
      <c r="V117" s="124"/>
      <c r="W117" s="124"/>
      <c r="X117" s="124"/>
      <c r="Y117" s="124"/>
      <c r="Z117" s="124"/>
      <c r="AA117" s="695" t="s">
        <v>516</v>
      </c>
      <c r="AB117" s="696"/>
      <c r="AC117" s="696"/>
      <c r="AD117" s="696"/>
      <c r="AE117" s="696"/>
      <c r="AF117" s="697"/>
      <c r="AG117" s="686"/>
      <c r="AH117" s="687"/>
      <c r="AI117" s="687"/>
      <c r="AJ117" s="687"/>
      <c r="AK117" s="687"/>
      <c r="AL117" s="688"/>
      <c r="AM117" s="686"/>
      <c r="AN117" s="687"/>
      <c r="AO117" s="687"/>
      <c r="AP117" s="687"/>
      <c r="AQ117" s="687"/>
      <c r="AR117" s="688"/>
      <c r="AS117" s="686"/>
      <c r="AT117" s="687"/>
      <c r="AU117" s="687"/>
      <c r="AV117" s="687"/>
      <c r="AW117" s="687"/>
      <c r="AX117" s="688"/>
      <c r="AY117" s="686" t="s">
        <v>515</v>
      </c>
      <c r="AZ117" s="687"/>
      <c r="BA117" s="687"/>
      <c r="BB117" s="687"/>
      <c r="BC117" s="687"/>
      <c r="BD117" s="688"/>
      <c r="BE117" s="686"/>
      <c r="BF117" s="687"/>
      <c r="BG117" s="687"/>
      <c r="BH117" s="687"/>
      <c r="BI117" s="687"/>
      <c r="BJ117" s="688"/>
      <c r="BK117" s="686"/>
      <c r="BL117" s="687"/>
      <c r="BM117" s="687"/>
      <c r="BN117" s="687"/>
      <c r="BO117" s="687"/>
      <c r="BP117" s="688"/>
      <c r="BQ117" s="686"/>
      <c r="BR117" s="687"/>
      <c r="BS117" s="687"/>
      <c r="BT117" s="687"/>
      <c r="BU117" s="687"/>
      <c r="BV117" s="688"/>
      <c r="BW117" s="686" t="s">
        <v>515</v>
      </c>
      <c r="BX117" s="687"/>
      <c r="BY117" s="687"/>
      <c r="BZ117" s="687"/>
      <c r="CA117" s="687"/>
      <c r="CB117" s="688"/>
      <c r="CC117" s="3"/>
      <c r="CD117" s="3"/>
      <c r="CE117" s="100"/>
    </row>
    <row r="118" spans="1:83" x14ac:dyDescent="0.15">
      <c r="A118" s="109"/>
      <c r="B118" s="3"/>
      <c r="C118" s="3"/>
      <c r="D118" s="562">
        <v>9</v>
      </c>
      <c r="E118" s="563"/>
      <c r="F118" s="564"/>
      <c r="G118" s="147" t="s">
        <v>479</v>
      </c>
      <c r="H118" s="124"/>
      <c r="I118" s="124"/>
      <c r="J118" s="124"/>
      <c r="K118" s="124"/>
      <c r="L118" s="124"/>
      <c r="M118" s="124"/>
      <c r="N118" s="124"/>
      <c r="O118" s="124"/>
      <c r="P118" s="124"/>
      <c r="Q118" s="124"/>
      <c r="R118" s="124"/>
      <c r="S118" s="124"/>
      <c r="T118" s="124"/>
      <c r="U118" s="124"/>
      <c r="V118" s="124"/>
      <c r="W118" s="124"/>
      <c r="X118" s="124"/>
      <c r="Y118" s="124"/>
      <c r="Z118" s="124"/>
      <c r="AA118" s="695" t="s">
        <v>516</v>
      </c>
      <c r="AB118" s="696"/>
      <c r="AC118" s="696"/>
      <c r="AD118" s="696"/>
      <c r="AE118" s="696"/>
      <c r="AF118" s="697"/>
      <c r="AG118" s="686"/>
      <c r="AH118" s="687"/>
      <c r="AI118" s="687"/>
      <c r="AJ118" s="687"/>
      <c r="AK118" s="687"/>
      <c r="AL118" s="688"/>
      <c r="AM118" s="686"/>
      <c r="AN118" s="687"/>
      <c r="AO118" s="687"/>
      <c r="AP118" s="687"/>
      <c r="AQ118" s="687"/>
      <c r="AR118" s="688"/>
      <c r="AS118" s="686" t="s">
        <v>515</v>
      </c>
      <c r="AT118" s="687"/>
      <c r="AU118" s="687"/>
      <c r="AV118" s="687"/>
      <c r="AW118" s="687"/>
      <c r="AX118" s="688"/>
      <c r="AY118" s="686"/>
      <c r="AZ118" s="687"/>
      <c r="BA118" s="687"/>
      <c r="BB118" s="687"/>
      <c r="BC118" s="687"/>
      <c r="BD118" s="688"/>
      <c r="BE118" s="686"/>
      <c r="BF118" s="687"/>
      <c r="BG118" s="687"/>
      <c r="BH118" s="687"/>
      <c r="BI118" s="687"/>
      <c r="BJ118" s="688"/>
      <c r="BK118" s="686"/>
      <c r="BL118" s="687"/>
      <c r="BM118" s="687"/>
      <c r="BN118" s="687"/>
      <c r="BO118" s="687"/>
      <c r="BP118" s="688"/>
      <c r="BQ118" s="686" t="s">
        <v>515</v>
      </c>
      <c r="BR118" s="687"/>
      <c r="BS118" s="687"/>
      <c r="BT118" s="687"/>
      <c r="BU118" s="687"/>
      <c r="BV118" s="688"/>
      <c r="BW118" s="686"/>
      <c r="BX118" s="687"/>
      <c r="BY118" s="687"/>
      <c r="BZ118" s="687"/>
      <c r="CA118" s="687"/>
      <c r="CB118" s="688"/>
      <c r="CC118" s="3"/>
      <c r="CD118" s="3"/>
      <c r="CE118" s="100"/>
    </row>
    <row r="119" spans="1:83" x14ac:dyDescent="0.15">
      <c r="A119" s="109"/>
      <c r="B119" s="3"/>
      <c r="C119" s="3"/>
      <c r="D119" s="562">
        <v>10</v>
      </c>
      <c r="E119" s="563"/>
      <c r="F119" s="564"/>
      <c r="G119" s="147" t="s">
        <v>480</v>
      </c>
      <c r="H119" s="124"/>
      <c r="I119" s="124"/>
      <c r="J119" s="124"/>
      <c r="K119" s="124"/>
      <c r="L119" s="124"/>
      <c r="M119" s="124"/>
      <c r="N119" s="124"/>
      <c r="O119" s="124"/>
      <c r="P119" s="124"/>
      <c r="Q119" s="124"/>
      <c r="R119" s="124"/>
      <c r="S119" s="124"/>
      <c r="T119" s="124"/>
      <c r="U119" s="124"/>
      <c r="V119" s="124"/>
      <c r="W119" s="124"/>
      <c r="X119" s="124"/>
      <c r="Y119" s="124"/>
      <c r="Z119" s="124"/>
      <c r="AA119" s="695" t="s">
        <v>516</v>
      </c>
      <c r="AB119" s="696"/>
      <c r="AC119" s="696"/>
      <c r="AD119" s="696"/>
      <c r="AE119" s="696"/>
      <c r="AF119" s="697"/>
      <c r="AG119" s="686"/>
      <c r="AH119" s="687"/>
      <c r="AI119" s="687"/>
      <c r="AJ119" s="687"/>
      <c r="AK119" s="687"/>
      <c r="AL119" s="688"/>
      <c r="AM119" s="686"/>
      <c r="AN119" s="687"/>
      <c r="AO119" s="687"/>
      <c r="AP119" s="687"/>
      <c r="AQ119" s="687"/>
      <c r="AR119" s="688"/>
      <c r="AS119" s="686" t="s">
        <v>515</v>
      </c>
      <c r="AT119" s="687"/>
      <c r="AU119" s="687"/>
      <c r="AV119" s="687"/>
      <c r="AW119" s="687"/>
      <c r="AX119" s="688"/>
      <c r="AY119" s="686"/>
      <c r="AZ119" s="687"/>
      <c r="BA119" s="687"/>
      <c r="BB119" s="687"/>
      <c r="BC119" s="687"/>
      <c r="BD119" s="688"/>
      <c r="BE119" s="686"/>
      <c r="BF119" s="687"/>
      <c r="BG119" s="687"/>
      <c r="BH119" s="687"/>
      <c r="BI119" s="687"/>
      <c r="BJ119" s="688"/>
      <c r="BK119" s="686"/>
      <c r="BL119" s="687"/>
      <c r="BM119" s="687"/>
      <c r="BN119" s="687"/>
      <c r="BO119" s="687"/>
      <c r="BP119" s="688"/>
      <c r="BQ119" s="686" t="s">
        <v>515</v>
      </c>
      <c r="BR119" s="687"/>
      <c r="BS119" s="687"/>
      <c r="BT119" s="687"/>
      <c r="BU119" s="687"/>
      <c r="BV119" s="688"/>
      <c r="BW119" s="686"/>
      <c r="BX119" s="687"/>
      <c r="BY119" s="687"/>
      <c r="BZ119" s="687"/>
      <c r="CA119" s="687"/>
      <c r="CB119" s="688"/>
      <c r="CC119" s="3"/>
      <c r="CD119" s="3"/>
      <c r="CE119" s="100"/>
    </row>
    <row r="120" spans="1:83" x14ac:dyDescent="0.15">
      <c r="A120" s="109"/>
      <c r="B120" s="3"/>
      <c r="C120" s="3"/>
      <c r="D120" s="562">
        <v>11</v>
      </c>
      <c r="E120" s="563"/>
      <c r="F120" s="564"/>
      <c r="G120" s="147" t="s">
        <v>481</v>
      </c>
      <c r="H120" s="124"/>
      <c r="I120" s="124"/>
      <c r="J120" s="124"/>
      <c r="K120" s="124"/>
      <c r="L120" s="124"/>
      <c r="M120" s="124"/>
      <c r="N120" s="124"/>
      <c r="O120" s="124"/>
      <c r="P120" s="124"/>
      <c r="Q120" s="124"/>
      <c r="R120" s="124"/>
      <c r="S120" s="124"/>
      <c r="T120" s="124"/>
      <c r="U120" s="124"/>
      <c r="V120" s="124"/>
      <c r="W120" s="124"/>
      <c r="X120" s="124"/>
      <c r="Y120" s="124"/>
      <c r="Z120" s="124"/>
      <c r="AA120" s="695" t="s">
        <v>516</v>
      </c>
      <c r="AB120" s="696"/>
      <c r="AC120" s="696"/>
      <c r="AD120" s="696"/>
      <c r="AE120" s="696"/>
      <c r="AF120" s="697"/>
      <c r="AG120" s="686"/>
      <c r="AH120" s="687"/>
      <c r="AI120" s="687"/>
      <c r="AJ120" s="687"/>
      <c r="AK120" s="687"/>
      <c r="AL120" s="688"/>
      <c r="AM120" s="686"/>
      <c r="AN120" s="687"/>
      <c r="AO120" s="687"/>
      <c r="AP120" s="687"/>
      <c r="AQ120" s="687"/>
      <c r="AR120" s="688"/>
      <c r="AS120" s="686" t="s">
        <v>515</v>
      </c>
      <c r="AT120" s="687"/>
      <c r="AU120" s="687"/>
      <c r="AV120" s="687"/>
      <c r="AW120" s="687"/>
      <c r="AX120" s="688"/>
      <c r="AY120" s="686"/>
      <c r="AZ120" s="687"/>
      <c r="BA120" s="687"/>
      <c r="BB120" s="687"/>
      <c r="BC120" s="687"/>
      <c r="BD120" s="688"/>
      <c r="BE120" s="686"/>
      <c r="BF120" s="687"/>
      <c r="BG120" s="687"/>
      <c r="BH120" s="687"/>
      <c r="BI120" s="687"/>
      <c r="BJ120" s="688"/>
      <c r="BK120" s="686"/>
      <c r="BL120" s="687"/>
      <c r="BM120" s="687"/>
      <c r="BN120" s="687"/>
      <c r="BO120" s="687"/>
      <c r="BP120" s="688"/>
      <c r="BQ120" s="686" t="s">
        <v>515</v>
      </c>
      <c r="BR120" s="687"/>
      <c r="BS120" s="687"/>
      <c r="BT120" s="687"/>
      <c r="BU120" s="687"/>
      <c r="BV120" s="688"/>
      <c r="BW120" s="686"/>
      <c r="BX120" s="687"/>
      <c r="BY120" s="687"/>
      <c r="BZ120" s="687"/>
      <c r="CA120" s="687"/>
      <c r="CB120" s="688"/>
      <c r="CC120" s="3"/>
      <c r="CD120" s="3"/>
      <c r="CE120" s="100"/>
    </row>
    <row r="121" spans="1:83" x14ac:dyDescent="0.15">
      <c r="A121" s="109"/>
      <c r="B121" s="3"/>
      <c r="C121" s="3"/>
      <c r="D121" s="562">
        <v>12</v>
      </c>
      <c r="E121" s="563"/>
      <c r="F121" s="564"/>
      <c r="G121" s="147" t="s">
        <v>482</v>
      </c>
      <c r="H121" s="124"/>
      <c r="I121" s="124"/>
      <c r="J121" s="124"/>
      <c r="K121" s="124"/>
      <c r="L121" s="124"/>
      <c r="M121" s="124"/>
      <c r="N121" s="124"/>
      <c r="O121" s="124"/>
      <c r="P121" s="124"/>
      <c r="Q121" s="124"/>
      <c r="R121" s="124"/>
      <c r="S121" s="124"/>
      <c r="T121" s="124"/>
      <c r="U121" s="124"/>
      <c r="V121" s="124"/>
      <c r="W121" s="124"/>
      <c r="X121" s="124"/>
      <c r="Y121" s="124"/>
      <c r="Z121" s="124"/>
      <c r="AA121" s="695" t="s">
        <v>516</v>
      </c>
      <c r="AB121" s="696"/>
      <c r="AC121" s="696"/>
      <c r="AD121" s="696"/>
      <c r="AE121" s="696"/>
      <c r="AF121" s="697"/>
      <c r="AG121" s="686"/>
      <c r="AH121" s="687"/>
      <c r="AI121" s="687"/>
      <c r="AJ121" s="687"/>
      <c r="AK121" s="687"/>
      <c r="AL121" s="688"/>
      <c r="AM121" s="686"/>
      <c r="AN121" s="687"/>
      <c r="AO121" s="687"/>
      <c r="AP121" s="687"/>
      <c r="AQ121" s="687"/>
      <c r="AR121" s="688"/>
      <c r="AS121" s="686" t="s">
        <v>515</v>
      </c>
      <c r="AT121" s="687"/>
      <c r="AU121" s="687"/>
      <c r="AV121" s="687"/>
      <c r="AW121" s="687"/>
      <c r="AX121" s="688"/>
      <c r="AY121" s="686"/>
      <c r="AZ121" s="687"/>
      <c r="BA121" s="687"/>
      <c r="BB121" s="687"/>
      <c r="BC121" s="687"/>
      <c r="BD121" s="688"/>
      <c r="BE121" s="686"/>
      <c r="BF121" s="687"/>
      <c r="BG121" s="687"/>
      <c r="BH121" s="687"/>
      <c r="BI121" s="687"/>
      <c r="BJ121" s="688"/>
      <c r="BK121" s="686"/>
      <c r="BL121" s="687"/>
      <c r="BM121" s="687"/>
      <c r="BN121" s="687"/>
      <c r="BO121" s="687"/>
      <c r="BP121" s="688"/>
      <c r="BQ121" s="686" t="s">
        <v>515</v>
      </c>
      <c r="BR121" s="687"/>
      <c r="BS121" s="687"/>
      <c r="BT121" s="687"/>
      <c r="BU121" s="687"/>
      <c r="BV121" s="688"/>
      <c r="BW121" s="686"/>
      <c r="BX121" s="687"/>
      <c r="BY121" s="687"/>
      <c r="BZ121" s="687"/>
      <c r="CA121" s="687"/>
      <c r="CB121" s="688"/>
      <c r="CC121" s="3"/>
      <c r="CD121" s="3"/>
      <c r="CE121" s="100"/>
    </row>
    <row r="122" spans="1:83" x14ac:dyDescent="0.15">
      <c r="A122" s="109"/>
      <c r="B122" s="3"/>
      <c r="C122" s="3"/>
      <c r="D122" s="562">
        <v>13</v>
      </c>
      <c r="E122" s="563"/>
      <c r="F122" s="564"/>
      <c r="G122" s="147" t="s">
        <v>483</v>
      </c>
      <c r="H122" s="124"/>
      <c r="I122" s="124"/>
      <c r="J122" s="124"/>
      <c r="K122" s="124"/>
      <c r="L122" s="124"/>
      <c r="M122" s="124"/>
      <c r="N122" s="124"/>
      <c r="O122" s="124"/>
      <c r="P122" s="124"/>
      <c r="Q122" s="124"/>
      <c r="R122" s="124"/>
      <c r="S122" s="124"/>
      <c r="T122" s="124"/>
      <c r="U122" s="124"/>
      <c r="V122" s="124"/>
      <c r="W122" s="124"/>
      <c r="X122" s="124"/>
      <c r="Y122" s="124"/>
      <c r="Z122" s="124"/>
      <c r="AA122" s="695" t="s">
        <v>516</v>
      </c>
      <c r="AB122" s="696"/>
      <c r="AC122" s="696"/>
      <c r="AD122" s="696"/>
      <c r="AE122" s="696"/>
      <c r="AF122" s="697"/>
      <c r="AG122" s="686"/>
      <c r="AH122" s="687"/>
      <c r="AI122" s="687"/>
      <c r="AJ122" s="687"/>
      <c r="AK122" s="687"/>
      <c r="AL122" s="688"/>
      <c r="AM122" s="686"/>
      <c r="AN122" s="687"/>
      <c r="AO122" s="687"/>
      <c r="AP122" s="687"/>
      <c r="AQ122" s="687"/>
      <c r="AR122" s="688"/>
      <c r="AS122" s="686"/>
      <c r="AT122" s="687"/>
      <c r="AU122" s="687"/>
      <c r="AV122" s="687"/>
      <c r="AW122" s="687"/>
      <c r="AX122" s="688"/>
      <c r="AY122" s="686" t="s">
        <v>515</v>
      </c>
      <c r="AZ122" s="687"/>
      <c r="BA122" s="687"/>
      <c r="BB122" s="687"/>
      <c r="BC122" s="687"/>
      <c r="BD122" s="688"/>
      <c r="BE122" s="686"/>
      <c r="BF122" s="687"/>
      <c r="BG122" s="687"/>
      <c r="BH122" s="687"/>
      <c r="BI122" s="687"/>
      <c r="BJ122" s="688"/>
      <c r="BK122" s="686"/>
      <c r="BL122" s="687"/>
      <c r="BM122" s="687"/>
      <c r="BN122" s="687"/>
      <c r="BO122" s="687"/>
      <c r="BP122" s="688"/>
      <c r="BQ122" s="686"/>
      <c r="BR122" s="687"/>
      <c r="BS122" s="687"/>
      <c r="BT122" s="687"/>
      <c r="BU122" s="687"/>
      <c r="BV122" s="688"/>
      <c r="BW122" s="686" t="s">
        <v>515</v>
      </c>
      <c r="BX122" s="687"/>
      <c r="BY122" s="687"/>
      <c r="BZ122" s="687"/>
      <c r="CA122" s="687"/>
      <c r="CB122" s="688"/>
      <c r="CC122" s="3"/>
      <c r="CD122" s="3"/>
      <c r="CE122" s="100"/>
    </row>
    <row r="123" spans="1:83" x14ac:dyDescent="0.15">
      <c r="A123" s="109"/>
      <c r="B123" s="3"/>
      <c r="C123" s="3"/>
      <c r="D123" s="562">
        <v>14</v>
      </c>
      <c r="E123" s="563"/>
      <c r="F123" s="564"/>
      <c r="G123" s="147" t="s">
        <v>484</v>
      </c>
      <c r="H123" s="124"/>
      <c r="I123" s="124"/>
      <c r="J123" s="124"/>
      <c r="K123" s="124"/>
      <c r="L123" s="124"/>
      <c r="M123" s="124"/>
      <c r="N123" s="124"/>
      <c r="O123" s="124"/>
      <c r="P123" s="124"/>
      <c r="Q123" s="124"/>
      <c r="R123" s="124"/>
      <c r="S123" s="124"/>
      <c r="T123" s="124"/>
      <c r="U123" s="124"/>
      <c r="V123" s="124"/>
      <c r="W123" s="124"/>
      <c r="X123" s="124"/>
      <c r="Y123" s="124"/>
      <c r="Z123" s="124"/>
      <c r="AA123" s="695" t="s">
        <v>516</v>
      </c>
      <c r="AB123" s="696"/>
      <c r="AC123" s="696"/>
      <c r="AD123" s="696"/>
      <c r="AE123" s="696"/>
      <c r="AF123" s="697"/>
      <c r="AG123" s="686"/>
      <c r="AH123" s="687"/>
      <c r="AI123" s="687"/>
      <c r="AJ123" s="687"/>
      <c r="AK123" s="687"/>
      <c r="AL123" s="688"/>
      <c r="AM123" s="686"/>
      <c r="AN123" s="687"/>
      <c r="AO123" s="687"/>
      <c r="AP123" s="687"/>
      <c r="AQ123" s="687"/>
      <c r="AR123" s="688"/>
      <c r="AS123" s="686"/>
      <c r="AT123" s="687"/>
      <c r="AU123" s="687"/>
      <c r="AV123" s="687"/>
      <c r="AW123" s="687"/>
      <c r="AX123" s="688"/>
      <c r="AY123" s="686" t="s">
        <v>515</v>
      </c>
      <c r="AZ123" s="687"/>
      <c r="BA123" s="687"/>
      <c r="BB123" s="687"/>
      <c r="BC123" s="687"/>
      <c r="BD123" s="688"/>
      <c r="BE123" s="686"/>
      <c r="BF123" s="687"/>
      <c r="BG123" s="687"/>
      <c r="BH123" s="687"/>
      <c r="BI123" s="687"/>
      <c r="BJ123" s="688"/>
      <c r="BK123" s="686"/>
      <c r="BL123" s="687"/>
      <c r="BM123" s="687"/>
      <c r="BN123" s="687"/>
      <c r="BO123" s="687"/>
      <c r="BP123" s="688"/>
      <c r="BQ123" s="686"/>
      <c r="BR123" s="687"/>
      <c r="BS123" s="687"/>
      <c r="BT123" s="687"/>
      <c r="BU123" s="687"/>
      <c r="BV123" s="688"/>
      <c r="BW123" s="686" t="s">
        <v>515</v>
      </c>
      <c r="BX123" s="687"/>
      <c r="BY123" s="687"/>
      <c r="BZ123" s="687"/>
      <c r="CA123" s="687"/>
      <c r="CB123" s="688"/>
      <c r="CC123" s="3"/>
      <c r="CD123" s="3"/>
      <c r="CE123" s="100"/>
    </row>
    <row r="124" spans="1:83" x14ac:dyDescent="0.15">
      <c r="A124" s="109"/>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100"/>
    </row>
    <row r="125" spans="1:83" s="4" customFormat="1" ht="12.75" customHeight="1" thickBot="1" x14ac:dyDescent="0.2">
      <c r="A125" s="25"/>
      <c r="B125" s="141"/>
      <c r="C125" s="161"/>
      <c r="D125" s="161"/>
      <c r="E125" s="367"/>
      <c r="F125" s="367"/>
      <c r="G125" s="367"/>
      <c r="H125" s="367"/>
      <c r="I125" s="367"/>
      <c r="J125" s="367"/>
      <c r="K125" s="367"/>
      <c r="L125" s="367"/>
      <c r="M125" s="367"/>
      <c r="N125" s="367"/>
      <c r="O125" s="164"/>
      <c r="P125" s="164"/>
      <c r="Q125" s="164"/>
      <c r="R125" s="164"/>
      <c r="S125" s="164"/>
      <c r="T125" s="164"/>
      <c r="U125" s="164"/>
      <c r="V125" s="164"/>
      <c r="W125" s="164"/>
      <c r="X125" s="164"/>
      <c r="Y125" s="164"/>
      <c r="Z125" s="164"/>
      <c r="AA125" s="164"/>
      <c r="AB125" s="164"/>
      <c r="AC125" s="164"/>
      <c r="AD125" s="164"/>
      <c r="AE125" s="164"/>
      <c r="AF125" s="164"/>
      <c r="AG125" s="164"/>
      <c r="AH125" s="164"/>
      <c r="AI125" s="164"/>
      <c r="AJ125" s="164"/>
      <c r="AK125" s="164"/>
      <c r="AL125" s="164"/>
      <c r="AM125" s="164"/>
      <c r="AN125" s="164"/>
      <c r="AO125" s="164"/>
      <c r="AP125" s="164"/>
      <c r="AQ125" s="164"/>
      <c r="AR125" s="164"/>
      <c r="AS125" s="164"/>
      <c r="AT125" s="164"/>
      <c r="AU125" s="164"/>
      <c r="AV125" s="164"/>
      <c r="AW125" s="164"/>
      <c r="AX125" s="164"/>
      <c r="AY125" s="164"/>
      <c r="AZ125" s="164"/>
      <c r="BA125" s="164"/>
      <c r="BB125" s="164"/>
      <c r="BC125" s="164"/>
      <c r="BD125" s="164"/>
      <c r="BE125" s="164"/>
      <c r="BF125" s="164"/>
      <c r="BG125" s="164"/>
      <c r="BH125" s="164"/>
      <c r="BI125" s="164"/>
      <c r="BJ125" s="164"/>
      <c r="BK125" s="164"/>
      <c r="BL125" s="164"/>
      <c r="BM125" s="164"/>
      <c r="BN125" s="164"/>
      <c r="BO125" s="164"/>
      <c r="BP125" s="164"/>
      <c r="BQ125" s="164"/>
      <c r="BR125" s="164"/>
      <c r="BS125" s="164"/>
      <c r="BT125" s="164"/>
      <c r="BU125" s="164"/>
      <c r="BV125" s="164"/>
      <c r="BW125" s="164"/>
      <c r="BX125" s="164"/>
      <c r="BY125" s="164"/>
      <c r="BZ125" s="164"/>
      <c r="CA125" s="164"/>
      <c r="CB125" s="164"/>
      <c r="CC125" s="164"/>
      <c r="CD125" s="367"/>
      <c r="CE125" s="28"/>
    </row>
    <row r="126" spans="1:83" s="4" customFormat="1" ht="12.75" customHeight="1" x14ac:dyDescent="0.15">
      <c r="A126" s="13"/>
      <c r="B126" s="85"/>
      <c r="C126" s="337"/>
      <c r="D126" s="337"/>
      <c r="E126" s="88"/>
      <c r="F126" s="88"/>
      <c r="G126" s="88"/>
      <c r="H126" s="88"/>
      <c r="I126" s="88"/>
      <c r="J126" s="88"/>
      <c r="K126" s="88"/>
      <c r="L126" s="88"/>
      <c r="M126" s="88"/>
      <c r="N126" s="88"/>
      <c r="O126" s="89"/>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c r="AP126" s="89"/>
      <c r="AQ126" s="89"/>
      <c r="AR126" s="89"/>
      <c r="AS126" s="89"/>
      <c r="AT126" s="89"/>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89"/>
      <c r="BY126" s="89"/>
      <c r="BZ126" s="89"/>
      <c r="CA126" s="89"/>
      <c r="CB126" s="89"/>
      <c r="CC126" s="89"/>
      <c r="CD126" s="88"/>
      <c r="CE126" s="15"/>
    </row>
    <row r="127" spans="1:83" x14ac:dyDescent="0.15">
      <c r="A127" s="109"/>
      <c r="B127" s="3"/>
      <c r="C127" s="3"/>
      <c r="D127" s="534" t="s">
        <v>11</v>
      </c>
      <c r="E127" s="534"/>
      <c r="F127" s="534"/>
      <c r="G127" s="534"/>
      <c r="H127" s="534"/>
      <c r="I127" s="534"/>
      <c r="J127" s="534"/>
      <c r="K127" s="534"/>
      <c r="L127" s="534"/>
      <c r="M127" s="534"/>
      <c r="N127" s="534"/>
      <c r="O127" s="534"/>
      <c r="P127" s="534"/>
      <c r="Q127" s="534"/>
      <c r="R127" s="534"/>
      <c r="S127" s="534"/>
      <c r="T127" s="534"/>
      <c r="U127" s="534"/>
      <c r="V127" s="534"/>
      <c r="W127" s="534"/>
      <c r="X127" s="534"/>
      <c r="Y127" s="534"/>
      <c r="Z127" s="534"/>
      <c r="AA127" s="534"/>
      <c r="AB127" s="534"/>
      <c r="AC127" s="534"/>
      <c r="AD127" s="534"/>
      <c r="AE127" s="534"/>
      <c r="AF127" s="534"/>
      <c r="AG127" s="534"/>
      <c r="AH127" s="534"/>
      <c r="AI127" s="534"/>
      <c r="AJ127" s="534"/>
      <c r="AK127" s="534"/>
      <c r="AL127" s="534"/>
      <c r="AM127" s="534"/>
      <c r="AN127" s="534"/>
      <c r="AO127" s="534"/>
      <c r="AP127" s="534"/>
      <c r="AQ127" s="534"/>
      <c r="AR127" s="534"/>
      <c r="AS127" s="534"/>
      <c r="AT127" s="534"/>
      <c r="AU127" s="534"/>
      <c r="AV127" s="534"/>
      <c r="AW127" s="534"/>
      <c r="AX127" s="534"/>
      <c r="AY127" s="534"/>
      <c r="AZ127" s="534"/>
      <c r="BA127" s="534"/>
      <c r="BB127" s="534"/>
      <c r="BC127" s="534"/>
      <c r="BD127" s="534"/>
      <c r="BE127" s="534"/>
      <c r="BF127" s="534"/>
      <c r="BG127" s="534"/>
      <c r="BH127" s="534"/>
      <c r="BI127" s="534"/>
      <c r="BJ127" s="534"/>
      <c r="BK127" s="534"/>
      <c r="BL127" s="534"/>
      <c r="BM127" s="534"/>
      <c r="BN127" s="534"/>
      <c r="BO127" s="534"/>
      <c r="BP127" s="534"/>
      <c r="BQ127" s="534"/>
      <c r="BR127" s="534"/>
      <c r="BS127" s="534"/>
      <c r="BT127" s="534"/>
      <c r="BU127" s="534"/>
      <c r="BV127" s="534"/>
      <c r="BW127" s="534"/>
      <c r="BX127" s="534"/>
      <c r="BY127" s="534"/>
      <c r="BZ127" s="534"/>
      <c r="CA127" s="534"/>
      <c r="CB127" s="534"/>
      <c r="CC127" s="3"/>
      <c r="CD127" s="3"/>
      <c r="CE127" s="100"/>
    </row>
    <row r="128" spans="1:83" x14ac:dyDescent="0.15">
      <c r="A128" s="109"/>
      <c r="B128" s="3"/>
      <c r="C128" s="3"/>
      <c r="D128" s="562" t="s">
        <v>348</v>
      </c>
      <c r="E128" s="563"/>
      <c r="F128" s="564"/>
      <c r="G128" s="119" t="s">
        <v>487</v>
      </c>
      <c r="H128" s="120"/>
      <c r="I128" s="120"/>
      <c r="J128" s="123"/>
      <c r="K128" s="123"/>
      <c r="L128" s="123"/>
      <c r="M128" s="123"/>
      <c r="N128" s="123"/>
      <c r="O128" s="123"/>
      <c r="P128" s="123"/>
      <c r="Q128" s="123"/>
      <c r="R128" s="123"/>
      <c r="S128" s="123"/>
      <c r="T128" s="120"/>
      <c r="U128" s="120"/>
      <c r="V128" s="120"/>
      <c r="W128" s="120"/>
      <c r="X128" s="123"/>
      <c r="Y128" s="123"/>
      <c r="Z128" s="122" t="s">
        <v>566</v>
      </c>
      <c r="AA128" s="123"/>
      <c r="AB128" s="123"/>
      <c r="AC128" s="123"/>
      <c r="AD128" s="123"/>
      <c r="AE128" s="123"/>
      <c r="AF128" s="134"/>
      <c r="AG128" s="122" t="s">
        <v>13</v>
      </c>
      <c r="AH128" s="123"/>
      <c r="AI128" s="123"/>
      <c r="AJ128" s="123"/>
      <c r="AK128" s="123"/>
      <c r="AL128" s="134"/>
      <c r="AM128" s="122" t="s">
        <v>14</v>
      </c>
      <c r="AN128" s="123"/>
      <c r="AO128" s="123"/>
      <c r="AP128" s="123"/>
      <c r="AQ128" s="123"/>
      <c r="AR128" s="134"/>
      <c r="AS128" s="123"/>
      <c r="AT128" s="123"/>
      <c r="AU128" s="123"/>
      <c r="AV128" s="123"/>
      <c r="AW128" s="123"/>
      <c r="AX128" s="123"/>
      <c r="AY128" s="123"/>
      <c r="AZ128" s="123"/>
      <c r="BA128" s="123"/>
      <c r="BB128" s="123"/>
      <c r="BC128" s="123"/>
      <c r="BD128" s="123"/>
      <c r="BE128" s="123"/>
      <c r="BF128" s="123"/>
      <c r="BG128" s="123"/>
      <c r="BH128" s="123"/>
      <c r="BI128" s="123"/>
      <c r="BJ128" s="123"/>
      <c r="BK128" s="123"/>
      <c r="BL128" s="123"/>
      <c r="BM128" s="123"/>
      <c r="BN128" s="123"/>
      <c r="BO128" s="123"/>
      <c r="BP128" s="123"/>
      <c r="BQ128" s="123"/>
      <c r="BR128" s="123"/>
      <c r="BS128" s="123"/>
      <c r="BT128" s="123"/>
      <c r="BU128" s="123"/>
      <c r="BV128" s="123"/>
      <c r="BW128" s="123"/>
      <c r="BX128" s="123"/>
      <c r="BY128" s="123"/>
      <c r="BZ128" s="123"/>
      <c r="CA128" s="123"/>
      <c r="CB128" s="123"/>
      <c r="CC128" s="123"/>
      <c r="CD128" s="134"/>
      <c r="CE128" s="100"/>
    </row>
    <row r="129" spans="1:83" x14ac:dyDescent="0.15">
      <c r="A129" s="109"/>
      <c r="B129" s="3"/>
      <c r="C129" s="3"/>
      <c r="D129" s="562">
        <v>1</v>
      </c>
      <c r="E129" s="563"/>
      <c r="F129" s="564"/>
      <c r="G129" s="147" t="s">
        <v>12</v>
      </c>
      <c r="H129" s="124"/>
      <c r="I129" s="124"/>
      <c r="J129" s="124"/>
      <c r="K129" s="124"/>
      <c r="L129" s="124"/>
      <c r="M129" s="124"/>
      <c r="N129" s="124"/>
      <c r="O129" s="124"/>
      <c r="P129" s="124"/>
      <c r="Q129" s="124"/>
      <c r="R129" s="124"/>
      <c r="S129" s="124"/>
      <c r="T129" s="124"/>
      <c r="U129" s="124"/>
      <c r="V129" s="124"/>
      <c r="W129" s="124"/>
      <c r="X129" s="124"/>
      <c r="Y129" s="124"/>
      <c r="Z129" s="147" t="s">
        <v>18</v>
      </c>
      <c r="AA129" s="124"/>
      <c r="AB129" s="124"/>
      <c r="AC129" s="124"/>
      <c r="AD129" s="124"/>
      <c r="AE129" s="124"/>
      <c r="AF129" s="174"/>
      <c r="AG129" s="147" t="s">
        <v>766</v>
      </c>
      <c r="AH129" s="124"/>
      <c r="AI129" s="124"/>
      <c r="AJ129" s="124"/>
      <c r="AK129" s="124"/>
      <c r="AL129" s="174"/>
      <c r="AM129" s="147" t="s">
        <v>15</v>
      </c>
      <c r="AN129" s="124"/>
      <c r="AO129" s="124"/>
      <c r="AP129" s="124"/>
      <c r="AQ129" s="124"/>
      <c r="AR129" s="174"/>
      <c r="AS129" s="147" t="s">
        <v>763</v>
      </c>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c r="BY129" s="124"/>
      <c r="BZ129" s="124"/>
      <c r="CA129" s="124"/>
      <c r="CB129" s="124"/>
      <c r="CC129" s="124"/>
      <c r="CD129" s="174"/>
      <c r="CE129" s="100"/>
    </row>
    <row r="130" spans="1:83" x14ac:dyDescent="0.15">
      <c r="A130" s="109"/>
      <c r="B130" s="3"/>
      <c r="C130" s="3"/>
      <c r="D130" s="562">
        <v>2</v>
      </c>
      <c r="E130" s="563"/>
      <c r="F130" s="564"/>
      <c r="G130" s="147" t="s">
        <v>16</v>
      </c>
      <c r="H130" s="124"/>
      <c r="I130" s="124"/>
      <c r="J130" s="124"/>
      <c r="K130" s="124"/>
      <c r="L130" s="124"/>
      <c r="M130" s="124"/>
      <c r="N130" s="124"/>
      <c r="O130" s="124"/>
      <c r="P130" s="124"/>
      <c r="Q130" s="124"/>
      <c r="R130" s="124"/>
      <c r="S130" s="124"/>
      <c r="T130" s="124"/>
      <c r="U130" s="124"/>
      <c r="V130" s="124"/>
      <c r="W130" s="124"/>
      <c r="X130" s="124"/>
      <c r="Y130" s="174"/>
      <c r="Z130" s="147" t="s">
        <v>18</v>
      </c>
      <c r="AA130" s="124"/>
      <c r="AB130" s="124"/>
      <c r="AC130" s="124"/>
      <c r="AD130" s="124"/>
      <c r="AE130" s="124"/>
      <c r="AF130" s="174"/>
      <c r="AG130" s="147" t="s">
        <v>704</v>
      </c>
      <c r="AH130" s="124"/>
      <c r="AI130" s="124"/>
      <c r="AJ130" s="124"/>
      <c r="AK130" s="124"/>
      <c r="AL130" s="174"/>
      <c r="AM130" s="147" t="s">
        <v>17</v>
      </c>
      <c r="AN130" s="124"/>
      <c r="AO130" s="124"/>
      <c r="AP130" s="124"/>
      <c r="AQ130" s="124"/>
      <c r="AR130" s="174"/>
      <c r="AS130" s="147" t="s">
        <v>703</v>
      </c>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c r="BY130" s="124"/>
      <c r="BZ130" s="124"/>
      <c r="CA130" s="124"/>
      <c r="CB130" s="124"/>
      <c r="CC130" s="124"/>
      <c r="CD130" s="174"/>
      <c r="CE130" s="100"/>
    </row>
    <row r="131" spans="1:83" x14ac:dyDescent="0.15">
      <c r="A131" s="109"/>
      <c r="B131" s="3"/>
      <c r="C131" s="3"/>
      <c r="D131" s="562">
        <v>3</v>
      </c>
      <c r="E131" s="563"/>
      <c r="F131" s="564"/>
      <c r="G131" s="147" t="s">
        <v>708</v>
      </c>
      <c r="H131" s="124"/>
      <c r="I131" s="124"/>
      <c r="J131" s="124"/>
      <c r="K131" s="124"/>
      <c r="L131" s="124"/>
      <c r="M131" s="124"/>
      <c r="N131" s="124"/>
      <c r="O131" s="124"/>
      <c r="P131" s="124"/>
      <c r="Q131" s="124"/>
      <c r="R131" s="124"/>
      <c r="S131" s="124"/>
      <c r="T131" s="124"/>
      <c r="U131" s="124"/>
      <c r="V131" s="124"/>
      <c r="W131" s="124"/>
      <c r="X131" s="124"/>
      <c r="Y131" s="174"/>
      <c r="Z131" s="147" t="s">
        <v>18</v>
      </c>
      <c r="AA131" s="124"/>
      <c r="AB131" s="124"/>
      <c r="AC131" s="124"/>
      <c r="AD131" s="124"/>
      <c r="AE131" s="124"/>
      <c r="AF131" s="174"/>
      <c r="AG131" s="372" t="s">
        <v>765</v>
      </c>
      <c r="AH131" s="369"/>
      <c r="AI131" s="369"/>
      <c r="AJ131" s="369"/>
      <c r="AK131" s="369"/>
      <c r="AL131" s="370"/>
      <c r="AM131" s="372" t="s">
        <v>15</v>
      </c>
      <c r="AN131" s="369"/>
      <c r="AO131" s="369"/>
      <c r="AP131" s="369"/>
      <c r="AQ131" s="369"/>
      <c r="AR131" s="370"/>
      <c r="AS131" s="372" t="s">
        <v>764</v>
      </c>
      <c r="AT131" s="369"/>
      <c r="AU131" s="369"/>
      <c r="AV131" s="369"/>
      <c r="AW131" s="369"/>
      <c r="AX131" s="369"/>
      <c r="AY131" s="369"/>
      <c r="AZ131" s="369"/>
      <c r="BA131" s="369"/>
      <c r="BB131" s="369"/>
      <c r="BC131" s="369"/>
      <c r="BD131" s="369"/>
      <c r="BE131" s="369"/>
      <c r="BF131" s="369"/>
      <c r="BG131" s="369"/>
      <c r="BH131" s="369"/>
      <c r="BI131" s="371"/>
      <c r="BJ131" s="371"/>
      <c r="BK131" s="371"/>
      <c r="BL131" s="371"/>
      <c r="BM131" s="371"/>
      <c r="BN131" s="371"/>
      <c r="BO131" s="371"/>
      <c r="BP131" s="371"/>
      <c r="BQ131" s="369"/>
      <c r="BR131" s="369"/>
      <c r="BS131" s="369"/>
      <c r="BT131" s="369"/>
      <c r="BU131" s="369"/>
      <c r="BV131" s="369"/>
      <c r="BW131" s="369"/>
      <c r="BX131" s="369"/>
      <c r="BY131" s="369"/>
      <c r="BZ131" s="369"/>
      <c r="CA131" s="369"/>
      <c r="CB131" s="369"/>
      <c r="CC131" s="369"/>
      <c r="CD131" s="370"/>
      <c r="CE131" s="100"/>
    </row>
    <row r="132" spans="1:83" x14ac:dyDescent="0.15">
      <c r="A132" s="109"/>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100"/>
    </row>
    <row r="133" spans="1:83" x14ac:dyDescent="0.15">
      <c r="A133" s="109"/>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100"/>
    </row>
    <row r="134" spans="1:83" x14ac:dyDescent="0.15">
      <c r="A134" s="109"/>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100"/>
    </row>
    <row r="135" spans="1:83" x14ac:dyDescent="0.15">
      <c r="A135" s="109"/>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100"/>
    </row>
    <row r="136" spans="1:83" x14ac:dyDescent="0.15">
      <c r="A136" s="109"/>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100"/>
    </row>
    <row r="137" spans="1:83" x14ac:dyDescent="0.15">
      <c r="A137" s="109"/>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100"/>
    </row>
    <row r="138" spans="1:83" x14ac:dyDescent="0.15">
      <c r="A138" s="109"/>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100"/>
    </row>
    <row r="139" spans="1:83" x14ac:dyDescent="0.15">
      <c r="A139" s="10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100"/>
    </row>
    <row r="140" spans="1:83" x14ac:dyDescent="0.15">
      <c r="A140" s="109"/>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100"/>
    </row>
    <row r="141" spans="1:83" x14ac:dyDescent="0.15">
      <c r="A141" s="109"/>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100"/>
    </row>
    <row r="142" spans="1:83" x14ac:dyDescent="0.15">
      <c r="A142" s="109"/>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100"/>
    </row>
    <row r="143" spans="1:83" x14ac:dyDescent="0.15">
      <c r="A143" s="109"/>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100"/>
    </row>
    <row r="144" spans="1:83" x14ac:dyDescent="0.15">
      <c r="A144" s="109"/>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100"/>
    </row>
    <row r="145" spans="1:83" x14ac:dyDescent="0.15">
      <c r="A145" s="109"/>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100"/>
    </row>
    <row r="146" spans="1:83" x14ac:dyDescent="0.15">
      <c r="A146" s="109"/>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100"/>
    </row>
    <row r="147" spans="1:83" x14ac:dyDescent="0.15">
      <c r="A147" s="109"/>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100"/>
    </row>
    <row r="148" spans="1:83" x14ac:dyDescent="0.15">
      <c r="A148" s="109"/>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100"/>
    </row>
    <row r="149" spans="1:83" x14ac:dyDescent="0.15">
      <c r="A149" s="10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100"/>
    </row>
    <row r="150" spans="1:83" x14ac:dyDescent="0.15">
      <c r="A150" s="109"/>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100"/>
    </row>
    <row r="151" spans="1:83" x14ac:dyDescent="0.15">
      <c r="A151" s="109"/>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100"/>
    </row>
    <row r="152" spans="1:83" x14ac:dyDescent="0.15">
      <c r="A152" s="109"/>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100"/>
    </row>
    <row r="153" spans="1:83" x14ac:dyDescent="0.15">
      <c r="A153" s="109"/>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100"/>
    </row>
    <row r="154" spans="1:83" x14ac:dyDescent="0.15">
      <c r="A154" s="109"/>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100"/>
    </row>
    <row r="155" spans="1:83" x14ac:dyDescent="0.15">
      <c r="A155" s="109"/>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100"/>
    </row>
    <row r="156" spans="1:83" x14ac:dyDescent="0.15">
      <c r="A156" s="109"/>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100"/>
    </row>
    <row r="157" spans="1:83" x14ac:dyDescent="0.15">
      <c r="A157" s="109"/>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100"/>
    </row>
    <row r="158" spans="1:83" x14ac:dyDescent="0.15">
      <c r="A158" s="109"/>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100"/>
    </row>
    <row r="159" spans="1:83" x14ac:dyDescent="0.15">
      <c r="A159" s="10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100"/>
    </row>
    <row r="160" spans="1:83" x14ac:dyDescent="0.15">
      <c r="A160" s="109"/>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100"/>
    </row>
    <row r="161" spans="1:83" x14ac:dyDescent="0.15">
      <c r="A161" s="109"/>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100"/>
    </row>
    <row r="162" spans="1:83" x14ac:dyDescent="0.15">
      <c r="A162" s="109"/>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100"/>
    </row>
    <row r="163" spans="1:83" x14ac:dyDescent="0.15">
      <c r="A163" s="109"/>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100"/>
    </row>
    <row r="164" spans="1:83" ht="12.75" thickBot="1" x14ac:dyDescent="0.2">
      <c r="A164" s="110"/>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c r="AP164" s="103"/>
      <c r="AQ164" s="103"/>
      <c r="AR164" s="103"/>
      <c r="AS164" s="103"/>
      <c r="AT164" s="103"/>
      <c r="AU164" s="103"/>
      <c r="AV164" s="103"/>
      <c r="AW164" s="103"/>
      <c r="AX164" s="103"/>
      <c r="AY164" s="103"/>
      <c r="AZ164" s="103"/>
      <c r="BA164" s="103"/>
      <c r="BB164" s="103"/>
      <c r="BC164" s="103"/>
      <c r="BD164" s="103"/>
      <c r="BE164" s="103"/>
      <c r="BF164" s="103"/>
      <c r="BG164" s="103"/>
      <c r="BH164" s="103"/>
      <c r="BI164" s="103"/>
      <c r="BJ164" s="103"/>
      <c r="BK164" s="103"/>
      <c r="BL164" s="103"/>
      <c r="BM164" s="103"/>
      <c r="BN164" s="103"/>
      <c r="BO164" s="103"/>
      <c r="BP164" s="103"/>
      <c r="BQ164" s="103"/>
      <c r="BR164" s="103"/>
      <c r="BS164" s="103"/>
      <c r="BT164" s="103"/>
      <c r="BU164" s="103"/>
      <c r="BV164" s="103"/>
      <c r="BW164" s="103"/>
      <c r="BX164" s="103"/>
      <c r="BY164" s="103"/>
      <c r="BZ164" s="103"/>
      <c r="CA164" s="103"/>
      <c r="CB164" s="103"/>
      <c r="CC164" s="103"/>
      <c r="CD164" s="103"/>
      <c r="CE164" s="105"/>
    </row>
    <row r="165" spans="1:83" s="4" customFormat="1" ht="12.75" customHeight="1" x14ac:dyDescent="0.15">
      <c r="A165" s="13"/>
      <c r="B165" s="85"/>
      <c r="C165" s="86"/>
      <c r="D165" s="87"/>
      <c r="E165" s="88"/>
      <c r="F165" s="88"/>
      <c r="G165" s="88"/>
      <c r="H165" s="88"/>
      <c r="I165" s="88"/>
      <c r="J165" s="88"/>
      <c r="K165" s="88"/>
      <c r="L165" s="88"/>
      <c r="M165" s="88"/>
      <c r="N165" s="88"/>
      <c r="O165" s="89"/>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89"/>
      <c r="AT165" s="89"/>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c r="BQ165" s="89"/>
      <c r="BR165" s="89"/>
      <c r="BS165" s="89"/>
      <c r="BT165" s="89"/>
      <c r="BU165" s="89"/>
      <c r="BV165" s="89"/>
      <c r="BW165" s="89"/>
      <c r="BX165" s="89"/>
      <c r="BY165" s="89"/>
      <c r="BZ165" s="89"/>
      <c r="CA165" s="89"/>
      <c r="CB165" s="89"/>
      <c r="CC165" s="89"/>
      <c r="CD165" s="88"/>
      <c r="CE165" s="15"/>
    </row>
    <row r="166" spans="1:83" s="4" customFormat="1" ht="12.75" customHeight="1" x14ac:dyDescent="0.15">
      <c r="A166" s="16"/>
      <c r="B166" s="5"/>
      <c r="C166" s="22"/>
      <c r="D166" s="22"/>
      <c r="E166" s="11"/>
      <c r="F166" s="11"/>
      <c r="G166" s="11"/>
      <c r="H166" s="11"/>
      <c r="I166" s="11"/>
      <c r="J166" s="11"/>
      <c r="K166" s="11"/>
      <c r="L166" s="11"/>
      <c r="M166" s="11"/>
      <c r="N166" s="11"/>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1"/>
      <c r="CE166" s="18"/>
    </row>
    <row r="167" spans="1:83" s="4" customFormat="1" ht="12.75" customHeight="1" x14ac:dyDescent="0.15">
      <c r="A167" s="16"/>
      <c r="B167" s="5"/>
      <c r="C167" s="22"/>
      <c r="D167" s="22" t="s">
        <v>424</v>
      </c>
      <c r="E167" s="11"/>
      <c r="F167" s="11"/>
      <c r="G167" s="11"/>
      <c r="H167" s="11"/>
      <c r="I167" s="11"/>
      <c r="J167" s="11"/>
      <c r="K167" s="11"/>
      <c r="L167" s="11"/>
      <c r="M167" s="11"/>
      <c r="N167" s="11"/>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1"/>
      <c r="CE167" s="18"/>
    </row>
    <row r="168" spans="1:83" s="4" customFormat="1" ht="12.75" customHeight="1" x14ac:dyDescent="0.15">
      <c r="A168" s="16"/>
      <c r="B168" s="5"/>
      <c r="C168" s="22"/>
      <c r="D168" s="22"/>
      <c r="E168" s="12" t="s">
        <v>419</v>
      </c>
      <c r="F168" s="11"/>
      <c r="G168" s="11"/>
      <c r="H168" s="11"/>
      <c r="I168" s="11"/>
      <c r="J168" s="11"/>
      <c r="K168" s="11"/>
      <c r="L168" s="11"/>
      <c r="M168" s="11"/>
      <c r="N168" s="11"/>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1"/>
      <c r="CE168" s="18"/>
    </row>
    <row r="169" spans="1:83" s="4" customFormat="1" ht="12.75" customHeight="1" x14ac:dyDescent="0.15">
      <c r="A169" s="16"/>
      <c r="B169" s="5"/>
      <c r="C169" s="73"/>
      <c r="D169" s="586" t="s">
        <v>391</v>
      </c>
      <c r="E169" s="703"/>
      <c r="F169" s="704"/>
      <c r="G169" s="729" t="s">
        <v>417</v>
      </c>
      <c r="H169" s="730"/>
      <c r="I169" s="730"/>
      <c r="J169" s="730"/>
      <c r="K169" s="730"/>
      <c r="L169" s="730"/>
      <c r="M169" s="731"/>
      <c r="N169" s="586" t="s">
        <v>348</v>
      </c>
      <c r="O169" s="703"/>
      <c r="P169" s="703"/>
      <c r="Q169" s="704"/>
      <c r="R169" s="729">
        <v>2</v>
      </c>
      <c r="S169" s="730"/>
      <c r="T169" s="730"/>
      <c r="U169" s="730"/>
      <c r="V169" s="730"/>
      <c r="W169" s="730"/>
      <c r="X169" s="731"/>
      <c r="Y169" s="586" t="s">
        <v>401</v>
      </c>
      <c r="Z169" s="703"/>
      <c r="AA169" s="703"/>
      <c r="AB169" s="703"/>
      <c r="AC169" s="703"/>
      <c r="AD169" s="703"/>
      <c r="AE169" s="704"/>
      <c r="AF169" s="736" t="s">
        <v>418</v>
      </c>
      <c r="AG169" s="737"/>
      <c r="AH169" s="737"/>
      <c r="AI169" s="737"/>
      <c r="AJ169" s="737"/>
      <c r="AK169" s="737"/>
      <c r="AL169" s="737"/>
      <c r="AM169" s="737"/>
      <c r="AN169" s="737"/>
      <c r="AO169" s="737"/>
      <c r="AP169" s="737"/>
      <c r="AQ169" s="737"/>
      <c r="AR169" s="737"/>
      <c r="AS169" s="737"/>
      <c r="AT169" s="737"/>
      <c r="AU169" s="737"/>
      <c r="AV169" s="737"/>
      <c r="AW169" s="737"/>
      <c r="AX169" s="737"/>
      <c r="AY169" s="737"/>
      <c r="AZ169" s="737"/>
      <c r="BA169" s="737"/>
      <c r="BB169" s="737"/>
      <c r="BC169" s="737"/>
      <c r="BD169" s="737"/>
      <c r="BE169" s="737"/>
      <c r="BF169" s="737"/>
      <c r="BG169" s="737"/>
      <c r="BH169" s="737"/>
      <c r="BI169" s="737"/>
      <c r="BJ169" s="737"/>
      <c r="BK169" s="737"/>
      <c r="BL169" s="737"/>
      <c r="BM169" s="737"/>
      <c r="BN169" s="737"/>
      <c r="BO169" s="737"/>
      <c r="BP169" s="737"/>
      <c r="BQ169" s="737"/>
      <c r="BR169" s="737"/>
      <c r="BS169" s="737"/>
      <c r="BT169" s="737"/>
      <c r="BU169" s="737"/>
      <c r="BV169" s="737"/>
      <c r="BW169" s="737"/>
      <c r="BX169" s="737"/>
      <c r="BY169" s="737"/>
      <c r="BZ169" s="737"/>
      <c r="CA169" s="737"/>
      <c r="CB169" s="738"/>
      <c r="CC169" s="8"/>
      <c r="CD169" s="73"/>
      <c r="CE169" s="90"/>
    </row>
    <row r="170" spans="1:83" s="4" customFormat="1" ht="12.75" customHeight="1" x14ac:dyDescent="0.15">
      <c r="A170" s="16"/>
      <c r="B170" s="5"/>
      <c r="C170" s="73"/>
      <c r="D170" s="707"/>
      <c r="E170" s="708"/>
      <c r="F170" s="709"/>
      <c r="G170" s="732"/>
      <c r="H170" s="733"/>
      <c r="I170" s="733"/>
      <c r="J170" s="733"/>
      <c r="K170" s="733"/>
      <c r="L170" s="733"/>
      <c r="M170" s="734"/>
      <c r="N170" s="707"/>
      <c r="O170" s="708"/>
      <c r="P170" s="708"/>
      <c r="Q170" s="709"/>
      <c r="R170" s="732"/>
      <c r="S170" s="733"/>
      <c r="T170" s="733"/>
      <c r="U170" s="733"/>
      <c r="V170" s="733"/>
      <c r="W170" s="733"/>
      <c r="X170" s="734"/>
      <c r="Y170" s="707"/>
      <c r="Z170" s="708"/>
      <c r="AA170" s="708"/>
      <c r="AB170" s="708"/>
      <c r="AC170" s="708"/>
      <c r="AD170" s="708"/>
      <c r="AE170" s="709"/>
      <c r="AF170" s="739"/>
      <c r="AG170" s="740"/>
      <c r="AH170" s="740"/>
      <c r="AI170" s="740"/>
      <c r="AJ170" s="740"/>
      <c r="AK170" s="740"/>
      <c r="AL170" s="740"/>
      <c r="AM170" s="740"/>
      <c r="AN170" s="740"/>
      <c r="AO170" s="740"/>
      <c r="AP170" s="740"/>
      <c r="AQ170" s="740"/>
      <c r="AR170" s="740"/>
      <c r="AS170" s="740"/>
      <c r="AT170" s="740"/>
      <c r="AU170" s="740"/>
      <c r="AV170" s="740"/>
      <c r="AW170" s="740"/>
      <c r="AX170" s="740"/>
      <c r="AY170" s="740"/>
      <c r="AZ170" s="740"/>
      <c r="BA170" s="740"/>
      <c r="BB170" s="740"/>
      <c r="BC170" s="740"/>
      <c r="BD170" s="740"/>
      <c r="BE170" s="740"/>
      <c r="BF170" s="740"/>
      <c r="BG170" s="740"/>
      <c r="BH170" s="740"/>
      <c r="BI170" s="740"/>
      <c r="BJ170" s="740"/>
      <c r="BK170" s="740"/>
      <c r="BL170" s="740"/>
      <c r="BM170" s="740"/>
      <c r="BN170" s="740"/>
      <c r="BO170" s="740"/>
      <c r="BP170" s="740"/>
      <c r="BQ170" s="740"/>
      <c r="BR170" s="740"/>
      <c r="BS170" s="740"/>
      <c r="BT170" s="740"/>
      <c r="BU170" s="740"/>
      <c r="BV170" s="740"/>
      <c r="BW170" s="740"/>
      <c r="BX170" s="740"/>
      <c r="BY170" s="740"/>
      <c r="BZ170" s="740"/>
      <c r="CA170" s="740"/>
      <c r="CB170" s="741"/>
      <c r="CC170" s="58"/>
      <c r="CD170" s="73"/>
      <c r="CE170" s="90"/>
    </row>
    <row r="171" spans="1:83" s="4" customFormat="1" ht="12.75" customHeight="1" x14ac:dyDescent="0.15">
      <c r="A171" s="16"/>
      <c r="B171" s="5"/>
      <c r="C171" s="73"/>
      <c r="D171" s="753" t="s">
        <v>402</v>
      </c>
      <c r="E171" s="754"/>
      <c r="F171" s="755"/>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1"/>
      <c r="CC171" s="58"/>
      <c r="CD171" s="73"/>
      <c r="CE171" s="90"/>
    </row>
    <row r="172" spans="1:83" s="94" customFormat="1" ht="12.75" customHeight="1" x14ac:dyDescent="0.15">
      <c r="A172" s="91"/>
      <c r="B172" s="5"/>
      <c r="C172" s="92"/>
      <c r="D172" s="756"/>
      <c r="E172" s="757"/>
      <c r="F172" s="7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92"/>
      <c r="BI172" s="58"/>
      <c r="BJ172" s="58"/>
      <c r="BK172" s="58"/>
      <c r="BL172" s="54"/>
      <c r="BM172" s="58"/>
      <c r="BN172" s="58"/>
      <c r="BO172" s="58"/>
      <c r="BP172" s="58"/>
      <c r="BQ172" s="58"/>
      <c r="BR172" s="92"/>
      <c r="BS172" s="58"/>
      <c r="BT172" s="58"/>
      <c r="BU172" s="58"/>
      <c r="BV172" s="58"/>
      <c r="BW172" s="58"/>
      <c r="BX172" s="58"/>
      <c r="BY172" s="58"/>
      <c r="BZ172" s="58"/>
      <c r="CA172" s="58"/>
      <c r="CB172" s="82"/>
      <c r="CC172" s="58"/>
      <c r="CD172" s="92"/>
      <c r="CE172" s="93"/>
    </row>
    <row r="173" spans="1:83" s="94" customFormat="1" ht="12.75" customHeight="1" x14ac:dyDescent="0.15">
      <c r="A173" s="91"/>
      <c r="B173" s="5"/>
      <c r="C173" s="92"/>
      <c r="D173" s="756"/>
      <c r="E173" s="757"/>
      <c r="F173" s="7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4"/>
      <c r="BI173" s="58"/>
      <c r="BJ173" s="58"/>
      <c r="BK173" s="58"/>
      <c r="BL173" s="58"/>
      <c r="BM173" s="58"/>
      <c r="BN173" s="58"/>
      <c r="BO173" s="58"/>
      <c r="BP173" s="58"/>
      <c r="BQ173" s="58"/>
      <c r="BR173" s="58"/>
      <c r="BS173" s="58"/>
      <c r="BT173" s="58"/>
      <c r="BU173" s="58"/>
      <c r="BV173" s="58"/>
      <c r="BW173" s="58"/>
      <c r="BX173" s="58"/>
      <c r="BY173" s="58"/>
      <c r="BZ173" s="58"/>
      <c r="CA173" s="58"/>
      <c r="CB173" s="82"/>
      <c r="CC173" s="58"/>
      <c r="CD173" s="92"/>
      <c r="CE173" s="93"/>
    </row>
    <row r="174" spans="1:83" s="94" customFormat="1" ht="12.75" customHeight="1" x14ac:dyDescent="0.15">
      <c r="A174" s="91"/>
      <c r="B174" s="5"/>
      <c r="C174" s="92"/>
      <c r="D174" s="756"/>
      <c r="E174" s="757"/>
      <c r="F174" s="7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82"/>
      <c r="CC174" s="58"/>
      <c r="CD174" s="92"/>
      <c r="CE174" s="93"/>
    </row>
    <row r="175" spans="1:83" s="94" customFormat="1" ht="12.75" customHeight="1" x14ac:dyDescent="0.15">
      <c r="A175" s="91"/>
      <c r="B175" s="5"/>
      <c r="C175" s="92"/>
      <c r="D175" s="756"/>
      <c r="E175" s="757"/>
      <c r="F175" s="7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82"/>
      <c r="CC175" s="58"/>
      <c r="CD175" s="92"/>
      <c r="CE175" s="93"/>
    </row>
    <row r="176" spans="1:83" s="94" customFormat="1" ht="12.75" customHeight="1" x14ac:dyDescent="0.15">
      <c r="A176" s="91"/>
      <c r="B176" s="5"/>
      <c r="C176" s="92"/>
      <c r="D176" s="756"/>
      <c r="E176" s="757"/>
      <c r="F176" s="7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82"/>
      <c r="CC176" s="58"/>
      <c r="CD176" s="92"/>
      <c r="CE176" s="93"/>
    </row>
    <row r="177" spans="1:83" s="94" customFormat="1" ht="12.75" customHeight="1" x14ac:dyDescent="0.15">
      <c r="A177" s="91"/>
      <c r="B177" s="5"/>
      <c r="C177" s="92"/>
      <c r="D177" s="756"/>
      <c r="E177" s="757"/>
      <c r="F177" s="7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82"/>
      <c r="CC177" s="58"/>
      <c r="CD177" s="92"/>
      <c r="CE177" s="93"/>
    </row>
    <row r="178" spans="1:83" s="94" customFormat="1" ht="12.75" customHeight="1" x14ac:dyDescent="0.15">
      <c r="A178" s="91"/>
      <c r="B178" s="5"/>
      <c r="C178" s="92"/>
      <c r="D178" s="756"/>
      <c r="E178" s="757"/>
      <c r="F178" s="7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82"/>
      <c r="CC178" s="58"/>
      <c r="CD178" s="92"/>
      <c r="CE178" s="93"/>
    </row>
    <row r="179" spans="1:83" s="94" customFormat="1" ht="12.75" customHeight="1" x14ac:dyDescent="0.15">
      <c r="A179" s="91"/>
      <c r="B179" s="5"/>
      <c r="C179" s="92"/>
      <c r="D179" s="756"/>
      <c r="E179" s="757"/>
      <c r="F179" s="7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82"/>
      <c r="CC179" s="58"/>
      <c r="CD179" s="92"/>
      <c r="CE179" s="93"/>
    </row>
    <row r="180" spans="1:83" s="94" customFormat="1" ht="12.75" customHeight="1" x14ac:dyDescent="0.15">
      <c r="A180" s="91"/>
      <c r="B180" s="5"/>
      <c r="C180" s="92"/>
      <c r="D180" s="756"/>
      <c r="E180" s="757"/>
      <c r="F180" s="7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82"/>
      <c r="CC180" s="58"/>
      <c r="CD180" s="92"/>
      <c r="CE180" s="93"/>
    </row>
    <row r="181" spans="1:83" s="94" customFormat="1" ht="12.75" customHeight="1" x14ac:dyDescent="0.15">
      <c r="A181" s="91"/>
      <c r="B181" s="5"/>
      <c r="C181" s="92"/>
      <c r="D181" s="756"/>
      <c r="E181" s="757"/>
      <c r="F181" s="7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82"/>
      <c r="CC181" s="58"/>
      <c r="CD181" s="92"/>
      <c r="CE181" s="93"/>
    </row>
    <row r="182" spans="1:83" s="9" customFormat="1" ht="12.75" customHeight="1" x14ac:dyDescent="0.15">
      <c r="A182" s="16"/>
      <c r="B182" s="8"/>
      <c r="C182" s="29"/>
      <c r="D182" s="756"/>
      <c r="E182" s="757"/>
      <c r="F182" s="7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82"/>
      <c r="CC182" s="58"/>
      <c r="CD182" s="29"/>
      <c r="CE182" s="95"/>
    </row>
    <row r="183" spans="1:83" s="4" customFormat="1" ht="12.75" customHeight="1" x14ac:dyDescent="0.15">
      <c r="A183" s="16"/>
      <c r="B183" s="5"/>
      <c r="C183" s="73"/>
      <c r="D183" s="756"/>
      <c r="E183" s="757"/>
      <c r="F183" s="7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82"/>
      <c r="CC183" s="58"/>
      <c r="CD183" s="73"/>
      <c r="CE183" s="90"/>
    </row>
    <row r="184" spans="1:83" s="4" customFormat="1" ht="12.75" customHeight="1" x14ac:dyDescent="0.15">
      <c r="A184" s="16"/>
      <c r="B184" s="96"/>
      <c r="C184" s="73"/>
      <c r="D184" s="756"/>
      <c r="E184" s="757"/>
      <c r="F184" s="7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82"/>
      <c r="CC184" s="58"/>
      <c r="CD184" s="73"/>
      <c r="CE184" s="90"/>
    </row>
    <row r="185" spans="1:83" s="4" customFormat="1" ht="12.75" customHeight="1" x14ac:dyDescent="0.15">
      <c r="A185" s="16"/>
      <c r="B185" s="96"/>
      <c r="C185" s="73"/>
      <c r="D185" s="756"/>
      <c r="E185" s="757"/>
      <c r="F185" s="7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82"/>
      <c r="CC185" s="58"/>
      <c r="CD185" s="73"/>
      <c r="CE185" s="90"/>
    </row>
    <row r="186" spans="1:83" s="4" customFormat="1" ht="12.75" customHeight="1" x14ac:dyDescent="0.15">
      <c r="A186" s="16"/>
      <c r="B186" s="5"/>
      <c r="C186" s="73"/>
      <c r="D186" s="756"/>
      <c r="E186" s="757"/>
      <c r="F186" s="7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82"/>
      <c r="CC186" s="58"/>
      <c r="CD186" s="73"/>
      <c r="CE186" s="90"/>
    </row>
    <row r="187" spans="1:83" s="4" customFormat="1" ht="12.75" customHeight="1" x14ac:dyDescent="0.15">
      <c r="A187" s="16"/>
      <c r="B187" s="5"/>
      <c r="C187" s="73"/>
      <c r="D187" s="756"/>
      <c r="E187" s="757"/>
      <c r="F187" s="7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82"/>
      <c r="CC187" s="58"/>
      <c r="CD187" s="73"/>
      <c r="CE187" s="90"/>
    </row>
    <row r="188" spans="1:83" s="4" customFormat="1" ht="12.75" customHeight="1" x14ac:dyDescent="0.15">
      <c r="A188" s="16"/>
      <c r="B188" s="8"/>
      <c r="C188" s="73"/>
      <c r="D188" s="756"/>
      <c r="E188" s="757"/>
      <c r="F188" s="7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82"/>
      <c r="CC188" s="58"/>
      <c r="CD188" s="73"/>
      <c r="CE188" s="90"/>
    </row>
    <row r="189" spans="1:83" s="4" customFormat="1" ht="12.75" customHeight="1" x14ac:dyDescent="0.15">
      <c r="A189" s="16"/>
      <c r="B189" s="5"/>
      <c r="C189" s="73"/>
      <c r="D189" s="756"/>
      <c r="E189" s="757"/>
      <c r="F189" s="7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82"/>
      <c r="CC189" s="58"/>
      <c r="CD189" s="73"/>
      <c r="CE189" s="90"/>
    </row>
    <row r="190" spans="1:83" s="4" customFormat="1" ht="12.75" customHeight="1" x14ac:dyDescent="0.15">
      <c r="A190" s="16"/>
      <c r="B190" s="5"/>
      <c r="C190" s="73"/>
      <c r="D190" s="756"/>
      <c r="E190" s="757"/>
      <c r="F190" s="7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82"/>
      <c r="CC190" s="58"/>
      <c r="CD190" s="73"/>
      <c r="CE190" s="90"/>
    </row>
    <row r="191" spans="1:83" s="4" customFormat="1" ht="12.75" customHeight="1" x14ac:dyDescent="0.15">
      <c r="A191" s="97"/>
      <c r="B191" s="24"/>
      <c r="C191" s="73"/>
      <c r="D191" s="756"/>
      <c r="E191" s="757"/>
      <c r="F191" s="7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82"/>
      <c r="CC191" s="58"/>
      <c r="CD191" s="73"/>
      <c r="CE191" s="90"/>
    </row>
    <row r="192" spans="1:83" ht="12.75" customHeight="1" x14ac:dyDescent="0.15">
      <c r="A192" s="98"/>
      <c r="B192" s="99"/>
      <c r="C192" s="3"/>
      <c r="D192" s="756"/>
      <c r="E192" s="757"/>
      <c r="F192" s="7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82"/>
      <c r="CC192" s="58"/>
      <c r="CD192" s="3"/>
      <c r="CE192" s="100"/>
    </row>
    <row r="193" spans="1:83" ht="12.75" customHeight="1" x14ac:dyDescent="0.15">
      <c r="A193" s="98"/>
      <c r="B193" s="99"/>
      <c r="C193" s="3"/>
      <c r="D193" s="756"/>
      <c r="E193" s="757"/>
      <c r="F193" s="7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82"/>
      <c r="CC193" s="58"/>
      <c r="CD193" s="3"/>
      <c r="CE193" s="100"/>
    </row>
    <row r="194" spans="1:83" ht="12.75" customHeight="1" x14ac:dyDescent="0.15">
      <c r="A194" s="98"/>
      <c r="B194" s="99"/>
      <c r="C194" s="3"/>
      <c r="D194" s="756"/>
      <c r="E194" s="757"/>
      <c r="F194" s="7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82"/>
      <c r="CC194" s="58"/>
      <c r="CD194" s="3"/>
      <c r="CE194" s="100"/>
    </row>
    <row r="195" spans="1:83" ht="12.75" customHeight="1" x14ac:dyDescent="0.15">
      <c r="A195" s="98"/>
      <c r="B195" s="99"/>
      <c r="C195" s="3"/>
      <c r="D195" s="756"/>
      <c r="E195" s="757"/>
      <c r="F195" s="7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82"/>
      <c r="CC195" s="58"/>
      <c r="CD195" s="3"/>
      <c r="CE195" s="100"/>
    </row>
    <row r="196" spans="1:83" ht="12.75" customHeight="1" x14ac:dyDescent="0.15">
      <c r="A196" s="98"/>
      <c r="B196" s="99"/>
      <c r="C196" s="3"/>
      <c r="D196" s="756"/>
      <c r="E196" s="757"/>
      <c r="F196" s="7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82"/>
      <c r="CC196" s="58"/>
      <c r="CD196" s="3"/>
      <c r="CE196" s="100"/>
    </row>
    <row r="197" spans="1:83" ht="12.75" customHeight="1" x14ac:dyDescent="0.15">
      <c r="A197" s="98"/>
      <c r="B197" s="99"/>
      <c r="C197" s="3"/>
      <c r="D197" s="756"/>
      <c r="E197" s="757"/>
      <c r="F197" s="758"/>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82"/>
      <c r="CC197" s="58"/>
      <c r="CD197" s="3"/>
      <c r="CE197" s="100"/>
    </row>
    <row r="198" spans="1:83" x14ac:dyDescent="0.15">
      <c r="A198" s="109"/>
      <c r="B198" s="3"/>
      <c r="C198" s="3"/>
      <c r="D198" s="756"/>
      <c r="E198" s="757"/>
      <c r="F198" s="758"/>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82"/>
      <c r="CC198" s="58"/>
      <c r="CD198" s="3"/>
      <c r="CE198" s="100"/>
    </row>
    <row r="199" spans="1:83" x14ac:dyDescent="0.15">
      <c r="A199" s="109"/>
      <c r="B199" s="3"/>
      <c r="C199" s="3"/>
      <c r="D199" s="756"/>
      <c r="E199" s="757"/>
      <c r="F199" s="758"/>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82"/>
      <c r="CC199" s="58"/>
      <c r="CD199" s="3"/>
      <c r="CE199" s="100"/>
    </row>
    <row r="200" spans="1:83" x14ac:dyDescent="0.15">
      <c r="A200" s="109"/>
      <c r="B200" s="3"/>
      <c r="C200" s="3"/>
      <c r="D200" s="756"/>
      <c r="E200" s="757"/>
      <c r="F200" s="758"/>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82"/>
      <c r="CC200" s="58"/>
      <c r="CD200" s="3"/>
      <c r="CE200" s="100"/>
    </row>
    <row r="201" spans="1:83" x14ac:dyDescent="0.15">
      <c r="A201" s="109"/>
      <c r="B201" s="3"/>
      <c r="C201" s="3"/>
      <c r="D201" s="756"/>
      <c r="E201" s="757"/>
      <c r="F201" s="758"/>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82"/>
      <c r="CC201" s="58"/>
      <c r="CD201" s="3"/>
      <c r="CE201" s="100"/>
    </row>
    <row r="202" spans="1:83" ht="12.75" customHeight="1" x14ac:dyDescent="0.15">
      <c r="A202" s="98"/>
      <c r="B202" s="99"/>
      <c r="C202" s="3"/>
      <c r="D202" s="759"/>
      <c r="E202" s="760"/>
      <c r="F202" s="761"/>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4"/>
      <c r="CC202" s="58"/>
      <c r="CD202" s="3"/>
      <c r="CE202" s="100"/>
    </row>
    <row r="203" spans="1:83" ht="12.75" customHeight="1" thickBot="1" x14ac:dyDescent="0.2">
      <c r="A203" s="101"/>
      <c r="B203" s="102"/>
      <c r="C203" s="103"/>
      <c r="D203" s="158"/>
      <c r="E203" s="158"/>
      <c r="F203" s="158"/>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3"/>
      <c r="CE203" s="105"/>
    </row>
    <row r="204" spans="1:83" ht="12.75" customHeight="1" x14ac:dyDescent="0.15">
      <c r="A204" s="107"/>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c r="BC204" s="106"/>
      <c r="BD204" s="106"/>
      <c r="BE204" s="106"/>
      <c r="BF204" s="106"/>
      <c r="BG204" s="106"/>
      <c r="BH204" s="106"/>
      <c r="BI204" s="106"/>
      <c r="BJ204" s="106"/>
      <c r="BK204" s="106"/>
      <c r="BL204" s="106"/>
      <c r="BM204" s="106"/>
      <c r="BN204" s="106"/>
      <c r="BO204" s="106"/>
      <c r="BP204" s="106"/>
      <c r="BQ204" s="106"/>
      <c r="BR204" s="106"/>
      <c r="BS204" s="106"/>
      <c r="BT204" s="106"/>
      <c r="BU204" s="106"/>
      <c r="BV204" s="106"/>
      <c r="BW204" s="106"/>
      <c r="BX204" s="106"/>
      <c r="BY204" s="106"/>
      <c r="BZ204" s="106"/>
      <c r="CA204" s="106"/>
      <c r="CB204" s="106"/>
      <c r="CC204" s="106"/>
      <c r="CD204" s="106"/>
      <c r="CE204" s="108"/>
    </row>
    <row r="205" spans="1:83" ht="12.75" customHeight="1" x14ac:dyDescent="0.15">
      <c r="A205" s="109"/>
      <c r="B205" s="3"/>
      <c r="C205" s="3"/>
      <c r="D205" s="534" t="s">
        <v>592</v>
      </c>
      <c r="E205" s="534"/>
      <c r="F205" s="534"/>
      <c r="G205" s="534"/>
      <c r="H205" s="534"/>
      <c r="I205" s="534"/>
      <c r="J205" s="534"/>
      <c r="K205" s="534"/>
      <c r="L205" s="534"/>
      <c r="M205" s="534"/>
      <c r="N205" s="534"/>
      <c r="O205" s="534"/>
      <c r="P205" s="534"/>
      <c r="Q205" s="534"/>
      <c r="R205" s="534"/>
      <c r="S205" s="534"/>
      <c r="T205" s="534"/>
      <c r="U205" s="534"/>
      <c r="V205" s="534"/>
      <c r="W205" s="534"/>
      <c r="X205" s="534"/>
      <c r="Y205" s="534"/>
      <c r="Z205" s="534"/>
      <c r="AA205" s="534"/>
      <c r="AB205" s="534"/>
      <c r="AC205" s="534"/>
      <c r="AD205" s="534"/>
      <c r="AE205" s="534"/>
      <c r="AF205" s="534"/>
      <c r="AG205" s="534"/>
      <c r="AH205" s="534"/>
      <c r="AI205" s="534"/>
      <c r="AJ205" s="534"/>
      <c r="AK205" s="534"/>
      <c r="AL205" s="534"/>
      <c r="AM205" s="534"/>
      <c r="AN205" s="534"/>
      <c r="AO205" s="534"/>
      <c r="AP205" s="534"/>
      <c r="AQ205" s="534"/>
      <c r="AR205" s="534"/>
      <c r="AS205" s="534"/>
      <c r="AT205" s="534"/>
      <c r="AU205" s="534"/>
      <c r="AV205" s="534"/>
      <c r="AW205" s="534"/>
      <c r="AX205" s="534"/>
      <c r="AY205" s="534"/>
      <c r="AZ205" s="534"/>
      <c r="BA205" s="534"/>
      <c r="BB205" s="534"/>
      <c r="BC205" s="534"/>
      <c r="BD205" s="534"/>
      <c r="BE205" s="534"/>
      <c r="BF205" s="534"/>
      <c r="BG205" s="534"/>
      <c r="BH205" s="534"/>
      <c r="BI205" s="534"/>
      <c r="BJ205" s="534"/>
      <c r="BK205" s="534"/>
      <c r="BL205" s="534"/>
      <c r="BM205" s="534"/>
      <c r="BN205" s="534"/>
      <c r="BO205" s="534"/>
      <c r="BP205" s="534"/>
      <c r="BQ205" s="534"/>
      <c r="BR205" s="534"/>
      <c r="BS205" s="534"/>
      <c r="BT205" s="534"/>
      <c r="BU205" s="534"/>
      <c r="BV205" s="534"/>
      <c r="BW205" s="534"/>
      <c r="BX205" s="534"/>
      <c r="BY205" s="534"/>
      <c r="BZ205" s="534"/>
      <c r="CA205" s="534"/>
      <c r="CB205" s="534"/>
      <c r="CC205" s="3"/>
      <c r="CD205" s="3"/>
      <c r="CE205" s="100"/>
    </row>
    <row r="206" spans="1:83" ht="12.75" customHeight="1" x14ac:dyDescent="0.15">
      <c r="A206" s="109"/>
      <c r="B206" s="3"/>
      <c r="C206" s="3"/>
      <c r="D206" s="797" t="s">
        <v>403</v>
      </c>
      <c r="E206" s="797"/>
      <c r="F206" s="797"/>
      <c r="G206" s="797"/>
      <c r="H206" s="797"/>
      <c r="I206" s="728" t="s">
        <v>408</v>
      </c>
      <c r="J206" s="728"/>
      <c r="K206" s="728"/>
      <c r="L206" s="728"/>
      <c r="M206" s="728"/>
      <c r="N206" s="728"/>
      <c r="O206" s="728"/>
      <c r="P206" s="728"/>
      <c r="Q206" s="728"/>
      <c r="R206" s="728"/>
      <c r="S206" s="728"/>
      <c r="T206" s="728"/>
      <c r="U206" s="728"/>
      <c r="V206" s="728"/>
      <c r="W206" s="728"/>
      <c r="X206" s="728"/>
      <c r="Y206" s="728"/>
      <c r="Z206" s="728"/>
      <c r="AA206" s="728"/>
      <c r="AB206" s="728"/>
      <c r="AC206" s="728"/>
      <c r="AD206" s="728"/>
      <c r="AE206" s="728"/>
      <c r="AF206" s="728"/>
      <c r="AG206" s="728"/>
      <c r="AH206" s="728" t="s">
        <v>409</v>
      </c>
      <c r="AI206" s="728"/>
      <c r="AJ206" s="728"/>
      <c r="AK206" s="728"/>
      <c r="AL206" s="728"/>
      <c r="AM206" s="728"/>
      <c r="AN206" s="728"/>
      <c r="AO206" s="728"/>
      <c r="AP206" s="728"/>
      <c r="AQ206" s="728"/>
      <c r="AR206" s="728"/>
      <c r="AS206" s="728"/>
      <c r="AT206" s="728"/>
      <c r="AU206" s="728"/>
      <c r="AV206" s="728"/>
      <c r="AW206" s="728"/>
      <c r="AX206" s="728"/>
      <c r="AY206" s="728"/>
      <c r="AZ206" s="728"/>
      <c r="BA206" s="728"/>
      <c r="BB206" s="728"/>
      <c r="BC206" s="728"/>
      <c r="BD206" s="728"/>
      <c r="BE206" s="728"/>
      <c r="BF206" s="728"/>
      <c r="BG206" s="728"/>
      <c r="BH206" s="728"/>
      <c r="BI206" s="728"/>
      <c r="BJ206" s="728"/>
      <c r="BK206" s="728"/>
      <c r="BL206" s="728"/>
      <c r="BM206" s="728"/>
      <c r="BN206" s="728"/>
      <c r="BO206" s="728"/>
      <c r="BP206" s="728"/>
      <c r="BQ206" s="728"/>
      <c r="BR206" s="728"/>
      <c r="BS206" s="728"/>
      <c r="BT206" s="728"/>
      <c r="BU206" s="728"/>
      <c r="BV206" s="728"/>
      <c r="BW206" s="728"/>
      <c r="BX206" s="728"/>
      <c r="BY206" s="728"/>
      <c r="BZ206" s="728"/>
      <c r="CA206" s="728"/>
      <c r="CB206" s="728"/>
      <c r="CC206" s="3"/>
      <c r="CD206" s="3"/>
      <c r="CE206" s="100"/>
    </row>
    <row r="207" spans="1:83" ht="12.75" customHeight="1" x14ac:dyDescent="0.15">
      <c r="A207" s="109"/>
      <c r="B207" s="3"/>
      <c r="C207" s="3"/>
      <c r="D207" s="501" t="s">
        <v>414</v>
      </c>
      <c r="E207" s="502"/>
      <c r="F207" s="502"/>
      <c r="G207" s="502"/>
      <c r="H207" s="503"/>
      <c r="I207" s="742" t="s">
        <v>434</v>
      </c>
      <c r="J207" s="569"/>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70"/>
      <c r="AH207" s="769" t="s">
        <v>949</v>
      </c>
      <c r="AI207" s="770"/>
      <c r="AJ207" s="770"/>
      <c r="AK207" s="770"/>
      <c r="AL207" s="770"/>
      <c r="AM207" s="770"/>
      <c r="AN207" s="770"/>
      <c r="AO207" s="770"/>
      <c r="AP207" s="770"/>
      <c r="AQ207" s="770"/>
      <c r="AR207" s="770"/>
      <c r="AS207" s="770"/>
      <c r="AT207" s="770"/>
      <c r="AU207" s="770"/>
      <c r="AV207" s="770"/>
      <c r="AW207" s="770"/>
      <c r="AX207" s="770"/>
      <c r="AY207" s="770"/>
      <c r="AZ207" s="770"/>
      <c r="BA207" s="770"/>
      <c r="BB207" s="770"/>
      <c r="BC207" s="770"/>
      <c r="BD207" s="770"/>
      <c r="BE207" s="770"/>
      <c r="BF207" s="770"/>
      <c r="BG207" s="770"/>
      <c r="BH207" s="770"/>
      <c r="BI207" s="770"/>
      <c r="BJ207" s="770"/>
      <c r="BK207" s="770"/>
      <c r="BL207" s="770"/>
      <c r="BM207" s="770"/>
      <c r="BN207" s="770"/>
      <c r="BO207" s="770"/>
      <c r="BP207" s="770"/>
      <c r="BQ207" s="770"/>
      <c r="BR207" s="770"/>
      <c r="BS207" s="770"/>
      <c r="BT207" s="770"/>
      <c r="BU207" s="770"/>
      <c r="BV207" s="770"/>
      <c r="BW207" s="770"/>
      <c r="BX207" s="770"/>
      <c r="BY207" s="770"/>
      <c r="BZ207" s="770"/>
      <c r="CA207" s="770"/>
      <c r="CB207" s="771"/>
      <c r="CC207" s="3"/>
      <c r="CD207" s="3"/>
      <c r="CE207" s="100"/>
    </row>
    <row r="208" spans="1:83" ht="12.75" customHeight="1" x14ac:dyDescent="0.15">
      <c r="A208" s="109"/>
      <c r="B208" s="3"/>
      <c r="C208" s="3"/>
      <c r="D208" s="565"/>
      <c r="E208" s="566"/>
      <c r="F208" s="566"/>
      <c r="G208" s="566"/>
      <c r="H208" s="567"/>
      <c r="I208" s="743"/>
      <c r="J208" s="744"/>
      <c r="K208" s="744"/>
      <c r="L208" s="744"/>
      <c r="M208" s="744"/>
      <c r="N208" s="744"/>
      <c r="O208" s="744"/>
      <c r="P208" s="744"/>
      <c r="Q208" s="744"/>
      <c r="R208" s="744"/>
      <c r="S208" s="744"/>
      <c r="T208" s="744"/>
      <c r="U208" s="744"/>
      <c r="V208" s="744"/>
      <c r="W208" s="744"/>
      <c r="X208" s="744"/>
      <c r="Y208" s="744"/>
      <c r="Z208" s="744"/>
      <c r="AA208" s="744"/>
      <c r="AB208" s="744"/>
      <c r="AC208" s="744"/>
      <c r="AD208" s="744"/>
      <c r="AE208" s="744"/>
      <c r="AF208" s="744"/>
      <c r="AG208" s="745"/>
      <c r="AH208" s="772"/>
      <c r="AI208" s="773"/>
      <c r="AJ208" s="773"/>
      <c r="AK208" s="773"/>
      <c r="AL208" s="773"/>
      <c r="AM208" s="773"/>
      <c r="AN208" s="773"/>
      <c r="AO208" s="773"/>
      <c r="AP208" s="773"/>
      <c r="AQ208" s="773"/>
      <c r="AR208" s="773"/>
      <c r="AS208" s="773"/>
      <c r="AT208" s="773"/>
      <c r="AU208" s="773"/>
      <c r="AV208" s="773"/>
      <c r="AW208" s="773"/>
      <c r="AX208" s="773"/>
      <c r="AY208" s="773"/>
      <c r="AZ208" s="773"/>
      <c r="BA208" s="773"/>
      <c r="BB208" s="773"/>
      <c r="BC208" s="773"/>
      <c r="BD208" s="773"/>
      <c r="BE208" s="773"/>
      <c r="BF208" s="773"/>
      <c r="BG208" s="773"/>
      <c r="BH208" s="773"/>
      <c r="BI208" s="773"/>
      <c r="BJ208" s="773"/>
      <c r="BK208" s="773"/>
      <c r="BL208" s="773"/>
      <c r="BM208" s="773"/>
      <c r="BN208" s="773"/>
      <c r="BO208" s="773"/>
      <c r="BP208" s="773"/>
      <c r="BQ208" s="773"/>
      <c r="BR208" s="773"/>
      <c r="BS208" s="773"/>
      <c r="BT208" s="773"/>
      <c r="BU208" s="773"/>
      <c r="BV208" s="773"/>
      <c r="BW208" s="773"/>
      <c r="BX208" s="773"/>
      <c r="BY208" s="773"/>
      <c r="BZ208" s="773"/>
      <c r="CA208" s="773"/>
      <c r="CB208" s="774"/>
      <c r="CC208" s="3"/>
      <c r="CD208" s="3"/>
      <c r="CE208" s="100"/>
    </row>
    <row r="209" spans="1:83" ht="12.75" customHeight="1" x14ac:dyDescent="0.15">
      <c r="A209" s="109"/>
      <c r="B209" s="3"/>
      <c r="C209" s="3"/>
      <c r="D209" s="565"/>
      <c r="E209" s="566"/>
      <c r="F209" s="566"/>
      <c r="G209" s="566"/>
      <c r="H209" s="567"/>
      <c r="I209" s="743"/>
      <c r="J209" s="744"/>
      <c r="K209" s="744"/>
      <c r="L209" s="744"/>
      <c r="M209" s="744"/>
      <c r="N209" s="744"/>
      <c r="O209" s="744"/>
      <c r="P209" s="744"/>
      <c r="Q209" s="744"/>
      <c r="R209" s="744"/>
      <c r="S209" s="744"/>
      <c r="T209" s="744"/>
      <c r="U209" s="744"/>
      <c r="V209" s="744"/>
      <c r="W209" s="744"/>
      <c r="X209" s="744"/>
      <c r="Y209" s="744"/>
      <c r="Z209" s="744"/>
      <c r="AA209" s="744"/>
      <c r="AB209" s="744"/>
      <c r="AC209" s="744"/>
      <c r="AD209" s="744"/>
      <c r="AE209" s="744"/>
      <c r="AF209" s="744"/>
      <c r="AG209" s="745"/>
      <c r="AH209" s="772"/>
      <c r="AI209" s="773"/>
      <c r="AJ209" s="773"/>
      <c r="AK209" s="773"/>
      <c r="AL209" s="773"/>
      <c r="AM209" s="773"/>
      <c r="AN209" s="773"/>
      <c r="AO209" s="773"/>
      <c r="AP209" s="773"/>
      <c r="AQ209" s="773"/>
      <c r="AR209" s="773"/>
      <c r="AS209" s="773"/>
      <c r="AT209" s="773"/>
      <c r="AU209" s="773"/>
      <c r="AV209" s="773"/>
      <c r="AW209" s="773"/>
      <c r="AX209" s="773"/>
      <c r="AY209" s="773"/>
      <c r="AZ209" s="773"/>
      <c r="BA209" s="773"/>
      <c r="BB209" s="773"/>
      <c r="BC209" s="773"/>
      <c r="BD209" s="773"/>
      <c r="BE209" s="773"/>
      <c r="BF209" s="773"/>
      <c r="BG209" s="773"/>
      <c r="BH209" s="773"/>
      <c r="BI209" s="773"/>
      <c r="BJ209" s="773"/>
      <c r="BK209" s="773"/>
      <c r="BL209" s="773"/>
      <c r="BM209" s="773"/>
      <c r="BN209" s="773"/>
      <c r="BO209" s="773"/>
      <c r="BP209" s="773"/>
      <c r="BQ209" s="773"/>
      <c r="BR209" s="773"/>
      <c r="BS209" s="773"/>
      <c r="BT209" s="773"/>
      <c r="BU209" s="773"/>
      <c r="BV209" s="773"/>
      <c r="BW209" s="773"/>
      <c r="BX209" s="773"/>
      <c r="BY209" s="773"/>
      <c r="BZ209" s="773"/>
      <c r="CA209" s="773"/>
      <c r="CB209" s="774"/>
      <c r="CC209" s="3"/>
      <c r="CD209" s="3"/>
      <c r="CE209" s="100"/>
    </row>
    <row r="210" spans="1:83" ht="12.75" customHeight="1" x14ac:dyDescent="0.15">
      <c r="A210" s="109"/>
      <c r="B210" s="3"/>
      <c r="C210" s="3"/>
      <c r="D210" s="565"/>
      <c r="E210" s="566"/>
      <c r="F210" s="566"/>
      <c r="G210" s="566"/>
      <c r="H210" s="567"/>
      <c r="I210" s="743"/>
      <c r="J210" s="744"/>
      <c r="K210" s="744"/>
      <c r="L210" s="744"/>
      <c r="M210" s="744"/>
      <c r="N210" s="744"/>
      <c r="O210" s="744"/>
      <c r="P210" s="744"/>
      <c r="Q210" s="744"/>
      <c r="R210" s="744"/>
      <c r="S210" s="744"/>
      <c r="T210" s="744"/>
      <c r="U210" s="744"/>
      <c r="V210" s="744"/>
      <c r="W210" s="744"/>
      <c r="X210" s="744"/>
      <c r="Y210" s="744"/>
      <c r="Z210" s="744"/>
      <c r="AA210" s="744"/>
      <c r="AB210" s="744"/>
      <c r="AC210" s="744"/>
      <c r="AD210" s="744"/>
      <c r="AE210" s="744"/>
      <c r="AF210" s="744"/>
      <c r="AG210" s="745"/>
      <c r="AH210" s="772"/>
      <c r="AI210" s="773"/>
      <c r="AJ210" s="773"/>
      <c r="AK210" s="773"/>
      <c r="AL210" s="773"/>
      <c r="AM210" s="773"/>
      <c r="AN210" s="773"/>
      <c r="AO210" s="773"/>
      <c r="AP210" s="773"/>
      <c r="AQ210" s="773"/>
      <c r="AR210" s="773"/>
      <c r="AS210" s="773"/>
      <c r="AT210" s="773"/>
      <c r="AU210" s="773"/>
      <c r="AV210" s="773"/>
      <c r="AW210" s="773"/>
      <c r="AX210" s="773"/>
      <c r="AY210" s="773"/>
      <c r="AZ210" s="773"/>
      <c r="BA210" s="773"/>
      <c r="BB210" s="773"/>
      <c r="BC210" s="773"/>
      <c r="BD210" s="773"/>
      <c r="BE210" s="773"/>
      <c r="BF210" s="773"/>
      <c r="BG210" s="773"/>
      <c r="BH210" s="773"/>
      <c r="BI210" s="773"/>
      <c r="BJ210" s="773"/>
      <c r="BK210" s="773"/>
      <c r="BL210" s="773"/>
      <c r="BM210" s="773"/>
      <c r="BN210" s="773"/>
      <c r="BO210" s="773"/>
      <c r="BP210" s="773"/>
      <c r="BQ210" s="773"/>
      <c r="BR210" s="773"/>
      <c r="BS210" s="773"/>
      <c r="BT210" s="773"/>
      <c r="BU210" s="773"/>
      <c r="BV210" s="773"/>
      <c r="BW210" s="773"/>
      <c r="BX210" s="773"/>
      <c r="BY210" s="773"/>
      <c r="BZ210" s="773"/>
      <c r="CA210" s="773"/>
      <c r="CB210" s="774"/>
      <c r="CC210" s="3"/>
      <c r="CD210" s="3"/>
      <c r="CE210" s="100"/>
    </row>
    <row r="211" spans="1:83" ht="12.75" customHeight="1" x14ac:dyDescent="0.15">
      <c r="A211" s="109"/>
      <c r="B211" s="3"/>
      <c r="C211" s="3"/>
      <c r="D211" s="565"/>
      <c r="E211" s="566"/>
      <c r="F211" s="566"/>
      <c r="G211" s="566"/>
      <c r="H211" s="567"/>
      <c r="I211" s="743"/>
      <c r="J211" s="744"/>
      <c r="K211" s="744"/>
      <c r="L211" s="744"/>
      <c r="M211" s="744"/>
      <c r="N211" s="744"/>
      <c r="O211" s="744"/>
      <c r="P211" s="744"/>
      <c r="Q211" s="744"/>
      <c r="R211" s="744"/>
      <c r="S211" s="744"/>
      <c r="T211" s="744"/>
      <c r="U211" s="744"/>
      <c r="V211" s="744"/>
      <c r="W211" s="744"/>
      <c r="X211" s="744"/>
      <c r="Y211" s="744"/>
      <c r="Z211" s="744"/>
      <c r="AA211" s="744"/>
      <c r="AB211" s="744"/>
      <c r="AC211" s="744"/>
      <c r="AD211" s="744"/>
      <c r="AE211" s="744"/>
      <c r="AF211" s="744"/>
      <c r="AG211" s="745"/>
      <c r="AH211" s="772"/>
      <c r="AI211" s="773"/>
      <c r="AJ211" s="773"/>
      <c r="AK211" s="773"/>
      <c r="AL211" s="773"/>
      <c r="AM211" s="773"/>
      <c r="AN211" s="773"/>
      <c r="AO211" s="773"/>
      <c r="AP211" s="773"/>
      <c r="AQ211" s="773"/>
      <c r="AR211" s="773"/>
      <c r="AS211" s="773"/>
      <c r="AT211" s="773"/>
      <c r="AU211" s="773"/>
      <c r="AV211" s="773"/>
      <c r="AW211" s="773"/>
      <c r="AX211" s="773"/>
      <c r="AY211" s="773"/>
      <c r="AZ211" s="773"/>
      <c r="BA211" s="773"/>
      <c r="BB211" s="773"/>
      <c r="BC211" s="773"/>
      <c r="BD211" s="773"/>
      <c r="BE211" s="773"/>
      <c r="BF211" s="773"/>
      <c r="BG211" s="773"/>
      <c r="BH211" s="773"/>
      <c r="BI211" s="773"/>
      <c r="BJ211" s="773"/>
      <c r="BK211" s="773"/>
      <c r="BL211" s="773"/>
      <c r="BM211" s="773"/>
      <c r="BN211" s="773"/>
      <c r="BO211" s="773"/>
      <c r="BP211" s="773"/>
      <c r="BQ211" s="773"/>
      <c r="BR211" s="773"/>
      <c r="BS211" s="773"/>
      <c r="BT211" s="773"/>
      <c r="BU211" s="773"/>
      <c r="BV211" s="773"/>
      <c r="BW211" s="773"/>
      <c r="BX211" s="773"/>
      <c r="BY211" s="773"/>
      <c r="BZ211" s="773"/>
      <c r="CA211" s="773"/>
      <c r="CB211" s="774"/>
      <c r="CC211" s="3"/>
      <c r="CD211" s="3"/>
      <c r="CE211" s="100"/>
    </row>
    <row r="212" spans="1:83" ht="12.75" customHeight="1" x14ac:dyDescent="0.15">
      <c r="A212" s="109"/>
      <c r="B212" s="3"/>
      <c r="C212" s="3"/>
      <c r="D212" s="565"/>
      <c r="E212" s="566"/>
      <c r="F212" s="566"/>
      <c r="G212" s="566"/>
      <c r="H212" s="567"/>
      <c r="I212" s="743"/>
      <c r="J212" s="744"/>
      <c r="K212" s="744"/>
      <c r="L212" s="744"/>
      <c r="M212" s="744"/>
      <c r="N212" s="744"/>
      <c r="O212" s="744"/>
      <c r="P212" s="744"/>
      <c r="Q212" s="744"/>
      <c r="R212" s="744"/>
      <c r="S212" s="744"/>
      <c r="T212" s="744"/>
      <c r="U212" s="744"/>
      <c r="V212" s="744"/>
      <c r="W212" s="744"/>
      <c r="X212" s="744"/>
      <c r="Y212" s="744"/>
      <c r="Z212" s="744"/>
      <c r="AA212" s="744"/>
      <c r="AB212" s="744"/>
      <c r="AC212" s="744"/>
      <c r="AD212" s="744"/>
      <c r="AE212" s="744"/>
      <c r="AF212" s="744"/>
      <c r="AG212" s="745"/>
      <c r="AH212" s="772"/>
      <c r="AI212" s="773"/>
      <c r="AJ212" s="773"/>
      <c r="AK212" s="773"/>
      <c r="AL212" s="773"/>
      <c r="AM212" s="773"/>
      <c r="AN212" s="773"/>
      <c r="AO212" s="773"/>
      <c r="AP212" s="773"/>
      <c r="AQ212" s="773"/>
      <c r="AR212" s="773"/>
      <c r="AS212" s="773"/>
      <c r="AT212" s="773"/>
      <c r="AU212" s="773"/>
      <c r="AV212" s="773"/>
      <c r="AW212" s="773"/>
      <c r="AX212" s="773"/>
      <c r="AY212" s="773"/>
      <c r="AZ212" s="773"/>
      <c r="BA212" s="773"/>
      <c r="BB212" s="773"/>
      <c r="BC212" s="773"/>
      <c r="BD212" s="773"/>
      <c r="BE212" s="773"/>
      <c r="BF212" s="773"/>
      <c r="BG212" s="773"/>
      <c r="BH212" s="773"/>
      <c r="BI212" s="773"/>
      <c r="BJ212" s="773"/>
      <c r="BK212" s="773"/>
      <c r="BL212" s="773"/>
      <c r="BM212" s="773"/>
      <c r="BN212" s="773"/>
      <c r="BO212" s="773"/>
      <c r="BP212" s="773"/>
      <c r="BQ212" s="773"/>
      <c r="BR212" s="773"/>
      <c r="BS212" s="773"/>
      <c r="BT212" s="773"/>
      <c r="BU212" s="773"/>
      <c r="BV212" s="773"/>
      <c r="BW212" s="773"/>
      <c r="BX212" s="773"/>
      <c r="BY212" s="773"/>
      <c r="BZ212" s="773"/>
      <c r="CA212" s="773"/>
      <c r="CB212" s="774"/>
      <c r="CC212" s="3"/>
      <c r="CD212" s="3"/>
      <c r="CE212" s="100"/>
    </row>
    <row r="213" spans="1:83" ht="12.75" customHeight="1" x14ac:dyDescent="0.15">
      <c r="A213" s="109"/>
      <c r="B213" s="3"/>
      <c r="C213" s="3"/>
      <c r="D213" s="565"/>
      <c r="E213" s="566"/>
      <c r="F213" s="566"/>
      <c r="G213" s="566"/>
      <c r="H213" s="567"/>
      <c r="I213" s="743"/>
      <c r="J213" s="744"/>
      <c r="K213" s="744"/>
      <c r="L213" s="744"/>
      <c r="M213" s="744"/>
      <c r="N213" s="744"/>
      <c r="O213" s="744"/>
      <c r="P213" s="744"/>
      <c r="Q213" s="744"/>
      <c r="R213" s="744"/>
      <c r="S213" s="744"/>
      <c r="T213" s="744"/>
      <c r="U213" s="744"/>
      <c r="V213" s="744"/>
      <c r="W213" s="744"/>
      <c r="X213" s="744"/>
      <c r="Y213" s="744"/>
      <c r="Z213" s="744"/>
      <c r="AA213" s="744"/>
      <c r="AB213" s="744"/>
      <c r="AC213" s="744"/>
      <c r="AD213" s="744"/>
      <c r="AE213" s="744"/>
      <c r="AF213" s="744"/>
      <c r="AG213" s="745"/>
      <c r="AH213" s="772"/>
      <c r="AI213" s="773"/>
      <c r="AJ213" s="773"/>
      <c r="AK213" s="773"/>
      <c r="AL213" s="773"/>
      <c r="AM213" s="773"/>
      <c r="AN213" s="773"/>
      <c r="AO213" s="773"/>
      <c r="AP213" s="773"/>
      <c r="AQ213" s="773"/>
      <c r="AR213" s="773"/>
      <c r="AS213" s="773"/>
      <c r="AT213" s="773"/>
      <c r="AU213" s="773"/>
      <c r="AV213" s="773"/>
      <c r="AW213" s="773"/>
      <c r="AX213" s="773"/>
      <c r="AY213" s="773"/>
      <c r="AZ213" s="773"/>
      <c r="BA213" s="773"/>
      <c r="BB213" s="773"/>
      <c r="BC213" s="773"/>
      <c r="BD213" s="773"/>
      <c r="BE213" s="773"/>
      <c r="BF213" s="773"/>
      <c r="BG213" s="773"/>
      <c r="BH213" s="773"/>
      <c r="BI213" s="773"/>
      <c r="BJ213" s="773"/>
      <c r="BK213" s="773"/>
      <c r="BL213" s="773"/>
      <c r="BM213" s="773"/>
      <c r="BN213" s="773"/>
      <c r="BO213" s="773"/>
      <c r="BP213" s="773"/>
      <c r="BQ213" s="773"/>
      <c r="BR213" s="773"/>
      <c r="BS213" s="773"/>
      <c r="BT213" s="773"/>
      <c r="BU213" s="773"/>
      <c r="BV213" s="773"/>
      <c r="BW213" s="773"/>
      <c r="BX213" s="773"/>
      <c r="BY213" s="773"/>
      <c r="BZ213" s="773"/>
      <c r="CA213" s="773"/>
      <c r="CB213" s="774"/>
      <c r="CC213" s="3"/>
      <c r="CD213" s="3"/>
      <c r="CE213" s="100"/>
    </row>
    <row r="214" spans="1:83" ht="12.75" customHeight="1" x14ac:dyDescent="0.15">
      <c r="A214" s="109"/>
      <c r="B214" s="3"/>
      <c r="C214" s="3"/>
      <c r="D214" s="565"/>
      <c r="E214" s="566"/>
      <c r="F214" s="566"/>
      <c r="G214" s="566"/>
      <c r="H214" s="567"/>
      <c r="I214" s="743"/>
      <c r="J214" s="744"/>
      <c r="K214" s="744"/>
      <c r="L214" s="744"/>
      <c r="M214" s="744"/>
      <c r="N214" s="744"/>
      <c r="O214" s="744"/>
      <c r="P214" s="744"/>
      <c r="Q214" s="744"/>
      <c r="R214" s="744"/>
      <c r="S214" s="744"/>
      <c r="T214" s="744"/>
      <c r="U214" s="744"/>
      <c r="V214" s="744"/>
      <c r="W214" s="744"/>
      <c r="X214" s="744"/>
      <c r="Y214" s="744"/>
      <c r="Z214" s="744"/>
      <c r="AA214" s="744"/>
      <c r="AB214" s="744"/>
      <c r="AC214" s="744"/>
      <c r="AD214" s="744"/>
      <c r="AE214" s="744"/>
      <c r="AF214" s="744"/>
      <c r="AG214" s="745"/>
      <c r="AH214" s="772"/>
      <c r="AI214" s="773"/>
      <c r="AJ214" s="773"/>
      <c r="AK214" s="773"/>
      <c r="AL214" s="773"/>
      <c r="AM214" s="773"/>
      <c r="AN214" s="773"/>
      <c r="AO214" s="773"/>
      <c r="AP214" s="773"/>
      <c r="AQ214" s="773"/>
      <c r="AR214" s="773"/>
      <c r="AS214" s="773"/>
      <c r="AT214" s="773"/>
      <c r="AU214" s="773"/>
      <c r="AV214" s="773"/>
      <c r="AW214" s="773"/>
      <c r="AX214" s="773"/>
      <c r="AY214" s="773"/>
      <c r="AZ214" s="773"/>
      <c r="BA214" s="773"/>
      <c r="BB214" s="773"/>
      <c r="BC214" s="773"/>
      <c r="BD214" s="773"/>
      <c r="BE214" s="773"/>
      <c r="BF214" s="773"/>
      <c r="BG214" s="773"/>
      <c r="BH214" s="773"/>
      <c r="BI214" s="773"/>
      <c r="BJ214" s="773"/>
      <c r="BK214" s="773"/>
      <c r="BL214" s="773"/>
      <c r="BM214" s="773"/>
      <c r="BN214" s="773"/>
      <c r="BO214" s="773"/>
      <c r="BP214" s="773"/>
      <c r="BQ214" s="773"/>
      <c r="BR214" s="773"/>
      <c r="BS214" s="773"/>
      <c r="BT214" s="773"/>
      <c r="BU214" s="773"/>
      <c r="BV214" s="773"/>
      <c r="BW214" s="773"/>
      <c r="BX214" s="773"/>
      <c r="BY214" s="773"/>
      <c r="BZ214" s="773"/>
      <c r="CA214" s="773"/>
      <c r="CB214" s="774"/>
      <c r="CC214" s="3"/>
      <c r="CD214" s="3"/>
      <c r="CE214" s="100"/>
    </row>
    <row r="215" spans="1:83" x14ac:dyDescent="0.15">
      <c r="A215" s="109"/>
      <c r="B215" s="3"/>
      <c r="C215" s="3"/>
      <c r="D215" s="565"/>
      <c r="E215" s="566"/>
      <c r="F215" s="566"/>
      <c r="G215" s="566"/>
      <c r="H215" s="567"/>
      <c r="I215" s="743"/>
      <c r="J215" s="744"/>
      <c r="K215" s="744"/>
      <c r="L215" s="744"/>
      <c r="M215" s="744"/>
      <c r="N215" s="744"/>
      <c r="O215" s="744"/>
      <c r="P215" s="744"/>
      <c r="Q215" s="744"/>
      <c r="R215" s="744"/>
      <c r="S215" s="744"/>
      <c r="T215" s="744"/>
      <c r="U215" s="744"/>
      <c r="V215" s="744"/>
      <c r="W215" s="744"/>
      <c r="X215" s="744"/>
      <c r="Y215" s="744"/>
      <c r="Z215" s="744"/>
      <c r="AA215" s="744"/>
      <c r="AB215" s="744"/>
      <c r="AC215" s="744"/>
      <c r="AD215" s="744"/>
      <c r="AE215" s="744"/>
      <c r="AF215" s="744"/>
      <c r="AG215" s="745"/>
      <c r="AH215" s="772"/>
      <c r="AI215" s="773"/>
      <c r="AJ215" s="773"/>
      <c r="AK215" s="773"/>
      <c r="AL215" s="773"/>
      <c r="AM215" s="773"/>
      <c r="AN215" s="773"/>
      <c r="AO215" s="773"/>
      <c r="AP215" s="773"/>
      <c r="AQ215" s="773"/>
      <c r="AR215" s="773"/>
      <c r="AS215" s="773"/>
      <c r="AT215" s="773"/>
      <c r="AU215" s="773"/>
      <c r="AV215" s="773"/>
      <c r="AW215" s="773"/>
      <c r="AX215" s="773"/>
      <c r="AY215" s="773"/>
      <c r="AZ215" s="773"/>
      <c r="BA215" s="773"/>
      <c r="BB215" s="773"/>
      <c r="BC215" s="773"/>
      <c r="BD215" s="773"/>
      <c r="BE215" s="773"/>
      <c r="BF215" s="773"/>
      <c r="BG215" s="773"/>
      <c r="BH215" s="773"/>
      <c r="BI215" s="773"/>
      <c r="BJ215" s="773"/>
      <c r="BK215" s="773"/>
      <c r="BL215" s="773"/>
      <c r="BM215" s="773"/>
      <c r="BN215" s="773"/>
      <c r="BO215" s="773"/>
      <c r="BP215" s="773"/>
      <c r="BQ215" s="773"/>
      <c r="BR215" s="773"/>
      <c r="BS215" s="773"/>
      <c r="BT215" s="773"/>
      <c r="BU215" s="773"/>
      <c r="BV215" s="773"/>
      <c r="BW215" s="773"/>
      <c r="BX215" s="773"/>
      <c r="BY215" s="773"/>
      <c r="BZ215" s="773"/>
      <c r="CA215" s="773"/>
      <c r="CB215" s="774"/>
      <c r="CC215" s="3"/>
      <c r="CD215" s="3"/>
      <c r="CE215" s="100"/>
    </row>
    <row r="216" spans="1:83" x14ac:dyDescent="0.15">
      <c r="A216" s="109"/>
      <c r="B216" s="3"/>
      <c r="C216" s="3"/>
      <c r="D216" s="544"/>
      <c r="E216" s="545"/>
      <c r="F216" s="545"/>
      <c r="G216" s="545"/>
      <c r="H216" s="546"/>
      <c r="I216" s="746"/>
      <c r="J216" s="747"/>
      <c r="K216" s="747"/>
      <c r="L216" s="747"/>
      <c r="M216" s="747"/>
      <c r="N216" s="747"/>
      <c r="O216" s="747"/>
      <c r="P216" s="747"/>
      <c r="Q216" s="747"/>
      <c r="R216" s="747"/>
      <c r="S216" s="747"/>
      <c r="T216" s="747"/>
      <c r="U216" s="747"/>
      <c r="V216" s="747"/>
      <c r="W216" s="747"/>
      <c r="X216" s="747"/>
      <c r="Y216" s="747"/>
      <c r="Z216" s="747"/>
      <c r="AA216" s="747"/>
      <c r="AB216" s="747"/>
      <c r="AC216" s="747"/>
      <c r="AD216" s="747"/>
      <c r="AE216" s="747"/>
      <c r="AF216" s="747"/>
      <c r="AG216" s="748"/>
      <c r="AH216" s="775"/>
      <c r="AI216" s="776"/>
      <c r="AJ216" s="776"/>
      <c r="AK216" s="776"/>
      <c r="AL216" s="776"/>
      <c r="AM216" s="776"/>
      <c r="AN216" s="776"/>
      <c r="AO216" s="776"/>
      <c r="AP216" s="776"/>
      <c r="AQ216" s="776"/>
      <c r="AR216" s="776"/>
      <c r="AS216" s="776"/>
      <c r="AT216" s="776"/>
      <c r="AU216" s="776"/>
      <c r="AV216" s="776"/>
      <c r="AW216" s="776"/>
      <c r="AX216" s="776"/>
      <c r="AY216" s="776"/>
      <c r="AZ216" s="776"/>
      <c r="BA216" s="776"/>
      <c r="BB216" s="776"/>
      <c r="BC216" s="776"/>
      <c r="BD216" s="776"/>
      <c r="BE216" s="776"/>
      <c r="BF216" s="776"/>
      <c r="BG216" s="776"/>
      <c r="BH216" s="776"/>
      <c r="BI216" s="776"/>
      <c r="BJ216" s="776"/>
      <c r="BK216" s="776"/>
      <c r="BL216" s="776"/>
      <c r="BM216" s="776"/>
      <c r="BN216" s="776"/>
      <c r="BO216" s="776"/>
      <c r="BP216" s="776"/>
      <c r="BQ216" s="776"/>
      <c r="BR216" s="776"/>
      <c r="BS216" s="776"/>
      <c r="BT216" s="776"/>
      <c r="BU216" s="776"/>
      <c r="BV216" s="776"/>
      <c r="BW216" s="776"/>
      <c r="BX216" s="776"/>
      <c r="BY216" s="776"/>
      <c r="BZ216" s="776"/>
      <c r="CA216" s="776"/>
      <c r="CB216" s="777"/>
      <c r="CC216" s="3"/>
      <c r="CD216" s="3"/>
      <c r="CE216" s="100"/>
    </row>
    <row r="217" spans="1:83" ht="12.75" customHeight="1" x14ac:dyDescent="0.15">
      <c r="A217" s="109"/>
      <c r="B217" s="3"/>
      <c r="C217" s="3"/>
      <c r="D217" s="501" t="s">
        <v>432</v>
      </c>
      <c r="E217" s="502"/>
      <c r="F217" s="502"/>
      <c r="G217" s="502"/>
      <c r="H217" s="503"/>
      <c r="I217" s="742" t="s">
        <v>439</v>
      </c>
      <c r="J217" s="569"/>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70"/>
      <c r="AH217" s="599" t="s">
        <v>433</v>
      </c>
      <c r="AI217" s="778"/>
      <c r="AJ217" s="778"/>
      <c r="AK217" s="778"/>
      <c r="AL217" s="778"/>
      <c r="AM217" s="778"/>
      <c r="AN217" s="778"/>
      <c r="AO217" s="778"/>
      <c r="AP217" s="778"/>
      <c r="AQ217" s="778"/>
      <c r="AR217" s="778"/>
      <c r="AS217" s="778"/>
      <c r="AT217" s="778"/>
      <c r="AU217" s="778"/>
      <c r="AV217" s="778"/>
      <c r="AW217" s="778"/>
      <c r="AX217" s="778"/>
      <c r="AY217" s="778"/>
      <c r="AZ217" s="778"/>
      <c r="BA217" s="778"/>
      <c r="BB217" s="778"/>
      <c r="BC217" s="778"/>
      <c r="BD217" s="778"/>
      <c r="BE217" s="778"/>
      <c r="BF217" s="778"/>
      <c r="BG217" s="778"/>
      <c r="BH217" s="778"/>
      <c r="BI217" s="778"/>
      <c r="BJ217" s="778"/>
      <c r="BK217" s="778"/>
      <c r="BL217" s="778"/>
      <c r="BM217" s="778"/>
      <c r="BN217" s="778"/>
      <c r="BO217" s="778"/>
      <c r="BP217" s="778"/>
      <c r="BQ217" s="778"/>
      <c r="BR217" s="778"/>
      <c r="BS217" s="778"/>
      <c r="BT217" s="778"/>
      <c r="BU217" s="778"/>
      <c r="BV217" s="778"/>
      <c r="BW217" s="778"/>
      <c r="BX217" s="778"/>
      <c r="BY217" s="778"/>
      <c r="BZ217" s="778"/>
      <c r="CA217" s="778"/>
      <c r="CB217" s="779"/>
      <c r="CC217" s="3"/>
      <c r="CD217" s="3"/>
      <c r="CE217" s="100"/>
    </row>
    <row r="218" spans="1:83" ht="12.75" customHeight="1" x14ac:dyDescent="0.15">
      <c r="A218" s="109"/>
      <c r="B218" s="3"/>
      <c r="C218" s="3"/>
      <c r="D218" s="501" t="s">
        <v>411</v>
      </c>
      <c r="E218" s="502"/>
      <c r="F218" s="502"/>
      <c r="G218" s="502"/>
      <c r="H218" s="503"/>
      <c r="I218" s="568" t="s">
        <v>412</v>
      </c>
      <c r="J218" s="569"/>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70"/>
      <c r="AH218" s="577" t="s">
        <v>413</v>
      </c>
      <c r="AI218" s="578"/>
      <c r="AJ218" s="578"/>
      <c r="AK218" s="578"/>
      <c r="AL218" s="578"/>
      <c r="AM218" s="578"/>
      <c r="AN218" s="578"/>
      <c r="AO218" s="578"/>
      <c r="AP218" s="578"/>
      <c r="AQ218" s="578"/>
      <c r="AR218" s="578"/>
      <c r="AS218" s="578"/>
      <c r="AT218" s="578"/>
      <c r="AU218" s="578"/>
      <c r="AV218" s="578"/>
      <c r="AW218" s="578"/>
      <c r="AX218" s="578"/>
      <c r="AY218" s="578"/>
      <c r="AZ218" s="578"/>
      <c r="BA218" s="578"/>
      <c r="BB218" s="578"/>
      <c r="BC218" s="578"/>
      <c r="BD218" s="578"/>
      <c r="BE218" s="578"/>
      <c r="BF218" s="578"/>
      <c r="BG218" s="578"/>
      <c r="BH218" s="578"/>
      <c r="BI218" s="578"/>
      <c r="BJ218" s="578"/>
      <c r="BK218" s="578"/>
      <c r="BL218" s="578"/>
      <c r="BM218" s="578"/>
      <c r="BN218" s="578"/>
      <c r="BO218" s="578"/>
      <c r="BP218" s="578"/>
      <c r="BQ218" s="578"/>
      <c r="BR218" s="578"/>
      <c r="BS218" s="578"/>
      <c r="BT218" s="578"/>
      <c r="BU218" s="578"/>
      <c r="BV218" s="578"/>
      <c r="BW218" s="578"/>
      <c r="BX218" s="578"/>
      <c r="BY218" s="578"/>
      <c r="BZ218" s="578"/>
      <c r="CA218" s="578"/>
      <c r="CB218" s="579"/>
      <c r="CC218" s="3"/>
      <c r="CD218" s="3"/>
      <c r="CE218" s="100"/>
    </row>
    <row r="219" spans="1:83" ht="12.75" customHeight="1" x14ac:dyDescent="0.15">
      <c r="A219" s="109"/>
      <c r="B219" s="3"/>
      <c r="C219" s="3"/>
      <c r="D219" s="565"/>
      <c r="E219" s="566"/>
      <c r="F219" s="566"/>
      <c r="G219" s="566"/>
      <c r="H219" s="567"/>
      <c r="I219" s="743"/>
      <c r="J219" s="744"/>
      <c r="K219" s="744"/>
      <c r="L219" s="744"/>
      <c r="M219" s="744"/>
      <c r="N219" s="744"/>
      <c r="O219" s="744"/>
      <c r="P219" s="744"/>
      <c r="Q219" s="744"/>
      <c r="R219" s="744"/>
      <c r="S219" s="744"/>
      <c r="T219" s="744"/>
      <c r="U219" s="744"/>
      <c r="V219" s="744"/>
      <c r="W219" s="744"/>
      <c r="X219" s="744"/>
      <c r="Y219" s="744"/>
      <c r="Z219" s="744"/>
      <c r="AA219" s="744"/>
      <c r="AB219" s="744"/>
      <c r="AC219" s="744"/>
      <c r="AD219" s="744"/>
      <c r="AE219" s="744"/>
      <c r="AF219" s="744"/>
      <c r="AG219" s="745"/>
      <c r="AH219" s="788"/>
      <c r="AI219" s="789"/>
      <c r="AJ219" s="789"/>
      <c r="AK219" s="789"/>
      <c r="AL219" s="789"/>
      <c r="AM219" s="789"/>
      <c r="AN219" s="789"/>
      <c r="AO219" s="789"/>
      <c r="AP219" s="789"/>
      <c r="AQ219" s="789"/>
      <c r="AR219" s="789"/>
      <c r="AS219" s="789"/>
      <c r="AT219" s="789"/>
      <c r="AU219" s="789"/>
      <c r="AV219" s="789"/>
      <c r="AW219" s="789"/>
      <c r="AX219" s="789"/>
      <c r="AY219" s="789"/>
      <c r="AZ219" s="789"/>
      <c r="BA219" s="789"/>
      <c r="BB219" s="789"/>
      <c r="BC219" s="789"/>
      <c r="BD219" s="789"/>
      <c r="BE219" s="789"/>
      <c r="BF219" s="789"/>
      <c r="BG219" s="789"/>
      <c r="BH219" s="789"/>
      <c r="BI219" s="789"/>
      <c r="BJ219" s="789"/>
      <c r="BK219" s="789"/>
      <c r="BL219" s="789"/>
      <c r="BM219" s="789"/>
      <c r="BN219" s="789"/>
      <c r="BO219" s="789"/>
      <c r="BP219" s="789"/>
      <c r="BQ219" s="789"/>
      <c r="BR219" s="789"/>
      <c r="BS219" s="789"/>
      <c r="BT219" s="789"/>
      <c r="BU219" s="789"/>
      <c r="BV219" s="789"/>
      <c r="BW219" s="789"/>
      <c r="BX219" s="789"/>
      <c r="BY219" s="789"/>
      <c r="BZ219" s="789"/>
      <c r="CA219" s="789"/>
      <c r="CB219" s="790"/>
      <c r="CC219" s="3"/>
      <c r="CD219" s="3"/>
      <c r="CE219" s="100"/>
    </row>
    <row r="220" spans="1:83" x14ac:dyDescent="0.15">
      <c r="A220" s="109"/>
      <c r="B220" s="3"/>
      <c r="C220" s="3"/>
      <c r="D220" s="544"/>
      <c r="E220" s="545"/>
      <c r="F220" s="545"/>
      <c r="G220" s="545"/>
      <c r="H220" s="546"/>
      <c r="I220" s="746"/>
      <c r="J220" s="747"/>
      <c r="K220" s="747"/>
      <c r="L220" s="747"/>
      <c r="M220" s="747"/>
      <c r="N220" s="747"/>
      <c r="O220" s="747"/>
      <c r="P220" s="747"/>
      <c r="Q220" s="747"/>
      <c r="R220" s="747"/>
      <c r="S220" s="747"/>
      <c r="T220" s="747"/>
      <c r="U220" s="747"/>
      <c r="V220" s="747"/>
      <c r="W220" s="747"/>
      <c r="X220" s="747"/>
      <c r="Y220" s="747"/>
      <c r="Z220" s="747"/>
      <c r="AA220" s="747"/>
      <c r="AB220" s="747"/>
      <c r="AC220" s="747"/>
      <c r="AD220" s="747"/>
      <c r="AE220" s="747"/>
      <c r="AF220" s="747"/>
      <c r="AG220" s="748"/>
      <c r="AH220" s="791"/>
      <c r="AI220" s="792"/>
      <c r="AJ220" s="792"/>
      <c r="AK220" s="792"/>
      <c r="AL220" s="792"/>
      <c r="AM220" s="792"/>
      <c r="AN220" s="792"/>
      <c r="AO220" s="792"/>
      <c r="AP220" s="792"/>
      <c r="AQ220" s="792"/>
      <c r="AR220" s="792"/>
      <c r="AS220" s="792"/>
      <c r="AT220" s="792"/>
      <c r="AU220" s="792"/>
      <c r="AV220" s="792"/>
      <c r="AW220" s="792"/>
      <c r="AX220" s="792"/>
      <c r="AY220" s="792"/>
      <c r="AZ220" s="792"/>
      <c r="BA220" s="792"/>
      <c r="BB220" s="792"/>
      <c r="BC220" s="792"/>
      <c r="BD220" s="792"/>
      <c r="BE220" s="792"/>
      <c r="BF220" s="792"/>
      <c r="BG220" s="792"/>
      <c r="BH220" s="792"/>
      <c r="BI220" s="792"/>
      <c r="BJ220" s="792"/>
      <c r="BK220" s="792"/>
      <c r="BL220" s="792"/>
      <c r="BM220" s="792"/>
      <c r="BN220" s="792"/>
      <c r="BO220" s="792"/>
      <c r="BP220" s="792"/>
      <c r="BQ220" s="792"/>
      <c r="BR220" s="792"/>
      <c r="BS220" s="792"/>
      <c r="BT220" s="792"/>
      <c r="BU220" s="792"/>
      <c r="BV220" s="792"/>
      <c r="BW220" s="792"/>
      <c r="BX220" s="792"/>
      <c r="BY220" s="792"/>
      <c r="BZ220" s="792"/>
      <c r="CA220" s="792"/>
      <c r="CB220" s="793"/>
      <c r="CC220" s="3"/>
      <c r="CD220" s="3"/>
      <c r="CE220" s="100"/>
    </row>
    <row r="221" spans="1:83" ht="13.5" x14ac:dyDescent="0.15">
      <c r="A221" s="109"/>
      <c r="B221" s="3"/>
      <c r="C221" s="3"/>
      <c r="D221" s="593" t="s">
        <v>420</v>
      </c>
      <c r="E221" s="594"/>
      <c r="F221" s="594"/>
      <c r="G221" s="594"/>
      <c r="H221" s="595"/>
      <c r="I221" s="111" t="s">
        <v>421</v>
      </c>
      <c r="J221" s="113"/>
      <c r="K221" s="113"/>
      <c r="L221" s="113"/>
      <c r="M221" s="113"/>
      <c r="N221" s="113"/>
      <c r="O221" s="113"/>
      <c r="P221" s="113"/>
      <c r="Q221" s="113"/>
      <c r="R221" s="113"/>
      <c r="S221" s="749" t="s">
        <v>837</v>
      </c>
      <c r="T221" s="750"/>
      <c r="U221" s="750"/>
      <c r="V221" s="750"/>
      <c r="W221" s="750"/>
      <c r="X221" s="750"/>
      <c r="Y221" s="750"/>
      <c r="Z221" s="750"/>
      <c r="AA221" s="750"/>
      <c r="AB221" s="750"/>
      <c r="AC221" s="750"/>
      <c r="AD221" s="750"/>
      <c r="AE221" s="750"/>
      <c r="AF221" s="750"/>
      <c r="AG221" s="751"/>
      <c r="AH221" s="599" t="s">
        <v>433</v>
      </c>
      <c r="AI221" s="778"/>
      <c r="AJ221" s="778"/>
      <c r="AK221" s="778"/>
      <c r="AL221" s="778"/>
      <c r="AM221" s="778"/>
      <c r="AN221" s="778"/>
      <c r="AO221" s="778"/>
      <c r="AP221" s="778"/>
      <c r="AQ221" s="778"/>
      <c r="AR221" s="778"/>
      <c r="AS221" s="778"/>
      <c r="AT221" s="778"/>
      <c r="AU221" s="778"/>
      <c r="AV221" s="778"/>
      <c r="AW221" s="778"/>
      <c r="AX221" s="778"/>
      <c r="AY221" s="778"/>
      <c r="AZ221" s="778"/>
      <c r="BA221" s="778"/>
      <c r="BB221" s="778"/>
      <c r="BC221" s="778"/>
      <c r="BD221" s="778"/>
      <c r="BE221" s="778"/>
      <c r="BF221" s="778"/>
      <c r="BG221" s="778"/>
      <c r="BH221" s="778"/>
      <c r="BI221" s="778"/>
      <c r="BJ221" s="778"/>
      <c r="BK221" s="778"/>
      <c r="BL221" s="778"/>
      <c r="BM221" s="778"/>
      <c r="BN221" s="778"/>
      <c r="BO221" s="778"/>
      <c r="BP221" s="778"/>
      <c r="BQ221" s="778"/>
      <c r="BR221" s="778"/>
      <c r="BS221" s="778"/>
      <c r="BT221" s="778"/>
      <c r="BU221" s="778"/>
      <c r="BV221" s="778"/>
      <c r="BW221" s="778"/>
      <c r="BX221" s="778"/>
      <c r="BY221" s="778"/>
      <c r="BZ221" s="778"/>
      <c r="CA221" s="778"/>
      <c r="CB221" s="779"/>
      <c r="CC221" s="3"/>
      <c r="CD221" s="3"/>
      <c r="CE221" s="100"/>
    </row>
    <row r="222" spans="1:83" x14ac:dyDescent="0.15">
      <c r="A222" s="109"/>
      <c r="B222" s="3"/>
      <c r="C222" s="3"/>
      <c r="D222" s="596"/>
      <c r="E222" s="597"/>
      <c r="F222" s="597"/>
      <c r="G222" s="597"/>
      <c r="H222" s="598"/>
      <c r="I222" s="114"/>
      <c r="J222" s="115"/>
      <c r="K222" s="115"/>
      <c r="L222" s="115"/>
      <c r="M222" s="115"/>
      <c r="N222" s="115"/>
      <c r="O222" s="115"/>
      <c r="P222" s="115"/>
      <c r="Q222" s="115"/>
      <c r="R222" s="115"/>
      <c r="S222" s="111" t="s">
        <v>435</v>
      </c>
      <c r="T222" s="112"/>
      <c r="U222" s="112"/>
      <c r="V222" s="112"/>
      <c r="W222" s="112"/>
      <c r="X222" s="112"/>
      <c r="Y222" s="112"/>
      <c r="Z222" s="112"/>
      <c r="AA222" s="112"/>
      <c r="AB222" s="112"/>
      <c r="AC222" s="112"/>
      <c r="AD222" s="112"/>
      <c r="AE222" s="112"/>
      <c r="AF222" s="112"/>
      <c r="AG222" s="145"/>
      <c r="AH222" s="519" t="s">
        <v>438</v>
      </c>
      <c r="AI222" s="698"/>
      <c r="AJ222" s="698"/>
      <c r="AK222" s="698"/>
      <c r="AL222" s="698"/>
      <c r="AM222" s="698"/>
      <c r="AN222" s="698"/>
      <c r="AO222" s="698"/>
      <c r="AP222" s="698"/>
      <c r="AQ222" s="698"/>
      <c r="AR222" s="698"/>
      <c r="AS222" s="698"/>
      <c r="AT222" s="698"/>
      <c r="AU222" s="698"/>
      <c r="AV222" s="698"/>
      <c r="AW222" s="698"/>
      <c r="AX222" s="698"/>
      <c r="AY222" s="698"/>
      <c r="AZ222" s="698"/>
      <c r="BA222" s="698"/>
      <c r="BB222" s="698"/>
      <c r="BC222" s="698"/>
      <c r="BD222" s="698"/>
      <c r="BE222" s="698"/>
      <c r="BF222" s="698"/>
      <c r="BG222" s="698"/>
      <c r="BH222" s="698"/>
      <c r="BI222" s="698"/>
      <c r="BJ222" s="698"/>
      <c r="BK222" s="698"/>
      <c r="BL222" s="698"/>
      <c r="BM222" s="698"/>
      <c r="BN222" s="698"/>
      <c r="BO222" s="698"/>
      <c r="BP222" s="698"/>
      <c r="BQ222" s="698"/>
      <c r="BR222" s="698"/>
      <c r="BS222" s="698"/>
      <c r="BT222" s="698"/>
      <c r="BU222" s="698"/>
      <c r="BV222" s="698"/>
      <c r="BW222" s="698"/>
      <c r="BX222" s="698"/>
      <c r="BY222" s="698"/>
      <c r="BZ222" s="698"/>
      <c r="CA222" s="698"/>
      <c r="CB222" s="699"/>
      <c r="CC222" s="3"/>
      <c r="CD222" s="3"/>
      <c r="CE222" s="100"/>
    </row>
    <row r="223" spans="1:83" x14ac:dyDescent="0.15">
      <c r="A223" s="109"/>
      <c r="B223" s="3"/>
      <c r="C223" s="3"/>
      <c r="D223" s="596"/>
      <c r="E223" s="597"/>
      <c r="F223" s="597"/>
      <c r="G223" s="597"/>
      <c r="H223" s="598"/>
      <c r="I223" s="114"/>
      <c r="J223" s="115"/>
      <c r="K223" s="115"/>
      <c r="L223" s="115"/>
      <c r="M223" s="115"/>
      <c r="N223" s="115"/>
      <c r="O223" s="115"/>
      <c r="P223" s="115"/>
      <c r="Q223" s="115"/>
      <c r="R223" s="115"/>
      <c r="S223" s="127" t="s">
        <v>436</v>
      </c>
      <c r="T223" s="125"/>
      <c r="U223" s="125"/>
      <c r="V223" s="125"/>
      <c r="W223" s="125"/>
      <c r="X223" s="125"/>
      <c r="Y223" s="125"/>
      <c r="Z223" s="125"/>
      <c r="AA223" s="125"/>
      <c r="AB223" s="125"/>
      <c r="AC223" s="125"/>
      <c r="AD223" s="125"/>
      <c r="AE223" s="125"/>
      <c r="AF223" s="125"/>
      <c r="AG223" s="126"/>
      <c r="AH223" s="700"/>
      <c r="AI223" s="701"/>
      <c r="AJ223" s="701"/>
      <c r="AK223" s="701"/>
      <c r="AL223" s="701"/>
      <c r="AM223" s="701"/>
      <c r="AN223" s="701"/>
      <c r="AO223" s="701"/>
      <c r="AP223" s="701"/>
      <c r="AQ223" s="701"/>
      <c r="AR223" s="701"/>
      <c r="AS223" s="701"/>
      <c r="AT223" s="701"/>
      <c r="AU223" s="701"/>
      <c r="AV223" s="701"/>
      <c r="AW223" s="701"/>
      <c r="AX223" s="701"/>
      <c r="AY223" s="701"/>
      <c r="AZ223" s="701"/>
      <c r="BA223" s="701"/>
      <c r="BB223" s="701"/>
      <c r="BC223" s="701"/>
      <c r="BD223" s="701"/>
      <c r="BE223" s="701"/>
      <c r="BF223" s="701"/>
      <c r="BG223" s="701"/>
      <c r="BH223" s="701"/>
      <c r="BI223" s="701"/>
      <c r="BJ223" s="701"/>
      <c r="BK223" s="701"/>
      <c r="BL223" s="701"/>
      <c r="BM223" s="701"/>
      <c r="BN223" s="701"/>
      <c r="BO223" s="701"/>
      <c r="BP223" s="701"/>
      <c r="BQ223" s="701"/>
      <c r="BR223" s="701"/>
      <c r="BS223" s="701"/>
      <c r="BT223" s="701"/>
      <c r="BU223" s="701"/>
      <c r="BV223" s="701"/>
      <c r="BW223" s="701"/>
      <c r="BX223" s="701"/>
      <c r="BY223" s="701"/>
      <c r="BZ223" s="701"/>
      <c r="CA223" s="701"/>
      <c r="CB223" s="702"/>
      <c r="CC223" s="3"/>
      <c r="CD223" s="3"/>
      <c r="CE223" s="100"/>
    </row>
    <row r="224" spans="1:83" x14ac:dyDescent="0.15">
      <c r="A224" s="109"/>
      <c r="B224" s="3"/>
      <c r="C224" s="3"/>
      <c r="D224" s="596"/>
      <c r="E224" s="597"/>
      <c r="F224" s="597"/>
      <c r="G224" s="597"/>
      <c r="H224" s="598"/>
      <c r="I224" s="114"/>
      <c r="J224" s="115"/>
      <c r="K224" s="115"/>
      <c r="L224" s="115"/>
      <c r="M224" s="115"/>
      <c r="N224" s="115"/>
      <c r="O224" s="115"/>
      <c r="P224" s="115"/>
      <c r="Q224" s="115"/>
      <c r="R224" s="115"/>
      <c r="S224" s="127"/>
      <c r="T224" s="125"/>
      <c r="U224" s="125"/>
      <c r="V224" s="125"/>
      <c r="W224" s="125"/>
      <c r="X224" s="125"/>
      <c r="Y224" s="125"/>
      <c r="Z224" s="125"/>
      <c r="AA224" s="125"/>
      <c r="AB224" s="125"/>
      <c r="AC224" s="125"/>
      <c r="AD224" s="125"/>
      <c r="AE224" s="125"/>
      <c r="AF224" s="125"/>
      <c r="AG224" s="126"/>
      <c r="AH224" s="700"/>
      <c r="AI224" s="701"/>
      <c r="AJ224" s="701"/>
      <c r="AK224" s="701"/>
      <c r="AL224" s="701"/>
      <c r="AM224" s="701"/>
      <c r="AN224" s="701"/>
      <c r="AO224" s="701"/>
      <c r="AP224" s="701"/>
      <c r="AQ224" s="701"/>
      <c r="AR224" s="701"/>
      <c r="AS224" s="701"/>
      <c r="AT224" s="701"/>
      <c r="AU224" s="701"/>
      <c r="AV224" s="701"/>
      <c r="AW224" s="701"/>
      <c r="AX224" s="701"/>
      <c r="AY224" s="701"/>
      <c r="AZ224" s="701"/>
      <c r="BA224" s="701"/>
      <c r="BB224" s="701"/>
      <c r="BC224" s="701"/>
      <c r="BD224" s="701"/>
      <c r="BE224" s="701"/>
      <c r="BF224" s="701"/>
      <c r="BG224" s="701"/>
      <c r="BH224" s="701"/>
      <c r="BI224" s="701"/>
      <c r="BJ224" s="701"/>
      <c r="BK224" s="701"/>
      <c r="BL224" s="701"/>
      <c r="BM224" s="701"/>
      <c r="BN224" s="701"/>
      <c r="BO224" s="701"/>
      <c r="BP224" s="701"/>
      <c r="BQ224" s="701"/>
      <c r="BR224" s="701"/>
      <c r="BS224" s="701"/>
      <c r="BT224" s="701"/>
      <c r="BU224" s="701"/>
      <c r="BV224" s="701"/>
      <c r="BW224" s="701"/>
      <c r="BX224" s="701"/>
      <c r="BY224" s="701"/>
      <c r="BZ224" s="701"/>
      <c r="CA224" s="701"/>
      <c r="CB224" s="702"/>
      <c r="CC224" s="3"/>
      <c r="CD224" s="3"/>
      <c r="CE224" s="100"/>
    </row>
    <row r="225" spans="1:83" ht="13.5" x14ac:dyDescent="0.15">
      <c r="A225" s="109"/>
      <c r="B225" s="3"/>
      <c r="C225" s="3"/>
      <c r="D225" s="544"/>
      <c r="E225" s="545"/>
      <c r="F225" s="545"/>
      <c r="G225" s="545"/>
      <c r="H225" s="546"/>
      <c r="I225" s="373"/>
      <c r="J225" s="374"/>
      <c r="K225" s="374"/>
      <c r="L225" s="374"/>
      <c r="M225" s="374"/>
      <c r="N225" s="374"/>
      <c r="O225" s="374"/>
      <c r="P225" s="374"/>
      <c r="Q225" s="374"/>
      <c r="R225" s="374"/>
      <c r="S225" s="178"/>
      <c r="T225" s="179"/>
      <c r="U225" s="179"/>
      <c r="V225" s="179"/>
      <c r="W225" s="179"/>
      <c r="X225" s="179"/>
      <c r="Y225" s="179"/>
      <c r="Z225" s="179"/>
      <c r="AA225" s="179"/>
      <c r="AB225" s="179"/>
      <c r="AC225" s="179"/>
      <c r="AD225" s="179"/>
      <c r="AE225" s="179"/>
      <c r="AF225" s="179"/>
      <c r="AG225" s="180"/>
      <c r="AH225" s="550"/>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2"/>
      <c r="CC225" s="3"/>
      <c r="CD225" s="3"/>
      <c r="CE225" s="100"/>
    </row>
    <row r="226" spans="1:83" ht="12.75" customHeight="1" x14ac:dyDescent="0.15">
      <c r="A226" s="109"/>
      <c r="B226" s="3"/>
      <c r="C226" s="3"/>
      <c r="D226" s="501" t="s">
        <v>709</v>
      </c>
      <c r="E226" s="502"/>
      <c r="F226" s="502"/>
      <c r="G226" s="502"/>
      <c r="H226" s="503"/>
      <c r="I226" s="568" t="s">
        <v>767</v>
      </c>
      <c r="J226" s="569"/>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70"/>
      <c r="AH226" s="577" t="s">
        <v>710</v>
      </c>
      <c r="AI226" s="578"/>
      <c r="AJ226" s="578"/>
      <c r="AK226" s="578"/>
      <c r="AL226" s="578"/>
      <c r="AM226" s="578"/>
      <c r="AN226" s="578"/>
      <c r="AO226" s="578"/>
      <c r="AP226" s="578"/>
      <c r="AQ226" s="578"/>
      <c r="AR226" s="578"/>
      <c r="AS226" s="578"/>
      <c r="AT226" s="578"/>
      <c r="AU226" s="578"/>
      <c r="AV226" s="578"/>
      <c r="AW226" s="578"/>
      <c r="AX226" s="578"/>
      <c r="AY226" s="578"/>
      <c r="AZ226" s="578"/>
      <c r="BA226" s="578"/>
      <c r="BB226" s="578"/>
      <c r="BC226" s="578"/>
      <c r="BD226" s="578"/>
      <c r="BE226" s="578"/>
      <c r="BF226" s="578"/>
      <c r="BG226" s="578"/>
      <c r="BH226" s="578"/>
      <c r="BI226" s="578"/>
      <c r="BJ226" s="578"/>
      <c r="BK226" s="578"/>
      <c r="BL226" s="578"/>
      <c r="BM226" s="578"/>
      <c r="BN226" s="578"/>
      <c r="BO226" s="578"/>
      <c r="BP226" s="578"/>
      <c r="BQ226" s="578"/>
      <c r="BR226" s="578"/>
      <c r="BS226" s="578"/>
      <c r="BT226" s="578"/>
      <c r="BU226" s="578"/>
      <c r="BV226" s="578"/>
      <c r="BW226" s="578"/>
      <c r="BX226" s="578"/>
      <c r="BY226" s="578"/>
      <c r="BZ226" s="578"/>
      <c r="CA226" s="578"/>
      <c r="CB226" s="579"/>
      <c r="CC226" s="3"/>
      <c r="CD226" s="3"/>
      <c r="CE226" s="100"/>
    </row>
    <row r="227" spans="1:83" ht="12.75" customHeight="1" x14ac:dyDescent="0.15">
      <c r="A227" s="109"/>
      <c r="B227" s="3"/>
      <c r="C227" s="3"/>
      <c r="D227" s="565"/>
      <c r="E227" s="566"/>
      <c r="F227" s="566"/>
      <c r="G227" s="566"/>
      <c r="H227" s="567"/>
      <c r="I227" s="571"/>
      <c r="J227" s="572"/>
      <c r="K227" s="572"/>
      <c r="L227" s="572"/>
      <c r="M227" s="572"/>
      <c r="N227" s="572"/>
      <c r="O227" s="572"/>
      <c r="P227" s="572"/>
      <c r="Q227" s="572"/>
      <c r="R227" s="572"/>
      <c r="S227" s="572"/>
      <c r="T227" s="572"/>
      <c r="U227" s="572"/>
      <c r="V227" s="572"/>
      <c r="W227" s="572"/>
      <c r="X227" s="572"/>
      <c r="Y227" s="572"/>
      <c r="Z227" s="572"/>
      <c r="AA227" s="572"/>
      <c r="AB227" s="572"/>
      <c r="AC227" s="572"/>
      <c r="AD227" s="572"/>
      <c r="AE227" s="572"/>
      <c r="AF227" s="572"/>
      <c r="AG227" s="573"/>
      <c r="AH227" s="580"/>
      <c r="AI227" s="581"/>
      <c r="AJ227" s="581"/>
      <c r="AK227" s="581"/>
      <c r="AL227" s="581"/>
      <c r="AM227" s="581"/>
      <c r="AN227" s="581"/>
      <c r="AO227" s="581"/>
      <c r="AP227" s="581"/>
      <c r="AQ227" s="581"/>
      <c r="AR227" s="581"/>
      <c r="AS227" s="581"/>
      <c r="AT227" s="581"/>
      <c r="AU227" s="581"/>
      <c r="AV227" s="581"/>
      <c r="AW227" s="581"/>
      <c r="AX227" s="581"/>
      <c r="AY227" s="581"/>
      <c r="AZ227" s="581"/>
      <c r="BA227" s="581"/>
      <c r="BB227" s="581"/>
      <c r="BC227" s="581"/>
      <c r="BD227" s="581"/>
      <c r="BE227" s="581"/>
      <c r="BF227" s="581"/>
      <c r="BG227" s="581"/>
      <c r="BH227" s="581"/>
      <c r="BI227" s="581"/>
      <c r="BJ227" s="581"/>
      <c r="BK227" s="581"/>
      <c r="BL227" s="581"/>
      <c r="BM227" s="581"/>
      <c r="BN227" s="581"/>
      <c r="BO227" s="581"/>
      <c r="BP227" s="581"/>
      <c r="BQ227" s="581"/>
      <c r="BR227" s="581"/>
      <c r="BS227" s="581"/>
      <c r="BT227" s="581"/>
      <c r="BU227" s="581"/>
      <c r="BV227" s="581"/>
      <c r="BW227" s="581"/>
      <c r="BX227" s="581"/>
      <c r="BY227" s="581"/>
      <c r="BZ227" s="581"/>
      <c r="CA227" s="581"/>
      <c r="CB227" s="582"/>
      <c r="CC227" s="3"/>
      <c r="CD227" s="3"/>
      <c r="CE227" s="100"/>
    </row>
    <row r="228" spans="1:83" x14ac:dyDescent="0.15">
      <c r="A228" s="109"/>
      <c r="B228" s="3"/>
      <c r="C228" s="3"/>
      <c r="D228" s="544"/>
      <c r="E228" s="545"/>
      <c r="F228" s="545"/>
      <c r="G228" s="545"/>
      <c r="H228" s="546"/>
      <c r="I228" s="574"/>
      <c r="J228" s="575"/>
      <c r="K228" s="575"/>
      <c r="L228" s="575"/>
      <c r="M228" s="575"/>
      <c r="N228" s="575"/>
      <c r="O228" s="575"/>
      <c r="P228" s="575"/>
      <c r="Q228" s="575"/>
      <c r="R228" s="575"/>
      <c r="S228" s="575"/>
      <c r="T228" s="575"/>
      <c r="U228" s="575"/>
      <c r="V228" s="575"/>
      <c r="W228" s="575"/>
      <c r="X228" s="575"/>
      <c r="Y228" s="575"/>
      <c r="Z228" s="575"/>
      <c r="AA228" s="575"/>
      <c r="AB228" s="575"/>
      <c r="AC228" s="575"/>
      <c r="AD228" s="575"/>
      <c r="AE228" s="575"/>
      <c r="AF228" s="575"/>
      <c r="AG228" s="576"/>
      <c r="AH228" s="583"/>
      <c r="AI228" s="584"/>
      <c r="AJ228" s="584"/>
      <c r="AK228" s="584"/>
      <c r="AL228" s="584"/>
      <c r="AM228" s="584"/>
      <c r="AN228" s="584"/>
      <c r="AO228" s="584"/>
      <c r="AP228" s="584"/>
      <c r="AQ228" s="584"/>
      <c r="AR228" s="584"/>
      <c r="AS228" s="584"/>
      <c r="AT228" s="584"/>
      <c r="AU228" s="584"/>
      <c r="AV228" s="584"/>
      <c r="AW228" s="584"/>
      <c r="AX228" s="584"/>
      <c r="AY228" s="584"/>
      <c r="AZ228" s="584"/>
      <c r="BA228" s="584"/>
      <c r="BB228" s="584"/>
      <c r="BC228" s="584"/>
      <c r="BD228" s="584"/>
      <c r="BE228" s="584"/>
      <c r="BF228" s="584"/>
      <c r="BG228" s="584"/>
      <c r="BH228" s="584"/>
      <c r="BI228" s="584"/>
      <c r="BJ228" s="584"/>
      <c r="BK228" s="584"/>
      <c r="BL228" s="584"/>
      <c r="BM228" s="584"/>
      <c r="BN228" s="584"/>
      <c r="BO228" s="584"/>
      <c r="BP228" s="584"/>
      <c r="BQ228" s="584"/>
      <c r="BR228" s="584"/>
      <c r="BS228" s="584"/>
      <c r="BT228" s="584"/>
      <c r="BU228" s="584"/>
      <c r="BV228" s="584"/>
      <c r="BW228" s="584"/>
      <c r="BX228" s="584"/>
      <c r="BY228" s="584"/>
      <c r="BZ228" s="584"/>
      <c r="CA228" s="584"/>
      <c r="CB228" s="585"/>
      <c r="CC228" s="3"/>
      <c r="CD228" s="3"/>
      <c r="CE228" s="100"/>
    </row>
    <row r="229" spans="1:83" x14ac:dyDescent="0.15">
      <c r="A229" s="10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100"/>
    </row>
    <row r="230" spans="1:83" x14ac:dyDescent="0.15">
      <c r="A230" s="109"/>
      <c r="B230" s="3"/>
      <c r="C230" s="3"/>
      <c r="D230" s="368" t="s">
        <v>780</v>
      </c>
      <c r="E230" s="3"/>
      <c r="F230" s="3"/>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3"/>
      <c r="BO230" s="3"/>
      <c r="BP230" s="58"/>
      <c r="BQ230" s="58"/>
      <c r="BR230" s="58"/>
      <c r="BS230" s="58"/>
      <c r="BT230" s="58"/>
      <c r="BU230" s="58"/>
      <c r="BV230" s="58"/>
      <c r="BW230" s="58"/>
      <c r="BX230" s="58"/>
      <c r="BY230" s="58"/>
      <c r="BZ230" s="58"/>
      <c r="CA230" s="58"/>
      <c r="CB230" s="58"/>
      <c r="CC230" s="3"/>
      <c r="CD230" s="3"/>
      <c r="CE230" s="100"/>
    </row>
    <row r="231" spans="1:83" x14ac:dyDescent="0.15">
      <c r="A231" s="109"/>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100"/>
    </row>
    <row r="232" spans="1:83" x14ac:dyDescent="0.15">
      <c r="A232" s="109"/>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100"/>
    </row>
    <row r="233" spans="1:83" x14ac:dyDescent="0.15">
      <c r="A233" s="109"/>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100"/>
    </row>
    <row r="234" spans="1:83" x14ac:dyDescent="0.15">
      <c r="A234" s="109"/>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100"/>
    </row>
    <row r="235" spans="1:83" x14ac:dyDescent="0.15">
      <c r="A235" s="109"/>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100"/>
    </row>
    <row r="236" spans="1:83" x14ac:dyDescent="0.15">
      <c r="A236" s="109"/>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100"/>
    </row>
    <row r="237" spans="1:83" x14ac:dyDescent="0.15">
      <c r="A237" s="109"/>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100"/>
    </row>
    <row r="238" spans="1:83" x14ac:dyDescent="0.15">
      <c r="A238" s="109"/>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100"/>
    </row>
    <row r="239" spans="1:83" x14ac:dyDescent="0.15">
      <c r="A239" s="10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100"/>
    </row>
    <row r="240" spans="1:83" x14ac:dyDescent="0.15">
      <c r="A240" s="109"/>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100"/>
    </row>
    <row r="241" spans="1:83" ht="12.75" thickBot="1" x14ac:dyDescent="0.2">
      <c r="A241" s="110"/>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c r="AB241" s="103"/>
      <c r="AC241" s="103"/>
      <c r="AD241" s="103"/>
      <c r="AE241" s="103"/>
      <c r="AF241" s="103"/>
      <c r="AG241" s="103"/>
      <c r="AH241" s="103"/>
      <c r="AI241" s="103"/>
      <c r="AJ241" s="103"/>
      <c r="AK241" s="103"/>
      <c r="AL241" s="103"/>
      <c r="AM241" s="103"/>
      <c r="AN241" s="103"/>
      <c r="AO241" s="103"/>
      <c r="AP241" s="103"/>
      <c r="AQ241" s="103"/>
      <c r="AR241" s="103"/>
      <c r="AS241" s="103"/>
      <c r="AT241" s="103"/>
      <c r="AU241" s="103"/>
      <c r="AV241" s="103"/>
      <c r="AW241" s="103"/>
      <c r="AX241" s="103"/>
      <c r="AY241" s="103"/>
      <c r="AZ241" s="103"/>
      <c r="BA241" s="103"/>
      <c r="BB241" s="103"/>
      <c r="BC241" s="103"/>
      <c r="BD241" s="103"/>
      <c r="BE241" s="103"/>
      <c r="BF241" s="103"/>
      <c r="BG241" s="103"/>
      <c r="BH241" s="103"/>
      <c r="BI241" s="103"/>
      <c r="BJ241" s="103"/>
      <c r="BK241" s="103"/>
      <c r="BL241" s="103"/>
      <c r="BM241" s="103"/>
      <c r="BN241" s="103"/>
      <c r="BO241" s="103"/>
      <c r="BP241" s="103"/>
      <c r="BQ241" s="103"/>
      <c r="BR241" s="103"/>
      <c r="BS241" s="103"/>
      <c r="BT241" s="103"/>
      <c r="BU241" s="103"/>
      <c r="BV241" s="103"/>
      <c r="BW241" s="103"/>
      <c r="BX241" s="103"/>
      <c r="BY241" s="103"/>
      <c r="BZ241" s="103"/>
      <c r="CA241" s="103"/>
      <c r="CB241" s="103"/>
      <c r="CC241" s="103"/>
      <c r="CD241" s="103"/>
      <c r="CE241" s="105"/>
    </row>
    <row r="242" spans="1:83" x14ac:dyDescent="0.15">
      <c r="A242" s="107"/>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c r="AZ242" s="106"/>
      <c r="BA242" s="106"/>
      <c r="BB242" s="106"/>
      <c r="BC242" s="106"/>
      <c r="BD242" s="106"/>
      <c r="BE242" s="106"/>
      <c r="BF242" s="106"/>
      <c r="BG242" s="106"/>
      <c r="BH242" s="106"/>
      <c r="BI242" s="106"/>
      <c r="BJ242" s="106"/>
      <c r="BK242" s="106"/>
      <c r="BL242" s="106"/>
      <c r="BM242" s="106"/>
      <c r="BN242" s="106"/>
      <c r="BO242" s="106"/>
      <c r="BP242" s="106"/>
      <c r="BQ242" s="106"/>
      <c r="BR242" s="106"/>
      <c r="BS242" s="106"/>
      <c r="BT242" s="106"/>
      <c r="BU242" s="106"/>
      <c r="BV242" s="106"/>
      <c r="BW242" s="106"/>
      <c r="BX242" s="106"/>
      <c r="BY242" s="106"/>
      <c r="BZ242" s="106"/>
      <c r="CA242" s="106"/>
      <c r="CB242" s="106"/>
      <c r="CC242" s="106"/>
      <c r="CD242" s="106"/>
      <c r="CE242" s="108"/>
    </row>
    <row r="243" spans="1:83" x14ac:dyDescent="0.15">
      <c r="A243" s="109"/>
      <c r="B243" s="3"/>
      <c r="C243" s="3"/>
      <c r="D243" s="534" t="s">
        <v>595</v>
      </c>
      <c r="E243" s="534"/>
      <c r="F243" s="534"/>
      <c r="G243" s="534"/>
      <c r="H243" s="534"/>
      <c r="I243" s="534"/>
      <c r="J243" s="534"/>
      <c r="K243" s="534"/>
      <c r="L243" s="534"/>
      <c r="M243" s="534"/>
      <c r="N243" s="534"/>
      <c r="O243" s="534"/>
      <c r="P243" s="534"/>
      <c r="Q243" s="534"/>
      <c r="R243" s="534"/>
      <c r="S243" s="534"/>
      <c r="T243" s="534"/>
      <c r="U243" s="534"/>
      <c r="V243" s="534"/>
      <c r="W243" s="534"/>
      <c r="X243" s="534"/>
      <c r="Y243" s="534"/>
      <c r="Z243" s="534"/>
      <c r="AA243" s="534"/>
      <c r="AB243" s="534"/>
      <c r="AC243" s="534"/>
      <c r="AD243" s="534"/>
      <c r="AE243" s="534"/>
      <c r="AF243" s="534"/>
      <c r="AG243" s="534"/>
      <c r="AH243" s="534"/>
      <c r="AI243" s="534"/>
      <c r="AJ243" s="534"/>
      <c r="AK243" s="534"/>
      <c r="AL243" s="534"/>
      <c r="AM243" s="534"/>
      <c r="AN243" s="534"/>
      <c r="AO243" s="534"/>
      <c r="AP243" s="534"/>
      <c r="AQ243" s="534"/>
      <c r="AR243" s="534"/>
      <c r="AS243" s="534"/>
      <c r="AT243" s="534"/>
      <c r="AU243" s="534"/>
      <c r="AV243" s="534"/>
      <c r="AW243" s="534"/>
      <c r="AX243" s="534"/>
      <c r="AY243" s="534"/>
      <c r="AZ243" s="534"/>
      <c r="BA243" s="534"/>
      <c r="BB243" s="534"/>
      <c r="BC243" s="534"/>
      <c r="BD243" s="534"/>
      <c r="BE243" s="534"/>
      <c r="BF243" s="534"/>
      <c r="BG243" s="534"/>
      <c r="BH243" s="534"/>
      <c r="BI243" s="534"/>
      <c r="BJ243" s="534"/>
      <c r="BK243" s="534"/>
      <c r="BL243" s="534"/>
      <c r="BM243" s="534"/>
      <c r="BN243" s="534"/>
      <c r="BO243" s="534"/>
      <c r="BP243" s="534"/>
      <c r="BQ243" s="534"/>
      <c r="BR243" s="534"/>
      <c r="BS243" s="534"/>
      <c r="BT243" s="534"/>
      <c r="BU243" s="534"/>
      <c r="BV243" s="534"/>
      <c r="BW243" s="534"/>
      <c r="BX243" s="534"/>
      <c r="BY243" s="534"/>
      <c r="BZ243" s="534"/>
      <c r="CA243" s="534"/>
      <c r="CB243" s="534"/>
      <c r="CC243" s="3"/>
      <c r="CD243" s="3"/>
      <c r="CE243" s="100"/>
    </row>
    <row r="244" spans="1:83" x14ac:dyDescent="0.15">
      <c r="A244" s="109"/>
      <c r="B244" s="3"/>
      <c r="C244" s="3"/>
      <c r="D244" s="535" t="s">
        <v>403</v>
      </c>
      <c r="E244" s="536"/>
      <c r="F244" s="536"/>
      <c r="G244" s="536"/>
      <c r="H244" s="537"/>
      <c r="I244" s="538" t="s">
        <v>408</v>
      </c>
      <c r="J244" s="539"/>
      <c r="K244" s="539"/>
      <c r="L244" s="539"/>
      <c r="M244" s="539"/>
      <c r="N244" s="539"/>
      <c r="O244" s="539"/>
      <c r="P244" s="539"/>
      <c r="Q244" s="539"/>
      <c r="R244" s="539"/>
      <c r="S244" s="539"/>
      <c r="T244" s="539"/>
      <c r="U244" s="539"/>
      <c r="V244" s="539"/>
      <c r="W244" s="539"/>
      <c r="X244" s="539"/>
      <c r="Y244" s="539"/>
      <c r="Z244" s="539"/>
      <c r="AA244" s="539"/>
      <c r="AB244" s="539"/>
      <c r="AC244" s="539"/>
      <c r="AD244" s="539"/>
      <c r="AE244" s="539"/>
      <c r="AF244" s="539"/>
      <c r="AG244" s="540"/>
      <c r="AH244" s="538" t="s">
        <v>415</v>
      </c>
      <c r="AI244" s="539"/>
      <c r="AJ244" s="539"/>
      <c r="AK244" s="539"/>
      <c r="AL244" s="539"/>
      <c r="AM244" s="539"/>
      <c r="AN244" s="539"/>
      <c r="AO244" s="539"/>
      <c r="AP244" s="539"/>
      <c r="AQ244" s="539"/>
      <c r="AR244" s="539"/>
      <c r="AS244" s="539"/>
      <c r="AT244" s="539"/>
      <c r="AU244" s="539"/>
      <c r="AV244" s="539"/>
      <c r="AW244" s="539"/>
      <c r="AX244" s="539"/>
      <c r="AY244" s="539"/>
      <c r="AZ244" s="539"/>
      <c r="BA244" s="539"/>
      <c r="BB244" s="539"/>
      <c r="BC244" s="539"/>
      <c r="BD244" s="539"/>
      <c r="BE244" s="539"/>
      <c r="BF244" s="539"/>
      <c r="BG244" s="539"/>
      <c r="BH244" s="539"/>
      <c r="BI244" s="539"/>
      <c r="BJ244" s="539"/>
      <c r="BK244" s="539"/>
      <c r="BL244" s="539"/>
      <c r="BM244" s="539"/>
      <c r="BN244" s="539"/>
      <c r="BO244" s="539"/>
      <c r="BP244" s="539"/>
      <c r="BQ244" s="539"/>
      <c r="BR244" s="539"/>
      <c r="BS244" s="539"/>
      <c r="BT244" s="539"/>
      <c r="BU244" s="539"/>
      <c r="BV244" s="539"/>
      <c r="BW244" s="539"/>
      <c r="BX244" s="539"/>
      <c r="BY244" s="539"/>
      <c r="BZ244" s="539"/>
      <c r="CA244" s="539"/>
      <c r="CB244" s="540"/>
      <c r="CC244" s="3"/>
      <c r="CD244" s="3"/>
      <c r="CE244" s="100"/>
    </row>
    <row r="245" spans="1:83" x14ac:dyDescent="0.15">
      <c r="A245" s="109"/>
      <c r="B245" s="3"/>
      <c r="C245" s="3"/>
      <c r="D245" s="586" t="s">
        <v>437</v>
      </c>
      <c r="E245" s="587"/>
      <c r="F245" s="587"/>
      <c r="G245" s="587"/>
      <c r="H245" s="588"/>
      <c r="I245" s="519" t="s">
        <v>517</v>
      </c>
      <c r="J245" s="520"/>
      <c r="K245" s="520"/>
      <c r="L245" s="520"/>
      <c r="M245" s="520"/>
      <c r="N245" s="520"/>
      <c r="O245" s="520"/>
      <c r="P245" s="520"/>
      <c r="Q245" s="520"/>
      <c r="R245" s="520"/>
      <c r="S245" s="520"/>
      <c r="T245" s="520"/>
      <c r="U245" s="520"/>
      <c r="V245" s="520"/>
      <c r="W245" s="520"/>
      <c r="X245" s="520"/>
      <c r="Y245" s="520"/>
      <c r="Z245" s="520"/>
      <c r="AA245" s="520"/>
      <c r="AB245" s="520"/>
      <c r="AC245" s="520"/>
      <c r="AD245" s="520"/>
      <c r="AE245" s="520"/>
      <c r="AF245" s="520"/>
      <c r="AG245" s="521"/>
      <c r="AH245" s="519" t="s">
        <v>824</v>
      </c>
      <c r="AI245" s="520"/>
      <c r="AJ245" s="520"/>
      <c r="AK245" s="520"/>
      <c r="AL245" s="520"/>
      <c r="AM245" s="520"/>
      <c r="AN245" s="520"/>
      <c r="AO245" s="520"/>
      <c r="AP245" s="520"/>
      <c r="AQ245" s="520"/>
      <c r="AR245" s="520"/>
      <c r="AS245" s="520"/>
      <c r="AT245" s="520"/>
      <c r="AU245" s="520"/>
      <c r="AV245" s="520"/>
      <c r="AW245" s="520"/>
      <c r="AX245" s="520"/>
      <c r="AY245" s="520"/>
      <c r="AZ245" s="520"/>
      <c r="BA245" s="520"/>
      <c r="BB245" s="520"/>
      <c r="BC245" s="520"/>
      <c r="BD245" s="520"/>
      <c r="BE245" s="520"/>
      <c r="BF245" s="520"/>
      <c r="BG245" s="520"/>
      <c r="BH245" s="520"/>
      <c r="BI245" s="520"/>
      <c r="BJ245" s="520"/>
      <c r="BK245" s="520"/>
      <c r="BL245" s="520"/>
      <c r="BM245" s="520"/>
      <c r="BN245" s="520"/>
      <c r="BO245" s="520"/>
      <c r="BP245" s="520"/>
      <c r="BQ245" s="520"/>
      <c r="BR245" s="520"/>
      <c r="BS245" s="520"/>
      <c r="BT245" s="520"/>
      <c r="BU245" s="520"/>
      <c r="BV245" s="520"/>
      <c r="BW245" s="520"/>
      <c r="BX245" s="520"/>
      <c r="BY245" s="520"/>
      <c r="BZ245" s="520"/>
      <c r="CA245" s="520"/>
      <c r="CB245" s="521"/>
      <c r="CC245" s="3"/>
      <c r="CD245" s="3"/>
      <c r="CE245" s="100"/>
    </row>
    <row r="246" spans="1:83" x14ac:dyDescent="0.15">
      <c r="A246" s="109"/>
      <c r="B246" s="3"/>
      <c r="C246" s="3"/>
      <c r="D246" s="589"/>
      <c r="E246" s="590"/>
      <c r="F246" s="590"/>
      <c r="G246" s="590"/>
      <c r="H246" s="591"/>
      <c r="I246" s="522"/>
      <c r="J246" s="523"/>
      <c r="K246" s="523"/>
      <c r="L246" s="523"/>
      <c r="M246" s="523"/>
      <c r="N246" s="523"/>
      <c r="O246" s="523"/>
      <c r="P246" s="523"/>
      <c r="Q246" s="523"/>
      <c r="R246" s="523"/>
      <c r="S246" s="523"/>
      <c r="T246" s="523"/>
      <c r="U246" s="523"/>
      <c r="V246" s="523"/>
      <c r="W246" s="523"/>
      <c r="X246" s="523"/>
      <c r="Y246" s="523"/>
      <c r="Z246" s="523"/>
      <c r="AA246" s="523"/>
      <c r="AB246" s="523"/>
      <c r="AC246" s="523"/>
      <c r="AD246" s="523"/>
      <c r="AE246" s="523"/>
      <c r="AF246" s="523"/>
      <c r="AG246" s="524"/>
      <c r="AH246" s="522"/>
      <c r="AI246" s="523"/>
      <c r="AJ246" s="523"/>
      <c r="AK246" s="523"/>
      <c r="AL246" s="523"/>
      <c r="AM246" s="523"/>
      <c r="AN246" s="523"/>
      <c r="AO246" s="523"/>
      <c r="AP246" s="523"/>
      <c r="AQ246" s="523"/>
      <c r="AR246" s="523"/>
      <c r="AS246" s="523"/>
      <c r="AT246" s="523"/>
      <c r="AU246" s="523"/>
      <c r="AV246" s="523"/>
      <c r="AW246" s="523"/>
      <c r="AX246" s="523"/>
      <c r="AY246" s="523"/>
      <c r="AZ246" s="523"/>
      <c r="BA246" s="523"/>
      <c r="BB246" s="523"/>
      <c r="BC246" s="523"/>
      <c r="BD246" s="523"/>
      <c r="BE246" s="523"/>
      <c r="BF246" s="523"/>
      <c r="BG246" s="523"/>
      <c r="BH246" s="523"/>
      <c r="BI246" s="523"/>
      <c r="BJ246" s="523"/>
      <c r="BK246" s="523"/>
      <c r="BL246" s="523"/>
      <c r="BM246" s="523"/>
      <c r="BN246" s="523"/>
      <c r="BO246" s="523"/>
      <c r="BP246" s="523"/>
      <c r="BQ246" s="523"/>
      <c r="BR246" s="523"/>
      <c r="BS246" s="523"/>
      <c r="BT246" s="523"/>
      <c r="BU246" s="523"/>
      <c r="BV246" s="523"/>
      <c r="BW246" s="523"/>
      <c r="BX246" s="523"/>
      <c r="BY246" s="523"/>
      <c r="BZ246" s="523"/>
      <c r="CA246" s="523"/>
      <c r="CB246" s="524"/>
      <c r="CC246" s="3"/>
      <c r="CD246" s="3"/>
      <c r="CE246" s="100"/>
    </row>
    <row r="247" spans="1:83" x14ac:dyDescent="0.15">
      <c r="A247" s="109"/>
      <c r="B247" s="3"/>
      <c r="C247" s="3"/>
      <c r="D247" s="589"/>
      <c r="E247" s="590"/>
      <c r="F247" s="590"/>
      <c r="G247" s="590"/>
      <c r="H247" s="591"/>
      <c r="I247" s="522"/>
      <c r="J247" s="523"/>
      <c r="K247" s="523"/>
      <c r="L247" s="523"/>
      <c r="M247" s="523"/>
      <c r="N247" s="523"/>
      <c r="O247" s="523"/>
      <c r="P247" s="523"/>
      <c r="Q247" s="523"/>
      <c r="R247" s="523"/>
      <c r="S247" s="523"/>
      <c r="T247" s="523"/>
      <c r="U247" s="523"/>
      <c r="V247" s="523"/>
      <c r="W247" s="523"/>
      <c r="X247" s="523"/>
      <c r="Y247" s="523"/>
      <c r="Z247" s="523"/>
      <c r="AA247" s="523"/>
      <c r="AB247" s="523"/>
      <c r="AC247" s="523"/>
      <c r="AD247" s="523"/>
      <c r="AE247" s="523"/>
      <c r="AF247" s="523"/>
      <c r="AG247" s="524"/>
      <c r="AH247" s="522"/>
      <c r="AI247" s="523"/>
      <c r="AJ247" s="523"/>
      <c r="AK247" s="523"/>
      <c r="AL247" s="523"/>
      <c r="AM247" s="523"/>
      <c r="AN247" s="523"/>
      <c r="AO247" s="523"/>
      <c r="AP247" s="523"/>
      <c r="AQ247" s="523"/>
      <c r="AR247" s="523"/>
      <c r="AS247" s="523"/>
      <c r="AT247" s="523"/>
      <c r="AU247" s="523"/>
      <c r="AV247" s="523"/>
      <c r="AW247" s="523"/>
      <c r="AX247" s="523"/>
      <c r="AY247" s="523"/>
      <c r="AZ247" s="523"/>
      <c r="BA247" s="523"/>
      <c r="BB247" s="523"/>
      <c r="BC247" s="523"/>
      <c r="BD247" s="523"/>
      <c r="BE247" s="523"/>
      <c r="BF247" s="523"/>
      <c r="BG247" s="523"/>
      <c r="BH247" s="523"/>
      <c r="BI247" s="523"/>
      <c r="BJ247" s="523"/>
      <c r="BK247" s="523"/>
      <c r="BL247" s="523"/>
      <c r="BM247" s="523"/>
      <c r="BN247" s="523"/>
      <c r="BO247" s="523"/>
      <c r="BP247" s="523"/>
      <c r="BQ247" s="523"/>
      <c r="BR247" s="523"/>
      <c r="BS247" s="523"/>
      <c r="BT247" s="523"/>
      <c r="BU247" s="523"/>
      <c r="BV247" s="523"/>
      <c r="BW247" s="523"/>
      <c r="BX247" s="523"/>
      <c r="BY247" s="523"/>
      <c r="BZ247" s="523"/>
      <c r="CA247" s="523"/>
      <c r="CB247" s="524"/>
      <c r="CC247" s="3"/>
      <c r="CD247" s="3"/>
      <c r="CE247" s="100"/>
    </row>
    <row r="248" spans="1:83" x14ac:dyDescent="0.15">
      <c r="A248" s="109"/>
      <c r="B248" s="3"/>
      <c r="C248" s="3"/>
      <c r="D248" s="589"/>
      <c r="E248" s="590"/>
      <c r="F248" s="590"/>
      <c r="G248" s="590"/>
      <c r="H248" s="591"/>
      <c r="I248" s="522"/>
      <c r="J248" s="523"/>
      <c r="K248" s="523"/>
      <c r="L248" s="523"/>
      <c r="M248" s="523"/>
      <c r="N248" s="523"/>
      <c r="O248" s="523"/>
      <c r="P248" s="523"/>
      <c r="Q248" s="523"/>
      <c r="R248" s="523"/>
      <c r="S248" s="523"/>
      <c r="T248" s="523"/>
      <c r="U248" s="523"/>
      <c r="V248" s="523"/>
      <c r="W248" s="523"/>
      <c r="X248" s="523"/>
      <c r="Y248" s="523"/>
      <c r="Z248" s="523"/>
      <c r="AA248" s="523"/>
      <c r="AB248" s="523"/>
      <c r="AC248" s="523"/>
      <c r="AD248" s="523"/>
      <c r="AE248" s="523"/>
      <c r="AF248" s="523"/>
      <c r="AG248" s="524"/>
      <c r="AH248" s="522"/>
      <c r="AI248" s="523"/>
      <c r="AJ248" s="523"/>
      <c r="AK248" s="523"/>
      <c r="AL248" s="523"/>
      <c r="AM248" s="523"/>
      <c r="AN248" s="523"/>
      <c r="AO248" s="523"/>
      <c r="AP248" s="523"/>
      <c r="AQ248" s="523"/>
      <c r="AR248" s="523"/>
      <c r="AS248" s="523"/>
      <c r="AT248" s="523"/>
      <c r="AU248" s="523"/>
      <c r="AV248" s="523"/>
      <c r="AW248" s="523"/>
      <c r="AX248" s="523"/>
      <c r="AY248" s="523"/>
      <c r="AZ248" s="523"/>
      <c r="BA248" s="523"/>
      <c r="BB248" s="523"/>
      <c r="BC248" s="523"/>
      <c r="BD248" s="523"/>
      <c r="BE248" s="523"/>
      <c r="BF248" s="523"/>
      <c r="BG248" s="523"/>
      <c r="BH248" s="523"/>
      <c r="BI248" s="523"/>
      <c r="BJ248" s="523"/>
      <c r="BK248" s="523"/>
      <c r="BL248" s="523"/>
      <c r="BM248" s="523"/>
      <c r="BN248" s="523"/>
      <c r="BO248" s="523"/>
      <c r="BP248" s="523"/>
      <c r="BQ248" s="523"/>
      <c r="BR248" s="523"/>
      <c r="BS248" s="523"/>
      <c r="BT248" s="523"/>
      <c r="BU248" s="523"/>
      <c r="BV248" s="523"/>
      <c r="BW248" s="523"/>
      <c r="BX248" s="523"/>
      <c r="BY248" s="523"/>
      <c r="BZ248" s="523"/>
      <c r="CA248" s="523"/>
      <c r="CB248" s="524"/>
      <c r="CC248" s="3"/>
      <c r="CD248" s="3"/>
      <c r="CE248" s="100"/>
    </row>
    <row r="249" spans="1:83" x14ac:dyDescent="0.15">
      <c r="A249" s="109"/>
      <c r="B249" s="3"/>
      <c r="C249" s="3"/>
      <c r="D249" s="589"/>
      <c r="E249" s="590"/>
      <c r="F249" s="590"/>
      <c r="G249" s="590"/>
      <c r="H249" s="591"/>
      <c r="I249" s="522"/>
      <c r="J249" s="523"/>
      <c r="K249" s="523"/>
      <c r="L249" s="523"/>
      <c r="M249" s="523"/>
      <c r="N249" s="523"/>
      <c r="O249" s="523"/>
      <c r="P249" s="523"/>
      <c r="Q249" s="523"/>
      <c r="R249" s="523"/>
      <c r="S249" s="523"/>
      <c r="T249" s="523"/>
      <c r="U249" s="523"/>
      <c r="V249" s="523"/>
      <c r="W249" s="523"/>
      <c r="X249" s="523"/>
      <c r="Y249" s="523"/>
      <c r="Z249" s="523"/>
      <c r="AA249" s="523"/>
      <c r="AB249" s="523"/>
      <c r="AC249" s="523"/>
      <c r="AD249" s="523"/>
      <c r="AE249" s="523"/>
      <c r="AF249" s="523"/>
      <c r="AG249" s="524"/>
      <c r="AH249" s="522"/>
      <c r="AI249" s="523"/>
      <c r="AJ249" s="523"/>
      <c r="AK249" s="523"/>
      <c r="AL249" s="523"/>
      <c r="AM249" s="523"/>
      <c r="AN249" s="523"/>
      <c r="AO249" s="523"/>
      <c r="AP249" s="523"/>
      <c r="AQ249" s="523"/>
      <c r="AR249" s="523"/>
      <c r="AS249" s="523"/>
      <c r="AT249" s="523"/>
      <c r="AU249" s="523"/>
      <c r="AV249" s="523"/>
      <c r="AW249" s="523"/>
      <c r="AX249" s="523"/>
      <c r="AY249" s="523"/>
      <c r="AZ249" s="523"/>
      <c r="BA249" s="523"/>
      <c r="BB249" s="523"/>
      <c r="BC249" s="523"/>
      <c r="BD249" s="523"/>
      <c r="BE249" s="523"/>
      <c r="BF249" s="523"/>
      <c r="BG249" s="523"/>
      <c r="BH249" s="523"/>
      <c r="BI249" s="523"/>
      <c r="BJ249" s="523"/>
      <c r="BK249" s="523"/>
      <c r="BL249" s="523"/>
      <c r="BM249" s="523"/>
      <c r="BN249" s="523"/>
      <c r="BO249" s="523"/>
      <c r="BP249" s="523"/>
      <c r="BQ249" s="523"/>
      <c r="BR249" s="523"/>
      <c r="BS249" s="523"/>
      <c r="BT249" s="523"/>
      <c r="BU249" s="523"/>
      <c r="BV249" s="523"/>
      <c r="BW249" s="523"/>
      <c r="BX249" s="523"/>
      <c r="BY249" s="523"/>
      <c r="BZ249" s="523"/>
      <c r="CA249" s="523"/>
      <c r="CB249" s="524"/>
      <c r="CC249" s="3"/>
      <c r="CD249" s="3"/>
      <c r="CE249" s="100"/>
    </row>
    <row r="250" spans="1:83" x14ac:dyDescent="0.15">
      <c r="A250" s="109"/>
      <c r="B250" s="3"/>
      <c r="C250" s="3"/>
      <c r="D250" s="589"/>
      <c r="E250" s="590"/>
      <c r="F250" s="590"/>
      <c r="G250" s="590"/>
      <c r="H250" s="591"/>
      <c r="I250" s="522"/>
      <c r="J250" s="523"/>
      <c r="K250" s="523"/>
      <c r="L250" s="523"/>
      <c r="M250" s="523"/>
      <c r="N250" s="523"/>
      <c r="O250" s="523"/>
      <c r="P250" s="523"/>
      <c r="Q250" s="523"/>
      <c r="R250" s="523"/>
      <c r="S250" s="523"/>
      <c r="T250" s="523"/>
      <c r="U250" s="523"/>
      <c r="V250" s="523"/>
      <c r="W250" s="523"/>
      <c r="X250" s="523"/>
      <c r="Y250" s="523"/>
      <c r="Z250" s="523"/>
      <c r="AA250" s="523"/>
      <c r="AB250" s="523"/>
      <c r="AC250" s="523"/>
      <c r="AD250" s="523"/>
      <c r="AE250" s="523"/>
      <c r="AF250" s="523"/>
      <c r="AG250" s="524"/>
      <c r="AH250" s="522"/>
      <c r="AI250" s="523"/>
      <c r="AJ250" s="523"/>
      <c r="AK250" s="523"/>
      <c r="AL250" s="523"/>
      <c r="AM250" s="523"/>
      <c r="AN250" s="523"/>
      <c r="AO250" s="523"/>
      <c r="AP250" s="523"/>
      <c r="AQ250" s="523"/>
      <c r="AR250" s="523"/>
      <c r="AS250" s="523"/>
      <c r="AT250" s="523"/>
      <c r="AU250" s="523"/>
      <c r="AV250" s="523"/>
      <c r="AW250" s="523"/>
      <c r="AX250" s="523"/>
      <c r="AY250" s="523"/>
      <c r="AZ250" s="523"/>
      <c r="BA250" s="523"/>
      <c r="BB250" s="523"/>
      <c r="BC250" s="523"/>
      <c r="BD250" s="523"/>
      <c r="BE250" s="523"/>
      <c r="BF250" s="523"/>
      <c r="BG250" s="523"/>
      <c r="BH250" s="523"/>
      <c r="BI250" s="523"/>
      <c r="BJ250" s="523"/>
      <c r="BK250" s="523"/>
      <c r="BL250" s="523"/>
      <c r="BM250" s="523"/>
      <c r="BN250" s="523"/>
      <c r="BO250" s="523"/>
      <c r="BP250" s="523"/>
      <c r="BQ250" s="523"/>
      <c r="BR250" s="523"/>
      <c r="BS250" s="523"/>
      <c r="BT250" s="523"/>
      <c r="BU250" s="523"/>
      <c r="BV250" s="523"/>
      <c r="BW250" s="523"/>
      <c r="BX250" s="523"/>
      <c r="BY250" s="523"/>
      <c r="BZ250" s="523"/>
      <c r="CA250" s="523"/>
      <c r="CB250" s="524"/>
      <c r="CC250" s="3"/>
      <c r="CD250" s="3"/>
      <c r="CE250" s="100"/>
    </row>
    <row r="251" spans="1:83" x14ac:dyDescent="0.15">
      <c r="A251" s="109"/>
      <c r="B251" s="3"/>
      <c r="C251" s="3"/>
      <c r="D251" s="592"/>
      <c r="E251" s="590"/>
      <c r="F251" s="590"/>
      <c r="G251" s="590"/>
      <c r="H251" s="591"/>
      <c r="I251" s="522"/>
      <c r="J251" s="523"/>
      <c r="K251" s="523"/>
      <c r="L251" s="523"/>
      <c r="M251" s="523"/>
      <c r="N251" s="523"/>
      <c r="O251" s="523"/>
      <c r="P251" s="523"/>
      <c r="Q251" s="523"/>
      <c r="R251" s="523"/>
      <c r="S251" s="523"/>
      <c r="T251" s="523"/>
      <c r="U251" s="523"/>
      <c r="V251" s="523"/>
      <c r="W251" s="523"/>
      <c r="X251" s="523"/>
      <c r="Y251" s="523"/>
      <c r="Z251" s="523"/>
      <c r="AA251" s="523"/>
      <c r="AB251" s="523"/>
      <c r="AC251" s="523"/>
      <c r="AD251" s="523"/>
      <c r="AE251" s="523"/>
      <c r="AF251" s="523"/>
      <c r="AG251" s="524"/>
      <c r="AH251" s="522"/>
      <c r="AI251" s="523"/>
      <c r="AJ251" s="523"/>
      <c r="AK251" s="523"/>
      <c r="AL251" s="523"/>
      <c r="AM251" s="523"/>
      <c r="AN251" s="523"/>
      <c r="AO251" s="523"/>
      <c r="AP251" s="523"/>
      <c r="AQ251" s="523"/>
      <c r="AR251" s="523"/>
      <c r="AS251" s="523"/>
      <c r="AT251" s="523"/>
      <c r="AU251" s="523"/>
      <c r="AV251" s="523"/>
      <c r="AW251" s="523"/>
      <c r="AX251" s="523"/>
      <c r="AY251" s="523"/>
      <c r="AZ251" s="523"/>
      <c r="BA251" s="523"/>
      <c r="BB251" s="523"/>
      <c r="BC251" s="523"/>
      <c r="BD251" s="523"/>
      <c r="BE251" s="523"/>
      <c r="BF251" s="523"/>
      <c r="BG251" s="523"/>
      <c r="BH251" s="523"/>
      <c r="BI251" s="523"/>
      <c r="BJ251" s="523"/>
      <c r="BK251" s="523"/>
      <c r="BL251" s="523"/>
      <c r="BM251" s="523"/>
      <c r="BN251" s="523"/>
      <c r="BO251" s="523"/>
      <c r="BP251" s="523"/>
      <c r="BQ251" s="523"/>
      <c r="BR251" s="523"/>
      <c r="BS251" s="523"/>
      <c r="BT251" s="523"/>
      <c r="BU251" s="523"/>
      <c r="BV251" s="523"/>
      <c r="BW251" s="523"/>
      <c r="BX251" s="523"/>
      <c r="BY251" s="523"/>
      <c r="BZ251" s="523"/>
      <c r="CA251" s="523"/>
      <c r="CB251" s="524"/>
      <c r="CC251" s="3"/>
      <c r="CD251" s="3"/>
      <c r="CE251" s="100"/>
    </row>
    <row r="252" spans="1:83" x14ac:dyDescent="0.15">
      <c r="A252" s="109"/>
      <c r="B252" s="3"/>
      <c r="C252" s="3"/>
      <c r="D252" s="535" t="s">
        <v>410</v>
      </c>
      <c r="E252" s="536"/>
      <c r="F252" s="536"/>
      <c r="G252" s="536"/>
      <c r="H252" s="537"/>
      <c r="I252" s="507" t="s">
        <v>412</v>
      </c>
      <c r="J252" s="508"/>
      <c r="K252" s="508"/>
      <c r="L252" s="508"/>
      <c r="M252" s="508"/>
      <c r="N252" s="508"/>
      <c r="O252" s="508"/>
      <c r="P252" s="508"/>
      <c r="Q252" s="508"/>
      <c r="R252" s="508"/>
      <c r="S252" s="508"/>
      <c r="T252" s="508"/>
      <c r="U252" s="508"/>
      <c r="V252" s="508"/>
      <c r="W252" s="508"/>
      <c r="X252" s="508"/>
      <c r="Y252" s="508"/>
      <c r="Z252" s="508"/>
      <c r="AA252" s="508"/>
      <c r="AB252" s="508"/>
      <c r="AC252" s="508"/>
      <c r="AD252" s="508"/>
      <c r="AE252" s="508"/>
      <c r="AF252" s="508"/>
      <c r="AG252" s="509"/>
      <c r="AH252" s="507" t="s">
        <v>416</v>
      </c>
      <c r="AI252" s="508"/>
      <c r="AJ252" s="508"/>
      <c r="AK252" s="508"/>
      <c r="AL252" s="508"/>
      <c r="AM252" s="508"/>
      <c r="AN252" s="508"/>
      <c r="AO252" s="508"/>
      <c r="AP252" s="508"/>
      <c r="AQ252" s="508"/>
      <c r="AR252" s="508"/>
      <c r="AS252" s="508"/>
      <c r="AT252" s="508"/>
      <c r="AU252" s="508"/>
      <c r="AV252" s="508"/>
      <c r="AW252" s="508"/>
      <c r="AX252" s="508"/>
      <c r="AY252" s="508"/>
      <c r="AZ252" s="508"/>
      <c r="BA252" s="508"/>
      <c r="BB252" s="508"/>
      <c r="BC252" s="508"/>
      <c r="BD252" s="508"/>
      <c r="BE252" s="508"/>
      <c r="BF252" s="508"/>
      <c r="BG252" s="508"/>
      <c r="BH252" s="508"/>
      <c r="BI252" s="508"/>
      <c r="BJ252" s="508"/>
      <c r="BK252" s="508"/>
      <c r="BL252" s="508"/>
      <c r="BM252" s="508"/>
      <c r="BN252" s="508"/>
      <c r="BO252" s="508"/>
      <c r="BP252" s="508"/>
      <c r="BQ252" s="508"/>
      <c r="BR252" s="508"/>
      <c r="BS252" s="508"/>
      <c r="BT252" s="508"/>
      <c r="BU252" s="508"/>
      <c r="BV252" s="508"/>
      <c r="BW252" s="508"/>
      <c r="BX252" s="508"/>
      <c r="BY252" s="508"/>
      <c r="BZ252" s="508"/>
      <c r="CA252" s="508"/>
      <c r="CB252" s="509"/>
      <c r="CC252" s="3"/>
      <c r="CD252" s="3"/>
      <c r="CE252" s="100"/>
    </row>
    <row r="253" spans="1:83" x14ac:dyDescent="0.15">
      <c r="A253" s="109"/>
      <c r="B253" s="3"/>
      <c r="C253" s="3"/>
      <c r="D253" s="593" t="s">
        <v>420</v>
      </c>
      <c r="E253" s="594"/>
      <c r="F253" s="594"/>
      <c r="G253" s="594"/>
      <c r="H253" s="595"/>
      <c r="I253" s="111" t="s">
        <v>421</v>
      </c>
      <c r="J253" s="112"/>
      <c r="K253" s="112"/>
      <c r="L253" s="112"/>
      <c r="M253" s="112"/>
      <c r="N253" s="112"/>
      <c r="O253" s="112"/>
      <c r="P253" s="112"/>
      <c r="Q253" s="112"/>
      <c r="R253" s="112"/>
      <c r="S253" s="749" t="s">
        <v>837</v>
      </c>
      <c r="T253" s="750"/>
      <c r="U253" s="750"/>
      <c r="V253" s="750"/>
      <c r="W253" s="750"/>
      <c r="X253" s="750"/>
      <c r="Y253" s="750"/>
      <c r="Z253" s="750"/>
      <c r="AA253" s="750"/>
      <c r="AB253" s="750"/>
      <c r="AC253" s="750"/>
      <c r="AD253" s="750"/>
      <c r="AE253" s="750"/>
      <c r="AF253" s="750"/>
      <c r="AG253" s="751"/>
      <c r="AH253" s="749" t="s">
        <v>440</v>
      </c>
      <c r="AI253" s="750"/>
      <c r="AJ253" s="750"/>
      <c r="AK253" s="750"/>
      <c r="AL253" s="750"/>
      <c r="AM253" s="750"/>
      <c r="AN253" s="750"/>
      <c r="AO253" s="750"/>
      <c r="AP253" s="750"/>
      <c r="AQ253" s="750"/>
      <c r="AR253" s="750"/>
      <c r="AS253" s="750"/>
      <c r="AT253" s="750"/>
      <c r="AU253" s="750"/>
      <c r="AV253" s="750"/>
      <c r="AW253" s="750"/>
      <c r="AX253" s="750"/>
      <c r="AY253" s="750"/>
      <c r="AZ253" s="750"/>
      <c r="BA253" s="750"/>
      <c r="BB253" s="750"/>
      <c r="BC253" s="750"/>
      <c r="BD253" s="750"/>
      <c r="BE253" s="750"/>
      <c r="BF253" s="750"/>
      <c r="BG253" s="750"/>
      <c r="BH253" s="750"/>
      <c r="BI253" s="750"/>
      <c r="BJ253" s="750"/>
      <c r="BK253" s="750"/>
      <c r="BL253" s="750"/>
      <c r="BM253" s="750"/>
      <c r="BN253" s="750"/>
      <c r="BO253" s="750"/>
      <c r="BP253" s="750"/>
      <c r="BQ253" s="750"/>
      <c r="BR253" s="750"/>
      <c r="BS253" s="750"/>
      <c r="BT253" s="750"/>
      <c r="BU253" s="750"/>
      <c r="BV253" s="750"/>
      <c r="BW253" s="750"/>
      <c r="BX253" s="750"/>
      <c r="BY253" s="750"/>
      <c r="BZ253" s="750"/>
      <c r="CA253" s="750"/>
      <c r="CB253" s="751"/>
      <c r="CC253" s="3"/>
      <c r="CD253" s="3"/>
      <c r="CE253" s="100"/>
    </row>
    <row r="254" spans="1:83" x14ac:dyDescent="0.15">
      <c r="A254" s="109"/>
      <c r="B254" s="3"/>
      <c r="C254" s="3"/>
      <c r="D254" s="596"/>
      <c r="E254" s="597"/>
      <c r="F254" s="597"/>
      <c r="G254" s="597"/>
      <c r="H254" s="598"/>
      <c r="I254" s="127"/>
      <c r="J254" s="125"/>
      <c r="K254" s="125"/>
      <c r="L254" s="125"/>
      <c r="M254" s="125"/>
      <c r="N254" s="125"/>
      <c r="O254" s="125"/>
      <c r="P254" s="125"/>
      <c r="Q254" s="125"/>
      <c r="R254" s="125"/>
      <c r="S254" s="111" t="s">
        <v>435</v>
      </c>
      <c r="T254" s="112"/>
      <c r="U254" s="112"/>
      <c r="V254" s="112"/>
      <c r="W254" s="112"/>
      <c r="X254" s="112"/>
      <c r="Y254" s="112"/>
      <c r="Z254" s="112"/>
      <c r="AA254" s="112"/>
      <c r="AB254" s="112"/>
      <c r="AC254" s="112"/>
      <c r="AD254" s="112"/>
      <c r="AE254" s="112"/>
      <c r="AF254" s="112"/>
      <c r="AG254" s="145"/>
      <c r="AH254" s="782" t="s">
        <v>440</v>
      </c>
      <c r="AI254" s="783"/>
      <c r="AJ254" s="783"/>
      <c r="AK254" s="783"/>
      <c r="AL254" s="783"/>
      <c r="AM254" s="783"/>
      <c r="AN254" s="783"/>
      <c r="AO254" s="783"/>
      <c r="AP254" s="783"/>
      <c r="AQ254" s="783"/>
      <c r="AR254" s="783"/>
      <c r="AS254" s="783"/>
      <c r="AT254" s="783"/>
      <c r="AU254" s="783"/>
      <c r="AV254" s="783"/>
      <c r="AW254" s="783"/>
      <c r="AX254" s="783"/>
      <c r="AY254" s="783"/>
      <c r="AZ254" s="783"/>
      <c r="BA254" s="783"/>
      <c r="BB254" s="783"/>
      <c r="BC254" s="783"/>
      <c r="BD254" s="783"/>
      <c r="BE254" s="783"/>
      <c r="BF254" s="783"/>
      <c r="BG254" s="783"/>
      <c r="BH254" s="783"/>
      <c r="BI254" s="783"/>
      <c r="BJ254" s="783"/>
      <c r="BK254" s="783"/>
      <c r="BL254" s="783"/>
      <c r="BM254" s="783"/>
      <c r="BN254" s="783"/>
      <c r="BO254" s="783"/>
      <c r="BP254" s="783"/>
      <c r="BQ254" s="783"/>
      <c r="BR254" s="783"/>
      <c r="BS254" s="783"/>
      <c r="BT254" s="783"/>
      <c r="BU254" s="783"/>
      <c r="BV254" s="783"/>
      <c r="BW254" s="783"/>
      <c r="BX254" s="783"/>
      <c r="BY254" s="783"/>
      <c r="BZ254" s="783"/>
      <c r="CA254" s="783"/>
      <c r="CB254" s="784"/>
      <c r="CC254" s="3"/>
      <c r="CD254" s="3"/>
      <c r="CE254" s="100"/>
    </row>
    <row r="255" spans="1:83" ht="13.5" x14ac:dyDescent="0.15">
      <c r="A255" s="109"/>
      <c r="B255" s="3"/>
      <c r="C255" s="3"/>
      <c r="D255" s="544"/>
      <c r="E255" s="545"/>
      <c r="F255" s="545"/>
      <c r="G255" s="545"/>
      <c r="H255" s="546"/>
      <c r="I255" s="148"/>
      <c r="J255" s="149"/>
      <c r="K255" s="149"/>
      <c r="L255" s="149"/>
      <c r="M255" s="149"/>
      <c r="N255" s="149"/>
      <c r="O255" s="149"/>
      <c r="P255" s="149"/>
      <c r="Q255" s="149"/>
      <c r="R255" s="149"/>
      <c r="S255" s="150" t="s">
        <v>436</v>
      </c>
      <c r="T255" s="151"/>
      <c r="U255" s="151"/>
      <c r="V255" s="151"/>
      <c r="W255" s="151"/>
      <c r="X255" s="151"/>
      <c r="Y255" s="151"/>
      <c r="Z255" s="151"/>
      <c r="AA255" s="151"/>
      <c r="AB255" s="151"/>
      <c r="AC255" s="151"/>
      <c r="AD255" s="151"/>
      <c r="AE255" s="151"/>
      <c r="AF255" s="151"/>
      <c r="AG255" s="152"/>
      <c r="AH255" s="785"/>
      <c r="AI255" s="786"/>
      <c r="AJ255" s="786"/>
      <c r="AK255" s="786"/>
      <c r="AL255" s="786"/>
      <c r="AM255" s="786"/>
      <c r="AN255" s="786"/>
      <c r="AO255" s="786"/>
      <c r="AP255" s="786"/>
      <c r="AQ255" s="786"/>
      <c r="AR255" s="786"/>
      <c r="AS255" s="786"/>
      <c r="AT255" s="786"/>
      <c r="AU255" s="786"/>
      <c r="AV255" s="786"/>
      <c r="AW255" s="786"/>
      <c r="AX255" s="786"/>
      <c r="AY255" s="786"/>
      <c r="AZ255" s="786"/>
      <c r="BA255" s="786"/>
      <c r="BB255" s="786"/>
      <c r="BC255" s="786"/>
      <c r="BD255" s="786"/>
      <c r="BE255" s="786"/>
      <c r="BF255" s="786"/>
      <c r="BG255" s="786"/>
      <c r="BH255" s="786"/>
      <c r="BI255" s="786"/>
      <c r="BJ255" s="786"/>
      <c r="BK255" s="786"/>
      <c r="BL255" s="786"/>
      <c r="BM255" s="786"/>
      <c r="BN255" s="786"/>
      <c r="BO255" s="786"/>
      <c r="BP255" s="786"/>
      <c r="BQ255" s="786"/>
      <c r="BR255" s="786"/>
      <c r="BS255" s="786"/>
      <c r="BT255" s="786"/>
      <c r="BU255" s="786"/>
      <c r="BV255" s="786"/>
      <c r="BW255" s="786"/>
      <c r="BX255" s="786"/>
      <c r="BY255" s="786"/>
      <c r="BZ255" s="786"/>
      <c r="CA255" s="786"/>
      <c r="CB255" s="787"/>
      <c r="CC255" s="3"/>
      <c r="CD255" s="3"/>
      <c r="CE255" s="100"/>
    </row>
    <row r="256" spans="1:83" x14ac:dyDescent="0.15">
      <c r="A256" s="109"/>
      <c r="B256" s="3"/>
      <c r="C256" s="3"/>
      <c r="D256" s="535" t="s">
        <v>129</v>
      </c>
      <c r="E256" s="536"/>
      <c r="F256" s="536"/>
      <c r="G256" s="536"/>
      <c r="H256" s="537"/>
      <c r="I256" s="507" t="s">
        <v>767</v>
      </c>
      <c r="J256" s="508"/>
      <c r="K256" s="508"/>
      <c r="L256" s="508"/>
      <c r="M256" s="508"/>
      <c r="N256" s="508"/>
      <c r="O256" s="508"/>
      <c r="P256" s="508"/>
      <c r="Q256" s="508"/>
      <c r="R256" s="508"/>
      <c r="S256" s="508"/>
      <c r="T256" s="508"/>
      <c r="U256" s="508"/>
      <c r="V256" s="508"/>
      <c r="W256" s="508"/>
      <c r="X256" s="508"/>
      <c r="Y256" s="508"/>
      <c r="Z256" s="508"/>
      <c r="AA256" s="508"/>
      <c r="AB256" s="508"/>
      <c r="AC256" s="508"/>
      <c r="AD256" s="508"/>
      <c r="AE256" s="508"/>
      <c r="AF256" s="508"/>
      <c r="AG256" s="509"/>
      <c r="AH256" s="507" t="s">
        <v>416</v>
      </c>
      <c r="AI256" s="508"/>
      <c r="AJ256" s="508"/>
      <c r="AK256" s="508"/>
      <c r="AL256" s="508"/>
      <c r="AM256" s="508"/>
      <c r="AN256" s="508"/>
      <c r="AO256" s="508"/>
      <c r="AP256" s="508"/>
      <c r="AQ256" s="508"/>
      <c r="AR256" s="508"/>
      <c r="AS256" s="508"/>
      <c r="AT256" s="508"/>
      <c r="AU256" s="508"/>
      <c r="AV256" s="508"/>
      <c r="AW256" s="508"/>
      <c r="AX256" s="508"/>
      <c r="AY256" s="508"/>
      <c r="AZ256" s="508"/>
      <c r="BA256" s="508"/>
      <c r="BB256" s="508"/>
      <c r="BC256" s="508"/>
      <c r="BD256" s="508"/>
      <c r="BE256" s="508"/>
      <c r="BF256" s="508"/>
      <c r="BG256" s="508"/>
      <c r="BH256" s="508"/>
      <c r="BI256" s="508"/>
      <c r="BJ256" s="508"/>
      <c r="BK256" s="508"/>
      <c r="BL256" s="508"/>
      <c r="BM256" s="508"/>
      <c r="BN256" s="508"/>
      <c r="BO256" s="508"/>
      <c r="BP256" s="508"/>
      <c r="BQ256" s="508"/>
      <c r="BR256" s="508"/>
      <c r="BS256" s="508"/>
      <c r="BT256" s="508"/>
      <c r="BU256" s="508"/>
      <c r="BV256" s="508"/>
      <c r="BW256" s="508"/>
      <c r="BX256" s="508"/>
      <c r="BY256" s="508"/>
      <c r="BZ256" s="508"/>
      <c r="CA256" s="508"/>
      <c r="CB256" s="509"/>
      <c r="CC256" s="3"/>
      <c r="CD256" s="3"/>
      <c r="CE256" s="100"/>
    </row>
    <row r="257" spans="1:83" x14ac:dyDescent="0.15">
      <c r="A257" s="109"/>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100"/>
    </row>
    <row r="258" spans="1:83" x14ac:dyDescent="0.15">
      <c r="A258" s="109"/>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100"/>
    </row>
    <row r="259" spans="1:83" x14ac:dyDescent="0.15">
      <c r="A259" s="10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100"/>
    </row>
    <row r="260" spans="1:83" x14ac:dyDescent="0.15">
      <c r="A260" s="109"/>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100"/>
    </row>
    <row r="261" spans="1:83" x14ac:dyDescent="0.15">
      <c r="A261" s="109"/>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100"/>
    </row>
    <row r="262" spans="1:83" x14ac:dyDescent="0.15">
      <c r="A262" s="109"/>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100"/>
    </row>
    <row r="263" spans="1:83" x14ac:dyDescent="0.15">
      <c r="A263" s="109"/>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100"/>
    </row>
    <row r="264" spans="1:83" x14ac:dyDescent="0.15">
      <c r="A264" s="109"/>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100"/>
    </row>
    <row r="265" spans="1:83" x14ac:dyDescent="0.15">
      <c r="A265" s="109"/>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100"/>
    </row>
    <row r="266" spans="1:83" x14ac:dyDescent="0.15">
      <c r="A266" s="109"/>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100"/>
    </row>
    <row r="267" spans="1:83" x14ac:dyDescent="0.15">
      <c r="A267" s="109"/>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100"/>
    </row>
    <row r="268" spans="1:83" x14ac:dyDescent="0.15">
      <c r="A268" s="109"/>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100"/>
    </row>
    <row r="269" spans="1:83" x14ac:dyDescent="0.15">
      <c r="A269" s="10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100"/>
    </row>
    <row r="270" spans="1:83" x14ac:dyDescent="0.15">
      <c r="A270" s="109"/>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100"/>
    </row>
    <row r="271" spans="1:83" x14ac:dyDescent="0.15">
      <c r="A271" s="109"/>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100"/>
    </row>
    <row r="272" spans="1:83" x14ac:dyDescent="0.15">
      <c r="A272" s="109"/>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100"/>
    </row>
    <row r="273" spans="1:83" x14ac:dyDescent="0.15">
      <c r="A273" s="109"/>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100"/>
    </row>
    <row r="274" spans="1:83" x14ac:dyDescent="0.15">
      <c r="A274" s="109"/>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100"/>
    </row>
    <row r="275" spans="1:83" x14ac:dyDescent="0.15">
      <c r="A275" s="109"/>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100"/>
    </row>
    <row r="276" spans="1:83" x14ac:dyDescent="0.15">
      <c r="A276" s="109"/>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100"/>
    </row>
    <row r="277" spans="1:83" x14ac:dyDescent="0.15">
      <c r="A277" s="109"/>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100"/>
    </row>
    <row r="278" spans="1:83" x14ac:dyDescent="0.15">
      <c r="A278" s="109"/>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100"/>
    </row>
    <row r="279" spans="1:83" x14ac:dyDescent="0.15">
      <c r="A279" s="10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100"/>
    </row>
    <row r="280" spans="1:83" ht="12.75" thickBot="1" x14ac:dyDescent="0.2">
      <c r="A280" s="110"/>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c r="AB280" s="103"/>
      <c r="AC280" s="103"/>
      <c r="AD280" s="103"/>
      <c r="AE280" s="103"/>
      <c r="AF280" s="103"/>
      <c r="AG280" s="103"/>
      <c r="AH280" s="103"/>
      <c r="AI280" s="103"/>
      <c r="AJ280" s="103"/>
      <c r="AK280" s="103"/>
      <c r="AL280" s="103"/>
      <c r="AM280" s="103"/>
      <c r="AN280" s="103"/>
      <c r="AO280" s="103"/>
      <c r="AP280" s="103"/>
      <c r="AQ280" s="103"/>
      <c r="AR280" s="103"/>
      <c r="AS280" s="103"/>
      <c r="AT280" s="103"/>
      <c r="AU280" s="103"/>
      <c r="AV280" s="103"/>
      <c r="AW280" s="103"/>
      <c r="AX280" s="103"/>
      <c r="AY280" s="103"/>
      <c r="AZ280" s="103"/>
      <c r="BA280" s="103"/>
      <c r="BB280" s="103"/>
      <c r="BC280" s="103"/>
      <c r="BD280" s="103"/>
      <c r="BE280" s="103"/>
      <c r="BF280" s="103"/>
      <c r="BG280" s="103"/>
      <c r="BH280" s="103"/>
      <c r="BI280" s="103"/>
      <c r="BJ280" s="103"/>
      <c r="BK280" s="103"/>
      <c r="BL280" s="103"/>
      <c r="BM280" s="103"/>
      <c r="BN280" s="103"/>
      <c r="BO280" s="103"/>
      <c r="BP280" s="103"/>
      <c r="BQ280" s="103"/>
      <c r="BR280" s="103"/>
      <c r="BS280" s="103"/>
      <c r="BT280" s="103"/>
      <c r="BU280" s="103"/>
      <c r="BV280" s="103"/>
      <c r="BW280" s="103"/>
      <c r="BX280" s="103"/>
      <c r="BY280" s="103"/>
      <c r="BZ280" s="103"/>
      <c r="CA280" s="103"/>
      <c r="CB280" s="103"/>
      <c r="CC280" s="103"/>
      <c r="CD280" s="103"/>
      <c r="CE280" s="105"/>
    </row>
    <row r="281" spans="1:83" s="9" customFormat="1" ht="12" customHeight="1" x14ac:dyDescent="0.15">
      <c r="A281" s="13"/>
      <c r="B281" s="14"/>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59"/>
      <c r="AT281" s="159"/>
      <c r="AU281" s="159"/>
      <c r="AV281" s="159"/>
      <c r="AW281" s="159"/>
      <c r="AX281" s="159"/>
      <c r="AY281" s="159"/>
      <c r="AZ281" s="160"/>
      <c r="BA281" s="160"/>
      <c r="BB281" s="160"/>
      <c r="BC281" s="160"/>
      <c r="BD281" s="160"/>
      <c r="BE281" s="160"/>
      <c r="BF281" s="160"/>
      <c r="BG281" s="160"/>
      <c r="BH281" s="160"/>
      <c r="BI281" s="160"/>
      <c r="BJ281" s="160"/>
      <c r="BK281" s="160"/>
      <c r="BL281" s="160"/>
      <c r="BM281" s="160"/>
      <c r="BN281" s="160"/>
      <c r="BO281" s="160"/>
      <c r="BP281" s="160"/>
      <c r="BQ281" s="160"/>
      <c r="BR281" s="160"/>
      <c r="BS281" s="160"/>
      <c r="BT281" s="160"/>
      <c r="BU281" s="160"/>
      <c r="BV281" s="160"/>
      <c r="BW281" s="160"/>
      <c r="BX281" s="160"/>
      <c r="BY281" s="160"/>
      <c r="BZ281" s="160"/>
      <c r="CA281" s="160"/>
      <c r="CB281" s="160"/>
      <c r="CC281" s="159"/>
      <c r="CD281" s="159"/>
      <c r="CE281" s="15"/>
    </row>
    <row r="282" spans="1:83" s="9" customFormat="1" ht="12" customHeight="1" x14ac:dyDescent="0.15">
      <c r="A282" s="16"/>
      <c r="B282" s="8"/>
      <c r="C282" s="17"/>
      <c r="D282" s="17"/>
      <c r="E282" s="22" t="s">
        <v>608</v>
      </c>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17"/>
      <c r="CD282" s="17"/>
      <c r="CE282" s="18"/>
    </row>
    <row r="283" spans="1:83" s="4" customFormat="1" ht="12" customHeight="1" x14ac:dyDescent="0.15">
      <c r="A283" s="16"/>
      <c r="B283" s="5"/>
      <c r="C283" s="5"/>
      <c r="D283" s="5"/>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2"/>
      <c r="CB283" s="12"/>
      <c r="CC283" s="12"/>
      <c r="CD283" s="12"/>
      <c r="CE283" s="18"/>
    </row>
    <row r="284" spans="1:83" s="4" customFormat="1" ht="12" customHeight="1" x14ac:dyDescent="0.15">
      <c r="A284" s="16"/>
      <c r="B284" s="73"/>
      <c r="C284" s="12"/>
      <c r="D284" s="12"/>
      <c r="E284" s="17"/>
      <c r="F284" s="17"/>
      <c r="G284" s="17" t="s">
        <v>603</v>
      </c>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2"/>
      <c r="CB284" s="12"/>
      <c r="CC284" s="12"/>
      <c r="CD284" s="12"/>
      <c r="CE284" s="18"/>
    </row>
    <row r="285" spans="1:83" s="9" customFormat="1" ht="12" customHeight="1" x14ac:dyDescent="0.15">
      <c r="A285" s="16"/>
      <c r="B285" s="8"/>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17"/>
      <c r="CD285" s="17"/>
      <c r="CE285" s="18"/>
    </row>
    <row r="286" spans="1:83" s="6" customFormat="1" ht="12" customHeight="1" x14ac:dyDescent="0.15">
      <c r="A286" s="16"/>
      <c r="B286" s="5"/>
      <c r="C286" s="12"/>
      <c r="D286" s="12"/>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2"/>
      <c r="CB286" s="12"/>
      <c r="CC286" s="12"/>
      <c r="CD286" s="12"/>
      <c r="CE286" s="18"/>
    </row>
    <row r="287" spans="1:83" s="4" customFormat="1" ht="12" customHeight="1" x14ac:dyDescent="0.15">
      <c r="A287" s="16"/>
      <c r="B287" s="73"/>
      <c r="C287" s="12"/>
      <c r="D287" s="12"/>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2"/>
      <c r="CB287" s="12"/>
      <c r="CC287" s="12"/>
      <c r="CD287" s="12"/>
      <c r="CE287" s="18"/>
    </row>
    <row r="288" spans="1:83" s="4" customFormat="1" ht="12" customHeight="1" x14ac:dyDescent="0.15">
      <c r="A288" s="16"/>
      <c r="B288" s="73"/>
      <c r="C288" s="12"/>
      <c r="D288" s="12"/>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2"/>
      <c r="CB288" s="12"/>
      <c r="CC288" s="12"/>
      <c r="CD288" s="12"/>
      <c r="CE288" s="18"/>
    </row>
    <row r="289" spans="1:83" s="4" customFormat="1" ht="12" customHeight="1" x14ac:dyDescent="0.15">
      <c r="A289" s="16"/>
      <c r="B289" s="73"/>
      <c r="C289" s="12"/>
      <c r="D289" s="12"/>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2"/>
      <c r="CB289" s="12"/>
      <c r="CC289" s="12"/>
      <c r="CD289" s="12"/>
      <c r="CE289" s="18"/>
    </row>
    <row r="290" spans="1:83" s="4" customFormat="1" ht="12" customHeight="1" x14ac:dyDescent="0.15">
      <c r="A290" s="16"/>
      <c r="B290" s="73"/>
      <c r="C290" s="12"/>
      <c r="D290" s="12"/>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2"/>
      <c r="CB290" s="12"/>
      <c r="CC290" s="12"/>
      <c r="CD290" s="12"/>
      <c r="CE290" s="18"/>
    </row>
    <row r="291" spans="1:83" s="4" customFormat="1" ht="12" customHeight="1" x14ac:dyDescent="0.15">
      <c r="A291" s="16"/>
      <c r="B291" s="8"/>
      <c r="C291" s="12"/>
      <c r="D291" s="12"/>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2"/>
      <c r="CB291" s="12"/>
      <c r="CC291" s="12"/>
      <c r="CD291" s="12"/>
      <c r="CE291" s="18"/>
    </row>
    <row r="292" spans="1:83" s="4" customFormat="1" ht="12" customHeight="1" x14ac:dyDescent="0.15">
      <c r="A292" s="16"/>
      <c r="B292" s="8"/>
      <c r="C292" s="12"/>
      <c r="D292" s="12"/>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2"/>
      <c r="CB292" s="12"/>
      <c r="CC292" s="12"/>
      <c r="CD292" s="12"/>
      <c r="CE292" s="18"/>
    </row>
    <row r="293" spans="1:83" s="9" customFormat="1" ht="12" customHeight="1" x14ac:dyDescent="0.15">
      <c r="A293" s="16"/>
      <c r="B293" s="8"/>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17"/>
      <c r="CD293" s="17"/>
      <c r="CE293" s="18"/>
    </row>
    <row r="294" spans="1:83" s="9" customFormat="1" ht="12" customHeight="1" x14ac:dyDescent="0.15">
      <c r="A294" s="16"/>
      <c r="B294" s="8"/>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17"/>
      <c r="CD294" s="17"/>
      <c r="CE294" s="18"/>
    </row>
    <row r="295" spans="1:83" s="9" customFormat="1" ht="12" customHeight="1" x14ac:dyDescent="0.15">
      <c r="A295" s="16"/>
      <c r="B295" s="8"/>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17"/>
      <c r="CD295" s="17"/>
      <c r="CE295" s="18"/>
    </row>
    <row r="296" spans="1:83" s="9" customFormat="1" ht="12" customHeight="1" x14ac:dyDescent="0.15">
      <c r="A296" s="16"/>
      <c r="B296" s="8"/>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17"/>
      <c r="CD296" s="17"/>
      <c r="CE296" s="18"/>
    </row>
    <row r="297" spans="1:83" s="9" customFormat="1" ht="12" customHeight="1" x14ac:dyDescent="0.15">
      <c r="A297" s="16"/>
      <c r="B297" s="8"/>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17"/>
      <c r="CD297" s="17"/>
      <c r="CE297" s="18"/>
    </row>
    <row r="298" spans="1:83" s="9" customFormat="1" ht="12" customHeight="1" x14ac:dyDescent="0.15">
      <c r="A298" s="16"/>
      <c r="B298" s="8"/>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17"/>
      <c r="CD298" s="17"/>
      <c r="CE298" s="18"/>
    </row>
    <row r="299" spans="1:83" s="9" customFormat="1" ht="12" customHeight="1" x14ac:dyDescent="0.15">
      <c r="A299" s="16"/>
      <c r="B299" s="8"/>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17"/>
      <c r="CD299" s="17"/>
      <c r="CE299" s="18"/>
    </row>
    <row r="300" spans="1:83" s="9" customFormat="1" ht="12" customHeight="1" x14ac:dyDescent="0.15">
      <c r="A300" s="16"/>
      <c r="B300" s="8"/>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17"/>
      <c r="CD300" s="17"/>
      <c r="CE300" s="18"/>
    </row>
    <row r="301" spans="1:83" s="9" customFormat="1" ht="12" customHeight="1" x14ac:dyDescent="0.15">
      <c r="A301" s="16"/>
      <c r="B301" s="8"/>
      <c r="C301" s="17"/>
      <c r="D301" s="157"/>
      <c r="E301" s="157"/>
      <c r="F301" s="15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17"/>
      <c r="CD301" s="17"/>
      <c r="CE301" s="18"/>
    </row>
    <row r="302" spans="1:83" s="9" customFormat="1" ht="12" customHeight="1" x14ac:dyDescent="0.15">
      <c r="A302" s="16"/>
      <c r="B302" s="8"/>
      <c r="C302" s="17"/>
      <c r="D302" s="157"/>
      <c r="E302" s="157"/>
      <c r="F302" s="15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17"/>
      <c r="CD302" s="17"/>
      <c r="CE302" s="18"/>
    </row>
    <row r="303" spans="1:83" s="9" customFormat="1" ht="12" customHeight="1" x14ac:dyDescent="0.15">
      <c r="A303" s="16"/>
      <c r="B303" s="8"/>
      <c r="C303" s="17"/>
      <c r="D303" s="157"/>
      <c r="E303" s="157"/>
      <c r="F303" s="15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17"/>
      <c r="CD303" s="17"/>
      <c r="CE303" s="18"/>
    </row>
    <row r="304" spans="1:83" s="9" customFormat="1" ht="12" customHeight="1" x14ac:dyDescent="0.15">
      <c r="A304" s="16"/>
      <c r="B304" s="8"/>
      <c r="C304" s="17"/>
      <c r="D304" s="157"/>
      <c r="E304" s="157"/>
      <c r="F304" s="15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17"/>
      <c r="CD304" s="17"/>
      <c r="CE304" s="18"/>
    </row>
    <row r="305" spans="1:83" s="9" customFormat="1" ht="12" customHeight="1" x14ac:dyDescent="0.15">
      <c r="A305" s="16"/>
      <c r="B305" s="8"/>
      <c r="C305" s="17"/>
      <c r="D305" s="157"/>
      <c r="E305" s="157"/>
      <c r="F305" s="15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17"/>
      <c r="CD305" s="17"/>
      <c r="CE305" s="18"/>
    </row>
    <row r="306" spans="1:83" s="9" customFormat="1" ht="12" customHeight="1" x14ac:dyDescent="0.15">
      <c r="A306" s="16"/>
      <c r="B306" s="8"/>
      <c r="C306" s="17"/>
      <c r="D306" s="157"/>
      <c r="E306" s="157"/>
      <c r="F306" s="15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17"/>
      <c r="CD306" s="17"/>
      <c r="CE306" s="18"/>
    </row>
    <row r="307" spans="1:83" s="9" customFormat="1" ht="12" customHeight="1" x14ac:dyDescent="0.15">
      <c r="A307" s="16"/>
      <c r="B307" s="8"/>
      <c r="C307" s="17"/>
      <c r="D307" s="157"/>
      <c r="E307" s="157"/>
      <c r="F307" s="15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17"/>
      <c r="CD307" s="17"/>
      <c r="CE307" s="18"/>
    </row>
    <row r="308" spans="1:83" s="9" customFormat="1" ht="12" customHeight="1" x14ac:dyDescent="0.15">
      <c r="A308" s="16"/>
      <c r="B308" s="8"/>
      <c r="C308" s="17"/>
      <c r="D308" s="534" t="s">
        <v>606</v>
      </c>
      <c r="E308" s="534"/>
      <c r="F308" s="534"/>
      <c r="G308" s="534"/>
      <c r="H308" s="534"/>
      <c r="I308" s="534"/>
      <c r="J308" s="534"/>
      <c r="K308" s="534"/>
      <c r="L308" s="534"/>
      <c r="M308" s="534"/>
      <c r="N308" s="534"/>
      <c r="O308" s="534"/>
      <c r="P308" s="534"/>
      <c r="Q308" s="534"/>
      <c r="R308" s="534"/>
      <c r="S308" s="534"/>
      <c r="T308" s="534"/>
      <c r="U308" s="534"/>
      <c r="V308" s="534"/>
      <c r="W308" s="534"/>
      <c r="X308" s="534"/>
      <c r="Y308" s="534"/>
      <c r="Z308" s="534"/>
      <c r="AA308" s="534"/>
      <c r="AB308" s="534"/>
      <c r="AC308" s="534"/>
      <c r="AD308" s="534"/>
      <c r="AE308" s="534"/>
      <c r="AF308" s="534"/>
      <c r="AG308" s="534"/>
      <c r="AH308" s="534"/>
      <c r="AI308" s="534"/>
      <c r="AJ308" s="534"/>
      <c r="AK308" s="534"/>
      <c r="AL308" s="534"/>
      <c r="AM308" s="534"/>
      <c r="AN308" s="534"/>
      <c r="AO308" s="534"/>
      <c r="AP308" s="534"/>
      <c r="AQ308" s="534"/>
      <c r="AR308" s="534"/>
      <c r="AS308" s="534"/>
      <c r="AT308" s="534"/>
      <c r="AU308" s="534"/>
      <c r="AV308" s="534"/>
      <c r="AW308" s="534"/>
      <c r="AX308" s="534"/>
      <c r="AY308" s="534"/>
      <c r="AZ308" s="534"/>
      <c r="BA308" s="534"/>
      <c r="BB308" s="534"/>
      <c r="BC308" s="534"/>
      <c r="BD308" s="534"/>
      <c r="BE308" s="534"/>
      <c r="BF308" s="534"/>
      <c r="BG308" s="534"/>
      <c r="BH308" s="534"/>
      <c r="BI308" s="534"/>
      <c r="BJ308" s="534"/>
      <c r="BK308" s="534"/>
      <c r="BL308" s="534"/>
      <c r="BM308" s="534"/>
      <c r="BN308" s="534"/>
      <c r="BO308" s="534"/>
      <c r="BP308" s="534"/>
      <c r="BQ308" s="534"/>
      <c r="BR308" s="534"/>
      <c r="BS308" s="534"/>
      <c r="BT308" s="534"/>
      <c r="BU308" s="534"/>
      <c r="BV308" s="534"/>
      <c r="BW308" s="534"/>
      <c r="BX308" s="534"/>
      <c r="BY308" s="534"/>
      <c r="BZ308" s="534"/>
      <c r="CA308" s="534"/>
      <c r="CB308" s="534"/>
      <c r="CC308" s="17"/>
      <c r="CD308" s="17"/>
      <c r="CE308" s="18"/>
    </row>
    <row r="309" spans="1:83" ht="12.75" customHeight="1" x14ac:dyDescent="0.15">
      <c r="A309" s="98"/>
      <c r="B309" s="99"/>
      <c r="C309" s="3"/>
      <c r="D309" s="535" t="s">
        <v>403</v>
      </c>
      <c r="E309" s="536"/>
      <c r="F309" s="536"/>
      <c r="G309" s="536"/>
      <c r="H309" s="537"/>
      <c r="I309" s="538" t="s">
        <v>598</v>
      </c>
      <c r="J309" s="539"/>
      <c r="K309" s="539"/>
      <c r="L309" s="539"/>
      <c r="M309" s="539"/>
      <c r="N309" s="539"/>
      <c r="O309" s="539"/>
      <c r="P309" s="539"/>
      <c r="Q309" s="539"/>
      <c r="R309" s="539"/>
      <c r="S309" s="539"/>
      <c r="T309" s="539"/>
      <c r="U309" s="539"/>
      <c r="V309" s="539"/>
      <c r="W309" s="539"/>
      <c r="X309" s="539"/>
      <c r="Y309" s="539"/>
      <c r="Z309" s="539"/>
      <c r="AA309" s="539"/>
      <c r="AB309" s="540"/>
      <c r="AC309" s="692" t="s">
        <v>405</v>
      </c>
      <c r="AD309" s="693"/>
      <c r="AE309" s="693"/>
      <c r="AF309" s="693"/>
      <c r="AG309" s="693"/>
      <c r="AH309" s="693"/>
      <c r="AI309" s="693"/>
      <c r="AJ309" s="693"/>
      <c r="AK309" s="693"/>
      <c r="AL309" s="693"/>
      <c r="AM309" s="693"/>
      <c r="AN309" s="693"/>
      <c r="AO309" s="693"/>
      <c r="AP309" s="693"/>
      <c r="AQ309" s="693"/>
      <c r="AR309" s="693"/>
      <c r="AS309" s="693"/>
      <c r="AT309" s="693"/>
      <c r="AU309" s="693"/>
      <c r="AV309" s="693"/>
      <c r="AW309" s="693"/>
      <c r="AX309" s="693"/>
      <c r="AY309" s="693"/>
      <c r="AZ309" s="693"/>
      <c r="BA309" s="693"/>
      <c r="BB309" s="693"/>
      <c r="BC309" s="693"/>
      <c r="BD309" s="693"/>
      <c r="BE309" s="693"/>
      <c r="BF309" s="693"/>
      <c r="BG309" s="693"/>
      <c r="BH309" s="693"/>
      <c r="BI309" s="693"/>
      <c r="BJ309" s="693"/>
      <c r="BK309" s="693"/>
      <c r="BL309" s="693"/>
      <c r="BM309" s="693"/>
      <c r="BN309" s="693"/>
      <c r="BO309" s="693"/>
      <c r="BP309" s="693"/>
      <c r="BQ309" s="693"/>
      <c r="BR309" s="693"/>
      <c r="BS309" s="693"/>
      <c r="BT309" s="693"/>
      <c r="BU309" s="693"/>
      <c r="BV309" s="693"/>
      <c r="BW309" s="693"/>
      <c r="BX309" s="693"/>
      <c r="BY309" s="693"/>
      <c r="BZ309" s="693"/>
      <c r="CA309" s="693"/>
      <c r="CB309" s="694"/>
      <c r="CC309" s="58"/>
      <c r="CD309" s="3"/>
      <c r="CE309" s="100"/>
    </row>
    <row r="310" spans="1:83" ht="12.75" customHeight="1" x14ac:dyDescent="0.15">
      <c r="A310" s="98"/>
      <c r="B310" s="99"/>
      <c r="C310" s="3"/>
      <c r="D310" s="501" t="s">
        <v>473</v>
      </c>
      <c r="E310" s="502"/>
      <c r="F310" s="502"/>
      <c r="G310" s="502"/>
      <c r="H310" s="503"/>
      <c r="I310" s="599" t="s">
        <v>648</v>
      </c>
      <c r="J310" s="600"/>
      <c r="K310" s="600"/>
      <c r="L310" s="600"/>
      <c r="M310" s="600"/>
      <c r="N310" s="600"/>
      <c r="O310" s="600"/>
      <c r="P310" s="600"/>
      <c r="Q310" s="600"/>
      <c r="R310" s="600"/>
      <c r="S310" s="600"/>
      <c r="T310" s="600"/>
      <c r="U310" s="600"/>
      <c r="V310" s="600"/>
      <c r="W310" s="600"/>
      <c r="X310" s="600"/>
      <c r="Y310" s="600"/>
      <c r="Z310" s="600"/>
      <c r="AA310" s="600"/>
      <c r="AB310" s="601"/>
      <c r="AC310" s="507" t="s">
        <v>75</v>
      </c>
      <c r="AD310" s="508"/>
      <c r="AE310" s="508"/>
      <c r="AF310" s="508"/>
      <c r="AG310" s="508"/>
      <c r="AH310" s="508"/>
      <c r="AI310" s="508"/>
      <c r="AJ310" s="508"/>
      <c r="AK310" s="508"/>
      <c r="AL310" s="508"/>
      <c r="AM310" s="508"/>
      <c r="AN310" s="508"/>
      <c r="AO310" s="508"/>
      <c r="AP310" s="508"/>
      <c r="AQ310" s="508"/>
      <c r="AR310" s="508"/>
      <c r="AS310" s="508"/>
      <c r="AT310" s="508"/>
      <c r="AU310" s="508"/>
      <c r="AV310" s="508"/>
      <c r="AW310" s="508"/>
      <c r="AX310" s="508"/>
      <c r="AY310" s="508"/>
      <c r="AZ310" s="508"/>
      <c r="BA310" s="508"/>
      <c r="BB310" s="508"/>
      <c r="BC310" s="508"/>
      <c r="BD310" s="508"/>
      <c r="BE310" s="508"/>
      <c r="BF310" s="508"/>
      <c r="BG310" s="508"/>
      <c r="BH310" s="508"/>
      <c r="BI310" s="508"/>
      <c r="BJ310" s="508"/>
      <c r="BK310" s="508"/>
      <c r="BL310" s="508"/>
      <c r="BM310" s="508"/>
      <c r="BN310" s="508"/>
      <c r="BO310" s="508"/>
      <c r="BP310" s="508"/>
      <c r="BQ310" s="508"/>
      <c r="BR310" s="508"/>
      <c r="BS310" s="508"/>
      <c r="BT310" s="508"/>
      <c r="BU310" s="508"/>
      <c r="BV310" s="508"/>
      <c r="BW310" s="508"/>
      <c r="BX310" s="508"/>
      <c r="BY310" s="508"/>
      <c r="BZ310" s="508"/>
      <c r="CA310" s="508"/>
      <c r="CB310" s="509"/>
      <c r="CC310" s="58"/>
      <c r="CD310" s="3"/>
      <c r="CE310" s="100"/>
    </row>
    <row r="311" spans="1:83" ht="12.75" customHeight="1" x14ac:dyDescent="0.15">
      <c r="A311" s="98"/>
      <c r="B311" s="99"/>
      <c r="C311" s="3"/>
      <c r="D311" s="501" t="s">
        <v>474</v>
      </c>
      <c r="E311" s="502"/>
      <c r="F311" s="502"/>
      <c r="G311" s="502"/>
      <c r="H311" s="503"/>
      <c r="I311" s="599" t="s">
        <v>76</v>
      </c>
      <c r="J311" s="600"/>
      <c r="K311" s="600"/>
      <c r="L311" s="600"/>
      <c r="M311" s="600"/>
      <c r="N311" s="600"/>
      <c r="O311" s="600"/>
      <c r="P311" s="600"/>
      <c r="Q311" s="600"/>
      <c r="R311" s="600"/>
      <c r="S311" s="600"/>
      <c r="T311" s="600"/>
      <c r="U311" s="600"/>
      <c r="V311" s="600"/>
      <c r="W311" s="600"/>
      <c r="X311" s="600"/>
      <c r="Y311" s="600"/>
      <c r="Z311" s="600"/>
      <c r="AA311" s="600"/>
      <c r="AB311" s="601"/>
      <c r="AC311" s="507" t="s">
        <v>77</v>
      </c>
      <c r="AD311" s="508"/>
      <c r="AE311" s="508"/>
      <c r="AF311" s="508"/>
      <c r="AG311" s="508"/>
      <c r="AH311" s="508"/>
      <c r="AI311" s="508"/>
      <c r="AJ311" s="508"/>
      <c r="AK311" s="508"/>
      <c r="AL311" s="508"/>
      <c r="AM311" s="508"/>
      <c r="AN311" s="508"/>
      <c r="AO311" s="508"/>
      <c r="AP311" s="508"/>
      <c r="AQ311" s="508"/>
      <c r="AR311" s="508"/>
      <c r="AS311" s="508"/>
      <c r="AT311" s="508"/>
      <c r="AU311" s="508"/>
      <c r="AV311" s="508"/>
      <c r="AW311" s="508"/>
      <c r="AX311" s="508"/>
      <c r="AY311" s="508"/>
      <c r="AZ311" s="508"/>
      <c r="BA311" s="508"/>
      <c r="BB311" s="508"/>
      <c r="BC311" s="508"/>
      <c r="BD311" s="508"/>
      <c r="BE311" s="508"/>
      <c r="BF311" s="508"/>
      <c r="BG311" s="508"/>
      <c r="BH311" s="508"/>
      <c r="BI311" s="508"/>
      <c r="BJ311" s="508"/>
      <c r="BK311" s="508"/>
      <c r="BL311" s="508"/>
      <c r="BM311" s="508"/>
      <c r="BN311" s="508"/>
      <c r="BO311" s="508"/>
      <c r="BP311" s="508"/>
      <c r="BQ311" s="508"/>
      <c r="BR311" s="508"/>
      <c r="BS311" s="508"/>
      <c r="BT311" s="508"/>
      <c r="BU311" s="508"/>
      <c r="BV311" s="508"/>
      <c r="BW311" s="508"/>
      <c r="BX311" s="508"/>
      <c r="BY311" s="508"/>
      <c r="BZ311" s="508"/>
      <c r="CA311" s="508"/>
      <c r="CB311" s="509"/>
      <c r="CC311" s="58"/>
      <c r="CD311" s="3"/>
      <c r="CE311" s="100"/>
    </row>
    <row r="312" spans="1:83" ht="12.75" customHeight="1" x14ac:dyDescent="0.15">
      <c r="A312" s="98"/>
      <c r="B312" s="99"/>
      <c r="C312" s="3"/>
      <c r="D312" s="501" t="s">
        <v>475</v>
      </c>
      <c r="E312" s="502"/>
      <c r="F312" s="502"/>
      <c r="G312" s="502"/>
      <c r="H312" s="503"/>
      <c r="I312" s="599" t="s">
        <v>601</v>
      </c>
      <c r="J312" s="600"/>
      <c r="K312" s="600"/>
      <c r="L312" s="600"/>
      <c r="M312" s="600"/>
      <c r="N312" s="600"/>
      <c r="O312" s="600"/>
      <c r="P312" s="600"/>
      <c r="Q312" s="600"/>
      <c r="R312" s="600"/>
      <c r="S312" s="600"/>
      <c r="T312" s="600"/>
      <c r="U312" s="600"/>
      <c r="V312" s="600"/>
      <c r="W312" s="600"/>
      <c r="X312" s="600"/>
      <c r="Y312" s="600"/>
      <c r="Z312" s="600"/>
      <c r="AA312" s="600"/>
      <c r="AB312" s="601"/>
      <c r="AC312" s="507" t="s">
        <v>838</v>
      </c>
      <c r="AD312" s="508"/>
      <c r="AE312" s="508"/>
      <c r="AF312" s="508"/>
      <c r="AG312" s="508"/>
      <c r="AH312" s="508"/>
      <c r="AI312" s="508"/>
      <c r="AJ312" s="508"/>
      <c r="AK312" s="508"/>
      <c r="AL312" s="508"/>
      <c r="AM312" s="508"/>
      <c r="AN312" s="508"/>
      <c r="AO312" s="508"/>
      <c r="AP312" s="508"/>
      <c r="AQ312" s="508"/>
      <c r="AR312" s="508"/>
      <c r="AS312" s="508"/>
      <c r="AT312" s="508"/>
      <c r="AU312" s="508"/>
      <c r="AV312" s="508"/>
      <c r="AW312" s="508"/>
      <c r="AX312" s="508"/>
      <c r="AY312" s="508"/>
      <c r="AZ312" s="508"/>
      <c r="BA312" s="508"/>
      <c r="BB312" s="508"/>
      <c r="BC312" s="508"/>
      <c r="BD312" s="508"/>
      <c r="BE312" s="508"/>
      <c r="BF312" s="508"/>
      <c r="BG312" s="508"/>
      <c r="BH312" s="508"/>
      <c r="BI312" s="508"/>
      <c r="BJ312" s="508"/>
      <c r="BK312" s="508"/>
      <c r="BL312" s="508"/>
      <c r="BM312" s="508"/>
      <c r="BN312" s="508"/>
      <c r="BO312" s="508"/>
      <c r="BP312" s="508"/>
      <c r="BQ312" s="508"/>
      <c r="BR312" s="508"/>
      <c r="BS312" s="508"/>
      <c r="BT312" s="508"/>
      <c r="BU312" s="508"/>
      <c r="BV312" s="508"/>
      <c r="BW312" s="508"/>
      <c r="BX312" s="508"/>
      <c r="BY312" s="508"/>
      <c r="BZ312" s="508"/>
      <c r="CA312" s="508"/>
      <c r="CB312" s="509"/>
      <c r="CC312" s="58"/>
      <c r="CD312" s="3"/>
      <c r="CE312" s="100"/>
    </row>
    <row r="313" spans="1:83" s="9" customFormat="1" ht="12" customHeight="1" x14ac:dyDescent="0.15">
      <c r="A313" s="16"/>
      <c r="B313" s="8"/>
      <c r="C313" s="17"/>
      <c r="D313" s="492" t="s">
        <v>599</v>
      </c>
      <c r="E313" s="493"/>
      <c r="F313" s="493"/>
      <c r="G313" s="493"/>
      <c r="H313" s="494"/>
      <c r="I313" s="599" t="s">
        <v>602</v>
      </c>
      <c r="J313" s="600"/>
      <c r="K313" s="600"/>
      <c r="L313" s="600"/>
      <c r="M313" s="600"/>
      <c r="N313" s="600"/>
      <c r="O313" s="600"/>
      <c r="P313" s="600"/>
      <c r="Q313" s="600"/>
      <c r="R313" s="600"/>
      <c r="S313" s="600"/>
      <c r="T313" s="600"/>
      <c r="U313" s="600"/>
      <c r="V313" s="600"/>
      <c r="W313" s="600"/>
      <c r="X313" s="600"/>
      <c r="Y313" s="600"/>
      <c r="Z313" s="600"/>
      <c r="AA313" s="600"/>
      <c r="AB313" s="601"/>
      <c r="AC313" s="507" t="s">
        <v>600</v>
      </c>
      <c r="AD313" s="508"/>
      <c r="AE313" s="508"/>
      <c r="AF313" s="508"/>
      <c r="AG313" s="508"/>
      <c r="AH313" s="508"/>
      <c r="AI313" s="508"/>
      <c r="AJ313" s="508"/>
      <c r="AK313" s="508"/>
      <c r="AL313" s="508"/>
      <c r="AM313" s="508"/>
      <c r="AN313" s="508"/>
      <c r="AO313" s="508"/>
      <c r="AP313" s="508"/>
      <c r="AQ313" s="508"/>
      <c r="AR313" s="508"/>
      <c r="AS313" s="508"/>
      <c r="AT313" s="508"/>
      <c r="AU313" s="508"/>
      <c r="AV313" s="508"/>
      <c r="AW313" s="508"/>
      <c r="AX313" s="508"/>
      <c r="AY313" s="508"/>
      <c r="AZ313" s="508"/>
      <c r="BA313" s="508"/>
      <c r="BB313" s="508"/>
      <c r="BC313" s="508"/>
      <c r="BD313" s="508"/>
      <c r="BE313" s="508"/>
      <c r="BF313" s="508"/>
      <c r="BG313" s="508"/>
      <c r="BH313" s="508"/>
      <c r="BI313" s="508"/>
      <c r="BJ313" s="508"/>
      <c r="BK313" s="508"/>
      <c r="BL313" s="508"/>
      <c r="BM313" s="508"/>
      <c r="BN313" s="508"/>
      <c r="BO313" s="508"/>
      <c r="BP313" s="508"/>
      <c r="BQ313" s="508"/>
      <c r="BR313" s="508"/>
      <c r="BS313" s="508"/>
      <c r="BT313" s="508"/>
      <c r="BU313" s="508"/>
      <c r="BV313" s="508"/>
      <c r="BW313" s="508"/>
      <c r="BX313" s="508"/>
      <c r="BY313" s="508"/>
      <c r="BZ313" s="508"/>
      <c r="CA313" s="508"/>
      <c r="CB313" s="509"/>
      <c r="CC313" s="17"/>
      <c r="CD313" s="17"/>
      <c r="CE313" s="18"/>
    </row>
    <row r="314" spans="1:83" s="9" customFormat="1" ht="12" customHeight="1" x14ac:dyDescent="0.15">
      <c r="A314" s="16"/>
      <c r="B314" s="8"/>
      <c r="C314" s="17"/>
      <c r="D314" s="501" t="s">
        <v>7</v>
      </c>
      <c r="E314" s="502"/>
      <c r="F314" s="502"/>
      <c r="G314" s="502"/>
      <c r="H314" s="503"/>
      <c r="I314" s="510" t="s">
        <v>8</v>
      </c>
      <c r="J314" s="511"/>
      <c r="K314" s="511"/>
      <c r="L314" s="511"/>
      <c r="M314" s="511"/>
      <c r="N314" s="511"/>
      <c r="O314" s="511"/>
      <c r="P314" s="511"/>
      <c r="Q314" s="511"/>
      <c r="R314" s="511"/>
      <c r="S314" s="511"/>
      <c r="T314" s="511"/>
      <c r="U314" s="511"/>
      <c r="V314" s="511"/>
      <c r="W314" s="511"/>
      <c r="X314" s="511"/>
      <c r="Y314" s="511"/>
      <c r="Z314" s="511"/>
      <c r="AA314" s="511"/>
      <c r="AB314" s="512"/>
      <c r="AC314" s="519" t="s">
        <v>47</v>
      </c>
      <c r="AD314" s="520"/>
      <c r="AE314" s="520"/>
      <c r="AF314" s="520"/>
      <c r="AG314" s="520"/>
      <c r="AH314" s="520"/>
      <c r="AI314" s="520"/>
      <c r="AJ314" s="520"/>
      <c r="AK314" s="520"/>
      <c r="AL314" s="520"/>
      <c r="AM314" s="520"/>
      <c r="AN314" s="520"/>
      <c r="AO314" s="520"/>
      <c r="AP314" s="520"/>
      <c r="AQ314" s="520"/>
      <c r="AR314" s="520"/>
      <c r="AS314" s="520"/>
      <c r="AT314" s="520"/>
      <c r="AU314" s="520"/>
      <c r="AV314" s="520"/>
      <c r="AW314" s="520"/>
      <c r="AX314" s="520"/>
      <c r="AY314" s="520"/>
      <c r="AZ314" s="520"/>
      <c r="BA314" s="520"/>
      <c r="BB314" s="520"/>
      <c r="BC314" s="520"/>
      <c r="BD314" s="520"/>
      <c r="BE314" s="520"/>
      <c r="BF314" s="520"/>
      <c r="BG314" s="520"/>
      <c r="BH314" s="520"/>
      <c r="BI314" s="520"/>
      <c r="BJ314" s="520"/>
      <c r="BK314" s="520"/>
      <c r="BL314" s="520"/>
      <c r="BM314" s="520"/>
      <c r="BN314" s="520"/>
      <c r="BO314" s="520"/>
      <c r="BP314" s="520"/>
      <c r="BQ314" s="520"/>
      <c r="BR314" s="520"/>
      <c r="BS314" s="520"/>
      <c r="BT314" s="520"/>
      <c r="BU314" s="520"/>
      <c r="BV314" s="520"/>
      <c r="BW314" s="520"/>
      <c r="BX314" s="520"/>
      <c r="BY314" s="520"/>
      <c r="BZ314" s="520"/>
      <c r="CA314" s="520"/>
      <c r="CB314" s="521"/>
      <c r="CC314" s="17"/>
      <c r="CD314" s="17"/>
      <c r="CE314" s="18"/>
    </row>
    <row r="315" spans="1:83" s="9" customFormat="1" ht="12" customHeight="1" x14ac:dyDescent="0.15">
      <c r="A315" s="16"/>
      <c r="B315" s="8"/>
      <c r="C315" s="17"/>
      <c r="D315" s="528"/>
      <c r="E315" s="529"/>
      <c r="F315" s="529"/>
      <c r="G315" s="529"/>
      <c r="H315" s="530"/>
      <c r="I315" s="513"/>
      <c r="J315" s="514"/>
      <c r="K315" s="514"/>
      <c r="L315" s="514"/>
      <c r="M315" s="514"/>
      <c r="N315" s="514"/>
      <c r="O315" s="514"/>
      <c r="P315" s="514"/>
      <c r="Q315" s="514"/>
      <c r="R315" s="514"/>
      <c r="S315" s="514"/>
      <c r="T315" s="514"/>
      <c r="U315" s="514"/>
      <c r="V315" s="514"/>
      <c r="W315" s="514"/>
      <c r="X315" s="514"/>
      <c r="Y315" s="514"/>
      <c r="Z315" s="514"/>
      <c r="AA315" s="514"/>
      <c r="AB315" s="515"/>
      <c r="AC315" s="522"/>
      <c r="AD315" s="523"/>
      <c r="AE315" s="523"/>
      <c r="AF315" s="523"/>
      <c r="AG315" s="523"/>
      <c r="AH315" s="523"/>
      <c r="AI315" s="523"/>
      <c r="AJ315" s="523"/>
      <c r="AK315" s="523"/>
      <c r="AL315" s="523"/>
      <c r="AM315" s="523"/>
      <c r="AN315" s="523"/>
      <c r="AO315" s="523"/>
      <c r="AP315" s="523"/>
      <c r="AQ315" s="523"/>
      <c r="AR315" s="523"/>
      <c r="AS315" s="523"/>
      <c r="AT315" s="523"/>
      <c r="AU315" s="523"/>
      <c r="AV315" s="523"/>
      <c r="AW315" s="523"/>
      <c r="AX315" s="523"/>
      <c r="AY315" s="523"/>
      <c r="AZ315" s="523"/>
      <c r="BA315" s="523"/>
      <c r="BB315" s="523"/>
      <c r="BC315" s="523"/>
      <c r="BD315" s="523"/>
      <c r="BE315" s="523"/>
      <c r="BF315" s="523"/>
      <c r="BG315" s="523"/>
      <c r="BH315" s="523"/>
      <c r="BI315" s="523"/>
      <c r="BJ315" s="523"/>
      <c r="BK315" s="523"/>
      <c r="BL315" s="523"/>
      <c r="BM315" s="523"/>
      <c r="BN315" s="523"/>
      <c r="BO315" s="523"/>
      <c r="BP315" s="523"/>
      <c r="BQ315" s="523"/>
      <c r="BR315" s="523"/>
      <c r="BS315" s="523"/>
      <c r="BT315" s="523"/>
      <c r="BU315" s="523"/>
      <c r="BV315" s="523"/>
      <c r="BW315" s="523"/>
      <c r="BX315" s="523"/>
      <c r="BY315" s="523"/>
      <c r="BZ315" s="523"/>
      <c r="CA315" s="523"/>
      <c r="CB315" s="524"/>
      <c r="CC315" s="17"/>
      <c r="CD315" s="17"/>
      <c r="CE315" s="18"/>
    </row>
    <row r="316" spans="1:83" s="9" customFormat="1" ht="12" customHeight="1" x14ac:dyDescent="0.15">
      <c r="A316" s="16"/>
      <c r="B316" s="8"/>
      <c r="C316" s="17"/>
      <c r="D316" s="334"/>
      <c r="E316" s="335"/>
      <c r="F316" s="335"/>
      <c r="G316" s="335"/>
      <c r="H316" s="336"/>
      <c r="I316" s="513"/>
      <c r="J316" s="514"/>
      <c r="K316" s="514"/>
      <c r="L316" s="514"/>
      <c r="M316" s="514"/>
      <c r="N316" s="514"/>
      <c r="O316" s="514"/>
      <c r="P316" s="514"/>
      <c r="Q316" s="514"/>
      <c r="R316" s="514"/>
      <c r="S316" s="514"/>
      <c r="T316" s="514"/>
      <c r="U316" s="514"/>
      <c r="V316" s="514"/>
      <c r="W316" s="514"/>
      <c r="X316" s="514"/>
      <c r="Y316" s="514"/>
      <c r="Z316" s="514"/>
      <c r="AA316" s="514"/>
      <c r="AB316" s="515"/>
      <c r="AC316" s="522"/>
      <c r="AD316" s="523"/>
      <c r="AE316" s="523"/>
      <c r="AF316" s="523"/>
      <c r="AG316" s="523"/>
      <c r="AH316" s="523"/>
      <c r="AI316" s="523"/>
      <c r="AJ316" s="523"/>
      <c r="AK316" s="523"/>
      <c r="AL316" s="523"/>
      <c r="AM316" s="523"/>
      <c r="AN316" s="523"/>
      <c r="AO316" s="523"/>
      <c r="AP316" s="523"/>
      <c r="AQ316" s="523"/>
      <c r="AR316" s="523"/>
      <c r="AS316" s="523"/>
      <c r="AT316" s="523"/>
      <c r="AU316" s="523"/>
      <c r="AV316" s="523"/>
      <c r="AW316" s="523"/>
      <c r="AX316" s="523"/>
      <c r="AY316" s="523"/>
      <c r="AZ316" s="523"/>
      <c r="BA316" s="523"/>
      <c r="BB316" s="523"/>
      <c r="BC316" s="523"/>
      <c r="BD316" s="523"/>
      <c r="BE316" s="523"/>
      <c r="BF316" s="523"/>
      <c r="BG316" s="523"/>
      <c r="BH316" s="523"/>
      <c r="BI316" s="523"/>
      <c r="BJ316" s="523"/>
      <c r="BK316" s="523"/>
      <c r="BL316" s="523"/>
      <c r="BM316" s="523"/>
      <c r="BN316" s="523"/>
      <c r="BO316" s="523"/>
      <c r="BP316" s="523"/>
      <c r="BQ316" s="523"/>
      <c r="BR316" s="523"/>
      <c r="BS316" s="523"/>
      <c r="BT316" s="523"/>
      <c r="BU316" s="523"/>
      <c r="BV316" s="523"/>
      <c r="BW316" s="523"/>
      <c r="BX316" s="523"/>
      <c r="BY316" s="523"/>
      <c r="BZ316" s="523"/>
      <c r="CA316" s="523"/>
      <c r="CB316" s="524"/>
      <c r="CC316" s="17"/>
      <c r="CD316" s="17"/>
      <c r="CE316" s="18"/>
    </row>
    <row r="317" spans="1:83" s="9" customFormat="1" ht="12" customHeight="1" x14ac:dyDescent="0.15">
      <c r="A317" s="16"/>
      <c r="B317" s="8"/>
      <c r="C317" s="17"/>
      <c r="D317" s="531"/>
      <c r="E317" s="532"/>
      <c r="F317" s="532"/>
      <c r="G317" s="532"/>
      <c r="H317" s="533"/>
      <c r="I317" s="516"/>
      <c r="J317" s="517"/>
      <c r="K317" s="517"/>
      <c r="L317" s="517"/>
      <c r="M317" s="517"/>
      <c r="N317" s="517"/>
      <c r="O317" s="517"/>
      <c r="P317" s="517"/>
      <c r="Q317" s="517"/>
      <c r="R317" s="517"/>
      <c r="S317" s="517"/>
      <c r="T317" s="517"/>
      <c r="U317" s="517"/>
      <c r="V317" s="517"/>
      <c r="W317" s="517"/>
      <c r="X317" s="517"/>
      <c r="Y317" s="517"/>
      <c r="Z317" s="517"/>
      <c r="AA317" s="517"/>
      <c r="AB317" s="518"/>
      <c r="AC317" s="525"/>
      <c r="AD317" s="526"/>
      <c r="AE317" s="526"/>
      <c r="AF317" s="526"/>
      <c r="AG317" s="526"/>
      <c r="AH317" s="526"/>
      <c r="AI317" s="526"/>
      <c r="AJ317" s="526"/>
      <c r="AK317" s="526"/>
      <c r="AL317" s="526"/>
      <c r="AM317" s="526"/>
      <c r="AN317" s="526"/>
      <c r="AO317" s="526"/>
      <c r="AP317" s="526"/>
      <c r="AQ317" s="526"/>
      <c r="AR317" s="526"/>
      <c r="AS317" s="526"/>
      <c r="AT317" s="526"/>
      <c r="AU317" s="526"/>
      <c r="AV317" s="526"/>
      <c r="AW317" s="526"/>
      <c r="AX317" s="526"/>
      <c r="AY317" s="526"/>
      <c r="AZ317" s="526"/>
      <c r="BA317" s="526"/>
      <c r="BB317" s="526"/>
      <c r="BC317" s="526"/>
      <c r="BD317" s="526"/>
      <c r="BE317" s="526"/>
      <c r="BF317" s="526"/>
      <c r="BG317" s="526"/>
      <c r="BH317" s="526"/>
      <c r="BI317" s="526"/>
      <c r="BJ317" s="526"/>
      <c r="BK317" s="526"/>
      <c r="BL317" s="526"/>
      <c r="BM317" s="526"/>
      <c r="BN317" s="526"/>
      <c r="BO317" s="526"/>
      <c r="BP317" s="526"/>
      <c r="BQ317" s="526"/>
      <c r="BR317" s="526"/>
      <c r="BS317" s="526"/>
      <c r="BT317" s="526"/>
      <c r="BU317" s="526"/>
      <c r="BV317" s="526"/>
      <c r="BW317" s="526"/>
      <c r="BX317" s="526"/>
      <c r="BY317" s="526"/>
      <c r="BZ317" s="526"/>
      <c r="CA317" s="526"/>
      <c r="CB317" s="527"/>
      <c r="CC317" s="17"/>
      <c r="CD317" s="17"/>
      <c r="CE317" s="18"/>
    </row>
    <row r="318" spans="1:83" s="9" customFormat="1" ht="12" customHeight="1" x14ac:dyDescent="0.15">
      <c r="A318" s="16"/>
      <c r="B318" s="8"/>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17"/>
      <c r="CD318" s="17"/>
      <c r="CE318" s="18"/>
    </row>
    <row r="319" spans="1:83" s="9" customFormat="1" ht="12" customHeight="1" thickBot="1" x14ac:dyDescent="0.2">
      <c r="A319" s="25"/>
      <c r="B319" s="30"/>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7"/>
      <c r="BA319" s="27"/>
      <c r="BB319" s="27"/>
      <c r="BC319" s="27"/>
      <c r="BD319" s="27"/>
      <c r="BE319" s="27"/>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6"/>
      <c r="CD319" s="26"/>
      <c r="CE319" s="28"/>
    </row>
    <row r="320" spans="1:83" s="9" customFormat="1" ht="12" customHeight="1" x14ac:dyDescent="0.15">
      <c r="A320" s="13"/>
      <c r="B320" s="14"/>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60"/>
      <c r="BA320" s="160"/>
      <c r="BB320" s="160"/>
      <c r="BC320" s="160"/>
      <c r="BD320" s="160"/>
      <c r="BE320" s="160"/>
      <c r="BF320" s="160"/>
      <c r="BG320" s="160"/>
      <c r="BH320" s="160"/>
      <c r="BI320" s="160"/>
      <c r="BJ320" s="160"/>
      <c r="BK320" s="160"/>
      <c r="BL320" s="160"/>
      <c r="BM320" s="160"/>
      <c r="BN320" s="160"/>
      <c r="BO320" s="160"/>
      <c r="BP320" s="160"/>
      <c r="BQ320" s="160"/>
      <c r="BR320" s="160"/>
      <c r="BS320" s="160"/>
      <c r="BT320" s="160"/>
      <c r="BU320" s="160"/>
      <c r="BV320" s="160"/>
      <c r="BW320" s="160"/>
      <c r="BX320" s="160"/>
      <c r="BY320" s="160"/>
      <c r="BZ320" s="160"/>
      <c r="CA320" s="160"/>
      <c r="CB320" s="160"/>
      <c r="CC320" s="159"/>
      <c r="CD320" s="159"/>
      <c r="CE320" s="15"/>
    </row>
    <row r="321" spans="1:83" s="4" customFormat="1" ht="12" customHeight="1" x14ac:dyDescent="0.15">
      <c r="A321" s="16"/>
      <c r="B321" s="73"/>
      <c r="C321" s="12"/>
      <c r="D321" s="12"/>
      <c r="E321" s="17"/>
      <c r="F321" s="17"/>
      <c r="G321" s="17" t="s">
        <v>926</v>
      </c>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2"/>
      <c r="CB321" s="12"/>
      <c r="CC321" s="12"/>
      <c r="CD321" s="12"/>
      <c r="CE321" s="18"/>
    </row>
    <row r="322" spans="1:83" s="9" customFormat="1" ht="12" customHeight="1" x14ac:dyDescent="0.15">
      <c r="A322" s="16"/>
      <c r="B322" s="8"/>
      <c r="C322" s="17"/>
      <c r="D322" s="157"/>
      <c r="E322" s="8"/>
      <c r="F322" s="17"/>
      <c r="G322" s="17"/>
      <c r="H322" s="17" t="s">
        <v>927</v>
      </c>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17"/>
      <c r="CD322" s="17"/>
      <c r="CE322" s="18"/>
    </row>
    <row r="323" spans="1:83" s="9" customFormat="1" ht="12" customHeight="1" x14ac:dyDescent="0.15">
      <c r="A323" s="16"/>
      <c r="B323" s="8"/>
      <c r="C323" s="17"/>
      <c r="D323" s="157"/>
      <c r="E323" s="8"/>
      <c r="F323" s="17"/>
      <c r="G323" s="17"/>
      <c r="H323" s="17" t="s">
        <v>928</v>
      </c>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17"/>
      <c r="CD323" s="17"/>
      <c r="CE323" s="18"/>
    </row>
    <row r="324" spans="1:83" s="9" customFormat="1" ht="12" customHeight="1" x14ac:dyDescent="0.15">
      <c r="A324" s="16"/>
      <c r="B324" s="8"/>
      <c r="C324" s="8"/>
      <c r="D324" s="8"/>
      <c r="E324" s="8"/>
      <c r="F324" s="8"/>
      <c r="G324" s="8"/>
      <c r="H324" s="356"/>
      <c r="I324" s="8"/>
      <c r="J324" s="8"/>
      <c r="K324" s="167"/>
      <c r="L324" s="167"/>
      <c r="M324" s="167"/>
      <c r="N324" s="167"/>
      <c r="O324" s="167"/>
      <c r="P324" s="167"/>
      <c r="Q324" s="167"/>
      <c r="R324" s="167"/>
      <c r="S324" s="167"/>
      <c r="T324" s="167"/>
      <c r="U324" s="167"/>
      <c r="V324" s="167"/>
      <c r="W324" s="167"/>
      <c r="X324" s="167"/>
      <c r="Y324" s="167"/>
      <c r="Z324" s="167"/>
      <c r="AA324" s="167"/>
      <c r="AB324" s="167"/>
      <c r="AC324" s="167"/>
      <c r="AD324" s="167"/>
      <c r="AE324" s="167"/>
      <c r="AF324" s="167"/>
      <c r="AG324" s="167"/>
      <c r="AH324" s="168"/>
      <c r="AI324" s="168"/>
      <c r="AJ324" s="168"/>
      <c r="AK324" s="168"/>
      <c r="AL324" s="168"/>
      <c r="AM324" s="168"/>
      <c r="AN324" s="168"/>
      <c r="AO324" s="168"/>
      <c r="AP324" s="168"/>
      <c r="AQ324" s="168"/>
      <c r="AR324" s="168"/>
      <c r="AS324" s="168"/>
      <c r="AT324" s="168"/>
      <c r="AU324" s="168"/>
      <c r="AV324" s="168"/>
      <c r="AW324" s="168"/>
      <c r="AX324" s="168"/>
      <c r="AY324" s="168"/>
      <c r="AZ324" s="168"/>
      <c r="BA324" s="168"/>
      <c r="BB324" s="168"/>
      <c r="BC324" s="168"/>
      <c r="BD324" s="168"/>
      <c r="BE324" s="168"/>
      <c r="BF324" s="168"/>
      <c r="BG324" s="168"/>
      <c r="BH324" s="168"/>
      <c r="BI324" s="168"/>
      <c r="BJ324" s="168"/>
      <c r="BK324" s="168"/>
      <c r="BL324" s="168"/>
      <c r="BM324" s="168"/>
      <c r="BN324" s="168"/>
      <c r="BO324" s="168"/>
      <c r="BP324" s="168"/>
      <c r="BQ324" s="168"/>
      <c r="BR324" s="168"/>
      <c r="BS324" s="168"/>
      <c r="BT324" s="168"/>
      <c r="BU324" s="168"/>
      <c r="BV324" s="168"/>
      <c r="BW324" s="168"/>
      <c r="BX324" s="168"/>
      <c r="BY324" s="168"/>
      <c r="BZ324" s="168"/>
      <c r="CA324" s="168"/>
      <c r="CB324" s="168"/>
      <c r="CC324" s="17"/>
      <c r="CD324" s="17"/>
      <c r="CE324" s="18"/>
    </row>
    <row r="325" spans="1:83" s="9" customFormat="1" ht="12" customHeight="1" x14ac:dyDescent="0.15">
      <c r="A325" s="16"/>
      <c r="B325" s="8"/>
      <c r="C325" s="17"/>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18"/>
    </row>
    <row r="326" spans="1:83" s="9" customFormat="1" ht="12" customHeight="1" x14ac:dyDescent="0.15">
      <c r="A326" s="16"/>
      <c r="B326" s="8"/>
      <c r="C326" s="17"/>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18"/>
    </row>
    <row r="327" spans="1:83" s="9" customFormat="1" ht="12" customHeight="1" x14ac:dyDescent="0.15">
      <c r="A327" s="16"/>
      <c r="B327" s="8"/>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17"/>
      <c r="CD327" s="17"/>
      <c r="CE327" s="18"/>
    </row>
    <row r="328" spans="1:83" s="6" customFormat="1" ht="12" customHeight="1" x14ac:dyDescent="0.15">
      <c r="A328" s="16"/>
      <c r="B328" s="5"/>
      <c r="C328" s="12"/>
      <c r="D328" s="12"/>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2"/>
      <c r="CB328" s="12"/>
      <c r="CC328" s="12"/>
      <c r="CD328" s="12"/>
      <c r="CE328" s="18"/>
    </row>
    <row r="329" spans="1:83" s="4" customFormat="1" ht="12" customHeight="1" x14ac:dyDescent="0.15">
      <c r="A329" s="16"/>
      <c r="B329" s="73"/>
      <c r="C329" s="12"/>
      <c r="D329" s="12"/>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2"/>
      <c r="CB329" s="12"/>
      <c r="CC329" s="12"/>
      <c r="CD329" s="12"/>
      <c r="CE329" s="18"/>
    </row>
    <row r="330" spans="1:83" s="4" customFormat="1" ht="12" customHeight="1" x14ac:dyDescent="0.15">
      <c r="A330" s="16"/>
      <c r="B330" s="73"/>
      <c r="C330" s="12"/>
      <c r="D330" s="12"/>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2"/>
      <c r="CB330" s="12"/>
      <c r="CC330" s="12"/>
      <c r="CD330" s="12"/>
      <c r="CE330" s="18"/>
    </row>
    <row r="331" spans="1:83" s="4" customFormat="1" ht="12" customHeight="1" x14ac:dyDescent="0.15">
      <c r="A331" s="16"/>
      <c r="B331" s="73"/>
      <c r="C331" s="12"/>
      <c r="D331" s="12"/>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2"/>
      <c r="CB331" s="12"/>
      <c r="CC331" s="12"/>
      <c r="CD331" s="12"/>
      <c r="CE331" s="18"/>
    </row>
    <row r="332" spans="1:83" s="4" customFormat="1" ht="12" customHeight="1" x14ac:dyDescent="0.15">
      <c r="A332" s="16"/>
      <c r="B332" s="73"/>
      <c r="C332" s="12"/>
      <c r="D332" s="12"/>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2"/>
      <c r="CB332" s="12"/>
      <c r="CC332" s="12"/>
      <c r="CD332" s="12"/>
      <c r="CE332" s="18"/>
    </row>
    <row r="333" spans="1:83" s="4" customFormat="1" ht="12" customHeight="1" x14ac:dyDescent="0.15">
      <c r="A333" s="16"/>
      <c r="B333" s="8"/>
      <c r="C333" s="12"/>
      <c r="D333" s="12"/>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2"/>
      <c r="CB333" s="12"/>
      <c r="CC333" s="12"/>
      <c r="CD333" s="12"/>
      <c r="CE333" s="18"/>
    </row>
    <row r="334" spans="1:83" s="4" customFormat="1" ht="12" customHeight="1" x14ac:dyDescent="0.15">
      <c r="A334" s="16"/>
      <c r="B334" s="8"/>
      <c r="C334" s="12"/>
      <c r="D334" s="12"/>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2"/>
      <c r="CB334" s="12"/>
      <c r="CC334" s="12"/>
      <c r="CD334" s="12"/>
      <c r="CE334" s="18"/>
    </row>
    <row r="335" spans="1:83" s="9" customFormat="1" ht="12" customHeight="1" x14ac:dyDescent="0.15">
      <c r="A335" s="16"/>
      <c r="B335" s="8"/>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17"/>
      <c r="CD335" s="17"/>
      <c r="CE335" s="18"/>
    </row>
    <row r="336" spans="1:83" s="9" customFormat="1" ht="12" customHeight="1" x14ac:dyDescent="0.15">
      <c r="A336" s="16"/>
      <c r="B336" s="8"/>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17"/>
      <c r="CD336" s="17"/>
      <c r="CE336" s="18"/>
    </row>
    <row r="337" spans="1:83" s="9" customFormat="1" ht="12" customHeight="1" x14ac:dyDescent="0.15">
      <c r="A337" s="16"/>
      <c r="B337" s="8"/>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17"/>
      <c r="CD337" s="17"/>
      <c r="CE337" s="18"/>
    </row>
    <row r="338" spans="1:83" s="9" customFormat="1" ht="12" customHeight="1" x14ac:dyDescent="0.15">
      <c r="A338" s="16"/>
      <c r="B338" s="8"/>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17"/>
      <c r="CD338" s="17"/>
      <c r="CE338" s="18"/>
    </row>
    <row r="339" spans="1:83" s="9" customFormat="1" ht="12" customHeight="1" x14ac:dyDescent="0.15">
      <c r="A339" s="16"/>
      <c r="B339" s="8"/>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17"/>
      <c r="CD339" s="17"/>
      <c r="CE339" s="18"/>
    </row>
    <row r="340" spans="1:83" s="9" customFormat="1" ht="12" customHeight="1" x14ac:dyDescent="0.15">
      <c r="A340" s="16"/>
      <c r="B340" s="8"/>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17"/>
      <c r="CD340" s="17"/>
      <c r="CE340" s="18"/>
    </row>
    <row r="341" spans="1:83" s="9" customFormat="1" ht="12" customHeight="1" x14ac:dyDescent="0.15">
      <c r="A341" s="16"/>
      <c r="B341" s="8"/>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17"/>
      <c r="CD341" s="17"/>
      <c r="CE341" s="18"/>
    </row>
    <row r="342" spans="1:83" s="9" customFormat="1" ht="12" customHeight="1" x14ac:dyDescent="0.15">
      <c r="A342" s="16"/>
      <c r="B342" s="8"/>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17"/>
      <c r="CD342" s="17"/>
      <c r="CE342" s="18"/>
    </row>
    <row r="343" spans="1:83" s="9" customFormat="1" ht="12" customHeight="1" x14ac:dyDescent="0.15">
      <c r="A343" s="16"/>
      <c r="B343" s="8"/>
      <c r="C343" s="17"/>
      <c r="D343" s="157"/>
      <c r="E343" s="157"/>
      <c r="F343" s="15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17"/>
      <c r="CD343" s="17"/>
      <c r="CE343" s="18"/>
    </row>
    <row r="344" spans="1:83" s="9" customFormat="1" ht="12" customHeight="1" x14ac:dyDescent="0.15">
      <c r="A344" s="16"/>
      <c r="B344" s="8"/>
      <c r="C344" s="17"/>
      <c r="D344" s="157"/>
      <c r="E344" s="157"/>
      <c r="F344" s="15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17"/>
      <c r="CD344" s="17"/>
      <c r="CE344" s="18"/>
    </row>
    <row r="345" spans="1:83" s="9" customFormat="1" ht="12" customHeight="1" x14ac:dyDescent="0.15">
      <c r="A345" s="16"/>
      <c r="B345" s="8"/>
      <c r="C345" s="17"/>
      <c r="D345" s="157"/>
      <c r="E345" s="157"/>
      <c r="F345" s="15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17"/>
      <c r="CD345" s="17"/>
      <c r="CE345" s="18"/>
    </row>
    <row r="346" spans="1:83" s="9" customFormat="1" ht="12" customHeight="1" x14ac:dyDescent="0.15">
      <c r="A346" s="16"/>
      <c r="B346" s="8"/>
      <c r="C346" s="17"/>
      <c r="D346" s="157"/>
      <c r="E346" s="157"/>
      <c r="F346" s="15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17"/>
      <c r="CD346" s="17"/>
      <c r="CE346" s="18"/>
    </row>
    <row r="347" spans="1:83" s="9" customFormat="1" ht="12" customHeight="1" x14ac:dyDescent="0.15">
      <c r="A347" s="16"/>
      <c r="B347" s="8"/>
      <c r="C347" s="17"/>
      <c r="D347" s="157"/>
      <c r="E347" s="157"/>
      <c r="F347" s="15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17"/>
      <c r="CD347" s="17"/>
      <c r="CE347" s="18"/>
    </row>
    <row r="348" spans="1:83" s="9" customFormat="1" ht="12" customHeight="1" x14ac:dyDescent="0.15">
      <c r="A348" s="16"/>
      <c r="B348" s="8"/>
      <c r="C348" s="17"/>
      <c r="D348" s="157"/>
      <c r="E348" s="157"/>
      <c r="F348" s="15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17"/>
      <c r="CD348" s="17"/>
      <c r="CE348" s="18"/>
    </row>
    <row r="349" spans="1:83" s="4" customFormat="1" ht="12" customHeight="1" x14ac:dyDescent="0.15">
      <c r="A349" s="16"/>
      <c r="B349" s="5"/>
      <c r="C349" s="5"/>
      <c r="D349" s="534" t="s">
        <v>929</v>
      </c>
      <c r="E349" s="534"/>
      <c r="F349" s="534"/>
      <c r="G349" s="534"/>
      <c r="H349" s="534"/>
      <c r="I349" s="534"/>
      <c r="J349" s="534"/>
      <c r="K349" s="534"/>
      <c r="L349" s="534"/>
      <c r="M349" s="534"/>
      <c r="N349" s="534"/>
      <c r="O349" s="534"/>
      <c r="P349" s="534"/>
      <c r="Q349" s="534"/>
      <c r="R349" s="534"/>
      <c r="S349" s="534"/>
      <c r="T349" s="534"/>
      <c r="U349" s="534"/>
      <c r="V349" s="534"/>
      <c r="W349" s="534"/>
      <c r="X349" s="534"/>
      <c r="Y349" s="534"/>
      <c r="Z349" s="534"/>
      <c r="AA349" s="534"/>
      <c r="AB349" s="534"/>
      <c r="AC349" s="534"/>
      <c r="AD349" s="534"/>
      <c r="AE349" s="534"/>
      <c r="AF349" s="534"/>
      <c r="AG349" s="534"/>
      <c r="AH349" s="534"/>
      <c r="AI349" s="534"/>
      <c r="AJ349" s="534"/>
      <c r="AK349" s="534"/>
      <c r="AL349" s="534"/>
      <c r="AM349" s="534"/>
      <c r="AN349" s="534"/>
      <c r="AO349" s="534"/>
      <c r="AP349" s="534"/>
      <c r="AQ349" s="534"/>
      <c r="AR349" s="534"/>
      <c r="AS349" s="534"/>
      <c r="AT349" s="534"/>
      <c r="AU349" s="534"/>
      <c r="AV349" s="534"/>
      <c r="AW349" s="534"/>
      <c r="AX349" s="534"/>
      <c r="AY349" s="534"/>
      <c r="AZ349" s="534"/>
      <c r="BA349" s="534"/>
      <c r="BB349" s="534"/>
      <c r="BC349" s="534"/>
      <c r="BD349" s="534"/>
      <c r="BE349" s="534"/>
      <c r="BF349" s="534"/>
      <c r="BG349" s="534"/>
      <c r="BH349" s="534"/>
      <c r="BI349" s="534"/>
      <c r="BJ349" s="534"/>
      <c r="BK349" s="534"/>
      <c r="BL349" s="534"/>
      <c r="BM349" s="534"/>
      <c r="BN349" s="534"/>
      <c r="BO349" s="534"/>
      <c r="BP349" s="534"/>
      <c r="BQ349" s="534"/>
      <c r="BR349" s="534"/>
      <c r="BS349" s="534"/>
      <c r="BT349" s="534"/>
      <c r="BU349" s="534"/>
      <c r="BV349" s="534"/>
      <c r="BW349" s="534"/>
      <c r="BX349" s="534"/>
      <c r="BY349" s="534"/>
      <c r="BZ349" s="534"/>
      <c r="CA349" s="534"/>
      <c r="CB349" s="534"/>
      <c r="CC349" s="12"/>
      <c r="CD349" s="12"/>
      <c r="CE349" s="18"/>
    </row>
    <row r="350" spans="1:83" ht="12.75" customHeight="1" x14ac:dyDescent="0.15">
      <c r="A350" s="98"/>
      <c r="B350" s="99"/>
      <c r="C350" s="3"/>
      <c r="D350" s="535" t="s">
        <v>403</v>
      </c>
      <c r="E350" s="536"/>
      <c r="F350" s="536"/>
      <c r="G350" s="536"/>
      <c r="H350" s="537"/>
      <c r="I350" s="538" t="s">
        <v>605</v>
      </c>
      <c r="J350" s="539"/>
      <c r="K350" s="539"/>
      <c r="L350" s="539"/>
      <c r="M350" s="539"/>
      <c r="N350" s="539"/>
      <c r="O350" s="539"/>
      <c r="P350" s="539"/>
      <c r="Q350" s="539"/>
      <c r="R350" s="539"/>
      <c r="S350" s="539"/>
      <c r="T350" s="539"/>
      <c r="U350" s="539"/>
      <c r="V350" s="539"/>
      <c r="W350" s="539"/>
      <c r="X350" s="539"/>
      <c r="Y350" s="539"/>
      <c r="Z350" s="539"/>
      <c r="AA350" s="539"/>
      <c r="AB350" s="539"/>
      <c r="AC350" s="539"/>
      <c r="AD350" s="539"/>
      <c r="AE350" s="539"/>
      <c r="AF350" s="539"/>
      <c r="AG350" s="540"/>
      <c r="AH350" s="538" t="s">
        <v>604</v>
      </c>
      <c r="AI350" s="539"/>
      <c r="AJ350" s="539"/>
      <c r="AK350" s="539"/>
      <c r="AL350" s="539"/>
      <c r="AM350" s="539"/>
      <c r="AN350" s="539"/>
      <c r="AO350" s="539"/>
      <c r="AP350" s="539"/>
      <c r="AQ350" s="539"/>
      <c r="AR350" s="539"/>
      <c r="AS350" s="539"/>
      <c r="AT350" s="539"/>
      <c r="AU350" s="539"/>
      <c r="AV350" s="539"/>
      <c r="AW350" s="539"/>
      <c r="AX350" s="539"/>
      <c r="AY350" s="539"/>
      <c r="AZ350" s="539"/>
      <c r="BA350" s="539"/>
      <c r="BB350" s="539"/>
      <c r="BC350" s="539"/>
      <c r="BD350" s="539"/>
      <c r="BE350" s="539"/>
      <c r="BF350" s="539"/>
      <c r="BG350" s="539"/>
      <c r="BH350" s="539"/>
      <c r="BI350" s="539"/>
      <c r="BJ350" s="539"/>
      <c r="BK350" s="539"/>
      <c r="BL350" s="539"/>
      <c r="BM350" s="539"/>
      <c r="BN350" s="539"/>
      <c r="BO350" s="539"/>
      <c r="BP350" s="539"/>
      <c r="BQ350" s="539"/>
      <c r="BR350" s="539"/>
      <c r="BS350" s="539"/>
      <c r="BT350" s="539"/>
      <c r="BU350" s="539"/>
      <c r="BV350" s="539"/>
      <c r="BW350" s="539"/>
      <c r="BX350" s="539"/>
      <c r="BY350" s="539"/>
      <c r="BZ350" s="539"/>
      <c r="CA350" s="539"/>
      <c r="CB350" s="539"/>
      <c r="CC350" s="539"/>
      <c r="CD350" s="540"/>
      <c r="CE350" s="100"/>
    </row>
    <row r="351" spans="1:83" ht="12.75" customHeight="1" x14ac:dyDescent="0.15">
      <c r="A351" s="98"/>
      <c r="B351" s="99"/>
      <c r="C351" s="3"/>
      <c r="D351" s="501" t="s">
        <v>473</v>
      </c>
      <c r="E351" s="502"/>
      <c r="F351" s="502"/>
      <c r="G351" s="502"/>
      <c r="H351" s="503"/>
      <c r="I351" s="504" t="s">
        <v>74</v>
      </c>
      <c r="J351" s="505"/>
      <c r="K351" s="505"/>
      <c r="L351" s="505"/>
      <c r="M351" s="505"/>
      <c r="N351" s="505"/>
      <c r="O351" s="505"/>
      <c r="P351" s="505"/>
      <c r="Q351" s="505"/>
      <c r="R351" s="505"/>
      <c r="S351" s="505"/>
      <c r="T351" s="505"/>
      <c r="U351" s="505"/>
      <c r="V351" s="505"/>
      <c r="W351" s="505"/>
      <c r="X351" s="505"/>
      <c r="Y351" s="505"/>
      <c r="Z351" s="505"/>
      <c r="AA351" s="505"/>
      <c r="AB351" s="505"/>
      <c r="AC351" s="505"/>
      <c r="AD351" s="505"/>
      <c r="AE351" s="505"/>
      <c r="AF351" s="505"/>
      <c r="AG351" s="506"/>
      <c r="AH351" s="498" t="s">
        <v>140</v>
      </c>
      <c r="AI351" s="499"/>
      <c r="AJ351" s="499"/>
      <c r="AK351" s="499"/>
      <c r="AL351" s="499"/>
      <c r="AM351" s="499"/>
      <c r="AN351" s="499"/>
      <c r="AO351" s="499"/>
      <c r="AP351" s="499"/>
      <c r="AQ351" s="499"/>
      <c r="AR351" s="499"/>
      <c r="AS351" s="499"/>
      <c r="AT351" s="499"/>
      <c r="AU351" s="499"/>
      <c r="AV351" s="499"/>
      <c r="AW351" s="499"/>
      <c r="AX351" s="499"/>
      <c r="AY351" s="499"/>
      <c r="AZ351" s="499"/>
      <c r="BA351" s="499"/>
      <c r="BB351" s="499"/>
      <c r="BC351" s="499"/>
      <c r="BD351" s="499"/>
      <c r="BE351" s="499"/>
      <c r="BF351" s="499"/>
      <c r="BG351" s="499"/>
      <c r="BH351" s="499"/>
      <c r="BI351" s="499"/>
      <c r="BJ351" s="499"/>
      <c r="BK351" s="499"/>
      <c r="BL351" s="499"/>
      <c r="BM351" s="499"/>
      <c r="BN351" s="499"/>
      <c r="BO351" s="499"/>
      <c r="BP351" s="499"/>
      <c r="BQ351" s="499"/>
      <c r="BR351" s="499"/>
      <c r="BS351" s="499"/>
      <c r="BT351" s="499"/>
      <c r="BU351" s="499"/>
      <c r="BV351" s="499"/>
      <c r="BW351" s="499"/>
      <c r="BX351" s="499"/>
      <c r="BY351" s="499"/>
      <c r="BZ351" s="499"/>
      <c r="CA351" s="499"/>
      <c r="CB351" s="499"/>
      <c r="CC351" s="499"/>
      <c r="CD351" s="500"/>
      <c r="CE351" s="100"/>
    </row>
    <row r="352" spans="1:83" ht="12.75" customHeight="1" x14ac:dyDescent="0.15">
      <c r="A352" s="98"/>
      <c r="B352" s="99"/>
      <c r="C352" s="3"/>
      <c r="D352" s="501" t="s">
        <v>474</v>
      </c>
      <c r="E352" s="502"/>
      <c r="F352" s="502"/>
      <c r="G352" s="502"/>
      <c r="H352" s="503"/>
      <c r="I352" s="504" t="s">
        <v>76</v>
      </c>
      <c r="J352" s="505"/>
      <c r="K352" s="505"/>
      <c r="L352" s="505"/>
      <c r="M352" s="505"/>
      <c r="N352" s="505"/>
      <c r="O352" s="505"/>
      <c r="P352" s="505"/>
      <c r="Q352" s="505"/>
      <c r="R352" s="505"/>
      <c r="S352" s="505"/>
      <c r="T352" s="505"/>
      <c r="U352" s="505"/>
      <c r="V352" s="505"/>
      <c r="W352" s="505"/>
      <c r="X352" s="505"/>
      <c r="Y352" s="505"/>
      <c r="Z352" s="505"/>
      <c r="AA352" s="505"/>
      <c r="AB352" s="505"/>
      <c r="AC352" s="505"/>
      <c r="AD352" s="505"/>
      <c r="AE352" s="505"/>
      <c r="AF352" s="505"/>
      <c r="AG352" s="506"/>
      <c r="AH352" s="498" t="s">
        <v>77</v>
      </c>
      <c r="AI352" s="499"/>
      <c r="AJ352" s="499"/>
      <c r="AK352" s="499"/>
      <c r="AL352" s="499"/>
      <c r="AM352" s="499"/>
      <c r="AN352" s="499"/>
      <c r="AO352" s="499"/>
      <c r="AP352" s="499"/>
      <c r="AQ352" s="499"/>
      <c r="AR352" s="499"/>
      <c r="AS352" s="499"/>
      <c r="AT352" s="499"/>
      <c r="AU352" s="499"/>
      <c r="AV352" s="499"/>
      <c r="AW352" s="499"/>
      <c r="AX352" s="499"/>
      <c r="AY352" s="499"/>
      <c r="AZ352" s="499"/>
      <c r="BA352" s="499"/>
      <c r="BB352" s="499"/>
      <c r="BC352" s="499"/>
      <c r="BD352" s="499"/>
      <c r="BE352" s="499"/>
      <c r="BF352" s="499"/>
      <c r="BG352" s="499"/>
      <c r="BH352" s="499"/>
      <c r="BI352" s="499"/>
      <c r="BJ352" s="499"/>
      <c r="BK352" s="499"/>
      <c r="BL352" s="499"/>
      <c r="BM352" s="499"/>
      <c r="BN352" s="499"/>
      <c r="BO352" s="499"/>
      <c r="BP352" s="499"/>
      <c r="BQ352" s="499"/>
      <c r="BR352" s="499"/>
      <c r="BS352" s="499"/>
      <c r="BT352" s="499"/>
      <c r="BU352" s="499"/>
      <c r="BV352" s="499"/>
      <c r="BW352" s="499"/>
      <c r="BX352" s="499"/>
      <c r="BY352" s="499"/>
      <c r="BZ352" s="499"/>
      <c r="CA352" s="499"/>
      <c r="CB352" s="499"/>
      <c r="CC352" s="499"/>
      <c r="CD352" s="500"/>
      <c r="CE352" s="100"/>
    </row>
    <row r="353" spans="1:83" ht="12.75" customHeight="1" x14ac:dyDescent="0.15">
      <c r="A353" s="98"/>
      <c r="B353" s="99"/>
      <c r="C353" s="3"/>
      <c r="D353" s="501" t="s">
        <v>475</v>
      </c>
      <c r="E353" s="502"/>
      <c r="F353" s="502"/>
      <c r="G353" s="502"/>
      <c r="H353" s="503"/>
      <c r="I353" s="504" t="s">
        <v>144</v>
      </c>
      <c r="J353" s="505"/>
      <c r="K353" s="505"/>
      <c r="L353" s="505"/>
      <c r="M353" s="505"/>
      <c r="N353" s="505"/>
      <c r="O353" s="505"/>
      <c r="P353" s="505"/>
      <c r="Q353" s="505"/>
      <c r="R353" s="505"/>
      <c r="S353" s="505"/>
      <c r="T353" s="505"/>
      <c r="U353" s="505"/>
      <c r="V353" s="505"/>
      <c r="W353" s="505"/>
      <c r="X353" s="505"/>
      <c r="Y353" s="505"/>
      <c r="Z353" s="505"/>
      <c r="AA353" s="505"/>
      <c r="AB353" s="505"/>
      <c r="AC353" s="505"/>
      <c r="AD353" s="505"/>
      <c r="AE353" s="505"/>
      <c r="AF353" s="505"/>
      <c r="AG353" s="506"/>
      <c r="AH353" s="498" t="s">
        <v>838</v>
      </c>
      <c r="AI353" s="499"/>
      <c r="AJ353" s="499"/>
      <c r="AK353" s="499"/>
      <c r="AL353" s="499"/>
      <c r="AM353" s="499"/>
      <c r="AN353" s="499"/>
      <c r="AO353" s="499"/>
      <c r="AP353" s="499"/>
      <c r="AQ353" s="499"/>
      <c r="AR353" s="499"/>
      <c r="AS353" s="499"/>
      <c r="AT353" s="499"/>
      <c r="AU353" s="499"/>
      <c r="AV353" s="499"/>
      <c r="AW353" s="499"/>
      <c r="AX353" s="499"/>
      <c r="AY353" s="499"/>
      <c r="AZ353" s="499"/>
      <c r="BA353" s="499"/>
      <c r="BB353" s="499"/>
      <c r="BC353" s="499"/>
      <c r="BD353" s="499"/>
      <c r="BE353" s="499"/>
      <c r="BF353" s="499"/>
      <c r="BG353" s="499"/>
      <c r="BH353" s="499"/>
      <c r="BI353" s="499"/>
      <c r="BJ353" s="499"/>
      <c r="BK353" s="499"/>
      <c r="BL353" s="499"/>
      <c r="BM353" s="499"/>
      <c r="BN353" s="499"/>
      <c r="BO353" s="499"/>
      <c r="BP353" s="499"/>
      <c r="BQ353" s="499"/>
      <c r="BR353" s="499"/>
      <c r="BS353" s="499"/>
      <c r="BT353" s="499"/>
      <c r="BU353" s="499"/>
      <c r="BV353" s="499"/>
      <c r="BW353" s="499"/>
      <c r="BX353" s="499"/>
      <c r="BY353" s="499"/>
      <c r="BZ353" s="499"/>
      <c r="CA353" s="499"/>
      <c r="CB353" s="499"/>
      <c r="CC353" s="499"/>
      <c r="CD353" s="500"/>
      <c r="CE353" s="100"/>
    </row>
    <row r="354" spans="1:83" s="9" customFormat="1" ht="12" customHeight="1" x14ac:dyDescent="0.15">
      <c r="A354" s="16"/>
      <c r="B354" s="8"/>
      <c r="C354" s="17"/>
      <c r="D354" s="492" t="s">
        <v>22</v>
      </c>
      <c r="E354" s="493"/>
      <c r="F354" s="493"/>
      <c r="G354" s="493"/>
      <c r="H354" s="494"/>
      <c r="I354" s="495" t="s">
        <v>651</v>
      </c>
      <c r="J354" s="496"/>
      <c r="K354" s="496"/>
      <c r="L354" s="496"/>
      <c r="M354" s="496"/>
      <c r="N354" s="496"/>
      <c r="O354" s="496"/>
      <c r="P354" s="496"/>
      <c r="Q354" s="496"/>
      <c r="R354" s="496"/>
      <c r="S354" s="496"/>
      <c r="T354" s="496"/>
      <c r="U354" s="496"/>
      <c r="V354" s="496"/>
      <c r="W354" s="496"/>
      <c r="X354" s="496"/>
      <c r="Y354" s="496"/>
      <c r="Z354" s="496"/>
      <c r="AA354" s="496"/>
      <c r="AB354" s="496"/>
      <c r="AC354" s="496"/>
      <c r="AD354" s="496"/>
      <c r="AE354" s="496"/>
      <c r="AF354" s="496"/>
      <c r="AG354" s="497"/>
      <c r="AH354" s="498" t="s">
        <v>650</v>
      </c>
      <c r="AI354" s="499"/>
      <c r="AJ354" s="499"/>
      <c r="AK354" s="499"/>
      <c r="AL354" s="499"/>
      <c r="AM354" s="499"/>
      <c r="AN354" s="499"/>
      <c r="AO354" s="499"/>
      <c r="AP354" s="499"/>
      <c r="AQ354" s="499"/>
      <c r="AR354" s="499"/>
      <c r="AS354" s="499"/>
      <c r="AT354" s="499"/>
      <c r="AU354" s="499"/>
      <c r="AV354" s="499"/>
      <c r="AW354" s="499"/>
      <c r="AX354" s="499"/>
      <c r="AY354" s="499"/>
      <c r="AZ354" s="499"/>
      <c r="BA354" s="499"/>
      <c r="BB354" s="499"/>
      <c r="BC354" s="499"/>
      <c r="BD354" s="499"/>
      <c r="BE354" s="499"/>
      <c r="BF354" s="499"/>
      <c r="BG354" s="499"/>
      <c r="BH354" s="499"/>
      <c r="BI354" s="499"/>
      <c r="BJ354" s="499"/>
      <c r="BK354" s="499"/>
      <c r="BL354" s="499"/>
      <c r="BM354" s="499"/>
      <c r="BN354" s="499"/>
      <c r="BO354" s="499"/>
      <c r="BP354" s="499"/>
      <c r="BQ354" s="499"/>
      <c r="BR354" s="499"/>
      <c r="BS354" s="499"/>
      <c r="BT354" s="499"/>
      <c r="BU354" s="499"/>
      <c r="BV354" s="499"/>
      <c r="BW354" s="499"/>
      <c r="BX354" s="499"/>
      <c r="BY354" s="499"/>
      <c r="BZ354" s="499"/>
      <c r="CA354" s="499"/>
      <c r="CB354" s="499"/>
      <c r="CC354" s="499"/>
      <c r="CD354" s="500"/>
      <c r="CE354" s="18"/>
    </row>
    <row r="355" spans="1:83" s="9" customFormat="1" ht="12" customHeight="1" x14ac:dyDescent="0.15">
      <c r="A355" s="16"/>
      <c r="B355" s="8"/>
      <c r="C355" s="17"/>
      <c r="D355" s="492" t="s">
        <v>7</v>
      </c>
      <c r="E355" s="493"/>
      <c r="F355" s="493"/>
      <c r="G355" s="493"/>
      <c r="H355" s="494"/>
      <c r="I355" s="495" t="s">
        <v>61</v>
      </c>
      <c r="J355" s="496"/>
      <c r="K355" s="496"/>
      <c r="L355" s="496"/>
      <c r="M355" s="496"/>
      <c r="N355" s="496"/>
      <c r="O355" s="496"/>
      <c r="P355" s="496"/>
      <c r="Q355" s="496"/>
      <c r="R355" s="496"/>
      <c r="S355" s="496"/>
      <c r="T355" s="496"/>
      <c r="U355" s="496"/>
      <c r="V355" s="496"/>
      <c r="W355" s="496"/>
      <c r="X355" s="496"/>
      <c r="Y355" s="496"/>
      <c r="Z355" s="496"/>
      <c r="AA355" s="496"/>
      <c r="AB355" s="496"/>
      <c r="AC355" s="496"/>
      <c r="AD355" s="496"/>
      <c r="AE355" s="496"/>
      <c r="AF355" s="496"/>
      <c r="AG355" s="497"/>
      <c r="AH355" s="498" t="s">
        <v>62</v>
      </c>
      <c r="AI355" s="499"/>
      <c r="AJ355" s="499"/>
      <c r="AK355" s="499"/>
      <c r="AL355" s="499"/>
      <c r="AM355" s="499"/>
      <c r="AN355" s="499"/>
      <c r="AO355" s="499"/>
      <c r="AP355" s="499"/>
      <c r="AQ355" s="499"/>
      <c r="AR355" s="499"/>
      <c r="AS355" s="499"/>
      <c r="AT355" s="499"/>
      <c r="AU355" s="499"/>
      <c r="AV355" s="499"/>
      <c r="AW355" s="499"/>
      <c r="AX355" s="499"/>
      <c r="AY355" s="499"/>
      <c r="AZ355" s="499"/>
      <c r="BA355" s="499"/>
      <c r="BB355" s="499"/>
      <c r="BC355" s="499"/>
      <c r="BD355" s="499"/>
      <c r="BE355" s="499"/>
      <c r="BF355" s="499"/>
      <c r="BG355" s="499"/>
      <c r="BH355" s="499"/>
      <c r="BI355" s="499"/>
      <c r="BJ355" s="499"/>
      <c r="BK355" s="499"/>
      <c r="BL355" s="499"/>
      <c r="BM355" s="499"/>
      <c r="BN355" s="499"/>
      <c r="BO355" s="499"/>
      <c r="BP355" s="499"/>
      <c r="BQ355" s="499"/>
      <c r="BR355" s="499"/>
      <c r="BS355" s="499"/>
      <c r="BT355" s="499"/>
      <c r="BU355" s="499"/>
      <c r="BV355" s="499"/>
      <c r="BW355" s="499"/>
      <c r="BX355" s="499"/>
      <c r="BY355" s="499"/>
      <c r="BZ355" s="499"/>
      <c r="CA355" s="499"/>
      <c r="CB355" s="499"/>
      <c r="CC355" s="499"/>
      <c r="CD355" s="500"/>
      <c r="CE355" s="18"/>
    </row>
    <row r="356" spans="1:83" s="9" customFormat="1" ht="12" customHeight="1" x14ac:dyDescent="0.15">
      <c r="A356" s="16"/>
      <c r="B356" s="8"/>
      <c r="C356" s="17"/>
      <c r="D356" s="492" t="s">
        <v>649</v>
      </c>
      <c r="E356" s="493"/>
      <c r="F356" s="493"/>
      <c r="G356" s="493"/>
      <c r="H356" s="494"/>
      <c r="I356" s="495" t="s">
        <v>652</v>
      </c>
      <c r="J356" s="496"/>
      <c r="K356" s="496"/>
      <c r="L356" s="496"/>
      <c r="M356" s="496"/>
      <c r="N356" s="496"/>
      <c r="O356" s="496"/>
      <c r="P356" s="496"/>
      <c r="Q356" s="496"/>
      <c r="R356" s="496"/>
      <c r="S356" s="496"/>
      <c r="T356" s="496"/>
      <c r="U356" s="496"/>
      <c r="V356" s="496"/>
      <c r="W356" s="496"/>
      <c r="X356" s="496"/>
      <c r="Y356" s="496"/>
      <c r="Z356" s="496"/>
      <c r="AA356" s="496"/>
      <c r="AB356" s="496"/>
      <c r="AC356" s="496"/>
      <c r="AD356" s="496"/>
      <c r="AE356" s="496"/>
      <c r="AF356" s="496"/>
      <c r="AG356" s="497"/>
      <c r="AH356" s="498" t="s">
        <v>63</v>
      </c>
      <c r="AI356" s="499"/>
      <c r="AJ356" s="499"/>
      <c r="AK356" s="499"/>
      <c r="AL356" s="499"/>
      <c r="AM356" s="499"/>
      <c r="AN356" s="499"/>
      <c r="AO356" s="499"/>
      <c r="AP356" s="499"/>
      <c r="AQ356" s="499"/>
      <c r="AR356" s="499"/>
      <c r="AS356" s="499"/>
      <c r="AT356" s="499"/>
      <c r="AU356" s="499"/>
      <c r="AV356" s="499"/>
      <c r="AW356" s="499"/>
      <c r="AX356" s="499"/>
      <c r="AY356" s="499"/>
      <c r="AZ356" s="499"/>
      <c r="BA356" s="499"/>
      <c r="BB356" s="499"/>
      <c r="BC356" s="499"/>
      <c r="BD356" s="499"/>
      <c r="BE356" s="499"/>
      <c r="BF356" s="499"/>
      <c r="BG356" s="499"/>
      <c r="BH356" s="499"/>
      <c r="BI356" s="499"/>
      <c r="BJ356" s="499"/>
      <c r="BK356" s="499"/>
      <c r="BL356" s="499"/>
      <c r="BM356" s="499"/>
      <c r="BN356" s="499"/>
      <c r="BO356" s="499"/>
      <c r="BP356" s="499"/>
      <c r="BQ356" s="499"/>
      <c r="BR356" s="499"/>
      <c r="BS356" s="499"/>
      <c r="BT356" s="499"/>
      <c r="BU356" s="499"/>
      <c r="BV356" s="499"/>
      <c r="BW356" s="499"/>
      <c r="BX356" s="499"/>
      <c r="BY356" s="499"/>
      <c r="BZ356" s="499"/>
      <c r="CA356" s="499"/>
      <c r="CB356" s="499"/>
      <c r="CC356" s="499"/>
      <c r="CD356" s="500"/>
      <c r="CE356" s="18"/>
    </row>
    <row r="357" spans="1:83" s="9" customFormat="1" ht="12" customHeight="1" x14ac:dyDescent="0.15">
      <c r="A357" s="16"/>
      <c r="B357" s="8"/>
      <c r="C357" s="17"/>
      <c r="D357" s="360"/>
      <c r="E357" s="360"/>
      <c r="F357" s="360"/>
      <c r="G357" s="360"/>
      <c r="H357" s="360"/>
      <c r="I357" s="360"/>
      <c r="J357" s="360"/>
      <c r="K357" s="360"/>
      <c r="L357" s="360"/>
      <c r="M357" s="360"/>
      <c r="N357" s="360"/>
      <c r="O357" s="360"/>
      <c r="P357" s="360"/>
      <c r="Q357" s="360"/>
      <c r="R357" s="360"/>
      <c r="S357" s="360"/>
      <c r="T357" s="360"/>
      <c r="U357" s="360"/>
      <c r="V357" s="360"/>
      <c r="W357" s="360"/>
      <c r="X357" s="360"/>
      <c r="Y357" s="360"/>
      <c r="Z357" s="360"/>
      <c r="AA357" s="360"/>
      <c r="AB357" s="360"/>
      <c r="AC357" s="360"/>
      <c r="AD357" s="360"/>
      <c r="AE357" s="360"/>
      <c r="AF357" s="360"/>
      <c r="AG357" s="360"/>
      <c r="AH357" s="361"/>
      <c r="AI357" s="361"/>
      <c r="AJ357" s="361"/>
      <c r="AK357" s="361"/>
      <c r="AL357" s="361"/>
      <c r="AM357" s="361"/>
      <c r="AN357" s="361"/>
      <c r="AO357" s="361"/>
      <c r="AP357" s="361"/>
      <c r="AQ357" s="361"/>
      <c r="AR357" s="361"/>
      <c r="AS357" s="361"/>
      <c r="AT357" s="361"/>
      <c r="AU357" s="361"/>
      <c r="AV357" s="361"/>
      <c r="AW357" s="361"/>
      <c r="AX357" s="361"/>
      <c r="AY357" s="361"/>
      <c r="AZ357" s="361"/>
      <c r="BA357" s="361"/>
      <c r="BB357" s="361"/>
      <c r="BC357" s="361"/>
      <c r="BD357" s="361"/>
      <c r="BE357" s="361"/>
      <c r="BF357" s="361"/>
      <c r="BG357" s="361"/>
      <c r="BH357" s="361"/>
      <c r="BI357" s="361"/>
      <c r="BJ357" s="361"/>
      <c r="BK357" s="361"/>
      <c r="BL357" s="361"/>
      <c r="BM357" s="361"/>
      <c r="BN357" s="361"/>
      <c r="BO357" s="361"/>
      <c r="BP357" s="361"/>
      <c r="BQ357" s="361"/>
      <c r="BR357" s="361"/>
      <c r="BS357" s="361"/>
      <c r="BT357" s="361"/>
      <c r="BU357" s="361"/>
      <c r="BV357" s="361"/>
      <c r="BW357" s="361"/>
      <c r="BX357" s="361"/>
      <c r="BY357" s="361"/>
      <c r="BZ357" s="361"/>
      <c r="CA357" s="361"/>
      <c r="CB357" s="361"/>
      <c r="CC357" s="361"/>
      <c r="CD357" s="361"/>
      <c r="CE357" s="18"/>
    </row>
    <row r="358" spans="1:83" s="9" customFormat="1" ht="12" customHeight="1" thickBot="1" x14ac:dyDescent="0.2">
      <c r="A358" s="25"/>
      <c r="B358" s="30"/>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7"/>
      <c r="BA358" s="27"/>
      <c r="BB358" s="27"/>
      <c r="BC358" s="27"/>
      <c r="BD358" s="27"/>
      <c r="BE358" s="27"/>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6"/>
      <c r="CD358" s="26"/>
      <c r="CE358" s="28"/>
    </row>
    <row r="359" spans="1:83" s="9" customFormat="1" ht="12" customHeight="1" x14ac:dyDescent="0.15">
      <c r="A359" s="13"/>
      <c r="B359" s="14"/>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60"/>
      <c r="BA359" s="160"/>
      <c r="BB359" s="160"/>
      <c r="BC359" s="160"/>
      <c r="BD359" s="160"/>
      <c r="BE359" s="160"/>
      <c r="BF359" s="160"/>
      <c r="BG359" s="160"/>
      <c r="BH359" s="160"/>
      <c r="BI359" s="160"/>
      <c r="BJ359" s="160"/>
      <c r="BK359" s="160"/>
      <c r="BL359" s="160"/>
      <c r="BM359" s="160"/>
      <c r="BN359" s="160"/>
      <c r="BO359" s="160"/>
      <c r="BP359" s="160"/>
      <c r="BQ359" s="160"/>
      <c r="BR359" s="160"/>
      <c r="BS359" s="160"/>
      <c r="BT359" s="160"/>
      <c r="BU359" s="160"/>
      <c r="BV359" s="160"/>
      <c r="BW359" s="160"/>
      <c r="BX359" s="160"/>
      <c r="BY359" s="160"/>
      <c r="BZ359" s="160"/>
      <c r="CA359" s="160"/>
      <c r="CB359" s="160"/>
      <c r="CC359" s="159"/>
      <c r="CD359" s="159"/>
      <c r="CE359" s="15"/>
    </row>
    <row r="360" spans="1:83" s="9" customFormat="1" ht="12" customHeight="1" x14ac:dyDescent="0.15">
      <c r="A360" s="16"/>
      <c r="B360" s="8"/>
      <c r="C360" s="17"/>
      <c r="D360" s="17"/>
      <c r="E360" s="22" t="s">
        <v>768</v>
      </c>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17"/>
      <c r="CD360" s="17"/>
      <c r="CE360" s="18"/>
    </row>
    <row r="361" spans="1:83" s="4" customFormat="1" ht="12" customHeight="1" x14ac:dyDescent="0.15">
      <c r="A361" s="16"/>
      <c r="B361" s="5"/>
      <c r="C361" s="5"/>
      <c r="D361" s="5"/>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2"/>
      <c r="CB361" s="12"/>
      <c r="CC361" s="12"/>
      <c r="CD361" s="12"/>
      <c r="CE361" s="18"/>
    </row>
    <row r="362" spans="1:83" s="4" customFormat="1" ht="12" customHeight="1" x14ac:dyDescent="0.15">
      <c r="A362" s="16"/>
      <c r="B362" s="73"/>
      <c r="C362" s="12"/>
      <c r="D362" s="12"/>
      <c r="E362" s="17"/>
      <c r="F362" s="17"/>
      <c r="G362" s="17" t="s">
        <v>603</v>
      </c>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2"/>
      <c r="CB362" s="12"/>
      <c r="CC362" s="12"/>
      <c r="CD362" s="12"/>
      <c r="CE362" s="18"/>
    </row>
    <row r="363" spans="1:83" s="9" customFormat="1" ht="12" customHeight="1" x14ac:dyDescent="0.15">
      <c r="A363" s="16"/>
      <c r="B363" s="8"/>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17"/>
      <c r="CD363" s="17"/>
      <c r="CE363" s="18"/>
    </row>
    <row r="364" spans="1:83" s="6" customFormat="1" ht="12" customHeight="1" x14ac:dyDescent="0.15">
      <c r="A364" s="16"/>
      <c r="B364" s="5"/>
      <c r="C364" s="12"/>
      <c r="D364" s="12"/>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2"/>
      <c r="CB364" s="12"/>
      <c r="CC364" s="12"/>
      <c r="CD364" s="12"/>
      <c r="CE364" s="18"/>
    </row>
    <row r="365" spans="1:83" s="4" customFormat="1" ht="12" customHeight="1" x14ac:dyDescent="0.15">
      <c r="A365" s="16"/>
      <c r="B365" s="73"/>
      <c r="C365" s="12"/>
      <c r="D365" s="12"/>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2"/>
      <c r="CB365" s="12"/>
      <c r="CC365" s="12"/>
      <c r="CD365" s="12"/>
      <c r="CE365" s="18"/>
    </row>
    <row r="366" spans="1:83" s="4" customFormat="1" ht="12" customHeight="1" x14ac:dyDescent="0.15">
      <c r="A366" s="16"/>
      <c r="B366" s="73"/>
      <c r="C366" s="12"/>
      <c r="D366" s="12"/>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2"/>
      <c r="CB366" s="12"/>
      <c r="CC366" s="12"/>
      <c r="CD366" s="12"/>
      <c r="CE366" s="18"/>
    </row>
    <row r="367" spans="1:83" s="4" customFormat="1" ht="12" customHeight="1" x14ac:dyDescent="0.15">
      <c r="A367" s="16"/>
      <c r="B367" s="73"/>
      <c r="C367" s="12"/>
      <c r="D367" s="12"/>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2"/>
      <c r="CB367" s="12"/>
      <c r="CC367" s="12"/>
      <c r="CD367" s="12"/>
      <c r="CE367" s="18"/>
    </row>
    <row r="368" spans="1:83" s="4" customFormat="1" ht="12" customHeight="1" x14ac:dyDescent="0.15">
      <c r="A368" s="16"/>
      <c r="B368" s="73"/>
      <c r="C368" s="12"/>
      <c r="D368" s="12"/>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2"/>
      <c r="CB368" s="12"/>
      <c r="CC368" s="12"/>
      <c r="CD368" s="12"/>
      <c r="CE368" s="18"/>
    </row>
    <row r="369" spans="1:83" s="4" customFormat="1" ht="12" customHeight="1" x14ac:dyDescent="0.15">
      <c r="A369" s="16"/>
      <c r="B369" s="8"/>
      <c r="C369" s="12"/>
      <c r="D369" s="12"/>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2"/>
      <c r="CB369" s="12"/>
      <c r="CC369" s="12"/>
      <c r="CD369" s="12"/>
      <c r="CE369" s="18"/>
    </row>
    <row r="370" spans="1:83" s="4" customFormat="1" ht="12" customHeight="1" x14ac:dyDescent="0.15">
      <c r="A370" s="16"/>
      <c r="B370" s="8"/>
      <c r="C370" s="12"/>
      <c r="D370" s="12"/>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2"/>
      <c r="CB370" s="12"/>
      <c r="CC370" s="12"/>
      <c r="CD370" s="12"/>
      <c r="CE370" s="18"/>
    </row>
    <row r="371" spans="1:83" s="9" customFormat="1" ht="12" customHeight="1" x14ac:dyDescent="0.15">
      <c r="A371" s="16"/>
      <c r="B371" s="8"/>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17"/>
      <c r="CD371" s="17"/>
      <c r="CE371" s="18"/>
    </row>
    <row r="372" spans="1:83" s="9" customFormat="1" ht="12" customHeight="1" x14ac:dyDescent="0.15">
      <c r="A372" s="16"/>
      <c r="B372" s="8"/>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17"/>
      <c r="CD372" s="17"/>
      <c r="CE372" s="18"/>
    </row>
    <row r="373" spans="1:83" s="9" customFormat="1" ht="12" customHeight="1" x14ac:dyDescent="0.15">
      <c r="A373" s="16"/>
      <c r="B373" s="8"/>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17"/>
      <c r="CD373" s="17"/>
      <c r="CE373" s="18"/>
    </row>
    <row r="374" spans="1:83" s="9" customFormat="1" ht="12" customHeight="1" x14ac:dyDescent="0.15">
      <c r="A374" s="16"/>
      <c r="B374" s="8"/>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17"/>
      <c r="CD374" s="17"/>
      <c r="CE374" s="18"/>
    </row>
    <row r="375" spans="1:83" s="9" customFormat="1" ht="12" customHeight="1" x14ac:dyDescent="0.15">
      <c r="A375" s="16"/>
      <c r="B375" s="8"/>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17"/>
      <c r="CD375" s="17"/>
      <c r="CE375" s="18"/>
    </row>
    <row r="376" spans="1:83" s="9" customFormat="1" ht="12" customHeight="1" x14ac:dyDescent="0.15">
      <c r="A376" s="16"/>
      <c r="B376" s="8"/>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17"/>
      <c r="CD376" s="17"/>
      <c r="CE376" s="18"/>
    </row>
    <row r="377" spans="1:83" s="9" customFormat="1" ht="12" customHeight="1" x14ac:dyDescent="0.15">
      <c r="A377" s="16"/>
      <c r="B377" s="8"/>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17"/>
      <c r="CD377" s="17"/>
      <c r="CE377" s="18"/>
    </row>
    <row r="378" spans="1:83" s="9" customFormat="1" ht="12" customHeight="1" x14ac:dyDescent="0.15">
      <c r="A378" s="16"/>
      <c r="B378" s="8"/>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17"/>
      <c r="CD378" s="17"/>
      <c r="CE378" s="18"/>
    </row>
    <row r="379" spans="1:83" s="9" customFormat="1" ht="12" customHeight="1" x14ac:dyDescent="0.15">
      <c r="A379" s="16"/>
      <c r="B379" s="8"/>
      <c r="C379" s="17"/>
      <c r="D379" s="157"/>
      <c r="E379" s="157"/>
      <c r="F379" s="15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17"/>
      <c r="CD379" s="17"/>
      <c r="CE379" s="18"/>
    </row>
    <row r="380" spans="1:83" s="9" customFormat="1" ht="12" customHeight="1" x14ac:dyDescent="0.15">
      <c r="A380" s="16"/>
      <c r="B380" s="8"/>
      <c r="C380" s="17"/>
      <c r="D380" s="157"/>
      <c r="E380" s="157"/>
      <c r="F380" s="15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17"/>
      <c r="CD380" s="17"/>
      <c r="CE380" s="18"/>
    </row>
    <row r="381" spans="1:83" s="9" customFormat="1" ht="12" customHeight="1" x14ac:dyDescent="0.15">
      <c r="A381" s="16"/>
      <c r="B381" s="8"/>
      <c r="C381" s="17"/>
      <c r="D381" s="157"/>
      <c r="E381" s="157"/>
      <c r="F381" s="15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17"/>
      <c r="CD381" s="17"/>
      <c r="CE381" s="18"/>
    </row>
    <row r="382" spans="1:83" s="9" customFormat="1" ht="12" customHeight="1" x14ac:dyDescent="0.15">
      <c r="A382" s="16"/>
      <c r="B382" s="8"/>
      <c r="C382" s="17"/>
      <c r="D382" s="157"/>
      <c r="E382" s="157"/>
      <c r="F382" s="15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17"/>
      <c r="CD382" s="17"/>
      <c r="CE382" s="18"/>
    </row>
    <row r="383" spans="1:83" s="9" customFormat="1" ht="12" customHeight="1" x14ac:dyDescent="0.15">
      <c r="A383" s="16"/>
      <c r="B383" s="8"/>
      <c r="C383" s="17"/>
      <c r="D383" s="157"/>
      <c r="E383" s="157"/>
      <c r="F383" s="15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17"/>
      <c r="CD383" s="17"/>
      <c r="CE383" s="18"/>
    </row>
    <row r="384" spans="1:83" s="9" customFormat="1" ht="12" customHeight="1" x14ac:dyDescent="0.15">
      <c r="A384" s="16"/>
      <c r="B384" s="8"/>
      <c r="C384" s="17"/>
      <c r="D384" s="157"/>
      <c r="E384" s="157"/>
      <c r="F384" s="15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17"/>
      <c r="CD384" s="17"/>
      <c r="CE384" s="18"/>
    </row>
    <row r="385" spans="1:83" s="9" customFormat="1" ht="12" customHeight="1" x14ac:dyDescent="0.15">
      <c r="A385" s="16"/>
      <c r="B385" s="8"/>
      <c r="C385" s="17"/>
      <c r="D385" s="157"/>
      <c r="E385" s="157"/>
      <c r="F385" s="15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17"/>
      <c r="CD385" s="17"/>
      <c r="CE385" s="18"/>
    </row>
    <row r="386" spans="1:83" s="9" customFormat="1" ht="12" customHeight="1" x14ac:dyDescent="0.15">
      <c r="A386" s="16"/>
      <c r="B386" s="8"/>
      <c r="C386" s="17"/>
      <c r="D386" s="534" t="s">
        <v>771</v>
      </c>
      <c r="E386" s="534"/>
      <c r="F386" s="534"/>
      <c r="G386" s="534"/>
      <c r="H386" s="534"/>
      <c r="I386" s="534"/>
      <c r="J386" s="534"/>
      <c r="K386" s="534"/>
      <c r="L386" s="534"/>
      <c r="M386" s="534"/>
      <c r="N386" s="534"/>
      <c r="O386" s="534"/>
      <c r="P386" s="534"/>
      <c r="Q386" s="534"/>
      <c r="R386" s="534"/>
      <c r="S386" s="534"/>
      <c r="T386" s="534"/>
      <c r="U386" s="534"/>
      <c r="V386" s="534"/>
      <c r="W386" s="534"/>
      <c r="X386" s="534"/>
      <c r="Y386" s="534"/>
      <c r="Z386" s="534"/>
      <c r="AA386" s="534"/>
      <c r="AB386" s="534"/>
      <c r="AC386" s="534"/>
      <c r="AD386" s="534"/>
      <c r="AE386" s="534"/>
      <c r="AF386" s="534"/>
      <c r="AG386" s="534"/>
      <c r="AH386" s="534"/>
      <c r="AI386" s="534"/>
      <c r="AJ386" s="534"/>
      <c r="AK386" s="534"/>
      <c r="AL386" s="534"/>
      <c r="AM386" s="534"/>
      <c r="AN386" s="534"/>
      <c r="AO386" s="534"/>
      <c r="AP386" s="534"/>
      <c r="AQ386" s="534"/>
      <c r="AR386" s="534"/>
      <c r="AS386" s="534"/>
      <c r="AT386" s="534"/>
      <c r="AU386" s="534"/>
      <c r="AV386" s="534"/>
      <c r="AW386" s="534"/>
      <c r="AX386" s="534"/>
      <c r="AY386" s="534"/>
      <c r="AZ386" s="534"/>
      <c r="BA386" s="534"/>
      <c r="BB386" s="534"/>
      <c r="BC386" s="534"/>
      <c r="BD386" s="534"/>
      <c r="BE386" s="534"/>
      <c r="BF386" s="534"/>
      <c r="BG386" s="534"/>
      <c r="BH386" s="534"/>
      <c r="BI386" s="534"/>
      <c r="BJ386" s="534"/>
      <c r="BK386" s="534"/>
      <c r="BL386" s="534"/>
      <c r="BM386" s="534"/>
      <c r="BN386" s="534"/>
      <c r="BO386" s="534"/>
      <c r="BP386" s="534"/>
      <c r="BQ386" s="534"/>
      <c r="BR386" s="534"/>
      <c r="BS386" s="534"/>
      <c r="BT386" s="534"/>
      <c r="BU386" s="534"/>
      <c r="BV386" s="534"/>
      <c r="BW386" s="534"/>
      <c r="BX386" s="534"/>
      <c r="BY386" s="534"/>
      <c r="BZ386" s="534"/>
      <c r="CA386" s="534"/>
      <c r="CB386" s="534"/>
      <c r="CC386" s="17"/>
      <c r="CD386" s="17"/>
      <c r="CE386" s="18"/>
    </row>
    <row r="387" spans="1:83" ht="12.75" customHeight="1" x14ac:dyDescent="0.15">
      <c r="A387" s="98"/>
      <c r="B387" s="99"/>
      <c r="C387" s="3"/>
      <c r="D387" s="535" t="s">
        <v>403</v>
      </c>
      <c r="E387" s="536"/>
      <c r="F387" s="536"/>
      <c r="G387" s="536"/>
      <c r="H387" s="537"/>
      <c r="I387" s="538" t="s">
        <v>598</v>
      </c>
      <c r="J387" s="539"/>
      <c r="K387" s="539"/>
      <c r="L387" s="539"/>
      <c r="M387" s="539"/>
      <c r="N387" s="539"/>
      <c r="O387" s="539"/>
      <c r="P387" s="539"/>
      <c r="Q387" s="539"/>
      <c r="R387" s="539"/>
      <c r="S387" s="539"/>
      <c r="T387" s="539"/>
      <c r="U387" s="539"/>
      <c r="V387" s="539"/>
      <c r="W387" s="539"/>
      <c r="X387" s="539"/>
      <c r="Y387" s="539"/>
      <c r="Z387" s="539"/>
      <c r="AA387" s="539"/>
      <c r="AB387" s="540"/>
      <c r="AC387" s="692" t="s">
        <v>405</v>
      </c>
      <c r="AD387" s="693"/>
      <c r="AE387" s="693"/>
      <c r="AF387" s="693"/>
      <c r="AG387" s="693"/>
      <c r="AH387" s="693"/>
      <c r="AI387" s="693"/>
      <c r="AJ387" s="693"/>
      <c r="AK387" s="693"/>
      <c r="AL387" s="693"/>
      <c r="AM387" s="693"/>
      <c r="AN387" s="693"/>
      <c r="AO387" s="693"/>
      <c r="AP387" s="693"/>
      <c r="AQ387" s="693"/>
      <c r="AR387" s="693"/>
      <c r="AS387" s="693"/>
      <c r="AT387" s="693"/>
      <c r="AU387" s="693"/>
      <c r="AV387" s="693"/>
      <c r="AW387" s="693"/>
      <c r="AX387" s="693"/>
      <c r="AY387" s="693"/>
      <c r="AZ387" s="693"/>
      <c r="BA387" s="693"/>
      <c r="BB387" s="693"/>
      <c r="BC387" s="693"/>
      <c r="BD387" s="693"/>
      <c r="BE387" s="693"/>
      <c r="BF387" s="693"/>
      <c r="BG387" s="693"/>
      <c r="BH387" s="693"/>
      <c r="BI387" s="693"/>
      <c r="BJ387" s="693"/>
      <c r="BK387" s="693"/>
      <c r="BL387" s="693"/>
      <c r="BM387" s="693"/>
      <c r="BN387" s="693"/>
      <c r="BO387" s="693"/>
      <c r="BP387" s="693"/>
      <c r="BQ387" s="693"/>
      <c r="BR387" s="693"/>
      <c r="BS387" s="693"/>
      <c r="BT387" s="693"/>
      <c r="BU387" s="693"/>
      <c r="BV387" s="693"/>
      <c r="BW387" s="693"/>
      <c r="BX387" s="693"/>
      <c r="BY387" s="693"/>
      <c r="BZ387" s="693"/>
      <c r="CA387" s="693"/>
      <c r="CB387" s="694"/>
      <c r="CC387" s="58"/>
      <c r="CD387" s="3"/>
      <c r="CE387" s="100"/>
    </row>
    <row r="388" spans="1:83" ht="12.75" customHeight="1" x14ac:dyDescent="0.15">
      <c r="A388" s="98"/>
      <c r="B388" s="99"/>
      <c r="C388" s="3"/>
      <c r="D388" s="501" t="s">
        <v>711</v>
      </c>
      <c r="E388" s="502"/>
      <c r="F388" s="502"/>
      <c r="G388" s="502"/>
      <c r="H388" s="503"/>
      <c r="I388" s="599" t="s">
        <v>712</v>
      </c>
      <c r="J388" s="600"/>
      <c r="K388" s="600"/>
      <c r="L388" s="600"/>
      <c r="M388" s="600"/>
      <c r="N388" s="600"/>
      <c r="O388" s="600"/>
      <c r="P388" s="600"/>
      <c r="Q388" s="600"/>
      <c r="R388" s="600"/>
      <c r="S388" s="600"/>
      <c r="T388" s="600"/>
      <c r="U388" s="600"/>
      <c r="V388" s="600"/>
      <c r="W388" s="600"/>
      <c r="X388" s="600"/>
      <c r="Y388" s="600"/>
      <c r="Z388" s="600"/>
      <c r="AA388" s="600"/>
      <c r="AB388" s="601"/>
      <c r="AC388" s="507" t="s">
        <v>713</v>
      </c>
      <c r="AD388" s="508"/>
      <c r="AE388" s="508"/>
      <c r="AF388" s="508"/>
      <c r="AG388" s="508"/>
      <c r="AH388" s="508"/>
      <c r="AI388" s="508"/>
      <c r="AJ388" s="508"/>
      <c r="AK388" s="508"/>
      <c r="AL388" s="508"/>
      <c r="AM388" s="508"/>
      <c r="AN388" s="508"/>
      <c r="AO388" s="508"/>
      <c r="AP388" s="508"/>
      <c r="AQ388" s="508"/>
      <c r="AR388" s="508"/>
      <c r="AS388" s="508"/>
      <c r="AT388" s="508"/>
      <c r="AU388" s="508"/>
      <c r="AV388" s="508"/>
      <c r="AW388" s="508"/>
      <c r="AX388" s="508"/>
      <c r="AY388" s="508"/>
      <c r="AZ388" s="508"/>
      <c r="BA388" s="508"/>
      <c r="BB388" s="508"/>
      <c r="BC388" s="508"/>
      <c r="BD388" s="508"/>
      <c r="BE388" s="508"/>
      <c r="BF388" s="508"/>
      <c r="BG388" s="508"/>
      <c r="BH388" s="508"/>
      <c r="BI388" s="508"/>
      <c r="BJ388" s="508"/>
      <c r="BK388" s="508"/>
      <c r="BL388" s="508"/>
      <c r="BM388" s="508"/>
      <c r="BN388" s="508"/>
      <c r="BO388" s="508"/>
      <c r="BP388" s="508"/>
      <c r="BQ388" s="508"/>
      <c r="BR388" s="508"/>
      <c r="BS388" s="508"/>
      <c r="BT388" s="508"/>
      <c r="BU388" s="508"/>
      <c r="BV388" s="508"/>
      <c r="BW388" s="508"/>
      <c r="BX388" s="508"/>
      <c r="BY388" s="508"/>
      <c r="BZ388" s="508"/>
      <c r="CA388" s="508"/>
      <c r="CB388" s="509"/>
      <c r="CC388" s="58"/>
      <c r="CD388" s="3"/>
      <c r="CE388" s="100"/>
    </row>
    <row r="389" spans="1:83" ht="12.75" customHeight="1" x14ac:dyDescent="0.15">
      <c r="A389" s="98"/>
      <c r="B389" s="99"/>
      <c r="C389" s="3"/>
      <c r="D389" s="501" t="s">
        <v>714</v>
      </c>
      <c r="E389" s="502"/>
      <c r="F389" s="502"/>
      <c r="G389" s="502"/>
      <c r="H389" s="503"/>
      <c r="I389" s="599" t="s">
        <v>715</v>
      </c>
      <c r="J389" s="600"/>
      <c r="K389" s="600"/>
      <c r="L389" s="600"/>
      <c r="M389" s="600"/>
      <c r="N389" s="600"/>
      <c r="O389" s="600"/>
      <c r="P389" s="600"/>
      <c r="Q389" s="600"/>
      <c r="R389" s="600"/>
      <c r="S389" s="600"/>
      <c r="T389" s="600"/>
      <c r="U389" s="600"/>
      <c r="V389" s="600"/>
      <c r="W389" s="600"/>
      <c r="X389" s="600"/>
      <c r="Y389" s="600"/>
      <c r="Z389" s="600"/>
      <c r="AA389" s="600"/>
      <c r="AB389" s="601"/>
      <c r="AC389" s="507" t="s">
        <v>77</v>
      </c>
      <c r="AD389" s="508"/>
      <c r="AE389" s="508"/>
      <c r="AF389" s="508"/>
      <c r="AG389" s="508"/>
      <c r="AH389" s="508"/>
      <c r="AI389" s="508"/>
      <c r="AJ389" s="508"/>
      <c r="AK389" s="508"/>
      <c r="AL389" s="508"/>
      <c r="AM389" s="508"/>
      <c r="AN389" s="508"/>
      <c r="AO389" s="508"/>
      <c r="AP389" s="508"/>
      <c r="AQ389" s="508"/>
      <c r="AR389" s="508"/>
      <c r="AS389" s="508"/>
      <c r="AT389" s="508"/>
      <c r="AU389" s="508"/>
      <c r="AV389" s="508"/>
      <c r="AW389" s="508"/>
      <c r="AX389" s="508"/>
      <c r="AY389" s="508"/>
      <c r="AZ389" s="508"/>
      <c r="BA389" s="508"/>
      <c r="BB389" s="508"/>
      <c r="BC389" s="508"/>
      <c r="BD389" s="508"/>
      <c r="BE389" s="508"/>
      <c r="BF389" s="508"/>
      <c r="BG389" s="508"/>
      <c r="BH389" s="508"/>
      <c r="BI389" s="508"/>
      <c r="BJ389" s="508"/>
      <c r="BK389" s="508"/>
      <c r="BL389" s="508"/>
      <c r="BM389" s="508"/>
      <c r="BN389" s="508"/>
      <c r="BO389" s="508"/>
      <c r="BP389" s="508"/>
      <c r="BQ389" s="508"/>
      <c r="BR389" s="508"/>
      <c r="BS389" s="508"/>
      <c r="BT389" s="508"/>
      <c r="BU389" s="508"/>
      <c r="BV389" s="508"/>
      <c r="BW389" s="508"/>
      <c r="BX389" s="508"/>
      <c r="BY389" s="508"/>
      <c r="BZ389" s="508"/>
      <c r="CA389" s="508"/>
      <c r="CB389" s="509"/>
      <c r="CC389" s="58"/>
      <c r="CD389" s="3"/>
      <c r="CE389" s="100"/>
    </row>
    <row r="390" spans="1:83" ht="12.75" customHeight="1" x14ac:dyDescent="0.15">
      <c r="A390" s="98"/>
      <c r="B390" s="99"/>
      <c r="C390" s="3"/>
      <c r="D390" s="501" t="s">
        <v>716</v>
      </c>
      <c r="E390" s="502"/>
      <c r="F390" s="502"/>
      <c r="G390" s="502"/>
      <c r="H390" s="503"/>
      <c r="I390" s="599" t="s">
        <v>717</v>
      </c>
      <c r="J390" s="600"/>
      <c r="K390" s="600"/>
      <c r="L390" s="600"/>
      <c r="M390" s="600"/>
      <c r="N390" s="600"/>
      <c r="O390" s="600"/>
      <c r="P390" s="600"/>
      <c r="Q390" s="600"/>
      <c r="R390" s="600"/>
      <c r="S390" s="600"/>
      <c r="T390" s="600"/>
      <c r="U390" s="600"/>
      <c r="V390" s="600"/>
      <c r="W390" s="600"/>
      <c r="X390" s="600"/>
      <c r="Y390" s="600"/>
      <c r="Z390" s="600"/>
      <c r="AA390" s="600"/>
      <c r="AB390" s="601"/>
      <c r="AC390" s="507" t="s">
        <v>839</v>
      </c>
      <c r="AD390" s="508"/>
      <c r="AE390" s="508"/>
      <c r="AF390" s="508"/>
      <c r="AG390" s="508"/>
      <c r="AH390" s="508"/>
      <c r="AI390" s="508"/>
      <c r="AJ390" s="508"/>
      <c r="AK390" s="508"/>
      <c r="AL390" s="508"/>
      <c r="AM390" s="508"/>
      <c r="AN390" s="508"/>
      <c r="AO390" s="508"/>
      <c r="AP390" s="508"/>
      <c r="AQ390" s="508"/>
      <c r="AR390" s="508"/>
      <c r="AS390" s="508"/>
      <c r="AT390" s="508"/>
      <c r="AU390" s="508"/>
      <c r="AV390" s="508"/>
      <c r="AW390" s="508"/>
      <c r="AX390" s="508"/>
      <c r="AY390" s="508"/>
      <c r="AZ390" s="508"/>
      <c r="BA390" s="508"/>
      <c r="BB390" s="508"/>
      <c r="BC390" s="508"/>
      <c r="BD390" s="508"/>
      <c r="BE390" s="508"/>
      <c r="BF390" s="508"/>
      <c r="BG390" s="508"/>
      <c r="BH390" s="508"/>
      <c r="BI390" s="508"/>
      <c r="BJ390" s="508"/>
      <c r="BK390" s="508"/>
      <c r="BL390" s="508"/>
      <c r="BM390" s="508"/>
      <c r="BN390" s="508"/>
      <c r="BO390" s="508"/>
      <c r="BP390" s="508"/>
      <c r="BQ390" s="508"/>
      <c r="BR390" s="508"/>
      <c r="BS390" s="508"/>
      <c r="BT390" s="508"/>
      <c r="BU390" s="508"/>
      <c r="BV390" s="508"/>
      <c r="BW390" s="508"/>
      <c r="BX390" s="508"/>
      <c r="BY390" s="508"/>
      <c r="BZ390" s="508"/>
      <c r="CA390" s="508"/>
      <c r="CB390" s="509"/>
      <c r="CC390" s="58"/>
      <c r="CD390" s="3"/>
      <c r="CE390" s="100"/>
    </row>
    <row r="391" spans="1:83" s="9" customFormat="1" ht="12" customHeight="1" x14ac:dyDescent="0.15">
      <c r="A391" s="16"/>
      <c r="B391" s="8"/>
      <c r="C391" s="17"/>
      <c r="D391" s="492" t="s">
        <v>718</v>
      </c>
      <c r="E391" s="493"/>
      <c r="F391" s="493"/>
      <c r="G391" s="493"/>
      <c r="H391" s="494"/>
      <c r="I391" s="599" t="s">
        <v>769</v>
      </c>
      <c r="J391" s="600"/>
      <c r="K391" s="600"/>
      <c r="L391" s="600"/>
      <c r="M391" s="600"/>
      <c r="N391" s="600"/>
      <c r="O391" s="600"/>
      <c r="P391" s="600"/>
      <c r="Q391" s="600"/>
      <c r="R391" s="600"/>
      <c r="S391" s="600"/>
      <c r="T391" s="600"/>
      <c r="U391" s="600"/>
      <c r="V391" s="600"/>
      <c r="W391" s="600"/>
      <c r="X391" s="600"/>
      <c r="Y391" s="600"/>
      <c r="Z391" s="600"/>
      <c r="AA391" s="600"/>
      <c r="AB391" s="601"/>
      <c r="AC391" s="507" t="s">
        <v>770</v>
      </c>
      <c r="AD391" s="508"/>
      <c r="AE391" s="508"/>
      <c r="AF391" s="508"/>
      <c r="AG391" s="508"/>
      <c r="AH391" s="508"/>
      <c r="AI391" s="508"/>
      <c r="AJ391" s="508"/>
      <c r="AK391" s="508"/>
      <c r="AL391" s="508"/>
      <c r="AM391" s="508"/>
      <c r="AN391" s="508"/>
      <c r="AO391" s="508"/>
      <c r="AP391" s="508"/>
      <c r="AQ391" s="508"/>
      <c r="AR391" s="508"/>
      <c r="AS391" s="508"/>
      <c r="AT391" s="508"/>
      <c r="AU391" s="508"/>
      <c r="AV391" s="508"/>
      <c r="AW391" s="508"/>
      <c r="AX391" s="508"/>
      <c r="AY391" s="508"/>
      <c r="AZ391" s="508"/>
      <c r="BA391" s="508"/>
      <c r="BB391" s="508"/>
      <c r="BC391" s="508"/>
      <c r="BD391" s="508"/>
      <c r="BE391" s="508"/>
      <c r="BF391" s="508"/>
      <c r="BG391" s="508"/>
      <c r="BH391" s="508"/>
      <c r="BI391" s="508"/>
      <c r="BJ391" s="508"/>
      <c r="BK391" s="508"/>
      <c r="BL391" s="508"/>
      <c r="BM391" s="508"/>
      <c r="BN391" s="508"/>
      <c r="BO391" s="508"/>
      <c r="BP391" s="508"/>
      <c r="BQ391" s="508"/>
      <c r="BR391" s="508"/>
      <c r="BS391" s="508"/>
      <c r="BT391" s="508"/>
      <c r="BU391" s="508"/>
      <c r="BV391" s="508"/>
      <c r="BW391" s="508"/>
      <c r="BX391" s="508"/>
      <c r="BY391" s="508"/>
      <c r="BZ391" s="508"/>
      <c r="CA391" s="508"/>
      <c r="CB391" s="509"/>
      <c r="CC391" s="17"/>
      <c r="CD391" s="17"/>
      <c r="CE391" s="18"/>
    </row>
    <row r="392" spans="1:83" s="9" customFormat="1" ht="12" customHeight="1" x14ac:dyDescent="0.15">
      <c r="A392" s="16"/>
      <c r="B392" s="8"/>
      <c r="C392" s="17"/>
      <c r="D392" s="501" t="s">
        <v>719</v>
      </c>
      <c r="E392" s="502"/>
      <c r="F392" s="502"/>
      <c r="G392" s="502"/>
      <c r="H392" s="503"/>
      <c r="I392" s="510" t="s">
        <v>8</v>
      </c>
      <c r="J392" s="511"/>
      <c r="K392" s="511"/>
      <c r="L392" s="511"/>
      <c r="M392" s="511"/>
      <c r="N392" s="511"/>
      <c r="O392" s="511"/>
      <c r="P392" s="511"/>
      <c r="Q392" s="511"/>
      <c r="R392" s="511"/>
      <c r="S392" s="511"/>
      <c r="T392" s="511"/>
      <c r="U392" s="511"/>
      <c r="V392" s="511"/>
      <c r="W392" s="511"/>
      <c r="X392" s="511"/>
      <c r="Y392" s="511"/>
      <c r="Z392" s="511"/>
      <c r="AA392" s="511"/>
      <c r="AB392" s="512"/>
      <c r="AC392" s="519" t="s">
        <v>720</v>
      </c>
      <c r="AD392" s="520"/>
      <c r="AE392" s="520"/>
      <c r="AF392" s="520"/>
      <c r="AG392" s="520"/>
      <c r="AH392" s="520"/>
      <c r="AI392" s="520"/>
      <c r="AJ392" s="520"/>
      <c r="AK392" s="520"/>
      <c r="AL392" s="520"/>
      <c r="AM392" s="520"/>
      <c r="AN392" s="520"/>
      <c r="AO392" s="520"/>
      <c r="AP392" s="520"/>
      <c r="AQ392" s="520"/>
      <c r="AR392" s="520"/>
      <c r="AS392" s="520"/>
      <c r="AT392" s="520"/>
      <c r="AU392" s="520"/>
      <c r="AV392" s="520"/>
      <c r="AW392" s="520"/>
      <c r="AX392" s="520"/>
      <c r="AY392" s="520"/>
      <c r="AZ392" s="520"/>
      <c r="BA392" s="520"/>
      <c r="BB392" s="520"/>
      <c r="BC392" s="520"/>
      <c r="BD392" s="520"/>
      <c r="BE392" s="520"/>
      <c r="BF392" s="520"/>
      <c r="BG392" s="520"/>
      <c r="BH392" s="520"/>
      <c r="BI392" s="520"/>
      <c r="BJ392" s="520"/>
      <c r="BK392" s="520"/>
      <c r="BL392" s="520"/>
      <c r="BM392" s="520"/>
      <c r="BN392" s="520"/>
      <c r="BO392" s="520"/>
      <c r="BP392" s="520"/>
      <c r="BQ392" s="520"/>
      <c r="BR392" s="520"/>
      <c r="BS392" s="520"/>
      <c r="BT392" s="520"/>
      <c r="BU392" s="520"/>
      <c r="BV392" s="520"/>
      <c r="BW392" s="520"/>
      <c r="BX392" s="520"/>
      <c r="BY392" s="520"/>
      <c r="BZ392" s="520"/>
      <c r="CA392" s="520"/>
      <c r="CB392" s="521"/>
      <c r="CC392" s="17"/>
      <c r="CD392" s="17"/>
      <c r="CE392" s="18"/>
    </row>
    <row r="393" spans="1:83" s="9" customFormat="1" ht="12" customHeight="1" x14ac:dyDescent="0.15">
      <c r="A393" s="16"/>
      <c r="B393" s="8"/>
      <c r="C393" s="17"/>
      <c r="D393" s="528"/>
      <c r="E393" s="529"/>
      <c r="F393" s="529"/>
      <c r="G393" s="529"/>
      <c r="H393" s="530"/>
      <c r="I393" s="513"/>
      <c r="J393" s="514"/>
      <c r="K393" s="514"/>
      <c r="L393" s="514"/>
      <c r="M393" s="514"/>
      <c r="N393" s="514"/>
      <c r="O393" s="514"/>
      <c r="P393" s="514"/>
      <c r="Q393" s="514"/>
      <c r="R393" s="514"/>
      <c r="S393" s="514"/>
      <c r="T393" s="514"/>
      <c r="U393" s="514"/>
      <c r="V393" s="514"/>
      <c r="W393" s="514"/>
      <c r="X393" s="514"/>
      <c r="Y393" s="514"/>
      <c r="Z393" s="514"/>
      <c r="AA393" s="514"/>
      <c r="AB393" s="515"/>
      <c r="AC393" s="522"/>
      <c r="AD393" s="523"/>
      <c r="AE393" s="523"/>
      <c r="AF393" s="523"/>
      <c r="AG393" s="523"/>
      <c r="AH393" s="523"/>
      <c r="AI393" s="523"/>
      <c r="AJ393" s="523"/>
      <c r="AK393" s="523"/>
      <c r="AL393" s="523"/>
      <c r="AM393" s="523"/>
      <c r="AN393" s="523"/>
      <c r="AO393" s="523"/>
      <c r="AP393" s="523"/>
      <c r="AQ393" s="523"/>
      <c r="AR393" s="523"/>
      <c r="AS393" s="523"/>
      <c r="AT393" s="523"/>
      <c r="AU393" s="523"/>
      <c r="AV393" s="523"/>
      <c r="AW393" s="523"/>
      <c r="AX393" s="523"/>
      <c r="AY393" s="523"/>
      <c r="AZ393" s="523"/>
      <c r="BA393" s="523"/>
      <c r="BB393" s="523"/>
      <c r="BC393" s="523"/>
      <c r="BD393" s="523"/>
      <c r="BE393" s="523"/>
      <c r="BF393" s="523"/>
      <c r="BG393" s="523"/>
      <c r="BH393" s="523"/>
      <c r="BI393" s="523"/>
      <c r="BJ393" s="523"/>
      <c r="BK393" s="523"/>
      <c r="BL393" s="523"/>
      <c r="BM393" s="523"/>
      <c r="BN393" s="523"/>
      <c r="BO393" s="523"/>
      <c r="BP393" s="523"/>
      <c r="BQ393" s="523"/>
      <c r="BR393" s="523"/>
      <c r="BS393" s="523"/>
      <c r="BT393" s="523"/>
      <c r="BU393" s="523"/>
      <c r="BV393" s="523"/>
      <c r="BW393" s="523"/>
      <c r="BX393" s="523"/>
      <c r="BY393" s="523"/>
      <c r="BZ393" s="523"/>
      <c r="CA393" s="523"/>
      <c r="CB393" s="524"/>
      <c r="CC393" s="17"/>
      <c r="CD393" s="17"/>
      <c r="CE393" s="18"/>
    </row>
    <row r="394" spans="1:83" s="9" customFormat="1" ht="12" customHeight="1" x14ac:dyDescent="0.15">
      <c r="A394" s="16"/>
      <c r="B394" s="8"/>
      <c r="C394" s="17"/>
      <c r="D394" s="334"/>
      <c r="E394" s="335"/>
      <c r="F394" s="335"/>
      <c r="G394" s="335"/>
      <c r="H394" s="336"/>
      <c r="I394" s="513"/>
      <c r="J394" s="514"/>
      <c r="K394" s="514"/>
      <c r="L394" s="514"/>
      <c r="M394" s="514"/>
      <c r="N394" s="514"/>
      <c r="O394" s="514"/>
      <c r="P394" s="514"/>
      <c r="Q394" s="514"/>
      <c r="R394" s="514"/>
      <c r="S394" s="514"/>
      <c r="T394" s="514"/>
      <c r="U394" s="514"/>
      <c r="V394" s="514"/>
      <c r="W394" s="514"/>
      <c r="X394" s="514"/>
      <c r="Y394" s="514"/>
      <c r="Z394" s="514"/>
      <c r="AA394" s="514"/>
      <c r="AB394" s="515"/>
      <c r="AC394" s="522"/>
      <c r="AD394" s="523"/>
      <c r="AE394" s="523"/>
      <c r="AF394" s="523"/>
      <c r="AG394" s="523"/>
      <c r="AH394" s="523"/>
      <c r="AI394" s="523"/>
      <c r="AJ394" s="523"/>
      <c r="AK394" s="523"/>
      <c r="AL394" s="523"/>
      <c r="AM394" s="523"/>
      <c r="AN394" s="523"/>
      <c r="AO394" s="523"/>
      <c r="AP394" s="523"/>
      <c r="AQ394" s="523"/>
      <c r="AR394" s="523"/>
      <c r="AS394" s="523"/>
      <c r="AT394" s="523"/>
      <c r="AU394" s="523"/>
      <c r="AV394" s="523"/>
      <c r="AW394" s="523"/>
      <c r="AX394" s="523"/>
      <c r="AY394" s="523"/>
      <c r="AZ394" s="523"/>
      <c r="BA394" s="523"/>
      <c r="BB394" s="523"/>
      <c r="BC394" s="523"/>
      <c r="BD394" s="523"/>
      <c r="BE394" s="523"/>
      <c r="BF394" s="523"/>
      <c r="BG394" s="523"/>
      <c r="BH394" s="523"/>
      <c r="BI394" s="523"/>
      <c r="BJ394" s="523"/>
      <c r="BK394" s="523"/>
      <c r="BL394" s="523"/>
      <c r="BM394" s="523"/>
      <c r="BN394" s="523"/>
      <c r="BO394" s="523"/>
      <c r="BP394" s="523"/>
      <c r="BQ394" s="523"/>
      <c r="BR394" s="523"/>
      <c r="BS394" s="523"/>
      <c r="BT394" s="523"/>
      <c r="BU394" s="523"/>
      <c r="BV394" s="523"/>
      <c r="BW394" s="523"/>
      <c r="BX394" s="523"/>
      <c r="BY394" s="523"/>
      <c r="BZ394" s="523"/>
      <c r="CA394" s="523"/>
      <c r="CB394" s="524"/>
      <c r="CC394" s="17"/>
      <c r="CD394" s="17"/>
      <c r="CE394" s="18"/>
    </row>
    <row r="395" spans="1:83" s="9" customFormat="1" ht="12" customHeight="1" x14ac:dyDescent="0.15">
      <c r="A395" s="16"/>
      <c r="B395" s="8"/>
      <c r="C395" s="17"/>
      <c r="D395" s="531"/>
      <c r="E395" s="532"/>
      <c r="F395" s="532"/>
      <c r="G395" s="532"/>
      <c r="H395" s="533"/>
      <c r="I395" s="516"/>
      <c r="J395" s="517"/>
      <c r="K395" s="517"/>
      <c r="L395" s="517"/>
      <c r="M395" s="517"/>
      <c r="N395" s="517"/>
      <c r="O395" s="517"/>
      <c r="P395" s="517"/>
      <c r="Q395" s="517"/>
      <c r="R395" s="517"/>
      <c r="S395" s="517"/>
      <c r="T395" s="517"/>
      <c r="U395" s="517"/>
      <c r="V395" s="517"/>
      <c r="W395" s="517"/>
      <c r="X395" s="517"/>
      <c r="Y395" s="517"/>
      <c r="Z395" s="517"/>
      <c r="AA395" s="517"/>
      <c r="AB395" s="518"/>
      <c r="AC395" s="525"/>
      <c r="AD395" s="526"/>
      <c r="AE395" s="526"/>
      <c r="AF395" s="526"/>
      <c r="AG395" s="526"/>
      <c r="AH395" s="526"/>
      <c r="AI395" s="526"/>
      <c r="AJ395" s="526"/>
      <c r="AK395" s="526"/>
      <c r="AL395" s="526"/>
      <c r="AM395" s="526"/>
      <c r="AN395" s="526"/>
      <c r="AO395" s="526"/>
      <c r="AP395" s="526"/>
      <c r="AQ395" s="526"/>
      <c r="AR395" s="526"/>
      <c r="AS395" s="526"/>
      <c r="AT395" s="526"/>
      <c r="AU395" s="526"/>
      <c r="AV395" s="526"/>
      <c r="AW395" s="526"/>
      <c r="AX395" s="526"/>
      <c r="AY395" s="526"/>
      <c r="AZ395" s="526"/>
      <c r="BA395" s="526"/>
      <c r="BB395" s="526"/>
      <c r="BC395" s="526"/>
      <c r="BD395" s="526"/>
      <c r="BE395" s="526"/>
      <c r="BF395" s="526"/>
      <c r="BG395" s="526"/>
      <c r="BH395" s="526"/>
      <c r="BI395" s="526"/>
      <c r="BJ395" s="526"/>
      <c r="BK395" s="526"/>
      <c r="BL395" s="526"/>
      <c r="BM395" s="526"/>
      <c r="BN395" s="526"/>
      <c r="BO395" s="526"/>
      <c r="BP395" s="526"/>
      <c r="BQ395" s="526"/>
      <c r="BR395" s="526"/>
      <c r="BS395" s="526"/>
      <c r="BT395" s="526"/>
      <c r="BU395" s="526"/>
      <c r="BV395" s="526"/>
      <c r="BW395" s="526"/>
      <c r="BX395" s="526"/>
      <c r="BY395" s="526"/>
      <c r="BZ395" s="526"/>
      <c r="CA395" s="526"/>
      <c r="CB395" s="527"/>
      <c r="CC395" s="17"/>
      <c r="CD395" s="17"/>
      <c r="CE395" s="18"/>
    </row>
    <row r="396" spans="1:83" s="9" customFormat="1" ht="12" customHeight="1" x14ac:dyDescent="0.15">
      <c r="A396" s="16"/>
      <c r="B396" s="8"/>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17"/>
      <c r="CD396" s="17"/>
      <c r="CE396" s="18"/>
    </row>
    <row r="397" spans="1:83" s="9" customFormat="1" ht="12" customHeight="1" thickBot="1" x14ac:dyDescent="0.2">
      <c r="A397" s="25"/>
      <c r="B397" s="30"/>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7"/>
      <c r="BA397" s="27"/>
      <c r="BB397" s="27"/>
      <c r="BC397" s="27"/>
      <c r="BD397" s="27"/>
      <c r="BE397" s="27"/>
      <c r="BF397" s="27"/>
      <c r="BG397" s="27"/>
      <c r="BH397" s="27"/>
      <c r="BI397" s="27"/>
      <c r="BJ397" s="27"/>
      <c r="BK397" s="27"/>
      <c r="BL397" s="27"/>
      <c r="BM397" s="27"/>
      <c r="BN397" s="27"/>
      <c r="BO397" s="27"/>
      <c r="BP397" s="27"/>
      <c r="BQ397" s="27"/>
      <c r="BR397" s="27"/>
      <c r="BS397" s="27"/>
      <c r="BT397" s="27"/>
      <c r="BU397" s="27"/>
      <c r="BV397" s="27"/>
      <c r="BW397" s="27"/>
      <c r="BX397" s="27"/>
      <c r="BY397" s="27"/>
      <c r="BZ397" s="27"/>
      <c r="CA397" s="27"/>
      <c r="CB397" s="27"/>
      <c r="CC397" s="26"/>
      <c r="CD397" s="26"/>
      <c r="CE397" s="28"/>
    </row>
    <row r="398" spans="1:83" s="9" customFormat="1" ht="12" customHeight="1" x14ac:dyDescent="0.15">
      <c r="A398" s="13"/>
      <c r="B398" s="14"/>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60"/>
      <c r="BA398" s="160"/>
      <c r="BB398" s="160"/>
      <c r="BC398" s="160"/>
      <c r="BD398" s="160"/>
      <c r="BE398" s="160"/>
      <c r="BF398" s="160"/>
      <c r="BG398" s="160"/>
      <c r="BH398" s="160"/>
      <c r="BI398" s="160"/>
      <c r="BJ398" s="160"/>
      <c r="BK398" s="160"/>
      <c r="BL398" s="160"/>
      <c r="BM398" s="160"/>
      <c r="BN398" s="160"/>
      <c r="BO398" s="160"/>
      <c r="BP398" s="160"/>
      <c r="BQ398" s="160"/>
      <c r="BR398" s="160"/>
      <c r="BS398" s="160"/>
      <c r="BT398" s="160"/>
      <c r="BU398" s="160"/>
      <c r="BV398" s="160"/>
      <c r="BW398" s="160"/>
      <c r="BX398" s="160"/>
      <c r="BY398" s="160"/>
      <c r="BZ398" s="160"/>
      <c r="CA398" s="160"/>
      <c r="CB398" s="160"/>
      <c r="CC398" s="159"/>
      <c r="CD398" s="159"/>
      <c r="CE398" s="15"/>
    </row>
    <row r="399" spans="1:83" s="4" customFormat="1" ht="12" customHeight="1" x14ac:dyDescent="0.15">
      <c r="A399" s="16"/>
      <c r="B399" s="73"/>
      <c r="C399" s="12"/>
      <c r="D399" s="12"/>
      <c r="E399" s="17"/>
      <c r="F399" s="17"/>
      <c r="G399" s="17" t="s">
        <v>926</v>
      </c>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2"/>
      <c r="CB399" s="12"/>
      <c r="CC399" s="12"/>
      <c r="CD399" s="12"/>
      <c r="CE399" s="18"/>
    </row>
    <row r="400" spans="1:83" s="9" customFormat="1" ht="12" customHeight="1" x14ac:dyDescent="0.15">
      <c r="A400" s="16"/>
      <c r="B400" s="8"/>
      <c r="C400" s="17"/>
      <c r="D400" s="157"/>
      <c r="E400" s="8"/>
      <c r="F400" s="17"/>
      <c r="G400" s="17"/>
      <c r="H400" s="17" t="s">
        <v>927</v>
      </c>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17"/>
      <c r="CD400" s="17"/>
      <c r="CE400" s="18"/>
    </row>
    <row r="401" spans="1:83" s="9" customFormat="1" ht="12" customHeight="1" x14ac:dyDescent="0.15">
      <c r="A401" s="16"/>
      <c r="B401" s="8"/>
      <c r="C401" s="17"/>
      <c r="D401" s="157"/>
      <c r="E401" s="8"/>
      <c r="F401" s="17"/>
      <c r="G401" s="17"/>
      <c r="H401" s="17" t="s">
        <v>928</v>
      </c>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17"/>
      <c r="CD401" s="17"/>
      <c r="CE401" s="18"/>
    </row>
    <row r="402" spans="1:83" s="9" customFormat="1" ht="12" customHeight="1" x14ac:dyDescent="0.15">
      <c r="A402" s="16"/>
      <c r="B402" s="8"/>
      <c r="C402" s="8"/>
      <c r="D402" s="8"/>
      <c r="E402" s="8"/>
      <c r="F402" s="8"/>
      <c r="G402" s="8"/>
      <c r="H402" s="356"/>
      <c r="I402" s="8"/>
      <c r="J402" s="8"/>
      <c r="K402" s="167"/>
      <c r="L402" s="167"/>
      <c r="M402" s="167"/>
      <c r="N402" s="167"/>
      <c r="O402" s="167"/>
      <c r="P402" s="167"/>
      <c r="Q402" s="167"/>
      <c r="R402" s="167"/>
      <c r="S402" s="167"/>
      <c r="T402" s="167"/>
      <c r="U402" s="167"/>
      <c r="V402" s="167"/>
      <c r="W402" s="167"/>
      <c r="X402" s="167"/>
      <c r="Y402" s="167"/>
      <c r="Z402" s="167"/>
      <c r="AA402" s="167"/>
      <c r="AB402" s="167"/>
      <c r="AC402" s="167"/>
      <c r="AD402" s="167"/>
      <c r="AE402" s="167"/>
      <c r="AF402" s="167"/>
      <c r="AG402" s="167"/>
      <c r="AH402" s="168"/>
      <c r="AI402" s="168"/>
      <c r="AJ402" s="168"/>
      <c r="AK402" s="168"/>
      <c r="AL402" s="168"/>
      <c r="AM402" s="168"/>
      <c r="AN402" s="168"/>
      <c r="AO402" s="168"/>
      <c r="AP402" s="168"/>
      <c r="AQ402" s="168"/>
      <c r="AR402" s="168"/>
      <c r="AS402" s="168"/>
      <c r="AT402" s="168"/>
      <c r="AU402" s="168"/>
      <c r="AV402" s="168"/>
      <c r="AW402" s="168"/>
      <c r="AX402" s="168"/>
      <c r="AY402" s="168"/>
      <c r="AZ402" s="168"/>
      <c r="BA402" s="168"/>
      <c r="BB402" s="168"/>
      <c r="BC402" s="168"/>
      <c r="BD402" s="168"/>
      <c r="BE402" s="168"/>
      <c r="BF402" s="168"/>
      <c r="BG402" s="168"/>
      <c r="BH402" s="168"/>
      <c r="BI402" s="168"/>
      <c r="BJ402" s="168"/>
      <c r="BK402" s="168"/>
      <c r="BL402" s="168"/>
      <c r="BM402" s="168"/>
      <c r="BN402" s="168"/>
      <c r="BO402" s="168"/>
      <c r="BP402" s="168"/>
      <c r="BQ402" s="168"/>
      <c r="BR402" s="168"/>
      <c r="BS402" s="168"/>
      <c r="BT402" s="168"/>
      <c r="BU402" s="168"/>
      <c r="BV402" s="168"/>
      <c r="BW402" s="168"/>
      <c r="BX402" s="168"/>
      <c r="BY402" s="168"/>
      <c r="BZ402" s="168"/>
      <c r="CA402" s="168"/>
      <c r="CB402" s="168"/>
      <c r="CC402" s="17"/>
      <c r="CD402" s="17"/>
      <c r="CE402" s="18"/>
    </row>
    <row r="403" spans="1:83" s="9" customFormat="1" ht="12" customHeight="1" x14ac:dyDescent="0.15">
      <c r="A403" s="16"/>
      <c r="B403" s="8"/>
      <c r="C403" s="17"/>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18"/>
    </row>
    <row r="404" spans="1:83" s="9" customFormat="1" ht="12" customHeight="1" x14ac:dyDescent="0.15">
      <c r="A404" s="16"/>
      <c r="B404" s="8"/>
      <c r="C404" s="17"/>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18"/>
    </row>
    <row r="405" spans="1:83" s="9" customFormat="1" ht="12" customHeight="1" x14ac:dyDescent="0.15">
      <c r="A405" s="16"/>
      <c r="B405" s="8"/>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17"/>
      <c r="CD405" s="17"/>
      <c r="CE405" s="18"/>
    </row>
    <row r="406" spans="1:83" s="6" customFormat="1" ht="12" customHeight="1" x14ac:dyDescent="0.15">
      <c r="A406" s="16"/>
      <c r="B406" s="5"/>
      <c r="C406" s="12"/>
      <c r="D406" s="12"/>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2"/>
      <c r="CB406" s="12"/>
      <c r="CC406" s="12"/>
      <c r="CD406" s="12"/>
      <c r="CE406" s="18"/>
    </row>
    <row r="407" spans="1:83" s="4" customFormat="1" ht="12" customHeight="1" x14ac:dyDescent="0.15">
      <c r="A407" s="16"/>
      <c r="B407" s="73"/>
      <c r="C407" s="12"/>
      <c r="D407" s="12"/>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2"/>
      <c r="CB407" s="12"/>
      <c r="CC407" s="12"/>
      <c r="CD407" s="12"/>
      <c r="CE407" s="18"/>
    </row>
    <row r="408" spans="1:83" s="4" customFormat="1" ht="12" customHeight="1" x14ac:dyDescent="0.15">
      <c r="A408" s="16"/>
      <c r="B408" s="73"/>
      <c r="C408" s="12"/>
      <c r="D408" s="12"/>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2"/>
      <c r="CB408" s="12"/>
      <c r="CC408" s="12"/>
      <c r="CD408" s="12"/>
      <c r="CE408" s="18"/>
    </row>
    <row r="409" spans="1:83" s="4" customFormat="1" ht="12" customHeight="1" x14ac:dyDescent="0.15">
      <c r="A409" s="16"/>
      <c r="B409" s="73"/>
      <c r="C409" s="12"/>
      <c r="D409" s="12"/>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2"/>
      <c r="CB409" s="12"/>
      <c r="CC409" s="12"/>
      <c r="CD409" s="12"/>
      <c r="CE409" s="18"/>
    </row>
    <row r="410" spans="1:83" s="4" customFormat="1" ht="12" customHeight="1" x14ac:dyDescent="0.15">
      <c r="A410" s="16"/>
      <c r="B410" s="73"/>
      <c r="C410" s="12"/>
      <c r="D410" s="12"/>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2"/>
      <c r="CB410" s="12"/>
      <c r="CC410" s="12"/>
      <c r="CD410" s="12"/>
      <c r="CE410" s="18"/>
    </row>
    <row r="411" spans="1:83" s="4" customFormat="1" ht="12" customHeight="1" x14ac:dyDescent="0.15">
      <c r="A411" s="16"/>
      <c r="B411" s="8"/>
      <c r="C411" s="12"/>
      <c r="D411" s="12"/>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2"/>
      <c r="CB411" s="12"/>
      <c r="CC411" s="12"/>
      <c r="CD411" s="12"/>
      <c r="CE411" s="18"/>
    </row>
    <row r="412" spans="1:83" s="4" customFormat="1" ht="12" customHeight="1" x14ac:dyDescent="0.15">
      <c r="A412" s="16"/>
      <c r="B412" s="8"/>
      <c r="C412" s="12"/>
      <c r="D412" s="12"/>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2"/>
      <c r="CB412" s="12"/>
      <c r="CC412" s="12"/>
      <c r="CD412" s="12"/>
      <c r="CE412" s="18"/>
    </row>
    <row r="413" spans="1:83" s="9" customFormat="1" ht="12" customHeight="1" x14ac:dyDescent="0.15">
      <c r="A413" s="16"/>
      <c r="B413" s="8"/>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17"/>
      <c r="CD413" s="17"/>
      <c r="CE413" s="18"/>
    </row>
    <row r="414" spans="1:83" s="9" customFormat="1" ht="12" customHeight="1" x14ac:dyDescent="0.15">
      <c r="A414" s="16"/>
      <c r="B414" s="8"/>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17"/>
      <c r="CD414" s="17"/>
      <c r="CE414" s="18"/>
    </row>
    <row r="415" spans="1:83" s="9" customFormat="1" ht="12" customHeight="1" x14ac:dyDescent="0.15">
      <c r="A415" s="16"/>
      <c r="B415" s="8"/>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17"/>
      <c r="CD415" s="17"/>
      <c r="CE415" s="18"/>
    </row>
    <row r="416" spans="1:83" s="9" customFormat="1" ht="12" customHeight="1" x14ac:dyDescent="0.15">
      <c r="A416" s="16"/>
      <c r="B416" s="8"/>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17"/>
      <c r="CD416" s="17"/>
      <c r="CE416" s="18"/>
    </row>
    <row r="417" spans="1:83" s="9" customFormat="1" ht="12" customHeight="1" x14ac:dyDescent="0.15">
      <c r="A417" s="16"/>
      <c r="B417" s="8"/>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17"/>
      <c r="CD417" s="17"/>
      <c r="CE417" s="18"/>
    </row>
    <row r="418" spans="1:83" s="9" customFormat="1" ht="12" customHeight="1" x14ac:dyDescent="0.15">
      <c r="A418" s="16"/>
      <c r="B418" s="8"/>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c r="BW418" s="20"/>
      <c r="BX418" s="20"/>
      <c r="BY418" s="20"/>
      <c r="BZ418" s="20"/>
      <c r="CA418" s="20"/>
      <c r="CB418" s="20"/>
      <c r="CC418" s="17"/>
      <c r="CD418" s="17"/>
      <c r="CE418" s="18"/>
    </row>
    <row r="419" spans="1:83" s="9" customFormat="1" ht="12" customHeight="1" x14ac:dyDescent="0.15">
      <c r="A419" s="16"/>
      <c r="B419" s="8"/>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17"/>
      <c r="CD419" s="17"/>
      <c r="CE419" s="18"/>
    </row>
    <row r="420" spans="1:83" s="9" customFormat="1" ht="12" customHeight="1" x14ac:dyDescent="0.15">
      <c r="A420" s="16"/>
      <c r="B420" s="8"/>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17"/>
      <c r="CD420" s="17"/>
      <c r="CE420" s="18"/>
    </row>
    <row r="421" spans="1:83" s="9" customFormat="1" ht="12" customHeight="1" x14ac:dyDescent="0.15">
      <c r="A421" s="16"/>
      <c r="B421" s="8"/>
      <c r="C421" s="17"/>
      <c r="D421" s="157"/>
      <c r="E421" s="157"/>
      <c r="F421" s="15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17"/>
      <c r="CD421" s="17"/>
      <c r="CE421" s="18"/>
    </row>
    <row r="422" spans="1:83" s="9" customFormat="1" ht="12" customHeight="1" x14ac:dyDescent="0.15">
      <c r="A422" s="16"/>
      <c r="B422" s="8"/>
      <c r="C422" s="17"/>
      <c r="D422" s="157"/>
      <c r="E422" s="157"/>
      <c r="F422" s="15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17"/>
      <c r="CD422" s="17"/>
      <c r="CE422" s="18"/>
    </row>
    <row r="423" spans="1:83" s="9" customFormat="1" ht="12" customHeight="1" x14ac:dyDescent="0.15">
      <c r="A423" s="16"/>
      <c r="B423" s="8"/>
      <c r="C423" s="17"/>
      <c r="D423" s="157"/>
      <c r="E423" s="157"/>
      <c r="F423" s="15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17"/>
      <c r="CD423" s="17"/>
      <c r="CE423" s="18"/>
    </row>
    <row r="424" spans="1:83" s="9" customFormat="1" ht="12" customHeight="1" x14ac:dyDescent="0.15">
      <c r="A424" s="16"/>
      <c r="B424" s="8"/>
      <c r="C424" s="17"/>
      <c r="D424" s="157"/>
      <c r="E424" s="157"/>
      <c r="F424" s="15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17"/>
      <c r="CD424" s="17"/>
      <c r="CE424" s="18"/>
    </row>
    <row r="425" spans="1:83" s="9" customFormat="1" ht="12" customHeight="1" x14ac:dyDescent="0.15">
      <c r="A425" s="16"/>
      <c r="B425" s="8"/>
      <c r="C425" s="17"/>
      <c r="D425" s="157"/>
      <c r="E425" s="157"/>
      <c r="F425" s="15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c r="BW425" s="20"/>
      <c r="BX425" s="20"/>
      <c r="BY425" s="20"/>
      <c r="BZ425" s="20"/>
      <c r="CA425" s="20"/>
      <c r="CB425" s="20"/>
      <c r="CC425" s="17"/>
      <c r="CD425" s="17"/>
      <c r="CE425" s="18"/>
    </row>
    <row r="426" spans="1:83" s="9" customFormat="1" ht="12" customHeight="1" x14ac:dyDescent="0.15">
      <c r="A426" s="16"/>
      <c r="B426" s="8"/>
      <c r="C426" s="17"/>
      <c r="D426" s="157"/>
      <c r="E426" s="157"/>
      <c r="F426" s="15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17"/>
      <c r="CD426" s="17"/>
      <c r="CE426" s="18"/>
    </row>
    <row r="427" spans="1:83" s="4" customFormat="1" ht="12" customHeight="1" x14ac:dyDescent="0.15">
      <c r="A427" s="16"/>
      <c r="B427" s="5"/>
      <c r="C427" s="5"/>
      <c r="D427" s="534" t="s">
        <v>930</v>
      </c>
      <c r="E427" s="534"/>
      <c r="F427" s="534"/>
      <c r="G427" s="534"/>
      <c r="H427" s="534"/>
      <c r="I427" s="534"/>
      <c r="J427" s="534"/>
      <c r="K427" s="534"/>
      <c r="L427" s="534"/>
      <c r="M427" s="534"/>
      <c r="N427" s="534"/>
      <c r="O427" s="534"/>
      <c r="P427" s="534"/>
      <c r="Q427" s="534"/>
      <c r="R427" s="534"/>
      <c r="S427" s="534"/>
      <c r="T427" s="534"/>
      <c r="U427" s="534"/>
      <c r="V427" s="534"/>
      <c r="W427" s="534"/>
      <c r="X427" s="534"/>
      <c r="Y427" s="534"/>
      <c r="Z427" s="534"/>
      <c r="AA427" s="534"/>
      <c r="AB427" s="534"/>
      <c r="AC427" s="534"/>
      <c r="AD427" s="534"/>
      <c r="AE427" s="534"/>
      <c r="AF427" s="534"/>
      <c r="AG427" s="534"/>
      <c r="AH427" s="534"/>
      <c r="AI427" s="534"/>
      <c r="AJ427" s="534"/>
      <c r="AK427" s="534"/>
      <c r="AL427" s="534"/>
      <c r="AM427" s="534"/>
      <c r="AN427" s="534"/>
      <c r="AO427" s="534"/>
      <c r="AP427" s="534"/>
      <c r="AQ427" s="534"/>
      <c r="AR427" s="534"/>
      <c r="AS427" s="534"/>
      <c r="AT427" s="534"/>
      <c r="AU427" s="534"/>
      <c r="AV427" s="534"/>
      <c r="AW427" s="534"/>
      <c r="AX427" s="534"/>
      <c r="AY427" s="534"/>
      <c r="AZ427" s="534"/>
      <c r="BA427" s="534"/>
      <c r="BB427" s="534"/>
      <c r="BC427" s="534"/>
      <c r="BD427" s="534"/>
      <c r="BE427" s="534"/>
      <c r="BF427" s="534"/>
      <c r="BG427" s="534"/>
      <c r="BH427" s="534"/>
      <c r="BI427" s="534"/>
      <c r="BJ427" s="534"/>
      <c r="BK427" s="534"/>
      <c r="BL427" s="534"/>
      <c r="BM427" s="534"/>
      <c r="BN427" s="534"/>
      <c r="BO427" s="534"/>
      <c r="BP427" s="534"/>
      <c r="BQ427" s="534"/>
      <c r="BR427" s="534"/>
      <c r="BS427" s="534"/>
      <c r="BT427" s="534"/>
      <c r="BU427" s="534"/>
      <c r="BV427" s="534"/>
      <c r="BW427" s="534"/>
      <c r="BX427" s="534"/>
      <c r="BY427" s="534"/>
      <c r="BZ427" s="534"/>
      <c r="CA427" s="534"/>
      <c r="CB427" s="534"/>
      <c r="CC427" s="12"/>
      <c r="CD427" s="12"/>
      <c r="CE427" s="18"/>
    </row>
    <row r="428" spans="1:83" ht="12.75" customHeight="1" x14ac:dyDescent="0.15">
      <c r="A428" s="98"/>
      <c r="B428" s="99"/>
      <c r="C428" s="3"/>
      <c r="D428" s="535" t="s">
        <v>403</v>
      </c>
      <c r="E428" s="536"/>
      <c r="F428" s="536"/>
      <c r="G428" s="536"/>
      <c r="H428" s="537"/>
      <c r="I428" s="538" t="s">
        <v>605</v>
      </c>
      <c r="J428" s="539"/>
      <c r="K428" s="539"/>
      <c r="L428" s="539"/>
      <c r="M428" s="539"/>
      <c r="N428" s="539"/>
      <c r="O428" s="539"/>
      <c r="P428" s="539"/>
      <c r="Q428" s="539"/>
      <c r="R428" s="539"/>
      <c r="S428" s="539"/>
      <c r="T428" s="539"/>
      <c r="U428" s="539"/>
      <c r="V428" s="539"/>
      <c r="W428" s="539"/>
      <c r="X428" s="539"/>
      <c r="Y428" s="539"/>
      <c r="Z428" s="539"/>
      <c r="AA428" s="539"/>
      <c r="AB428" s="539"/>
      <c r="AC428" s="539"/>
      <c r="AD428" s="539"/>
      <c r="AE428" s="539"/>
      <c r="AF428" s="539"/>
      <c r="AG428" s="540"/>
      <c r="AH428" s="538" t="s">
        <v>604</v>
      </c>
      <c r="AI428" s="539"/>
      <c r="AJ428" s="539"/>
      <c r="AK428" s="539"/>
      <c r="AL428" s="539"/>
      <c r="AM428" s="539"/>
      <c r="AN428" s="539"/>
      <c r="AO428" s="539"/>
      <c r="AP428" s="539"/>
      <c r="AQ428" s="539"/>
      <c r="AR428" s="539"/>
      <c r="AS428" s="539"/>
      <c r="AT428" s="539"/>
      <c r="AU428" s="539"/>
      <c r="AV428" s="539"/>
      <c r="AW428" s="539"/>
      <c r="AX428" s="539"/>
      <c r="AY428" s="539"/>
      <c r="AZ428" s="539"/>
      <c r="BA428" s="539"/>
      <c r="BB428" s="539"/>
      <c r="BC428" s="539"/>
      <c r="BD428" s="539"/>
      <c r="BE428" s="539"/>
      <c r="BF428" s="539"/>
      <c r="BG428" s="539"/>
      <c r="BH428" s="539"/>
      <c r="BI428" s="539"/>
      <c r="BJ428" s="539"/>
      <c r="BK428" s="539"/>
      <c r="BL428" s="539"/>
      <c r="BM428" s="539"/>
      <c r="BN428" s="539"/>
      <c r="BO428" s="539"/>
      <c r="BP428" s="539"/>
      <c r="BQ428" s="539"/>
      <c r="BR428" s="539"/>
      <c r="BS428" s="539"/>
      <c r="BT428" s="539"/>
      <c r="BU428" s="539"/>
      <c r="BV428" s="539"/>
      <c r="BW428" s="539"/>
      <c r="BX428" s="539"/>
      <c r="BY428" s="539"/>
      <c r="BZ428" s="539"/>
      <c r="CA428" s="539"/>
      <c r="CB428" s="539"/>
      <c r="CC428" s="539"/>
      <c r="CD428" s="540"/>
      <c r="CE428" s="100"/>
    </row>
    <row r="429" spans="1:83" ht="12.75" customHeight="1" x14ac:dyDescent="0.15">
      <c r="A429" s="98"/>
      <c r="B429" s="99"/>
      <c r="C429" s="3"/>
      <c r="D429" s="501" t="s">
        <v>721</v>
      </c>
      <c r="E429" s="502"/>
      <c r="F429" s="502"/>
      <c r="G429" s="502"/>
      <c r="H429" s="503"/>
      <c r="I429" s="504" t="s">
        <v>722</v>
      </c>
      <c r="J429" s="505"/>
      <c r="K429" s="505"/>
      <c r="L429" s="505"/>
      <c r="M429" s="505"/>
      <c r="N429" s="505"/>
      <c r="O429" s="505"/>
      <c r="P429" s="505"/>
      <c r="Q429" s="505"/>
      <c r="R429" s="505"/>
      <c r="S429" s="505"/>
      <c r="T429" s="505"/>
      <c r="U429" s="505"/>
      <c r="V429" s="505"/>
      <c r="W429" s="505"/>
      <c r="X429" s="505"/>
      <c r="Y429" s="505"/>
      <c r="Z429" s="505"/>
      <c r="AA429" s="505"/>
      <c r="AB429" s="505"/>
      <c r="AC429" s="505"/>
      <c r="AD429" s="505"/>
      <c r="AE429" s="505"/>
      <c r="AF429" s="505"/>
      <c r="AG429" s="506"/>
      <c r="AH429" s="498" t="s">
        <v>739</v>
      </c>
      <c r="AI429" s="499"/>
      <c r="AJ429" s="499"/>
      <c r="AK429" s="499"/>
      <c r="AL429" s="499"/>
      <c r="AM429" s="499"/>
      <c r="AN429" s="499"/>
      <c r="AO429" s="499"/>
      <c r="AP429" s="499"/>
      <c r="AQ429" s="499"/>
      <c r="AR429" s="499"/>
      <c r="AS429" s="499"/>
      <c r="AT429" s="499"/>
      <c r="AU429" s="499"/>
      <c r="AV429" s="499"/>
      <c r="AW429" s="499"/>
      <c r="AX429" s="499"/>
      <c r="AY429" s="499"/>
      <c r="AZ429" s="499"/>
      <c r="BA429" s="499"/>
      <c r="BB429" s="499"/>
      <c r="BC429" s="499"/>
      <c r="BD429" s="499"/>
      <c r="BE429" s="499"/>
      <c r="BF429" s="499"/>
      <c r="BG429" s="499"/>
      <c r="BH429" s="499"/>
      <c r="BI429" s="499"/>
      <c r="BJ429" s="499"/>
      <c r="BK429" s="499"/>
      <c r="BL429" s="499"/>
      <c r="BM429" s="499"/>
      <c r="BN429" s="499"/>
      <c r="BO429" s="499"/>
      <c r="BP429" s="499"/>
      <c r="BQ429" s="499"/>
      <c r="BR429" s="499"/>
      <c r="BS429" s="499"/>
      <c r="BT429" s="499"/>
      <c r="BU429" s="499"/>
      <c r="BV429" s="499"/>
      <c r="BW429" s="499"/>
      <c r="BX429" s="499"/>
      <c r="BY429" s="499"/>
      <c r="BZ429" s="499"/>
      <c r="CA429" s="499"/>
      <c r="CB429" s="499"/>
      <c r="CC429" s="499"/>
      <c r="CD429" s="500"/>
      <c r="CE429" s="100"/>
    </row>
    <row r="430" spans="1:83" ht="12.75" customHeight="1" x14ac:dyDescent="0.15">
      <c r="A430" s="98"/>
      <c r="B430" s="99"/>
      <c r="C430" s="3"/>
      <c r="D430" s="501" t="s">
        <v>723</v>
      </c>
      <c r="E430" s="502"/>
      <c r="F430" s="502"/>
      <c r="G430" s="502"/>
      <c r="H430" s="503"/>
      <c r="I430" s="504" t="s">
        <v>724</v>
      </c>
      <c r="J430" s="505"/>
      <c r="K430" s="505"/>
      <c r="L430" s="505"/>
      <c r="M430" s="505"/>
      <c r="N430" s="505"/>
      <c r="O430" s="505"/>
      <c r="P430" s="505"/>
      <c r="Q430" s="505"/>
      <c r="R430" s="505"/>
      <c r="S430" s="505"/>
      <c r="T430" s="505"/>
      <c r="U430" s="505"/>
      <c r="V430" s="505"/>
      <c r="W430" s="505"/>
      <c r="X430" s="505"/>
      <c r="Y430" s="505"/>
      <c r="Z430" s="505"/>
      <c r="AA430" s="505"/>
      <c r="AB430" s="505"/>
      <c r="AC430" s="505"/>
      <c r="AD430" s="505"/>
      <c r="AE430" s="505"/>
      <c r="AF430" s="505"/>
      <c r="AG430" s="506"/>
      <c r="AH430" s="498" t="s">
        <v>77</v>
      </c>
      <c r="AI430" s="499"/>
      <c r="AJ430" s="499"/>
      <c r="AK430" s="499"/>
      <c r="AL430" s="499"/>
      <c r="AM430" s="499"/>
      <c r="AN430" s="499"/>
      <c r="AO430" s="499"/>
      <c r="AP430" s="499"/>
      <c r="AQ430" s="499"/>
      <c r="AR430" s="499"/>
      <c r="AS430" s="499"/>
      <c r="AT430" s="499"/>
      <c r="AU430" s="499"/>
      <c r="AV430" s="499"/>
      <c r="AW430" s="499"/>
      <c r="AX430" s="499"/>
      <c r="AY430" s="499"/>
      <c r="AZ430" s="499"/>
      <c r="BA430" s="499"/>
      <c r="BB430" s="499"/>
      <c r="BC430" s="499"/>
      <c r="BD430" s="499"/>
      <c r="BE430" s="499"/>
      <c r="BF430" s="499"/>
      <c r="BG430" s="499"/>
      <c r="BH430" s="499"/>
      <c r="BI430" s="499"/>
      <c r="BJ430" s="499"/>
      <c r="BK430" s="499"/>
      <c r="BL430" s="499"/>
      <c r="BM430" s="499"/>
      <c r="BN430" s="499"/>
      <c r="BO430" s="499"/>
      <c r="BP430" s="499"/>
      <c r="BQ430" s="499"/>
      <c r="BR430" s="499"/>
      <c r="BS430" s="499"/>
      <c r="BT430" s="499"/>
      <c r="BU430" s="499"/>
      <c r="BV430" s="499"/>
      <c r="BW430" s="499"/>
      <c r="BX430" s="499"/>
      <c r="BY430" s="499"/>
      <c r="BZ430" s="499"/>
      <c r="CA430" s="499"/>
      <c r="CB430" s="499"/>
      <c r="CC430" s="499"/>
      <c r="CD430" s="500"/>
      <c r="CE430" s="100"/>
    </row>
    <row r="431" spans="1:83" ht="12.75" customHeight="1" x14ac:dyDescent="0.15">
      <c r="A431" s="98"/>
      <c r="B431" s="99"/>
      <c r="C431" s="3"/>
      <c r="D431" s="501" t="s">
        <v>725</v>
      </c>
      <c r="E431" s="502"/>
      <c r="F431" s="502"/>
      <c r="G431" s="502"/>
      <c r="H431" s="503"/>
      <c r="I431" s="504" t="s">
        <v>717</v>
      </c>
      <c r="J431" s="505"/>
      <c r="K431" s="505"/>
      <c r="L431" s="505"/>
      <c r="M431" s="505"/>
      <c r="N431" s="505"/>
      <c r="O431" s="505"/>
      <c r="P431" s="505"/>
      <c r="Q431" s="505"/>
      <c r="R431" s="505"/>
      <c r="S431" s="505"/>
      <c r="T431" s="505"/>
      <c r="U431" s="505"/>
      <c r="V431" s="505"/>
      <c r="W431" s="505"/>
      <c r="X431" s="505"/>
      <c r="Y431" s="505"/>
      <c r="Z431" s="505"/>
      <c r="AA431" s="505"/>
      <c r="AB431" s="505"/>
      <c r="AC431" s="505"/>
      <c r="AD431" s="505"/>
      <c r="AE431" s="505"/>
      <c r="AF431" s="505"/>
      <c r="AG431" s="506"/>
      <c r="AH431" s="498" t="s">
        <v>839</v>
      </c>
      <c r="AI431" s="499"/>
      <c r="AJ431" s="499"/>
      <c r="AK431" s="499"/>
      <c r="AL431" s="499"/>
      <c r="AM431" s="499"/>
      <c r="AN431" s="499"/>
      <c r="AO431" s="499"/>
      <c r="AP431" s="499"/>
      <c r="AQ431" s="499"/>
      <c r="AR431" s="499"/>
      <c r="AS431" s="499"/>
      <c r="AT431" s="499"/>
      <c r="AU431" s="499"/>
      <c r="AV431" s="499"/>
      <c r="AW431" s="499"/>
      <c r="AX431" s="499"/>
      <c r="AY431" s="499"/>
      <c r="AZ431" s="499"/>
      <c r="BA431" s="499"/>
      <c r="BB431" s="499"/>
      <c r="BC431" s="499"/>
      <c r="BD431" s="499"/>
      <c r="BE431" s="499"/>
      <c r="BF431" s="499"/>
      <c r="BG431" s="499"/>
      <c r="BH431" s="499"/>
      <c r="BI431" s="499"/>
      <c r="BJ431" s="499"/>
      <c r="BK431" s="499"/>
      <c r="BL431" s="499"/>
      <c r="BM431" s="499"/>
      <c r="BN431" s="499"/>
      <c r="BO431" s="499"/>
      <c r="BP431" s="499"/>
      <c r="BQ431" s="499"/>
      <c r="BR431" s="499"/>
      <c r="BS431" s="499"/>
      <c r="BT431" s="499"/>
      <c r="BU431" s="499"/>
      <c r="BV431" s="499"/>
      <c r="BW431" s="499"/>
      <c r="BX431" s="499"/>
      <c r="BY431" s="499"/>
      <c r="BZ431" s="499"/>
      <c r="CA431" s="499"/>
      <c r="CB431" s="499"/>
      <c r="CC431" s="499"/>
      <c r="CD431" s="500"/>
      <c r="CE431" s="100"/>
    </row>
    <row r="432" spans="1:83" s="9" customFormat="1" ht="12" customHeight="1" x14ac:dyDescent="0.15">
      <c r="A432" s="16"/>
      <c r="B432" s="8"/>
      <c r="C432" s="17"/>
      <c r="D432" s="492" t="s">
        <v>718</v>
      </c>
      <c r="E432" s="493"/>
      <c r="F432" s="493"/>
      <c r="G432" s="493"/>
      <c r="H432" s="494"/>
      <c r="I432" s="495" t="s">
        <v>726</v>
      </c>
      <c r="J432" s="496"/>
      <c r="K432" s="496"/>
      <c r="L432" s="496"/>
      <c r="M432" s="496"/>
      <c r="N432" s="496"/>
      <c r="O432" s="496"/>
      <c r="P432" s="496"/>
      <c r="Q432" s="496"/>
      <c r="R432" s="496"/>
      <c r="S432" s="496"/>
      <c r="T432" s="496"/>
      <c r="U432" s="496"/>
      <c r="V432" s="496"/>
      <c r="W432" s="496"/>
      <c r="X432" s="496"/>
      <c r="Y432" s="496"/>
      <c r="Z432" s="496"/>
      <c r="AA432" s="496"/>
      <c r="AB432" s="496"/>
      <c r="AC432" s="496"/>
      <c r="AD432" s="496"/>
      <c r="AE432" s="496"/>
      <c r="AF432" s="496"/>
      <c r="AG432" s="497"/>
      <c r="AH432" s="498" t="s">
        <v>650</v>
      </c>
      <c r="AI432" s="499"/>
      <c r="AJ432" s="499"/>
      <c r="AK432" s="499"/>
      <c r="AL432" s="499"/>
      <c r="AM432" s="499"/>
      <c r="AN432" s="499"/>
      <c r="AO432" s="499"/>
      <c r="AP432" s="499"/>
      <c r="AQ432" s="499"/>
      <c r="AR432" s="499"/>
      <c r="AS432" s="499"/>
      <c r="AT432" s="499"/>
      <c r="AU432" s="499"/>
      <c r="AV432" s="499"/>
      <c r="AW432" s="499"/>
      <c r="AX432" s="499"/>
      <c r="AY432" s="499"/>
      <c r="AZ432" s="499"/>
      <c r="BA432" s="499"/>
      <c r="BB432" s="499"/>
      <c r="BC432" s="499"/>
      <c r="BD432" s="499"/>
      <c r="BE432" s="499"/>
      <c r="BF432" s="499"/>
      <c r="BG432" s="499"/>
      <c r="BH432" s="499"/>
      <c r="BI432" s="499"/>
      <c r="BJ432" s="499"/>
      <c r="BK432" s="499"/>
      <c r="BL432" s="499"/>
      <c r="BM432" s="499"/>
      <c r="BN432" s="499"/>
      <c r="BO432" s="499"/>
      <c r="BP432" s="499"/>
      <c r="BQ432" s="499"/>
      <c r="BR432" s="499"/>
      <c r="BS432" s="499"/>
      <c r="BT432" s="499"/>
      <c r="BU432" s="499"/>
      <c r="BV432" s="499"/>
      <c r="BW432" s="499"/>
      <c r="BX432" s="499"/>
      <c r="BY432" s="499"/>
      <c r="BZ432" s="499"/>
      <c r="CA432" s="499"/>
      <c r="CB432" s="499"/>
      <c r="CC432" s="499"/>
      <c r="CD432" s="500"/>
      <c r="CE432" s="18"/>
    </row>
    <row r="433" spans="1:83" s="9" customFormat="1" ht="12" customHeight="1" x14ac:dyDescent="0.15">
      <c r="A433" s="16"/>
      <c r="B433" s="8"/>
      <c r="C433" s="17"/>
      <c r="D433" s="492" t="s">
        <v>719</v>
      </c>
      <c r="E433" s="493"/>
      <c r="F433" s="493"/>
      <c r="G433" s="493"/>
      <c r="H433" s="494"/>
      <c r="I433" s="495" t="s">
        <v>772</v>
      </c>
      <c r="J433" s="496"/>
      <c r="K433" s="496"/>
      <c r="L433" s="496"/>
      <c r="M433" s="496"/>
      <c r="N433" s="496"/>
      <c r="O433" s="496"/>
      <c r="P433" s="496"/>
      <c r="Q433" s="496"/>
      <c r="R433" s="496"/>
      <c r="S433" s="496"/>
      <c r="T433" s="496"/>
      <c r="U433" s="496"/>
      <c r="V433" s="496"/>
      <c r="W433" s="496"/>
      <c r="X433" s="496"/>
      <c r="Y433" s="496"/>
      <c r="Z433" s="496"/>
      <c r="AA433" s="496"/>
      <c r="AB433" s="496"/>
      <c r="AC433" s="496"/>
      <c r="AD433" s="496"/>
      <c r="AE433" s="496"/>
      <c r="AF433" s="496"/>
      <c r="AG433" s="497"/>
      <c r="AH433" s="498" t="s">
        <v>773</v>
      </c>
      <c r="AI433" s="499"/>
      <c r="AJ433" s="499"/>
      <c r="AK433" s="499"/>
      <c r="AL433" s="499"/>
      <c r="AM433" s="499"/>
      <c r="AN433" s="499"/>
      <c r="AO433" s="499"/>
      <c r="AP433" s="499"/>
      <c r="AQ433" s="499"/>
      <c r="AR433" s="499"/>
      <c r="AS433" s="499"/>
      <c r="AT433" s="499"/>
      <c r="AU433" s="499"/>
      <c r="AV433" s="499"/>
      <c r="AW433" s="499"/>
      <c r="AX433" s="499"/>
      <c r="AY433" s="499"/>
      <c r="AZ433" s="499"/>
      <c r="BA433" s="499"/>
      <c r="BB433" s="499"/>
      <c r="BC433" s="499"/>
      <c r="BD433" s="499"/>
      <c r="BE433" s="499"/>
      <c r="BF433" s="499"/>
      <c r="BG433" s="499"/>
      <c r="BH433" s="499"/>
      <c r="BI433" s="499"/>
      <c r="BJ433" s="499"/>
      <c r="BK433" s="499"/>
      <c r="BL433" s="499"/>
      <c r="BM433" s="499"/>
      <c r="BN433" s="499"/>
      <c r="BO433" s="499"/>
      <c r="BP433" s="499"/>
      <c r="BQ433" s="499"/>
      <c r="BR433" s="499"/>
      <c r="BS433" s="499"/>
      <c r="BT433" s="499"/>
      <c r="BU433" s="499"/>
      <c r="BV433" s="499"/>
      <c r="BW433" s="499"/>
      <c r="BX433" s="499"/>
      <c r="BY433" s="499"/>
      <c r="BZ433" s="499"/>
      <c r="CA433" s="499"/>
      <c r="CB433" s="499"/>
      <c r="CC433" s="499"/>
      <c r="CD433" s="500"/>
      <c r="CE433" s="18"/>
    </row>
    <row r="434" spans="1:83" s="9" customFormat="1" ht="12" customHeight="1" x14ac:dyDescent="0.15">
      <c r="A434" s="16"/>
      <c r="B434" s="8"/>
      <c r="C434" s="17"/>
      <c r="D434" s="492" t="s">
        <v>727</v>
      </c>
      <c r="E434" s="493"/>
      <c r="F434" s="493"/>
      <c r="G434" s="493"/>
      <c r="H434" s="494"/>
      <c r="I434" s="495" t="s">
        <v>728</v>
      </c>
      <c r="J434" s="496"/>
      <c r="K434" s="496"/>
      <c r="L434" s="496"/>
      <c r="M434" s="496"/>
      <c r="N434" s="496"/>
      <c r="O434" s="496"/>
      <c r="P434" s="496"/>
      <c r="Q434" s="496"/>
      <c r="R434" s="496"/>
      <c r="S434" s="496"/>
      <c r="T434" s="496"/>
      <c r="U434" s="496"/>
      <c r="V434" s="496"/>
      <c r="W434" s="496"/>
      <c r="X434" s="496"/>
      <c r="Y434" s="496"/>
      <c r="Z434" s="496"/>
      <c r="AA434" s="496"/>
      <c r="AB434" s="496"/>
      <c r="AC434" s="496"/>
      <c r="AD434" s="496"/>
      <c r="AE434" s="496"/>
      <c r="AF434" s="496"/>
      <c r="AG434" s="497"/>
      <c r="AH434" s="498" t="s">
        <v>729</v>
      </c>
      <c r="AI434" s="499"/>
      <c r="AJ434" s="499"/>
      <c r="AK434" s="499"/>
      <c r="AL434" s="499"/>
      <c r="AM434" s="499"/>
      <c r="AN434" s="499"/>
      <c r="AO434" s="499"/>
      <c r="AP434" s="499"/>
      <c r="AQ434" s="499"/>
      <c r="AR434" s="499"/>
      <c r="AS434" s="499"/>
      <c r="AT434" s="499"/>
      <c r="AU434" s="499"/>
      <c r="AV434" s="499"/>
      <c r="AW434" s="499"/>
      <c r="AX434" s="499"/>
      <c r="AY434" s="499"/>
      <c r="AZ434" s="499"/>
      <c r="BA434" s="499"/>
      <c r="BB434" s="499"/>
      <c r="BC434" s="499"/>
      <c r="BD434" s="499"/>
      <c r="BE434" s="499"/>
      <c r="BF434" s="499"/>
      <c r="BG434" s="499"/>
      <c r="BH434" s="499"/>
      <c r="BI434" s="499"/>
      <c r="BJ434" s="499"/>
      <c r="BK434" s="499"/>
      <c r="BL434" s="499"/>
      <c r="BM434" s="499"/>
      <c r="BN434" s="499"/>
      <c r="BO434" s="499"/>
      <c r="BP434" s="499"/>
      <c r="BQ434" s="499"/>
      <c r="BR434" s="499"/>
      <c r="BS434" s="499"/>
      <c r="BT434" s="499"/>
      <c r="BU434" s="499"/>
      <c r="BV434" s="499"/>
      <c r="BW434" s="499"/>
      <c r="BX434" s="499"/>
      <c r="BY434" s="499"/>
      <c r="BZ434" s="499"/>
      <c r="CA434" s="499"/>
      <c r="CB434" s="499"/>
      <c r="CC434" s="499"/>
      <c r="CD434" s="500"/>
      <c r="CE434" s="18"/>
    </row>
    <row r="435" spans="1:83" s="9" customFormat="1" ht="12" customHeight="1" x14ac:dyDescent="0.15">
      <c r="A435" s="16"/>
      <c r="B435" s="8"/>
      <c r="C435" s="17"/>
      <c r="D435" s="360"/>
      <c r="E435" s="360"/>
      <c r="F435" s="360"/>
      <c r="G435" s="360"/>
      <c r="H435" s="360"/>
      <c r="I435" s="360"/>
      <c r="J435" s="360"/>
      <c r="K435" s="360"/>
      <c r="L435" s="360"/>
      <c r="M435" s="360"/>
      <c r="N435" s="360"/>
      <c r="O435" s="360"/>
      <c r="P435" s="360"/>
      <c r="Q435" s="360"/>
      <c r="R435" s="360"/>
      <c r="S435" s="360"/>
      <c r="T435" s="360"/>
      <c r="U435" s="360"/>
      <c r="V435" s="360"/>
      <c r="W435" s="360"/>
      <c r="X435" s="360"/>
      <c r="Y435" s="360"/>
      <c r="Z435" s="360"/>
      <c r="AA435" s="360"/>
      <c r="AB435" s="360"/>
      <c r="AC435" s="360"/>
      <c r="AD435" s="360"/>
      <c r="AE435" s="360"/>
      <c r="AF435" s="360"/>
      <c r="AG435" s="360"/>
      <c r="AH435" s="361"/>
      <c r="AI435" s="361"/>
      <c r="AJ435" s="361"/>
      <c r="AK435" s="361"/>
      <c r="AL435" s="361"/>
      <c r="AM435" s="361"/>
      <c r="AN435" s="361"/>
      <c r="AO435" s="361"/>
      <c r="AP435" s="361"/>
      <c r="AQ435" s="361"/>
      <c r="AR435" s="361"/>
      <c r="AS435" s="361"/>
      <c r="AT435" s="361"/>
      <c r="AU435" s="361"/>
      <c r="AV435" s="361"/>
      <c r="AW435" s="361"/>
      <c r="AX435" s="361"/>
      <c r="AY435" s="361"/>
      <c r="AZ435" s="361"/>
      <c r="BA435" s="361"/>
      <c r="BB435" s="361"/>
      <c r="BC435" s="361"/>
      <c r="BD435" s="361"/>
      <c r="BE435" s="361"/>
      <c r="BF435" s="361"/>
      <c r="BG435" s="361"/>
      <c r="BH435" s="361"/>
      <c r="BI435" s="361"/>
      <c r="BJ435" s="361"/>
      <c r="BK435" s="361"/>
      <c r="BL435" s="361"/>
      <c r="BM435" s="361"/>
      <c r="BN435" s="361"/>
      <c r="BO435" s="361"/>
      <c r="BP435" s="361"/>
      <c r="BQ435" s="361"/>
      <c r="BR435" s="361"/>
      <c r="BS435" s="361"/>
      <c r="BT435" s="361"/>
      <c r="BU435" s="361"/>
      <c r="BV435" s="361"/>
      <c r="BW435" s="361"/>
      <c r="BX435" s="361"/>
      <c r="BY435" s="361"/>
      <c r="BZ435" s="361"/>
      <c r="CA435" s="361"/>
      <c r="CB435" s="361"/>
      <c r="CC435" s="361"/>
      <c r="CD435" s="361"/>
      <c r="CE435" s="18"/>
    </row>
    <row r="436" spans="1:83" s="9" customFormat="1" ht="12" customHeight="1" thickBot="1" x14ac:dyDescent="0.2">
      <c r="A436" s="25"/>
      <c r="B436" s="30"/>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7"/>
      <c r="BA436" s="27"/>
      <c r="BB436" s="27"/>
      <c r="BC436" s="27"/>
      <c r="BD436" s="27"/>
      <c r="BE436" s="27"/>
      <c r="BF436" s="27"/>
      <c r="BG436" s="27"/>
      <c r="BH436" s="27"/>
      <c r="BI436" s="27"/>
      <c r="BJ436" s="27"/>
      <c r="BK436" s="27"/>
      <c r="BL436" s="27"/>
      <c r="BM436" s="27"/>
      <c r="BN436" s="27"/>
      <c r="BO436" s="27"/>
      <c r="BP436" s="27"/>
      <c r="BQ436" s="27"/>
      <c r="BR436" s="27"/>
      <c r="BS436" s="27"/>
      <c r="BT436" s="27"/>
      <c r="BU436" s="27"/>
      <c r="BV436" s="27"/>
      <c r="BW436" s="27"/>
      <c r="BX436" s="27"/>
      <c r="BY436" s="27"/>
      <c r="BZ436" s="27"/>
      <c r="CA436" s="27"/>
      <c r="CB436" s="27"/>
      <c r="CC436" s="26"/>
      <c r="CD436" s="26"/>
      <c r="CE436" s="28"/>
    </row>
    <row r="437" spans="1:83" s="4" customFormat="1" ht="12" customHeight="1" x14ac:dyDescent="0.15">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14"/>
      <c r="BZ437" s="14"/>
      <c r="CA437" s="14"/>
      <c r="CB437" s="14"/>
      <c r="CC437" s="14"/>
      <c r="CD437" s="14"/>
      <c r="CE437" s="15"/>
    </row>
    <row r="438" spans="1:83" s="4" customFormat="1" ht="12" customHeight="1" x14ac:dyDescent="0.15">
      <c r="A438" s="16"/>
      <c r="B438" s="5"/>
      <c r="C438" s="22" t="s">
        <v>425</v>
      </c>
      <c r="D438" s="23"/>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0"/>
      <c r="CE438" s="18"/>
    </row>
    <row r="439" spans="1:83" s="6" customFormat="1" ht="12" customHeight="1" x14ac:dyDescent="0.15">
      <c r="A439" s="16"/>
      <c r="B439" s="5"/>
      <c r="C439" s="22"/>
      <c r="D439" s="21" t="s">
        <v>426</v>
      </c>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1"/>
      <c r="CE439" s="18"/>
    </row>
    <row r="440" spans="1:83" s="4" customFormat="1" ht="12" customHeight="1" x14ac:dyDescent="0.15">
      <c r="A440" s="16"/>
      <c r="B440" s="73"/>
      <c r="C440" s="58"/>
      <c r="D440" s="51" t="s">
        <v>871</v>
      </c>
      <c r="E440" s="52"/>
      <c r="F440" s="52"/>
      <c r="G440" s="52"/>
      <c r="H440" s="52"/>
      <c r="I440" s="52"/>
      <c r="J440" s="52"/>
      <c r="K440" s="52"/>
      <c r="L440" s="52"/>
      <c r="M440" s="52"/>
      <c r="N440" s="52"/>
      <c r="O440" s="52"/>
      <c r="P440" s="52"/>
      <c r="Q440" s="52"/>
      <c r="R440" s="52"/>
      <c r="S440" s="52"/>
      <c r="T440" s="52"/>
      <c r="U440" s="52"/>
      <c r="V440" s="52"/>
      <c r="W440" s="52"/>
      <c r="X440" s="52"/>
      <c r="Y440" s="52"/>
      <c r="Z440" s="52"/>
      <c r="AA440" s="52"/>
      <c r="AB440" s="52"/>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c r="BT440" s="52"/>
      <c r="BU440" s="52"/>
      <c r="BV440" s="52"/>
      <c r="BW440" s="52"/>
      <c r="BX440" s="52"/>
      <c r="BY440" s="52"/>
      <c r="BZ440" s="52"/>
      <c r="CA440" s="52"/>
      <c r="CB440" s="52"/>
      <c r="CC440" s="52"/>
      <c r="CD440" s="53"/>
      <c r="CE440" s="18"/>
    </row>
    <row r="441" spans="1:83" s="4" customFormat="1" ht="12" customHeight="1" x14ac:dyDescent="0.15">
      <c r="A441" s="16"/>
      <c r="B441" s="73"/>
      <c r="C441" s="58"/>
      <c r="D441" s="55" t="s">
        <v>518</v>
      </c>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7"/>
      <c r="CE441" s="18"/>
    </row>
    <row r="442" spans="1:83" s="4" customFormat="1" ht="12" customHeight="1" x14ac:dyDescent="0.15">
      <c r="A442" s="16"/>
      <c r="B442" s="8"/>
      <c r="C442" s="29"/>
      <c r="D442" s="2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8"/>
    </row>
    <row r="443" spans="1:83" s="4" customFormat="1" ht="12" customHeight="1" x14ac:dyDescent="0.15">
      <c r="A443" s="16"/>
      <c r="B443" s="8"/>
      <c r="C443" s="29"/>
      <c r="D443" s="21" t="s">
        <v>427</v>
      </c>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8"/>
    </row>
    <row r="444" spans="1:83" s="4" customFormat="1" ht="12" customHeight="1" x14ac:dyDescent="0.15">
      <c r="A444" s="16"/>
      <c r="B444" s="73"/>
      <c r="C444" s="58"/>
      <c r="D444" s="51" t="s">
        <v>368</v>
      </c>
      <c r="E444" s="52"/>
      <c r="F444" s="52"/>
      <c r="G444" s="52"/>
      <c r="H444" s="52"/>
      <c r="I444" s="52"/>
      <c r="J444" s="52"/>
      <c r="K444" s="52"/>
      <c r="L444" s="52"/>
      <c r="M444" s="52"/>
      <c r="N444" s="52"/>
      <c r="O444" s="52"/>
      <c r="P444" s="52"/>
      <c r="Q444" s="52"/>
      <c r="R444" s="52"/>
      <c r="S444" s="52"/>
      <c r="T444" s="52"/>
      <c r="U444" s="52"/>
      <c r="V444" s="52"/>
      <c r="W444" s="52"/>
      <c r="X444" s="52"/>
      <c r="Y444" s="52"/>
      <c r="Z444" s="52"/>
      <c r="AA444" s="52"/>
      <c r="AB444" s="52"/>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c r="BT444" s="52"/>
      <c r="BU444" s="52"/>
      <c r="BV444" s="52"/>
      <c r="BW444" s="52"/>
      <c r="BX444" s="52"/>
      <c r="BY444" s="52"/>
      <c r="BZ444" s="52"/>
      <c r="CA444" s="52"/>
      <c r="CB444" s="52"/>
      <c r="CC444" s="52"/>
      <c r="CD444" s="53"/>
      <c r="CE444" s="18"/>
    </row>
    <row r="445" spans="1:83" s="4" customFormat="1" ht="12" customHeight="1" x14ac:dyDescent="0.15">
      <c r="A445" s="16"/>
      <c r="B445" s="8"/>
      <c r="C445" s="29"/>
      <c r="D445" s="59" t="s">
        <v>851</v>
      </c>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31"/>
      <c r="CE445" s="18"/>
    </row>
    <row r="446" spans="1:83" s="4" customFormat="1" ht="12" customHeight="1" x14ac:dyDescent="0.15">
      <c r="A446" s="16"/>
      <c r="B446" s="8"/>
      <c r="C446" s="29"/>
      <c r="D446" s="59" t="s">
        <v>840</v>
      </c>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c r="CA446" s="12"/>
      <c r="CB446" s="12"/>
      <c r="CC446" s="12"/>
      <c r="CD446" s="31"/>
      <c r="CE446" s="18"/>
    </row>
    <row r="447" spans="1:83" s="4" customFormat="1" ht="12" customHeight="1" x14ac:dyDescent="0.15">
      <c r="A447" s="16"/>
      <c r="B447" s="8"/>
      <c r="C447" s="29"/>
      <c r="D447" s="60" t="s">
        <v>377</v>
      </c>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2"/>
      <c r="BO447" s="32"/>
      <c r="BP447" s="32"/>
      <c r="BQ447" s="32"/>
      <c r="BR447" s="32"/>
      <c r="BS447" s="32"/>
      <c r="BT447" s="32"/>
      <c r="BU447" s="32"/>
      <c r="BV447" s="32"/>
      <c r="BW447" s="32"/>
      <c r="BX447" s="32"/>
      <c r="BY447" s="32"/>
      <c r="BZ447" s="32"/>
      <c r="CA447" s="32"/>
      <c r="CB447" s="32"/>
      <c r="CC447" s="32"/>
      <c r="CD447" s="33"/>
      <c r="CE447" s="18"/>
    </row>
    <row r="448" spans="1:83" s="4" customFormat="1" ht="12" customHeight="1" x14ac:dyDescent="0.15">
      <c r="A448" s="16"/>
      <c r="B448" s="8"/>
      <c r="C448" s="29"/>
      <c r="D448" s="21"/>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c r="CA448" s="12"/>
      <c r="CB448" s="12"/>
      <c r="CC448" s="12"/>
      <c r="CD448" s="12"/>
      <c r="CE448" s="18"/>
    </row>
    <row r="449" spans="1:83" s="4" customFormat="1" ht="12" customHeight="1" x14ac:dyDescent="0.15">
      <c r="A449" s="16"/>
      <c r="B449" s="8"/>
      <c r="C449" s="17"/>
      <c r="D449" s="116" t="s">
        <v>348</v>
      </c>
      <c r="E449" s="117"/>
      <c r="F449" s="116" t="s">
        <v>347</v>
      </c>
      <c r="G449" s="118"/>
      <c r="H449" s="118"/>
      <c r="I449" s="118"/>
      <c r="J449" s="118"/>
      <c r="K449" s="118"/>
      <c r="L449" s="118"/>
      <c r="M449" s="118"/>
      <c r="N449" s="118"/>
      <c r="O449" s="118"/>
      <c r="P449" s="118"/>
      <c r="Q449" s="117"/>
      <c r="R449" s="116" t="s">
        <v>346</v>
      </c>
      <c r="S449" s="118"/>
      <c r="T449" s="118"/>
      <c r="U449" s="118"/>
      <c r="V449" s="118"/>
      <c r="W449" s="118"/>
      <c r="X449" s="118"/>
      <c r="Y449" s="118"/>
      <c r="Z449" s="118"/>
      <c r="AA449" s="118"/>
      <c r="AB449" s="118"/>
      <c r="AC449" s="118"/>
      <c r="AD449" s="117"/>
      <c r="AE449" s="116" t="s">
        <v>345</v>
      </c>
      <c r="AF449" s="118"/>
      <c r="AG449" s="118"/>
      <c r="AH449" s="118"/>
      <c r="AI449" s="118"/>
      <c r="AJ449" s="118"/>
      <c r="AK449" s="118"/>
      <c r="AL449" s="118"/>
      <c r="AM449" s="118"/>
      <c r="AN449" s="118"/>
      <c r="AO449" s="118"/>
      <c r="AP449" s="118"/>
      <c r="AQ449" s="118"/>
      <c r="AR449" s="118"/>
      <c r="AS449" s="118"/>
      <c r="AT449" s="118"/>
      <c r="AU449" s="118"/>
      <c r="AV449" s="118"/>
      <c r="AW449" s="118"/>
      <c r="AX449" s="118"/>
      <c r="AY449" s="118"/>
      <c r="AZ449" s="118"/>
      <c r="BA449" s="118"/>
      <c r="BB449" s="118"/>
      <c r="BC449" s="118"/>
      <c r="BD449" s="118"/>
      <c r="BE449" s="118"/>
      <c r="BF449" s="118"/>
      <c r="BG449" s="118"/>
      <c r="BH449" s="118"/>
      <c r="BI449" s="118"/>
      <c r="BJ449" s="118"/>
      <c r="BK449" s="118"/>
      <c r="BL449" s="118"/>
      <c r="BM449" s="118"/>
      <c r="BN449" s="118"/>
      <c r="BO449" s="118"/>
      <c r="BP449" s="118"/>
      <c r="BQ449" s="118"/>
      <c r="BR449" s="118"/>
      <c r="BS449" s="118"/>
      <c r="BT449" s="118"/>
      <c r="BU449" s="118"/>
      <c r="BV449" s="118"/>
      <c r="BW449" s="118"/>
      <c r="BX449" s="118"/>
      <c r="BY449" s="118"/>
      <c r="BZ449" s="118"/>
      <c r="CA449" s="118"/>
      <c r="CB449" s="118"/>
      <c r="CC449" s="118"/>
      <c r="CD449" s="117"/>
      <c r="CE449" s="18"/>
    </row>
    <row r="450" spans="1:83" s="385" customFormat="1" ht="12.75" customHeight="1" x14ac:dyDescent="0.15">
      <c r="A450" s="381"/>
      <c r="B450" s="382"/>
      <c r="C450" s="392"/>
      <c r="D450" s="780" t="s">
        <v>349</v>
      </c>
      <c r="E450" s="781"/>
      <c r="F450" s="393" t="s">
        <v>442</v>
      </c>
      <c r="G450" s="394"/>
      <c r="H450" s="394"/>
      <c r="I450" s="394"/>
      <c r="J450" s="394"/>
      <c r="K450" s="394"/>
      <c r="L450" s="394"/>
      <c r="M450" s="394"/>
      <c r="N450" s="394"/>
      <c r="O450" s="394"/>
      <c r="P450" s="394"/>
      <c r="Q450" s="395"/>
      <c r="R450" s="393"/>
      <c r="S450" s="394"/>
      <c r="T450" s="394"/>
      <c r="U450" s="394"/>
      <c r="V450" s="394"/>
      <c r="W450" s="394"/>
      <c r="X450" s="394"/>
      <c r="Y450" s="394"/>
      <c r="Z450" s="394"/>
      <c r="AA450" s="394"/>
      <c r="AB450" s="394"/>
      <c r="AC450" s="394"/>
      <c r="AD450" s="395"/>
      <c r="AE450" s="396" t="s">
        <v>874</v>
      </c>
      <c r="AF450" s="394"/>
      <c r="AG450" s="394"/>
      <c r="AH450" s="394"/>
      <c r="AI450" s="394"/>
      <c r="AJ450" s="394"/>
      <c r="AK450" s="394"/>
      <c r="AL450" s="394"/>
      <c r="AM450" s="394"/>
      <c r="AN450" s="394"/>
      <c r="AO450" s="394"/>
      <c r="AP450" s="394"/>
      <c r="AQ450" s="394"/>
      <c r="AR450" s="394"/>
      <c r="AS450" s="394"/>
      <c r="AT450" s="394"/>
      <c r="AU450" s="394"/>
      <c r="AV450" s="394"/>
      <c r="AW450" s="394"/>
      <c r="AX450" s="394"/>
      <c r="AY450" s="394"/>
      <c r="AZ450" s="394"/>
      <c r="BA450" s="394"/>
      <c r="BB450" s="394"/>
      <c r="BC450" s="394"/>
      <c r="BD450" s="394"/>
      <c r="BE450" s="394"/>
      <c r="BF450" s="394"/>
      <c r="BG450" s="394"/>
      <c r="BH450" s="394"/>
      <c r="BI450" s="394"/>
      <c r="BJ450" s="394"/>
      <c r="BK450" s="394"/>
      <c r="BL450" s="394"/>
      <c r="BM450" s="394"/>
      <c r="BN450" s="394"/>
      <c r="BO450" s="394"/>
      <c r="BP450" s="394"/>
      <c r="BQ450" s="394"/>
      <c r="BR450" s="394"/>
      <c r="BS450" s="394"/>
      <c r="BT450" s="394"/>
      <c r="BU450" s="394"/>
      <c r="BV450" s="394"/>
      <c r="BW450" s="394"/>
      <c r="BX450" s="394"/>
      <c r="BY450" s="394"/>
      <c r="BZ450" s="394"/>
      <c r="CA450" s="394"/>
      <c r="CB450" s="394"/>
      <c r="CC450" s="394"/>
      <c r="CD450" s="395"/>
      <c r="CE450" s="384"/>
    </row>
    <row r="451" spans="1:83" s="6" customFormat="1" ht="12" customHeight="1" x14ac:dyDescent="0.15">
      <c r="A451" s="16"/>
      <c r="B451" s="19"/>
      <c r="C451" s="24"/>
      <c r="D451" s="602" t="s">
        <v>350</v>
      </c>
      <c r="E451" s="603"/>
      <c r="F451" s="34" t="s">
        <v>371</v>
      </c>
      <c r="G451" s="35"/>
      <c r="H451" s="35"/>
      <c r="I451" s="35"/>
      <c r="J451" s="35"/>
      <c r="K451" s="35"/>
      <c r="L451" s="35"/>
      <c r="M451" s="35"/>
      <c r="N451" s="35"/>
      <c r="O451" s="35"/>
      <c r="P451" s="35"/>
      <c r="Q451" s="36"/>
      <c r="R451" s="34" t="s">
        <v>373</v>
      </c>
      <c r="S451" s="35"/>
      <c r="T451" s="35"/>
      <c r="U451" s="35"/>
      <c r="V451" s="35"/>
      <c r="W451" s="35"/>
      <c r="X451" s="35"/>
      <c r="Y451" s="35"/>
      <c r="Z451" s="35"/>
      <c r="AA451" s="35"/>
      <c r="AB451" s="35"/>
      <c r="AC451" s="35"/>
      <c r="AD451" s="36"/>
      <c r="AE451" s="34" t="s">
        <v>383</v>
      </c>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6"/>
      <c r="CE451" s="18"/>
    </row>
    <row r="452" spans="1:83" s="4" customFormat="1" ht="12" customHeight="1" x14ac:dyDescent="0.15">
      <c r="A452" s="16"/>
      <c r="B452" s="5"/>
      <c r="C452" s="17"/>
      <c r="D452" s="602" t="s">
        <v>351</v>
      </c>
      <c r="E452" s="603"/>
      <c r="F452" s="34" t="s">
        <v>372</v>
      </c>
      <c r="G452" s="35"/>
      <c r="H452" s="35"/>
      <c r="I452" s="35"/>
      <c r="J452" s="35"/>
      <c r="K452" s="35"/>
      <c r="L452" s="35"/>
      <c r="M452" s="35"/>
      <c r="N452" s="35"/>
      <c r="O452" s="35"/>
      <c r="P452" s="35"/>
      <c r="Q452" s="36"/>
      <c r="R452" s="34" t="s">
        <v>374</v>
      </c>
      <c r="S452" s="35"/>
      <c r="T452" s="35"/>
      <c r="U452" s="35"/>
      <c r="V452" s="35"/>
      <c r="W452" s="35"/>
      <c r="X452" s="35"/>
      <c r="Y452" s="35"/>
      <c r="Z452" s="35"/>
      <c r="AA452" s="35"/>
      <c r="AB452" s="35"/>
      <c r="AC452" s="35"/>
      <c r="AD452" s="36"/>
      <c r="AE452" s="34" t="s">
        <v>384</v>
      </c>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6"/>
      <c r="CE452" s="18"/>
    </row>
    <row r="453" spans="1:83" s="4" customFormat="1" ht="12" customHeight="1" x14ac:dyDescent="0.15">
      <c r="A453" s="16"/>
      <c r="B453" s="73"/>
      <c r="C453" s="58"/>
      <c r="D453" s="610" t="s">
        <v>352</v>
      </c>
      <c r="E453" s="611"/>
      <c r="F453" s="37" t="s">
        <v>339</v>
      </c>
      <c r="G453" s="38"/>
      <c r="H453" s="38"/>
      <c r="I453" s="38"/>
      <c r="J453" s="38"/>
      <c r="K453" s="38"/>
      <c r="L453" s="38"/>
      <c r="M453" s="38"/>
      <c r="N453" s="34" t="s">
        <v>343</v>
      </c>
      <c r="O453" s="35"/>
      <c r="P453" s="35"/>
      <c r="Q453" s="36"/>
      <c r="R453" s="34" t="s">
        <v>353</v>
      </c>
      <c r="S453" s="35"/>
      <c r="T453" s="35"/>
      <c r="U453" s="35"/>
      <c r="V453" s="35"/>
      <c r="W453" s="35"/>
      <c r="X453" s="35"/>
      <c r="Y453" s="35"/>
      <c r="Z453" s="35"/>
      <c r="AA453" s="35"/>
      <c r="AB453" s="35"/>
      <c r="AC453" s="35"/>
      <c r="AD453" s="36"/>
      <c r="AE453" s="34" t="s">
        <v>607</v>
      </c>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6"/>
      <c r="CE453" s="18"/>
    </row>
    <row r="454" spans="1:83" s="4" customFormat="1" ht="12" customHeight="1" x14ac:dyDescent="0.15">
      <c r="A454" s="16"/>
      <c r="B454" s="73"/>
      <c r="C454" s="58"/>
      <c r="D454" s="40"/>
      <c r="E454" s="33"/>
      <c r="F454" s="40"/>
      <c r="G454" s="32"/>
      <c r="H454" s="32"/>
      <c r="I454" s="32"/>
      <c r="J454" s="32"/>
      <c r="K454" s="32"/>
      <c r="L454" s="32"/>
      <c r="M454" s="32"/>
      <c r="N454" s="34" t="s">
        <v>340</v>
      </c>
      <c r="O454" s="35"/>
      <c r="P454" s="35"/>
      <c r="Q454" s="36"/>
      <c r="R454" s="34" t="s">
        <v>596</v>
      </c>
      <c r="S454" s="35"/>
      <c r="T454" s="35"/>
      <c r="U454" s="35"/>
      <c r="V454" s="35"/>
      <c r="W454" s="35"/>
      <c r="X454" s="35"/>
      <c r="Y454" s="35"/>
      <c r="Z454" s="35"/>
      <c r="AA454" s="35"/>
      <c r="AB454" s="35"/>
      <c r="AC454" s="35"/>
      <c r="AD454" s="36"/>
      <c r="AE454" s="34" t="s">
        <v>597</v>
      </c>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6"/>
      <c r="CE454" s="18"/>
    </row>
    <row r="455" spans="1:83" s="4" customFormat="1" ht="12" customHeight="1" x14ac:dyDescent="0.15">
      <c r="A455" s="16"/>
      <c r="B455" s="73"/>
      <c r="C455" s="58"/>
      <c r="D455" s="610" t="s">
        <v>354</v>
      </c>
      <c r="E455" s="611"/>
      <c r="F455" s="37" t="s">
        <v>341</v>
      </c>
      <c r="G455" s="38"/>
      <c r="H455" s="38"/>
      <c r="I455" s="38"/>
      <c r="J455" s="38"/>
      <c r="K455" s="38"/>
      <c r="L455" s="38"/>
      <c r="M455" s="38"/>
      <c r="N455" s="38"/>
      <c r="O455" s="38"/>
      <c r="P455" s="38"/>
      <c r="Q455" s="39"/>
      <c r="R455" s="37" t="s">
        <v>342</v>
      </c>
      <c r="S455" s="38"/>
      <c r="T455" s="38"/>
      <c r="U455" s="38"/>
      <c r="V455" s="38"/>
      <c r="W455" s="38"/>
      <c r="X455" s="38"/>
      <c r="Y455" s="38"/>
      <c r="Z455" s="38"/>
      <c r="AA455" s="38"/>
      <c r="AB455" s="38"/>
      <c r="AC455" s="38"/>
      <c r="AD455" s="39"/>
      <c r="AE455" s="61" t="s">
        <v>369</v>
      </c>
      <c r="AF455" s="62"/>
      <c r="AG455" s="62"/>
      <c r="AH455" s="62"/>
      <c r="AI455" s="62"/>
      <c r="AJ455" s="62"/>
      <c r="AK455" s="62"/>
      <c r="AL455" s="62"/>
      <c r="AM455" s="62"/>
      <c r="AN455" s="62"/>
      <c r="AO455" s="62"/>
      <c r="AP455" s="62"/>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c r="CC455" s="62"/>
      <c r="CD455" s="63"/>
      <c r="CE455" s="18"/>
    </row>
    <row r="456" spans="1:83" s="9" customFormat="1" ht="12.75" customHeight="1" x14ac:dyDescent="0.15">
      <c r="A456" s="16"/>
      <c r="B456" s="8"/>
      <c r="C456" s="29"/>
      <c r="D456" s="41"/>
      <c r="E456" s="31"/>
      <c r="F456" s="41"/>
      <c r="G456" s="12"/>
      <c r="H456" s="12"/>
      <c r="I456" s="12"/>
      <c r="J456" s="12"/>
      <c r="K456" s="12"/>
      <c r="L456" s="12"/>
      <c r="M456" s="12"/>
      <c r="N456" s="12"/>
      <c r="O456" s="12"/>
      <c r="P456" s="12"/>
      <c r="Q456" s="31"/>
      <c r="R456" s="41"/>
      <c r="S456" s="12"/>
      <c r="T456" s="12"/>
      <c r="U456" s="12"/>
      <c r="V456" s="12"/>
      <c r="W456" s="12"/>
      <c r="X456" s="12"/>
      <c r="Y456" s="12"/>
      <c r="Z456" s="12"/>
      <c r="AA456" s="12"/>
      <c r="AB456" s="12"/>
      <c r="AC456" s="12"/>
      <c r="AD456" s="31"/>
      <c r="AE456" s="64" t="s">
        <v>528</v>
      </c>
      <c r="AF456" s="49"/>
      <c r="AG456" s="49"/>
      <c r="AH456" s="49"/>
      <c r="AI456" s="49"/>
      <c r="AJ456" s="49"/>
      <c r="AK456" s="49"/>
      <c r="AL456" s="49"/>
      <c r="AM456" s="49"/>
      <c r="AN456" s="49"/>
      <c r="AO456" s="49"/>
      <c r="AP456" s="49"/>
      <c r="AQ456" s="49"/>
      <c r="AR456" s="49"/>
      <c r="AS456" s="49"/>
      <c r="AT456" s="49"/>
      <c r="AU456" s="49"/>
      <c r="AV456" s="49"/>
      <c r="AW456" s="49"/>
      <c r="AX456" s="49"/>
      <c r="AY456" s="49"/>
      <c r="AZ456" s="49"/>
      <c r="BA456" s="49"/>
      <c r="BB456" s="49"/>
      <c r="BC456" s="49"/>
      <c r="BD456" s="49"/>
      <c r="BE456" s="49"/>
      <c r="BF456" s="49"/>
      <c r="BG456" s="49"/>
      <c r="BH456" s="49"/>
      <c r="BI456" s="49"/>
      <c r="BJ456" s="49"/>
      <c r="BK456" s="49"/>
      <c r="BL456" s="49"/>
      <c r="BM456" s="49"/>
      <c r="BN456" s="49"/>
      <c r="BO456" s="49"/>
      <c r="BP456" s="49"/>
      <c r="BQ456" s="49"/>
      <c r="BR456" s="49"/>
      <c r="BS456" s="49"/>
      <c r="BT456" s="49"/>
      <c r="BU456" s="49"/>
      <c r="BV456" s="49"/>
      <c r="BW456" s="49"/>
      <c r="BX456" s="49"/>
      <c r="BY456" s="49"/>
      <c r="BZ456" s="49"/>
      <c r="CA456" s="49"/>
      <c r="CB456" s="49"/>
      <c r="CC456" s="49"/>
      <c r="CD456" s="65"/>
      <c r="CE456" s="18"/>
    </row>
    <row r="457" spans="1:83" s="9" customFormat="1" ht="12.75" customHeight="1" x14ac:dyDescent="0.15">
      <c r="A457" s="16"/>
      <c r="B457" s="8"/>
      <c r="C457" s="29"/>
      <c r="D457" s="602" t="s">
        <v>356</v>
      </c>
      <c r="E457" s="603"/>
      <c r="F457" s="34" t="s">
        <v>355</v>
      </c>
      <c r="G457" s="35"/>
      <c r="H457" s="35"/>
      <c r="I457" s="35"/>
      <c r="J457" s="35"/>
      <c r="K457" s="35"/>
      <c r="L457" s="35"/>
      <c r="M457" s="35"/>
      <c r="N457" s="35"/>
      <c r="O457" s="35"/>
      <c r="P457" s="35"/>
      <c r="Q457" s="36"/>
      <c r="R457" s="34" t="s">
        <v>529</v>
      </c>
      <c r="S457" s="35"/>
      <c r="T457" s="35"/>
      <c r="U457" s="35"/>
      <c r="V457" s="35"/>
      <c r="W457" s="35"/>
      <c r="X457" s="35"/>
      <c r="Y457" s="35"/>
      <c r="Z457" s="35"/>
      <c r="AA457" s="35"/>
      <c r="AB457" s="35"/>
      <c r="AC457" s="35"/>
      <c r="AD457" s="36"/>
      <c r="AE457" s="34" t="s">
        <v>358</v>
      </c>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6"/>
      <c r="CE457" s="18"/>
    </row>
    <row r="458" spans="1:83" s="9" customFormat="1" ht="12.75" customHeight="1" x14ac:dyDescent="0.15">
      <c r="A458" s="16"/>
      <c r="B458" s="8"/>
      <c r="C458" s="29"/>
      <c r="D458" s="610" t="s">
        <v>370</v>
      </c>
      <c r="E458" s="611"/>
      <c r="F458" s="37" t="s">
        <v>357</v>
      </c>
      <c r="G458" s="38"/>
      <c r="H458" s="38"/>
      <c r="I458" s="38"/>
      <c r="J458" s="38"/>
      <c r="K458" s="38"/>
      <c r="L458" s="38"/>
      <c r="M458" s="38"/>
      <c r="N458" s="38"/>
      <c r="O458" s="38"/>
      <c r="P458" s="38"/>
      <c r="Q458" s="39"/>
      <c r="R458" s="37" t="s">
        <v>359</v>
      </c>
      <c r="S458" s="38"/>
      <c r="T458" s="38"/>
      <c r="U458" s="38"/>
      <c r="V458" s="38"/>
      <c r="W458" s="38"/>
      <c r="X458" s="38"/>
      <c r="Y458" s="38"/>
      <c r="Z458" s="38"/>
      <c r="AA458" s="38"/>
      <c r="AB458" s="38"/>
      <c r="AC458" s="38"/>
      <c r="AD458" s="39"/>
      <c r="AE458" s="37" t="s">
        <v>519</v>
      </c>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c r="BC458" s="38"/>
      <c r="BD458" s="38"/>
      <c r="BE458" s="38"/>
      <c r="BF458" s="38"/>
      <c r="BG458" s="38"/>
      <c r="BH458" s="38"/>
      <c r="BI458" s="38"/>
      <c r="BJ458" s="38"/>
      <c r="BK458" s="38"/>
      <c r="BL458" s="38"/>
      <c r="BM458" s="38"/>
      <c r="BN458" s="38"/>
      <c r="BO458" s="38"/>
      <c r="BP458" s="38"/>
      <c r="BQ458" s="38"/>
      <c r="BR458" s="38"/>
      <c r="BS458" s="38"/>
      <c r="BT458" s="38"/>
      <c r="BU458" s="38"/>
      <c r="BV458" s="38"/>
      <c r="BW458" s="38"/>
      <c r="BX458" s="38"/>
      <c r="BY458" s="38"/>
      <c r="BZ458" s="38"/>
      <c r="CA458" s="38"/>
      <c r="CB458" s="38"/>
      <c r="CC458" s="38"/>
      <c r="CD458" s="39"/>
      <c r="CE458" s="18"/>
    </row>
    <row r="459" spans="1:83" s="9" customFormat="1" ht="12.75" customHeight="1" x14ac:dyDescent="0.15">
      <c r="A459" s="16"/>
      <c r="B459" s="8"/>
      <c r="C459" s="29"/>
      <c r="D459" s="128"/>
      <c r="E459" s="129"/>
      <c r="F459" s="41"/>
      <c r="G459" s="12"/>
      <c r="H459" s="12"/>
      <c r="I459" s="12"/>
      <c r="J459" s="12"/>
      <c r="K459" s="12"/>
      <c r="L459" s="12"/>
      <c r="M459" s="12"/>
      <c r="N459" s="12"/>
      <c r="O459" s="12"/>
      <c r="P459" s="12"/>
      <c r="Q459" s="31"/>
      <c r="R459" s="41"/>
      <c r="S459" s="12"/>
      <c r="T459" s="12"/>
      <c r="U459" s="12"/>
      <c r="V459" s="12"/>
      <c r="W459" s="12"/>
      <c r="X459" s="12"/>
      <c r="Y459" s="12"/>
      <c r="Z459" s="12"/>
      <c r="AA459" s="12"/>
      <c r="AB459" s="12"/>
      <c r="AC459" s="12"/>
      <c r="AD459" s="31"/>
      <c r="AE459" s="41" t="s">
        <v>520</v>
      </c>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c r="CA459" s="12"/>
      <c r="CB459" s="12"/>
      <c r="CC459" s="12"/>
      <c r="CD459" s="31"/>
      <c r="CE459" s="18"/>
    </row>
    <row r="460" spans="1:83" s="9" customFormat="1" ht="12.75" customHeight="1" x14ac:dyDescent="0.15">
      <c r="A460" s="16"/>
      <c r="B460" s="8"/>
      <c r="C460" s="29"/>
      <c r="D460" s="602" t="s">
        <v>375</v>
      </c>
      <c r="E460" s="603"/>
      <c r="F460" s="34" t="s">
        <v>344</v>
      </c>
      <c r="G460" s="35"/>
      <c r="H460" s="35"/>
      <c r="I460" s="35"/>
      <c r="J460" s="35"/>
      <c r="K460" s="35"/>
      <c r="L460" s="35"/>
      <c r="M460" s="35"/>
      <c r="N460" s="35"/>
      <c r="O460" s="35"/>
      <c r="P460" s="35"/>
      <c r="Q460" s="36"/>
      <c r="R460" s="34" t="s">
        <v>385</v>
      </c>
      <c r="S460" s="35"/>
      <c r="T460" s="35"/>
      <c r="U460" s="35"/>
      <c r="V460" s="35"/>
      <c r="W460" s="35"/>
      <c r="X460" s="35"/>
      <c r="Y460" s="35"/>
      <c r="Z460" s="35"/>
      <c r="AA460" s="35"/>
      <c r="AB460" s="35"/>
      <c r="AC460" s="35"/>
      <c r="AD460" s="36"/>
      <c r="AE460" s="34" t="s">
        <v>521</v>
      </c>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6"/>
      <c r="CE460" s="18"/>
    </row>
    <row r="461" spans="1:83" s="9" customFormat="1" ht="12.75" customHeight="1" x14ac:dyDescent="0.15">
      <c r="A461" s="16"/>
      <c r="B461" s="8"/>
      <c r="C461" s="29"/>
      <c r="D461" s="602" t="s">
        <v>510</v>
      </c>
      <c r="E461" s="603"/>
      <c r="F461" s="34" t="s">
        <v>376</v>
      </c>
      <c r="G461" s="35"/>
      <c r="H461" s="35"/>
      <c r="I461" s="35"/>
      <c r="J461" s="35"/>
      <c r="K461" s="35"/>
      <c r="L461" s="35"/>
      <c r="M461" s="35"/>
      <c r="N461" s="35"/>
      <c r="O461" s="35"/>
      <c r="P461" s="35"/>
      <c r="Q461" s="36"/>
      <c r="R461" s="34" t="s">
        <v>653</v>
      </c>
      <c r="S461" s="35"/>
      <c r="T461" s="35"/>
      <c r="U461" s="35"/>
      <c r="V461" s="35"/>
      <c r="W461" s="35"/>
      <c r="X461" s="35"/>
      <c r="Y461" s="35"/>
      <c r="Z461" s="35"/>
      <c r="AA461" s="35"/>
      <c r="AB461" s="35"/>
      <c r="AC461" s="35"/>
      <c r="AD461" s="36"/>
      <c r="AE461" s="34" t="s">
        <v>654</v>
      </c>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D461" s="36"/>
      <c r="CE461" s="18"/>
    </row>
    <row r="462" spans="1:83" s="9" customFormat="1" ht="12.75" customHeight="1" x14ac:dyDescent="0.15">
      <c r="A462" s="16"/>
      <c r="B462" s="8"/>
      <c r="C462" s="29"/>
      <c r="D462" s="602" t="s">
        <v>511</v>
      </c>
      <c r="E462" s="603"/>
      <c r="F462" s="34" t="s">
        <v>522</v>
      </c>
      <c r="G462" s="35"/>
      <c r="H462" s="35"/>
      <c r="I462" s="35"/>
      <c r="J462" s="35"/>
      <c r="K462" s="35"/>
      <c r="L462" s="35"/>
      <c r="M462" s="35"/>
      <c r="N462" s="35"/>
      <c r="O462" s="35"/>
      <c r="P462" s="35"/>
      <c r="Q462" s="36"/>
      <c r="R462" s="34" t="s">
        <v>523</v>
      </c>
      <c r="S462" s="35"/>
      <c r="T462" s="35"/>
      <c r="U462" s="35"/>
      <c r="V462" s="35"/>
      <c r="W462" s="35"/>
      <c r="X462" s="35"/>
      <c r="Y462" s="35"/>
      <c r="Z462" s="35"/>
      <c r="AA462" s="35"/>
      <c r="AB462" s="35"/>
      <c r="AC462" s="35"/>
      <c r="AD462" s="36"/>
      <c r="AE462" s="34" t="s">
        <v>524</v>
      </c>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6"/>
      <c r="CE462" s="18"/>
    </row>
    <row r="463" spans="1:83" s="9" customFormat="1" ht="12.75" customHeight="1" x14ac:dyDescent="0.15">
      <c r="A463" s="16"/>
      <c r="B463" s="8"/>
      <c r="C463" s="29"/>
      <c r="D463" s="602" t="s">
        <v>512</v>
      </c>
      <c r="E463" s="603"/>
      <c r="F463" s="34" t="s">
        <v>525</v>
      </c>
      <c r="G463" s="35"/>
      <c r="H463" s="35"/>
      <c r="I463" s="35"/>
      <c r="J463" s="35"/>
      <c r="K463" s="35"/>
      <c r="L463" s="35"/>
      <c r="M463" s="35"/>
      <c r="N463" s="35"/>
      <c r="O463" s="35"/>
      <c r="P463" s="35"/>
      <c r="Q463" s="36"/>
      <c r="R463" s="34" t="s">
        <v>380</v>
      </c>
      <c r="S463" s="35"/>
      <c r="T463" s="35"/>
      <c r="U463" s="35"/>
      <c r="V463" s="35"/>
      <c r="W463" s="35"/>
      <c r="X463" s="35"/>
      <c r="Y463" s="35"/>
      <c r="Z463" s="35"/>
      <c r="AA463" s="35"/>
      <c r="AB463" s="35"/>
      <c r="AC463" s="35"/>
      <c r="AD463" s="36"/>
      <c r="AE463" s="34" t="s">
        <v>547</v>
      </c>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6"/>
      <c r="CE463" s="18"/>
    </row>
    <row r="464" spans="1:83" s="9" customFormat="1" ht="12.75" customHeight="1" x14ac:dyDescent="0.15">
      <c r="A464" s="16"/>
      <c r="B464" s="8"/>
      <c r="C464" s="29"/>
      <c r="D464" s="602" t="s">
        <v>513</v>
      </c>
      <c r="E464" s="603"/>
      <c r="F464" s="34" t="s">
        <v>67</v>
      </c>
      <c r="G464" s="35"/>
      <c r="H464" s="35"/>
      <c r="I464" s="35"/>
      <c r="J464" s="35"/>
      <c r="K464" s="35"/>
      <c r="L464" s="35"/>
      <c r="M464" s="35"/>
      <c r="N464" s="35"/>
      <c r="O464" s="35"/>
      <c r="P464" s="35"/>
      <c r="Q464" s="36"/>
      <c r="R464" s="380" t="s">
        <v>825</v>
      </c>
      <c r="S464" s="35"/>
      <c r="T464" s="35"/>
      <c r="U464" s="35"/>
      <c r="V464" s="35"/>
      <c r="W464" s="35"/>
      <c r="X464" s="35"/>
      <c r="Y464" s="35"/>
      <c r="Z464" s="35"/>
      <c r="AA464" s="35"/>
      <c r="AB464" s="35"/>
      <c r="AC464" s="35"/>
      <c r="AD464" s="36"/>
      <c r="AE464" s="34" t="s">
        <v>826</v>
      </c>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6"/>
      <c r="CE464" s="18"/>
    </row>
    <row r="465" spans="1:83" s="9" customFormat="1" ht="12.75" customHeight="1" x14ac:dyDescent="0.15">
      <c r="A465" s="16"/>
      <c r="B465" s="8"/>
      <c r="C465" s="29"/>
      <c r="D465" s="602" t="s">
        <v>610</v>
      </c>
      <c r="E465" s="603"/>
      <c r="F465" s="34" t="s">
        <v>617</v>
      </c>
      <c r="G465" s="35"/>
      <c r="H465" s="35"/>
      <c r="I465" s="35"/>
      <c r="J465" s="35"/>
      <c r="K465" s="35"/>
      <c r="L465" s="35"/>
      <c r="M465" s="35"/>
      <c r="N465" s="35"/>
      <c r="O465" s="35"/>
      <c r="P465" s="35"/>
      <c r="Q465" s="36"/>
      <c r="R465" s="380" t="s">
        <v>828</v>
      </c>
      <c r="S465" s="35"/>
      <c r="T465" s="35"/>
      <c r="U465" s="35"/>
      <c r="V465" s="35"/>
      <c r="W465" s="35"/>
      <c r="X465" s="35"/>
      <c r="Y465" s="35"/>
      <c r="Z465" s="35"/>
      <c r="AA465" s="35"/>
      <c r="AB465" s="35"/>
      <c r="AC465" s="35"/>
      <c r="AD465" s="36"/>
      <c r="AE465" s="612" t="s">
        <v>827</v>
      </c>
      <c r="AF465" s="613"/>
      <c r="AG465" s="613"/>
      <c r="AH465" s="613"/>
      <c r="AI465" s="613"/>
      <c r="AJ465" s="613"/>
      <c r="AK465" s="613"/>
      <c r="AL465" s="613"/>
      <c r="AM465" s="613"/>
      <c r="AN465" s="613"/>
      <c r="AO465" s="613"/>
      <c r="AP465" s="613"/>
      <c r="AQ465" s="613"/>
      <c r="AR465" s="613"/>
      <c r="AS465" s="613"/>
      <c r="AT465" s="613"/>
      <c r="AU465" s="613"/>
      <c r="AV465" s="613"/>
      <c r="AW465" s="613"/>
      <c r="AX465" s="613"/>
      <c r="AY465" s="613"/>
      <c r="AZ465" s="613"/>
      <c r="BA465" s="613"/>
      <c r="BB465" s="613"/>
      <c r="BC465" s="613"/>
      <c r="BD465" s="613"/>
      <c r="BE465" s="613"/>
      <c r="BF465" s="613"/>
      <c r="BG465" s="613"/>
      <c r="BH465" s="613"/>
      <c r="BI465" s="613"/>
      <c r="BJ465" s="613"/>
      <c r="BK465" s="613"/>
      <c r="BL465" s="613"/>
      <c r="BM465" s="613"/>
      <c r="BN465" s="613"/>
      <c r="BO465" s="613"/>
      <c r="BP465" s="613"/>
      <c r="BQ465" s="613"/>
      <c r="BR465" s="613"/>
      <c r="BS465" s="613"/>
      <c r="BT465" s="613"/>
      <c r="BU465" s="613"/>
      <c r="BV465" s="613"/>
      <c r="BW465" s="613"/>
      <c r="BX465" s="613"/>
      <c r="BY465" s="613"/>
      <c r="BZ465" s="613"/>
      <c r="CA465" s="613"/>
      <c r="CB465" s="613"/>
      <c r="CC465" s="613"/>
      <c r="CD465" s="614"/>
      <c r="CE465" s="18"/>
    </row>
    <row r="466" spans="1:83" s="9" customFormat="1" ht="12.75" customHeight="1" x14ac:dyDescent="0.15">
      <c r="A466" s="16"/>
      <c r="B466" s="8"/>
      <c r="C466" s="29"/>
      <c r="D466" s="602" t="s">
        <v>611</v>
      </c>
      <c r="E466" s="603"/>
      <c r="F466" s="34" t="s">
        <v>381</v>
      </c>
      <c r="G466" s="35"/>
      <c r="H466" s="35"/>
      <c r="I466" s="35"/>
      <c r="J466" s="35"/>
      <c r="K466" s="35"/>
      <c r="L466" s="35"/>
      <c r="M466" s="35"/>
      <c r="N466" s="35"/>
      <c r="O466" s="35"/>
      <c r="P466" s="35"/>
      <c r="Q466" s="36"/>
      <c r="R466" s="34" t="s">
        <v>382</v>
      </c>
      <c r="S466" s="35"/>
      <c r="T466" s="35"/>
      <c r="U466" s="35"/>
      <c r="V466" s="35"/>
      <c r="W466" s="35"/>
      <c r="X466" s="35"/>
      <c r="Y466" s="35"/>
      <c r="Z466" s="35"/>
      <c r="AA466" s="35"/>
      <c r="AB466" s="35"/>
      <c r="AC466" s="35"/>
      <c r="AD466" s="36"/>
      <c r="AE466" s="34" t="s">
        <v>546</v>
      </c>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6"/>
      <c r="CE466" s="18"/>
    </row>
    <row r="467" spans="1:83" s="9" customFormat="1" ht="12.75" customHeight="1" x14ac:dyDescent="0.15">
      <c r="A467" s="16"/>
      <c r="B467" s="8"/>
      <c r="C467" s="29"/>
      <c r="D467" s="602" t="s">
        <v>612</v>
      </c>
      <c r="E467" s="603"/>
      <c r="F467" s="34" t="s">
        <v>378</v>
      </c>
      <c r="G467" s="35"/>
      <c r="H467" s="35"/>
      <c r="I467" s="35"/>
      <c r="J467" s="35"/>
      <c r="K467" s="35"/>
      <c r="L467" s="35"/>
      <c r="M467" s="35"/>
      <c r="N467" s="35"/>
      <c r="O467" s="35"/>
      <c r="P467" s="35"/>
      <c r="Q467" s="36"/>
      <c r="R467" s="34" t="s">
        <v>379</v>
      </c>
      <c r="S467" s="35"/>
      <c r="T467" s="35"/>
      <c r="U467" s="35"/>
      <c r="V467" s="35"/>
      <c r="W467" s="35"/>
      <c r="X467" s="35"/>
      <c r="Y467" s="35"/>
      <c r="Z467" s="35"/>
      <c r="AA467" s="35"/>
      <c r="AB467" s="35"/>
      <c r="AC467" s="35"/>
      <c r="AD467" s="36"/>
      <c r="AE467" s="34" t="s">
        <v>526</v>
      </c>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6"/>
      <c r="CE467" s="18"/>
    </row>
    <row r="468" spans="1:83" s="9" customFormat="1" ht="12.75" customHeight="1" x14ac:dyDescent="0.15">
      <c r="A468" s="16"/>
      <c r="B468" s="8"/>
      <c r="C468" s="29"/>
      <c r="D468" s="610" t="s">
        <v>613</v>
      </c>
      <c r="E468" s="611"/>
      <c r="F468" s="37" t="s">
        <v>527</v>
      </c>
      <c r="G468" s="38"/>
      <c r="H468" s="38"/>
      <c r="I468" s="38"/>
      <c r="J468" s="38"/>
      <c r="K468" s="38"/>
      <c r="L468" s="38"/>
      <c r="M468" s="38"/>
      <c r="N468" s="38"/>
      <c r="O468" s="38"/>
      <c r="P468" s="38"/>
      <c r="Q468" s="39"/>
      <c r="R468" s="37" t="s">
        <v>441</v>
      </c>
      <c r="S468" s="38"/>
      <c r="T468" s="38"/>
      <c r="U468" s="38"/>
      <c r="V468" s="38"/>
      <c r="W468" s="38"/>
      <c r="X468" s="38"/>
      <c r="Y468" s="38"/>
      <c r="Z468" s="38"/>
      <c r="AA468" s="38"/>
      <c r="AB468" s="38"/>
      <c r="AC468" s="38"/>
      <c r="AD468" s="39"/>
      <c r="AE468" s="37" t="s">
        <v>549</v>
      </c>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c r="BC468" s="38"/>
      <c r="BD468" s="38"/>
      <c r="BE468" s="38"/>
      <c r="BF468" s="38"/>
      <c r="BG468" s="38"/>
      <c r="BH468" s="38"/>
      <c r="BI468" s="38"/>
      <c r="BJ468" s="38"/>
      <c r="BK468" s="38"/>
      <c r="BL468" s="38"/>
      <c r="BM468" s="38"/>
      <c r="BN468" s="38"/>
      <c r="BO468" s="38"/>
      <c r="BP468" s="38"/>
      <c r="BQ468" s="38"/>
      <c r="BR468" s="38"/>
      <c r="BS468" s="38"/>
      <c r="BT468" s="38"/>
      <c r="BU468" s="38"/>
      <c r="BV468" s="38"/>
      <c r="BW468" s="38"/>
      <c r="BX468" s="38"/>
      <c r="BY468" s="38"/>
      <c r="BZ468" s="38"/>
      <c r="CA468" s="38"/>
      <c r="CB468" s="38"/>
      <c r="CC468" s="38"/>
      <c r="CD468" s="39"/>
      <c r="CE468" s="18"/>
    </row>
    <row r="469" spans="1:83" s="9" customFormat="1" ht="12.75" customHeight="1" x14ac:dyDescent="0.15">
      <c r="A469" s="16"/>
      <c r="B469" s="8"/>
      <c r="C469" s="29"/>
      <c r="D469" s="130"/>
      <c r="E469" s="131"/>
      <c r="F469" s="40"/>
      <c r="G469" s="32"/>
      <c r="H469" s="32"/>
      <c r="I469" s="32"/>
      <c r="J469" s="32"/>
      <c r="K469" s="32"/>
      <c r="L469" s="32"/>
      <c r="M469" s="32"/>
      <c r="N469" s="32"/>
      <c r="O469" s="32"/>
      <c r="P469" s="32"/>
      <c r="Q469" s="33"/>
      <c r="R469" s="40"/>
      <c r="S469" s="32"/>
      <c r="T469" s="32"/>
      <c r="U469" s="32"/>
      <c r="V469" s="32"/>
      <c r="W469" s="32"/>
      <c r="X469" s="32"/>
      <c r="Y469" s="32"/>
      <c r="Z469" s="32"/>
      <c r="AA469" s="32"/>
      <c r="AB469" s="32"/>
      <c r="AC469" s="32"/>
      <c r="AD469" s="33"/>
      <c r="AE469" s="40" t="s">
        <v>550</v>
      </c>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2"/>
      <c r="BO469" s="32"/>
      <c r="BP469" s="32"/>
      <c r="BQ469" s="32"/>
      <c r="BR469" s="32"/>
      <c r="BS469" s="32"/>
      <c r="BT469" s="32"/>
      <c r="BU469" s="32"/>
      <c r="BV469" s="32"/>
      <c r="BW469" s="32"/>
      <c r="BX469" s="32"/>
      <c r="BY469" s="32"/>
      <c r="BZ469" s="32"/>
      <c r="CA469" s="32"/>
      <c r="CB469" s="32"/>
      <c r="CC469" s="32"/>
      <c r="CD469" s="33"/>
      <c r="CE469" s="18"/>
    </row>
    <row r="470" spans="1:83" s="9" customFormat="1" ht="12.75" customHeight="1" x14ac:dyDescent="0.15">
      <c r="A470" s="16"/>
      <c r="B470" s="8"/>
      <c r="C470" s="29"/>
      <c r="D470" s="602" t="s">
        <v>614</v>
      </c>
      <c r="E470" s="603"/>
      <c r="F470" s="689" t="s">
        <v>533</v>
      </c>
      <c r="G470" s="690"/>
      <c r="H470" s="690"/>
      <c r="I470" s="690"/>
      <c r="J470" s="690"/>
      <c r="K470" s="690"/>
      <c r="L470" s="690"/>
      <c r="M470" s="690"/>
      <c r="N470" s="690"/>
      <c r="O470" s="690"/>
      <c r="P470" s="690"/>
      <c r="Q470" s="691"/>
      <c r="R470" s="34" t="s">
        <v>441</v>
      </c>
      <c r="S470" s="35"/>
      <c r="T470" s="35"/>
      <c r="U470" s="35"/>
      <c r="V470" s="35"/>
      <c r="W470" s="35"/>
      <c r="X470" s="35"/>
      <c r="Y470" s="35"/>
      <c r="Z470" s="35"/>
      <c r="AA470" s="35"/>
      <c r="AB470" s="35"/>
      <c r="AC470" s="35"/>
      <c r="AD470" s="36"/>
      <c r="AE470" s="34" t="s">
        <v>618</v>
      </c>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6"/>
      <c r="CE470" s="18"/>
    </row>
    <row r="471" spans="1:83" s="9" customFormat="1" ht="12.75" customHeight="1" x14ac:dyDescent="0.15">
      <c r="A471" s="16"/>
      <c r="B471" s="8"/>
      <c r="C471" s="29"/>
      <c r="D471" s="602" t="s">
        <v>615</v>
      </c>
      <c r="E471" s="603"/>
      <c r="F471" s="34" t="s">
        <v>534</v>
      </c>
      <c r="G471" s="35"/>
      <c r="H471" s="35"/>
      <c r="I471" s="35"/>
      <c r="J471" s="35"/>
      <c r="K471" s="35"/>
      <c r="L471" s="35"/>
      <c r="M471" s="35"/>
      <c r="N471" s="35"/>
      <c r="O471" s="35"/>
      <c r="P471" s="35"/>
      <c r="Q471" s="36"/>
      <c r="R471" s="34" t="s">
        <v>379</v>
      </c>
      <c r="S471" s="35"/>
      <c r="T471" s="35"/>
      <c r="U471" s="35"/>
      <c r="V471" s="35"/>
      <c r="W471" s="35"/>
      <c r="X471" s="35"/>
      <c r="Y471" s="35"/>
      <c r="Z471" s="35"/>
      <c r="AA471" s="35"/>
      <c r="AB471" s="35"/>
      <c r="AC471" s="35"/>
      <c r="AD471" s="36"/>
      <c r="AE471" s="34" t="s">
        <v>531</v>
      </c>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6"/>
      <c r="CE471" s="18"/>
    </row>
    <row r="472" spans="1:83" s="9" customFormat="1" ht="12.75" customHeight="1" x14ac:dyDescent="0.15">
      <c r="A472" s="16"/>
      <c r="B472" s="8"/>
      <c r="C472" s="29"/>
      <c r="D472" s="602" t="s">
        <v>530</v>
      </c>
      <c r="E472" s="603"/>
      <c r="F472" s="689" t="s">
        <v>535</v>
      </c>
      <c r="G472" s="690"/>
      <c r="H472" s="690"/>
      <c r="I472" s="690"/>
      <c r="J472" s="690"/>
      <c r="K472" s="690"/>
      <c r="L472" s="690"/>
      <c r="M472" s="690"/>
      <c r="N472" s="690"/>
      <c r="O472" s="690"/>
      <c r="P472" s="690"/>
      <c r="Q472" s="691"/>
      <c r="R472" s="34"/>
      <c r="S472" s="35"/>
      <c r="T472" s="35"/>
      <c r="U472" s="35"/>
      <c r="V472" s="35"/>
      <c r="W472" s="35"/>
      <c r="X472" s="35"/>
      <c r="Y472" s="35"/>
      <c r="Z472" s="35"/>
      <c r="AA472" s="35"/>
      <c r="AB472" s="35"/>
      <c r="AC472" s="35"/>
      <c r="AD472" s="36"/>
      <c r="AE472" s="34" t="s">
        <v>619</v>
      </c>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6"/>
      <c r="CE472" s="18"/>
    </row>
    <row r="473" spans="1:83" s="9" customFormat="1" ht="12.75" customHeight="1" x14ac:dyDescent="0.15">
      <c r="A473" s="16"/>
      <c r="B473" s="8"/>
      <c r="C473" s="29"/>
      <c r="D473" s="602" t="s">
        <v>540</v>
      </c>
      <c r="E473" s="603"/>
      <c r="F473" s="34" t="s">
        <v>536</v>
      </c>
      <c r="G473" s="35"/>
      <c r="H473" s="35"/>
      <c r="I473" s="35"/>
      <c r="J473" s="35"/>
      <c r="K473" s="35"/>
      <c r="L473" s="35"/>
      <c r="M473" s="35"/>
      <c r="N473" s="35"/>
      <c r="O473" s="35"/>
      <c r="P473" s="35"/>
      <c r="Q473" s="36"/>
      <c r="R473" s="34" t="s">
        <v>537</v>
      </c>
      <c r="S473" s="35"/>
      <c r="T473" s="35"/>
      <c r="U473" s="35"/>
      <c r="V473" s="35"/>
      <c r="W473" s="35"/>
      <c r="X473" s="35"/>
      <c r="Y473" s="35"/>
      <c r="Z473" s="35"/>
      <c r="AA473" s="35"/>
      <c r="AB473" s="35"/>
      <c r="AC473" s="35"/>
      <c r="AD473" s="36"/>
      <c r="AE473" s="34" t="s">
        <v>532</v>
      </c>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6"/>
      <c r="CE473" s="18"/>
    </row>
    <row r="474" spans="1:83" s="4" customFormat="1" ht="12" customHeight="1" thickBot="1" x14ac:dyDescent="0.2">
      <c r="A474" s="25"/>
      <c r="B474" s="141"/>
      <c r="C474" s="161"/>
      <c r="D474" s="602" t="s">
        <v>616</v>
      </c>
      <c r="E474" s="603"/>
      <c r="F474" s="166" t="s">
        <v>538</v>
      </c>
      <c r="G474" s="162"/>
      <c r="H474" s="162"/>
      <c r="I474" s="162"/>
      <c r="J474" s="162"/>
      <c r="K474" s="162"/>
      <c r="L474" s="162"/>
      <c r="M474" s="162"/>
      <c r="N474" s="162"/>
      <c r="O474" s="162"/>
      <c r="P474" s="162"/>
      <c r="Q474" s="163"/>
      <c r="R474" s="166" t="s">
        <v>541</v>
      </c>
      <c r="S474" s="162"/>
      <c r="T474" s="162"/>
      <c r="U474" s="162"/>
      <c r="V474" s="162"/>
      <c r="W474" s="162"/>
      <c r="X474" s="162"/>
      <c r="Y474" s="162"/>
      <c r="Z474" s="162"/>
      <c r="AA474" s="162"/>
      <c r="AB474" s="162"/>
      <c r="AC474" s="162"/>
      <c r="AD474" s="163"/>
      <c r="AE474" s="166" t="s">
        <v>539</v>
      </c>
      <c r="AF474" s="162"/>
      <c r="AG474" s="162"/>
      <c r="AH474" s="162"/>
      <c r="AI474" s="162"/>
      <c r="AJ474" s="162"/>
      <c r="AK474" s="162"/>
      <c r="AL474" s="162"/>
      <c r="AM474" s="162"/>
      <c r="AN474" s="162"/>
      <c r="AO474" s="162"/>
      <c r="AP474" s="162"/>
      <c r="AQ474" s="162"/>
      <c r="AR474" s="162"/>
      <c r="AS474" s="162"/>
      <c r="AT474" s="162"/>
      <c r="AU474" s="162"/>
      <c r="AV474" s="162"/>
      <c r="AW474" s="162"/>
      <c r="AX474" s="162"/>
      <c r="AY474" s="162"/>
      <c r="AZ474" s="162"/>
      <c r="BA474" s="162"/>
      <c r="BB474" s="162"/>
      <c r="BC474" s="162"/>
      <c r="BD474" s="162"/>
      <c r="BE474" s="162"/>
      <c r="BF474" s="162"/>
      <c r="BG474" s="162"/>
      <c r="BH474" s="162"/>
      <c r="BI474" s="162"/>
      <c r="BJ474" s="162"/>
      <c r="BK474" s="162"/>
      <c r="BL474" s="162"/>
      <c r="BM474" s="162"/>
      <c r="BN474" s="162"/>
      <c r="BO474" s="162"/>
      <c r="BP474" s="162"/>
      <c r="BQ474" s="162"/>
      <c r="BR474" s="162"/>
      <c r="BS474" s="162"/>
      <c r="BT474" s="162"/>
      <c r="BU474" s="162"/>
      <c r="BV474" s="162"/>
      <c r="BW474" s="162"/>
      <c r="BX474" s="162"/>
      <c r="BY474" s="162"/>
      <c r="BZ474" s="162"/>
      <c r="CA474" s="162"/>
      <c r="CB474" s="162"/>
      <c r="CC474" s="162"/>
      <c r="CD474" s="163"/>
      <c r="CE474" s="28"/>
    </row>
    <row r="475" spans="1:83" s="4" customFormat="1" ht="12" customHeight="1" x14ac:dyDescent="0.15">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14"/>
      <c r="BZ475" s="14"/>
      <c r="CA475" s="14"/>
      <c r="CB475" s="14"/>
      <c r="CC475" s="14"/>
      <c r="CD475" s="14"/>
      <c r="CE475" s="15"/>
    </row>
    <row r="476" spans="1:83" s="4" customFormat="1" ht="12" customHeight="1" x14ac:dyDescent="0.15">
      <c r="A476" s="16"/>
      <c r="B476" s="5"/>
      <c r="C476" s="17"/>
      <c r="D476" s="21" t="s">
        <v>428</v>
      </c>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8"/>
    </row>
    <row r="477" spans="1:83" s="4" customFormat="1" ht="12" customHeight="1" x14ac:dyDescent="0.15">
      <c r="A477" s="16"/>
      <c r="C477" s="58"/>
      <c r="D477" s="51" t="s">
        <v>386</v>
      </c>
      <c r="E477" s="52"/>
      <c r="F477" s="52"/>
      <c r="G477" s="52"/>
      <c r="H477" s="52"/>
      <c r="I477" s="52"/>
      <c r="J477" s="52"/>
      <c r="K477" s="52"/>
      <c r="L477" s="52"/>
      <c r="M477" s="52"/>
      <c r="N477" s="52"/>
      <c r="O477" s="52"/>
      <c r="P477" s="52"/>
      <c r="Q477" s="52"/>
      <c r="R477" s="52"/>
      <c r="S477" s="52"/>
      <c r="T477" s="52"/>
      <c r="U477" s="52"/>
      <c r="V477" s="52"/>
      <c r="W477" s="52"/>
      <c r="X477" s="52"/>
      <c r="Y477" s="52"/>
      <c r="Z477" s="52"/>
      <c r="AA477" s="52"/>
      <c r="AB477" s="52"/>
      <c r="AC477" s="52"/>
      <c r="AD477" s="52"/>
      <c r="AE477" s="52"/>
      <c r="AF477" s="52"/>
      <c r="AG477" s="52"/>
      <c r="AH477" s="52"/>
      <c r="AI477" s="52"/>
      <c r="AJ477" s="52"/>
      <c r="AK477" s="52"/>
      <c r="AL477" s="52"/>
      <c r="AM477" s="52"/>
      <c r="AN477" s="52"/>
      <c r="AO477" s="52"/>
      <c r="AP477" s="52"/>
      <c r="AQ477" s="52"/>
      <c r="AR477" s="52"/>
      <c r="AS477" s="52"/>
      <c r="AT477" s="52"/>
      <c r="AU477" s="52"/>
      <c r="AV477" s="52"/>
      <c r="AW477" s="52"/>
      <c r="AX477" s="52"/>
      <c r="AY477" s="52"/>
      <c r="AZ477" s="52"/>
      <c r="BA477" s="52"/>
      <c r="BB477" s="52"/>
      <c r="BC477" s="52"/>
      <c r="BD477" s="52"/>
      <c r="BE477" s="52"/>
      <c r="BF477" s="52"/>
      <c r="BG477" s="52"/>
      <c r="BH477" s="52"/>
      <c r="BI477" s="52"/>
      <c r="BJ477" s="52"/>
      <c r="BK477" s="52"/>
      <c r="BL477" s="52"/>
      <c r="BM477" s="52"/>
      <c r="BN477" s="52"/>
      <c r="BO477" s="52"/>
      <c r="BP477" s="52"/>
      <c r="BQ477" s="52"/>
      <c r="BR477" s="52"/>
      <c r="BS477" s="52"/>
      <c r="BT477" s="52"/>
      <c r="BU477" s="52"/>
      <c r="BV477" s="52"/>
      <c r="BW477" s="52"/>
      <c r="BX477" s="52"/>
      <c r="BY477" s="52"/>
      <c r="BZ477" s="52"/>
      <c r="CA477" s="52"/>
      <c r="CB477" s="52"/>
      <c r="CC477" s="52"/>
      <c r="CD477" s="53"/>
      <c r="CE477" s="18"/>
    </row>
    <row r="478" spans="1:83" s="386" customFormat="1" ht="12" customHeight="1" x14ac:dyDescent="0.15">
      <c r="A478" s="381"/>
      <c r="C478" s="387"/>
      <c r="D478" s="388" t="s">
        <v>873</v>
      </c>
      <c r="E478" s="389"/>
      <c r="F478" s="389"/>
      <c r="G478" s="389"/>
      <c r="H478" s="389"/>
      <c r="I478" s="389"/>
      <c r="J478" s="389"/>
      <c r="K478" s="389"/>
      <c r="L478" s="389"/>
      <c r="M478" s="389"/>
      <c r="N478" s="389"/>
      <c r="O478" s="389"/>
      <c r="P478" s="389"/>
      <c r="Q478" s="389"/>
      <c r="R478" s="389"/>
      <c r="S478" s="389"/>
      <c r="T478" s="389"/>
      <c r="U478" s="389"/>
      <c r="V478" s="389"/>
      <c r="W478" s="389"/>
      <c r="X478" s="389"/>
      <c r="Y478" s="389"/>
      <c r="Z478" s="389"/>
      <c r="AA478" s="389"/>
      <c r="AB478" s="389"/>
      <c r="AC478" s="389"/>
      <c r="AD478" s="389"/>
      <c r="AE478" s="389"/>
      <c r="AF478" s="389"/>
      <c r="AG478" s="389"/>
      <c r="AH478" s="389"/>
      <c r="AI478" s="389"/>
      <c r="AJ478" s="389"/>
      <c r="AK478" s="389"/>
      <c r="AL478" s="389"/>
      <c r="AM478" s="389"/>
      <c r="AN478" s="389"/>
      <c r="AO478" s="389"/>
      <c r="AP478" s="389"/>
      <c r="AQ478" s="389"/>
      <c r="AR478" s="389"/>
      <c r="AS478" s="389"/>
      <c r="AT478" s="389"/>
      <c r="AU478" s="389"/>
      <c r="AV478" s="389"/>
      <c r="AW478" s="389"/>
      <c r="AX478" s="389"/>
      <c r="AY478" s="389"/>
      <c r="AZ478" s="389"/>
      <c r="BA478" s="389"/>
      <c r="BB478" s="389"/>
      <c r="BC478" s="389"/>
      <c r="BD478" s="389"/>
      <c r="BE478" s="389"/>
      <c r="BF478" s="389"/>
      <c r="BG478" s="389"/>
      <c r="BH478" s="389"/>
      <c r="BI478" s="389"/>
      <c r="BJ478" s="389"/>
      <c r="BK478" s="389"/>
      <c r="BL478" s="389"/>
      <c r="BM478" s="389"/>
      <c r="BN478" s="389"/>
      <c r="BO478" s="389"/>
      <c r="BP478" s="389"/>
      <c r="BQ478" s="389"/>
      <c r="BR478" s="389"/>
      <c r="BS478" s="389"/>
      <c r="BT478" s="389"/>
      <c r="BU478" s="389"/>
      <c r="BV478" s="389"/>
      <c r="BW478" s="389"/>
      <c r="BX478" s="389"/>
      <c r="BY478" s="389"/>
      <c r="BZ478" s="389"/>
      <c r="CA478" s="389"/>
      <c r="CB478" s="389"/>
      <c r="CC478" s="389"/>
      <c r="CD478" s="390"/>
      <c r="CE478" s="384"/>
    </row>
    <row r="479" spans="1:83" s="4" customFormat="1" ht="12" customHeight="1" x14ac:dyDescent="0.15">
      <c r="A479" s="16"/>
      <c r="C479" s="58"/>
      <c r="D479" s="59" t="s">
        <v>545</v>
      </c>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c r="CA479" s="12"/>
      <c r="CB479" s="12"/>
      <c r="CC479" s="12"/>
      <c r="CD479" s="31"/>
      <c r="CE479" s="18"/>
    </row>
    <row r="480" spans="1:83" s="4" customFormat="1" ht="12" customHeight="1" x14ac:dyDescent="0.15">
      <c r="A480" s="16"/>
      <c r="C480" s="58"/>
      <c r="D480" s="59" t="s">
        <v>542</v>
      </c>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31"/>
      <c r="CE480" s="18"/>
    </row>
    <row r="481" spans="1:83" s="4" customFormat="1" ht="12" customHeight="1" x14ac:dyDescent="0.15">
      <c r="A481" s="16"/>
      <c r="C481" s="58"/>
      <c r="D481" s="59" t="s">
        <v>548</v>
      </c>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31"/>
      <c r="CE481" s="18"/>
    </row>
    <row r="482" spans="1:83" s="4" customFormat="1" ht="12" customHeight="1" x14ac:dyDescent="0.15">
      <c r="A482" s="16"/>
      <c r="C482" s="58"/>
      <c r="D482" s="60" t="s">
        <v>46</v>
      </c>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2"/>
      <c r="BO482" s="32"/>
      <c r="BP482" s="32"/>
      <c r="BQ482" s="32"/>
      <c r="BR482" s="32"/>
      <c r="BS482" s="32"/>
      <c r="BT482" s="32"/>
      <c r="BU482" s="32"/>
      <c r="BV482" s="32"/>
      <c r="BW482" s="32"/>
      <c r="BX482" s="32"/>
      <c r="BY482" s="32"/>
      <c r="BZ482" s="32"/>
      <c r="CA482" s="32"/>
      <c r="CB482" s="32"/>
      <c r="CC482" s="32"/>
      <c r="CD482" s="33"/>
      <c r="CE482" s="18"/>
    </row>
    <row r="483" spans="1:83" s="4" customFormat="1" ht="12" customHeight="1" x14ac:dyDescent="0.15">
      <c r="A483" s="16"/>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18"/>
    </row>
    <row r="484" spans="1:83" s="9" customFormat="1" ht="12" customHeight="1" x14ac:dyDescent="0.15">
      <c r="A484" s="16"/>
      <c r="B484" s="8"/>
      <c r="C484" s="8"/>
      <c r="D484" s="8"/>
      <c r="E484" s="71" t="s">
        <v>360</v>
      </c>
      <c r="F484" s="72"/>
      <c r="G484" s="72"/>
      <c r="H484" s="72"/>
      <c r="I484" s="72"/>
      <c r="J484" s="72"/>
      <c r="K484" s="72"/>
      <c r="L484" s="72"/>
      <c r="M484" s="72"/>
      <c r="N484" s="72"/>
      <c r="O484" s="72"/>
      <c r="P484" s="72"/>
      <c r="Q484" s="72"/>
      <c r="R484" s="72"/>
      <c r="S484" s="72"/>
      <c r="T484" s="72"/>
      <c r="U484" s="70"/>
      <c r="V484" s="71" t="s">
        <v>361</v>
      </c>
      <c r="W484" s="72"/>
      <c r="X484" s="72"/>
      <c r="Y484" s="72"/>
      <c r="Z484" s="72"/>
      <c r="AA484" s="72"/>
      <c r="AB484" s="70"/>
      <c r="AC484" s="71" t="s">
        <v>362</v>
      </c>
      <c r="AD484" s="72"/>
      <c r="AE484" s="72"/>
      <c r="AF484" s="72"/>
      <c r="AG484" s="72"/>
      <c r="AH484" s="72"/>
      <c r="AI484" s="72"/>
      <c r="AJ484" s="72"/>
      <c r="AK484" s="72"/>
      <c r="AL484" s="72"/>
      <c r="AM484" s="72"/>
      <c r="AN484" s="72"/>
      <c r="AO484" s="72"/>
      <c r="AP484" s="72"/>
      <c r="AQ484" s="72"/>
      <c r="AR484" s="72"/>
      <c r="AS484" s="72"/>
      <c r="AT484" s="72"/>
      <c r="AU484" s="72"/>
      <c r="AV484" s="72"/>
      <c r="AW484" s="72"/>
      <c r="AX484" s="72"/>
      <c r="AY484" s="72"/>
      <c r="AZ484" s="72"/>
      <c r="BA484" s="72"/>
      <c r="BB484" s="72"/>
      <c r="BC484" s="72"/>
      <c r="BD484" s="72"/>
      <c r="BE484" s="72"/>
      <c r="BF484" s="72"/>
      <c r="BG484" s="72"/>
      <c r="BH484" s="72"/>
      <c r="BI484" s="72"/>
      <c r="BJ484" s="72"/>
      <c r="BK484" s="72"/>
      <c r="BL484" s="72"/>
      <c r="BM484" s="72"/>
      <c r="BN484" s="72"/>
      <c r="BO484" s="72"/>
      <c r="BP484" s="72"/>
      <c r="BQ484" s="72"/>
      <c r="BR484" s="72"/>
      <c r="BS484" s="72"/>
      <c r="BT484" s="72"/>
      <c r="BU484" s="72"/>
      <c r="BV484" s="72"/>
      <c r="BW484" s="72"/>
      <c r="BX484" s="72"/>
      <c r="BY484" s="72"/>
      <c r="BZ484" s="72"/>
      <c r="CA484" s="72"/>
      <c r="CB484" s="72"/>
      <c r="CC484" s="72"/>
      <c r="CD484" s="70"/>
      <c r="CE484" s="18"/>
    </row>
    <row r="485" spans="1:83" s="9" customFormat="1" ht="12.75" customHeight="1" x14ac:dyDescent="0.15">
      <c r="A485" s="16"/>
      <c r="B485" s="8"/>
      <c r="E485" s="34" t="s">
        <v>443</v>
      </c>
      <c r="F485" s="35"/>
      <c r="G485" s="35"/>
      <c r="H485" s="35"/>
      <c r="I485" s="35"/>
      <c r="J485" s="35"/>
      <c r="K485" s="35"/>
      <c r="L485" s="35"/>
      <c r="M485" s="35"/>
      <c r="N485" s="35"/>
      <c r="O485" s="35"/>
      <c r="P485" s="35"/>
      <c r="Q485" s="35"/>
      <c r="R485" s="35"/>
      <c r="S485" s="35"/>
      <c r="T485" s="35"/>
      <c r="U485" s="36"/>
      <c r="V485" s="34" t="s">
        <v>543</v>
      </c>
      <c r="W485" s="35"/>
      <c r="X485" s="35"/>
      <c r="Y485" s="35"/>
      <c r="Z485" s="35"/>
      <c r="AA485" s="35"/>
      <c r="AB485" s="36"/>
      <c r="AC485" s="34" t="s">
        <v>553</v>
      </c>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6"/>
      <c r="CE485" s="18"/>
    </row>
    <row r="486" spans="1:83" s="9" customFormat="1" ht="12.75" customHeight="1" x14ac:dyDescent="0.15">
      <c r="A486" s="16"/>
      <c r="B486" s="8"/>
      <c r="E486" s="34" t="s">
        <v>444</v>
      </c>
      <c r="F486" s="35"/>
      <c r="G486" s="35"/>
      <c r="H486" s="35"/>
      <c r="I486" s="35"/>
      <c r="J486" s="35"/>
      <c r="K486" s="35"/>
      <c r="L486" s="35"/>
      <c r="M486" s="35"/>
      <c r="N486" s="35"/>
      <c r="O486" s="35"/>
      <c r="P486" s="35"/>
      <c r="Q486" s="35"/>
      <c r="R486" s="35"/>
      <c r="S486" s="35"/>
      <c r="T486" s="35"/>
      <c r="U486" s="36"/>
      <c r="V486" s="34" t="s">
        <v>458</v>
      </c>
      <c r="W486" s="35"/>
      <c r="X486" s="35"/>
      <c r="Y486" s="35"/>
      <c r="Z486" s="35"/>
      <c r="AA486" s="35"/>
      <c r="AB486" s="36"/>
      <c r="AC486" s="34" t="s">
        <v>457</v>
      </c>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6"/>
      <c r="CE486" s="18"/>
    </row>
    <row r="487" spans="1:83" s="9" customFormat="1" ht="12.75" customHeight="1" x14ac:dyDescent="0.15">
      <c r="A487" s="16"/>
      <c r="B487" s="8"/>
      <c r="E487" s="37" t="s">
        <v>459</v>
      </c>
      <c r="F487" s="38"/>
      <c r="G487" s="38"/>
      <c r="H487" s="38"/>
      <c r="I487" s="38"/>
      <c r="J487" s="38"/>
      <c r="K487" s="38"/>
      <c r="L487" s="38"/>
      <c r="M487" s="38"/>
      <c r="N487" s="38"/>
      <c r="O487" s="38"/>
      <c r="P487" s="38"/>
      <c r="Q487" s="38"/>
      <c r="R487" s="38"/>
      <c r="S487" s="38"/>
      <c r="T487" s="38"/>
      <c r="U487" s="39"/>
      <c r="V487" s="37" t="s">
        <v>655</v>
      </c>
      <c r="W487" s="38"/>
      <c r="X487" s="38"/>
      <c r="Y487" s="38"/>
      <c r="Z487" s="38"/>
      <c r="AA487" s="38"/>
      <c r="AB487" s="39"/>
      <c r="AC487" s="615" t="s">
        <v>657</v>
      </c>
      <c r="AD487" s="616"/>
      <c r="AE487" s="616"/>
      <c r="AF487" s="616"/>
      <c r="AG487" s="616"/>
      <c r="AH487" s="616"/>
      <c r="AI487" s="616"/>
      <c r="AJ487" s="616"/>
      <c r="AK487" s="616"/>
      <c r="AL487" s="616"/>
      <c r="AM487" s="616"/>
      <c r="AN487" s="616"/>
      <c r="AO487" s="616"/>
      <c r="AP487" s="616"/>
      <c r="AQ487" s="616"/>
      <c r="AR487" s="616"/>
      <c r="AS487" s="616"/>
      <c r="AT487" s="616"/>
      <c r="AU487" s="616"/>
      <c r="AV487" s="616"/>
      <c r="AW487" s="616"/>
      <c r="AX487" s="616"/>
      <c r="AY487" s="616"/>
      <c r="AZ487" s="616"/>
      <c r="BA487" s="616"/>
      <c r="BB487" s="616"/>
      <c r="BC487" s="616"/>
      <c r="BD487" s="616"/>
      <c r="BE487" s="616"/>
      <c r="BF487" s="616"/>
      <c r="BG487" s="616"/>
      <c r="BH487" s="616"/>
      <c r="BI487" s="616"/>
      <c r="BJ487" s="616"/>
      <c r="BK487" s="616"/>
      <c r="BL487" s="616"/>
      <c r="BM487" s="616"/>
      <c r="BN487" s="616"/>
      <c r="BO487" s="616"/>
      <c r="BP487" s="616"/>
      <c r="BQ487" s="616"/>
      <c r="BR487" s="616"/>
      <c r="BS487" s="616"/>
      <c r="BT487" s="616"/>
      <c r="BU487" s="616"/>
      <c r="BV487" s="616"/>
      <c r="BW487" s="616"/>
      <c r="BX487" s="616"/>
      <c r="BY487" s="616"/>
      <c r="BZ487" s="616"/>
      <c r="CA487" s="616"/>
      <c r="CB487" s="616"/>
      <c r="CC487" s="616"/>
      <c r="CD487" s="617"/>
      <c r="CE487" s="18"/>
    </row>
    <row r="488" spans="1:83" s="9" customFormat="1" ht="12.75" customHeight="1" x14ac:dyDescent="0.15">
      <c r="A488" s="16"/>
      <c r="B488" s="8"/>
      <c r="E488" s="41"/>
      <c r="F488" s="12"/>
      <c r="G488" s="12"/>
      <c r="H488" s="12"/>
      <c r="I488" s="12"/>
      <c r="J488" s="12"/>
      <c r="K488" s="12"/>
      <c r="L488" s="12"/>
      <c r="M488" s="12"/>
      <c r="N488" s="12"/>
      <c r="O488" s="12"/>
      <c r="P488" s="12"/>
      <c r="Q488" s="12"/>
      <c r="R488" s="12"/>
      <c r="S488" s="12"/>
      <c r="T488" s="12"/>
      <c r="U488" s="31"/>
      <c r="V488" s="41"/>
      <c r="W488" s="12"/>
      <c r="X488" s="12"/>
      <c r="Y488" s="12"/>
      <c r="Z488" s="12"/>
      <c r="AA488" s="12"/>
      <c r="AB488" s="31"/>
      <c r="AC488" s="618"/>
      <c r="AD488" s="619"/>
      <c r="AE488" s="619"/>
      <c r="AF488" s="619"/>
      <c r="AG488" s="619"/>
      <c r="AH488" s="619"/>
      <c r="AI488" s="619"/>
      <c r="AJ488" s="619"/>
      <c r="AK488" s="619"/>
      <c r="AL488" s="619"/>
      <c r="AM488" s="619"/>
      <c r="AN488" s="619"/>
      <c r="AO488" s="619"/>
      <c r="AP488" s="619"/>
      <c r="AQ488" s="619"/>
      <c r="AR488" s="619"/>
      <c r="AS488" s="619"/>
      <c r="AT488" s="619"/>
      <c r="AU488" s="619"/>
      <c r="AV488" s="619"/>
      <c r="AW488" s="619"/>
      <c r="AX488" s="619"/>
      <c r="AY488" s="619"/>
      <c r="AZ488" s="619"/>
      <c r="BA488" s="619"/>
      <c r="BB488" s="619"/>
      <c r="BC488" s="619"/>
      <c r="BD488" s="619"/>
      <c r="BE488" s="619"/>
      <c r="BF488" s="619"/>
      <c r="BG488" s="619"/>
      <c r="BH488" s="619"/>
      <c r="BI488" s="619"/>
      <c r="BJ488" s="619"/>
      <c r="BK488" s="619"/>
      <c r="BL488" s="619"/>
      <c r="BM488" s="619"/>
      <c r="BN488" s="619"/>
      <c r="BO488" s="619"/>
      <c r="BP488" s="619"/>
      <c r="BQ488" s="619"/>
      <c r="BR488" s="619"/>
      <c r="BS488" s="619"/>
      <c r="BT488" s="619"/>
      <c r="BU488" s="619"/>
      <c r="BV488" s="619"/>
      <c r="BW488" s="619"/>
      <c r="BX488" s="619"/>
      <c r="BY488" s="619"/>
      <c r="BZ488" s="619"/>
      <c r="CA488" s="619"/>
      <c r="CB488" s="619"/>
      <c r="CC488" s="619"/>
      <c r="CD488" s="620"/>
      <c r="CE488" s="18"/>
    </row>
    <row r="489" spans="1:83" s="9" customFormat="1" ht="12.75" customHeight="1" x14ac:dyDescent="0.15">
      <c r="A489" s="16"/>
      <c r="B489" s="8"/>
      <c r="E489" s="41"/>
      <c r="F489" s="12"/>
      <c r="G489" s="12"/>
      <c r="H489" s="12"/>
      <c r="I489" s="12"/>
      <c r="J489" s="12"/>
      <c r="K489" s="12"/>
      <c r="L489" s="12"/>
      <c r="M489" s="12"/>
      <c r="N489" s="12"/>
      <c r="O489" s="12"/>
      <c r="P489" s="12"/>
      <c r="Q489" s="12"/>
      <c r="R489" s="12"/>
      <c r="S489" s="12"/>
      <c r="T489" s="12"/>
      <c r="U489" s="31"/>
      <c r="V489" s="41"/>
      <c r="W489" s="12"/>
      <c r="X489" s="12"/>
      <c r="Y489" s="12"/>
      <c r="Z489" s="12"/>
      <c r="AA489" s="12"/>
      <c r="AB489" s="31"/>
      <c r="AC489" s="618"/>
      <c r="AD489" s="619"/>
      <c r="AE489" s="619"/>
      <c r="AF489" s="619"/>
      <c r="AG489" s="619"/>
      <c r="AH489" s="619"/>
      <c r="AI489" s="619"/>
      <c r="AJ489" s="619"/>
      <c r="AK489" s="619"/>
      <c r="AL489" s="619"/>
      <c r="AM489" s="619"/>
      <c r="AN489" s="619"/>
      <c r="AO489" s="619"/>
      <c r="AP489" s="619"/>
      <c r="AQ489" s="619"/>
      <c r="AR489" s="619"/>
      <c r="AS489" s="619"/>
      <c r="AT489" s="619"/>
      <c r="AU489" s="619"/>
      <c r="AV489" s="619"/>
      <c r="AW489" s="619"/>
      <c r="AX489" s="619"/>
      <c r="AY489" s="619"/>
      <c r="AZ489" s="619"/>
      <c r="BA489" s="619"/>
      <c r="BB489" s="619"/>
      <c r="BC489" s="619"/>
      <c r="BD489" s="619"/>
      <c r="BE489" s="619"/>
      <c r="BF489" s="619"/>
      <c r="BG489" s="619"/>
      <c r="BH489" s="619"/>
      <c r="BI489" s="619"/>
      <c r="BJ489" s="619"/>
      <c r="BK489" s="619"/>
      <c r="BL489" s="619"/>
      <c r="BM489" s="619"/>
      <c r="BN489" s="619"/>
      <c r="BO489" s="619"/>
      <c r="BP489" s="619"/>
      <c r="BQ489" s="619"/>
      <c r="BR489" s="619"/>
      <c r="BS489" s="619"/>
      <c r="BT489" s="619"/>
      <c r="BU489" s="619"/>
      <c r="BV489" s="619"/>
      <c r="BW489" s="619"/>
      <c r="BX489" s="619"/>
      <c r="BY489" s="619"/>
      <c r="BZ489" s="619"/>
      <c r="CA489" s="619"/>
      <c r="CB489" s="619"/>
      <c r="CC489" s="619"/>
      <c r="CD489" s="620"/>
      <c r="CE489" s="18"/>
    </row>
    <row r="490" spans="1:83" s="9" customFormat="1" ht="12.75" customHeight="1" x14ac:dyDescent="0.15">
      <c r="A490" s="16"/>
      <c r="B490" s="8"/>
      <c r="E490" s="41"/>
      <c r="F490" s="12"/>
      <c r="G490" s="12"/>
      <c r="H490" s="12"/>
      <c r="I490" s="12"/>
      <c r="J490" s="12"/>
      <c r="K490" s="12"/>
      <c r="L490" s="12"/>
      <c r="M490" s="12"/>
      <c r="N490" s="12"/>
      <c r="O490" s="12"/>
      <c r="P490" s="12"/>
      <c r="Q490" s="12"/>
      <c r="R490" s="12"/>
      <c r="S490" s="12"/>
      <c r="T490" s="12"/>
      <c r="U490" s="31"/>
      <c r="V490" s="41"/>
      <c r="W490" s="12"/>
      <c r="X490" s="12"/>
      <c r="Y490" s="12"/>
      <c r="Z490" s="12"/>
      <c r="AA490" s="12"/>
      <c r="AB490" s="31"/>
      <c r="AC490" s="618"/>
      <c r="AD490" s="619"/>
      <c r="AE490" s="619"/>
      <c r="AF490" s="619"/>
      <c r="AG490" s="619"/>
      <c r="AH490" s="619"/>
      <c r="AI490" s="619"/>
      <c r="AJ490" s="619"/>
      <c r="AK490" s="619"/>
      <c r="AL490" s="619"/>
      <c r="AM490" s="619"/>
      <c r="AN490" s="619"/>
      <c r="AO490" s="619"/>
      <c r="AP490" s="619"/>
      <c r="AQ490" s="619"/>
      <c r="AR490" s="619"/>
      <c r="AS490" s="619"/>
      <c r="AT490" s="619"/>
      <c r="AU490" s="619"/>
      <c r="AV490" s="619"/>
      <c r="AW490" s="619"/>
      <c r="AX490" s="619"/>
      <c r="AY490" s="619"/>
      <c r="AZ490" s="619"/>
      <c r="BA490" s="619"/>
      <c r="BB490" s="619"/>
      <c r="BC490" s="619"/>
      <c r="BD490" s="619"/>
      <c r="BE490" s="619"/>
      <c r="BF490" s="619"/>
      <c r="BG490" s="619"/>
      <c r="BH490" s="619"/>
      <c r="BI490" s="619"/>
      <c r="BJ490" s="619"/>
      <c r="BK490" s="619"/>
      <c r="BL490" s="619"/>
      <c r="BM490" s="619"/>
      <c r="BN490" s="619"/>
      <c r="BO490" s="619"/>
      <c r="BP490" s="619"/>
      <c r="BQ490" s="619"/>
      <c r="BR490" s="619"/>
      <c r="BS490" s="619"/>
      <c r="BT490" s="619"/>
      <c r="BU490" s="619"/>
      <c r="BV490" s="619"/>
      <c r="BW490" s="619"/>
      <c r="BX490" s="619"/>
      <c r="BY490" s="619"/>
      <c r="BZ490" s="619"/>
      <c r="CA490" s="619"/>
      <c r="CB490" s="619"/>
      <c r="CC490" s="619"/>
      <c r="CD490" s="620"/>
      <c r="CE490" s="18"/>
    </row>
    <row r="491" spans="1:83" s="9" customFormat="1" ht="12.75" customHeight="1" x14ac:dyDescent="0.15">
      <c r="A491" s="16"/>
      <c r="B491" s="8"/>
      <c r="E491" s="41"/>
      <c r="F491" s="12"/>
      <c r="G491" s="12"/>
      <c r="H491" s="12"/>
      <c r="I491" s="12"/>
      <c r="J491" s="12"/>
      <c r="K491" s="12"/>
      <c r="L491" s="12"/>
      <c r="M491" s="12"/>
      <c r="N491" s="12"/>
      <c r="O491" s="12"/>
      <c r="P491" s="12"/>
      <c r="Q491" s="12"/>
      <c r="R491" s="12"/>
      <c r="S491" s="12"/>
      <c r="T491" s="12"/>
      <c r="U491" s="31"/>
      <c r="V491" s="41"/>
      <c r="W491" s="12"/>
      <c r="X491" s="12"/>
      <c r="Y491" s="12"/>
      <c r="Z491" s="12"/>
      <c r="AA491" s="12"/>
      <c r="AB491" s="31"/>
      <c r="AC491" s="618" t="s">
        <v>658</v>
      </c>
      <c r="AD491" s="619"/>
      <c r="AE491" s="619"/>
      <c r="AF491" s="619"/>
      <c r="AG491" s="619"/>
      <c r="AH491" s="619"/>
      <c r="AI491" s="619"/>
      <c r="AJ491" s="619"/>
      <c r="AK491" s="619"/>
      <c r="AL491" s="619"/>
      <c r="AM491" s="619"/>
      <c r="AN491" s="619"/>
      <c r="AO491" s="619"/>
      <c r="AP491" s="619"/>
      <c r="AQ491" s="619"/>
      <c r="AR491" s="619"/>
      <c r="AS491" s="619"/>
      <c r="AT491" s="619"/>
      <c r="AU491" s="619"/>
      <c r="AV491" s="619"/>
      <c r="AW491" s="619"/>
      <c r="AX491" s="619"/>
      <c r="AY491" s="619"/>
      <c r="AZ491" s="619"/>
      <c r="BA491" s="619"/>
      <c r="BB491" s="619"/>
      <c r="BC491" s="619"/>
      <c r="BD491" s="619"/>
      <c r="BE491" s="619"/>
      <c r="BF491" s="619"/>
      <c r="BG491" s="619"/>
      <c r="BH491" s="619"/>
      <c r="BI491" s="619"/>
      <c r="BJ491" s="619"/>
      <c r="BK491" s="619"/>
      <c r="BL491" s="619"/>
      <c r="BM491" s="619"/>
      <c r="BN491" s="619"/>
      <c r="BO491" s="619"/>
      <c r="BP491" s="619"/>
      <c r="BQ491" s="619"/>
      <c r="BR491" s="619"/>
      <c r="BS491" s="619"/>
      <c r="BT491" s="619"/>
      <c r="BU491" s="619"/>
      <c r="BV491" s="619"/>
      <c r="BW491" s="619"/>
      <c r="BX491" s="619"/>
      <c r="BY491" s="619"/>
      <c r="BZ491" s="619"/>
      <c r="CA491" s="619"/>
      <c r="CB491" s="619"/>
      <c r="CC491" s="619"/>
      <c r="CD491" s="620"/>
      <c r="CE491" s="18"/>
    </row>
    <row r="492" spans="1:83" s="9" customFormat="1" ht="12.75" customHeight="1" x14ac:dyDescent="0.15">
      <c r="A492" s="16"/>
      <c r="B492" s="8"/>
      <c r="E492" s="41"/>
      <c r="F492" s="12"/>
      <c r="G492" s="12"/>
      <c r="H492" s="12"/>
      <c r="I492" s="12"/>
      <c r="J492" s="12"/>
      <c r="K492" s="12"/>
      <c r="L492" s="12"/>
      <c r="M492" s="12"/>
      <c r="N492" s="12"/>
      <c r="O492" s="12"/>
      <c r="P492" s="12"/>
      <c r="Q492" s="12"/>
      <c r="R492" s="12"/>
      <c r="S492" s="12"/>
      <c r="T492" s="12"/>
      <c r="U492" s="31"/>
      <c r="V492" s="41"/>
      <c r="W492" s="12"/>
      <c r="X492" s="12"/>
      <c r="Y492" s="12"/>
      <c r="Z492" s="12"/>
      <c r="AA492" s="12"/>
      <c r="AB492" s="31"/>
      <c r="AC492" s="618"/>
      <c r="AD492" s="619"/>
      <c r="AE492" s="619"/>
      <c r="AF492" s="619"/>
      <c r="AG492" s="619"/>
      <c r="AH492" s="619"/>
      <c r="AI492" s="619"/>
      <c r="AJ492" s="619"/>
      <c r="AK492" s="619"/>
      <c r="AL492" s="619"/>
      <c r="AM492" s="619"/>
      <c r="AN492" s="619"/>
      <c r="AO492" s="619"/>
      <c r="AP492" s="619"/>
      <c r="AQ492" s="619"/>
      <c r="AR492" s="619"/>
      <c r="AS492" s="619"/>
      <c r="AT492" s="619"/>
      <c r="AU492" s="619"/>
      <c r="AV492" s="619"/>
      <c r="AW492" s="619"/>
      <c r="AX492" s="619"/>
      <c r="AY492" s="619"/>
      <c r="AZ492" s="619"/>
      <c r="BA492" s="619"/>
      <c r="BB492" s="619"/>
      <c r="BC492" s="619"/>
      <c r="BD492" s="619"/>
      <c r="BE492" s="619"/>
      <c r="BF492" s="619"/>
      <c r="BG492" s="619"/>
      <c r="BH492" s="619"/>
      <c r="BI492" s="619"/>
      <c r="BJ492" s="619"/>
      <c r="BK492" s="619"/>
      <c r="BL492" s="619"/>
      <c r="BM492" s="619"/>
      <c r="BN492" s="619"/>
      <c r="BO492" s="619"/>
      <c r="BP492" s="619"/>
      <c r="BQ492" s="619"/>
      <c r="BR492" s="619"/>
      <c r="BS492" s="619"/>
      <c r="BT492" s="619"/>
      <c r="BU492" s="619"/>
      <c r="BV492" s="619"/>
      <c r="BW492" s="619"/>
      <c r="BX492" s="619"/>
      <c r="BY492" s="619"/>
      <c r="BZ492" s="619"/>
      <c r="CA492" s="619"/>
      <c r="CB492" s="619"/>
      <c r="CC492" s="619"/>
      <c r="CD492" s="620"/>
      <c r="CE492" s="18"/>
    </row>
    <row r="493" spans="1:83" s="9" customFormat="1" ht="12.75" customHeight="1" x14ac:dyDescent="0.15">
      <c r="A493" s="16"/>
      <c r="B493" s="8"/>
      <c r="E493" s="41"/>
      <c r="F493" s="12"/>
      <c r="G493" s="12"/>
      <c r="H493" s="12"/>
      <c r="I493" s="12"/>
      <c r="J493" s="12"/>
      <c r="K493" s="12"/>
      <c r="L493" s="12"/>
      <c r="M493" s="12"/>
      <c r="N493" s="12"/>
      <c r="O493" s="12"/>
      <c r="P493" s="12"/>
      <c r="Q493" s="12"/>
      <c r="R493" s="12"/>
      <c r="S493" s="12"/>
      <c r="T493" s="12"/>
      <c r="U493" s="31"/>
      <c r="V493" s="41"/>
      <c r="W493" s="12"/>
      <c r="X493" s="12"/>
      <c r="Y493" s="12"/>
      <c r="Z493" s="12"/>
      <c r="AA493" s="12"/>
      <c r="AB493" s="31"/>
      <c r="AC493" s="618"/>
      <c r="AD493" s="619"/>
      <c r="AE493" s="619"/>
      <c r="AF493" s="619"/>
      <c r="AG493" s="619"/>
      <c r="AH493" s="619"/>
      <c r="AI493" s="619"/>
      <c r="AJ493" s="619"/>
      <c r="AK493" s="619"/>
      <c r="AL493" s="619"/>
      <c r="AM493" s="619"/>
      <c r="AN493" s="619"/>
      <c r="AO493" s="619"/>
      <c r="AP493" s="619"/>
      <c r="AQ493" s="619"/>
      <c r="AR493" s="619"/>
      <c r="AS493" s="619"/>
      <c r="AT493" s="619"/>
      <c r="AU493" s="619"/>
      <c r="AV493" s="619"/>
      <c r="AW493" s="619"/>
      <c r="AX493" s="619"/>
      <c r="AY493" s="619"/>
      <c r="AZ493" s="619"/>
      <c r="BA493" s="619"/>
      <c r="BB493" s="619"/>
      <c r="BC493" s="619"/>
      <c r="BD493" s="619"/>
      <c r="BE493" s="619"/>
      <c r="BF493" s="619"/>
      <c r="BG493" s="619"/>
      <c r="BH493" s="619"/>
      <c r="BI493" s="619"/>
      <c r="BJ493" s="619"/>
      <c r="BK493" s="619"/>
      <c r="BL493" s="619"/>
      <c r="BM493" s="619"/>
      <c r="BN493" s="619"/>
      <c r="BO493" s="619"/>
      <c r="BP493" s="619"/>
      <c r="BQ493" s="619"/>
      <c r="BR493" s="619"/>
      <c r="BS493" s="619"/>
      <c r="BT493" s="619"/>
      <c r="BU493" s="619"/>
      <c r="BV493" s="619"/>
      <c r="BW493" s="619"/>
      <c r="BX493" s="619"/>
      <c r="BY493" s="619"/>
      <c r="BZ493" s="619"/>
      <c r="CA493" s="619"/>
      <c r="CB493" s="619"/>
      <c r="CC493" s="619"/>
      <c r="CD493" s="620"/>
      <c r="CE493" s="18"/>
    </row>
    <row r="494" spans="1:83" s="9" customFormat="1" ht="12.75" customHeight="1" x14ac:dyDescent="0.15">
      <c r="A494" s="16"/>
      <c r="B494" s="8"/>
      <c r="E494" s="41"/>
      <c r="F494" s="12"/>
      <c r="G494" s="12"/>
      <c r="H494" s="12"/>
      <c r="I494" s="12"/>
      <c r="J494" s="12"/>
      <c r="K494" s="12"/>
      <c r="L494" s="12"/>
      <c r="M494" s="12"/>
      <c r="N494" s="12"/>
      <c r="O494" s="12"/>
      <c r="P494" s="12"/>
      <c r="Q494" s="12"/>
      <c r="R494" s="12"/>
      <c r="S494" s="12"/>
      <c r="T494" s="12"/>
      <c r="U494" s="31"/>
      <c r="V494" s="41"/>
      <c r="W494" s="12"/>
      <c r="X494" s="12"/>
      <c r="Y494" s="12"/>
      <c r="Z494" s="12"/>
      <c r="AA494" s="12"/>
      <c r="AB494" s="31"/>
      <c r="AC494" s="618"/>
      <c r="AD494" s="619"/>
      <c r="AE494" s="619"/>
      <c r="AF494" s="619"/>
      <c r="AG494" s="619"/>
      <c r="AH494" s="619"/>
      <c r="AI494" s="619"/>
      <c r="AJ494" s="619"/>
      <c r="AK494" s="619"/>
      <c r="AL494" s="619"/>
      <c r="AM494" s="619"/>
      <c r="AN494" s="619"/>
      <c r="AO494" s="619"/>
      <c r="AP494" s="619"/>
      <c r="AQ494" s="619"/>
      <c r="AR494" s="619"/>
      <c r="AS494" s="619"/>
      <c r="AT494" s="619"/>
      <c r="AU494" s="619"/>
      <c r="AV494" s="619"/>
      <c r="AW494" s="619"/>
      <c r="AX494" s="619"/>
      <c r="AY494" s="619"/>
      <c r="AZ494" s="619"/>
      <c r="BA494" s="619"/>
      <c r="BB494" s="619"/>
      <c r="BC494" s="619"/>
      <c r="BD494" s="619"/>
      <c r="BE494" s="619"/>
      <c r="BF494" s="619"/>
      <c r="BG494" s="619"/>
      <c r="BH494" s="619"/>
      <c r="BI494" s="619"/>
      <c r="BJ494" s="619"/>
      <c r="BK494" s="619"/>
      <c r="BL494" s="619"/>
      <c r="BM494" s="619"/>
      <c r="BN494" s="619"/>
      <c r="BO494" s="619"/>
      <c r="BP494" s="619"/>
      <c r="BQ494" s="619"/>
      <c r="BR494" s="619"/>
      <c r="BS494" s="619"/>
      <c r="BT494" s="619"/>
      <c r="BU494" s="619"/>
      <c r="BV494" s="619"/>
      <c r="BW494" s="619"/>
      <c r="BX494" s="619"/>
      <c r="BY494" s="619"/>
      <c r="BZ494" s="619"/>
      <c r="CA494" s="619"/>
      <c r="CB494" s="619"/>
      <c r="CC494" s="619"/>
      <c r="CD494" s="620"/>
      <c r="CE494" s="18"/>
    </row>
    <row r="495" spans="1:83" s="9" customFormat="1" ht="12.75" customHeight="1" x14ac:dyDescent="0.15">
      <c r="A495" s="16"/>
      <c r="B495" s="8"/>
      <c r="E495" s="41"/>
      <c r="F495" s="12"/>
      <c r="G495" s="12"/>
      <c r="H495" s="12"/>
      <c r="I495" s="12"/>
      <c r="J495" s="12"/>
      <c r="K495" s="12"/>
      <c r="L495" s="12"/>
      <c r="M495" s="12"/>
      <c r="N495" s="12"/>
      <c r="O495" s="12"/>
      <c r="P495" s="12"/>
      <c r="Q495" s="12"/>
      <c r="R495" s="12"/>
      <c r="S495" s="12"/>
      <c r="T495" s="12"/>
      <c r="U495" s="31"/>
      <c r="V495" s="41"/>
      <c r="W495" s="12"/>
      <c r="X495" s="12"/>
      <c r="Y495" s="12"/>
      <c r="Z495" s="12"/>
      <c r="AA495" s="12"/>
      <c r="AB495" s="31"/>
      <c r="AC495" s="618" t="s">
        <v>656</v>
      </c>
      <c r="AD495" s="621"/>
      <c r="AE495" s="621"/>
      <c r="AF495" s="621"/>
      <c r="AG495" s="621"/>
      <c r="AH495" s="621"/>
      <c r="AI495" s="621"/>
      <c r="AJ495" s="621"/>
      <c r="AK495" s="621"/>
      <c r="AL495" s="621"/>
      <c r="AM495" s="621"/>
      <c r="AN495" s="621"/>
      <c r="AO495" s="621"/>
      <c r="AP495" s="621"/>
      <c r="AQ495" s="621"/>
      <c r="AR495" s="621"/>
      <c r="AS495" s="621"/>
      <c r="AT495" s="621"/>
      <c r="AU495" s="621"/>
      <c r="AV495" s="621"/>
      <c r="AW495" s="621"/>
      <c r="AX495" s="621"/>
      <c r="AY495" s="621"/>
      <c r="AZ495" s="621"/>
      <c r="BA495" s="621"/>
      <c r="BB495" s="621"/>
      <c r="BC495" s="621"/>
      <c r="BD495" s="621"/>
      <c r="BE495" s="621"/>
      <c r="BF495" s="621"/>
      <c r="BG495" s="621"/>
      <c r="BH495" s="621"/>
      <c r="BI495" s="621"/>
      <c r="BJ495" s="621"/>
      <c r="BK495" s="621"/>
      <c r="BL495" s="621"/>
      <c r="BM495" s="621"/>
      <c r="BN495" s="621"/>
      <c r="BO495" s="621"/>
      <c r="BP495" s="621"/>
      <c r="BQ495" s="621"/>
      <c r="BR495" s="621"/>
      <c r="BS495" s="621"/>
      <c r="BT495" s="621"/>
      <c r="BU495" s="621"/>
      <c r="BV495" s="621"/>
      <c r="BW495" s="621"/>
      <c r="BX495" s="621"/>
      <c r="BY495" s="621"/>
      <c r="BZ495" s="621"/>
      <c r="CA495" s="621"/>
      <c r="CB495" s="621"/>
      <c r="CC495" s="621"/>
      <c r="CD495" s="622"/>
      <c r="CE495" s="18"/>
    </row>
    <row r="496" spans="1:83" s="9" customFormat="1" ht="12.75" customHeight="1" x14ac:dyDescent="0.15">
      <c r="A496" s="16"/>
      <c r="B496" s="8"/>
      <c r="E496" s="41"/>
      <c r="F496" s="12"/>
      <c r="G496" s="12"/>
      <c r="H496" s="12"/>
      <c r="I496" s="12"/>
      <c r="J496" s="12"/>
      <c r="K496" s="12"/>
      <c r="L496" s="12"/>
      <c r="M496" s="12"/>
      <c r="N496" s="12"/>
      <c r="O496" s="12"/>
      <c r="P496" s="12"/>
      <c r="Q496" s="12"/>
      <c r="R496" s="12"/>
      <c r="S496" s="12"/>
      <c r="T496" s="12"/>
      <c r="U496" s="31"/>
      <c r="V496" s="41"/>
      <c r="W496" s="12"/>
      <c r="X496" s="12"/>
      <c r="Y496" s="12"/>
      <c r="Z496" s="12"/>
      <c r="AA496" s="12"/>
      <c r="AB496" s="31"/>
      <c r="AC496" s="618"/>
      <c r="AD496" s="621"/>
      <c r="AE496" s="621"/>
      <c r="AF496" s="621"/>
      <c r="AG496" s="621"/>
      <c r="AH496" s="621"/>
      <c r="AI496" s="621"/>
      <c r="AJ496" s="621"/>
      <c r="AK496" s="621"/>
      <c r="AL496" s="621"/>
      <c r="AM496" s="621"/>
      <c r="AN496" s="621"/>
      <c r="AO496" s="621"/>
      <c r="AP496" s="621"/>
      <c r="AQ496" s="621"/>
      <c r="AR496" s="621"/>
      <c r="AS496" s="621"/>
      <c r="AT496" s="621"/>
      <c r="AU496" s="621"/>
      <c r="AV496" s="621"/>
      <c r="AW496" s="621"/>
      <c r="AX496" s="621"/>
      <c r="AY496" s="621"/>
      <c r="AZ496" s="621"/>
      <c r="BA496" s="621"/>
      <c r="BB496" s="621"/>
      <c r="BC496" s="621"/>
      <c r="BD496" s="621"/>
      <c r="BE496" s="621"/>
      <c r="BF496" s="621"/>
      <c r="BG496" s="621"/>
      <c r="BH496" s="621"/>
      <c r="BI496" s="621"/>
      <c r="BJ496" s="621"/>
      <c r="BK496" s="621"/>
      <c r="BL496" s="621"/>
      <c r="BM496" s="621"/>
      <c r="BN496" s="621"/>
      <c r="BO496" s="621"/>
      <c r="BP496" s="621"/>
      <c r="BQ496" s="621"/>
      <c r="BR496" s="621"/>
      <c r="BS496" s="621"/>
      <c r="BT496" s="621"/>
      <c r="BU496" s="621"/>
      <c r="BV496" s="621"/>
      <c r="BW496" s="621"/>
      <c r="BX496" s="621"/>
      <c r="BY496" s="621"/>
      <c r="BZ496" s="621"/>
      <c r="CA496" s="621"/>
      <c r="CB496" s="621"/>
      <c r="CC496" s="621"/>
      <c r="CD496" s="622"/>
      <c r="CE496" s="18"/>
    </row>
    <row r="497" spans="1:83" s="9" customFormat="1" ht="12.75" customHeight="1" x14ac:dyDescent="0.15">
      <c r="A497" s="16"/>
      <c r="B497" s="8"/>
      <c r="E497" s="41"/>
      <c r="F497" s="12"/>
      <c r="G497" s="12"/>
      <c r="H497" s="12"/>
      <c r="I497" s="12"/>
      <c r="J497" s="12"/>
      <c r="K497" s="12"/>
      <c r="L497" s="12"/>
      <c r="M497" s="12"/>
      <c r="N497" s="12"/>
      <c r="O497" s="12"/>
      <c r="P497" s="12"/>
      <c r="Q497" s="12"/>
      <c r="R497" s="12"/>
      <c r="S497" s="12"/>
      <c r="T497" s="12"/>
      <c r="U497" s="31"/>
      <c r="V497" s="41"/>
      <c r="W497" s="12"/>
      <c r="X497" s="12"/>
      <c r="Y497" s="12"/>
      <c r="Z497" s="12"/>
      <c r="AA497" s="12"/>
      <c r="AB497" s="31"/>
      <c r="AC497" s="623"/>
      <c r="AD497" s="621"/>
      <c r="AE497" s="621"/>
      <c r="AF497" s="621"/>
      <c r="AG497" s="621"/>
      <c r="AH497" s="621"/>
      <c r="AI497" s="621"/>
      <c r="AJ497" s="621"/>
      <c r="AK497" s="621"/>
      <c r="AL497" s="621"/>
      <c r="AM497" s="621"/>
      <c r="AN497" s="621"/>
      <c r="AO497" s="621"/>
      <c r="AP497" s="621"/>
      <c r="AQ497" s="621"/>
      <c r="AR497" s="621"/>
      <c r="AS497" s="621"/>
      <c r="AT497" s="621"/>
      <c r="AU497" s="621"/>
      <c r="AV497" s="621"/>
      <c r="AW497" s="621"/>
      <c r="AX497" s="621"/>
      <c r="AY497" s="621"/>
      <c r="AZ497" s="621"/>
      <c r="BA497" s="621"/>
      <c r="BB497" s="621"/>
      <c r="BC497" s="621"/>
      <c r="BD497" s="621"/>
      <c r="BE497" s="621"/>
      <c r="BF497" s="621"/>
      <c r="BG497" s="621"/>
      <c r="BH497" s="621"/>
      <c r="BI497" s="621"/>
      <c r="BJ497" s="621"/>
      <c r="BK497" s="621"/>
      <c r="BL497" s="621"/>
      <c r="BM497" s="621"/>
      <c r="BN497" s="621"/>
      <c r="BO497" s="621"/>
      <c r="BP497" s="621"/>
      <c r="BQ497" s="621"/>
      <c r="BR497" s="621"/>
      <c r="BS497" s="621"/>
      <c r="BT497" s="621"/>
      <c r="BU497" s="621"/>
      <c r="BV497" s="621"/>
      <c r="BW497" s="621"/>
      <c r="BX497" s="621"/>
      <c r="BY497" s="621"/>
      <c r="BZ497" s="621"/>
      <c r="CA497" s="621"/>
      <c r="CB497" s="621"/>
      <c r="CC497" s="621"/>
      <c r="CD497" s="622"/>
      <c r="CE497" s="18"/>
    </row>
    <row r="498" spans="1:83" s="9" customFormat="1" ht="12.75" customHeight="1" x14ac:dyDescent="0.15">
      <c r="A498" s="16"/>
      <c r="B498" s="8"/>
      <c r="E498" s="41"/>
      <c r="F498" s="12"/>
      <c r="G498" s="12"/>
      <c r="H498" s="12"/>
      <c r="I498" s="12"/>
      <c r="J498" s="12"/>
      <c r="K498" s="12"/>
      <c r="L498" s="12"/>
      <c r="M498" s="12"/>
      <c r="N498" s="12"/>
      <c r="O498" s="12"/>
      <c r="P498" s="12"/>
      <c r="Q498" s="12"/>
      <c r="R498" s="12"/>
      <c r="S498" s="12"/>
      <c r="T498" s="12"/>
      <c r="U498" s="31"/>
      <c r="V498" s="41"/>
      <c r="W498" s="12"/>
      <c r="X498" s="12"/>
      <c r="Y498" s="12"/>
      <c r="Z498" s="12"/>
      <c r="AA498" s="12"/>
      <c r="AB498" s="31"/>
      <c r="AC498" s="618" t="s">
        <v>659</v>
      </c>
      <c r="AD498" s="621"/>
      <c r="AE498" s="621"/>
      <c r="AF498" s="621"/>
      <c r="AG498" s="621"/>
      <c r="AH498" s="621"/>
      <c r="AI498" s="621"/>
      <c r="AJ498" s="621"/>
      <c r="AK498" s="621"/>
      <c r="AL498" s="621"/>
      <c r="AM498" s="621"/>
      <c r="AN498" s="621"/>
      <c r="AO498" s="621"/>
      <c r="AP498" s="621"/>
      <c r="AQ498" s="621"/>
      <c r="AR498" s="621"/>
      <c r="AS498" s="621"/>
      <c r="AT498" s="621"/>
      <c r="AU498" s="621"/>
      <c r="AV498" s="621"/>
      <c r="AW498" s="621"/>
      <c r="AX498" s="621"/>
      <c r="AY498" s="621"/>
      <c r="AZ498" s="621"/>
      <c r="BA498" s="621"/>
      <c r="BB498" s="621"/>
      <c r="BC498" s="621"/>
      <c r="BD498" s="621"/>
      <c r="BE498" s="621"/>
      <c r="BF498" s="621"/>
      <c r="BG498" s="621"/>
      <c r="BH498" s="621"/>
      <c r="BI498" s="621"/>
      <c r="BJ498" s="621"/>
      <c r="BK498" s="621"/>
      <c r="BL498" s="621"/>
      <c r="BM498" s="621"/>
      <c r="BN498" s="621"/>
      <c r="BO498" s="621"/>
      <c r="BP498" s="621"/>
      <c r="BQ498" s="621"/>
      <c r="BR498" s="621"/>
      <c r="BS498" s="621"/>
      <c r="BT498" s="621"/>
      <c r="BU498" s="621"/>
      <c r="BV498" s="621"/>
      <c r="BW498" s="621"/>
      <c r="BX498" s="621"/>
      <c r="BY498" s="621"/>
      <c r="BZ498" s="621"/>
      <c r="CA498" s="621"/>
      <c r="CB498" s="621"/>
      <c r="CC498" s="621"/>
      <c r="CD498" s="622"/>
      <c r="CE498" s="18"/>
    </row>
    <row r="499" spans="1:83" s="9" customFormat="1" ht="12.75" customHeight="1" x14ac:dyDescent="0.15">
      <c r="A499" s="16"/>
      <c r="B499" s="8"/>
      <c r="E499" s="41"/>
      <c r="F499" s="12"/>
      <c r="G499" s="12"/>
      <c r="H499" s="12"/>
      <c r="I499" s="12"/>
      <c r="J499" s="12"/>
      <c r="K499" s="12"/>
      <c r="L499" s="12"/>
      <c r="M499" s="12"/>
      <c r="N499" s="12"/>
      <c r="O499" s="12"/>
      <c r="P499" s="12"/>
      <c r="Q499" s="12"/>
      <c r="R499" s="12"/>
      <c r="S499" s="12"/>
      <c r="T499" s="12"/>
      <c r="U499" s="31"/>
      <c r="V499" s="41"/>
      <c r="W499" s="12"/>
      <c r="X499" s="12"/>
      <c r="Y499" s="12"/>
      <c r="Z499" s="12"/>
      <c r="AA499" s="12"/>
      <c r="AB499" s="31"/>
      <c r="AC499" s="618"/>
      <c r="AD499" s="621"/>
      <c r="AE499" s="621"/>
      <c r="AF499" s="621"/>
      <c r="AG499" s="621"/>
      <c r="AH499" s="621"/>
      <c r="AI499" s="621"/>
      <c r="AJ499" s="621"/>
      <c r="AK499" s="621"/>
      <c r="AL499" s="621"/>
      <c r="AM499" s="621"/>
      <c r="AN499" s="621"/>
      <c r="AO499" s="621"/>
      <c r="AP499" s="621"/>
      <c r="AQ499" s="621"/>
      <c r="AR499" s="621"/>
      <c r="AS499" s="621"/>
      <c r="AT499" s="621"/>
      <c r="AU499" s="621"/>
      <c r="AV499" s="621"/>
      <c r="AW499" s="621"/>
      <c r="AX499" s="621"/>
      <c r="AY499" s="621"/>
      <c r="AZ499" s="621"/>
      <c r="BA499" s="621"/>
      <c r="BB499" s="621"/>
      <c r="BC499" s="621"/>
      <c r="BD499" s="621"/>
      <c r="BE499" s="621"/>
      <c r="BF499" s="621"/>
      <c r="BG499" s="621"/>
      <c r="BH499" s="621"/>
      <c r="BI499" s="621"/>
      <c r="BJ499" s="621"/>
      <c r="BK499" s="621"/>
      <c r="BL499" s="621"/>
      <c r="BM499" s="621"/>
      <c r="BN499" s="621"/>
      <c r="BO499" s="621"/>
      <c r="BP499" s="621"/>
      <c r="BQ499" s="621"/>
      <c r="BR499" s="621"/>
      <c r="BS499" s="621"/>
      <c r="BT499" s="621"/>
      <c r="BU499" s="621"/>
      <c r="BV499" s="621"/>
      <c r="BW499" s="621"/>
      <c r="BX499" s="621"/>
      <c r="BY499" s="621"/>
      <c r="BZ499" s="621"/>
      <c r="CA499" s="621"/>
      <c r="CB499" s="621"/>
      <c r="CC499" s="621"/>
      <c r="CD499" s="622"/>
      <c r="CE499" s="18"/>
    </row>
    <row r="500" spans="1:83" s="9" customFormat="1" ht="12.75" customHeight="1" x14ac:dyDescent="0.15">
      <c r="A500" s="16"/>
      <c r="B500" s="8"/>
      <c r="E500" s="41"/>
      <c r="F500" s="12"/>
      <c r="G500" s="12"/>
      <c r="H500" s="12"/>
      <c r="I500" s="12"/>
      <c r="J500" s="12"/>
      <c r="K500" s="12"/>
      <c r="L500" s="12"/>
      <c r="M500" s="12"/>
      <c r="N500" s="12"/>
      <c r="O500" s="12"/>
      <c r="P500" s="12"/>
      <c r="Q500" s="12"/>
      <c r="R500" s="12"/>
      <c r="S500" s="12"/>
      <c r="T500" s="12"/>
      <c r="U500" s="31"/>
      <c r="V500" s="41"/>
      <c r="W500" s="12"/>
      <c r="X500" s="12"/>
      <c r="Y500" s="12"/>
      <c r="Z500" s="12"/>
      <c r="AA500" s="12"/>
      <c r="AB500" s="31"/>
      <c r="AC500" s="618"/>
      <c r="AD500" s="621"/>
      <c r="AE500" s="621"/>
      <c r="AF500" s="621"/>
      <c r="AG500" s="621"/>
      <c r="AH500" s="621"/>
      <c r="AI500" s="621"/>
      <c r="AJ500" s="621"/>
      <c r="AK500" s="621"/>
      <c r="AL500" s="621"/>
      <c r="AM500" s="621"/>
      <c r="AN500" s="621"/>
      <c r="AO500" s="621"/>
      <c r="AP500" s="621"/>
      <c r="AQ500" s="621"/>
      <c r="AR500" s="621"/>
      <c r="AS500" s="621"/>
      <c r="AT500" s="621"/>
      <c r="AU500" s="621"/>
      <c r="AV500" s="621"/>
      <c r="AW500" s="621"/>
      <c r="AX500" s="621"/>
      <c r="AY500" s="621"/>
      <c r="AZ500" s="621"/>
      <c r="BA500" s="621"/>
      <c r="BB500" s="621"/>
      <c r="BC500" s="621"/>
      <c r="BD500" s="621"/>
      <c r="BE500" s="621"/>
      <c r="BF500" s="621"/>
      <c r="BG500" s="621"/>
      <c r="BH500" s="621"/>
      <c r="BI500" s="621"/>
      <c r="BJ500" s="621"/>
      <c r="BK500" s="621"/>
      <c r="BL500" s="621"/>
      <c r="BM500" s="621"/>
      <c r="BN500" s="621"/>
      <c r="BO500" s="621"/>
      <c r="BP500" s="621"/>
      <c r="BQ500" s="621"/>
      <c r="BR500" s="621"/>
      <c r="BS500" s="621"/>
      <c r="BT500" s="621"/>
      <c r="BU500" s="621"/>
      <c r="BV500" s="621"/>
      <c r="BW500" s="621"/>
      <c r="BX500" s="621"/>
      <c r="BY500" s="621"/>
      <c r="BZ500" s="621"/>
      <c r="CA500" s="621"/>
      <c r="CB500" s="621"/>
      <c r="CC500" s="621"/>
      <c r="CD500" s="622"/>
      <c r="CE500" s="18"/>
    </row>
    <row r="501" spans="1:83" s="9" customFormat="1" ht="12.75" customHeight="1" x14ac:dyDescent="0.15">
      <c r="A501" s="16"/>
      <c r="B501" s="8"/>
      <c r="E501" s="40"/>
      <c r="F501" s="32"/>
      <c r="G501" s="32"/>
      <c r="H501" s="32"/>
      <c r="I501" s="32"/>
      <c r="J501" s="32"/>
      <c r="K501" s="32"/>
      <c r="L501" s="32"/>
      <c r="M501" s="32"/>
      <c r="N501" s="32"/>
      <c r="O501" s="32"/>
      <c r="P501" s="32"/>
      <c r="Q501" s="32"/>
      <c r="R501" s="32"/>
      <c r="S501" s="32"/>
      <c r="T501" s="32"/>
      <c r="U501" s="33"/>
      <c r="V501" s="40"/>
      <c r="W501" s="32"/>
      <c r="X501" s="32"/>
      <c r="Y501" s="32"/>
      <c r="Z501" s="32"/>
      <c r="AA501" s="32"/>
      <c r="AB501" s="33"/>
      <c r="AC501" s="658"/>
      <c r="AD501" s="659"/>
      <c r="AE501" s="659"/>
      <c r="AF501" s="659"/>
      <c r="AG501" s="659"/>
      <c r="AH501" s="659"/>
      <c r="AI501" s="659"/>
      <c r="AJ501" s="659"/>
      <c r="AK501" s="659"/>
      <c r="AL501" s="659"/>
      <c r="AM501" s="659"/>
      <c r="AN501" s="659"/>
      <c r="AO501" s="659"/>
      <c r="AP501" s="659"/>
      <c r="AQ501" s="659"/>
      <c r="AR501" s="659"/>
      <c r="AS501" s="659"/>
      <c r="AT501" s="659"/>
      <c r="AU501" s="659"/>
      <c r="AV501" s="659"/>
      <c r="AW501" s="659"/>
      <c r="AX501" s="659"/>
      <c r="AY501" s="659"/>
      <c r="AZ501" s="659"/>
      <c r="BA501" s="659"/>
      <c r="BB501" s="659"/>
      <c r="BC501" s="659"/>
      <c r="BD501" s="659"/>
      <c r="BE501" s="659"/>
      <c r="BF501" s="659"/>
      <c r="BG501" s="659"/>
      <c r="BH501" s="659"/>
      <c r="BI501" s="659"/>
      <c r="BJ501" s="659"/>
      <c r="BK501" s="659"/>
      <c r="BL501" s="659"/>
      <c r="BM501" s="659"/>
      <c r="BN501" s="659"/>
      <c r="BO501" s="659"/>
      <c r="BP501" s="659"/>
      <c r="BQ501" s="659"/>
      <c r="BR501" s="659"/>
      <c r="BS501" s="659"/>
      <c r="BT501" s="659"/>
      <c r="BU501" s="659"/>
      <c r="BV501" s="659"/>
      <c r="BW501" s="659"/>
      <c r="BX501" s="659"/>
      <c r="BY501" s="659"/>
      <c r="BZ501" s="659"/>
      <c r="CA501" s="659"/>
      <c r="CB501" s="659"/>
      <c r="CC501" s="659"/>
      <c r="CD501" s="660"/>
      <c r="CE501" s="18"/>
    </row>
    <row r="502" spans="1:83" s="9" customFormat="1" ht="12.75" customHeight="1" x14ac:dyDescent="0.15">
      <c r="A502" s="16"/>
      <c r="B502" s="8"/>
      <c r="E502" s="37" t="s">
        <v>460</v>
      </c>
      <c r="F502" s="38"/>
      <c r="G502" s="38"/>
      <c r="H502" s="38"/>
      <c r="I502" s="38"/>
      <c r="J502" s="38"/>
      <c r="K502" s="38"/>
      <c r="L502" s="38"/>
      <c r="M502" s="38"/>
      <c r="N502" s="38"/>
      <c r="O502" s="38"/>
      <c r="P502" s="38"/>
      <c r="Q502" s="38"/>
      <c r="R502" s="38"/>
      <c r="S502" s="38"/>
      <c r="T502" s="38"/>
      <c r="U502" s="39"/>
      <c r="V502" s="37" t="s">
        <v>544</v>
      </c>
      <c r="W502" s="38"/>
      <c r="X502" s="38"/>
      <c r="Y502" s="38"/>
      <c r="Z502" s="38"/>
      <c r="AA502" s="38"/>
      <c r="AB502" s="39"/>
      <c r="AC502" s="37" t="s">
        <v>556</v>
      </c>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c r="BK502" s="38"/>
      <c r="BL502" s="38"/>
      <c r="BM502" s="38"/>
      <c r="BN502" s="38"/>
      <c r="BO502" s="38"/>
      <c r="BP502" s="38"/>
      <c r="BQ502" s="38"/>
      <c r="BR502" s="38"/>
      <c r="BS502" s="38"/>
      <c r="BT502" s="38"/>
      <c r="BU502" s="38"/>
      <c r="BV502" s="38"/>
      <c r="BW502" s="38"/>
      <c r="BX502" s="38"/>
      <c r="BY502" s="38"/>
      <c r="BZ502" s="38"/>
      <c r="CA502" s="38"/>
      <c r="CB502" s="38"/>
      <c r="CC502" s="38"/>
      <c r="CD502" s="39"/>
      <c r="CE502" s="18"/>
    </row>
    <row r="503" spans="1:83" s="9" customFormat="1" ht="12.75" customHeight="1" x14ac:dyDescent="0.15">
      <c r="A503" s="16"/>
      <c r="B503" s="8"/>
      <c r="E503" s="41"/>
      <c r="F503" s="12"/>
      <c r="G503" s="12"/>
      <c r="H503" s="12"/>
      <c r="I503" s="12"/>
      <c r="J503" s="12"/>
      <c r="K503" s="12"/>
      <c r="L503" s="12"/>
      <c r="M503" s="12"/>
      <c r="N503" s="12"/>
      <c r="O503" s="12"/>
      <c r="P503" s="12"/>
      <c r="Q503" s="12"/>
      <c r="R503" s="12"/>
      <c r="S503" s="12"/>
      <c r="T503" s="12"/>
      <c r="U503" s="31"/>
      <c r="V503" s="41"/>
      <c r="W503" s="12"/>
      <c r="X503" s="12"/>
      <c r="Y503" s="12"/>
      <c r="Z503" s="12"/>
      <c r="AA503" s="12"/>
      <c r="AB503" s="31"/>
      <c r="AC503" s="41"/>
      <c r="AD503" s="12" t="s">
        <v>557</v>
      </c>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31"/>
      <c r="CE503" s="18"/>
    </row>
    <row r="504" spans="1:83" s="9" customFormat="1" ht="12.75" customHeight="1" x14ac:dyDescent="0.15">
      <c r="A504" s="16"/>
      <c r="B504" s="8"/>
      <c r="E504" s="41"/>
      <c r="F504" s="12"/>
      <c r="G504" s="12"/>
      <c r="H504" s="12"/>
      <c r="I504" s="12"/>
      <c r="J504" s="12"/>
      <c r="K504" s="12"/>
      <c r="L504" s="12"/>
      <c r="M504" s="12"/>
      <c r="N504" s="12"/>
      <c r="O504" s="12"/>
      <c r="P504" s="12"/>
      <c r="Q504" s="12"/>
      <c r="R504" s="12"/>
      <c r="S504" s="12"/>
      <c r="T504" s="12"/>
      <c r="U504" s="31"/>
      <c r="V504" s="41"/>
      <c r="W504" s="12"/>
      <c r="X504" s="12"/>
      <c r="Y504" s="12"/>
      <c r="Z504" s="12"/>
      <c r="AA504" s="12"/>
      <c r="AB504" s="31"/>
      <c r="AC504" s="41"/>
      <c r="AD504" s="12" t="s">
        <v>551</v>
      </c>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c r="CA504" s="12"/>
      <c r="CB504" s="12"/>
      <c r="CC504" s="12"/>
      <c r="CD504" s="31"/>
      <c r="CE504" s="18"/>
    </row>
    <row r="505" spans="1:83" s="9" customFormat="1" ht="12.75" customHeight="1" x14ac:dyDescent="0.15">
      <c r="A505" s="16"/>
      <c r="B505" s="8"/>
      <c r="E505" s="41"/>
      <c r="F505" s="12"/>
      <c r="G505" s="12"/>
      <c r="H505" s="12"/>
      <c r="I505" s="12"/>
      <c r="J505" s="12"/>
      <c r="K505" s="12"/>
      <c r="L505" s="12"/>
      <c r="M505" s="12"/>
      <c r="N505" s="12"/>
      <c r="O505" s="12"/>
      <c r="P505" s="12"/>
      <c r="Q505" s="12"/>
      <c r="R505" s="12"/>
      <c r="S505" s="12"/>
      <c r="T505" s="12"/>
      <c r="U505" s="31"/>
      <c r="V505" s="41"/>
      <c r="W505" s="12"/>
      <c r="X505" s="12"/>
      <c r="Y505" s="12"/>
      <c r="Z505" s="12"/>
      <c r="AA505" s="12"/>
      <c r="AB505" s="31"/>
      <c r="AC505" s="41"/>
      <c r="AD505" s="12" t="s">
        <v>554</v>
      </c>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c r="CA505" s="12"/>
      <c r="CB505" s="12"/>
      <c r="CC505" s="12"/>
      <c r="CD505" s="31"/>
      <c r="CE505" s="18"/>
    </row>
    <row r="506" spans="1:83" s="9" customFormat="1" ht="12.75" customHeight="1" x14ac:dyDescent="0.15">
      <c r="A506" s="16"/>
      <c r="B506" s="8"/>
      <c r="E506" s="41"/>
      <c r="F506" s="12"/>
      <c r="G506" s="12"/>
      <c r="H506" s="12"/>
      <c r="I506" s="12"/>
      <c r="J506" s="12"/>
      <c r="K506" s="12"/>
      <c r="L506" s="12"/>
      <c r="M506" s="12"/>
      <c r="N506" s="12"/>
      <c r="O506" s="12"/>
      <c r="P506" s="12"/>
      <c r="Q506" s="12"/>
      <c r="R506" s="12"/>
      <c r="S506" s="12"/>
      <c r="T506" s="12"/>
      <c r="U506" s="31"/>
      <c r="V506" s="41"/>
      <c r="W506" s="12"/>
      <c r="X506" s="12"/>
      <c r="Y506" s="12"/>
      <c r="Z506" s="12"/>
      <c r="AA506" s="12"/>
      <c r="AB506" s="31"/>
      <c r="AC506" s="41"/>
      <c r="AD506" s="12" t="s">
        <v>552</v>
      </c>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c r="CA506" s="12"/>
      <c r="CB506" s="12"/>
      <c r="CC506" s="12"/>
      <c r="CD506" s="31"/>
      <c r="CE506" s="18"/>
    </row>
    <row r="507" spans="1:83" s="9" customFormat="1" ht="12.75" customHeight="1" x14ac:dyDescent="0.15">
      <c r="A507" s="16"/>
      <c r="B507" s="8"/>
      <c r="E507" s="41"/>
      <c r="F507" s="12"/>
      <c r="G507" s="12"/>
      <c r="H507" s="12"/>
      <c r="I507" s="12"/>
      <c r="J507" s="12"/>
      <c r="K507" s="12"/>
      <c r="L507" s="12"/>
      <c r="M507" s="12"/>
      <c r="N507" s="12"/>
      <c r="O507" s="12"/>
      <c r="P507" s="12"/>
      <c r="Q507" s="12"/>
      <c r="R507" s="12"/>
      <c r="S507" s="12"/>
      <c r="T507" s="12"/>
      <c r="U507" s="31"/>
      <c r="V507" s="41"/>
      <c r="W507" s="12"/>
      <c r="X507" s="12"/>
      <c r="Y507" s="12"/>
      <c r="Z507" s="12"/>
      <c r="AA507" s="12"/>
      <c r="AB507" s="31"/>
      <c r="AC507" s="41"/>
      <c r="AD507" s="12" t="s">
        <v>45</v>
      </c>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c r="CA507" s="12"/>
      <c r="CB507" s="12"/>
      <c r="CC507" s="12"/>
      <c r="CD507" s="31"/>
      <c r="CE507" s="18"/>
    </row>
    <row r="508" spans="1:83" s="9" customFormat="1" ht="12.75" customHeight="1" x14ac:dyDescent="0.15">
      <c r="A508" s="16"/>
      <c r="B508" s="8"/>
      <c r="E508" s="41"/>
      <c r="F508" s="12"/>
      <c r="G508" s="12"/>
      <c r="H508" s="12"/>
      <c r="I508" s="12"/>
      <c r="J508" s="12"/>
      <c r="K508" s="12"/>
      <c r="L508" s="12"/>
      <c r="M508" s="12"/>
      <c r="N508" s="12"/>
      <c r="O508" s="12"/>
      <c r="P508" s="12"/>
      <c r="Q508" s="12"/>
      <c r="R508" s="12"/>
      <c r="S508" s="12"/>
      <c r="T508" s="12"/>
      <c r="U508" s="31"/>
      <c r="V508" s="41"/>
      <c r="W508" s="12"/>
      <c r="X508" s="12"/>
      <c r="Y508" s="12"/>
      <c r="Z508" s="12"/>
      <c r="AA508" s="12"/>
      <c r="AB508" s="31"/>
      <c r="AC508" s="41"/>
      <c r="AD508" s="12" t="s">
        <v>44</v>
      </c>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31"/>
      <c r="CE508" s="18"/>
    </row>
    <row r="509" spans="1:83" s="9" customFormat="1" ht="12.75" customHeight="1" x14ac:dyDescent="0.15">
      <c r="A509" s="16"/>
      <c r="B509" s="8"/>
      <c r="E509" s="41"/>
      <c r="F509" s="12"/>
      <c r="G509" s="12"/>
      <c r="H509" s="12"/>
      <c r="I509" s="12"/>
      <c r="J509" s="12"/>
      <c r="K509" s="12"/>
      <c r="L509" s="12"/>
      <c r="M509" s="12"/>
      <c r="N509" s="12"/>
      <c r="O509" s="12"/>
      <c r="P509" s="12"/>
      <c r="Q509" s="12"/>
      <c r="R509" s="12"/>
      <c r="S509" s="12"/>
      <c r="T509" s="12"/>
      <c r="U509" s="31"/>
      <c r="V509" s="41"/>
      <c r="W509" s="12"/>
      <c r="X509" s="12"/>
      <c r="Y509" s="12"/>
      <c r="Z509" s="12"/>
      <c r="AA509" s="12"/>
      <c r="AB509" s="31"/>
      <c r="AC509" s="41"/>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31"/>
      <c r="CE509" s="18"/>
    </row>
    <row r="510" spans="1:83" s="9" customFormat="1" ht="12.75" customHeight="1" x14ac:dyDescent="0.15">
      <c r="A510" s="16"/>
      <c r="B510" s="8"/>
      <c r="D510" s="22"/>
      <c r="E510" s="41"/>
      <c r="F510" s="12"/>
      <c r="G510" s="12"/>
      <c r="H510" s="12"/>
      <c r="I510" s="12"/>
      <c r="J510" s="12"/>
      <c r="K510" s="12"/>
      <c r="L510" s="12"/>
      <c r="M510" s="12"/>
      <c r="N510" s="12"/>
      <c r="O510" s="12"/>
      <c r="P510" s="12"/>
      <c r="Q510" s="12"/>
      <c r="R510" s="12"/>
      <c r="S510" s="12"/>
      <c r="T510" s="12"/>
      <c r="U510" s="31"/>
      <c r="V510" s="41"/>
      <c r="W510" s="12"/>
      <c r="X510" s="12"/>
      <c r="Y510" s="12"/>
      <c r="Z510" s="12"/>
      <c r="AA510" s="12"/>
      <c r="AB510" s="31"/>
      <c r="AC510" s="41" t="s">
        <v>555</v>
      </c>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31"/>
      <c r="CE510" s="18"/>
    </row>
    <row r="511" spans="1:83" s="9" customFormat="1" ht="12.75" customHeight="1" x14ac:dyDescent="0.15">
      <c r="A511" s="16"/>
      <c r="B511" s="8"/>
      <c r="E511" s="41"/>
      <c r="F511" s="12"/>
      <c r="G511" s="12"/>
      <c r="H511" s="12"/>
      <c r="I511" s="12"/>
      <c r="J511" s="12"/>
      <c r="K511" s="12"/>
      <c r="L511" s="12"/>
      <c r="M511" s="12"/>
      <c r="N511" s="12"/>
      <c r="O511" s="12"/>
      <c r="P511" s="12"/>
      <c r="Q511" s="12"/>
      <c r="R511" s="12"/>
      <c r="S511" s="12"/>
      <c r="T511" s="12"/>
      <c r="U511" s="31"/>
      <c r="V511" s="41"/>
      <c r="W511" s="12"/>
      <c r="X511" s="12"/>
      <c r="Y511" s="12"/>
      <c r="Z511" s="12"/>
      <c r="AA511" s="12"/>
      <c r="AB511" s="31"/>
      <c r="AC511" s="41" t="s">
        <v>558</v>
      </c>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31"/>
      <c r="CE511" s="18"/>
    </row>
    <row r="512" spans="1:83" s="9" customFormat="1" ht="12.75" customHeight="1" x14ac:dyDescent="0.15">
      <c r="A512" s="16"/>
      <c r="B512" s="8"/>
      <c r="E512" s="40"/>
      <c r="F512" s="32"/>
      <c r="G512" s="32"/>
      <c r="H512" s="32"/>
      <c r="I512" s="32"/>
      <c r="J512" s="32"/>
      <c r="K512" s="32"/>
      <c r="L512" s="32"/>
      <c r="M512" s="32"/>
      <c r="N512" s="32"/>
      <c r="O512" s="32"/>
      <c r="P512" s="32"/>
      <c r="Q512" s="32"/>
      <c r="R512" s="32"/>
      <c r="S512" s="32"/>
      <c r="T512" s="32"/>
      <c r="U512" s="33"/>
      <c r="V512" s="40"/>
      <c r="W512" s="32"/>
      <c r="X512" s="32"/>
      <c r="Y512" s="32"/>
      <c r="Z512" s="32"/>
      <c r="AA512" s="32"/>
      <c r="AB512" s="33"/>
      <c r="AC512" s="40"/>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2"/>
      <c r="BO512" s="32"/>
      <c r="BP512" s="32"/>
      <c r="BQ512" s="32"/>
      <c r="BR512" s="32"/>
      <c r="BS512" s="32"/>
      <c r="BT512" s="32"/>
      <c r="BU512" s="32"/>
      <c r="BV512" s="32"/>
      <c r="BW512" s="32"/>
      <c r="BX512" s="32"/>
      <c r="BY512" s="32"/>
      <c r="BZ512" s="32"/>
      <c r="CA512" s="32"/>
      <c r="CB512" s="32"/>
      <c r="CC512" s="32"/>
      <c r="CD512" s="33"/>
      <c r="CE512" s="18"/>
    </row>
    <row r="513" spans="1:83" s="9" customFormat="1" ht="12" customHeight="1" thickBot="1" x14ac:dyDescent="0.2">
      <c r="A513" s="25"/>
      <c r="B513" s="30"/>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7"/>
      <c r="BA513" s="27"/>
      <c r="BB513" s="27"/>
      <c r="BC513" s="27"/>
      <c r="BD513" s="27"/>
      <c r="BE513" s="27"/>
      <c r="BF513" s="27"/>
      <c r="BG513" s="27"/>
      <c r="BH513" s="27"/>
      <c r="BI513" s="27"/>
      <c r="BJ513" s="27"/>
      <c r="BK513" s="27"/>
      <c r="BL513" s="27"/>
      <c r="BM513" s="27"/>
      <c r="BN513" s="27"/>
      <c r="BO513" s="27"/>
      <c r="BP513" s="27"/>
      <c r="BQ513" s="27"/>
      <c r="BR513" s="27"/>
      <c r="BS513" s="27"/>
      <c r="BT513" s="27"/>
      <c r="BU513" s="27"/>
      <c r="BV513" s="27"/>
      <c r="BW513" s="27"/>
      <c r="BX513" s="27"/>
      <c r="BY513" s="27"/>
      <c r="BZ513" s="27"/>
      <c r="CA513" s="27"/>
      <c r="CB513" s="27"/>
      <c r="CC513" s="26"/>
      <c r="CD513" s="26"/>
      <c r="CE513" s="28"/>
    </row>
    <row r="514" spans="1:83" s="9" customFormat="1" ht="12" customHeight="1" x14ac:dyDescent="0.15">
      <c r="A514" s="13"/>
      <c r="B514" s="14"/>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60"/>
      <c r="BA514" s="160"/>
      <c r="BB514" s="160"/>
      <c r="BC514" s="160"/>
      <c r="BD514" s="160"/>
      <c r="BE514" s="160"/>
      <c r="BF514" s="160"/>
      <c r="BG514" s="160"/>
      <c r="BH514" s="160"/>
      <c r="BI514" s="160"/>
      <c r="BJ514" s="160"/>
      <c r="BK514" s="160"/>
      <c r="BL514" s="160"/>
      <c r="BM514" s="160"/>
      <c r="BN514" s="160"/>
      <c r="BO514" s="160"/>
      <c r="BP514" s="160"/>
      <c r="BQ514" s="160"/>
      <c r="BR514" s="160"/>
      <c r="BS514" s="160"/>
      <c r="BT514" s="160"/>
      <c r="BU514" s="160"/>
      <c r="BV514" s="160"/>
      <c r="BW514" s="160"/>
      <c r="BX514" s="160"/>
      <c r="BY514" s="160"/>
      <c r="BZ514" s="160"/>
      <c r="CA514" s="160"/>
      <c r="CB514" s="160"/>
      <c r="CC514" s="159"/>
      <c r="CD514" s="159"/>
      <c r="CE514" s="15"/>
    </row>
    <row r="515" spans="1:83" s="9" customFormat="1" ht="12" customHeight="1" x14ac:dyDescent="0.15">
      <c r="A515" s="16"/>
      <c r="B515" s="8"/>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17"/>
      <c r="CD515" s="17"/>
      <c r="CE515" s="18"/>
    </row>
    <row r="516" spans="1:83" s="9" customFormat="1" ht="12" customHeight="1" x14ac:dyDescent="0.15">
      <c r="A516" s="16"/>
      <c r="B516" s="8"/>
      <c r="C516" s="8"/>
      <c r="D516" s="8"/>
      <c r="E516" s="71" t="s">
        <v>360</v>
      </c>
      <c r="F516" s="72"/>
      <c r="G516" s="72"/>
      <c r="H516" s="72"/>
      <c r="I516" s="72"/>
      <c r="J516" s="72"/>
      <c r="K516" s="72"/>
      <c r="L516" s="72"/>
      <c r="M516" s="72"/>
      <c r="N516" s="72"/>
      <c r="O516" s="72"/>
      <c r="P516" s="72"/>
      <c r="Q516" s="72"/>
      <c r="R516" s="72"/>
      <c r="S516" s="72"/>
      <c r="T516" s="72"/>
      <c r="U516" s="70"/>
      <c r="V516" s="71" t="s">
        <v>361</v>
      </c>
      <c r="W516" s="72"/>
      <c r="X516" s="72"/>
      <c r="Y516" s="72"/>
      <c r="Z516" s="72"/>
      <c r="AA516" s="72"/>
      <c r="AB516" s="70"/>
      <c r="AC516" s="71" t="s">
        <v>362</v>
      </c>
      <c r="AD516" s="72"/>
      <c r="AE516" s="72"/>
      <c r="AF516" s="72"/>
      <c r="AG516" s="72"/>
      <c r="AH516" s="72"/>
      <c r="AI516" s="72"/>
      <c r="AJ516" s="72"/>
      <c r="AK516" s="72"/>
      <c r="AL516" s="72"/>
      <c r="AM516" s="72"/>
      <c r="AN516" s="72"/>
      <c r="AO516" s="72"/>
      <c r="AP516" s="72"/>
      <c r="AQ516" s="72"/>
      <c r="AR516" s="72"/>
      <c r="AS516" s="72"/>
      <c r="AT516" s="72"/>
      <c r="AU516" s="72"/>
      <c r="AV516" s="72"/>
      <c r="AW516" s="72"/>
      <c r="AX516" s="72"/>
      <c r="AY516" s="72"/>
      <c r="AZ516" s="72"/>
      <c r="BA516" s="72"/>
      <c r="BB516" s="72"/>
      <c r="BC516" s="72"/>
      <c r="BD516" s="72"/>
      <c r="BE516" s="72"/>
      <c r="BF516" s="72"/>
      <c r="BG516" s="72"/>
      <c r="BH516" s="72"/>
      <c r="BI516" s="72"/>
      <c r="BJ516" s="72"/>
      <c r="BK516" s="72"/>
      <c r="BL516" s="72"/>
      <c r="BM516" s="72"/>
      <c r="BN516" s="72"/>
      <c r="BO516" s="72"/>
      <c r="BP516" s="72"/>
      <c r="BQ516" s="72"/>
      <c r="BR516" s="72"/>
      <c r="BS516" s="72"/>
      <c r="BT516" s="72"/>
      <c r="BU516" s="72"/>
      <c r="BV516" s="72"/>
      <c r="BW516" s="72"/>
      <c r="BX516" s="72"/>
      <c r="BY516" s="72"/>
      <c r="BZ516" s="72"/>
      <c r="CA516" s="72"/>
      <c r="CB516" s="72"/>
      <c r="CC516" s="72"/>
      <c r="CD516" s="70"/>
      <c r="CE516" s="18"/>
    </row>
    <row r="517" spans="1:83" s="9" customFormat="1" ht="12.75" customHeight="1" x14ac:dyDescent="0.15">
      <c r="A517" s="16"/>
      <c r="B517" s="8"/>
      <c r="E517" s="37" t="s">
        <v>899</v>
      </c>
      <c r="F517" s="38"/>
      <c r="G517" s="38"/>
      <c r="H517" s="38"/>
      <c r="I517" s="38"/>
      <c r="J517" s="38"/>
      <c r="K517" s="38"/>
      <c r="L517" s="38"/>
      <c r="M517" s="38"/>
      <c r="N517" s="38"/>
      <c r="O517" s="38"/>
      <c r="P517" s="38"/>
      <c r="Q517" s="38"/>
      <c r="R517" s="38"/>
      <c r="S517" s="38"/>
      <c r="T517" s="38"/>
      <c r="U517" s="39"/>
      <c r="V517" s="34"/>
      <c r="W517" s="35"/>
      <c r="X517" s="35"/>
      <c r="Y517" s="35"/>
      <c r="Z517" s="35"/>
      <c r="AA517" s="35"/>
      <c r="AB517" s="36"/>
      <c r="AC517" s="34"/>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c r="BH517" s="35"/>
      <c r="BI517" s="35"/>
      <c r="BJ517" s="35"/>
      <c r="BK517" s="35"/>
      <c r="BL517" s="35"/>
      <c r="BM517" s="35"/>
      <c r="BN517" s="35"/>
      <c r="BO517" s="35"/>
      <c r="BP517" s="35"/>
      <c r="BQ517" s="35"/>
      <c r="BR517" s="35"/>
      <c r="BS517" s="35"/>
      <c r="BT517" s="35"/>
      <c r="BU517" s="35"/>
      <c r="BV517" s="35"/>
      <c r="BW517" s="35"/>
      <c r="BX517" s="35"/>
      <c r="BY517" s="35"/>
      <c r="BZ517" s="35"/>
      <c r="CA517" s="35"/>
      <c r="CB517" s="35"/>
      <c r="CC517" s="35"/>
      <c r="CD517" s="36"/>
      <c r="CE517" s="18"/>
    </row>
    <row r="518" spans="1:83" s="9" customFormat="1" ht="12.75" customHeight="1" x14ac:dyDescent="0.15">
      <c r="A518" s="16"/>
      <c r="B518" s="8"/>
      <c r="C518" s="22"/>
      <c r="D518" s="12"/>
      <c r="E518" s="41"/>
      <c r="F518" s="34" t="s">
        <v>508</v>
      </c>
      <c r="G518" s="35"/>
      <c r="H518" s="35"/>
      <c r="I518" s="35"/>
      <c r="J518" s="35"/>
      <c r="K518" s="35"/>
      <c r="L518" s="35"/>
      <c r="M518" s="35"/>
      <c r="N518" s="35"/>
      <c r="O518" s="35"/>
      <c r="P518" s="35"/>
      <c r="Q518" s="35"/>
      <c r="R518" s="35"/>
      <c r="S518" s="35"/>
      <c r="T518" s="35"/>
      <c r="U518" s="36"/>
      <c r="V518" s="34" t="s">
        <v>661</v>
      </c>
      <c r="W518" s="35"/>
      <c r="X518" s="35"/>
      <c r="Y518" s="35"/>
      <c r="Z518" s="35"/>
      <c r="AA518" s="35"/>
      <c r="AB518" s="36"/>
      <c r="AC518" s="34" t="s">
        <v>701</v>
      </c>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6"/>
      <c r="CE518" s="18"/>
    </row>
    <row r="519" spans="1:83" s="9" customFormat="1" ht="12.75" customHeight="1" x14ac:dyDescent="0.15">
      <c r="A519" s="16"/>
      <c r="B519" s="8"/>
      <c r="C519" s="22"/>
      <c r="D519" s="21"/>
      <c r="E519" s="41"/>
      <c r="F519" s="34" t="s">
        <v>363</v>
      </c>
      <c r="G519" s="35"/>
      <c r="H519" s="35"/>
      <c r="I519" s="35"/>
      <c r="J519" s="35"/>
      <c r="K519" s="35"/>
      <c r="L519" s="35"/>
      <c r="M519" s="35"/>
      <c r="N519" s="35"/>
      <c r="O519" s="35"/>
      <c r="P519" s="35"/>
      <c r="Q519" s="35"/>
      <c r="R519" s="35"/>
      <c r="S519" s="35"/>
      <c r="T519" s="35"/>
      <c r="U519" s="36"/>
      <c r="V519" s="34" t="s">
        <v>661</v>
      </c>
      <c r="W519" s="35"/>
      <c r="X519" s="35"/>
      <c r="Y519" s="35"/>
      <c r="Z519" s="35"/>
      <c r="AA519" s="35"/>
      <c r="AB519" s="36"/>
      <c r="AC519" s="34" t="s">
        <v>663</v>
      </c>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6"/>
      <c r="CE519" s="18"/>
    </row>
    <row r="520" spans="1:83" s="9" customFormat="1" ht="12.75" customHeight="1" x14ac:dyDescent="0.15">
      <c r="A520" s="16"/>
      <c r="B520" s="8"/>
      <c r="D520" s="22"/>
      <c r="E520" s="41"/>
      <c r="F520" s="34" t="s">
        <v>364</v>
      </c>
      <c r="G520" s="35"/>
      <c r="H520" s="35"/>
      <c r="I520" s="35"/>
      <c r="J520" s="35"/>
      <c r="K520" s="35"/>
      <c r="L520" s="35"/>
      <c r="M520" s="35"/>
      <c r="N520" s="35"/>
      <c r="O520" s="35"/>
      <c r="P520" s="35"/>
      <c r="Q520" s="35"/>
      <c r="R520" s="35"/>
      <c r="S520" s="35"/>
      <c r="T520" s="35"/>
      <c r="U520" s="36"/>
      <c r="V520" s="34" t="s">
        <v>662</v>
      </c>
      <c r="W520" s="35"/>
      <c r="X520" s="35"/>
      <c r="Y520" s="35"/>
      <c r="Z520" s="35"/>
      <c r="AA520" s="35"/>
      <c r="AB520" s="36"/>
      <c r="AC520" s="34" t="s">
        <v>702</v>
      </c>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6"/>
      <c r="CE520" s="18"/>
    </row>
    <row r="521" spans="1:83" s="9" customFormat="1" ht="12.75" customHeight="1" x14ac:dyDescent="0.15">
      <c r="A521" s="16"/>
      <c r="B521" s="8"/>
      <c r="D521" s="22"/>
      <c r="E521" s="40"/>
      <c r="F521" s="34" t="s">
        <v>365</v>
      </c>
      <c r="G521" s="35"/>
      <c r="H521" s="35"/>
      <c r="I521" s="35"/>
      <c r="J521" s="35"/>
      <c r="K521" s="35"/>
      <c r="L521" s="35"/>
      <c r="M521" s="35"/>
      <c r="N521" s="35"/>
      <c r="O521" s="35"/>
      <c r="P521" s="35"/>
      <c r="Q521" s="35"/>
      <c r="R521" s="35"/>
      <c r="S521" s="35"/>
      <c r="T521" s="35"/>
      <c r="U521" s="36"/>
      <c r="V521" s="34" t="s">
        <v>660</v>
      </c>
      <c r="W521" s="35"/>
      <c r="X521" s="35"/>
      <c r="Y521" s="35"/>
      <c r="Z521" s="35"/>
      <c r="AA521" s="35"/>
      <c r="AB521" s="36"/>
      <c r="AC521" s="34" t="s">
        <v>663</v>
      </c>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6"/>
      <c r="CE521" s="18"/>
    </row>
    <row r="522" spans="1:83" s="9" customFormat="1" ht="12" customHeight="1" x14ac:dyDescent="0.15">
      <c r="A522" s="16"/>
      <c r="B522" s="8"/>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17"/>
      <c r="CD522" s="17"/>
      <c r="CE522" s="18"/>
    </row>
    <row r="523" spans="1:83" s="4" customFormat="1" ht="12" customHeight="1" x14ac:dyDescent="0.15">
      <c r="A523" s="16"/>
      <c r="B523" s="5"/>
      <c r="C523" s="5"/>
      <c r="D523" s="5"/>
      <c r="E523" s="12" t="s">
        <v>471</v>
      </c>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8"/>
    </row>
    <row r="524" spans="1:83" s="4" customFormat="1" ht="12" customHeight="1" x14ac:dyDescent="0.15">
      <c r="A524" s="16"/>
      <c r="B524" s="73"/>
      <c r="C524" s="12"/>
      <c r="D524" s="12"/>
      <c r="E524" s="12"/>
      <c r="F524" s="116" t="s">
        <v>454</v>
      </c>
      <c r="G524" s="118"/>
      <c r="H524" s="118"/>
      <c r="I524" s="118"/>
      <c r="J524" s="118"/>
      <c r="K524" s="118"/>
      <c r="L524" s="118"/>
      <c r="M524" s="118"/>
      <c r="N524" s="118"/>
      <c r="O524" s="118"/>
      <c r="P524" s="118"/>
      <c r="Q524" s="118"/>
      <c r="R524" s="118"/>
      <c r="S524" s="118"/>
      <c r="T524" s="118"/>
      <c r="U524" s="118"/>
      <c r="V524" s="118"/>
      <c r="W524" s="118"/>
      <c r="X524" s="118"/>
      <c r="Y524" s="118"/>
      <c r="Z524" s="118"/>
      <c r="AA524" s="118"/>
      <c r="AB524" s="117"/>
      <c r="AC524" s="116" t="s">
        <v>455</v>
      </c>
      <c r="AD524" s="118"/>
      <c r="AE524" s="118"/>
      <c r="AF524" s="118"/>
      <c r="AG524" s="117"/>
      <c r="AH524" s="116" t="s">
        <v>456</v>
      </c>
      <c r="AI524" s="118"/>
      <c r="AJ524" s="118"/>
      <c r="AK524" s="118"/>
      <c r="AL524" s="118"/>
      <c r="AM524" s="118"/>
      <c r="AN524" s="118"/>
      <c r="AO524" s="118"/>
      <c r="AP524" s="118"/>
      <c r="AQ524" s="118"/>
      <c r="AR524" s="118"/>
      <c r="AS524" s="118"/>
      <c r="AT524" s="118"/>
      <c r="AU524" s="118"/>
      <c r="AV524" s="118"/>
      <c r="AW524" s="118"/>
      <c r="AX524" s="118"/>
      <c r="AY524" s="118"/>
      <c r="AZ524" s="118"/>
      <c r="BA524" s="118"/>
      <c r="BB524" s="118"/>
      <c r="BC524" s="118"/>
      <c r="BD524" s="118"/>
      <c r="BE524" s="118"/>
      <c r="BF524" s="118"/>
      <c r="BG524" s="118"/>
      <c r="BH524" s="118"/>
      <c r="BI524" s="118"/>
      <c r="BJ524" s="118"/>
      <c r="BK524" s="118"/>
      <c r="BL524" s="118"/>
      <c r="BM524" s="118"/>
      <c r="BN524" s="118"/>
      <c r="BO524" s="118"/>
      <c r="BP524" s="118"/>
      <c r="BQ524" s="118"/>
      <c r="BR524" s="118"/>
      <c r="BS524" s="118"/>
      <c r="BT524" s="118"/>
      <c r="BU524" s="118"/>
      <c r="BV524" s="118"/>
      <c r="BW524" s="118"/>
      <c r="BX524" s="118"/>
      <c r="BY524" s="118"/>
      <c r="BZ524" s="118"/>
      <c r="CA524" s="118"/>
      <c r="CB524" s="118"/>
      <c r="CC524" s="118"/>
      <c r="CD524" s="117"/>
      <c r="CE524" s="18"/>
    </row>
    <row r="525" spans="1:83" s="6" customFormat="1" ht="12" customHeight="1" x14ac:dyDescent="0.15">
      <c r="A525" s="16"/>
      <c r="B525" s="5"/>
      <c r="C525" s="12"/>
      <c r="D525" s="12"/>
      <c r="E525" s="12"/>
      <c r="F525" s="34" t="s">
        <v>445</v>
      </c>
      <c r="G525" s="35"/>
      <c r="H525" s="35"/>
      <c r="I525" s="35"/>
      <c r="J525" s="35"/>
      <c r="K525" s="35"/>
      <c r="L525" s="35"/>
      <c r="M525" s="35"/>
      <c r="N525" s="35"/>
      <c r="O525" s="35"/>
      <c r="P525" s="35"/>
      <c r="Q525" s="35"/>
      <c r="R525" s="35"/>
      <c r="S525" s="35"/>
      <c r="T525" s="35"/>
      <c r="U525" s="35"/>
      <c r="V525" s="35"/>
      <c r="W525" s="35"/>
      <c r="X525" s="35"/>
      <c r="Y525" s="35"/>
      <c r="Z525" s="35"/>
      <c r="AA525" s="35"/>
      <c r="AB525" s="36"/>
      <c r="AC525" s="153" t="s">
        <v>578</v>
      </c>
      <c r="AD525" s="35"/>
      <c r="AE525" s="35"/>
      <c r="AF525" s="35"/>
      <c r="AG525" s="36"/>
      <c r="AH525" s="34" t="s">
        <v>453</v>
      </c>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6"/>
      <c r="CE525" s="18"/>
    </row>
    <row r="526" spans="1:83" s="4" customFormat="1" ht="12" customHeight="1" x14ac:dyDescent="0.15">
      <c r="A526" s="16"/>
      <c r="B526" s="73"/>
      <c r="C526" s="12"/>
      <c r="D526" s="12"/>
      <c r="E526" s="12"/>
      <c r="F526" s="34" t="s">
        <v>446</v>
      </c>
      <c r="G526" s="35"/>
      <c r="H526" s="35"/>
      <c r="I526" s="35"/>
      <c r="J526" s="35"/>
      <c r="K526" s="35"/>
      <c r="L526" s="35"/>
      <c r="M526" s="35"/>
      <c r="N526" s="35"/>
      <c r="O526" s="35"/>
      <c r="P526" s="35"/>
      <c r="Q526" s="35"/>
      <c r="R526" s="35"/>
      <c r="S526" s="35"/>
      <c r="T526" s="35"/>
      <c r="U526" s="35"/>
      <c r="V526" s="35"/>
      <c r="W526" s="35"/>
      <c r="X526" s="35"/>
      <c r="Y526" s="35"/>
      <c r="Z526" s="35"/>
      <c r="AA526" s="35"/>
      <c r="AB526" s="36"/>
      <c r="AC526" s="153" t="s">
        <v>579</v>
      </c>
      <c r="AD526" s="35"/>
      <c r="AE526" s="35"/>
      <c r="AF526" s="35"/>
      <c r="AG526" s="36"/>
      <c r="AH526" s="34" t="s">
        <v>453</v>
      </c>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6"/>
      <c r="CE526" s="18"/>
    </row>
    <row r="527" spans="1:83" s="386" customFormat="1" ht="12" customHeight="1" x14ac:dyDescent="0.15">
      <c r="A527" s="381"/>
      <c r="B527" s="391"/>
      <c r="C527" s="400"/>
      <c r="D527" s="400"/>
      <c r="E527" s="400"/>
      <c r="F527" s="393" t="s">
        <v>447</v>
      </c>
      <c r="G527" s="394"/>
      <c r="H527" s="394"/>
      <c r="I527" s="394"/>
      <c r="J527" s="394"/>
      <c r="K527" s="394"/>
      <c r="L527" s="394"/>
      <c r="M527" s="394"/>
      <c r="N527" s="394"/>
      <c r="O527" s="394"/>
      <c r="P527" s="394"/>
      <c r="Q527" s="394"/>
      <c r="R527" s="394"/>
      <c r="S527" s="394"/>
      <c r="T527" s="394"/>
      <c r="U527" s="394"/>
      <c r="V527" s="394"/>
      <c r="W527" s="394"/>
      <c r="X527" s="394"/>
      <c r="Y527" s="394"/>
      <c r="Z527" s="394"/>
      <c r="AA527" s="394"/>
      <c r="AB527" s="395"/>
      <c r="AC527" s="401" t="s">
        <v>885</v>
      </c>
      <c r="AD527" s="394"/>
      <c r="AE527" s="394"/>
      <c r="AF527" s="394"/>
      <c r="AG527" s="395"/>
      <c r="AH527" s="393" t="s">
        <v>688</v>
      </c>
      <c r="AI527" s="394"/>
      <c r="AJ527" s="394"/>
      <c r="AK527" s="394"/>
      <c r="AL527" s="394"/>
      <c r="AM527" s="394"/>
      <c r="AN527" s="394"/>
      <c r="AO527" s="394"/>
      <c r="AP527" s="394"/>
      <c r="AQ527" s="394"/>
      <c r="AR527" s="394"/>
      <c r="AS527" s="394"/>
      <c r="AT527" s="394"/>
      <c r="AU527" s="394"/>
      <c r="AV527" s="394"/>
      <c r="AW527" s="394"/>
      <c r="AX527" s="394"/>
      <c r="AY527" s="394"/>
      <c r="AZ527" s="394"/>
      <c r="BA527" s="394"/>
      <c r="BB527" s="394"/>
      <c r="BC527" s="394"/>
      <c r="BD527" s="394"/>
      <c r="BE527" s="394"/>
      <c r="BF527" s="394"/>
      <c r="BG527" s="394"/>
      <c r="BH527" s="394"/>
      <c r="BI527" s="394"/>
      <c r="BJ527" s="394"/>
      <c r="BK527" s="394"/>
      <c r="BL527" s="394"/>
      <c r="BM527" s="394"/>
      <c r="BN527" s="394"/>
      <c r="BO527" s="394"/>
      <c r="BP527" s="394"/>
      <c r="BQ527" s="394"/>
      <c r="BR527" s="394"/>
      <c r="BS527" s="394"/>
      <c r="BT527" s="394"/>
      <c r="BU527" s="394"/>
      <c r="BV527" s="394"/>
      <c r="BW527" s="394"/>
      <c r="BX527" s="394"/>
      <c r="BY527" s="394"/>
      <c r="BZ527" s="394"/>
      <c r="CA527" s="394"/>
      <c r="CB527" s="394"/>
      <c r="CC527" s="394"/>
      <c r="CD527" s="395"/>
      <c r="CE527" s="384"/>
    </row>
    <row r="528" spans="1:83" s="4" customFormat="1" ht="12" customHeight="1" x14ac:dyDescent="0.15">
      <c r="A528" s="16"/>
      <c r="B528" s="73"/>
      <c r="C528" s="12"/>
      <c r="D528" s="12"/>
      <c r="E528" s="12"/>
      <c r="F528" s="34" t="s">
        <v>900</v>
      </c>
      <c r="G528" s="35"/>
      <c r="H528" s="35"/>
      <c r="I528" s="35"/>
      <c r="J528" s="35"/>
      <c r="K528" s="35"/>
      <c r="L528" s="35"/>
      <c r="M528" s="35"/>
      <c r="N528" s="35"/>
      <c r="O528" s="35"/>
      <c r="P528" s="35"/>
      <c r="Q528" s="35"/>
      <c r="R528" s="35"/>
      <c r="S528" s="35"/>
      <c r="T528" s="35"/>
      <c r="U528" s="35"/>
      <c r="V528" s="35"/>
      <c r="W528" s="35"/>
      <c r="X528" s="35"/>
      <c r="Y528" s="35"/>
      <c r="Z528" s="35"/>
      <c r="AA528" s="35"/>
      <c r="AB528" s="36"/>
      <c r="AC528" s="153" t="s">
        <v>580</v>
      </c>
      <c r="AD528" s="35"/>
      <c r="AE528" s="35"/>
      <c r="AF528" s="35"/>
      <c r="AG528" s="36"/>
      <c r="AH528" s="34" t="s">
        <v>448</v>
      </c>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6"/>
      <c r="CE528" s="18"/>
    </row>
    <row r="529" spans="1:83" s="4" customFormat="1" ht="12" customHeight="1" x14ac:dyDescent="0.15">
      <c r="A529" s="16"/>
      <c r="B529" s="73"/>
      <c r="C529" s="12"/>
      <c r="D529" s="12"/>
      <c r="E529" s="12"/>
      <c r="F529" s="34" t="s">
        <v>449</v>
      </c>
      <c r="G529" s="35"/>
      <c r="H529" s="35"/>
      <c r="I529" s="35"/>
      <c r="J529" s="35"/>
      <c r="K529" s="35"/>
      <c r="L529" s="35"/>
      <c r="M529" s="35"/>
      <c r="N529" s="35"/>
      <c r="O529" s="35"/>
      <c r="P529" s="35"/>
      <c r="Q529" s="35"/>
      <c r="R529" s="35"/>
      <c r="S529" s="35"/>
      <c r="T529" s="35"/>
      <c r="U529" s="35"/>
      <c r="V529" s="35"/>
      <c r="W529" s="35"/>
      <c r="X529" s="35"/>
      <c r="Y529" s="35"/>
      <c r="Z529" s="35"/>
      <c r="AA529" s="35"/>
      <c r="AB529" s="36"/>
      <c r="AC529" s="153" t="s">
        <v>581</v>
      </c>
      <c r="AD529" s="35"/>
      <c r="AE529" s="35"/>
      <c r="AF529" s="35"/>
      <c r="AG529" s="36"/>
      <c r="AH529" s="34" t="s">
        <v>582</v>
      </c>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c r="BH529" s="35"/>
      <c r="BI529" s="35"/>
      <c r="BJ529" s="35"/>
      <c r="BK529" s="35"/>
      <c r="BL529" s="35"/>
      <c r="BM529" s="35"/>
      <c r="BN529" s="35"/>
      <c r="BO529" s="35"/>
      <c r="BP529" s="35"/>
      <c r="BQ529" s="35"/>
      <c r="BR529" s="35"/>
      <c r="BS529" s="35"/>
      <c r="BT529" s="35"/>
      <c r="BU529" s="35"/>
      <c r="BV529" s="35"/>
      <c r="BW529" s="35"/>
      <c r="BX529" s="35"/>
      <c r="BY529" s="35"/>
      <c r="BZ529" s="35"/>
      <c r="CA529" s="35"/>
      <c r="CB529" s="35"/>
      <c r="CC529" s="35"/>
      <c r="CD529" s="36"/>
      <c r="CE529" s="18"/>
    </row>
    <row r="530" spans="1:83" s="386" customFormat="1" ht="12" customHeight="1" x14ac:dyDescent="0.15">
      <c r="A530" s="381"/>
      <c r="B530" s="382"/>
      <c r="C530" s="389"/>
      <c r="D530" s="389"/>
      <c r="E530" s="389"/>
      <c r="F530" s="393" t="s">
        <v>450</v>
      </c>
      <c r="G530" s="394"/>
      <c r="H530" s="394"/>
      <c r="I530" s="394"/>
      <c r="J530" s="394"/>
      <c r="K530" s="394"/>
      <c r="L530" s="394"/>
      <c r="M530" s="394"/>
      <c r="N530" s="394"/>
      <c r="O530" s="394"/>
      <c r="P530" s="394"/>
      <c r="Q530" s="394"/>
      <c r="R530" s="394"/>
      <c r="S530" s="394"/>
      <c r="T530" s="394"/>
      <c r="U530" s="394"/>
      <c r="V530" s="394"/>
      <c r="W530" s="394"/>
      <c r="X530" s="394"/>
      <c r="Y530" s="394"/>
      <c r="Z530" s="394"/>
      <c r="AA530" s="394"/>
      <c r="AB530" s="395"/>
      <c r="AC530" s="397" t="s">
        <v>583</v>
      </c>
      <c r="AD530" s="394"/>
      <c r="AE530" s="394"/>
      <c r="AF530" s="394"/>
      <c r="AG530" s="395"/>
      <c r="AH530" s="396" t="s">
        <v>876</v>
      </c>
      <c r="AI530" s="394"/>
      <c r="AJ530" s="394"/>
      <c r="AK530" s="394"/>
      <c r="AL530" s="394"/>
      <c r="AM530" s="394"/>
      <c r="AN530" s="394"/>
      <c r="AO530" s="394"/>
      <c r="AP530" s="394"/>
      <c r="AQ530" s="394"/>
      <c r="AR530" s="394"/>
      <c r="AS530" s="394"/>
      <c r="AT530" s="394"/>
      <c r="AU530" s="394"/>
      <c r="AV530" s="394"/>
      <c r="AW530" s="394"/>
      <c r="AX530" s="394"/>
      <c r="AY530" s="394"/>
      <c r="AZ530" s="394"/>
      <c r="BA530" s="394"/>
      <c r="BB530" s="394"/>
      <c r="BC530" s="394"/>
      <c r="BD530" s="394"/>
      <c r="BE530" s="394"/>
      <c r="BF530" s="394"/>
      <c r="BG530" s="394"/>
      <c r="BH530" s="394"/>
      <c r="BI530" s="394"/>
      <c r="BJ530" s="394"/>
      <c r="BK530" s="394"/>
      <c r="BL530" s="394"/>
      <c r="BM530" s="394"/>
      <c r="BN530" s="394"/>
      <c r="BO530" s="394"/>
      <c r="BP530" s="394"/>
      <c r="BQ530" s="394"/>
      <c r="BR530" s="394"/>
      <c r="BS530" s="394"/>
      <c r="BT530" s="394"/>
      <c r="BU530" s="394"/>
      <c r="BV530" s="394"/>
      <c r="BW530" s="394"/>
      <c r="BX530" s="394"/>
      <c r="BY530" s="394"/>
      <c r="BZ530" s="394"/>
      <c r="CA530" s="394"/>
      <c r="CB530" s="394"/>
      <c r="CC530" s="394"/>
      <c r="CD530" s="395"/>
      <c r="CE530" s="384"/>
    </row>
    <row r="531" spans="1:83" s="4" customFormat="1" ht="12" customHeight="1" x14ac:dyDescent="0.15">
      <c r="A531" s="16"/>
      <c r="B531" s="8"/>
      <c r="C531" s="12"/>
      <c r="D531" s="12"/>
      <c r="E531" s="12"/>
      <c r="F531" s="34" t="s">
        <v>451</v>
      </c>
      <c r="G531" s="35"/>
      <c r="H531" s="35"/>
      <c r="I531" s="35"/>
      <c r="J531" s="35"/>
      <c r="K531" s="35"/>
      <c r="L531" s="35"/>
      <c r="M531" s="35"/>
      <c r="N531" s="35"/>
      <c r="O531" s="35"/>
      <c r="P531" s="35"/>
      <c r="Q531" s="35"/>
      <c r="R531" s="35"/>
      <c r="S531" s="35"/>
      <c r="T531" s="35"/>
      <c r="U531" s="35"/>
      <c r="V531" s="35"/>
      <c r="W531" s="35"/>
      <c r="X531" s="35"/>
      <c r="Y531" s="35"/>
      <c r="Z531" s="35"/>
      <c r="AA531" s="35"/>
      <c r="AB531" s="36"/>
      <c r="AC531" s="153" t="s">
        <v>584</v>
      </c>
      <c r="AD531" s="35"/>
      <c r="AE531" s="35"/>
      <c r="AF531" s="35"/>
      <c r="AG531" s="36"/>
      <c r="AH531" s="34" t="s">
        <v>452</v>
      </c>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c r="BH531" s="35"/>
      <c r="BI531" s="35"/>
      <c r="BJ531" s="35"/>
      <c r="BK531" s="35"/>
      <c r="BL531" s="35"/>
      <c r="BM531" s="35"/>
      <c r="BN531" s="35"/>
      <c r="BO531" s="35"/>
      <c r="BP531" s="35"/>
      <c r="BQ531" s="35"/>
      <c r="BR531" s="35"/>
      <c r="BS531" s="35"/>
      <c r="BT531" s="35"/>
      <c r="BU531" s="35"/>
      <c r="BV531" s="35"/>
      <c r="BW531" s="35"/>
      <c r="BX531" s="35"/>
      <c r="BY531" s="35"/>
      <c r="BZ531" s="35"/>
      <c r="CA531" s="35"/>
      <c r="CB531" s="35"/>
      <c r="CC531" s="35"/>
      <c r="CD531" s="36"/>
      <c r="CE531" s="18"/>
    </row>
    <row r="532" spans="1:83" s="9" customFormat="1" ht="12" customHeight="1" x14ac:dyDescent="0.15">
      <c r="A532" s="16"/>
      <c r="B532" s="8"/>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17"/>
      <c r="CD532" s="17"/>
      <c r="CE532" s="18"/>
    </row>
    <row r="533" spans="1:83" s="9" customFormat="1" ht="12" customHeight="1" x14ac:dyDescent="0.15">
      <c r="A533" s="16"/>
      <c r="B533" s="8"/>
      <c r="C533" s="17"/>
      <c r="D533" s="17"/>
      <c r="E533" s="17" t="s">
        <v>690</v>
      </c>
      <c r="F533" s="17"/>
      <c r="G533" s="17"/>
      <c r="H533" s="17"/>
      <c r="I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17"/>
      <c r="CD533" s="17"/>
      <c r="CE533" s="18"/>
    </row>
    <row r="534" spans="1:83" s="9" customFormat="1" ht="12" customHeight="1" x14ac:dyDescent="0.15">
      <c r="A534" s="16"/>
      <c r="B534" s="8"/>
      <c r="C534" s="17"/>
      <c r="D534" s="17"/>
      <c r="F534" s="17" t="s">
        <v>685</v>
      </c>
      <c r="G534" s="17"/>
      <c r="H534" s="17"/>
      <c r="I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17"/>
      <c r="CD534" s="17"/>
      <c r="CE534" s="18"/>
    </row>
    <row r="535" spans="1:83" s="9" customFormat="1" ht="12" customHeight="1" x14ac:dyDescent="0.15">
      <c r="A535" s="16"/>
      <c r="B535" s="8"/>
      <c r="C535" s="17"/>
      <c r="D535" s="17"/>
      <c r="E535" s="17"/>
      <c r="F535" s="831" t="s">
        <v>679</v>
      </c>
      <c r="G535" s="832"/>
      <c r="H535" s="833"/>
      <c r="I535" s="831" t="s">
        <v>431</v>
      </c>
      <c r="J535" s="832"/>
      <c r="K535" s="832"/>
      <c r="L535" s="832"/>
      <c r="M535" s="832"/>
      <c r="N535" s="832"/>
      <c r="O535" s="832"/>
      <c r="P535" s="832"/>
      <c r="Q535" s="832"/>
      <c r="R535" s="832"/>
      <c r="S535" s="832"/>
      <c r="T535" s="832"/>
      <c r="U535" s="832"/>
      <c r="V535" s="832"/>
      <c r="W535" s="833"/>
      <c r="X535" s="633" t="s">
        <v>668</v>
      </c>
      <c r="Y535" s="634"/>
      <c r="Z535" s="634"/>
      <c r="AA535" s="634"/>
      <c r="AB535" s="634"/>
      <c r="AC535" s="634"/>
      <c r="AD535" s="634"/>
      <c r="AE535" s="634"/>
      <c r="AF535" s="635"/>
      <c r="AG535" s="633" t="s">
        <v>669</v>
      </c>
      <c r="AH535" s="634"/>
      <c r="AI535" s="634"/>
      <c r="AJ535" s="634"/>
      <c r="AK535" s="634"/>
      <c r="AL535" s="634"/>
      <c r="AM535" s="634"/>
      <c r="AN535" s="634"/>
      <c r="AO535" s="634"/>
      <c r="AP535" s="634"/>
      <c r="AQ535" s="634"/>
      <c r="AR535" s="634"/>
      <c r="AS535" s="634"/>
      <c r="AT535" s="634"/>
      <c r="AU535" s="634"/>
      <c r="AV535" s="634"/>
      <c r="AW535" s="634"/>
      <c r="AX535" s="634"/>
      <c r="AY535" s="634"/>
      <c r="AZ535" s="634"/>
      <c r="BA535" s="634"/>
      <c r="BB535" s="634"/>
      <c r="BC535" s="634"/>
      <c r="BD535" s="635"/>
      <c r="BE535" s="636" t="s">
        <v>686</v>
      </c>
      <c r="BF535" s="637"/>
      <c r="BG535" s="637"/>
      <c r="BH535" s="637"/>
      <c r="BI535" s="637"/>
      <c r="BJ535" s="637"/>
      <c r="BK535" s="637"/>
      <c r="BL535" s="637"/>
      <c r="BM535" s="637"/>
      <c r="BN535" s="636" t="s">
        <v>687</v>
      </c>
      <c r="BO535" s="637"/>
      <c r="BP535" s="637"/>
      <c r="BQ535" s="637"/>
      <c r="BR535" s="637"/>
      <c r="BS535" s="637"/>
      <c r="BT535" s="637"/>
      <c r="BU535" s="637"/>
      <c r="BV535" s="637"/>
      <c r="BW535" s="20"/>
      <c r="BX535" s="20"/>
      <c r="BY535" s="20"/>
      <c r="BZ535" s="20"/>
      <c r="CA535" s="20"/>
      <c r="CB535" s="20"/>
      <c r="CC535" s="17"/>
      <c r="CD535" s="17"/>
      <c r="CE535" s="18"/>
    </row>
    <row r="536" spans="1:83" s="9" customFormat="1" ht="12" customHeight="1" x14ac:dyDescent="0.15">
      <c r="A536" s="16"/>
      <c r="B536" s="8"/>
      <c r="C536" s="17"/>
      <c r="D536" s="17"/>
      <c r="E536" s="17"/>
      <c r="F536" s="813" t="s">
        <v>154</v>
      </c>
      <c r="G536" s="814"/>
      <c r="H536" s="815"/>
      <c r="I536" s="37" t="s">
        <v>508</v>
      </c>
      <c r="J536" s="42"/>
      <c r="K536" s="42"/>
      <c r="L536" s="42"/>
      <c r="M536" s="42"/>
      <c r="N536" s="42"/>
      <c r="O536" s="42"/>
      <c r="P536" s="42"/>
      <c r="Q536" s="42"/>
      <c r="R536" s="42"/>
      <c r="S536" s="42"/>
      <c r="T536" s="42"/>
      <c r="U536" s="42"/>
      <c r="V536" s="42"/>
      <c r="W536" s="43"/>
      <c r="X536" s="810" t="s">
        <v>670</v>
      </c>
      <c r="Y536" s="811"/>
      <c r="Z536" s="811"/>
      <c r="AA536" s="811"/>
      <c r="AB536" s="811"/>
      <c r="AC536" s="811"/>
      <c r="AD536" s="811"/>
      <c r="AE536" s="811"/>
      <c r="AF536" s="812"/>
      <c r="AG536" s="362" t="s">
        <v>675</v>
      </c>
      <c r="AH536" s="363"/>
      <c r="AI536" s="363"/>
      <c r="AJ536" s="363"/>
      <c r="AK536" s="363"/>
      <c r="AL536" s="363"/>
      <c r="AM536" s="363"/>
      <c r="AN536" s="363"/>
      <c r="AO536" s="363"/>
      <c r="AP536" s="363"/>
      <c r="AQ536" s="363"/>
      <c r="AR536" s="363"/>
      <c r="AS536" s="363"/>
      <c r="AT536" s="363"/>
      <c r="AU536" s="363"/>
      <c r="AV536" s="363"/>
      <c r="AW536" s="363"/>
      <c r="AX536" s="363"/>
      <c r="AY536" s="363"/>
      <c r="AZ536" s="363"/>
      <c r="BA536" s="363"/>
      <c r="BB536" s="363"/>
      <c r="BC536" s="363"/>
      <c r="BD536" s="364"/>
      <c r="BE536" s="541">
        <v>8.3469785749912262E-2</v>
      </c>
      <c r="BF536" s="542"/>
      <c r="BG536" s="542"/>
      <c r="BH536" s="542"/>
      <c r="BI536" s="542"/>
      <c r="BJ536" s="542"/>
      <c r="BK536" s="542"/>
      <c r="BL536" s="542"/>
      <c r="BM536" s="543"/>
      <c r="BN536" s="822"/>
      <c r="BO536" s="823"/>
      <c r="BP536" s="823"/>
      <c r="BQ536" s="823"/>
      <c r="BR536" s="823"/>
      <c r="BS536" s="823"/>
      <c r="BT536" s="823"/>
      <c r="BU536" s="823"/>
      <c r="BV536" s="824"/>
      <c r="BW536" s="20"/>
      <c r="BX536" s="20"/>
      <c r="BY536" s="20"/>
      <c r="BZ536" s="20"/>
      <c r="CA536" s="20"/>
      <c r="CB536" s="20"/>
      <c r="CC536" s="17"/>
      <c r="CD536" s="17"/>
      <c r="CE536" s="18"/>
    </row>
    <row r="537" spans="1:83" s="9" customFormat="1" ht="12" customHeight="1" x14ac:dyDescent="0.15">
      <c r="A537" s="16"/>
      <c r="B537" s="8"/>
      <c r="C537" s="17"/>
      <c r="D537" s="17"/>
      <c r="E537" s="17"/>
      <c r="F537" s="813" t="s">
        <v>680</v>
      </c>
      <c r="G537" s="814"/>
      <c r="H537" s="815"/>
      <c r="I537" s="177"/>
      <c r="J537" s="20"/>
      <c r="K537" s="20"/>
      <c r="L537" s="20"/>
      <c r="M537" s="20"/>
      <c r="N537" s="20"/>
      <c r="O537" s="20"/>
      <c r="P537" s="20"/>
      <c r="Q537" s="20"/>
      <c r="R537" s="20"/>
      <c r="S537" s="20"/>
      <c r="T537" s="20"/>
      <c r="U537" s="20"/>
      <c r="V537" s="20"/>
      <c r="W537" s="357"/>
      <c r="X537" s="810" t="s">
        <v>509</v>
      </c>
      <c r="Y537" s="811"/>
      <c r="Z537" s="811"/>
      <c r="AA537" s="811"/>
      <c r="AB537" s="811"/>
      <c r="AC537" s="811"/>
      <c r="AD537" s="811"/>
      <c r="AE537" s="811"/>
      <c r="AF537" s="812"/>
      <c r="AG537" s="362" t="s">
        <v>671</v>
      </c>
      <c r="AH537" s="363"/>
      <c r="AI537" s="363"/>
      <c r="AJ537" s="363"/>
      <c r="AK537" s="363"/>
      <c r="AL537" s="363"/>
      <c r="AM537" s="363"/>
      <c r="AN537" s="363"/>
      <c r="AO537" s="363"/>
      <c r="AP537" s="363"/>
      <c r="AQ537" s="363"/>
      <c r="AR537" s="363"/>
      <c r="AS537" s="363"/>
      <c r="AT537" s="363"/>
      <c r="AU537" s="363"/>
      <c r="AV537" s="363"/>
      <c r="AW537" s="363"/>
      <c r="AX537" s="363"/>
      <c r="AY537" s="363"/>
      <c r="AZ537" s="363"/>
      <c r="BA537" s="363"/>
      <c r="BB537" s="363"/>
      <c r="BC537" s="363"/>
      <c r="BD537" s="364"/>
      <c r="BE537" s="541">
        <v>5.2135437726974487</v>
      </c>
      <c r="BF537" s="542"/>
      <c r="BG537" s="542"/>
      <c r="BH537" s="542"/>
      <c r="BI537" s="542"/>
      <c r="BJ537" s="542"/>
      <c r="BK537" s="542"/>
      <c r="BL537" s="542"/>
      <c r="BM537" s="543"/>
      <c r="BN537" s="825"/>
      <c r="BO537" s="826"/>
      <c r="BP537" s="826"/>
      <c r="BQ537" s="826"/>
      <c r="BR537" s="826"/>
      <c r="BS537" s="826"/>
      <c r="BT537" s="826"/>
      <c r="BU537" s="826"/>
      <c r="BV537" s="827"/>
      <c r="BW537" s="20"/>
      <c r="BX537" s="20"/>
      <c r="BY537" s="20"/>
      <c r="BZ537" s="20"/>
      <c r="CA537" s="20"/>
      <c r="CB537" s="20"/>
      <c r="CC537" s="17"/>
      <c r="CD537" s="17"/>
      <c r="CE537" s="18"/>
    </row>
    <row r="538" spans="1:83" s="9" customFormat="1" ht="12" customHeight="1" x14ac:dyDescent="0.15">
      <c r="A538" s="16"/>
      <c r="B538" s="8"/>
      <c r="C538" s="17"/>
      <c r="D538" s="17"/>
      <c r="E538" s="17"/>
      <c r="F538" s="813" t="s">
        <v>681</v>
      </c>
      <c r="G538" s="814"/>
      <c r="H538" s="815"/>
      <c r="I538" s="177"/>
      <c r="J538" s="20"/>
      <c r="K538" s="20"/>
      <c r="L538" s="20"/>
      <c r="M538" s="20"/>
      <c r="N538" s="20"/>
      <c r="O538" s="20"/>
      <c r="P538" s="20"/>
      <c r="Q538" s="20"/>
      <c r="R538" s="20"/>
      <c r="S538" s="20"/>
      <c r="T538" s="20"/>
      <c r="U538" s="20"/>
      <c r="V538" s="20"/>
      <c r="W538" s="357"/>
      <c r="X538" s="810" t="s">
        <v>698</v>
      </c>
      <c r="Y538" s="811"/>
      <c r="Z538" s="811"/>
      <c r="AA538" s="811"/>
      <c r="AB538" s="811"/>
      <c r="AC538" s="811"/>
      <c r="AD538" s="811"/>
      <c r="AE538" s="811"/>
      <c r="AF538" s="812"/>
      <c r="AG538" s="362" t="s">
        <v>672</v>
      </c>
      <c r="AH538" s="363"/>
      <c r="AI538" s="363"/>
      <c r="AJ538" s="363"/>
      <c r="AK538" s="363"/>
      <c r="AL538" s="363"/>
      <c r="AM538" s="363"/>
      <c r="AN538" s="363"/>
      <c r="AO538" s="363"/>
      <c r="AP538" s="363"/>
      <c r="AQ538" s="363"/>
      <c r="AR538" s="363"/>
      <c r="AS538" s="363"/>
      <c r="AT538" s="363"/>
      <c r="AU538" s="363"/>
      <c r="AV538" s="363"/>
      <c r="AW538" s="363"/>
      <c r="AX538" s="363"/>
      <c r="AY538" s="363"/>
      <c r="AZ538" s="363"/>
      <c r="BA538" s="363"/>
      <c r="BB538" s="363"/>
      <c r="BC538" s="363"/>
      <c r="BD538" s="364"/>
      <c r="BE538" s="541">
        <v>3.9227306842803955</v>
      </c>
      <c r="BF538" s="542"/>
      <c r="BG538" s="542"/>
      <c r="BH538" s="542"/>
      <c r="BI538" s="542"/>
      <c r="BJ538" s="542"/>
      <c r="BK538" s="542"/>
      <c r="BL538" s="542"/>
      <c r="BM538" s="543"/>
      <c r="BN538" s="825"/>
      <c r="BO538" s="826"/>
      <c r="BP538" s="826"/>
      <c r="BQ538" s="826"/>
      <c r="BR538" s="826"/>
      <c r="BS538" s="826"/>
      <c r="BT538" s="826"/>
      <c r="BU538" s="826"/>
      <c r="BV538" s="827"/>
      <c r="BW538" s="20"/>
      <c r="BX538" s="20"/>
      <c r="BY538" s="20"/>
      <c r="BZ538" s="20"/>
      <c r="CA538" s="20"/>
      <c r="CB538" s="20"/>
      <c r="CC538" s="17"/>
      <c r="CD538" s="17"/>
      <c r="CE538" s="18"/>
    </row>
    <row r="539" spans="1:83" s="9" customFormat="1" ht="12" customHeight="1" x14ac:dyDescent="0.15">
      <c r="A539" s="16"/>
      <c r="B539" s="8"/>
      <c r="C539" s="17"/>
      <c r="D539" s="17"/>
      <c r="E539" s="17"/>
      <c r="F539" s="813" t="s">
        <v>565</v>
      </c>
      <c r="G539" s="814"/>
      <c r="H539" s="815"/>
      <c r="I539" s="177"/>
      <c r="J539" s="20"/>
      <c r="K539" s="20"/>
      <c r="L539" s="20"/>
      <c r="M539" s="20"/>
      <c r="N539" s="20"/>
      <c r="O539" s="20"/>
      <c r="P539" s="20"/>
      <c r="Q539" s="20"/>
      <c r="R539" s="20"/>
      <c r="S539" s="20"/>
      <c r="T539" s="20"/>
      <c r="U539" s="20"/>
      <c r="V539" s="20"/>
      <c r="W539" s="357"/>
      <c r="X539" s="810" t="s">
        <v>698</v>
      </c>
      <c r="Y539" s="811"/>
      <c r="Z539" s="811"/>
      <c r="AA539" s="811"/>
      <c r="AB539" s="811"/>
      <c r="AC539" s="811"/>
      <c r="AD539" s="811"/>
      <c r="AE539" s="811"/>
      <c r="AF539" s="812"/>
      <c r="AG539" s="362" t="s">
        <v>673</v>
      </c>
      <c r="AH539" s="363"/>
      <c r="AI539" s="363"/>
      <c r="AJ539" s="363"/>
      <c r="AK539" s="363"/>
      <c r="AL539" s="363"/>
      <c r="AM539" s="363"/>
      <c r="AN539" s="363"/>
      <c r="AO539" s="363"/>
      <c r="AP539" s="363"/>
      <c r="AQ539" s="363"/>
      <c r="AR539" s="363"/>
      <c r="AS539" s="363"/>
      <c r="AT539" s="363"/>
      <c r="AU539" s="363"/>
      <c r="AV539" s="363"/>
      <c r="AW539" s="363"/>
      <c r="AX539" s="363"/>
      <c r="AY539" s="363"/>
      <c r="AZ539" s="363"/>
      <c r="BA539" s="363"/>
      <c r="BB539" s="363"/>
      <c r="BC539" s="363"/>
      <c r="BD539" s="364"/>
      <c r="BE539" s="541">
        <v>2.1122395992279053</v>
      </c>
      <c r="BF539" s="542"/>
      <c r="BG539" s="542"/>
      <c r="BH539" s="542"/>
      <c r="BI539" s="542"/>
      <c r="BJ539" s="542"/>
      <c r="BK539" s="542"/>
      <c r="BL539" s="542"/>
      <c r="BM539" s="543"/>
      <c r="BN539" s="825"/>
      <c r="BO539" s="826"/>
      <c r="BP539" s="826"/>
      <c r="BQ539" s="826"/>
      <c r="BR539" s="826"/>
      <c r="BS539" s="826"/>
      <c r="BT539" s="826"/>
      <c r="BU539" s="826"/>
      <c r="BV539" s="827"/>
      <c r="BW539" s="20"/>
      <c r="BX539" s="20"/>
      <c r="BY539" s="20"/>
      <c r="BZ539" s="20"/>
      <c r="CA539" s="20"/>
      <c r="CB539" s="20"/>
      <c r="CC539" s="17"/>
      <c r="CD539" s="17"/>
      <c r="CE539" s="18"/>
    </row>
    <row r="540" spans="1:83" s="9" customFormat="1" ht="12" customHeight="1" x14ac:dyDescent="0.15">
      <c r="A540" s="16"/>
      <c r="B540" s="8"/>
      <c r="C540" s="17"/>
      <c r="D540" s="17"/>
      <c r="E540" s="17"/>
      <c r="F540" s="813" t="s">
        <v>637</v>
      </c>
      <c r="G540" s="814"/>
      <c r="H540" s="815"/>
      <c r="I540" s="177"/>
      <c r="J540" s="20"/>
      <c r="K540" s="20"/>
      <c r="L540" s="20"/>
      <c r="M540" s="20"/>
      <c r="N540" s="20"/>
      <c r="O540" s="20"/>
      <c r="P540" s="20"/>
      <c r="Q540" s="20"/>
      <c r="R540" s="20"/>
      <c r="S540" s="20"/>
      <c r="T540" s="20"/>
      <c r="U540" s="20"/>
      <c r="V540" s="20"/>
      <c r="W540" s="357"/>
      <c r="X540" s="810" t="s">
        <v>698</v>
      </c>
      <c r="Y540" s="811"/>
      <c r="Z540" s="811"/>
      <c r="AA540" s="811"/>
      <c r="AB540" s="811"/>
      <c r="AC540" s="811"/>
      <c r="AD540" s="811"/>
      <c r="AE540" s="811"/>
      <c r="AF540" s="812"/>
      <c r="AG540" s="362" t="s">
        <v>674</v>
      </c>
      <c r="AH540" s="363"/>
      <c r="AI540" s="363"/>
      <c r="AJ540" s="363"/>
      <c r="AK540" s="363"/>
      <c r="AL540" s="363"/>
      <c r="AM540" s="363"/>
      <c r="AN540" s="363"/>
      <c r="AO540" s="363"/>
      <c r="AP540" s="363"/>
      <c r="AQ540" s="363"/>
      <c r="AR540" s="363"/>
      <c r="AS540" s="363"/>
      <c r="AT540" s="363"/>
      <c r="AU540" s="363"/>
      <c r="AV540" s="363"/>
      <c r="AW540" s="363"/>
      <c r="AX540" s="363"/>
      <c r="AY540" s="363"/>
      <c r="AZ540" s="363"/>
      <c r="BA540" s="363"/>
      <c r="BB540" s="363"/>
      <c r="BC540" s="363"/>
      <c r="BD540" s="364"/>
      <c r="BE540" s="541">
        <v>1.3880431652069092</v>
      </c>
      <c r="BF540" s="542"/>
      <c r="BG540" s="542"/>
      <c r="BH540" s="542"/>
      <c r="BI540" s="542"/>
      <c r="BJ540" s="542"/>
      <c r="BK540" s="542"/>
      <c r="BL540" s="542"/>
      <c r="BM540" s="543"/>
      <c r="BN540" s="825"/>
      <c r="BO540" s="826"/>
      <c r="BP540" s="826"/>
      <c r="BQ540" s="826"/>
      <c r="BR540" s="826"/>
      <c r="BS540" s="826"/>
      <c r="BT540" s="826"/>
      <c r="BU540" s="826"/>
      <c r="BV540" s="827"/>
      <c r="BW540" s="20"/>
      <c r="BX540" s="20"/>
      <c r="BY540" s="20"/>
      <c r="BZ540" s="20"/>
      <c r="CA540" s="20"/>
      <c r="CB540" s="20"/>
      <c r="CC540" s="17"/>
      <c r="CD540" s="17"/>
      <c r="CE540" s="18"/>
    </row>
    <row r="541" spans="1:83" s="9" customFormat="1" ht="12" customHeight="1" x14ac:dyDescent="0.15">
      <c r="A541" s="16"/>
      <c r="B541" s="8"/>
      <c r="C541" s="17"/>
      <c r="D541" s="17"/>
      <c r="E541" s="17"/>
      <c r="F541" s="813" t="s">
        <v>682</v>
      </c>
      <c r="G541" s="814"/>
      <c r="H541" s="815"/>
      <c r="I541" s="177"/>
      <c r="J541" s="20"/>
      <c r="K541" s="20"/>
      <c r="L541" s="20"/>
      <c r="M541" s="20"/>
      <c r="N541" s="20"/>
      <c r="O541" s="20"/>
      <c r="P541" s="20"/>
      <c r="Q541" s="20"/>
      <c r="R541" s="20"/>
      <c r="S541" s="20"/>
      <c r="T541" s="20"/>
      <c r="U541" s="20"/>
      <c r="V541" s="20"/>
      <c r="W541" s="357"/>
      <c r="X541" s="810" t="s">
        <v>509</v>
      </c>
      <c r="Y541" s="811"/>
      <c r="Z541" s="811"/>
      <c r="AA541" s="811"/>
      <c r="AB541" s="811"/>
      <c r="AC541" s="811"/>
      <c r="AD541" s="811"/>
      <c r="AE541" s="811"/>
      <c r="AF541" s="812"/>
      <c r="AG541" s="362" t="s">
        <v>676</v>
      </c>
      <c r="AH541" s="363"/>
      <c r="AI541" s="363"/>
      <c r="AJ541" s="363"/>
      <c r="AK541" s="363"/>
      <c r="AL541" s="363"/>
      <c r="AM541" s="363"/>
      <c r="AN541" s="363"/>
      <c r="AO541" s="363"/>
      <c r="AP541" s="363"/>
      <c r="AQ541" s="363"/>
      <c r="AR541" s="363"/>
      <c r="AS541" s="363"/>
      <c r="AT541" s="363"/>
      <c r="AU541" s="363"/>
      <c r="AV541" s="363"/>
      <c r="AW541" s="363"/>
      <c r="AX541" s="363"/>
      <c r="AY541" s="363"/>
      <c r="AZ541" s="363"/>
      <c r="BA541" s="363"/>
      <c r="BB541" s="363"/>
      <c r="BC541" s="363"/>
      <c r="BD541" s="364"/>
      <c r="BE541" s="541">
        <v>3.9115548133850098E-3</v>
      </c>
      <c r="BF541" s="542"/>
      <c r="BG541" s="542"/>
      <c r="BH541" s="542"/>
      <c r="BI541" s="542"/>
      <c r="BJ541" s="542"/>
      <c r="BK541" s="542"/>
      <c r="BL541" s="542"/>
      <c r="BM541" s="543"/>
      <c r="BN541" s="825"/>
      <c r="BO541" s="826"/>
      <c r="BP541" s="826"/>
      <c r="BQ541" s="826"/>
      <c r="BR541" s="826"/>
      <c r="BS541" s="826"/>
      <c r="BT541" s="826"/>
      <c r="BU541" s="826"/>
      <c r="BV541" s="827"/>
      <c r="BW541" s="20"/>
      <c r="BX541" s="20"/>
      <c r="BY541" s="20"/>
      <c r="BZ541" s="20"/>
      <c r="CA541" s="20"/>
      <c r="CB541" s="20"/>
      <c r="CC541" s="17"/>
      <c r="CD541" s="17"/>
      <c r="CE541" s="18"/>
    </row>
    <row r="542" spans="1:83" s="9" customFormat="1" ht="12" customHeight="1" x14ac:dyDescent="0.15">
      <c r="A542" s="16"/>
      <c r="B542" s="8"/>
      <c r="C542" s="17"/>
      <c r="D542" s="17"/>
      <c r="E542" s="17"/>
      <c r="F542" s="813" t="s">
        <v>683</v>
      </c>
      <c r="G542" s="814"/>
      <c r="H542" s="815"/>
      <c r="I542" s="177"/>
      <c r="J542" s="20"/>
      <c r="K542" s="20"/>
      <c r="L542" s="20"/>
      <c r="M542" s="20"/>
      <c r="N542" s="20"/>
      <c r="O542" s="20"/>
      <c r="P542" s="20"/>
      <c r="Q542" s="20"/>
      <c r="R542" s="20"/>
      <c r="S542" s="20"/>
      <c r="T542" s="20"/>
      <c r="U542" s="20"/>
      <c r="V542" s="20"/>
      <c r="W542" s="357"/>
      <c r="X542" s="810" t="s">
        <v>494</v>
      </c>
      <c r="Y542" s="811"/>
      <c r="Z542" s="811"/>
      <c r="AA542" s="811"/>
      <c r="AB542" s="811"/>
      <c r="AC542" s="811"/>
      <c r="AD542" s="811"/>
      <c r="AE542" s="811"/>
      <c r="AF542" s="812"/>
      <c r="AG542" s="362" t="s">
        <v>677</v>
      </c>
      <c r="AH542" s="363"/>
      <c r="AI542" s="363"/>
      <c r="AJ542" s="363"/>
      <c r="AK542" s="363"/>
      <c r="AL542" s="363"/>
      <c r="AM542" s="363"/>
      <c r="AN542" s="363"/>
      <c r="AO542" s="363"/>
      <c r="AP542" s="363"/>
      <c r="AQ542" s="363"/>
      <c r="AR542" s="363"/>
      <c r="AS542" s="363"/>
      <c r="AT542" s="363"/>
      <c r="AU542" s="363"/>
      <c r="AV542" s="363"/>
      <c r="AW542" s="363"/>
      <c r="AX542" s="363"/>
      <c r="AY542" s="363"/>
      <c r="AZ542" s="363"/>
      <c r="BA542" s="363"/>
      <c r="BB542" s="363"/>
      <c r="BC542" s="363"/>
      <c r="BD542" s="364"/>
      <c r="BE542" s="541">
        <v>0.23898482322692871</v>
      </c>
      <c r="BF542" s="542"/>
      <c r="BG542" s="542"/>
      <c r="BH542" s="542"/>
      <c r="BI542" s="542"/>
      <c r="BJ542" s="542"/>
      <c r="BK542" s="542"/>
      <c r="BL542" s="542"/>
      <c r="BM542" s="543"/>
      <c r="BN542" s="825"/>
      <c r="BO542" s="826"/>
      <c r="BP542" s="826"/>
      <c r="BQ542" s="826"/>
      <c r="BR542" s="826"/>
      <c r="BS542" s="826"/>
      <c r="BT542" s="826"/>
      <c r="BU542" s="826"/>
      <c r="BV542" s="827"/>
      <c r="BW542" s="20"/>
      <c r="BX542" s="20"/>
      <c r="BY542" s="20"/>
      <c r="BZ542" s="20"/>
      <c r="CA542" s="20"/>
      <c r="CB542" s="20"/>
      <c r="CC542" s="17"/>
      <c r="CD542" s="17"/>
      <c r="CE542" s="18"/>
    </row>
    <row r="543" spans="1:83" s="9" customFormat="1" ht="12" customHeight="1" x14ac:dyDescent="0.15">
      <c r="A543" s="16"/>
      <c r="B543" s="8"/>
      <c r="C543" s="17"/>
      <c r="D543" s="17"/>
      <c r="E543" s="17"/>
      <c r="F543" s="813" t="s">
        <v>684</v>
      </c>
      <c r="G543" s="814"/>
      <c r="H543" s="815"/>
      <c r="I543" s="177"/>
      <c r="J543" s="20"/>
      <c r="K543" s="20"/>
      <c r="L543" s="20"/>
      <c r="M543" s="20"/>
      <c r="N543" s="20"/>
      <c r="O543" s="20"/>
      <c r="P543" s="20"/>
      <c r="Q543" s="20"/>
      <c r="R543" s="20"/>
      <c r="S543" s="20"/>
      <c r="T543" s="20"/>
      <c r="U543" s="20"/>
      <c r="V543" s="20"/>
      <c r="W543" s="357"/>
      <c r="X543" s="810" t="s">
        <v>494</v>
      </c>
      <c r="Y543" s="811"/>
      <c r="Z543" s="811"/>
      <c r="AA543" s="811"/>
      <c r="AB543" s="811"/>
      <c r="AC543" s="811"/>
      <c r="AD543" s="811"/>
      <c r="AE543" s="811"/>
      <c r="AF543" s="812"/>
      <c r="AG543" s="362" t="s">
        <v>678</v>
      </c>
      <c r="AH543" s="363"/>
      <c r="AI543" s="363"/>
      <c r="AJ543" s="363"/>
      <c r="AK543" s="363"/>
      <c r="AL543" s="363"/>
      <c r="AM543" s="363"/>
      <c r="AN543" s="363"/>
      <c r="AO543" s="363"/>
      <c r="AP543" s="363"/>
      <c r="AQ543" s="363"/>
      <c r="AR543" s="363"/>
      <c r="AS543" s="363"/>
      <c r="AT543" s="363"/>
      <c r="AU543" s="363"/>
      <c r="AV543" s="363"/>
      <c r="AW543" s="363"/>
      <c r="AX543" s="363"/>
      <c r="AY543" s="363"/>
      <c r="AZ543" s="363"/>
      <c r="BA543" s="363"/>
      <c r="BB543" s="363"/>
      <c r="BC543" s="363"/>
      <c r="BD543" s="364"/>
      <c r="BE543" s="541">
        <v>1.3470053672790527</v>
      </c>
      <c r="BF543" s="542"/>
      <c r="BG543" s="542"/>
      <c r="BH543" s="542"/>
      <c r="BI543" s="542"/>
      <c r="BJ543" s="542"/>
      <c r="BK543" s="542"/>
      <c r="BL543" s="542"/>
      <c r="BM543" s="543"/>
      <c r="BN543" s="825"/>
      <c r="BO543" s="826"/>
      <c r="BP543" s="826"/>
      <c r="BQ543" s="826"/>
      <c r="BR543" s="826"/>
      <c r="BS543" s="826"/>
      <c r="BT543" s="826"/>
      <c r="BU543" s="826"/>
      <c r="BV543" s="827"/>
      <c r="BW543" s="20"/>
      <c r="BX543" s="20"/>
      <c r="BY543" s="20"/>
      <c r="BZ543" s="20"/>
      <c r="CA543" s="20"/>
      <c r="CB543" s="20"/>
      <c r="CC543" s="17"/>
      <c r="CD543" s="17"/>
      <c r="CE543" s="18"/>
    </row>
    <row r="544" spans="1:83" s="9" customFormat="1" ht="12" customHeight="1" x14ac:dyDescent="0.15">
      <c r="A544" s="16"/>
      <c r="B544" s="8"/>
      <c r="C544" s="17"/>
      <c r="D544" s="17"/>
      <c r="E544" s="17"/>
      <c r="F544" s="813" t="s">
        <v>174</v>
      </c>
      <c r="G544" s="814"/>
      <c r="H544" s="815"/>
      <c r="I544" s="358"/>
      <c r="J544" s="156"/>
      <c r="K544" s="156"/>
      <c r="L544" s="156"/>
      <c r="M544" s="156"/>
      <c r="N544" s="156"/>
      <c r="O544" s="156"/>
      <c r="P544" s="156"/>
      <c r="Q544" s="156"/>
      <c r="R544" s="156"/>
      <c r="S544" s="156"/>
      <c r="T544" s="156"/>
      <c r="U544" s="156"/>
      <c r="V544" s="156"/>
      <c r="W544" s="359"/>
      <c r="X544" s="819" t="s">
        <v>462</v>
      </c>
      <c r="Y544" s="820"/>
      <c r="Z544" s="820"/>
      <c r="AA544" s="820"/>
      <c r="AB544" s="820"/>
      <c r="AC544" s="820"/>
      <c r="AD544" s="820"/>
      <c r="AE544" s="820"/>
      <c r="AF544" s="820"/>
      <c r="AG544" s="820"/>
      <c r="AH544" s="820"/>
      <c r="AI544" s="820"/>
      <c r="AJ544" s="820"/>
      <c r="AK544" s="820"/>
      <c r="AL544" s="820"/>
      <c r="AM544" s="820"/>
      <c r="AN544" s="820"/>
      <c r="AO544" s="820"/>
      <c r="AP544" s="820"/>
      <c r="AQ544" s="820"/>
      <c r="AR544" s="820"/>
      <c r="AS544" s="820"/>
      <c r="AT544" s="820"/>
      <c r="AU544" s="820"/>
      <c r="AV544" s="820"/>
      <c r="AW544" s="820"/>
      <c r="AX544" s="820"/>
      <c r="AY544" s="820"/>
      <c r="AZ544" s="820"/>
      <c r="BA544" s="820"/>
      <c r="BB544" s="820"/>
      <c r="BC544" s="820"/>
      <c r="BD544" s="821"/>
      <c r="BE544" s="816">
        <f>SUM(BE536:BM543)</f>
        <v>14.309928752481937</v>
      </c>
      <c r="BF544" s="817"/>
      <c r="BG544" s="817"/>
      <c r="BH544" s="817"/>
      <c r="BI544" s="817"/>
      <c r="BJ544" s="817"/>
      <c r="BK544" s="817"/>
      <c r="BL544" s="817"/>
      <c r="BM544" s="818"/>
      <c r="BN544" s="828">
        <f>BE544*1.25</f>
        <v>17.887410940602422</v>
      </c>
      <c r="BO544" s="829"/>
      <c r="BP544" s="829"/>
      <c r="BQ544" s="829"/>
      <c r="BR544" s="829"/>
      <c r="BS544" s="829"/>
      <c r="BT544" s="829"/>
      <c r="BU544" s="829"/>
      <c r="BV544" s="830"/>
      <c r="BW544" s="20"/>
      <c r="BX544" s="20"/>
      <c r="BY544" s="20"/>
      <c r="BZ544" s="20"/>
      <c r="CA544" s="20"/>
      <c r="CB544" s="20"/>
      <c r="CC544" s="17"/>
      <c r="CD544" s="17"/>
      <c r="CE544" s="18"/>
    </row>
    <row r="545" spans="1:83" s="9" customFormat="1" ht="12" customHeight="1" x14ac:dyDescent="0.15">
      <c r="A545" s="16"/>
      <c r="B545" s="8"/>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20"/>
      <c r="CA545" s="20"/>
      <c r="CB545" s="20"/>
      <c r="CC545" s="17"/>
      <c r="CD545" s="17"/>
      <c r="CE545" s="18"/>
    </row>
    <row r="546" spans="1:83" s="9" customFormat="1" ht="12" customHeight="1" x14ac:dyDescent="0.15">
      <c r="A546" s="16"/>
      <c r="B546" s="8"/>
      <c r="C546" s="17"/>
      <c r="D546" s="17"/>
      <c r="E546" s="17" t="s">
        <v>689</v>
      </c>
      <c r="F546" s="17"/>
      <c r="G546" s="17"/>
      <c r="H546" s="17"/>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17"/>
      <c r="CD546" s="17"/>
      <c r="CE546" s="18"/>
    </row>
    <row r="547" spans="1:83" s="9" customFormat="1" ht="12" customHeight="1" x14ac:dyDescent="0.15">
      <c r="A547" s="16"/>
      <c r="B547" s="8"/>
      <c r="C547" s="17"/>
      <c r="D547" s="17"/>
      <c r="E547" s="17"/>
      <c r="F547" s="366" t="s">
        <v>829</v>
      </c>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17"/>
      <c r="CD547" s="17"/>
      <c r="CE547" s="18"/>
    </row>
    <row r="548" spans="1:83" s="9" customFormat="1" ht="12" customHeight="1" x14ac:dyDescent="0.15">
      <c r="A548" s="16"/>
      <c r="B548" s="8"/>
      <c r="C548" s="17"/>
      <c r="D548" s="17"/>
      <c r="E548" s="17"/>
      <c r="F548" s="17" t="s">
        <v>782</v>
      </c>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17"/>
      <c r="CD548" s="17"/>
      <c r="CE548" s="18"/>
    </row>
    <row r="549" spans="1:83" s="9" customFormat="1" ht="12" customHeight="1" x14ac:dyDescent="0.15">
      <c r="A549" s="16"/>
      <c r="B549" s="8"/>
      <c r="C549" s="17"/>
      <c r="D549" s="17"/>
      <c r="E549" s="17"/>
      <c r="F549" s="17"/>
      <c r="G549" s="17"/>
      <c r="H549" s="20"/>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17"/>
      <c r="CD549" s="17"/>
      <c r="CE549" s="18"/>
    </row>
    <row r="550" spans="1:83" s="9" customFormat="1" ht="12" customHeight="1" x14ac:dyDescent="0.15">
      <c r="A550" s="16"/>
      <c r="B550" s="8"/>
      <c r="C550" s="17"/>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17"/>
      <c r="CD550" s="17"/>
      <c r="CE550" s="18"/>
    </row>
    <row r="551" spans="1:83" s="9" customFormat="1" ht="12" customHeight="1" x14ac:dyDescent="0.15">
      <c r="A551" s="16"/>
      <c r="B551" s="8"/>
      <c r="C551" s="17"/>
      <c r="D551" s="17"/>
      <c r="E551" s="17"/>
      <c r="F551" s="17"/>
      <c r="H551" s="20"/>
      <c r="I551" s="20"/>
      <c r="J551" s="20"/>
      <c r="K551" s="20"/>
      <c r="L551" s="20"/>
      <c r="M551" s="20"/>
      <c r="N551" s="20"/>
      <c r="O551" s="20"/>
      <c r="P551" s="20"/>
      <c r="Q551" s="20"/>
      <c r="R551" s="20"/>
      <c r="S551" s="20"/>
      <c r="T551" s="20"/>
      <c r="U551" s="20"/>
      <c r="V551" s="20"/>
      <c r="W551" s="20"/>
      <c r="X551" s="20"/>
      <c r="Y551" s="20"/>
      <c r="Z551" s="20"/>
      <c r="AA551" s="20"/>
      <c r="BR551" s="17"/>
      <c r="BS551" s="17"/>
      <c r="BT551" s="20"/>
      <c r="BU551" s="20"/>
      <c r="BV551" s="20"/>
      <c r="BW551" s="20"/>
      <c r="BX551" s="20"/>
      <c r="BY551" s="20"/>
      <c r="BZ551" s="20"/>
      <c r="CA551" s="20"/>
      <c r="CB551" s="20"/>
      <c r="CC551" s="17"/>
      <c r="CD551" s="17"/>
      <c r="CE551" s="18"/>
    </row>
    <row r="552" spans="1:83" s="9" customFormat="1" ht="12" customHeight="1" thickBot="1" x14ac:dyDescent="0.2">
      <c r="A552" s="25"/>
      <c r="B552" s="30"/>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7"/>
      <c r="BA552" s="27"/>
      <c r="BB552" s="27"/>
      <c r="BC552" s="27"/>
      <c r="BD552" s="27"/>
      <c r="BE552" s="27"/>
      <c r="BF552" s="27"/>
      <c r="BG552" s="27"/>
      <c r="BH552" s="27"/>
      <c r="BI552" s="27"/>
      <c r="BJ552" s="27"/>
      <c r="BK552" s="27"/>
      <c r="BL552" s="27"/>
      <c r="BM552" s="27"/>
      <c r="BN552" s="27"/>
      <c r="BO552" s="27"/>
      <c r="BP552" s="27"/>
      <c r="BQ552" s="27"/>
      <c r="BR552" s="27"/>
      <c r="BS552" s="27"/>
      <c r="BT552" s="27"/>
      <c r="BU552" s="27"/>
      <c r="BV552" s="27"/>
      <c r="BW552" s="27"/>
      <c r="BX552" s="27"/>
      <c r="BY552" s="27"/>
      <c r="BZ552" s="27"/>
      <c r="CA552" s="27"/>
      <c r="CB552" s="27"/>
      <c r="CC552" s="26"/>
      <c r="CD552" s="26"/>
      <c r="CE552" s="28"/>
    </row>
    <row r="553" spans="1:83" s="4" customFormat="1" ht="12" customHeight="1" x14ac:dyDescent="0.15">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c r="BY553" s="14"/>
      <c r="BZ553" s="14"/>
      <c r="CA553" s="14"/>
      <c r="CB553" s="14"/>
      <c r="CC553" s="14"/>
      <c r="CD553" s="14"/>
      <c r="CE553" s="15"/>
    </row>
    <row r="554" spans="1:83" s="9" customFormat="1" ht="12.75" customHeight="1" x14ac:dyDescent="0.15">
      <c r="A554" s="16"/>
      <c r="B554" s="8"/>
      <c r="C554" s="29"/>
      <c r="D554" s="21" t="s">
        <v>429</v>
      </c>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c r="CA554" s="12"/>
      <c r="CB554" s="12"/>
      <c r="CC554" s="12"/>
      <c r="CD554" s="12"/>
      <c r="CE554" s="18"/>
    </row>
    <row r="555" spans="1:83" s="385" customFormat="1" ht="12.75" customHeight="1" x14ac:dyDescent="0.15">
      <c r="A555" s="381"/>
      <c r="B555" s="382"/>
      <c r="C555" s="383"/>
      <c r="D555" s="604" t="s">
        <v>877</v>
      </c>
      <c r="E555" s="605"/>
      <c r="F555" s="605"/>
      <c r="G555" s="605"/>
      <c r="H555" s="605"/>
      <c r="I555" s="605"/>
      <c r="J555" s="605"/>
      <c r="K555" s="605"/>
      <c r="L555" s="605"/>
      <c r="M555" s="605"/>
      <c r="N555" s="605"/>
      <c r="O555" s="605"/>
      <c r="P555" s="605"/>
      <c r="Q555" s="605"/>
      <c r="R555" s="605"/>
      <c r="S555" s="605"/>
      <c r="T555" s="605"/>
      <c r="U555" s="605"/>
      <c r="V555" s="605"/>
      <c r="W555" s="605"/>
      <c r="X555" s="605"/>
      <c r="Y555" s="605"/>
      <c r="Z555" s="605"/>
      <c r="AA555" s="605"/>
      <c r="AB555" s="605"/>
      <c r="AC555" s="605"/>
      <c r="AD555" s="605"/>
      <c r="AE555" s="605"/>
      <c r="AF555" s="605"/>
      <c r="AG555" s="605"/>
      <c r="AH555" s="605"/>
      <c r="AI555" s="605"/>
      <c r="AJ555" s="605"/>
      <c r="AK555" s="605"/>
      <c r="AL555" s="605"/>
      <c r="AM555" s="605"/>
      <c r="AN555" s="605"/>
      <c r="AO555" s="605"/>
      <c r="AP555" s="605"/>
      <c r="AQ555" s="605"/>
      <c r="AR555" s="605"/>
      <c r="AS555" s="605"/>
      <c r="AT555" s="605"/>
      <c r="AU555" s="605"/>
      <c r="AV555" s="605"/>
      <c r="AW555" s="605"/>
      <c r="AX555" s="605"/>
      <c r="AY555" s="605"/>
      <c r="AZ555" s="605"/>
      <c r="BA555" s="605"/>
      <c r="BB555" s="605"/>
      <c r="BC555" s="605"/>
      <c r="BD555" s="605"/>
      <c r="BE555" s="605"/>
      <c r="BF555" s="605"/>
      <c r="BG555" s="605"/>
      <c r="BH555" s="605"/>
      <c r="BI555" s="605"/>
      <c r="BJ555" s="605"/>
      <c r="BK555" s="605"/>
      <c r="BL555" s="605"/>
      <c r="BM555" s="605"/>
      <c r="BN555" s="605"/>
      <c r="BO555" s="605"/>
      <c r="BP555" s="605"/>
      <c r="BQ555" s="605"/>
      <c r="BR555" s="605"/>
      <c r="BS555" s="605"/>
      <c r="BT555" s="605"/>
      <c r="BU555" s="605"/>
      <c r="BV555" s="605"/>
      <c r="BW555" s="605"/>
      <c r="BX555" s="605"/>
      <c r="BY555" s="605"/>
      <c r="BZ555" s="605"/>
      <c r="CA555" s="605"/>
      <c r="CB555" s="605"/>
      <c r="CC555" s="605"/>
      <c r="CD555" s="606"/>
      <c r="CE555" s="384"/>
    </row>
    <row r="556" spans="1:83" s="385" customFormat="1" ht="12.75" customHeight="1" x14ac:dyDescent="0.15">
      <c r="A556" s="381"/>
      <c r="B556" s="382"/>
      <c r="C556" s="383"/>
      <c r="D556" s="607"/>
      <c r="E556" s="608"/>
      <c r="F556" s="608"/>
      <c r="G556" s="608"/>
      <c r="H556" s="608"/>
      <c r="I556" s="608"/>
      <c r="J556" s="608"/>
      <c r="K556" s="608"/>
      <c r="L556" s="608"/>
      <c r="M556" s="608"/>
      <c r="N556" s="608"/>
      <c r="O556" s="608"/>
      <c r="P556" s="608"/>
      <c r="Q556" s="608"/>
      <c r="R556" s="608"/>
      <c r="S556" s="608"/>
      <c r="T556" s="608"/>
      <c r="U556" s="608"/>
      <c r="V556" s="608"/>
      <c r="W556" s="608"/>
      <c r="X556" s="608"/>
      <c r="Y556" s="608"/>
      <c r="Z556" s="608"/>
      <c r="AA556" s="608"/>
      <c r="AB556" s="608"/>
      <c r="AC556" s="608"/>
      <c r="AD556" s="608"/>
      <c r="AE556" s="608"/>
      <c r="AF556" s="608"/>
      <c r="AG556" s="608"/>
      <c r="AH556" s="608"/>
      <c r="AI556" s="608"/>
      <c r="AJ556" s="608"/>
      <c r="AK556" s="608"/>
      <c r="AL556" s="608"/>
      <c r="AM556" s="608"/>
      <c r="AN556" s="608"/>
      <c r="AO556" s="608"/>
      <c r="AP556" s="608"/>
      <c r="AQ556" s="608"/>
      <c r="AR556" s="608"/>
      <c r="AS556" s="608"/>
      <c r="AT556" s="608"/>
      <c r="AU556" s="608"/>
      <c r="AV556" s="608"/>
      <c r="AW556" s="608"/>
      <c r="AX556" s="608"/>
      <c r="AY556" s="608"/>
      <c r="AZ556" s="608"/>
      <c r="BA556" s="608"/>
      <c r="BB556" s="608"/>
      <c r="BC556" s="608"/>
      <c r="BD556" s="608"/>
      <c r="BE556" s="608"/>
      <c r="BF556" s="608"/>
      <c r="BG556" s="608"/>
      <c r="BH556" s="608"/>
      <c r="BI556" s="608"/>
      <c r="BJ556" s="608"/>
      <c r="BK556" s="608"/>
      <c r="BL556" s="608"/>
      <c r="BM556" s="608"/>
      <c r="BN556" s="608"/>
      <c r="BO556" s="608"/>
      <c r="BP556" s="608"/>
      <c r="BQ556" s="608"/>
      <c r="BR556" s="608"/>
      <c r="BS556" s="608"/>
      <c r="BT556" s="608"/>
      <c r="BU556" s="608"/>
      <c r="BV556" s="608"/>
      <c r="BW556" s="608"/>
      <c r="BX556" s="608"/>
      <c r="BY556" s="608"/>
      <c r="BZ556" s="608"/>
      <c r="CA556" s="608"/>
      <c r="CB556" s="608"/>
      <c r="CC556" s="608"/>
      <c r="CD556" s="609"/>
      <c r="CE556" s="384"/>
    </row>
    <row r="557" spans="1:83" s="9" customFormat="1" ht="12.75" customHeight="1" x14ac:dyDescent="0.15">
      <c r="A557" s="16"/>
      <c r="B557" s="8"/>
      <c r="C557" s="29"/>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8"/>
    </row>
    <row r="558" spans="1:83" s="9" customFormat="1" ht="12" customHeight="1" x14ac:dyDescent="0.15">
      <c r="A558" s="16"/>
      <c r="B558" s="8"/>
      <c r="C558" s="22"/>
      <c r="D558" s="67" t="s">
        <v>367</v>
      </c>
      <c r="E558" s="68"/>
      <c r="F558" s="118"/>
      <c r="G558" s="118"/>
      <c r="H558" s="118"/>
      <c r="I558" s="118"/>
      <c r="J558" s="118"/>
      <c r="K558" s="118"/>
      <c r="L558" s="118"/>
      <c r="M558" s="118"/>
      <c r="N558" s="118"/>
      <c r="O558" s="117"/>
      <c r="P558" s="116" t="s">
        <v>366</v>
      </c>
      <c r="Q558" s="118"/>
      <c r="R558" s="118"/>
      <c r="S558" s="118"/>
      <c r="T558" s="118"/>
      <c r="U558" s="118"/>
      <c r="V558" s="118"/>
      <c r="W558" s="118"/>
      <c r="X558" s="118"/>
      <c r="Y558" s="118"/>
      <c r="Z558" s="118"/>
      <c r="AA558" s="118"/>
      <c r="AB558" s="118"/>
      <c r="AC558" s="118"/>
      <c r="AD558" s="118"/>
      <c r="AE558" s="118"/>
      <c r="AF558" s="118"/>
      <c r="AG558" s="118"/>
      <c r="AH558" s="118"/>
      <c r="AI558" s="118"/>
      <c r="AJ558" s="118"/>
      <c r="AK558" s="118"/>
      <c r="AL558" s="118"/>
      <c r="AM558" s="118"/>
      <c r="AN558" s="118"/>
      <c r="AO558" s="118"/>
      <c r="AP558" s="118"/>
      <c r="AQ558" s="118"/>
      <c r="AR558" s="118"/>
      <c r="AS558" s="118"/>
      <c r="AT558" s="118"/>
      <c r="AU558" s="118"/>
      <c r="AV558" s="118"/>
      <c r="AW558" s="118"/>
      <c r="AX558" s="118"/>
      <c r="AY558" s="118"/>
      <c r="AZ558" s="118"/>
      <c r="BA558" s="118"/>
      <c r="BB558" s="118"/>
      <c r="BC558" s="118"/>
      <c r="BD558" s="118"/>
      <c r="BE558" s="118"/>
      <c r="BF558" s="118"/>
      <c r="BG558" s="118"/>
      <c r="BH558" s="118"/>
      <c r="BI558" s="118"/>
      <c r="BJ558" s="118"/>
      <c r="BK558" s="118"/>
      <c r="BL558" s="118"/>
      <c r="BM558" s="118"/>
      <c r="BN558" s="118"/>
      <c r="BO558" s="118"/>
      <c r="BP558" s="118"/>
      <c r="BQ558" s="118"/>
      <c r="BR558" s="118"/>
      <c r="BS558" s="118"/>
      <c r="BT558" s="118"/>
      <c r="BU558" s="118"/>
      <c r="BV558" s="118"/>
      <c r="BW558" s="69"/>
      <c r="BX558" s="69"/>
      <c r="BY558" s="69"/>
      <c r="BZ558" s="69"/>
      <c r="CA558" s="69"/>
      <c r="CB558" s="69"/>
      <c r="CC558" s="69"/>
      <c r="CD558" s="70"/>
      <c r="CE558" s="18"/>
    </row>
    <row r="559" spans="1:83" s="9" customFormat="1" ht="12" customHeight="1" x14ac:dyDescent="0.15">
      <c r="A559" s="16"/>
      <c r="B559" s="8"/>
      <c r="C559" s="22"/>
      <c r="D559" s="44" t="s">
        <v>19</v>
      </c>
      <c r="E559" s="66"/>
      <c r="F559" s="42"/>
      <c r="G559" s="42"/>
      <c r="H559" s="42"/>
      <c r="I559" s="42"/>
      <c r="J559" s="42"/>
      <c r="K559" s="42"/>
      <c r="L559" s="42"/>
      <c r="M559" s="42"/>
      <c r="N559" s="42"/>
      <c r="O559" s="43"/>
      <c r="P559" s="638" t="s">
        <v>841</v>
      </c>
      <c r="Q559" s="639"/>
      <c r="R559" s="639"/>
      <c r="S559" s="639"/>
      <c r="T559" s="639"/>
      <c r="U559" s="639"/>
      <c r="V559" s="639"/>
      <c r="W559" s="639"/>
      <c r="X559" s="639"/>
      <c r="Y559" s="639"/>
      <c r="Z559" s="639"/>
      <c r="AA559" s="639"/>
      <c r="AB559" s="639"/>
      <c r="AC559" s="639"/>
      <c r="AD559" s="639"/>
      <c r="AE559" s="639"/>
      <c r="AF559" s="639"/>
      <c r="AG559" s="639"/>
      <c r="AH559" s="639"/>
      <c r="AI559" s="639"/>
      <c r="AJ559" s="639"/>
      <c r="AK559" s="639"/>
      <c r="AL559" s="639"/>
      <c r="AM559" s="639"/>
      <c r="AN559" s="639"/>
      <c r="AO559" s="639"/>
      <c r="AP559" s="639"/>
      <c r="AQ559" s="639"/>
      <c r="AR559" s="639"/>
      <c r="AS559" s="639"/>
      <c r="AT559" s="639"/>
      <c r="AU559" s="639"/>
      <c r="AV559" s="639"/>
      <c r="AW559" s="639"/>
      <c r="AX559" s="639"/>
      <c r="AY559" s="639"/>
      <c r="AZ559" s="639"/>
      <c r="BA559" s="639"/>
      <c r="BB559" s="639"/>
      <c r="BC559" s="639"/>
      <c r="BD559" s="639"/>
      <c r="BE559" s="639"/>
      <c r="BF559" s="639"/>
      <c r="BG559" s="639"/>
      <c r="BH559" s="639"/>
      <c r="BI559" s="639"/>
      <c r="BJ559" s="639"/>
      <c r="BK559" s="639"/>
      <c r="BL559" s="639"/>
      <c r="BM559" s="639"/>
      <c r="BN559" s="639"/>
      <c r="BO559" s="639"/>
      <c r="BP559" s="639"/>
      <c r="BQ559" s="639"/>
      <c r="BR559" s="639"/>
      <c r="BS559" s="639"/>
      <c r="BT559" s="639"/>
      <c r="BU559" s="639"/>
      <c r="BV559" s="639"/>
      <c r="BW559" s="639"/>
      <c r="BX559" s="639"/>
      <c r="BY559" s="639"/>
      <c r="BZ559" s="639"/>
      <c r="CA559" s="639"/>
      <c r="CB559" s="639"/>
      <c r="CC559" s="639"/>
      <c r="CD559" s="640"/>
      <c r="CE559" s="18"/>
    </row>
    <row r="560" spans="1:83" s="9" customFormat="1" ht="12" customHeight="1" x14ac:dyDescent="0.15">
      <c r="A560" s="16"/>
      <c r="B560" s="8"/>
      <c r="C560" s="17"/>
      <c r="D560" s="44"/>
      <c r="E560" s="17"/>
      <c r="F560" s="17"/>
      <c r="G560" s="17"/>
      <c r="H560" s="17"/>
      <c r="I560" s="17"/>
      <c r="J560" s="17"/>
      <c r="K560" s="17"/>
      <c r="L560" s="17"/>
      <c r="M560" s="17"/>
      <c r="N560" s="17"/>
      <c r="O560" s="45"/>
      <c r="P560" s="641"/>
      <c r="Q560" s="642"/>
      <c r="R560" s="642"/>
      <c r="S560" s="642"/>
      <c r="T560" s="642"/>
      <c r="U560" s="642"/>
      <c r="V560" s="642"/>
      <c r="W560" s="642"/>
      <c r="X560" s="642"/>
      <c r="Y560" s="642"/>
      <c r="Z560" s="642"/>
      <c r="AA560" s="642"/>
      <c r="AB560" s="642"/>
      <c r="AC560" s="642"/>
      <c r="AD560" s="642"/>
      <c r="AE560" s="642"/>
      <c r="AF560" s="642"/>
      <c r="AG560" s="642"/>
      <c r="AH560" s="642"/>
      <c r="AI560" s="642"/>
      <c r="AJ560" s="642"/>
      <c r="AK560" s="642"/>
      <c r="AL560" s="642"/>
      <c r="AM560" s="642"/>
      <c r="AN560" s="642"/>
      <c r="AO560" s="642"/>
      <c r="AP560" s="642"/>
      <c r="AQ560" s="642"/>
      <c r="AR560" s="642"/>
      <c r="AS560" s="642"/>
      <c r="AT560" s="642"/>
      <c r="AU560" s="642"/>
      <c r="AV560" s="642"/>
      <c r="AW560" s="642"/>
      <c r="AX560" s="642"/>
      <c r="AY560" s="642"/>
      <c r="AZ560" s="642"/>
      <c r="BA560" s="642"/>
      <c r="BB560" s="642"/>
      <c r="BC560" s="642"/>
      <c r="BD560" s="642"/>
      <c r="BE560" s="642"/>
      <c r="BF560" s="642"/>
      <c r="BG560" s="642"/>
      <c r="BH560" s="642"/>
      <c r="BI560" s="642"/>
      <c r="BJ560" s="642"/>
      <c r="BK560" s="642"/>
      <c r="BL560" s="642"/>
      <c r="BM560" s="642"/>
      <c r="BN560" s="642"/>
      <c r="BO560" s="642"/>
      <c r="BP560" s="642"/>
      <c r="BQ560" s="642"/>
      <c r="BR560" s="642"/>
      <c r="BS560" s="642"/>
      <c r="BT560" s="642"/>
      <c r="BU560" s="642"/>
      <c r="BV560" s="642"/>
      <c r="BW560" s="642"/>
      <c r="BX560" s="642"/>
      <c r="BY560" s="642"/>
      <c r="BZ560" s="642"/>
      <c r="CA560" s="642"/>
      <c r="CB560" s="642"/>
      <c r="CC560" s="642"/>
      <c r="CD560" s="643"/>
      <c r="CE560" s="18"/>
    </row>
    <row r="561" spans="1:83" s="9" customFormat="1" ht="12" customHeight="1" x14ac:dyDescent="0.15">
      <c r="A561" s="16"/>
      <c r="B561" s="8"/>
      <c r="C561" s="17"/>
      <c r="D561" s="44"/>
      <c r="E561" s="17"/>
      <c r="F561" s="17"/>
      <c r="G561" s="17"/>
      <c r="H561" s="17"/>
      <c r="I561" s="17"/>
      <c r="J561" s="17"/>
      <c r="K561" s="17"/>
      <c r="L561" s="17"/>
      <c r="M561" s="17"/>
      <c r="N561" s="17"/>
      <c r="O561" s="45"/>
      <c r="P561" s="641"/>
      <c r="Q561" s="642"/>
      <c r="R561" s="642"/>
      <c r="S561" s="642"/>
      <c r="T561" s="642"/>
      <c r="U561" s="642"/>
      <c r="V561" s="642"/>
      <c r="W561" s="642"/>
      <c r="X561" s="642"/>
      <c r="Y561" s="642"/>
      <c r="Z561" s="642"/>
      <c r="AA561" s="642"/>
      <c r="AB561" s="642"/>
      <c r="AC561" s="642"/>
      <c r="AD561" s="642"/>
      <c r="AE561" s="642"/>
      <c r="AF561" s="642"/>
      <c r="AG561" s="642"/>
      <c r="AH561" s="642"/>
      <c r="AI561" s="642"/>
      <c r="AJ561" s="642"/>
      <c r="AK561" s="642"/>
      <c r="AL561" s="642"/>
      <c r="AM561" s="642"/>
      <c r="AN561" s="642"/>
      <c r="AO561" s="642"/>
      <c r="AP561" s="642"/>
      <c r="AQ561" s="642"/>
      <c r="AR561" s="642"/>
      <c r="AS561" s="642"/>
      <c r="AT561" s="642"/>
      <c r="AU561" s="642"/>
      <c r="AV561" s="642"/>
      <c r="AW561" s="642"/>
      <c r="AX561" s="642"/>
      <c r="AY561" s="642"/>
      <c r="AZ561" s="642"/>
      <c r="BA561" s="642"/>
      <c r="BB561" s="642"/>
      <c r="BC561" s="642"/>
      <c r="BD561" s="642"/>
      <c r="BE561" s="642"/>
      <c r="BF561" s="642"/>
      <c r="BG561" s="642"/>
      <c r="BH561" s="642"/>
      <c r="BI561" s="642"/>
      <c r="BJ561" s="642"/>
      <c r="BK561" s="642"/>
      <c r="BL561" s="642"/>
      <c r="BM561" s="642"/>
      <c r="BN561" s="642"/>
      <c r="BO561" s="642"/>
      <c r="BP561" s="642"/>
      <c r="BQ561" s="642"/>
      <c r="BR561" s="642"/>
      <c r="BS561" s="642"/>
      <c r="BT561" s="642"/>
      <c r="BU561" s="642"/>
      <c r="BV561" s="642"/>
      <c r="BW561" s="642"/>
      <c r="BX561" s="642"/>
      <c r="BY561" s="642"/>
      <c r="BZ561" s="642"/>
      <c r="CA561" s="642"/>
      <c r="CB561" s="642"/>
      <c r="CC561" s="642"/>
      <c r="CD561" s="643"/>
      <c r="CE561" s="18"/>
    </row>
    <row r="562" spans="1:83" s="9" customFormat="1" ht="12" customHeight="1" x14ac:dyDescent="0.15">
      <c r="A562" s="16"/>
      <c r="B562" s="8"/>
      <c r="C562" s="17"/>
      <c r="D562" s="46"/>
      <c r="E562" s="47"/>
      <c r="F562" s="47"/>
      <c r="G562" s="47"/>
      <c r="H562" s="47"/>
      <c r="I562" s="47"/>
      <c r="J562" s="47"/>
      <c r="K562" s="47"/>
      <c r="L562" s="47"/>
      <c r="M562" s="47"/>
      <c r="N562" s="47"/>
      <c r="O562" s="48"/>
      <c r="P562" s="644"/>
      <c r="Q562" s="645"/>
      <c r="R562" s="645"/>
      <c r="S562" s="645"/>
      <c r="T562" s="645"/>
      <c r="U562" s="645"/>
      <c r="V562" s="645"/>
      <c r="W562" s="645"/>
      <c r="X562" s="645"/>
      <c r="Y562" s="645"/>
      <c r="Z562" s="645"/>
      <c r="AA562" s="645"/>
      <c r="AB562" s="645"/>
      <c r="AC562" s="645"/>
      <c r="AD562" s="645"/>
      <c r="AE562" s="645"/>
      <c r="AF562" s="645"/>
      <c r="AG562" s="645"/>
      <c r="AH562" s="645"/>
      <c r="AI562" s="645"/>
      <c r="AJ562" s="645"/>
      <c r="AK562" s="645"/>
      <c r="AL562" s="645"/>
      <c r="AM562" s="645"/>
      <c r="AN562" s="645"/>
      <c r="AO562" s="645"/>
      <c r="AP562" s="645"/>
      <c r="AQ562" s="645"/>
      <c r="AR562" s="645"/>
      <c r="AS562" s="645"/>
      <c r="AT562" s="645"/>
      <c r="AU562" s="645"/>
      <c r="AV562" s="645"/>
      <c r="AW562" s="645"/>
      <c r="AX562" s="645"/>
      <c r="AY562" s="645"/>
      <c r="AZ562" s="645"/>
      <c r="BA562" s="645"/>
      <c r="BB562" s="645"/>
      <c r="BC562" s="645"/>
      <c r="BD562" s="645"/>
      <c r="BE562" s="645"/>
      <c r="BF562" s="645"/>
      <c r="BG562" s="645"/>
      <c r="BH562" s="645"/>
      <c r="BI562" s="645"/>
      <c r="BJ562" s="645"/>
      <c r="BK562" s="645"/>
      <c r="BL562" s="645"/>
      <c r="BM562" s="645"/>
      <c r="BN562" s="645"/>
      <c r="BO562" s="645"/>
      <c r="BP562" s="645"/>
      <c r="BQ562" s="645"/>
      <c r="BR562" s="645"/>
      <c r="BS562" s="645"/>
      <c r="BT562" s="645"/>
      <c r="BU562" s="645"/>
      <c r="BV562" s="645"/>
      <c r="BW562" s="645"/>
      <c r="BX562" s="645"/>
      <c r="BY562" s="645"/>
      <c r="BZ562" s="645"/>
      <c r="CA562" s="645"/>
      <c r="CB562" s="645"/>
      <c r="CC562" s="645"/>
      <c r="CD562" s="646"/>
      <c r="CE562" s="18"/>
    </row>
    <row r="563" spans="1:83" s="9" customFormat="1" ht="12" customHeight="1" x14ac:dyDescent="0.15">
      <c r="A563" s="16"/>
      <c r="B563" s="8"/>
      <c r="C563" s="22"/>
      <c r="D563" s="44" t="s">
        <v>64</v>
      </c>
      <c r="E563" s="66"/>
      <c r="F563" s="42"/>
      <c r="G563" s="42"/>
      <c r="H563" s="42"/>
      <c r="I563" s="42"/>
      <c r="J563" s="42"/>
      <c r="K563" s="42"/>
      <c r="L563" s="42"/>
      <c r="M563" s="42"/>
      <c r="N563" s="42"/>
      <c r="O563" s="43"/>
      <c r="P563" s="638" t="s">
        <v>20</v>
      </c>
      <c r="Q563" s="639"/>
      <c r="R563" s="639"/>
      <c r="S563" s="639"/>
      <c r="T563" s="639"/>
      <c r="U563" s="639"/>
      <c r="V563" s="639"/>
      <c r="W563" s="639"/>
      <c r="X563" s="639"/>
      <c r="Y563" s="639"/>
      <c r="Z563" s="639"/>
      <c r="AA563" s="639"/>
      <c r="AB563" s="639"/>
      <c r="AC563" s="639"/>
      <c r="AD563" s="639"/>
      <c r="AE563" s="639"/>
      <c r="AF563" s="639"/>
      <c r="AG563" s="639"/>
      <c r="AH563" s="639"/>
      <c r="AI563" s="639"/>
      <c r="AJ563" s="639"/>
      <c r="AK563" s="639"/>
      <c r="AL563" s="639"/>
      <c r="AM563" s="639"/>
      <c r="AN563" s="639"/>
      <c r="AO563" s="639"/>
      <c r="AP563" s="639"/>
      <c r="AQ563" s="639"/>
      <c r="AR563" s="639"/>
      <c r="AS563" s="639"/>
      <c r="AT563" s="639"/>
      <c r="AU563" s="639"/>
      <c r="AV563" s="639"/>
      <c r="AW563" s="639"/>
      <c r="AX563" s="639"/>
      <c r="AY563" s="639"/>
      <c r="AZ563" s="639"/>
      <c r="BA563" s="639"/>
      <c r="BB563" s="639"/>
      <c r="BC563" s="639"/>
      <c r="BD563" s="639"/>
      <c r="BE563" s="639"/>
      <c r="BF563" s="639"/>
      <c r="BG563" s="639"/>
      <c r="BH563" s="639"/>
      <c r="BI563" s="639"/>
      <c r="BJ563" s="639"/>
      <c r="BK563" s="639"/>
      <c r="BL563" s="639"/>
      <c r="BM563" s="639"/>
      <c r="BN563" s="639"/>
      <c r="BO563" s="639"/>
      <c r="BP563" s="639"/>
      <c r="BQ563" s="639"/>
      <c r="BR563" s="639"/>
      <c r="BS563" s="639"/>
      <c r="BT563" s="639"/>
      <c r="BU563" s="639"/>
      <c r="BV563" s="639"/>
      <c r="BW563" s="639"/>
      <c r="BX563" s="639"/>
      <c r="BY563" s="639"/>
      <c r="BZ563" s="639"/>
      <c r="CA563" s="639"/>
      <c r="CB563" s="639"/>
      <c r="CC563" s="639"/>
      <c r="CD563" s="640"/>
      <c r="CE563" s="18"/>
    </row>
    <row r="564" spans="1:83" s="9" customFormat="1" ht="12" customHeight="1" x14ac:dyDescent="0.15">
      <c r="A564" s="16"/>
      <c r="B564" s="8"/>
      <c r="C564" s="17"/>
      <c r="D564" s="44"/>
      <c r="E564" s="17"/>
      <c r="F564" s="17"/>
      <c r="G564" s="17"/>
      <c r="H564" s="17"/>
      <c r="I564" s="17"/>
      <c r="J564" s="17"/>
      <c r="K564" s="17"/>
      <c r="L564" s="17"/>
      <c r="M564" s="17"/>
      <c r="N564" s="17"/>
      <c r="O564" s="45"/>
      <c r="P564" s="641"/>
      <c r="Q564" s="642"/>
      <c r="R564" s="642"/>
      <c r="S564" s="642"/>
      <c r="T564" s="642"/>
      <c r="U564" s="642"/>
      <c r="V564" s="642"/>
      <c r="W564" s="642"/>
      <c r="X564" s="642"/>
      <c r="Y564" s="642"/>
      <c r="Z564" s="642"/>
      <c r="AA564" s="642"/>
      <c r="AB564" s="642"/>
      <c r="AC564" s="642"/>
      <c r="AD564" s="642"/>
      <c r="AE564" s="642"/>
      <c r="AF564" s="642"/>
      <c r="AG564" s="642"/>
      <c r="AH564" s="642"/>
      <c r="AI564" s="642"/>
      <c r="AJ564" s="642"/>
      <c r="AK564" s="642"/>
      <c r="AL564" s="642"/>
      <c r="AM564" s="642"/>
      <c r="AN564" s="642"/>
      <c r="AO564" s="642"/>
      <c r="AP564" s="642"/>
      <c r="AQ564" s="642"/>
      <c r="AR564" s="642"/>
      <c r="AS564" s="642"/>
      <c r="AT564" s="642"/>
      <c r="AU564" s="642"/>
      <c r="AV564" s="642"/>
      <c r="AW564" s="642"/>
      <c r="AX564" s="642"/>
      <c r="AY564" s="642"/>
      <c r="AZ564" s="642"/>
      <c r="BA564" s="642"/>
      <c r="BB564" s="642"/>
      <c r="BC564" s="642"/>
      <c r="BD564" s="642"/>
      <c r="BE564" s="642"/>
      <c r="BF564" s="642"/>
      <c r="BG564" s="642"/>
      <c r="BH564" s="642"/>
      <c r="BI564" s="642"/>
      <c r="BJ564" s="642"/>
      <c r="BK564" s="642"/>
      <c r="BL564" s="642"/>
      <c r="BM564" s="642"/>
      <c r="BN564" s="642"/>
      <c r="BO564" s="642"/>
      <c r="BP564" s="642"/>
      <c r="BQ564" s="642"/>
      <c r="BR564" s="642"/>
      <c r="BS564" s="642"/>
      <c r="BT564" s="642"/>
      <c r="BU564" s="642"/>
      <c r="BV564" s="642"/>
      <c r="BW564" s="642"/>
      <c r="BX564" s="642"/>
      <c r="BY564" s="642"/>
      <c r="BZ564" s="642"/>
      <c r="CA564" s="642"/>
      <c r="CB564" s="642"/>
      <c r="CC564" s="642"/>
      <c r="CD564" s="643"/>
      <c r="CE564" s="18"/>
    </row>
    <row r="565" spans="1:83" s="9" customFormat="1" ht="12" customHeight="1" x14ac:dyDescent="0.15">
      <c r="A565" s="16"/>
      <c r="B565" s="8"/>
      <c r="C565" s="17"/>
      <c r="D565" s="46"/>
      <c r="E565" s="47"/>
      <c r="F565" s="47"/>
      <c r="G565" s="47"/>
      <c r="H565" s="47"/>
      <c r="I565" s="47"/>
      <c r="J565" s="47"/>
      <c r="K565" s="47"/>
      <c r="L565" s="47"/>
      <c r="M565" s="47"/>
      <c r="N565" s="47"/>
      <c r="O565" s="48"/>
      <c r="P565" s="644"/>
      <c r="Q565" s="645"/>
      <c r="R565" s="645"/>
      <c r="S565" s="645"/>
      <c r="T565" s="645"/>
      <c r="U565" s="645"/>
      <c r="V565" s="645"/>
      <c r="W565" s="645"/>
      <c r="X565" s="645"/>
      <c r="Y565" s="645"/>
      <c r="Z565" s="645"/>
      <c r="AA565" s="645"/>
      <c r="AB565" s="645"/>
      <c r="AC565" s="645"/>
      <c r="AD565" s="645"/>
      <c r="AE565" s="645"/>
      <c r="AF565" s="645"/>
      <c r="AG565" s="645"/>
      <c r="AH565" s="645"/>
      <c r="AI565" s="645"/>
      <c r="AJ565" s="645"/>
      <c r="AK565" s="645"/>
      <c r="AL565" s="645"/>
      <c r="AM565" s="645"/>
      <c r="AN565" s="645"/>
      <c r="AO565" s="645"/>
      <c r="AP565" s="645"/>
      <c r="AQ565" s="645"/>
      <c r="AR565" s="645"/>
      <c r="AS565" s="645"/>
      <c r="AT565" s="645"/>
      <c r="AU565" s="645"/>
      <c r="AV565" s="645"/>
      <c r="AW565" s="645"/>
      <c r="AX565" s="645"/>
      <c r="AY565" s="645"/>
      <c r="AZ565" s="645"/>
      <c r="BA565" s="645"/>
      <c r="BB565" s="645"/>
      <c r="BC565" s="645"/>
      <c r="BD565" s="645"/>
      <c r="BE565" s="645"/>
      <c r="BF565" s="645"/>
      <c r="BG565" s="645"/>
      <c r="BH565" s="645"/>
      <c r="BI565" s="645"/>
      <c r="BJ565" s="645"/>
      <c r="BK565" s="645"/>
      <c r="BL565" s="645"/>
      <c r="BM565" s="645"/>
      <c r="BN565" s="645"/>
      <c r="BO565" s="645"/>
      <c r="BP565" s="645"/>
      <c r="BQ565" s="645"/>
      <c r="BR565" s="645"/>
      <c r="BS565" s="645"/>
      <c r="BT565" s="645"/>
      <c r="BU565" s="645"/>
      <c r="BV565" s="645"/>
      <c r="BW565" s="645"/>
      <c r="BX565" s="645"/>
      <c r="BY565" s="645"/>
      <c r="BZ565" s="645"/>
      <c r="CA565" s="645"/>
      <c r="CB565" s="645"/>
      <c r="CC565" s="645"/>
      <c r="CD565" s="646"/>
      <c r="CE565" s="18"/>
    </row>
    <row r="566" spans="1:83" s="9" customFormat="1" ht="12" customHeight="1" x14ac:dyDescent="0.15">
      <c r="A566" s="16"/>
      <c r="B566" s="8"/>
      <c r="C566" s="17"/>
      <c r="D566" s="17"/>
      <c r="E566" s="17"/>
      <c r="F566" s="17"/>
      <c r="G566" s="17"/>
      <c r="H566" s="17"/>
      <c r="I566" s="17"/>
      <c r="J566" s="17"/>
      <c r="K566" s="17"/>
      <c r="L566" s="17"/>
      <c r="M566" s="17"/>
      <c r="N566" s="17"/>
      <c r="O566" s="17"/>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18"/>
    </row>
    <row r="567" spans="1:83" s="9" customFormat="1" ht="12.75" customHeight="1" x14ac:dyDescent="0.15">
      <c r="A567" s="16"/>
      <c r="B567" s="8"/>
      <c r="C567" s="29"/>
      <c r="D567" s="116" t="s">
        <v>467</v>
      </c>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c r="AA567" s="118"/>
      <c r="AB567" s="118"/>
      <c r="AC567" s="118"/>
      <c r="AD567" s="118"/>
      <c r="AE567" s="118"/>
      <c r="AF567" s="118"/>
      <c r="AG567" s="118"/>
      <c r="AH567" s="118"/>
      <c r="AI567" s="118"/>
      <c r="AJ567" s="118"/>
      <c r="AK567" s="118"/>
      <c r="AL567" s="118"/>
      <c r="AM567" s="118"/>
      <c r="AN567" s="118"/>
      <c r="AO567" s="118"/>
      <c r="AP567" s="118"/>
      <c r="AQ567" s="118"/>
      <c r="AR567" s="118"/>
      <c r="AS567" s="118"/>
      <c r="AT567" s="118"/>
      <c r="AU567" s="118"/>
      <c r="AV567" s="118"/>
      <c r="AW567" s="118"/>
      <c r="AX567" s="118"/>
      <c r="AY567" s="118"/>
      <c r="AZ567" s="118"/>
      <c r="BA567" s="118"/>
      <c r="BB567" s="118"/>
      <c r="BC567" s="118"/>
      <c r="BD567" s="118"/>
      <c r="BE567" s="118"/>
      <c r="BF567" s="118"/>
      <c r="BG567" s="118"/>
      <c r="BH567" s="118"/>
      <c r="BI567" s="118"/>
      <c r="BJ567" s="118"/>
      <c r="BK567" s="69"/>
      <c r="BL567" s="69"/>
      <c r="BM567" s="69"/>
      <c r="BN567" s="69"/>
      <c r="BO567" s="69"/>
      <c r="BP567" s="69"/>
      <c r="BQ567" s="69"/>
      <c r="BR567" s="69"/>
      <c r="BS567" s="69"/>
      <c r="BT567" s="69"/>
      <c r="BU567" s="69"/>
      <c r="BV567" s="69"/>
      <c r="BW567" s="69"/>
      <c r="BX567" s="69"/>
      <c r="BY567" s="69"/>
      <c r="BZ567" s="69"/>
      <c r="CA567" s="69"/>
      <c r="CB567" s="69"/>
      <c r="CC567" s="69"/>
      <c r="CD567" s="70"/>
      <c r="CE567" s="18"/>
    </row>
    <row r="568" spans="1:83" s="9" customFormat="1" ht="12.75" customHeight="1" x14ac:dyDescent="0.15">
      <c r="A568" s="16"/>
      <c r="B568" s="8"/>
      <c r="C568" s="29"/>
      <c r="D568" s="165" t="s">
        <v>462</v>
      </c>
      <c r="E568" s="35"/>
      <c r="F568" s="35"/>
      <c r="G568" s="35"/>
      <c r="H568" s="35"/>
      <c r="I568" s="35"/>
      <c r="J568" s="36"/>
      <c r="K568" s="34" t="s">
        <v>466</v>
      </c>
      <c r="L568" s="35"/>
      <c r="M568" s="35"/>
      <c r="N568" s="35"/>
      <c r="O568" s="36"/>
      <c r="P568" s="34" t="s">
        <v>559</v>
      </c>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c r="BH568" s="35"/>
      <c r="BI568" s="35"/>
      <c r="BJ568" s="35"/>
      <c r="BK568" s="35"/>
      <c r="BL568" s="35"/>
      <c r="BM568" s="35"/>
      <c r="BN568" s="35"/>
      <c r="BO568" s="35"/>
      <c r="BP568" s="35"/>
      <c r="BQ568" s="35"/>
      <c r="BR568" s="35"/>
      <c r="BS568" s="35"/>
      <c r="BT568" s="35"/>
      <c r="BU568" s="35"/>
      <c r="BV568" s="35"/>
      <c r="BW568" s="35"/>
      <c r="BX568" s="35"/>
      <c r="BY568" s="35"/>
      <c r="BZ568" s="35"/>
      <c r="CA568" s="35"/>
      <c r="CB568" s="35"/>
      <c r="CC568" s="35"/>
      <c r="CD568" s="36"/>
      <c r="CE568" s="18"/>
    </row>
    <row r="569" spans="1:83" s="9" customFormat="1" ht="12.75" customHeight="1" x14ac:dyDescent="0.15">
      <c r="A569" s="16"/>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18"/>
    </row>
    <row r="570" spans="1:83" s="9" customFormat="1" ht="12.75" customHeight="1" x14ac:dyDescent="0.15">
      <c r="A570" s="16"/>
      <c r="B570" s="8"/>
      <c r="C570" s="29"/>
      <c r="D570" s="248" t="s">
        <v>852</v>
      </c>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c r="AA570" s="118"/>
      <c r="AB570" s="118"/>
      <c r="AC570" s="118"/>
      <c r="AD570" s="118"/>
      <c r="AE570" s="118"/>
      <c r="AF570" s="118"/>
      <c r="AG570" s="118"/>
      <c r="AH570" s="118"/>
      <c r="AI570" s="118"/>
      <c r="AJ570" s="118"/>
      <c r="AK570" s="118"/>
      <c r="AL570" s="118"/>
      <c r="AM570" s="118"/>
      <c r="AN570" s="118"/>
      <c r="AO570" s="118"/>
      <c r="AP570" s="118"/>
      <c r="AQ570" s="118"/>
      <c r="AR570" s="118"/>
      <c r="AS570" s="118"/>
      <c r="AT570" s="118"/>
      <c r="AU570" s="118"/>
      <c r="AV570" s="118"/>
      <c r="AW570" s="118"/>
      <c r="AX570" s="118"/>
      <c r="AY570" s="118"/>
      <c r="AZ570" s="118"/>
      <c r="BA570" s="118"/>
      <c r="BB570" s="118"/>
      <c r="BC570" s="118"/>
      <c r="BD570" s="118"/>
      <c r="BE570" s="118"/>
      <c r="BF570" s="118"/>
      <c r="BG570" s="118"/>
      <c r="BH570" s="118"/>
      <c r="BI570" s="118"/>
      <c r="BJ570" s="118"/>
      <c r="BK570" s="69"/>
      <c r="BL570" s="69"/>
      <c r="BM570" s="69"/>
      <c r="BN570" s="69"/>
      <c r="BO570" s="69"/>
      <c r="BP570" s="69"/>
      <c r="BQ570" s="69"/>
      <c r="BR570" s="69"/>
      <c r="BS570" s="69"/>
      <c r="BT570" s="69"/>
      <c r="BU570" s="69"/>
      <c r="BV570" s="69"/>
      <c r="BW570" s="69"/>
      <c r="BX570" s="69"/>
      <c r="BY570" s="69"/>
      <c r="BZ570" s="69"/>
      <c r="CA570" s="69"/>
      <c r="CB570" s="69"/>
      <c r="CC570" s="69"/>
      <c r="CD570" s="70"/>
      <c r="CE570" s="18"/>
    </row>
    <row r="571" spans="1:83" s="9" customFormat="1" ht="12.75" customHeight="1" x14ac:dyDescent="0.15">
      <c r="A571" s="16"/>
      <c r="B571" s="8"/>
      <c r="C571" s="29"/>
      <c r="D571" s="165" t="s">
        <v>463</v>
      </c>
      <c r="E571" s="35"/>
      <c r="F571" s="35"/>
      <c r="G571" s="35"/>
      <c r="H571" s="35"/>
      <c r="I571" s="35"/>
      <c r="J571" s="36"/>
      <c r="K571" s="34" t="s">
        <v>461</v>
      </c>
      <c r="L571" s="35"/>
      <c r="M571" s="35"/>
      <c r="N571" s="35"/>
      <c r="O571" s="36"/>
      <c r="P571" s="34" t="s">
        <v>469</v>
      </c>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c r="BH571" s="35"/>
      <c r="BI571" s="35"/>
      <c r="BJ571" s="35"/>
      <c r="BK571" s="35"/>
      <c r="BL571" s="35"/>
      <c r="BM571" s="35"/>
      <c r="BN571" s="35"/>
      <c r="BO571" s="35"/>
      <c r="BP571" s="35"/>
      <c r="BQ571" s="35"/>
      <c r="BR571" s="35"/>
      <c r="BS571" s="35"/>
      <c r="BT571" s="35"/>
      <c r="BU571" s="35"/>
      <c r="BV571" s="35"/>
      <c r="BW571" s="35"/>
      <c r="BX571" s="35"/>
      <c r="BY571" s="35"/>
      <c r="BZ571" s="35"/>
      <c r="CA571" s="35"/>
      <c r="CB571" s="35"/>
      <c r="CC571" s="35"/>
      <c r="CD571" s="36"/>
      <c r="CE571" s="18"/>
    </row>
    <row r="572" spans="1:83" s="9" customFormat="1" ht="12.75" customHeight="1" x14ac:dyDescent="0.15">
      <c r="A572" s="16"/>
      <c r="B572" s="8"/>
      <c r="C572" s="29"/>
      <c r="D572" s="165" t="s">
        <v>472</v>
      </c>
      <c r="E572" s="35"/>
      <c r="F572" s="35"/>
      <c r="G572" s="35"/>
      <c r="H572" s="35"/>
      <c r="I572" s="35"/>
      <c r="J572" s="36"/>
      <c r="K572" s="34" t="s">
        <v>465</v>
      </c>
      <c r="L572" s="35"/>
      <c r="M572" s="35"/>
      <c r="N572" s="35"/>
      <c r="O572" s="36"/>
      <c r="P572" s="34" t="s">
        <v>470</v>
      </c>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c r="BH572" s="35"/>
      <c r="BI572" s="35"/>
      <c r="BJ572" s="35"/>
      <c r="BK572" s="35"/>
      <c r="BL572" s="35"/>
      <c r="BM572" s="35"/>
      <c r="BN572" s="35"/>
      <c r="BO572" s="35"/>
      <c r="BP572" s="35"/>
      <c r="BQ572" s="35"/>
      <c r="BR572" s="35"/>
      <c r="BS572" s="35"/>
      <c r="BT572" s="35"/>
      <c r="BU572" s="35"/>
      <c r="BV572" s="35"/>
      <c r="BW572" s="35"/>
      <c r="BX572" s="35"/>
      <c r="BY572" s="35"/>
      <c r="BZ572" s="35"/>
      <c r="CA572" s="35"/>
      <c r="CB572" s="35"/>
      <c r="CC572" s="35"/>
      <c r="CD572" s="36"/>
      <c r="CE572" s="18"/>
    </row>
    <row r="573" spans="1:83" s="9" customFormat="1" ht="12.75" customHeight="1" x14ac:dyDescent="0.15">
      <c r="A573" s="16"/>
      <c r="B573" s="8"/>
      <c r="C573" s="29"/>
      <c r="D573" s="624" t="s">
        <v>901</v>
      </c>
      <c r="E573" s="625"/>
      <c r="F573" s="625"/>
      <c r="G573" s="625"/>
      <c r="H573" s="625"/>
      <c r="I573" s="625"/>
      <c r="J573" s="626"/>
      <c r="K573" s="37" t="s">
        <v>830</v>
      </c>
      <c r="L573" s="38"/>
      <c r="M573" s="38"/>
      <c r="N573" s="38"/>
      <c r="O573" s="39"/>
      <c r="P573" s="615" t="s">
        <v>831</v>
      </c>
      <c r="Q573" s="656"/>
      <c r="R573" s="656"/>
      <c r="S573" s="656"/>
      <c r="T573" s="656"/>
      <c r="U573" s="656"/>
      <c r="V573" s="656"/>
      <c r="W573" s="656"/>
      <c r="X573" s="656"/>
      <c r="Y573" s="656"/>
      <c r="Z573" s="656"/>
      <c r="AA573" s="656"/>
      <c r="AB573" s="656"/>
      <c r="AC573" s="656"/>
      <c r="AD573" s="656"/>
      <c r="AE573" s="656"/>
      <c r="AF573" s="656"/>
      <c r="AG573" s="656"/>
      <c r="AH573" s="656"/>
      <c r="AI573" s="656"/>
      <c r="AJ573" s="656"/>
      <c r="AK573" s="656"/>
      <c r="AL573" s="656"/>
      <c r="AM573" s="656"/>
      <c r="AN573" s="656"/>
      <c r="AO573" s="656"/>
      <c r="AP573" s="656"/>
      <c r="AQ573" s="656"/>
      <c r="AR573" s="656"/>
      <c r="AS573" s="656"/>
      <c r="AT573" s="656"/>
      <c r="AU573" s="656"/>
      <c r="AV573" s="656"/>
      <c r="AW573" s="656"/>
      <c r="AX573" s="656"/>
      <c r="AY573" s="656"/>
      <c r="AZ573" s="656"/>
      <c r="BA573" s="656"/>
      <c r="BB573" s="656"/>
      <c r="BC573" s="656"/>
      <c r="BD573" s="656"/>
      <c r="BE573" s="656"/>
      <c r="BF573" s="656"/>
      <c r="BG573" s="656"/>
      <c r="BH573" s="656"/>
      <c r="BI573" s="656"/>
      <c r="BJ573" s="656"/>
      <c r="BK573" s="656"/>
      <c r="BL573" s="656"/>
      <c r="BM573" s="656"/>
      <c r="BN573" s="656"/>
      <c r="BO573" s="656"/>
      <c r="BP573" s="656"/>
      <c r="BQ573" s="656"/>
      <c r="BR573" s="656"/>
      <c r="BS573" s="656"/>
      <c r="BT573" s="656"/>
      <c r="BU573" s="656"/>
      <c r="BV573" s="656"/>
      <c r="BW573" s="656"/>
      <c r="BX573" s="656"/>
      <c r="BY573" s="656"/>
      <c r="BZ573" s="656"/>
      <c r="CA573" s="656"/>
      <c r="CB573" s="656"/>
      <c r="CC573" s="656"/>
      <c r="CD573" s="657"/>
      <c r="CE573" s="18"/>
    </row>
    <row r="574" spans="1:83" s="9" customFormat="1" ht="12.75" customHeight="1" x14ac:dyDescent="0.15">
      <c r="A574" s="16"/>
      <c r="B574" s="8"/>
      <c r="C574" s="29"/>
      <c r="D574" s="627"/>
      <c r="E574" s="628"/>
      <c r="F574" s="628"/>
      <c r="G574" s="628"/>
      <c r="H574" s="628"/>
      <c r="I574" s="628"/>
      <c r="J574" s="629"/>
      <c r="K574" s="41"/>
      <c r="L574" s="12"/>
      <c r="M574" s="12"/>
      <c r="N574" s="12"/>
      <c r="O574" s="31"/>
      <c r="P574" s="618"/>
      <c r="Q574" s="621"/>
      <c r="R574" s="621"/>
      <c r="S574" s="621"/>
      <c r="T574" s="621"/>
      <c r="U574" s="621"/>
      <c r="V574" s="621"/>
      <c r="W574" s="621"/>
      <c r="X574" s="621"/>
      <c r="Y574" s="621"/>
      <c r="Z574" s="621"/>
      <c r="AA574" s="621"/>
      <c r="AB574" s="621"/>
      <c r="AC574" s="621"/>
      <c r="AD574" s="621"/>
      <c r="AE574" s="621"/>
      <c r="AF574" s="621"/>
      <c r="AG574" s="621"/>
      <c r="AH574" s="621"/>
      <c r="AI574" s="621"/>
      <c r="AJ574" s="621"/>
      <c r="AK574" s="621"/>
      <c r="AL574" s="621"/>
      <c r="AM574" s="621"/>
      <c r="AN574" s="621"/>
      <c r="AO574" s="621"/>
      <c r="AP574" s="621"/>
      <c r="AQ574" s="621"/>
      <c r="AR574" s="621"/>
      <c r="AS574" s="621"/>
      <c r="AT574" s="621"/>
      <c r="AU574" s="621"/>
      <c r="AV574" s="621"/>
      <c r="AW574" s="621"/>
      <c r="AX574" s="621"/>
      <c r="AY574" s="621"/>
      <c r="AZ574" s="621"/>
      <c r="BA574" s="621"/>
      <c r="BB574" s="621"/>
      <c r="BC574" s="621"/>
      <c r="BD574" s="621"/>
      <c r="BE574" s="621"/>
      <c r="BF574" s="621"/>
      <c r="BG574" s="621"/>
      <c r="BH574" s="621"/>
      <c r="BI574" s="621"/>
      <c r="BJ574" s="621"/>
      <c r="BK574" s="621"/>
      <c r="BL574" s="621"/>
      <c r="BM574" s="621"/>
      <c r="BN574" s="621"/>
      <c r="BO574" s="621"/>
      <c r="BP574" s="621"/>
      <c r="BQ574" s="621"/>
      <c r="BR574" s="621"/>
      <c r="BS574" s="621"/>
      <c r="BT574" s="621"/>
      <c r="BU574" s="621"/>
      <c r="BV574" s="621"/>
      <c r="BW574" s="621"/>
      <c r="BX574" s="621"/>
      <c r="BY574" s="621"/>
      <c r="BZ574" s="621"/>
      <c r="CA574" s="621"/>
      <c r="CB574" s="621"/>
      <c r="CC574" s="621"/>
      <c r="CD574" s="622"/>
      <c r="CE574" s="18"/>
    </row>
    <row r="575" spans="1:83" s="9" customFormat="1" ht="12.75" customHeight="1" x14ac:dyDescent="0.15">
      <c r="A575" s="16"/>
      <c r="B575" s="8"/>
      <c r="C575" s="29"/>
      <c r="D575" s="630"/>
      <c r="E575" s="631"/>
      <c r="F575" s="631"/>
      <c r="G575" s="631"/>
      <c r="H575" s="631"/>
      <c r="I575" s="631"/>
      <c r="J575" s="632"/>
      <c r="K575" s="40"/>
      <c r="L575" s="32"/>
      <c r="M575" s="32"/>
      <c r="N575" s="32"/>
      <c r="O575" s="33"/>
      <c r="P575" s="658"/>
      <c r="Q575" s="659"/>
      <c r="R575" s="659"/>
      <c r="S575" s="659"/>
      <c r="T575" s="659"/>
      <c r="U575" s="659"/>
      <c r="V575" s="659"/>
      <c r="W575" s="659"/>
      <c r="X575" s="659"/>
      <c r="Y575" s="659"/>
      <c r="Z575" s="659"/>
      <c r="AA575" s="659"/>
      <c r="AB575" s="659"/>
      <c r="AC575" s="659"/>
      <c r="AD575" s="659"/>
      <c r="AE575" s="659"/>
      <c r="AF575" s="659"/>
      <c r="AG575" s="659"/>
      <c r="AH575" s="659"/>
      <c r="AI575" s="659"/>
      <c r="AJ575" s="659"/>
      <c r="AK575" s="659"/>
      <c r="AL575" s="659"/>
      <c r="AM575" s="659"/>
      <c r="AN575" s="659"/>
      <c r="AO575" s="659"/>
      <c r="AP575" s="659"/>
      <c r="AQ575" s="659"/>
      <c r="AR575" s="659"/>
      <c r="AS575" s="659"/>
      <c r="AT575" s="659"/>
      <c r="AU575" s="659"/>
      <c r="AV575" s="659"/>
      <c r="AW575" s="659"/>
      <c r="AX575" s="659"/>
      <c r="AY575" s="659"/>
      <c r="AZ575" s="659"/>
      <c r="BA575" s="659"/>
      <c r="BB575" s="659"/>
      <c r="BC575" s="659"/>
      <c r="BD575" s="659"/>
      <c r="BE575" s="659"/>
      <c r="BF575" s="659"/>
      <c r="BG575" s="659"/>
      <c r="BH575" s="659"/>
      <c r="BI575" s="659"/>
      <c r="BJ575" s="659"/>
      <c r="BK575" s="659"/>
      <c r="BL575" s="659"/>
      <c r="BM575" s="659"/>
      <c r="BN575" s="659"/>
      <c r="BO575" s="659"/>
      <c r="BP575" s="659"/>
      <c r="BQ575" s="659"/>
      <c r="BR575" s="659"/>
      <c r="BS575" s="659"/>
      <c r="BT575" s="659"/>
      <c r="BU575" s="659"/>
      <c r="BV575" s="659"/>
      <c r="BW575" s="659"/>
      <c r="BX575" s="659"/>
      <c r="BY575" s="659"/>
      <c r="BZ575" s="659"/>
      <c r="CA575" s="659"/>
      <c r="CB575" s="659"/>
      <c r="CC575" s="659"/>
      <c r="CD575" s="660"/>
      <c r="CE575" s="18"/>
    </row>
    <row r="576" spans="1:83" s="9" customFormat="1" ht="12.75" customHeight="1" x14ac:dyDescent="0.15">
      <c r="A576" s="16"/>
      <c r="B576" s="8"/>
      <c r="C576" s="29"/>
      <c r="D576" s="165" t="s">
        <v>621</v>
      </c>
      <c r="E576" s="35"/>
      <c r="F576" s="35"/>
      <c r="G576" s="35"/>
      <c r="H576" s="35"/>
      <c r="I576" s="35"/>
      <c r="J576" s="36"/>
      <c r="K576" s="34" t="s">
        <v>622</v>
      </c>
      <c r="L576" s="35"/>
      <c r="M576" s="35"/>
      <c r="N576" s="35"/>
      <c r="O576" s="36"/>
      <c r="P576" s="34"/>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c r="BH576" s="35"/>
      <c r="BI576" s="35"/>
      <c r="BJ576" s="35"/>
      <c r="BK576" s="35"/>
      <c r="BL576" s="35"/>
      <c r="BM576" s="35"/>
      <c r="BN576" s="35"/>
      <c r="BO576" s="35"/>
      <c r="BP576" s="35"/>
      <c r="BQ576" s="35"/>
      <c r="BR576" s="35"/>
      <c r="BS576" s="35"/>
      <c r="BT576" s="35"/>
      <c r="BU576" s="35"/>
      <c r="BV576" s="35"/>
      <c r="BW576" s="35"/>
      <c r="BX576" s="35"/>
      <c r="BY576" s="35"/>
      <c r="BZ576" s="35"/>
      <c r="CA576" s="35"/>
      <c r="CB576" s="35"/>
      <c r="CC576" s="35"/>
      <c r="CD576" s="36"/>
      <c r="CE576" s="18"/>
    </row>
    <row r="577" spans="1:83" s="9" customFormat="1" ht="12.75" customHeight="1" x14ac:dyDescent="0.15">
      <c r="A577" s="16"/>
      <c r="B577" s="8"/>
      <c r="C577" s="29"/>
      <c r="D577" s="165" t="s">
        <v>464</v>
      </c>
      <c r="E577" s="35"/>
      <c r="F577" s="35"/>
      <c r="G577" s="35"/>
      <c r="H577" s="35"/>
      <c r="I577" s="35"/>
      <c r="J577" s="36"/>
      <c r="K577" s="34" t="s">
        <v>468</v>
      </c>
      <c r="L577" s="35"/>
      <c r="M577" s="35"/>
      <c r="N577" s="35"/>
      <c r="O577" s="36"/>
      <c r="P577" s="34" t="s">
        <v>623</v>
      </c>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c r="BH577" s="35"/>
      <c r="BI577" s="35"/>
      <c r="BJ577" s="35"/>
      <c r="BK577" s="35"/>
      <c r="BL577" s="35"/>
      <c r="BM577" s="35"/>
      <c r="BN577" s="35"/>
      <c r="BO577" s="35"/>
      <c r="BP577" s="35"/>
      <c r="BQ577" s="35"/>
      <c r="BR577" s="35"/>
      <c r="BS577" s="35"/>
      <c r="BT577" s="35"/>
      <c r="BU577" s="35"/>
      <c r="BV577" s="35"/>
      <c r="BW577" s="35"/>
      <c r="BX577" s="35"/>
      <c r="BY577" s="35"/>
      <c r="BZ577" s="35"/>
      <c r="CA577" s="35"/>
      <c r="CB577" s="35"/>
      <c r="CC577" s="35"/>
      <c r="CD577" s="36"/>
      <c r="CE577" s="18"/>
    </row>
    <row r="578" spans="1:83" s="9" customFormat="1" ht="12.75" customHeight="1" x14ac:dyDescent="0.15">
      <c r="A578" s="16"/>
      <c r="B578" s="8"/>
      <c r="C578" s="29"/>
      <c r="D578" s="165" t="s">
        <v>462</v>
      </c>
      <c r="E578" s="35"/>
      <c r="F578" s="35"/>
      <c r="G578" s="35"/>
      <c r="H578" s="35"/>
      <c r="I578" s="35"/>
      <c r="J578" s="36"/>
      <c r="K578" s="34" t="s">
        <v>620</v>
      </c>
      <c r="L578" s="35"/>
      <c r="M578" s="35"/>
      <c r="N578" s="35"/>
      <c r="O578" s="36"/>
      <c r="P578" s="34"/>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c r="BH578" s="35"/>
      <c r="BI578" s="35"/>
      <c r="BJ578" s="35"/>
      <c r="BK578" s="35"/>
      <c r="BL578" s="35"/>
      <c r="BM578" s="35"/>
      <c r="BN578" s="35"/>
      <c r="BO578" s="35"/>
      <c r="BP578" s="35"/>
      <c r="BQ578" s="35"/>
      <c r="BR578" s="35"/>
      <c r="BS578" s="35"/>
      <c r="BT578" s="35"/>
      <c r="BU578" s="35"/>
      <c r="BV578" s="35"/>
      <c r="BW578" s="35"/>
      <c r="BX578" s="35"/>
      <c r="BY578" s="35"/>
      <c r="BZ578" s="35"/>
      <c r="CA578" s="35"/>
      <c r="CB578" s="35"/>
      <c r="CC578" s="35"/>
      <c r="CD578" s="36"/>
      <c r="CE578" s="18"/>
    </row>
    <row r="579" spans="1:83" s="9" customFormat="1" ht="12.75" customHeight="1" x14ac:dyDescent="0.15">
      <c r="A579" s="16"/>
      <c r="B579" s="8"/>
      <c r="C579" s="29"/>
      <c r="D579" s="2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8"/>
    </row>
    <row r="580" spans="1:83" s="9" customFormat="1" ht="12.75" customHeight="1" x14ac:dyDescent="0.15">
      <c r="A580" s="16"/>
      <c r="B580" s="8"/>
      <c r="C580" s="29"/>
      <c r="D580" s="2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8"/>
    </row>
    <row r="581" spans="1:83" s="9" customFormat="1" ht="12.75" customHeight="1" x14ac:dyDescent="0.15">
      <c r="A581" s="16"/>
      <c r="B581" s="8"/>
      <c r="C581" s="29"/>
      <c r="D581" s="2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8"/>
    </row>
    <row r="582" spans="1:83" s="9" customFormat="1" ht="12.75" customHeight="1" x14ac:dyDescent="0.15">
      <c r="A582" s="16"/>
      <c r="B582" s="8"/>
      <c r="C582" s="29"/>
      <c r="D582" s="2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8"/>
    </row>
    <row r="583" spans="1:83" s="9" customFormat="1" ht="12.75" customHeight="1" x14ac:dyDescent="0.15">
      <c r="A583" s="16"/>
      <c r="B583" s="8"/>
      <c r="C583" s="29"/>
      <c r="D583" s="2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8"/>
    </row>
    <row r="584" spans="1:83" s="9" customFormat="1" ht="12.75" customHeight="1" x14ac:dyDescent="0.15">
      <c r="A584" s="16"/>
      <c r="B584" s="8"/>
      <c r="C584" s="29"/>
      <c r="D584" s="2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8"/>
    </row>
    <row r="585" spans="1:83" s="9" customFormat="1" ht="12.75" customHeight="1" x14ac:dyDescent="0.15">
      <c r="A585" s="16"/>
      <c r="B585" s="8"/>
      <c r="C585" s="29"/>
      <c r="D585" s="144"/>
      <c r="E585" s="144"/>
      <c r="F585" s="144"/>
      <c r="G585" s="144"/>
      <c r="H585" s="144"/>
      <c r="I585" s="144"/>
      <c r="J585" s="144"/>
      <c r="K585" s="144"/>
      <c r="L585" s="144"/>
      <c r="M585" s="144"/>
      <c r="N585" s="144"/>
      <c r="O585" s="144"/>
      <c r="P585" s="144"/>
      <c r="Q585" s="144"/>
      <c r="R585" s="144"/>
      <c r="S585" s="144"/>
      <c r="T585" s="144"/>
      <c r="U585" s="144"/>
      <c r="V585" s="144"/>
      <c r="W585" s="144"/>
      <c r="X585" s="144"/>
      <c r="Y585" s="144"/>
      <c r="Z585" s="144"/>
      <c r="AA585" s="144"/>
      <c r="AB585" s="144"/>
      <c r="AC585" s="144"/>
      <c r="AD585" s="144"/>
      <c r="AE585" s="144"/>
      <c r="AF585" s="144"/>
      <c r="AG585" s="144"/>
      <c r="AH585" s="144"/>
      <c r="AI585" s="144"/>
      <c r="AJ585" s="144"/>
      <c r="AK585" s="144"/>
      <c r="AL585" s="144"/>
      <c r="AM585" s="144"/>
      <c r="AN585" s="144"/>
      <c r="AO585" s="144"/>
      <c r="AP585" s="144"/>
      <c r="AQ585" s="144"/>
      <c r="AR585" s="144"/>
      <c r="AS585" s="144"/>
      <c r="AT585" s="144"/>
      <c r="AU585" s="144"/>
      <c r="AV585" s="144"/>
      <c r="AW585" s="144"/>
      <c r="AX585" s="144"/>
      <c r="AY585" s="144"/>
      <c r="AZ585" s="144"/>
      <c r="BA585" s="144"/>
      <c r="BB585" s="144"/>
      <c r="BC585" s="144"/>
      <c r="BD585" s="144"/>
      <c r="BE585" s="144"/>
      <c r="BF585" s="144"/>
      <c r="BG585" s="144"/>
      <c r="BH585" s="144"/>
      <c r="BI585" s="144"/>
      <c r="BJ585" s="144"/>
      <c r="BK585" s="144"/>
      <c r="BL585" s="144"/>
      <c r="BM585" s="144"/>
      <c r="BN585" s="144"/>
      <c r="BO585" s="144"/>
      <c r="BP585" s="144"/>
      <c r="BQ585" s="144"/>
      <c r="BR585" s="144"/>
      <c r="BS585" s="144"/>
      <c r="BT585" s="144"/>
      <c r="BU585" s="144"/>
      <c r="BV585" s="144"/>
      <c r="BW585" s="12"/>
      <c r="BX585" s="12"/>
      <c r="BY585" s="12"/>
      <c r="BZ585" s="12"/>
      <c r="CA585" s="12"/>
      <c r="CB585" s="12"/>
      <c r="CC585" s="12"/>
      <c r="CD585" s="12"/>
      <c r="CE585" s="18"/>
    </row>
    <row r="586" spans="1:83" s="9" customFormat="1" ht="12.75" customHeight="1" x14ac:dyDescent="0.15">
      <c r="A586" s="16"/>
      <c r="B586" s="8"/>
      <c r="C586" s="29"/>
      <c r="D586" s="144"/>
      <c r="E586" s="132"/>
      <c r="F586" s="132"/>
      <c r="G586" s="132"/>
      <c r="H586" s="132"/>
      <c r="I586" s="132"/>
      <c r="J586" s="132"/>
      <c r="K586" s="132"/>
      <c r="L586" s="132"/>
      <c r="M586" s="132"/>
      <c r="N586" s="132"/>
      <c r="O586" s="132"/>
      <c r="P586" s="13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8"/>
    </row>
    <row r="587" spans="1:83" s="9" customFormat="1" ht="12.75" customHeight="1" x14ac:dyDescent="0.15">
      <c r="A587" s="16"/>
      <c r="B587" s="8"/>
      <c r="C587" s="29"/>
      <c r="D587" s="144"/>
      <c r="E587" s="132"/>
      <c r="F587" s="132"/>
      <c r="G587" s="132"/>
      <c r="H587" s="132"/>
      <c r="I587" s="132"/>
      <c r="J587" s="132"/>
      <c r="K587" s="132"/>
      <c r="L587" s="132"/>
      <c r="M587" s="132"/>
      <c r="N587" s="132"/>
      <c r="O587" s="132"/>
      <c r="P587" s="13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8"/>
    </row>
    <row r="588" spans="1:83" s="9" customFormat="1" ht="12.75" customHeight="1" thickBot="1" x14ac:dyDescent="0.2">
      <c r="A588" s="25"/>
      <c r="B588" s="30"/>
      <c r="C588" s="74"/>
      <c r="D588" s="161"/>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c r="AA588" s="164"/>
      <c r="AB588" s="164"/>
      <c r="AC588" s="164"/>
      <c r="AD588" s="164"/>
      <c r="AE588" s="164"/>
      <c r="AF588" s="164"/>
      <c r="AG588" s="164"/>
      <c r="AH588" s="164"/>
      <c r="AI588" s="164"/>
      <c r="AJ588" s="164"/>
      <c r="AK588" s="164"/>
      <c r="AL588" s="164"/>
      <c r="AM588" s="164"/>
      <c r="AN588" s="164"/>
      <c r="AO588" s="164"/>
      <c r="AP588" s="164"/>
      <c r="AQ588" s="164"/>
      <c r="AR588" s="164"/>
      <c r="AS588" s="164"/>
      <c r="AT588" s="164"/>
      <c r="AU588" s="164"/>
      <c r="AV588" s="164"/>
      <c r="AW588" s="164"/>
      <c r="AX588" s="164"/>
      <c r="AY588" s="164"/>
      <c r="AZ588" s="164"/>
      <c r="BA588" s="164"/>
      <c r="BB588" s="164"/>
      <c r="BC588" s="164"/>
      <c r="BD588" s="164"/>
      <c r="BE588" s="164"/>
      <c r="BF588" s="164"/>
      <c r="BG588" s="164"/>
      <c r="BH588" s="164"/>
      <c r="BI588" s="164"/>
      <c r="BJ588" s="164"/>
      <c r="BK588" s="164"/>
      <c r="BL588" s="164"/>
      <c r="BM588" s="164"/>
      <c r="BN588" s="164"/>
      <c r="BO588" s="164"/>
      <c r="BP588" s="164"/>
      <c r="BQ588" s="164"/>
      <c r="BR588" s="164"/>
      <c r="BS588" s="164"/>
      <c r="BT588" s="164"/>
      <c r="BU588" s="164"/>
      <c r="BV588" s="164"/>
      <c r="BW588" s="164"/>
      <c r="BX588" s="164"/>
      <c r="BY588" s="164"/>
      <c r="BZ588" s="164"/>
      <c r="CA588" s="164"/>
      <c r="CB588" s="164"/>
      <c r="CC588" s="164"/>
      <c r="CD588" s="164"/>
      <c r="CE588" s="28"/>
    </row>
    <row r="589" spans="1:83" s="4" customFormat="1" ht="12" customHeight="1" x14ac:dyDescent="0.15">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c r="BY589" s="14"/>
      <c r="BZ589" s="14"/>
      <c r="CA589" s="14"/>
      <c r="CB589" s="14"/>
      <c r="CC589" s="14"/>
      <c r="CD589" s="14"/>
      <c r="CE589" s="15"/>
    </row>
    <row r="590" spans="1:83" s="9" customFormat="1" ht="12.75" customHeight="1" x14ac:dyDescent="0.15">
      <c r="A590" s="16"/>
      <c r="B590" s="8"/>
      <c r="C590" s="29"/>
      <c r="D590" s="21" t="s">
        <v>902</v>
      </c>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c r="CA590" s="12"/>
      <c r="CB590" s="12"/>
      <c r="CC590" s="12"/>
      <c r="CD590" s="12"/>
      <c r="CE590" s="18"/>
    </row>
    <row r="591" spans="1:83" s="9" customFormat="1" ht="12.75" customHeight="1" x14ac:dyDescent="0.15">
      <c r="A591" s="16"/>
      <c r="B591" s="8"/>
      <c r="C591" s="29"/>
      <c r="D591" s="647" t="s">
        <v>903</v>
      </c>
      <c r="E591" s="648"/>
      <c r="F591" s="648"/>
      <c r="G591" s="648"/>
      <c r="H591" s="648"/>
      <c r="I591" s="648"/>
      <c r="J591" s="648"/>
      <c r="K591" s="648"/>
      <c r="L591" s="648"/>
      <c r="M591" s="648"/>
      <c r="N591" s="648"/>
      <c r="O591" s="648"/>
      <c r="P591" s="648"/>
      <c r="Q591" s="648"/>
      <c r="R591" s="648"/>
      <c r="S591" s="648"/>
      <c r="T591" s="648"/>
      <c r="U591" s="648"/>
      <c r="V591" s="648"/>
      <c r="W591" s="648"/>
      <c r="X591" s="648"/>
      <c r="Y591" s="648"/>
      <c r="Z591" s="648"/>
      <c r="AA591" s="648"/>
      <c r="AB591" s="648"/>
      <c r="AC591" s="648"/>
      <c r="AD591" s="648"/>
      <c r="AE591" s="648"/>
      <c r="AF591" s="648"/>
      <c r="AG591" s="648"/>
      <c r="AH591" s="648"/>
      <c r="AI591" s="648"/>
      <c r="AJ591" s="648"/>
      <c r="AK591" s="648"/>
      <c r="AL591" s="648"/>
      <c r="AM591" s="648"/>
      <c r="AN591" s="648"/>
      <c r="AO591" s="648"/>
      <c r="AP591" s="648"/>
      <c r="AQ591" s="648"/>
      <c r="AR591" s="648"/>
      <c r="AS591" s="648"/>
      <c r="AT591" s="648"/>
      <c r="AU591" s="648"/>
      <c r="AV591" s="648"/>
      <c r="AW591" s="648"/>
      <c r="AX591" s="648"/>
      <c r="AY591" s="648"/>
      <c r="AZ591" s="648"/>
      <c r="BA591" s="648"/>
      <c r="BB591" s="648"/>
      <c r="BC591" s="648"/>
      <c r="BD591" s="648"/>
      <c r="BE591" s="648"/>
      <c r="BF591" s="648"/>
      <c r="BG591" s="648"/>
      <c r="BH591" s="648"/>
      <c r="BI591" s="648"/>
      <c r="BJ591" s="648"/>
      <c r="BK591" s="648"/>
      <c r="BL591" s="648"/>
      <c r="BM591" s="648"/>
      <c r="BN591" s="648"/>
      <c r="BO591" s="648"/>
      <c r="BP591" s="648"/>
      <c r="BQ591" s="648"/>
      <c r="BR591" s="648"/>
      <c r="BS591" s="648"/>
      <c r="BT591" s="648"/>
      <c r="BU591" s="648"/>
      <c r="BV591" s="648"/>
      <c r="BW591" s="648"/>
      <c r="BX591" s="648"/>
      <c r="BY591" s="648"/>
      <c r="BZ591" s="648"/>
      <c r="CA591" s="648"/>
      <c r="CB591" s="648"/>
      <c r="CC591" s="648"/>
      <c r="CD591" s="649"/>
      <c r="CE591" s="18"/>
    </row>
    <row r="592" spans="1:83" s="9" customFormat="1" ht="12.75" customHeight="1" x14ac:dyDescent="0.15">
      <c r="A592" s="16"/>
      <c r="B592" s="8"/>
      <c r="C592" s="29"/>
      <c r="D592" s="650"/>
      <c r="E592" s="651"/>
      <c r="F592" s="651"/>
      <c r="G592" s="651"/>
      <c r="H592" s="651"/>
      <c r="I592" s="651"/>
      <c r="J592" s="651"/>
      <c r="K592" s="651"/>
      <c r="L592" s="651"/>
      <c r="M592" s="651"/>
      <c r="N592" s="651"/>
      <c r="O592" s="651"/>
      <c r="P592" s="651"/>
      <c r="Q592" s="651"/>
      <c r="R592" s="651"/>
      <c r="S592" s="651"/>
      <c r="T592" s="651"/>
      <c r="U592" s="651"/>
      <c r="V592" s="651"/>
      <c r="W592" s="651"/>
      <c r="X592" s="651"/>
      <c r="Y592" s="651"/>
      <c r="Z592" s="651"/>
      <c r="AA592" s="651"/>
      <c r="AB592" s="651"/>
      <c r="AC592" s="651"/>
      <c r="AD592" s="651"/>
      <c r="AE592" s="651"/>
      <c r="AF592" s="651"/>
      <c r="AG592" s="651"/>
      <c r="AH592" s="651"/>
      <c r="AI592" s="651"/>
      <c r="AJ592" s="651"/>
      <c r="AK592" s="651"/>
      <c r="AL592" s="651"/>
      <c r="AM592" s="651"/>
      <c r="AN592" s="651"/>
      <c r="AO592" s="651"/>
      <c r="AP592" s="651"/>
      <c r="AQ592" s="651"/>
      <c r="AR592" s="651"/>
      <c r="AS592" s="651"/>
      <c r="AT592" s="651"/>
      <c r="AU592" s="651"/>
      <c r="AV592" s="651"/>
      <c r="AW592" s="651"/>
      <c r="AX592" s="651"/>
      <c r="AY592" s="651"/>
      <c r="AZ592" s="651"/>
      <c r="BA592" s="651"/>
      <c r="BB592" s="651"/>
      <c r="BC592" s="651"/>
      <c r="BD592" s="651"/>
      <c r="BE592" s="651"/>
      <c r="BF592" s="651"/>
      <c r="BG592" s="651"/>
      <c r="BH592" s="651"/>
      <c r="BI592" s="651"/>
      <c r="BJ592" s="651"/>
      <c r="BK592" s="651"/>
      <c r="BL592" s="651"/>
      <c r="BM592" s="651"/>
      <c r="BN592" s="651"/>
      <c r="BO592" s="651"/>
      <c r="BP592" s="651"/>
      <c r="BQ592" s="651"/>
      <c r="BR592" s="651"/>
      <c r="BS592" s="651"/>
      <c r="BT592" s="651"/>
      <c r="BU592" s="651"/>
      <c r="BV592" s="651"/>
      <c r="BW592" s="651"/>
      <c r="BX592" s="651"/>
      <c r="BY592" s="651"/>
      <c r="BZ592" s="651"/>
      <c r="CA592" s="651"/>
      <c r="CB592" s="651"/>
      <c r="CC592" s="651"/>
      <c r="CD592" s="652"/>
      <c r="CE592" s="18"/>
    </row>
    <row r="593" spans="1:83" s="9" customFormat="1" ht="12.75" customHeight="1" x14ac:dyDescent="0.15">
      <c r="A593" s="16"/>
      <c r="B593" s="8"/>
      <c r="C593" s="29"/>
      <c r="D593" s="650"/>
      <c r="E593" s="651"/>
      <c r="F593" s="651"/>
      <c r="G593" s="651"/>
      <c r="H593" s="651"/>
      <c r="I593" s="651"/>
      <c r="J593" s="651"/>
      <c r="K593" s="651"/>
      <c r="L593" s="651"/>
      <c r="M593" s="651"/>
      <c r="N593" s="651"/>
      <c r="O593" s="651"/>
      <c r="P593" s="651"/>
      <c r="Q593" s="651"/>
      <c r="R593" s="651"/>
      <c r="S593" s="651"/>
      <c r="T593" s="651"/>
      <c r="U593" s="651"/>
      <c r="V593" s="651"/>
      <c r="W593" s="651"/>
      <c r="X593" s="651"/>
      <c r="Y593" s="651"/>
      <c r="Z593" s="651"/>
      <c r="AA593" s="651"/>
      <c r="AB593" s="651"/>
      <c r="AC593" s="651"/>
      <c r="AD593" s="651"/>
      <c r="AE593" s="651"/>
      <c r="AF593" s="651"/>
      <c r="AG593" s="651"/>
      <c r="AH593" s="651"/>
      <c r="AI593" s="651"/>
      <c r="AJ593" s="651"/>
      <c r="AK593" s="651"/>
      <c r="AL593" s="651"/>
      <c r="AM593" s="651"/>
      <c r="AN593" s="651"/>
      <c r="AO593" s="651"/>
      <c r="AP593" s="651"/>
      <c r="AQ593" s="651"/>
      <c r="AR593" s="651"/>
      <c r="AS593" s="651"/>
      <c r="AT593" s="651"/>
      <c r="AU593" s="651"/>
      <c r="AV593" s="651"/>
      <c r="AW593" s="651"/>
      <c r="AX593" s="651"/>
      <c r="AY593" s="651"/>
      <c r="AZ593" s="651"/>
      <c r="BA593" s="651"/>
      <c r="BB593" s="651"/>
      <c r="BC593" s="651"/>
      <c r="BD593" s="651"/>
      <c r="BE593" s="651"/>
      <c r="BF593" s="651"/>
      <c r="BG593" s="651"/>
      <c r="BH593" s="651"/>
      <c r="BI593" s="651"/>
      <c r="BJ593" s="651"/>
      <c r="BK593" s="651"/>
      <c r="BL593" s="651"/>
      <c r="BM593" s="651"/>
      <c r="BN593" s="651"/>
      <c r="BO593" s="651"/>
      <c r="BP593" s="651"/>
      <c r="BQ593" s="651"/>
      <c r="BR593" s="651"/>
      <c r="BS593" s="651"/>
      <c r="BT593" s="651"/>
      <c r="BU593" s="651"/>
      <c r="BV593" s="651"/>
      <c r="BW593" s="651"/>
      <c r="BX593" s="651"/>
      <c r="BY593" s="651"/>
      <c r="BZ593" s="651"/>
      <c r="CA593" s="651"/>
      <c r="CB593" s="651"/>
      <c r="CC593" s="651"/>
      <c r="CD593" s="652"/>
      <c r="CE593" s="18"/>
    </row>
    <row r="594" spans="1:83" s="9" customFormat="1" ht="12.75" customHeight="1" x14ac:dyDescent="0.15">
      <c r="A594" s="16"/>
      <c r="B594" s="8"/>
      <c r="C594" s="29"/>
      <c r="D594" s="650"/>
      <c r="E594" s="651"/>
      <c r="F594" s="651"/>
      <c r="G594" s="651"/>
      <c r="H594" s="651"/>
      <c r="I594" s="651"/>
      <c r="J594" s="651"/>
      <c r="K594" s="651"/>
      <c r="L594" s="651"/>
      <c r="M594" s="651"/>
      <c r="N594" s="651"/>
      <c r="O594" s="651"/>
      <c r="P594" s="651"/>
      <c r="Q594" s="651"/>
      <c r="R594" s="651"/>
      <c r="S594" s="651"/>
      <c r="T594" s="651"/>
      <c r="U594" s="651"/>
      <c r="V594" s="651"/>
      <c r="W594" s="651"/>
      <c r="X594" s="651"/>
      <c r="Y594" s="651"/>
      <c r="Z594" s="651"/>
      <c r="AA594" s="651"/>
      <c r="AB594" s="651"/>
      <c r="AC594" s="651"/>
      <c r="AD594" s="651"/>
      <c r="AE594" s="651"/>
      <c r="AF594" s="651"/>
      <c r="AG594" s="651"/>
      <c r="AH594" s="651"/>
      <c r="AI594" s="651"/>
      <c r="AJ594" s="651"/>
      <c r="AK594" s="651"/>
      <c r="AL594" s="651"/>
      <c r="AM594" s="651"/>
      <c r="AN594" s="651"/>
      <c r="AO594" s="651"/>
      <c r="AP594" s="651"/>
      <c r="AQ594" s="651"/>
      <c r="AR594" s="651"/>
      <c r="AS594" s="651"/>
      <c r="AT594" s="651"/>
      <c r="AU594" s="651"/>
      <c r="AV594" s="651"/>
      <c r="AW594" s="651"/>
      <c r="AX594" s="651"/>
      <c r="AY594" s="651"/>
      <c r="AZ594" s="651"/>
      <c r="BA594" s="651"/>
      <c r="BB594" s="651"/>
      <c r="BC594" s="651"/>
      <c r="BD594" s="651"/>
      <c r="BE594" s="651"/>
      <c r="BF594" s="651"/>
      <c r="BG594" s="651"/>
      <c r="BH594" s="651"/>
      <c r="BI594" s="651"/>
      <c r="BJ594" s="651"/>
      <c r="BK594" s="651"/>
      <c r="BL594" s="651"/>
      <c r="BM594" s="651"/>
      <c r="BN594" s="651"/>
      <c r="BO594" s="651"/>
      <c r="BP594" s="651"/>
      <c r="BQ594" s="651"/>
      <c r="BR594" s="651"/>
      <c r="BS594" s="651"/>
      <c r="BT594" s="651"/>
      <c r="BU594" s="651"/>
      <c r="BV594" s="651"/>
      <c r="BW594" s="651"/>
      <c r="BX594" s="651"/>
      <c r="BY594" s="651"/>
      <c r="BZ594" s="651"/>
      <c r="CA594" s="651"/>
      <c r="CB594" s="651"/>
      <c r="CC594" s="651"/>
      <c r="CD594" s="652"/>
      <c r="CE594" s="18"/>
    </row>
    <row r="595" spans="1:83" s="9" customFormat="1" ht="12.75" customHeight="1" x14ac:dyDescent="0.15">
      <c r="A595" s="16"/>
      <c r="B595" s="8"/>
      <c r="C595" s="29"/>
      <c r="D595" s="653"/>
      <c r="E595" s="654"/>
      <c r="F595" s="654"/>
      <c r="G595" s="654"/>
      <c r="H595" s="654"/>
      <c r="I595" s="654"/>
      <c r="J595" s="654"/>
      <c r="K595" s="654"/>
      <c r="L595" s="654"/>
      <c r="M595" s="654"/>
      <c r="N595" s="654"/>
      <c r="O595" s="654"/>
      <c r="P595" s="654"/>
      <c r="Q595" s="654"/>
      <c r="R595" s="654"/>
      <c r="S595" s="654"/>
      <c r="T595" s="654"/>
      <c r="U595" s="654"/>
      <c r="V595" s="654"/>
      <c r="W595" s="654"/>
      <c r="X595" s="654"/>
      <c r="Y595" s="654"/>
      <c r="Z595" s="654"/>
      <c r="AA595" s="654"/>
      <c r="AB595" s="654"/>
      <c r="AC595" s="654"/>
      <c r="AD595" s="654"/>
      <c r="AE595" s="654"/>
      <c r="AF595" s="654"/>
      <c r="AG595" s="654"/>
      <c r="AH595" s="654"/>
      <c r="AI595" s="654"/>
      <c r="AJ595" s="654"/>
      <c r="AK595" s="654"/>
      <c r="AL595" s="654"/>
      <c r="AM595" s="654"/>
      <c r="AN595" s="654"/>
      <c r="AO595" s="654"/>
      <c r="AP595" s="654"/>
      <c r="AQ595" s="654"/>
      <c r="AR595" s="654"/>
      <c r="AS595" s="654"/>
      <c r="AT595" s="654"/>
      <c r="AU595" s="654"/>
      <c r="AV595" s="654"/>
      <c r="AW595" s="654"/>
      <c r="AX595" s="654"/>
      <c r="AY595" s="654"/>
      <c r="AZ595" s="654"/>
      <c r="BA595" s="654"/>
      <c r="BB595" s="654"/>
      <c r="BC595" s="654"/>
      <c r="BD595" s="654"/>
      <c r="BE595" s="654"/>
      <c r="BF595" s="654"/>
      <c r="BG595" s="654"/>
      <c r="BH595" s="654"/>
      <c r="BI595" s="654"/>
      <c r="BJ595" s="654"/>
      <c r="BK595" s="654"/>
      <c r="BL595" s="654"/>
      <c r="BM595" s="654"/>
      <c r="BN595" s="654"/>
      <c r="BO595" s="654"/>
      <c r="BP595" s="654"/>
      <c r="BQ595" s="654"/>
      <c r="BR595" s="654"/>
      <c r="BS595" s="654"/>
      <c r="BT595" s="654"/>
      <c r="BU595" s="654"/>
      <c r="BV595" s="654"/>
      <c r="BW595" s="654"/>
      <c r="BX595" s="654"/>
      <c r="BY595" s="654"/>
      <c r="BZ595" s="654"/>
      <c r="CA595" s="654"/>
      <c r="CB595" s="654"/>
      <c r="CC595" s="654"/>
      <c r="CD595" s="655"/>
      <c r="CE595" s="18"/>
    </row>
    <row r="596" spans="1:83" s="9" customFormat="1" ht="12.75" customHeight="1" x14ac:dyDescent="0.15">
      <c r="A596" s="16"/>
      <c r="B596" s="8"/>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c r="CA596" s="12"/>
      <c r="CB596" s="12"/>
      <c r="CC596" s="12"/>
      <c r="CD596" s="12"/>
      <c r="CE596" s="18"/>
    </row>
    <row r="597" spans="1:83" s="9" customFormat="1" ht="12.75" customHeight="1" x14ac:dyDescent="0.15">
      <c r="A597" s="16"/>
      <c r="B597" s="8"/>
      <c r="C597" s="29"/>
      <c r="D597" s="12" t="s">
        <v>23</v>
      </c>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c r="CA597" s="12"/>
      <c r="CB597" s="12"/>
      <c r="CC597" s="12"/>
      <c r="CD597" s="12"/>
      <c r="CE597" s="18"/>
    </row>
    <row r="598" spans="1:83" s="9" customFormat="1" ht="12" customHeight="1" x14ac:dyDescent="0.15">
      <c r="A598" s="16"/>
      <c r="B598" s="8"/>
      <c r="C598" s="12"/>
      <c r="D598" s="116" t="s">
        <v>348</v>
      </c>
      <c r="E598" s="117"/>
      <c r="F598" s="116" t="s">
        <v>560</v>
      </c>
      <c r="G598" s="118"/>
      <c r="H598" s="118"/>
      <c r="I598" s="118"/>
      <c r="J598" s="118"/>
      <c r="K598" s="118"/>
      <c r="L598" s="118"/>
      <c r="M598" s="118"/>
      <c r="N598" s="118"/>
      <c r="O598" s="118"/>
      <c r="P598" s="117"/>
      <c r="Q598" s="116" t="s">
        <v>566</v>
      </c>
      <c r="R598" s="118"/>
      <c r="S598" s="118"/>
      <c r="T598" s="118"/>
      <c r="U598" s="118"/>
      <c r="V598" s="118"/>
      <c r="W598" s="118"/>
      <c r="X598" s="118"/>
      <c r="Y598" s="118"/>
      <c r="Z598" s="118"/>
      <c r="AA598" s="118"/>
      <c r="AB598" s="116" t="s">
        <v>561</v>
      </c>
      <c r="AC598" s="118"/>
      <c r="AD598" s="118"/>
      <c r="AE598" s="118"/>
      <c r="AF598" s="118"/>
      <c r="AG598" s="118"/>
      <c r="AH598" s="118"/>
      <c r="AI598" s="118"/>
      <c r="AJ598" s="118"/>
      <c r="AK598" s="118"/>
      <c r="AL598" s="118"/>
      <c r="AM598" s="118"/>
      <c r="AN598" s="118"/>
      <c r="AO598" s="117"/>
      <c r="AP598" s="116" t="s">
        <v>562</v>
      </c>
      <c r="AQ598" s="118"/>
      <c r="AR598" s="118"/>
      <c r="AS598" s="118"/>
      <c r="AT598" s="118"/>
      <c r="AU598" s="118"/>
      <c r="AV598" s="118"/>
      <c r="AW598" s="118"/>
      <c r="AX598" s="118"/>
      <c r="AY598" s="118"/>
      <c r="AZ598" s="117"/>
      <c r="BA598" s="118" t="s">
        <v>567</v>
      </c>
      <c r="BB598" s="118"/>
      <c r="BC598" s="118"/>
      <c r="BD598" s="118"/>
      <c r="BE598" s="118"/>
      <c r="BF598" s="118"/>
      <c r="BG598" s="118"/>
      <c r="BH598" s="118"/>
      <c r="BI598" s="118"/>
      <c r="BJ598" s="118"/>
      <c r="BK598" s="118"/>
      <c r="BL598" s="118"/>
      <c r="BM598" s="118"/>
      <c r="BN598" s="118"/>
      <c r="BO598" s="118"/>
      <c r="BP598" s="118"/>
      <c r="BQ598" s="118"/>
      <c r="BR598" s="118"/>
      <c r="BS598" s="118"/>
      <c r="BT598" s="118"/>
      <c r="BU598" s="118"/>
      <c r="BV598" s="118"/>
      <c r="BW598" s="118"/>
      <c r="BX598" s="118"/>
      <c r="BY598" s="118"/>
      <c r="BZ598" s="118"/>
      <c r="CA598" s="118"/>
      <c r="CB598" s="118"/>
      <c r="CC598" s="118"/>
      <c r="CD598" s="117"/>
      <c r="CE598" s="18"/>
    </row>
    <row r="599" spans="1:83" s="9" customFormat="1" ht="12" customHeight="1" x14ac:dyDescent="0.15">
      <c r="A599" s="16"/>
      <c r="B599" s="8"/>
      <c r="C599" s="12"/>
      <c r="D599" s="602" t="s">
        <v>349</v>
      </c>
      <c r="E599" s="603"/>
      <c r="F599" s="34" t="s">
        <v>641</v>
      </c>
      <c r="G599" s="35"/>
      <c r="H599" s="35"/>
      <c r="I599" s="35"/>
      <c r="J599" s="35"/>
      <c r="K599" s="35"/>
      <c r="L599" s="35"/>
      <c r="M599" s="35"/>
      <c r="N599" s="35"/>
      <c r="O599" s="35"/>
      <c r="P599" s="36"/>
      <c r="Q599" s="34" t="s">
        <v>904</v>
      </c>
      <c r="R599" s="35"/>
      <c r="S599" s="35"/>
      <c r="T599" s="35"/>
      <c r="U599" s="35"/>
      <c r="V599" s="35"/>
      <c r="W599" s="35"/>
      <c r="X599" s="35"/>
      <c r="Y599" s="35"/>
      <c r="Z599" s="35"/>
      <c r="AA599" s="35"/>
      <c r="AB599" s="34" t="s">
        <v>564</v>
      </c>
      <c r="AC599" s="35"/>
      <c r="AD599" s="35"/>
      <c r="AE599" s="35"/>
      <c r="AF599" s="35"/>
      <c r="AG599" s="35"/>
      <c r="AH599" s="35"/>
      <c r="AI599" s="35"/>
      <c r="AJ599" s="35"/>
      <c r="AK599" s="35"/>
      <c r="AL599" s="35"/>
      <c r="AM599" s="35"/>
      <c r="AN599" s="35"/>
      <c r="AO599" s="36"/>
      <c r="AP599" s="34" t="s">
        <v>563</v>
      </c>
      <c r="AQ599" s="35"/>
      <c r="AR599" s="35"/>
      <c r="AS599" s="35"/>
      <c r="AT599" s="35"/>
      <c r="AU599" s="35"/>
      <c r="AV599" s="35"/>
      <c r="AW599" s="35"/>
      <c r="AX599" s="35"/>
      <c r="AY599" s="35"/>
      <c r="AZ599" s="36"/>
      <c r="BA599" s="35" t="s">
        <v>568</v>
      </c>
      <c r="BB599" s="35"/>
      <c r="BC599" s="35"/>
      <c r="BD599" s="35"/>
      <c r="BE599" s="35"/>
      <c r="BF599" s="35"/>
      <c r="BG599" s="35"/>
      <c r="BH599" s="35"/>
      <c r="BI599" s="35"/>
      <c r="BJ599" s="35"/>
      <c r="BK599" s="35"/>
      <c r="BL599" s="35"/>
      <c r="BM599" s="35"/>
      <c r="BN599" s="35"/>
      <c r="BO599" s="35"/>
      <c r="BP599" s="35"/>
      <c r="BQ599" s="35"/>
      <c r="BR599" s="35"/>
      <c r="BS599" s="35"/>
      <c r="BT599" s="35"/>
      <c r="BU599" s="35"/>
      <c r="BV599" s="35"/>
      <c r="BW599" s="35"/>
      <c r="BX599" s="35"/>
      <c r="BY599" s="35"/>
      <c r="BZ599" s="35"/>
      <c r="CA599" s="35"/>
      <c r="CB599" s="35"/>
      <c r="CC599" s="35"/>
      <c r="CD599" s="36"/>
      <c r="CE599" s="18"/>
    </row>
    <row r="600" spans="1:83" s="9" customFormat="1" ht="12" customHeight="1" x14ac:dyDescent="0.15">
      <c r="A600" s="16"/>
      <c r="B600" s="8"/>
      <c r="C600" s="12"/>
      <c r="D600" s="602" t="s">
        <v>350</v>
      </c>
      <c r="E600" s="603"/>
      <c r="F600" s="34" t="s">
        <v>638</v>
      </c>
      <c r="G600" s="35"/>
      <c r="H600" s="35"/>
      <c r="I600" s="35"/>
      <c r="J600" s="35"/>
      <c r="K600" s="35"/>
      <c r="L600" s="35"/>
      <c r="M600" s="35"/>
      <c r="N600" s="35"/>
      <c r="O600" s="35"/>
      <c r="P600" s="36"/>
      <c r="Q600" s="34" t="s">
        <v>905</v>
      </c>
      <c r="R600" s="35"/>
      <c r="S600" s="35"/>
      <c r="T600" s="35"/>
      <c r="U600" s="35"/>
      <c r="V600" s="35"/>
      <c r="W600" s="35"/>
      <c r="X600" s="35"/>
      <c r="Y600" s="35"/>
      <c r="Z600" s="35"/>
      <c r="AA600" s="35"/>
      <c r="AB600" s="34" t="s">
        <v>564</v>
      </c>
      <c r="AC600" s="35"/>
      <c r="AD600" s="35"/>
      <c r="AE600" s="35"/>
      <c r="AF600" s="35"/>
      <c r="AG600" s="35"/>
      <c r="AH600" s="35"/>
      <c r="AI600" s="35"/>
      <c r="AJ600" s="35"/>
      <c r="AK600" s="35"/>
      <c r="AL600" s="35"/>
      <c r="AM600" s="35"/>
      <c r="AN600" s="35"/>
      <c r="AO600" s="36"/>
      <c r="AP600" s="34" t="s">
        <v>563</v>
      </c>
      <c r="AQ600" s="35"/>
      <c r="AR600" s="35"/>
      <c r="AS600" s="35"/>
      <c r="AT600" s="35"/>
      <c r="AU600" s="35"/>
      <c r="AV600" s="35"/>
      <c r="AW600" s="35"/>
      <c r="AX600" s="35"/>
      <c r="AY600" s="35"/>
      <c r="AZ600" s="36"/>
      <c r="BA600" s="35" t="s">
        <v>569</v>
      </c>
      <c r="BB600" s="35"/>
      <c r="BC600" s="35"/>
      <c r="BD600" s="35"/>
      <c r="BE600" s="35"/>
      <c r="BF600" s="35"/>
      <c r="BG600" s="35"/>
      <c r="BH600" s="35"/>
      <c r="BI600" s="35"/>
      <c r="BJ600" s="35"/>
      <c r="BK600" s="35"/>
      <c r="BL600" s="35"/>
      <c r="BM600" s="35"/>
      <c r="BN600" s="35"/>
      <c r="BO600" s="35"/>
      <c r="BP600" s="35"/>
      <c r="BQ600" s="35"/>
      <c r="BR600" s="35"/>
      <c r="BS600" s="35"/>
      <c r="BT600" s="35"/>
      <c r="BU600" s="35"/>
      <c r="BV600" s="35"/>
      <c r="BW600" s="35"/>
      <c r="BX600" s="35"/>
      <c r="BY600" s="35"/>
      <c r="BZ600" s="35"/>
      <c r="CA600" s="35"/>
      <c r="CB600" s="35"/>
      <c r="CC600" s="35"/>
      <c r="CD600" s="36"/>
      <c r="CE600" s="18"/>
    </row>
    <row r="601" spans="1:83" s="9" customFormat="1" ht="12" customHeight="1" x14ac:dyDescent="0.15">
      <c r="A601" s="16"/>
      <c r="B601" s="8"/>
      <c r="C601" s="12"/>
      <c r="D601" s="602" t="s">
        <v>351</v>
      </c>
      <c r="E601" s="603"/>
      <c r="F601" s="34" t="s">
        <v>639</v>
      </c>
      <c r="G601" s="35"/>
      <c r="H601" s="35"/>
      <c r="I601" s="35"/>
      <c r="J601" s="35"/>
      <c r="K601" s="35"/>
      <c r="L601" s="35"/>
      <c r="M601" s="35"/>
      <c r="N601" s="35"/>
      <c r="O601" s="35"/>
      <c r="P601" s="36"/>
      <c r="Q601" s="34" t="s">
        <v>906</v>
      </c>
      <c r="R601" s="35"/>
      <c r="S601" s="35"/>
      <c r="T601" s="35"/>
      <c r="U601" s="35"/>
      <c r="V601" s="35"/>
      <c r="W601" s="35"/>
      <c r="X601" s="35"/>
      <c r="Y601" s="35"/>
      <c r="Z601" s="35"/>
      <c r="AA601" s="35"/>
      <c r="AB601" s="34" t="s">
        <v>564</v>
      </c>
      <c r="AC601" s="35"/>
      <c r="AD601" s="35"/>
      <c r="AE601" s="35"/>
      <c r="AF601" s="35"/>
      <c r="AG601" s="35"/>
      <c r="AH601" s="35"/>
      <c r="AI601" s="35"/>
      <c r="AJ601" s="35"/>
      <c r="AK601" s="35"/>
      <c r="AL601" s="35"/>
      <c r="AM601" s="35"/>
      <c r="AN601" s="35"/>
      <c r="AO601" s="36"/>
      <c r="AP601" s="34" t="s">
        <v>563</v>
      </c>
      <c r="AQ601" s="35"/>
      <c r="AR601" s="35"/>
      <c r="AS601" s="35"/>
      <c r="AT601" s="35"/>
      <c r="AU601" s="35"/>
      <c r="AV601" s="35"/>
      <c r="AW601" s="35"/>
      <c r="AX601" s="35"/>
      <c r="AY601" s="35"/>
      <c r="AZ601" s="36"/>
      <c r="BA601" s="35" t="s">
        <v>907</v>
      </c>
      <c r="BB601" s="35"/>
      <c r="BC601" s="35"/>
      <c r="BD601" s="35"/>
      <c r="BE601" s="35"/>
      <c r="BF601" s="35"/>
      <c r="BG601" s="35"/>
      <c r="BH601" s="35"/>
      <c r="BI601" s="35"/>
      <c r="BJ601" s="35"/>
      <c r="BK601" s="35"/>
      <c r="BL601" s="35"/>
      <c r="BM601" s="35"/>
      <c r="BN601" s="35"/>
      <c r="BO601" s="35"/>
      <c r="BP601" s="35"/>
      <c r="BQ601" s="35"/>
      <c r="BR601" s="35"/>
      <c r="BS601" s="35"/>
      <c r="BT601" s="35"/>
      <c r="BU601" s="35"/>
      <c r="BV601" s="35"/>
      <c r="BW601" s="35"/>
      <c r="BX601" s="35"/>
      <c r="BY601" s="35"/>
      <c r="BZ601" s="35"/>
      <c r="CA601" s="35"/>
      <c r="CB601" s="35"/>
      <c r="CC601" s="35"/>
      <c r="CD601" s="36"/>
      <c r="CE601" s="18"/>
    </row>
    <row r="602" spans="1:83" s="9" customFormat="1" ht="12" customHeight="1" x14ac:dyDescent="0.15">
      <c r="A602" s="16"/>
      <c r="B602" s="8"/>
      <c r="C602" s="12"/>
      <c r="D602" s="602" t="s">
        <v>565</v>
      </c>
      <c r="E602" s="603"/>
      <c r="F602" s="34" t="s">
        <v>640</v>
      </c>
      <c r="G602" s="35"/>
      <c r="H602" s="35"/>
      <c r="I602" s="35"/>
      <c r="J602" s="35"/>
      <c r="K602" s="35"/>
      <c r="L602" s="35"/>
      <c r="M602" s="35"/>
      <c r="N602" s="35"/>
      <c r="O602" s="35"/>
      <c r="P602" s="36"/>
      <c r="Q602" s="34" t="s">
        <v>908</v>
      </c>
      <c r="R602" s="35"/>
      <c r="S602" s="35"/>
      <c r="T602" s="35"/>
      <c r="U602" s="35"/>
      <c r="V602" s="35"/>
      <c r="W602" s="35"/>
      <c r="X602" s="35"/>
      <c r="Y602" s="35"/>
      <c r="Z602" s="35"/>
      <c r="AA602" s="35"/>
      <c r="AB602" s="34" t="s">
        <v>564</v>
      </c>
      <c r="AC602" s="35"/>
      <c r="AD602" s="35"/>
      <c r="AE602" s="35"/>
      <c r="AF602" s="35"/>
      <c r="AG602" s="35"/>
      <c r="AH602" s="35"/>
      <c r="AI602" s="35"/>
      <c r="AJ602" s="35"/>
      <c r="AK602" s="35"/>
      <c r="AL602" s="35"/>
      <c r="AM602" s="35"/>
      <c r="AN602" s="35"/>
      <c r="AO602" s="36"/>
      <c r="AP602" s="34" t="s">
        <v>563</v>
      </c>
      <c r="AQ602" s="35"/>
      <c r="AR602" s="35"/>
      <c r="AS602" s="35"/>
      <c r="AT602" s="35"/>
      <c r="AU602" s="35"/>
      <c r="AV602" s="35"/>
      <c r="AW602" s="35"/>
      <c r="AX602" s="35"/>
      <c r="AY602" s="35"/>
      <c r="AZ602" s="36"/>
      <c r="BA602" s="35" t="s">
        <v>909</v>
      </c>
      <c r="BB602" s="35"/>
      <c r="BC602" s="35"/>
      <c r="BD602" s="35"/>
      <c r="BE602" s="35"/>
      <c r="BF602" s="35"/>
      <c r="BG602" s="35"/>
      <c r="BH602" s="35"/>
      <c r="BI602" s="35"/>
      <c r="BJ602" s="35"/>
      <c r="BK602" s="35"/>
      <c r="BL602" s="35"/>
      <c r="BM602" s="35"/>
      <c r="BN602" s="35"/>
      <c r="BO602" s="35"/>
      <c r="BP602" s="35"/>
      <c r="BQ602" s="35"/>
      <c r="BR602" s="35"/>
      <c r="BS602" s="35"/>
      <c r="BT602" s="35"/>
      <c r="BU602" s="35"/>
      <c r="BV602" s="35"/>
      <c r="BW602" s="35"/>
      <c r="BX602" s="35"/>
      <c r="BY602" s="35"/>
      <c r="BZ602" s="35"/>
      <c r="CA602" s="35"/>
      <c r="CB602" s="35"/>
      <c r="CC602" s="35"/>
      <c r="CD602" s="36"/>
      <c r="CE602" s="18"/>
    </row>
    <row r="603" spans="1:83" s="9" customFormat="1" ht="12" customHeight="1" x14ac:dyDescent="0.15">
      <c r="A603" s="16"/>
      <c r="B603" s="8"/>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c r="CA603" s="12"/>
      <c r="CB603" s="12"/>
      <c r="CC603" s="12"/>
      <c r="CD603" s="12"/>
      <c r="CE603" s="18"/>
    </row>
    <row r="604" spans="1:83" s="9" customFormat="1" ht="12.75" customHeight="1" x14ac:dyDescent="0.15">
      <c r="A604" s="16"/>
      <c r="B604" s="8"/>
      <c r="C604" s="12"/>
      <c r="D604" s="12" t="s">
        <v>570</v>
      </c>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c r="CA604" s="12"/>
      <c r="CB604" s="12"/>
      <c r="CC604" s="12"/>
      <c r="CD604" s="12"/>
      <c r="CE604" s="18"/>
    </row>
    <row r="605" spans="1:83" s="9" customFormat="1" ht="12.75" customHeight="1" x14ac:dyDescent="0.15">
      <c r="A605" s="16"/>
      <c r="B605" s="8"/>
      <c r="C605" s="12"/>
      <c r="D605" s="116" t="s">
        <v>348</v>
      </c>
      <c r="E605" s="117"/>
      <c r="F605" s="116" t="s">
        <v>566</v>
      </c>
      <c r="G605" s="118"/>
      <c r="H605" s="118"/>
      <c r="I605" s="118"/>
      <c r="J605" s="118"/>
      <c r="K605" s="118"/>
      <c r="L605" s="118"/>
      <c r="M605" s="118"/>
      <c r="N605" s="118"/>
      <c r="O605" s="118"/>
      <c r="P605" s="117"/>
      <c r="Q605" s="116" t="s">
        <v>571</v>
      </c>
      <c r="R605" s="118"/>
      <c r="S605" s="118"/>
      <c r="T605" s="118"/>
      <c r="U605" s="118"/>
      <c r="V605" s="118"/>
      <c r="W605" s="118"/>
      <c r="X605" s="118"/>
      <c r="Y605" s="118"/>
      <c r="Z605" s="118"/>
      <c r="AA605" s="118"/>
      <c r="AB605" s="118"/>
      <c r="AC605" s="118"/>
      <c r="AD605" s="118"/>
      <c r="AE605" s="118"/>
      <c r="AF605" s="118"/>
      <c r="AG605" s="118"/>
      <c r="AH605" s="118"/>
      <c r="AI605" s="118"/>
      <c r="AJ605" s="118"/>
      <c r="AK605" s="118"/>
      <c r="AL605" s="118"/>
      <c r="AM605" s="118"/>
      <c r="AN605" s="118"/>
      <c r="AO605" s="118"/>
      <c r="AP605" s="118"/>
      <c r="AQ605" s="118"/>
      <c r="AR605" s="118"/>
      <c r="AS605" s="118"/>
      <c r="AT605" s="118"/>
      <c r="AU605" s="118"/>
      <c r="AV605" s="118"/>
      <c r="AW605" s="118"/>
      <c r="AX605" s="118"/>
      <c r="AY605" s="118"/>
      <c r="AZ605" s="118"/>
      <c r="BA605" s="118"/>
      <c r="BB605" s="118"/>
      <c r="BC605" s="118"/>
      <c r="BD605" s="118"/>
      <c r="BE605" s="118"/>
      <c r="BF605" s="118"/>
      <c r="BG605" s="118"/>
      <c r="BH605" s="118"/>
      <c r="BI605" s="118"/>
      <c r="BJ605" s="118"/>
      <c r="BK605" s="118"/>
      <c r="BL605" s="118"/>
      <c r="BM605" s="118"/>
      <c r="BN605" s="118"/>
      <c r="BO605" s="118"/>
      <c r="BP605" s="118"/>
      <c r="BQ605" s="118"/>
      <c r="BR605" s="118"/>
      <c r="BS605" s="118"/>
      <c r="BT605" s="118"/>
      <c r="BU605" s="118"/>
      <c r="BV605" s="118"/>
      <c r="BW605" s="118"/>
      <c r="BX605" s="118"/>
      <c r="BY605" s="118"/>
      <c r="BZ605" s="118"/>
      <c r="CA605" s="118"/>
      <c r="CB605" s="118"/>
      <c r="CC605" s="118"/>
      <c r="CD605" s="117"/>
      <c r="CE605" s="18"/>
    </row>
    <row r="606" spans="1:83" s="9" customFormat="1" ht="12.75" customHeight="1" x14ac:dyDescent="0.15">
      <c r="A606" s="16"/>
      <c r="B606" s="8"/>
      <c r="C606" s="12"/>
      <c r="D606" s="602" t="s">
        <v>349</v>
      </c>
      <c r="E606" s="603"/>
      <c r="F606" s="34" t="s">
        <v>904</v>
      </c>
      <c r="G606" s="35"/>
      <c r="H606" s="35"/>
      <c r="I606" s="35"/>
      <c r="J606" s="35"/>
      <c r="K606" s="35"/>
      <c r="L606" s="35"/>
      <c r="M606" s="35"/>
      <c r="N606" s="35"/>
      <c r="O606" s="35"/>
      <c r="P606" s="36"/>
      <c r="Q606" s="34" t="s">
        <v>910</v>
      </c>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c r="BK606" s="35"/>
      <c r="BL606" s="35"/>
      <c r="BM606" s="35"/>
      <c r="BN606" s="35"/>
      <c r="BO606" s="35"/>
      <c r="BP606" s="35"/>
      <c r="BQ606" s="35"/>
      <c r="BR606" s="35"/>
      <c r="BS606" s="35"/>
      <c r="BT606" s="35"/>
      <c r="BU606" s="35"/>
      <c r="BV606" s="35"/>
      <c r="BW606" s="35"/>
      <c r="BX606" s="35"/>
      <c r="BY606" s="35"/>
      <c r="BZ606" s="35"/>
      <c r="CA606" s="35"/>
      <c r="CB606" s="35"/>
      <c r="CC606" s="35"/>
      <c r="CD606" s="36"/>
      <c r="CE606" s="18"/>
    </row>
    <row r="607" spans="1:83" s="9" customFormat="1" ht="12.75" customHeight="1" x14ac:dyDescent="0.15">
      <c r="A607" s="16"/>
      <c r="B607" s="8"/>
      <c r="C607" s="12"/>
      <c r="D607" s="602" t="s">
        <v>350</v>
      </c>
      <c r="E607" s="603"/>
      <c r="F607" s="34" t="s">
        <v>905</v>
      </c>
      <c r="G607" s="35"/>
      <c r="H607" s="35"/>
      <c r="I607" s="35"/>
      <c r="J607" s="35"/>
      <c r="K607" s="35"/>
      <c r="L607" s="35"/>
      <c r="M607" s="35"/>
      <c r="N607" s="35"/>
      <c r="O607" s="35"/>
      <c r="P607" s="36"/>
      <c r="Q607" s="34" t="s">
        <v>572</v>
      </c>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c r="BK607" s="35"/>
      <c r="BL607" s="35"/>
      <c r="BM607" s="35"/>
      <c r="BN607" s="35"/>
      <c r="BO607" s="35"/>
      <c r="BP607" s="35"/>
      <c r="BQ607" s="35"/>
      <c r="BR607" s="35"/>
      <c r="BS607" s="35"/>
      <c r="BT607" s="35"/>
      <c r="BU607" s="35"/>
      <c r="BV607" s="35"/>
      <c r="BW607" s="35"/>
      <c r="BX607" s="35"/>
      <c r="BY607" s="35"/>
      <c r="BZ607" s="35"/>
      <c r="CA607" s="35"/>
      <c r="CB607" s="35"/>
      <c r="CC607" s="35"/>
      <c r="CD607" s="36"/>
      <c r="CE607" s="18"/>
    </row>
    <row r="608" spans="1:83" s="9" customFormat="1" ht="12.75" customHeight="1" x14ac:dyDescent="0.15">
      <c r="A608" s="16"/>
      <c r="B608" s="8"/>
      <c r="C608" s="12"/>
      <c r="D608" s="602" t="s">
        <v>351</v>
      </c>
      <c r="E608" s="603"/>
      <c r="F608" s="34" t="s">
        <v>906</v>
      </c>
      <c r="G608" s="35"/>
      <c r="H608" s="35"/>
      <c r="I608" s="35"/>
      <c r="J608" s="35"/>
      <c r="K608" s="35"/>
      <c r="L608" s="35"/>
      <c r="M608" s="35"/>
      <c r="N608" s="35"/>
      <c r="O608" s="35"/>
      <c r="P608" s="36"/>
      <c r="Q608" s="34" t="s">
        <v>667</v>
      </c>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c r="BK608" s="35"/>
      <c r="BL608" s="35"/>
      <c r="BM608" s="35"/>
      <c r="BN608" s="35"/>
      <c r="BO608" s="35"/>
      <c r="BP608" s="35"/>
      <c r="BQ608" s="35"/>
      <c r="BR608" s="35"/>
      <c r="BS608" s="35"/>
      <c r="BT608" s="35"/>
      <c r="BU608" s="35"/>
      <c r="BV608" s="35"/>
      <c r="BW608" s="35"/>
      <c r="BX608" s="35"/>
      <c r="BY608" s="35"/>
      <c r="BZ608" s="35"/>
      <c r="CA608" s="35"/>
      <c r="CB608" s="35"/>
      <c r="CC608" s="35"/>
      <c r="CD608" s="36"/>
      <c r="CE608" s="18"/>
    </row>
    <row r="609" spans="1:83" s="9" customFormat="1" ht="12.75" customHeight="1" x14ac:dyDescent="0.15">
      <c r="A609" s="16"/>
      <c r="B609" s="8"/>
      <c r="C609" s="12"/>
      <c r="D609" s="602" t="s">
        <v>565</v>
      </c>
      <c r="E609" s="603"/>
      <c r="F609" s="34" t="s">
        <v>908</v>
      </c>
      <c r="G609" s="35"/>
      <c r="H609" s="35"/>
      <c r="I609" s="35"/>
      <c r="J609" s="35"/>
      <c r="K609" s="35"/>
      <c r="L609" s="35"/>
      <c r="M609" s="35"/>
      <c r="N609" s="35"/>
      <c r="O609" s="35"/>
      <c r="P609" s="36"/>
      <c r="Q609" s="34" t="s">
        <v>666</v>
      </c>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c r="BK609" s="35"/>
      <c r="BL609" s="35"/>
      <c r="BM609" s="35"/>
      <c r="BN609" s="35"/>
      <c r="BO609" s="35"/>
      <c r="BP609" s="35"/>
      <c r="BQ609" s="35"/>
      <c r="BR609" s="35"/>
      <c r="BS609" s="35"/>
      <c r="BT609" s="35"/>
      <c r="BU609" s="35"/>
      <c r="BV609" s="35"/>
      <c r="BW609" s="35"/>
      <c r="BX609" s="35"/>
      <c r="BY609" s="35"/>
      <c r="BZ609" s="35"/>
      <c r="CA609" s="35"/>
      <c r="CB609" s="35"/>
      <c r="CC609" s="35"/>
      <c r="CD609" s="36"/>
      <c r="CE609" s="18"/>
    </row>
    <row r="610" spans="1:83" s="9" customFormat="1" ht="12.75" customHeight="1" x14ac:dyDescent="0.15">
      <c r="A610" s="16"/>
      <c r="B610" s="8"/>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c r="CA610" s="12"/>
      <c r="CB610" s="12"/>
      <c r="CC610" s="12"/>
      <c r="CD610" s="12"/>
      <c r="CE610" s="18"/>
    </row>
    <row r="611" spans="1:83" s="9" customFormat="1" ht="12.75" customHeight="1" x14ac:dyDescent="0.15">
      <c r="A611" s="16"/>
      <c r="B611" s="8"/>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c r="CA611" s="12"/>
      <c r="CB611" s="12"/>
      <c r="CC611" s="12"/>
      <c r="CD611" s="12"/>
      <c r="CE611" s="18"/>
    </row>
    <row r="612" spans="1:83" s="9" customFormat="1" ht="12.75" customHeight="1" x14ac:dyDescent="0.15">
      <c r="A612" s="16"/>
      <c r="B612" s="8"/>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c r="CA612" s="12"/>
      <c r="CB612" s="12"/>
      <c r="CC612" s="12"/>
      <c r="CD612" s="12"/>
      <c r="CE612" s="18"/>
    </row>
    <row r="613" spans="1:83" s="9" customFormat="1" ht="12.75" customHeight="1" x14ac:dyDescent="0.15">
      <c r="A613" s="16"/>
      <c r="B613" s="8"/>
      <c r="C613" s="29"/>
      <c r="D613" s="21" t="s">
        <v>573</v>
      </c>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c r="CA613" s="12"/>
      <c r="CB613" s="12"/>
      <c r="CC613" s="12"/>
      <c r="CD613" s="12"/>
      <c r="CE613" s="18"/>
    </row>
    <row r="614" spans="1:83" s="9" customFormat="1" ht="12.75" customHeight="1" x14ac:dyDescent="0.15">
      <c r="A614" s="16"/>
      <c r="B614" s="8"/>
      <c r="C614" s="29"/>
      <c r="D614" s="647" t="s">
        <v>65</v>
      </c>
      <c r="E614" s="648"/>
      <c r="F614" s="648"/>
      <c r="G614" s="648"/>
      <c r="H614" s="648"/>
      <c r="I614" s="648"/>
      <c r="J614" s="648"/>
      <c r="K614" s="648"/>
      <c r="L614" s="648"/>
      <c r="M614" s="648"/>
      <c r="N614" s="648"/>
      <c r="O614" s="648"/>
      <c r="P614" s="648"/>
      <c r="Q614" s="648"/>
      <c r="R614" s="648"/>
      <c r="S614" s="648"/>
      <c r="T614" s="648"/>
      <c r="U614" s="648"/>
      <c r="V614" s="648"/>
      <c r="W614" s="648"/>
      <c r="X614" s="648"/>
      <c r="Y614" s="648"/>
      <c r="Z614" s="648"/>
      <c r="AA614" s="648"/>
      <c r="AB614" s="648"/>
      <c r="AC614" s="648"/>
      <c r="AD614" s="648"/>
      <c r="AE614" s="648"/>
      <c r="AF614" s="648"/>
      <c r="AG614" s="648"/>
      <c r="AH614" s="648"/>
      <c r="AI614" s="648"/>
      <c r="AJ614" s="648"/>
      <c r="AK614" s="648"/>
      <c r="AL614" s="648"/>
      <c r="AM614" s="648"/>
      <c r="AN614" s="648"/>
      <c r="AO614" s="648"/>
      <c r="AP614" s="648"/>
      <c r="AQ614" s="648"/>
      <c r="AR614" s="648"/>
      <c r="AS614" s="648"/>
      <c r="AT614" s="648"/>
      <c r="AU614" s="648"/>
      <c r="AV614" s="648"/>
      <c r="AW614" s="648"/>
      <c r="AX614" s="648"/>
      <c r="AY614" s="648"/>
      <c r="AZ614" s="648"/>
      <c r="BA614" s="648"/>
      <c r="BB614" s="648"/>
      <c r="BC614" s="648"/>
      <c r="BD614" s="648"/>
      <c r="BE614" s="648"/>
      <c r="BF614" s="648"/>
      <c r="BG614" s="648"/>
      <c r="BH614" s="648"/>
      <c r="BI614" s="648"/>
      <c r="BJ614" s="648"/>
      <c r="BK614" s="648"/>
      <c r="BL614" s="648"/>
      <c r="BM614" s="648"/>
      <c r="BN614" s="648"/>
      <c r="BO614" s="648"/>
      <c r="BP614" s="648"/>
      <c r="BQ614" s="648"/>
      <c r="BR614" s="648"/>
      <c r="BS614" s="648"/>
      <c r="BT614" s="648"/>
      <c r="BU614" s="648"/>
      <c r="BV614" s="648"/>
      <c r="BW614" s="648"/>
      <c r="BX614" s="648"/>
      <c r="BY614" s="648"/>
      <c r="BZ614" s="648"/>
      <c r="CA614" s="648"/>
      <c r="CB614" s="648"/>
      <c r="CC614" s="648"/>
      <c r="CD614" s="649"/>
      <c r="CE614" s="18"/>
    </row>
    <row r="615" spans="1:83" s="9" customFormat="1" ht="12.75" customHeight="1" x14ac:dyDescent="0.15">
      <c r="A615" s="16"/>
      <c r="B615" s="8"/>
      <c r="C615" s="29"/>
      <c r="D615" s="650"/>
      <c r="E615" s="651"/>
      <c r="F615" s="651"/>
      <c r="G615" s="651"/>
      <c r="H615" s="651"/>
      <c r="I615" s="651"/>
      <c r="J615" s="651"/>
      <c r="K615" s="651"/>
      <c r="L615" s="651"/>
      <c r="M615" s="651"/>
      <c r="N615" s="651"/>
      <c r="O615" s="651"/>
      <c r="P615" s="651"/>
      <c r="Q615" s="651"/>
      <c r="R615" s="651"/>
      <c r="S615" s="651"/>
      <c r="T615" s="651"/>
      <c r="U615" s="651"/>
      <c r="V615" s="651"/>
      <c r="W615" s="651"/>
      <c r="X615" s="651"/>
      <c r="Y615" s="651"/>
      <c r="Z615" s="651"/>
      <c r="AA615" s="651"/>
      <c r="AB615" s="651"/>
      <c r="AC615" s="651"/>
      <c r="AD615" s="651"/>
      <c r="AE615" s="651"/>
      <c r="AF615" s="651"/>
      <c r="AG615" s="651"/>
      <c r="AH615" s="651"/>
      <c r="AI615" s="651"/>
      <c r="AJ615" s="651"/>
      <c r="AK615" s="651"/>
      <c r="AL615" s="651"/>
      <c r="AM615" s="651"/>
      <c r="AN615" s="651"/>
      <c r="AO615" s="651"/>
      <c r="AP615" s="651"/>
      <c r="AQ615" s="651"/>
      <c r="AR615" s="651"/>
      <c r="AS615" s="651"/>
      <c r="AT615" s="651"/>
      <c r="AU615" s="651"/>
      <c r="AV615" s="651"/>
      <c r="AW615" s="651"/>
      <c r="AX615" s="651"/>
      <c r="AY615" s="651"/>
      <c r="AZ615" s="651"/>
      <c r="BA615" s="651"/>
      <c r="BB615" s="651"/>
      <c r="BC615" s="651"/>
      <c r="BD615" s="651"/>
      <c r="BE615" s="651"/>
      <c r="BF615" s="651"/>
      <c r="BG615" s="651"/>
      <c r="BH615" s="651"/>
      <c r="BI615" s="651"/>
      <c r="BJ615" s="651"/>
      <c r="BK615" s="651"/>
      <c r="BL615" s="651"/>
      <c r="BM615" s="651"/>
      <c r="BN615" s="651"/>
      <c r="BO615" s="651"/>
      <c r="BP615" s="651"/>
      <c r="BQ615" s="651"/>
      <c r="BR615" s="651"/>
      <c r="BS615" s="651"/>
      <c r="BT615" s="651"/>
      <c r="BU615" s="651"/>
      <c r="BV615" s="651"/>
      <c r="BW615" s="651"/>
      <c r="BX615" s="651"/>
      <c r="BY615" s="651"/>
      <c r="BZ615" s="651"/>
      <c r="CA615" s="651"/>
      <c r="CB615" s="651"/>
      <c r="CC615" s="651"/>
      <c r="CD615" s="652"/>
      <c r="CE615" s="18"/>
    </row>
    <row r="616" spans="1:83" s="9" customFormat="1" ht="12.75" customHeight="1" x14ac:dyDescent="0.15">
      <c r="A616" s="16"/>
      <c r="B616" s="8"/>
      <c r="C616" s="29"/>
      <c r="D616" s="653"/>
      <c r="E616" s="654"/>
      <c r="F616" s="654"/>
      <c r="G616" s="654"/>
      <c r="H616" s="654"/>
      <c r="I616" s="654"/>
      <c r="J616" s="654"/>
      <c r="K616" s="654"/>
      <c r="L616" s="654"/>
      <c r="M616" s="654"/>
      <c r="N616" s="654"/>
      <c r="O616" s="654"/>
      <c r="P616" s="654"/>
      <c r="Q616" s="654"/>
      <c r="R616" s="654"/>
      <c r="S616" s="654"/>
      <c r="T616" s="654"/>
      <c r="U616" s="654"/>
      <c r="V616" s="654"/>
      <c r="W616" s="654"/>
      <c r="X616" s="654"/>
      <c r="Y616" s="654"/>
      <c r="Z616" s="654"/>
      <c r="AA616" s="654"/>
      <c r="AB616" s="654"/>
      <c r="AC616" s="654"/>
      <c r="AD616" s="654"/>
      <c r="AE616" s="654"/>
      <c r="AF616" s="654"/>
      <c r="AG616" s="654"/>
      <c r="AH616" s="654"/>
      <c r="AI616" s="654"/>
      <c r="AJ616" s="654"/>
      <c r="AK616" s="654"/>
      <c r="AL616" s="654"/>
      <c r="AM616" s="654"/>
      <c r="AN616" s="654"/>
      <c r="AO616" s="654"/>
      <c r="AP616" s="654"/>
      <c r="AQ616" s="654"/>
      <c r="AR616" s="654"/>
      <c r="AS616" s="654"/>
      <c r="AT616" s="654"/>
      <c r="AU616" s="654"/>
      <c r="AV616" s="654"/>
      <c r="AW616" s="654"/>
      <c r="AX616" s="654"/>
      <c r="AY616" s="654"/>
      <c r="AZ616" s="654"/>
      <c r="BA616" s="654"/>
      <c r="BB616" s="654"/>
      <c r="BC616" s="654"/>
      <c r="BD616" s="654"/>
      <c r="BE616" s="654"/>
      <c r="BF616" s="654"/>
      <c r="BG616" s="654"/>
      <c r="BH616" s="654"/>
      <c r="BI616" s="654"/>
      <c r="BJ616" s="654"/>
      <c r="BK616" s="654"/>
      <c r="BL616" s="654"/>
      <c r="BM616" s="654"/>
      <c r="BN616" s="654"/>
      <c r="BO616" s="654"/>
      <c r="BP616" s="654"/>
      <c r="BQ616" s="654"/>
      <c r="BR616" s="654"/>
      <c r="BS616" s="654"/>
      <c r="BT616" s="654"/>
      <c r="BU616" s="654"/>
      <c r="BV616" s="654"/>
      <c r="BW616" s="654"/>
      <c r="BX616" s="654"/>
      <c r="BY616" s="654"/>
      <c r="BZ616" s="654"/>
      <c r="CA616" s="654"/>
      <c r="CB616" s="654"/>
      <c r="CC616" s="654"/>
      <c r="CD616" s="655"/>
      <c r="CE616" s="18"/>
    </row>
    <row r="617" spans="1:83" s="9" customFormat="1" ht="12.75" customHeight="1" x14ac:dyDescent="0.15">
      <c r="A617" s="16"/>
      <c r="B617" s="8"/>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c r="CA617" s="12"/>
      <c r="CB617" s="12"/>
      <c r="CC617" s="12"/>
      <c r="CD617" s="12"/>
      <c r="CE617" s="18"/>
    </row>
    <row r="618" spans="1:83" s="9" customFormat="1" ht="12.75" customHeight="1" x14ac:dyDescent="0.15">
      <c r="A618" s="16"/>
      <c r="B618" s="8"/>
      <c r="C618" s="29"/>
      <c r="D618" s="12" t="s">
        <v>574</v>
      </c>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c r="CA618" s="12"/>
      <c r="CB618" s="12"/>
      <c r="CC618" s="12"/>
      <c r="CD618" s="12"/>
      <c r="CE618" s="18"/>
    </row>
    <row r="619" spans="1:83" s="9" customFormat="1" ht="12.75" customHeight="1" x14ac:dyDescent="0.15">
      <c r="A619" s="16"/>
      <c r="B619" s="8"/>
      <c r="C619" s="29"/>
      <c r="D619" s="116" t="s">
        <v>348</v>
      </c>
      <c r="E619" s="117"/>
      <c r="F619" s="116" t="s">
        <v>577</v>
      </c>
      <c r="G619" s="118"/>
      <c r="H619" s="118"/>
      <c r="I619" s="118"/>
      <c r="J619" s="118"/>
      <c r="K619" s="118"/>
      <c r="L619" s="118"/>
      <c r="M619" s="118"/>
      <c r="N619" s="118"/>
      <c r="O619" s="118"/>
      <c r="P619" s="116" t="s">
        <v>3</v>
      </c>
      <c r="Q619" s="118"/>
      <c r="R619" s="118"/>
      <c r="S619" s="117"/>
      <c r="T619" s="116" t="s">
        <v>575</v>
      </c>
      <c r="U619" s="118"/>
      <c r="V619" s="118"/>
      <c r="W619" s="118"/>
      <c r="X619" s="118"/>
      <c r="Y619" s="118"/>
      <c r="Z619" s="118"/>
      <c r="AA619" s="118"/>
      <c r="AB619" s="116" t="s">
        <v>0</v>
      </c>
      <c r="AC619" s="118"/>
      <c r="AD619" s="118"/>
      <c r="AE619" s="118"/>
      <c r="AF619" s="118"/>
      <c r="AG619" s="118"/>
      <c r="AH619" s="118"/>
      <c r="AI619" s="118"/>
      <c r="AJ619" s="118"/>
      <c r="AK619" s="118"/>
      <c r="AL619" s="118"/>
      <c r="AM619" s="118"/>
      <c r="AN619" s="118"/>
      <c r="AO619" s="118"/>
      <c r="AP619" s="118"/>
      <c r="AQ619" s="118"/>
      <c r="AR619" s="118"/>
      <c r="AS619" s="118"/>
      <c r="AT619" s="118"/>
      <c r="AU619" s="118"/>
      <c r="AV619" s="118"/>
      <c r="AW619" s="118"/>
      <c r="AX619" s="118"/>
      <c r="AY619" s="118"/>
      <c r="AZ619" s="118"/>
      <c r="BA619" s="118"/>
      <c r="BB619" s="118"/>
      <c r="BC619" s="118"/>
      <c r="BD619" s="118"/>
      <c r="BE619" s="118"/>
      <c r="BF619" s="118"/>
      <c r="BG619" s="118"/>
      <c r="BH619" s="118"/>
      <c r="BI619" s="118"/>
      <c r="BJ619" s="118"/>
      <c r="BK619" s="118"/>
      <c r="BL619" s="118"/>
      <c r="BM619" s="118"/>
      <c r="BN619" s="118"/>
      <c r="BO619" s="118"/>
      <c r="BP619" s="118"/>
      <c r="BQ619" s="118"/>
      <c r="BR619" s="118"/>
      <c r="BS619" s="118"/>
      <c r="BT619" s="118"/>
      <c r="BU619" s="118"/>
      <c r="BV619" s="118"/>
      <c r="BW619" s="118"/>
      <c r="BX619" s="118"/>
      <c r="BY619" s="118"/>
      <c r="BZ619" s="118"/>
      <c r="CA619" s="118"/>
      <c r="CB619" s="118"/>
      <c r="CC619" s="118"/>
      <c r="CD619" s="117"/>
      <c r="CE619" s="18"/>
    </row>
    <row r="620" spans="1:83" s="9" customFormat="1" ht="12.75" customHeight="1" x14ac:dyDescent="0.15">
      <c r="A620" s="16"/>
      <c r="B620" s="8"/>
      <c r="C620" s="29"/>
      <c r="D620" s="602" t="s">
        <v>349</v>
      </c>
      <c r="E620" s="603"/>
      <c r="F620" s="34" t="s">
        <v>609</v>
      </c>
      <c r="G620" s="35"/>
      <c r="H620" s="35"/>
      <c r="I620" s="35"/>
      <c r="J620" s="35"/>
      <c r="K620" s="35"/>
      <c r="L620" s="35"/>
      <c r="M620" s="35"/>
      <c r="N620" s="35"/>
      <c r="O620" s="35"/>
      <c r="P620" s="34" t="s">
        <v>4</v>
      </c>
      <c r="Q620" s="35"/>
      <c r="R620" s="35"/>
      <c r="S620" s="36"/>
      <c r="T620" s="34" t="s">
        <v>576</v>
      </c>
      <c r="U620" s="35"/>
      <c r="V620" s="35"/>
      <c r="W620" s="35"/>
      <c r="X620" s="35"/>
      <c r="Y620" s="35"/>
      <c r="Z620" s="35"/>
      <c r="AA620" s="35"/>
      <c r="AB620" s="34" t="s">
        <v>1</v>
      </c>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c r="BK620" s="35"/>
      <c r="BL620" s="35"/>
      <c r="BM620" s="35"/>
      <c r="BN620" s="35"/>
      <c r="BO620" s="35"/>
      <c r="BP620" s="35"/>
      <c r="BQ620" s="35"/>
      <c r="BR620" s="35"/>
      <c r="BS620" s="35"/>
      <c r="BT620" s="35"/>
      <c r="BU620" s="35"/>
      <c r="BV620" s="35"/>
      <c r="BW620" s="35"/>
      <c r="BX620" s="35"/>
      <c r="BY620" s="35"/>
      <c r="BZ620" s="35"/>
      <c r="CA620" s="35"/>
      <c r="CB620" s="35"/>
      <c r="CC620" s="35"/>
      <c r="CD620" s="36"/>
      <c r="CE620" s="18"/>
    </row>
    <row r="621" spans="1:83" s="9" customFormat="1" ht="12.75" customHeight="1" x14ac:dyDescent="0.15">
      <c r="A621" s="16"/>
      <c r="B621" s="8"/>
      <c r="C621" s="29"/>
      <c r="D621" s="602" t="s">
        <v>2</v>
      </c>
      <c r="E621" s="603"/>
      <c r="F621" s="34" t="s">
        <v>21</v>
      </c>
      <c r="G621" s="35"/>
      <c r="H621" s="35"/>
      <c r="I621" s="35"/>
      <c r="J621" s="35"/>
      <c r="K621" s="35"/>
      <c r="L621" s="35"/>
      <c r="M621" s="35"/>
      <c r="N621" s="35"/>
      <c r="O621" s="35"/>
      <c r="P621" s="34" t="s">
        <v>5</v>
      </c>
      <c r="Q621" s="35"/>
      <c r="R621" s="35"/>
      <c r="S621" s="36"/>
      <c r="T621" s="34" t="s">
        <v>576</v>
      </c>
      <c r="U621" s="35"/>
      <c r="V621" s="35"/>
      <c r="W621" s="35"/>
      <c r="X621" s="35"/>
      <c r="Y621" s="35"/>
      <c r="Z621" s="35"/>
      <c r="AA621" s="35"/>
      <c r="AB621" s="34" t="s">
        <v>6</v>
      </c>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c r="BK621" s="35"/>
      <c r="BL621" s="35"/>
      <c r="BM621" s="35"/>
      <c r="BN621" s="35"/>
      <c r="BO621" s="35"/>
      <c r="BP621" s="35"/>
      <c r="BQ621" s="35"/>
      <c r="BR621" s="35"/>
      <c r="BS621" s="35"/>
      <c r="BT621" s="35"/>
      <c r="BU621" s="35"/>
      <c r="BV621" s="35"/>
      <c r="BW621" s="35"/>
      <c r="BX621" s="35"/>
      <c r="BY621" s="35"/>
      <c r="BZ621" s="35"/>
      <c r="CA621" s="35"/>
      <c r="CB621" s="35"/>
      <c r="CC621" s="35"/>
      <c r="CD621" s="36"/>
      <c r="CE621" s="18"/>
    </row>
    <row r="622" spans="1:83" s="385" customFormat="1" ht="12.75" customHeight="1" x14ac:dyDescent="0.15">
      <c r="A622" s="381"/>
      <c r="B622" s="382"/>
      <c r="C622" s="383"/>
      <c r="D622" s="398"/>
      <c r="E622" s="399"/>
      <c r="F622" s="389"/>
      <c r="G622" s="389"/>
      <c r="H622" s="389"/>
      <c r="I622" s="389"/>
      <c r="J622" s="389"/>
      <c r="K622" s="389"/>
      <c r="L622" s="389"/>
      <c r="M622" s="389"/>
      <c r="N622" s="389"/>
      <c r="O622" s="389"/>
      <c r="P622" s="389"/>
      <c r="Q622" s="389"/>
      <c r="R622" s="389"/>
      <c r="S622" s="389"/>
      <c r="T622" s="389"/>
      <c r="U622" s="389"/>
      <c r="V622" s="389"/>
      <c r="W622" s="389"/>
      <c r="X622" s="389"/>
      <c r="Y622" s="389"/>
      <c r="Z622" s="389"/>
      <c r="AA622" s="389"/>
      <c r="AB622" s="389"/>
      <c r="AC622" s="389"/>
      <c r="AD622" s="389"/>
      <c r="AE622" s="389"/>
      <c r="AF622" s="389"/>
      <c r="AG622" s="389"/>
      <c r="AH622" s="389"/>
      <c r="AI622" s="389"/>
      <c r="AJ622" s="389"/>
      <c r="AK622" s="389"/>
      <c r="AL622" s="389"/>
      <c r="AM622" s="389"/>
      <c r="AN622" s="389"/>
      <c r="AO622" s="389"/>
      <c r="AP622" s="389"/>
      <c r="AQ622" s="389"/>
      <c r="AR622" s="389"/>
      <c r="AS622" s="389"/>
      <c r="AT622" s="389"/>
      <c r="AU622" s="389"/>
      <c r="AV622" s="389"/>
      <c r="AW622" s="389"/>
      <c r="AX622" s="389"/>
      <c r="AY622" s="389"/>
      <c r="AZ622" s="389"/>
      <c r="BA622" s="389"/>
      <c r="BB622" s="389"/>
      <c r="BC622" s="389"/>
      <c r="BD622" s="389"/>
      <c r="BE622" s="389"/>
      <c r="BF622" s="389"/>
      <c r="BG622" s="389"/>
      <c r="BH622" s="389"/>
      <c r="BI622" s="389"/>
      <c r="BJ622" s="389"/>
      <c r="BK622" s="389"/>
      <c r="BL622" s="389"/>
      <c r="BM622" s="389"/>
      <c r="BN622" s="389"/>
      <c r="BO622" s="389"/>
      <c r="BP622" s="389"/>
      <c r="BQ622" s="389"/>
      <c r="BR622" s="389"/>
      <c r="BS622" s="389"/>
      <c r="BT622" s="389"/>
      <c r="BU622" s="389"/>
      <c r="BV622" s="389"/>
      <c r="BW622" s="389"/>
      <c r="BX622" s="389"/>
      <c r="BY622" s="389"/>
      <c r="BZ622" s="389"/>
      <c r="CA622" s="389"/>
      <c r="CB622" s="389"/>
      <c r="CC622" s="389"/>
      <c r="CD622" s="389"/>
      <c r="CE622" s="384"/>
    </row>
    <row r="623" spans="1:83" s="9" customFormat="1" ht="12.75" customHeight="1" x14ac:dyDescent="0.15">
      <c r="A623" s="16"/>
      <c r="B623" s="8"/>
      <c r="C623" s="29"/>
      <c r="D623" s="2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c r="CA623" s="12"/>
      <c r="CB623" s="12"/>
      <c r="CC623" s="12"/>
      <c r="CD623" s="12"/>
      <c r="CE623" s="18"/>
    </row>
    <row r="624" spans="1:83" s="9" customFormat="1" ht="12.75" customHeight="1" x14ac:dyDescent="0.15">
      <c r="A624" s="16"/>
      <c r="B624" s="8"/>
      <c r="C624" s="29"/>
      <c r="D624" s="2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c r="CA624" s="12"/>
      <c r="CB624" s="12"/>
      <c r="CC624" s="12"/>
      <c r="CD624" s="12"/>
      <c r="CE624" s="18"/>
    </row>
    <row r="625" spans="1:83" s="9" customFormat="1" ht="12.75" customHeight="1" thickBot="1" x14ac:dyDescent="0.2">
      <c r="A625" s="25"/>
      <c r="B625" s="30"/>
      <c r="C625" s="74"/>
      <c r="D625" s="161"/>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c r="AA625" s="164"/>
      <c r="AB625" s="164"/>
      <c r="AC625" s="164"/>
      <c r="AD625" s="164"/>
      <c r="AE625" s="164"/>
      <c r="AF625" s="164"/>
      <c r="AG625" s="164"/>
      <c r="AH625" s="164"/>
      <c r="AI625" s="164"/>
      <c r="AJ625" s="164"/>
      <c r="AK625" s="164"/>
      <c r="AL625" s="164"/>
      <c r="AM625" s="164"/>
      <c r="AN625" s="164"/>
      <c r="AO625" s="164"/>
      <c r="AP625" s="164"/>
      <c r="AQ625" s="164"/>
      <c r="AR625" s="164"/>
      <c r="AS625" s="164"/>
      <c r="AT625" s="164"/>
      <c r="AU625" s="164"/>
      <c r="AV625" s="164"/>
      <c r="AW625" s="164"/>
      <c r="AX625" s="164"/>
      <c r="AY625" s="164"/>
      <c r="AZ625" s="164"/>
      <c r="BA625" s="164"/>
      <c r="BB625" s="164"/>
      <c r="BC625" s="164"/>
      <c r="BD625" s="164"/>
      <c r="BE625" s="164"/>
      <c r="BF625" s="164"/>
      <c r="BG625" s="164"/>
      <c r="BH625" s="164"/>
      <c r="BI625" s="164"/>
      <c r="BJ625" s="164"/>
      <c r="BK625" s="164"/>
      <c r="BL625" s="164"/>
      <c r="BM625" s="164"/>
      <c r="BN625" s="164"/>
      <c r="BO625" s="164"/>
      <c r="BP625" s="164"/>
      <c r="BQ625" s="164"/>
      <c r="BR625" s="164"/>
      <c r="BS625" s="164"/>
      <c r="BT625" s="164"/>
      <c r="BU625" s="164"/>
      <c r="BV625" s="164"/>
      <c r="BW625" s="164"/>
      <c r="BX625" s="164"/>
      <c r="BY625" s="164"/>
      <c r="BZ625" s="164"/>
      <c r="CA625" s="164"/>
      <c r="CB625" s="164"/>
      <c r="CC625" s="164"/>
      <c r="CD625" s="164"/>
      <c r="CE625" s="28"/>
    </row>
    <row r="626" spans="1:83" s="9" customFormat="1" ht="12" customHeight="1" x14ac:dyDescent="0.15">
      <c r="A626" s="13"/>
      <c r="B626" s="14"/>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60"/>
      <c r="BA626" s="160"/>
      <c r="BB626" s="160"/>
      <c r="BC626" s="160"/>
      <c r="BD626" s="160"/>
      <c r="BE626" s="160"/>
      <c r="BF626" s="160"/>
      <c r="BG626" s="160"/>
      <c r="BH626" s="160"/>
      <c r="BI626" s="160"/>
      <c r="BJ626" s="160"/>
      <c r="BK626" s="160"/>
      <c r="BL626" s="160"/>
      <c r="BM626" s="160"/>
      <c r="BN626" s="160"/>
      <c r="BO626" s="160"/>
      <c r="BP626" s="160"/>
      <c r="BQ626" s="160"/>
      <c r="BR626" s="160"/>
      <c r="BS626" s="160"/>
      <c r="BT626" s="160"/>
      <c r="BU626" s="160"/>
      <c r="BV626" s="160"/>
      <c r="BW626" s="160"/>
      <c r="BX626" s="160"/>
      <c r="BY626" s="160"/>
      <c r="BZ626" s="160"/>
      <c r="CA626" s="160"/>
      <c r="CB626" s="160"/>
      <c r="CC626" s="159"/>
      <c r="CD626" s="159"/>
      <c r="CE626" s="15"/>
    </row>
    <row r="627" spans="1:83" s="9" customFormat="1" ht="12" customHeight="1" x14ac:dyDescent="0.15">
      <c r="A627" s="16"/>
      <c r="B627" s="8"/>
      <c r="C627" s="17"/>
      <c r="D627" s="21" t="s">
        <v>585</v>
      </c>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17"/>
      <c r="CD627" s="17"/>
      <c r="CE627" s="18"/>
    </row>
    <row r="628" spans="1:83" s="4" customFormat="1" ht="12" customHeight="1" x14ac:dyDescent="0.15">
      <c r="A628" s="16"/>
      <c r="B628" s="5"/>
      <c r="C628" s="5"/>
      <c r="D628" s="5"/>
      <c r="E628" s="17" t="s">
        <v>832</v>
      </c>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2"/>
      <c r="CD628" s="12"/>
      <c r="CE628" s="18"/>
    </row>
    <row r="629" spans="1:83" s="4" customFormat="1" ht="12" customHeight="1" x14ac:dyDescent="0.15">
      <c r="A629" s="16"/>
      <c r="B629" s="73"/>
      <c r="C629" s="12"/>
      <c r="D629" s="12"/>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2"/>
      <c r="CD629" s="12"/>
      <c r="CE629" s="18"/>
    </row>
    <row r="630" spans="1:83" s="6" customFormat="1" ht="12" customHeight="1" x14ac:dyDescent="0.15">
      <c r="A630" s="16"/>
      <c r="B630" s="5"/>
      <c r="C630" s="12"/>
      <c r="D630" s="12"/>
      <c r="E630" s="21" t="s">
        <v>587</v>
      </c>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2"/>
      <c r="CD630" s="12"/>
      <c r="CE630" s="18"/>
    </row>
    <row r="631" spans="1:83" s="4" customFormat="1" ht="12" customHeight="1" x14ac:dyDescent="0.15">
      <c r="A631" s="16"/>
      <c r="B631" s="73"/>
      <c r="C631" s="12"/>
      <c r="D631" s="12"/>
      <c r="E631" s="171" t="s">
        <v>590</v>
      </c>
      <c r="F631" s="172"/>
      <c r="G631" s="172"/>
      <c r="H631" s="172"/>
      <c r="I631" s="172"/>
      <c r="J631" s="172"/>
      <c r="K631" s="172"/>
      <c r="L631" s="172"/>
      <c r="M631" s="172"/>
      <c r="N631" s="172"/>
      <c r="O631" s="172"/>
      <c r="P631" s="172"/>
      <c r="Q631" s="172"/>
      <c r="R631" s="172"/>
      <c r="S631" s="172"/>
      <c r="T631" s="172"/>
      <c r="U631" s="172"/>
      <c r="V631" s="172"/>
      <c r="W631" s="172"/>
      <c r="X631" s="172"/>
      <c r="Y631" s="172"/>
      <c r="Z631" s="172"/>
      <c r="AA631" s="172"/>
      <c r="AB631" s="172"/>
      <c r="AC631" s="172"/>
      <c r="AD631" s="172"/>
      <c r="AE631" s="172"/>
      <c r="AF631" s="172"/>
      <c r="AG631" s="172"/>
      <c r="AH631" s="172"/>
      <c r="AI631" s="172"/>
      <c r="AJ631" s="172"/>
      <c r="AK631" s="172"/>
      <c r="AL631" s="172"/>
      <c r="AM631" s="172"/>
      <c r="AN631" s="172"/>
      <c r="AO631" s="172"/>
      <c r="AP631" s="172"/>
      <c r="AQ631" s="172"/>
      <c r="AR631" s="172"/>
      <c r="AS631" s="172"/>
      <c r="AT631" s="172"/>
      <c r="AU631" s="172"/>
      <c r="AV631" s="172"/>
      <c r="AW631" s="172"/>
      <c r="AX631" s="172"/>
      <c r="AY631" s="172"/>
      <c r="AZ631" s="172"/>
      <c r="BA631" s="172"/>
      <c r="BB631" s="172"/>
      <c r="BC631" s="172"/>
      <c r="BD631" s="172"/>
      <c r="BE631" s="172"/>
      <c r="BF631" s="172"/>
      <c r="BG631" s="172"/>
      <c r="BH631" s="172"/>
      <c r="BI631" s="172"/>
      <c r="BJ631" s="172"/>
      <c r="BK631" s="172"/>
      <c r="BL631" s="172"/>
      <c r="BM631" s="172"/>
      <c r="BN631" s="172"/>
      <c r="BO631" s="172"/>
      <c r="BP631" s="172"/>
      <c r="BQ631" s="172"/>
      <c r="BR631" s="172"/>
      <c r="BS631" s="172"/>
      <c r="BT631" s="172"/>
      <c r="BU631" s="172"/>
      <c r="BV631" s="172"/>
      <c r="BW631" s="172"/>
      <c r="BX631" s="172"/>
      <c r="BY631" s="172"/>
      <c r="BZ631" s="172"/>
      <c r="CA631" s="172"/>
      <c r="CB631" s="173"/>
      <c r="CE631" s="18"/>
    </row>
    <row r="632" spans="1:83" s="4" customFormat="1" ht="12" customHeight="1" x14ac:dyDescent="0.15">
      <c r="A632" s="16"/>
      <c r="B632" s="73"/>
      <c r="C632" s="12"/>
      <c r="D632" s="12"/>
      <c r="E632" s="154" t="s">
        <v>589</v>
      </c>
      <c r="F632" s="155"/>
      <c r="G632" s="155"/>
      <c r="H632" s="155"/>
      <c r="I632" s="155"/>
      <c r="J632" s="155"/>
      <c r="K632" s="155"/>
      <c r="L632" s="155"/>
      <c r="M632" s="155"/>
      <c r="N632" s="155"/>
      <c r="O632" s="155"/>
      <c r="P632" s="155"/>
      <c r="Q632" s="155"/>
      <c r="R632" s="155"/>
      <c r="S632" s="155"/>
      <c r="T632" s="155"/>
      <c r="U632" s="155"/>
      <c r="V632" s="155"/>
      <c r="W632" s="155"/>
      <c r="X632" s="155"/>
      <c r="Y632" s="155"/>
      <c r="Z632" s="155"/>
      <c r="AA632" s="155"/>
      <c r="AB632" s="155"/>
      <c r="AC632" s="155"/>
      <c r="AD632" s="155"/>
      <c r="AE632" s="155"/>
      <c r="AF632" s="155"/>
      <c r="AG632" s="155"/>
      <c r="AH632" s="155"/>
      <c r="AI632" s="155"/>
      <c r="AJ632" s="155"/>
      <c r="AK632" s="155"/>
      <c r="AL632" s="155"/>
      <c r="AM632" s="155"/>
      <c r="AN632" s="155"/>
      <c r="AO632" s="155"/>
      <c r="AP632" s="155"/>
      <c r="AQ632" s="155"/>
      <c r="AR632" s="155"/>
      <c r="AS632" s="155"/>
      <c r="AT632" s="155"/>
      <c r="AU632" s="155"/>
      <c r="AV632" s="155"/>
      <c r="AW632" s="155"/>
      <c r="AX632" s="155"/>
      <c r="AY632" s="155"/>
      <c r="AZ632" s="155"/>
      <c r="BA632" s="155"/>
      <c r="BB632" s="155"/>
      <c r="BC632" s="155"/>
      <c r="BD632" s="155"/>
      <c r="BE632" s="155"/>
      <c r="BF632" s="155"/>
      <c r="BG632" s="155"/>
      <c r="BH632" s="155"/>
      <c r="BI632" s="155"/>
      <c r="BJ632" s="155"/>
      <c r="BK632" s="155"/>
      <c r="BL632" s="155"/>
      <c r="BM632" s="155"/>
      <c r="BN632" s="155"/>
      <c r="BO632" s="155"/>
      <c r="BP632" s="155"/>
      <c r="BQ632" s="155"/>
      <c r="BR632" s="155"/>
      <c r="BS632" s="155"/>
      <c r="BT632" s="155"/>
      <c r="BU632" s="155"/>
      <c r="BV632" s="155"/>
      <c r="BW632" s="155"/>
      <c r="BX632" s="155"/>
      <c r="BY632" s="155"/>
      <c r="BZ632" s="155"/>
      <c r="CA632" s="155"/>
      <c r="CB632" s="39"/>
      <c r="CE632" s="18"/>
    </row>
    <row r="633" spans="1:83" s="4" customFormat="1" ht="12" customHeight="1" x14ac:dyDescent="0.15">
      <c r="A633" s="16"/>
      <c r="B633" s="73"/>
      <c r="C633" s="12"/>
      <c r="D633" s="12"/>
      <c r="E633" s="44" t="s">
        <v>588</v>
      </c>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31"/>
      <c r="CE633" s="18"/>
    </row>
    <row r="634" spans="1:83" s="4" customFormat="1" ht="12" customHeight="1" x14ac:dyDescent="0.15">
      <c r="A634" s="16"/>
      <c r="B634" s="73"/>
      <c r="C634" s="12"/>
      <c r="D634" s="12"/>
      <c r="E634" s="44" t="s">
        <v>58</v>
      </c>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31"/>
      <c r="CE634" s="18"/>
    </row>
    <row r="635" spans="1:83" s="4" customFormat="1" ht="12" customHeight="1" x14ac:dyDescent="0.15">
      <c r="A635" s="16"/>
      <c r="B635" s="73"/>
      <c r="C635" s="12"/>
      <c r="D635" s="12"/>
      <c r="E635" s="44" t="s">
        <v>59</v>
      </c>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31"/>
      <c r="CE635" s="18"/>
    </row>
    <row r="636" spans="1:83" s="4" customFormat="1" ht="12" customHeight="1" x14ac:dyDescent="0.15">
      <c r="A636" s="16"/>
      <c r="B636" s="73"/>
      <c r="C636" s="12"/>
      <c r="D636" s="12"/>
      <c r="E636" s="46" t="s">
        <v>60</v>
      </c>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33"/>
      <c r="CE636" s="18"/>
    </row>
    <row r="637" spans="1:83" s="9" customFormat="1" ht="12" customHeight="1" x14ac:dyDescent="0.15">
      <c r="A637" s="16"/>
      <c r="B637" s="8"/>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17"/>
      <c r="CE637" s="18"/>
    </row>
    <row r="638" spans="1:83" s="4" customFormat="1" ht="12" customHeight="1" x14ac:dyDescent="0.15">
      <c r="A638" s="16"/>
      <c r="B638" s="8"/>
      <c r="C638" s="12"/>
      <c r="D638" s="12"/>
      <c r="E638" s="171" t="s">
        <v>591</v>
      </c>
      <c r="F638" s="172"/>
      <c r="G638" s="172"/>
      <c r="H638" s="172"/>
      <c r="I638" s="172"/>
      <c r="J638" s="172"/>
      <c r="K638" s="172"/>
      <c r="L638" s="172"/>
      <c r="M638" s="172"/>
      <c r="N638" s="172"/>
      <c r="O638" s="172"/>
      <c r="P638" s="172"/>
      <c r="Q638" s="172"/>
      <c r="R638" s="172"/>
      <c r="S638" s="172"/>
      <c r="T638" s="172"/>
      <c r="U638" s="172"/>
      <c r="V638" s="172"/>
      <c r="W638" s="172"/>
      <c r="X638" s="172"/>
      <c r="Y638" s="172"/>
      <c r="Z638" s="172"/>
      <c r="AA638" s="172"/>
      <c r="AB638" s="172"/>
      <c r="AC638" s="172"/>
      <c r="AD638" s="172"/>
      <c r="AE638" s="172"/>
      <c r="AF638" s="172"/>
      <c r="AG638" s="172"/>
      <c r="AH638" s="172"/>
      <c r="AI638" s="172"/>
      <c r="AJ638" s="172"/>
      <c r="AK638" s="172"/>
      <c r="AL638" s="172"/>
      <c r="AM638" s="172"/>
      <c r="AN638" s="172"/>
      <c r="AO638" s="172"/>
      <c r="AP638" s="172"/>
      <c r="AQ638" s="172"/>
      <c r="AR638" s="172"/>
      <c r="AS638" s="172"/>
      <c r="AT638" s="172"/>
      <c r="AU638" s="172"/>
      <c r="AV638" s="172"/>
      <c r="AW638" s="172"/>
      <c r="AX638" s="172"/>
      <c r="AY638" s="172"/>
      <c r="AZ638" s="172"/>
      <c r="BA638" s="172"/>
      <c r="BB638" s="172"/>
      <c r="BC638" s="172"/>
      <c r="BD638" s="172"/>
      <c r="BE638" s="172"/>
      <c r="BF638" s="172"/>
      <c r="BG638" s="172"/>
      <c r="BH638" s="172"/>
      <c r="BI638" s="172"/>
      <c r="BJ638" s="172"/>
      <c r="BK638" s="172"/>
      <c r="BL638" s="172"/>
      <c r="BM638" s="172"/>
      <c r="BN638" s="172"/>
      <c r="BO638" s="172"/>
      <c r="BP638" s="172"/>
      <c r="BQ638" s="172"/>
      <c r="BR638" s="172"/>
      <c r="BS638" s="172"/>
      <c r="BT638" s="172"/>
      <c r="BU638" s="172"/>
      <c r="BV638" s="172"/>
      <c r="BW638" s="172"/>
      <c r="BX638" s="172"/>
      <c r="BY638" s="172"/>
      <c r="BZ638" s="172"/>
      <c r="CA638" s="172"/>
      <c r="CB638" s="173"/>
      <c r="CE638" s="18"/>
    </row>
    <row r="639" spans="1:83" s="4" customFormat="1" ht="12" customHeight="1" x14ac:dyDescent="0.15">
      <c r="A639" s="16"/>
      <c r="B639" s="8"/>
      <c r="C639" s="12"/>
      <c r="D639" s="12"/>
      <c r="E639" s="154" t="s">
        <v>24</v>
      </c>
      <c r="F639" s="155"/>
      <c r="G639" s="155"/>
      <c r="H639" s="155"/>
      <c r="I639" s="155"/>
      <c r="J639" s="155"/>
      <c r="K639" s="155"/>
      <c r="L639" s="155"/>
      <c r="M639" s="155"/>
      <c r="N639" s="155"/>
      <c r="O639" s="155"/>
      <c r="P639" s="155"/>
      <c r="Q639" s="155"/>
      <c r="R639" s="155"/>
      <c r="S639" s="155"/>
      <c r="T639" s="155"/>
      <c r="U639" s="155"/>
      <c r="V639" s="155"/>
      <c r="W639" s="155"/>
      <c r="X639" s="155"/>
      <c r="Y639" s="155"/>
      <c r="Z639" s="155"/>
      <c r="AA639" s="155"/>
      <c r="AB639" s="155"/>
      <c r="AC639" s="155"/>
      <c r="AD639" s="155"/>
      <c r="AE639" s="155"/>
      <c r="AF639" s="155"/>
      <c r="AG639" s="155"/>
      <c r="AH639" s="155"/>
      <c r="AI639" s="155"/>
      <c r="AJ639" s="155"/>
      <c r="AK639" s="155"/>
      <c r="AL639" s="155"/>
      <c r="AM639" s="155"/>
      <c r="AN639" s="155"/>
      <c r="AO639" s="155"/>
      <c r="AP639" s="155"/>
      <c r="AQ639" s="155"/>
      <c r="AR639" s="155"/>
      <c r="AS639" s="155"/>
      <c r="AT639" s="155"/>
      <c r="AU639" s="155"/>
      <c r="AV639" s="155"/>
      <c r="AW639" s="155"/>
      <c r="AX639" s="155"/>
      <c r="AY639" s="155"/>
      <c r="AZ639" s="155"/>
      <c r="BA639" s="155"/>
      <c r="BB639" s="155"/>
      <c r="BC639" s="155"/>
      <c r="BD639" s="155"/>
      <c r="BE639" s="155"/>
      <c r="BF639" s="155"/>
      <c r="BG639" s="155"/>
      <c r="BH639" s="155"/>
      <c r="BI639" s="155"/>
      <c r="BJ639" s="155"/>
      <c r="BK639" s="155"/>
      <c r="BL639" s="155"/>
      <c r="BM639" s="155"/>
      <c r="BN639" s="155"/>
      <c r="BO639" s="155"/>
      <c r="BP639" s="155"/>
      <c r="BQ639" s="155"/>
      <c r="BR639" s="155"/>
      <c r="BS639" s="155"/>
      <c r="BT639" s="155"/>
      <c r="BU639" s="155"/>
      <c r="BV639" s="155"/>
      <c r="BW639" s="155"/>
      <c r="BX639" s="155"/>
      <c r="BY639" s="155"/>
      <c r="BZ639" s="155"/>
      <c r="CA639" s="155"/>
      <c r="CB639" s="39"/>
      <c r="CE639" s="18"/>
    </row>
    <row r="640" spans="1:83" s="9" customFormat="1" ht="12" customHeight="1" x14ac:dyDescent="0.15">
      <c r="A640" s="16"/>
      <c r="B640" s="8"/>
      <c r="C640" s="17"/>
      <c r="D640" s="17"/>
      <c r="E640" s="44" t="s">
        <v>66</v>
      </c>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45"/>
      <c r="CE640" s="18"/>
    </row>
    <row r="641" spans="1:83" s="9" customFormat="1" ht="12" customHeight="1" x14ac:dyDescent="0.15">
      <c r="A641" s="16"/>
      <c r="B641" s="8"/>
      <c r="C641" s="17"/>
      <c r="D641" s="17"/>
      <c r="E641" s="44" t="s">
        <v>834</v>
      </c>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45"/>
      <c r="CE641" s="18"/>
    </row>
    <row r="642" spans="1:83" s="9" customFormat="1" ht="12" customHeight="1" x14ac:dyDescent="0.15">
      <c r="A642" s="16"/>
      <c r="B642" s="8"/>
      <c r="C642" s="17"/>
      <c r="D642" s="17"/>
      <c r="E642" s="44" t="s">
        <v>833</v>
      </c>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45"/>
      <c r="CE642" s="18"/>
    </row>
    <row r="643" spans="1:83" s="9" customFormat="1" ht="12" customHeight="1" x14ac:dyDescent="0.15">
      <c r="A643" s="16"/>
      <c r="B643" s="8"/>
      <c r="C643" s="17"/>
      <c r="D643" s="17"/>
      <c r="E643" s="46"/>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c r="AW643" s="47"/>
      <c r="AX643" s="156"/>
      <c r="AY643" s="156"/>
      <c r="AZ643" s="156"/>
      <c r="BA643" s="156"/>
      <c r="BB643" s="156"/>
      <c r="BC643" s="156"/>
      <c r="BD643" s="156"/>
      <c r="BE643" s="156"/>
      <c r="BF643" s="156"/>
      <c r="BG643" s="156"/>
      <c r="BH643" s="156"/>
      <c r="BI643" s="156"/>
      <c r="BJ643" s="156"/>
      <c r="BK643" s="156"/>
      <c r="BL643" s="156"/>
      <c r="BM643" s="156"/>
      <c r="BN643" s="156"/>
      <c r="BO643" s="156"/>
      <c r="BP643" s="156"/>
      <c r="BQ643" s="156"/>
      <c r="BR643" s="156"/>
      <c r="BS643" s="156"/>
      <c r="BT643" s="156"/>
      <c r="BU643" s="156"/>
      <c r="BV643" s="156"/>
      <c r="BW643" s="156"/>
      <c r="BX643" s="156"/>
      <c r="BY643" s="156"/>
      <c r="BZ643" s="156"/>
      <c r="CA643" s="156"/>
      <c r="CB643" s="48"/>
      <c r="CE643" s="18"/>
    </row>
    <row r="644" spans="1:83" s="9" customFormat="1" ht="12" customHeight="1" x14ac:dyDescent="0.15">
      <c r="A644" s="16"/>
      <c r="B644" s="8"/>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17"/>
      <c r="CE644" s="18"/>
    </row>
    <row r="645" spans="1:83" s="9" customFormat="1" ht="12" customHeight="1" x14ac:dyDescent="0.15">
      <c r="A645" s="16"/>
      <c r="B645" s="8"/>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17"/>
      <c r="CD645" s="17"/>
      <c r="CE645" s="18"/>
    </row>
    <row r="646" spans="1:83" s="9" customFormat="1" ht="12" customHeight="1" x14ac:dyDescent="0.15">
      <c r="A646" s="16"/>
      <c r="B646" s="8"/>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17"/>
      <c r="CD646" s="17"/>
      <c r="CE646" s="18"/>
    </row>
    <row r="647" spans="1:83" s="9" customFormat="1" ht="12" customHeight="1" x14ac:dyDescent="0.15">
      <c r="A647" s="16"/>
      <c r="B647" s="8"/>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20"/>
      <c r="CA647" s="20"/>
      <c r="CB647" s="20"/>
      <c r="CC647" s="17"/>
      <c r="CD647" s="17"/>
      <c r="CE647" s="18"/>
    </row>
    <row r="648" spans="1:83" s="9" customFormat="1" ht="12" customHeight="1" x14ac:dyDescent="0.15">
      <c r="A648" s="16"/>
      <c r="B648" s="8"/>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17"/>
      <c r="CD648" s="17"/>
      <c r="CE648" s="18"/>
    </row>
    <row r="649" spans="1:83" s="9" customFormat="1" ht="12" customHeight="1" x14ac:dyDescent="0.15">
      <c r="A649" s="16"/>
      <c r="B649" s="8"/>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17"/>
      <c r="CD649" s="17"/>
      <c r="CE649" s="18"/>
    </row>
    <row r="650" spans="1:83" s="9" customFormat="1" ht="12" customHeight="1" x14ac:dyDescent="0.15">
      <c r="A650" s="16"/>
      <c r="B650" s="8"/>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17"/>
      <c r="CD650" s="17"/>
      <c r="CE650" s="18"/>
    </row>
    <row r="651" spans="1:83" s="9" customFormat="1" ht="12" customHeight="1" x14ac:dyDescent="0.15">
      <c r="A651" s="16"/>
      <c r="B651" s="8"/>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20"/>
      <c r="CA651" s="20"/>
      <c r="CB651" s="20"/>
      <c r="CC651" s="17"/>
      <c r="CD651" s="17"/>
      <c r="CE651" s="18"/>
    </row>
    <row r="652" spans="1:83" s="9" customFormat="1" ht="12" customHeight="1" x14ac:dyDescent="0.15">
      <c r="A652" s="16"/>
      <c r="B652" s="8"/>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17"/>
      <c r="CD652" s="17"/>
      <c r="CE652" s="18"/>
    </row>
    <row r="653" spans="1:83" s="9" customFormat="1" ht="12" customHeight="1" x14ac:dyDescent="0.15">
      <c r="A653" s="16"/>
      <c r="B653" s="8"/>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20"/>
      <c r="CA653" s="20"/>
      <c r="CB653" s="20"/>
      <c r="CC653" s="17"/>
      <c r="CD653" s="17"/>
      <c r="CE653" s="18"/>
    </row>
    <row r="654" spans="1:83" s="9" customFormat="1" ht="12" customHeight="1" x14ac:dyDescent="0.15">
      <c r="A654" s="16"/>
      <c r="B654" s="8"/>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17"/>
      <c r="CD654" s="17"/>
      <c r="CE654" s="18"/>
    </row>
    <row r="655" spans="1:83" s="9" customFormat="1" ht="12" customHeight="1" x14ac:dyDescent="0.15">
      <c r="A655" s="16"/>
      <c r="B655" s="8"/>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17"/>
      <c r="CD655" s="17"/>
      <c r="CE655" s="18"/>
    </row>
    <row r="656" spans="1:83" s="9" customFormat="1" ht="12" customHeight="1" x14ac:dyDescent="0.15">
      <c r="A656" s="16"/>
      <c r="B656" s="8"/>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17"/>
      <c r="CD656" s="17"/>
      <c r="CE656" s="18"/>
    </row>
    <row r="657" spans="1:83" s="9" customFormat="1" ht="12" customHeight="1" x14ac:dyDescent="0.15">
      <c r="A657" s="16"/>
      <c r="B657" s="8"/>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17"/>
      <c r="CD657" s="17"/>
      <c r="CE657" s="18"/>
    </row>
    <row r="658" spans="1:83" s="9" customFormat="1" ht="12" customHeight="1" x14ac:dyDescent="0.15">
      <c r="A658" s="16"/>
      <c r="B658" s="8"/>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17"/>
      <c r="CD658" s="17"/>
      <c r="CE658" s="18"/>
    </row>
    <row r="659" spans="1:83" s="9" customFormat="1" ht="12" customHeight="1" x14ac:dyDescent="0.15">
      <c r="A659" s="16"/>
      <c r="B659" s="8"/>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17"/>
      <c r="CD659" s="17"/>
      <c r="CE659" s="18"/>
    </row>
    <row r="660" spans="1:83" s="9" customFormat="1" ht="12" customHeight="1" x14ac:dyDescent="0.15">
      <c r="A660" s="16"/>
      <c r="B660" s="8"/>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17"/>
      <c r="CD660" s="17"/>
      <c r="CE660" s="18"/>
    </row>
    <row r="661" spans="1:83" s="9" customFormat="1" ht="12" customHeight="1" x14ac:dyDescent="0.15">
      <c r="A661" s="16"/>
      <c r="B661" s="8"/>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17"/>
      <c r="CD661" s="17"/>
      <c r="CE661" s="18"/>
    </row>
    <row r="662" spans="1:83" s="9" customFormat="1" ht="12" customHeight="1" x14ac:dyDescent="0.15">
      <c r="A662" s="16"/>
      <c r="B662" s="8"/>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17"/>
      <c r="CD662" s="17"/>
      <c r="CE662" s="18"/>
    </row>
    <row r="663" spans="1:83" s="9" customFormat="1" ht="12" customHeight="1" x14ac:dyDescent="0.15">
      <c r="A663" s="16"/>
      <c r="B663" s="8"/>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17"/>
      <c r="CD663" s="17"/>
      <c r="CE663" s="18"/>
    </row>
    <row r="664" spans="1:83" s="9" customFormat="1" ht="12" customHeight="1" thickBot="1" x14ac:dyDescent="0.2">
      <c r="A664" s="25"/>
      <c r="B664" s="30"/>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7"/>
      <c r="BA664" s="27"/>
      <c r="BB664" s="27"/>
      <c r="BC664" s="27"/>
      <c r="BD664" s="27"/>
      <c r="BE664" s="27"/>
      <c r="BF664" s="27"/>
      <c r="BG664" s="27"/>
      <c r="BH664" s="27"/>
      <c r="BI664" s="27"/>
      <c r="BJ664" s="27"/>
      <c r="BK664" s="27"/>
      <c r="BL664" s="27"/>
      <c r="BM664" s="27"/>
      <c r="BN664" s="27"/>
      <c r="BO664" s="27"/>
      <c r="BP664" s="27"/>
      <c r="BQ664" s="27"/>
      <c r="BR664" s="27"/>
      <c r="BS664" s="27"/>
      <c r="BT664" s="27"/>
      <c r="BU664" s="27"/>
      <c r="BV664" s="27"/>
      <c r="BW664" s="27"/>
      <c r="BX664" s="27"/>
      <c r="BY664" s="27"/>
      <c r="BZ664" s="27"/>
      <c r="CA664" s="27"/>
      <c r="CB664" s="27"/>
      <c r="CC664" s="26"/>
      <c r="CD664" s="26"/>
      <c r="CE664" s="28"/>
    </row>
    <row r="665" spans="1:83" s="4" customFormat="1" ht="12" customHeight="1" x14ac:dyDescent="0.15">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c r="BY665" s="14"/>
      <c r="BZ665" s="14"/>
      <c r="CA665" s="14"/>
      <c r="CB665" s="14"/>
      <c r="CC665" s="14"/>
      <c r="CD665" s="14"/>
      <c r="CE665" s="15"/>
    </row>
    <row r="666" spans="1:83" s="6" customFormat="1" ht="12" customHeight="1" x14ac:dyDescent="0.15">
      <c r="A666" s="16"/>
      <c r="B666" s="19"/>
      <c r="C666" s="24"/>
      <c r="D666" s="21" t="s">
        <v>32</v>
      </c>
      <c r="E666" s="17"/>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19"/>
      <c r="CD666" s="5"/>
      <c r="CE666" s="18"/>
    </row>
    <row r="667" spans="1:83" s="4" customFormat="1" ht="12" customHeight="1" x14ac:dyDescent="0.15">
      <c r="A667" s="16"/>
      <c r="B667" s="5"/>
      <c r="C667" s="17"/>
      <c r="D667" s="21"/>
      <c r="E667" s="12"/>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73"/>
      <c r="AZ667" s="73"/>
      <c r="BA667" s="73"/>
      <c r="BB667" s="73"/>
      <c r="BC667" s="73"/>
      <c r="BD667" s="73"/>
      <c r="BE667" s="73"/>
      <c r="BF667" s="73"/>
      <c r="BG667" s="73"/>
      <c r="BH667" s="73"/>
      <c r="BI667" s="21"/>
      <c r="BJ667" s="21"/>
      <c r="BK667" s="21"/>
      <c r="BL667" s="21"/>
      <c r="BM667" s="21"/>
      <c r="BN667" s="21"/>
      <c r="BO667" s="21"/>
      <c r="BP667" s="21"/>
      <c r="BQ667" s="21"/>
      <c r="BR667" s="21"/>
      <c r="BS667" s="21"/>
      <c r="BT667" s="21"/>
      <c r="BU667" s="21"/>
      <c r="BV667" s="21"/>
      <c r="BW667" s="21"/>
      <c r="BX667" s="21"/>
      <c r="BY667" s="21"/>
      <c r="BZ667" s="21"/>
      <c r="CA667" s="21"/>
      <c r="CB667" s="21"/>
      <c r="CC667" s="21"/>
      <c r="CD667" s="10"/>
      <c r="CE667" s="18"/>
    </row>
    <row r="668" spans="1:83" s="4" customFormat="1" ht="12" customHeight="1" x14ac:dyDescent="0.15">
      <c r="A668" s="16"/>
      <c r="B668" s="73"/>
      <c r="C668" s="58"/>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73"/>
      <c r="AZ668" s="73"/>
      <c r="BA668" s="73"/>
      <c r="BB668" s="73"/>
      <c r="BC668" s="73"/>
      <c r="BD668" s="73"/>
      <c r="BE668" s="73"/>
      <c r="BF668" s="73"/>
      <c r="BG668" s="73"/>
      <c r="BH668" s="73"/>
      <c r="BI668" s="54"/>
      <c r="BJ668" s="54"/>
      <c r="BK668" s="54"/>
      <c r="BL668" s="54"/>
      <c r="BM668" s="54"/>
      <c r="BN668" s="54"/>
      <c r="BO668" s="54"/>
      <c r="BP668" s="54"/>
      <c r="BQ668" s="54"/>
      <c r="BR668" s="54"/>
      <c r="BS668" s="54"/>
      <c r="BT668" s="54"/>
      <c r="BU668" s="54"/>
      <c r="BV668" s="54"/>
      <c r="BW668" s="54"/>
      <c r="BX668" s="54"/>
      <c r="BY668" s="54"/>
      <c r="BZ668" s="54"/>
      <c r="CA668" s="54"/>
      <c r="CB668" s="54"/>
      <c r="CC668" s="54"/>
      <c r="CD668" s="54"/>
      <c r="CE668" s="18"/>
    </row>
    <row r="669" spans="1:83" s="4" customFormat="1" ht="12" customHeight="1" x14ac:dyDescent="0.15">
      <c r="A669" s="16"/>
      <c r="B669" s="73"/>
      <c r="C669" s="58"/>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c r="AL669" s="54"/>
      <c r="AM669" s="54"/>
      <c r="AN669" s="54"/>
      <c r="AO669" s="54"/>
      <c r="AP669" s="54"/>
      <c r="AQ669" s="54"/>
      <c r="AR669" s="54"/>
      <c r="AS669" s="54"/>
      <c r="AT669" s="54"/>
      <c r="AU669" s="54"/>
      <c r="AV669" s="54" t="s">
        <v>843</v>
      </c>
      <c r="AW669" s="54"/>
      <c r="AX669" s="54"/>
      <c r="AY669" s="73"/>
      <c r="AZ669" s="73"/>
      <c r="BA669" s="73"/>
      <c r="BB669" s="73"/>
      <c r="BC669" s="73"/>
      <c r="BD669" s="73"/>
      <c r="BE669" s="73"/>
      <c r="BF669" s="73"/>
      <c r="BG669" s="73"/>
      <c r="BH669" s="73"/>
      <c r="BI669" s="54"/>
      <c r="BJ669" s="54"/>
      <c r="BK669" s="54"/>
      <c r="BL669" s="54"/>
      <c r="BM669" s="54"/>
      <c r="BN669" s="54"/>
      <c r="BO669" s="54"/>
      <c r="BP669" s="54"/>
      <c r="BQ669" s="54"/>
      <c r="BR669" s="54"/>
      <c r="BS669" s="54"/>
      <c r="BT669" s="54"/>
      <c r="BU669" s="54"/>
      <c r="BV669" s="54"/>
      <c r="BW669" s="54"/>
      <c r="BX669" s="54"/>
      <c r="BY669" s="54"/>
      <c r="BZ669" s="54"/>
      <c r="CA669" s="54"/>
      <c r="CB669" s="54"/>
      <c r="CC669" s="54"/>
      <c r="CD669" s="54"/>
      <c r="CE669" s="18"/>
    </row>
    <row r="670" spans="1:83" s="4" customFormat="1" ht="12" customHeight="1" x14ac:dyDescent="0.15">
      <c r="A670" s="16"/>
      <c r="B670" s="73"/>
      <c r="C670" s="58"/>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c r="AL670" s="54"/>
      <c r="AM670" s="54"/>
      <c r="AN670" s="54"/>
      <c r="AO670" s="54"/>
      <c r="AP670" s="54"/>
      <c r="AQ670" s="54"/>
      <c r="AR670" s="54"/>
      <c r="AS670" s="54"/>
      <c r="AT670" s="54"/>
      <c r="AU670" s="54"/>
      <c r="AV670" s="54" t="s">
        <v>844</v>
      </c>
      <c r="AW670" s="54"/>
      <c r="AX670" s="54"/>
      <c r="AY670" s="73"/>
      <c r="AZ670" s="73"/>
      <c r="BA670" s="73"/>
      <c r="BB670" s="73"/>
      <c r="BC670" s="73"/>
      <c r="BD670" s="73"/>
      <c r="BE670" s="73"/>
      <c r="BF670" s="73"/>
      <c r="BG670" s="73"/>
      <c r="BH670" s="73"/>
      <c r="BI670" s="54"/>
      <c r="BJ670" s="54"/>
      <c r="BK670" s="54"/>
      <c r="BL670" s="54"/>
      <c r="BM670" s="54"/>
      <c r="BN670" s="54"/>
      <c r="BO670" s="54"/>
      <c r="BP670" s="54"/>
      <c r="BQ670" s="54"/>
      <c r="BR670" s="54"/>
      <c r="BS670" s="54"/>
      <c r="BT670" s="54"/>
      <c r="BU670" s="54"/>
      <c r="BV670" s="54"/>
      <c r="BW670" s="54"/>
      <c r="BX670" s="54"/>
      <c r="BY670" s="54"/>
      <c r="BZ670" s="54"/>
      <c r="CA670" s="54"/>
      <c r="CB670" s="54"/>
      <c r="CC670" s="54"/>
      <c r="CD670" s="54"/>
      <c r="CE670" s="18"/>
    </row>
    <row r="671" spans="1:83" s="4" customFormat="1" ht="12" customHeight="1" x14ac:dyDescent="0.15">
      <c r="A671" s="16"/>
      <c r="B671" s="73"/>
      <c r="C671" s="58"/>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54"/>
      <c r="AS671" s="54"/>
      <c r="AT671" s="54"/>
      <c r="AU671" s="54"/>
      <c r="AV671" s="54" t="s">
        <v>845</v>
      </c>
      <c r="AW671" s="54"/>
      <c r="AX671" s="54"/>
      <c r="AY671" s="73"/>
      <c r="AZ671" s="73"/>
      <c r="BA671" s="73"/>
      <c r="BB671" s="73"/>
      <c r="BC671" s="73"/>
      <c r="BD671" s="73"/>
      <c r="BE671" s="73"/>
      <c r="BF671" s="73"/>
      <c r="BG671" s="73"/>
      <c r="BH671" s="73"/>
      <c r="BI671" s="54"/>
      <c r="BJ671" s="54"/>
      <c r="BK671" s="54"/>
      <c r="BL671" s="54"/>
      <c r="BM671" s="54"/>
      <c r="BN671" s="54"/>
      <c r="BO671" s="54"/>
      <c r="BP671" s="54"/>
      <c r="BQ671" s="54"/>
      <c r="BR671" s="54"/>
      <c r="BS671" s="54"/>
      <c r="BT671" s="54"/>
      <c r="BU671" s="54"/>
      <c r="BV671" s="54"/>
      <c r="BW671" s="54"/>
      <c r="BX671" s="54"/>
      <c r="BY671" s="54"/>
      <c r="BZ671" s="54"/>
      <c r="CA671" s="54"/>
      <c r="CB671" s="54"/>
      <c r="CC671" s="54"/>
      <c r="CD671" s="54"/>
      <c r="CE671" s="18"/>
    </row>
    <row r="672" spans="1:83" s="4" customFormat="1" ht="12" customHeight="1" x14ac:dyDescent="0.15">
      <c r="A672" s="16"/>
      <c r="B672" s="73"/>
      <c r="C672" s="5"/>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c r="AL672" s="54"/>
      <c r="AM672" s="54"/>
      <c r="AN672" s="54"/>
      <c r="AO672" s="54"/>
      <c r="AP672" s="54"/>
      <c r="AQ672" s="54"/>
      <c r="AR672" s="54"/>
      <c r="AS672" s="54"/>
      <c r="AT672" s="54"/>
      <c r="AU672" s="54"/>
      <c r="AV672" s="54" t="s">
        <v>846</v>
      </c>
      <c r="AW672" s="54"/>
      <c r="AX672" s="54"/>
      <c r="AY672" s="73"/>
      <c r="AZ672" s="73"/>
      <c r="BA672" s="73"/>
      <c r="BB672" s="73"/>
      <c r="BC672" s="73"/>
      <c r="BD672" s="73"/>
      <c r="BE672" s="73"/>
      <c r="BF672" s="73"/>
      <c r="BG672" s="73"/>
      <c r="BH672" s="73"/>
      <c r="BI672" s="54"/>
      <c r="BJ672" s="54"/>
      <c r="BK672" s="54"/>
      <c r="BL672" s="54"/>
      <c r="BM672" s="54"/>
      <c r="BN672" s="54"/>
      <c r="BO672" s="54"/>
      <c r="BP672" s="54"/>
      <c r="BQ672" s="54"/>
      <c r="BR672" s="54"/>
      <c r="BS672" s="54"/>
      <c r="BT672" s="54"/>
      <c r="BU672" s="54"/>
      <c r="BV672" s="54"/>
      <c r="BW672" s="54"/>
      <c r="BX672" s="54"/>
      <c r="BY672" s="54"/>
      <c r="BZ672" s="54"/>
      <c r="CA672" s="54"/>
      <c r="CB672" s="54"/>
      <c r="CC672" s="54"/>
      <c r="CD672" s="54"/>
      <c r="CE672" s="18"/>
    </row>
    <row r="673" spans="1:83" s="4" customFormat="1" ht="12" customHeight="1" x14ac:dyDescent="0.15">
      <c r="A673" s="16"/>
      <c r="B673" s="5"/>
      <c r="C673" s="5"/>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54" t="s">
        <v>847</v>
      </c>
      <c r="AW673" s="8"/>
      <c r="AX673" s="8"/>
      <c r="AY673" s="73"/>
      <c r="AZ673" s="73"/>
      <c r="BA673" s="73"/>
      <c r="BB673" s="73"/>
      <c r="BC673" s="73"/>
      <c r="BD673" s="73"/>
      <c r="BE673" s="73"/>
      <c r="BF673" s="73"/>
      <c r="BG673" s="73"/>
      <c r="BH673" s="73"/>
      <c r="BI673" s="8"/>
      <c r="BJ673" s="8"/>
      <c r="BK673" s="8"/>
      <c r="BL673" s="8"/>
      <c r="BM673" s="8"/>
      <c r="BN673" s="8"/>
      <c r="BO673" s="8"/>
      <c r="BP673" s="8"/>
      <c r="BQ673" s="8"/>
      <c r="BR673" s="8"/>
      <c r="BS673" s="8"/>
      <c r="BT673" s="8"/>
      <c r="BU673" s="8"/>
      <c r="BV673" s="8"/>
      <c r="BW673" s="8"/>
      <c r="BX673" s="8"/>
      <c r="BY673" s="8"/>
      <c r="BZ673" s="8"/>
      <c r="CA673" s="8"/>
      <c r="CB673" s="8"/>
      <c r="CC673" s="8"/>
      <c r="CD673" s="8"/>
      <c r="CE673" s="18"/>
    </row>
    <row r="674" spans="1:83" s="4" customFormat="1" ht="12" customHeight="1" x14ac:dyDescent="0.15">
      <c r="A674" s="16"/>
      <c r="B674" s="5"/>
      <c r="C674" s="22"/>
      <c r="D674" s="2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4" t="s">
        <v>848</v>
      </c>
      <c r="AW674" s="12"/>
      <c r="AX674" s="12"/>
      <c r="AY674" s="73"/>
      <c r="AZ674" s="73"/>
      <c r="BA674" s="73"/>
      <c r="BB674" s="73"/>
      <c r="BC674" s="73"/>
      <c r="BD674" s="73"/>
      <c r="BE674" s="73"/>
      <c r="BF674" s="73"/>
      <c r="BG674" s="73"/>
      <c r="BH674" s="73"/>
      <c r="BI674" s="12"/>
      <c r="BJ674" s="12"/>
      <c r="BK674" s="12"/>
      <c r="BL674" s="12"/>
      <c r="BM674" s="12"/>
      <c r="BN674" s="12"/>
      <c r="BO674" s="12"/>
      <c r="BP674" s="12"/>
      <c r="BQ674" s="12"/>
      <c r="BR674" s="12"/>
      <c r="BS674" s="12"/>
      <c r="BT674" s="12"/>
      <c r="BU674" s="12"/>
      <c r="BV674" s="12"/>
      <c r="BW674" s="12"/>
      <c r="BX674" s="12"/>
      <c r="BY674" s="12"/>
      <c r="BZ674" s="12"/>
      <c r="CA674" s="12"/>
      <c r="CB674" s="12"/>
      <c r="CC674" s="12"/>
      <c r="CD674" s="49"/>
      <c r="CE674" s="18"/>
    </row>
    <row r="675" spans="1:83" s="4" customFormat="1" ht="12" customHeight="1" x14ac:dyDescent="0.15">
      <c r="A675" s="16"/>
      <c r="B675" s="5"/>
      <c r="C675" s="22"/>
      <c r="D675" s="21"/>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54" t="s">
        <v>849</v>
      </c>
      <c r="AW675" s="12"/>
      <c r="AX675" s="12"/>
      <c r="AY675" s="73"/>
      <c r="AZ675" s="73"/>
      <c r="BA675" s="73"/>
      <c r="BB675" s="73"/>
      <c r="BC675" s="73"/>
      <c r="BD675" s="73"/>
      <c r="BE675" s="73"/>
      <c r="BF675" s="73"/>
      <c r="BG675" s="73"/>
      <c r="BH675" s="73"/>
      <c r="BI675" s="12"/>
      <c r="BJ675" s="12"/>
      <c r="BK675" s="12"/>
      <c r="BL675" s="12"/>
      <c r="BM675" s="12"/>
      <c r="BN675" s="12"/>
      <c r="BO675" s="12"/>
      <c r="BP675" s="12"/>
      <c r="BQ675" s="12"/>
      <c r="BR675" s="12"/>
      <c r="BS675" s="12"/>
      <c r="BT675" s="12"/>
      <c r="BU675" s="12"/>
      <c r="BV675" s="12"/>
      <c r="BW675" s="12"/>
      <c r="BX675" s="12"/>
      <c r="BY675" s="12"/>
      <c r="BZ675" s="12"/>
      <c r="CA675" s="12"/>
      <c r="CB675" s="12"/>
      <c r="CC675" s="12"/>
      <c r="CD675" s="12"/>
      <c r="CE675" s="18"/>
    </row>
    <row r="676" spans="1:83" s="4" customFormat="1" ht="12" customHeight="1" x14ac:dyDescent="0.15">
      <c r="A676" s="16"/>
      <c r="B676" s="73"/>
      <c r="C676" s="58"/>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73"/>
      <c r="AZ676" s="73"/>
      <c r="BA676" s="73"/>
      <c r="BB676" s="73"/>
      <c r="BC676" s="73"/>
      <c r="BD676" s="73"/>
      <c r="BE676" s="73"/>
      <c r="BF676" s="73"/>
      <c r="BG676" s="73"/>
      <c r="BH676" s="73"/>
      <c r="BI676" s="54"/>
      <c r="BJ676" s="54"/>
      <c r="BK676" s="54"/>
      <c r="BL676" s="54"/>
      <c r="BM676" s="54"/>
      <c r="BN676" s="54"/>
      <c r="BO676" s="54"/>
      <c r="BP676" s="54"/>
      <c r="BQ676" s="54"/>
      <c r="BR676" s="54"/>
      <c r="BS676" s="54"/>
      <c r="BT676" s="54"/>
      <c r="BU676" s="54"/>
      <c r="BV676" s="54"/>
      <c r="BW676" s="54"/>
      <c r="BX676" s="54"/>
      <c r="BY676" s="54"/>
      <c r="BZ676" s="54"/>
      <c r="CA676" s="54"/>
      <c r="CB676" s="54"/>
      <c r="CC676" s="54"/>
      <c r="CD676" s="54"/>
      <c r="CE676" s="18"/>
    </row>
    <row r="677" spans="1:83" s="4" customFormat="1" ht="12" customHeight="1" x14ac:dyDescent="0.15">
      <c r="A677" s="16"/>
      <c r="B677" s="73"/>
      <c r="C677" s="58"/>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c r="AL677" s="54"/>
      <c r="AM677" s="54"/>
      <c r="AN677" s="54"/>
      <c r="AO677" s="54"/>
      <c r="AP677" s="54"/>
      <c r="AQ677" s="54"/>
      <c r="AR677" s="54"/>
      <c r="AS677" s="54"/>
      <c r="AT677" s="54"/>
      <c r="AU677" s="54"/>
      <c r="AV677" s="54"/>
      <c r="AW677" s="54"/>
      <c r="AX677" s="54"/>
      <c r="AY677" s="73"/>
      <c r="AZ677" s="73"/>
      <c r="BA677" s="73"/>
      <c r="BB677" s="73"/>
      <c r="BC677" s="73"/>
      <c r="BD677" s="73"/>
      <c r="BE677" s="73"/>
      <c r="BF677" s="73"/>
      <c r="BG677" s="73"/>
      <c r="BH677" s="73"/>
      <c r="BI677" s="54"/>
      <c r="BJ677" s="54"/>
      <c r="BK677" s="54"/>
      <c r="BL677" s="54"/>
      <c r="BM677" s="54"/>
      <c r="BN677" s="54"/>
      <c r="BO677" s="54"/>
      <c r="BP677" s="54"/>
      <c r="BQ677" s="54"/>
      <c r="BR677" s="54"/>
      <c r="BS677" s="54"/>
      <c r="BT677" s="54"/>
      <c r="BU677" s="54"/>
      <c r="BV677" s="54"/>
      <c r="BW677" s="54"/>
      <c r="BX677" s="54"/>
      <c r="BY677" s="54"/>
      <c r="BZ677" s="54"/>
      <c r="CA677" s="54"/>
      <c r="CB677" s="54"/>
      <c r="CC677" s="54"/>
      <c r="CD677" s="54"/>
      <c r="CE677" s="18"/>
    </row>
    <row r="678" spans="1:83" s="4" customFormat="1" ht="12" customHeight="1" x14ac:dyDescent="0.15">
      <c r="A678" s="16"/>
      <c r="B678" s="73"/>
      <c r="C678" s="58"/>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73"/>
      <c r="AZ678" s="73"/>
      <c r="BA678" s="73"/>
      <c r="BB678" s="73"/>
      <c r="BC678" s="73"/>
      <c r="BD678" s="73"/>
      <c r="BE678" s="73"/>
      <c r="BF678" s="73"/>
      <c r="BG678" s="73"/>
      <c r="BH678" s="73"/>
      <c r="BI678" s="54"/>
      <c r="BJ678" s="54"/>
      <c r="BK678" s="54"/>
      <c r="BL678" s="54"/>
      <c r="BM678" s="54"/>
      <c r="BN678" s="54"/>
      <c r="BO678" s="54"/>
      <c r="BP678" s="54"/>
      <c r="BQ678" s="54"/>
      <c r="BR678" s="54"/>
      <c r="BS678" s="54"/>
      <c r="BT678" s="54"/>
      <c r="BU678" s="54"/>
      <c r="BV678" s="54"/>
      <c r="BW678" s="54"/>
      <c r="BX678" s="54"/>
      <c r="BY678" s="54"/>
      <c r="BZ678" s="54"/>
      <c r="CA678" s="54"/>
      <c r="CB678" s="54"/>
      <c r="CC678" s="54"/>
      <c r="CD678" s="54"/>
      <c r="CE678" s="18"/>
    </row>
    <row r="679" spans="1:83" s="4" customFormat="1" ht="12" customHeight="1" x14ac:dyDescent="0.15">
      <c r="A679" s="16"/>
      <c r="B679" s="73"/>
      <c r="C679" s="5"/>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73"/>
      <c r="AZ679" s="73"/>
      <c r="BA679" s="73"/>
      <c r="BB679" s="73"/>
      <c r="BC679" s="73"/>
      <c r="BD679" s="73"/>
      <c r="BE679" s="73"/>
      <c r="BF679" s="73"/>
      <c r="BG679" s="73"/>
      <c r="BH679" s="73"/>
      <c r="BI679" s="54"/>
      <c r="BJ679" s="54"/>
      <c r="BK679" s="54"/>
      <c r="BL679" s="54"/>
      <c r="BM679" s="54"/>
      <c r="BN679" s="54"/>
      <c r="BO679" s="54"/>
      <c r="BP679" s="54"/>
      <c r="BQ679" s="54"/>
      <c r="BR679" s="54"/>
      <c r="BS679" s="54"/>
      <c r="BT679" s="54"/>
      <c r="BU679" s="54"/>
      <c r="BV679" s="54"/>
      <c r="BW679" s="54"/>
      <c r="BX679" s="54"/>
      <c r="BY679" s="54"/>
      <c r="BZ679" s="54"/>
      <c r="CA679" s="54"/>
      <c r="CB679" s="54"/>
      <c r="CC679" s="54"/>
      <c r="CD679" s="54"/>
      <c r="CE679" s="18"/>
    </row>
    <row r="680" spans="1:83" s="9" customFormat="1" ht="12.75" customHeight="1" x14ac:dyDescent="0.15">
      <c r="A680" s="16"/>
      <c r="B680" s="8"/>
      <c r="C680" s="29"/>
      <c r="D680" s="2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29"/>
      <c r="AZ680" s="29"/>
      <c r="BA680" s="29"/>
      <c r="BB680" s="29"/>
      <c r="BC680" s="29"/>
      <c r="BD680" s="29"/>
      <c r="BE680" s="29"/>
      <c r="BF680" s="29"/>
      <c r="BG680" s="29"/>
      <c r="BH680" s="29"/>
      <c r="BI680" s="12"/>
      <c r="BJ680" s="12"/>
      <c r="BK680" s="12"/>
      <c r="BL680" s="12"/>
      <c r="BM680" s="12"/>
      <c r="BN680" s="12"/>
      <c r="BO680" s="12"/>
      <c r="BP680" s="12"/>
      <c r="BQ680" s="12"/>
      <c r="BR680" s="12"/>
      <c r="BS680" s="12"/>
      <c r="BT680" s="12"/>
      <c r="BU680" s="12"/>
      <c r="BV680" s="12"/>
      <c r="BW680" s="12"/>
      <c r="BX680" s="12"/>
      <c r="BY680" s="12"/>
      <c r="BZ680" s="12"/>
      <c r="CA680" s="12"/>
      <c r="CB680" s="12"/>
      <c r="CC680" s="12"/>
      <c r="CD680" s="12"/>
      <c r="CE680" s="18"/>
    </row>
    <row r="681" spans="1:83" s="9" customFormat="1" ht="12.75" customHeight="1" x14ac:dyDescent="0.15">
      <c r="A681" s="16"/>
      <c r="B681" s="8"/>
      <c r="C681" s="29"/>
      <c r="D681" s="21"/>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29"/>
      <c r="AZ681" s="29"/>
      <c r="BA681" s="29"/>
      <c r="BB681" s="29"/>
      <c r="BC681" s="29"/>
      <c r="BD681" s="29"/>
      <c r="BE681" s="29"/>
      <c r="BF681" s="29"/>
      <c r="BG681" s="29"/>
      <c r="BH681" s="29"/>
      <c r="BI681" s="12"/>
      <c r="BJ681" s="12"/>
      <c r="BK681" s="12"/>
      <c r="BL681" s="12"/>
      <c r="BM681" s="12"/>
      <c r="BN681" s="12"/>
      <c r="BO681" s="12"/>
      <c r="BP681" s="12"/>
      <c r="BQ681" s="12"/>
      <c r="BR681" s="12"/>
      <c r="BS681" s="12"/>
      <c r="BT681" s="12"/>
      <c r="BU681" s="12"/>
      <c r="BV681" s="12"/>
      <c r="BW681" s="12"/>
      <c r="BX681" s="12"/>
      <c r="BY681" s="12"/>
      <c r="BZ681" s="12"/>
      <c r="CA681" s="12"/>
      <c r="CB681" s="12"/>
      <c r="CC681" s="12"/>
      <c r="CD681" s="12"/>
      <c r="CE681" s="18"/>
    </row>
    <row r="682" spans="1:83" s="4" customFormat="1" ht="12" customHeight="1" x14ac:dyDescent="0.15">
      <c r="A682" s="16"/>
      <c r="B682" s="73"/>
      <c r="C682" s="58"/>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73"/>
      <c r="AZ682" s="73"/>
      <c r="BA682" s="73"/>
      <c r="BB682" s="73"/>
      <c r="BC682" s="73"/>
      <c r="BD682" s="73"/>
      <c r="BE682" s="73"/>
      <c r="BF682" s="73"/>
      <c r="BG682" s="73"/>
      <c r="BH682" s="73"/>
      <c r="BI682" s="54"/>
      <c r="BJ682" s="54"/>
      <c r="BK682" s="54"/>
      <c r="BL682" s="54"/>
      <c r="BM682" s="54"/>
      <c r="BN682" s="54"/>
      <c r="BO682" s="54"/>
      <c r="BP682" s="54"/>
      <c r="BQ682" s="54"/>
      <c r="BR682" s="54"/>
      <c r="BS682" s="54"/>
      <c r="BT682" s="54"/>
      <c r="BU682" s="54"/>
      <c r="BV682" s="54"/>
      <c r="BW682" s="54"/>
      <c r="BX682" s="54"/>
      <c r="BY682" s="54"/>
      <c r="BZ682" s="54"/>
      <c r="CA682" s="54"/>
      <c r="CB682" s="54"/>
      <c r="CC682" s="54"/>
      <c r="CD682" s="54"/>
      <c r="CE682" s="18"/>
    </row>
    <row r="683" spans="1:83" s="9" customFormat="1" ht="12.75" customHeight="1" x14ac:dyDescent="0.15">
      <c r="A683" s="16"/>
      <c r="B683" s="8"/>
      <c r="C683" s="29"/>
      <c r="D683" s="21"/>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29"/>
      <c r="AZ683" s="29"/>
      <c r="BA683" s="29"/>
      <c r="BB683" s="29"/>
      <c r="BC683" s="29"/>
      <c r="BD683" s="29"/>
      <c r="BE683" s="29"/>
      <c r="BF683" s="29"/>
      <c r="BG683" s="29"/>
      <c r="BH683" s="29"/>
      <c r="BI683" s="12"/>
      <c r="BJ683" s="12"/>
      <c r="BK683" s="12"/>
      <c r="BL683" s="12"/>
      <c r="BM683" s="12"/>
      <c r="BN683" s="12"/>
      <c r="BO683" s="12"/>
      <c r="BP683" s="12"/>
      <c r="BQ683" s="12"/>
      <c r="BR683" s="12"/>
      <c r="BS683" s="12"/>
      <c r="BT683" s="12"/>
      <c r="BU683" s="12"/>
      <c r="BV683" s="12"/>
      <c r="BW683" s="12"/>
      <c r="BX683" s="12"/>
      <c r="BY683" s="12"/>
      <c r="BZ683" s="12"/>
      <c r="CA683" s="12"/>
      <c r="CB683" s="12"/>
      <c r="CC683" s="12"/>
      <c r="CD683" s="12"/>
      <c r="CE683" s="18"/>
    </row>
    <row r="684" spans="1:83" s="9" customFormat="1" ht="12.75" customHeight="1" x14ac:dyDescent="0.15">
      <c r="A684" s="16"/>
      <c r="B684" s="8"/>
      <c r="C684" s="29"/>
      <c r="D684" s="21"/>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29"/>
      <c r="AZ684" s="29"/>
      <c r="BA684" s="29"/>
      <c r="BB684" s="29"/>
      <c r="BC684" s="29"/>
      <c r="BD684" s="29"/>
      <c r="BE684" s="29"/>
      <c r="BF684" s="29"/>
      <c r="BG684" s="29"/>
      <c r="BH684" s="29"/>
      <c r="BI684" s="12"/>
      <c r="BJ684" s="12"/>
      <c r="BK684" s="12"/>
      <c r="BL684" s="12"/>
      <c r="BM684" s="12"/>
      <c r="BN684" s="12"/>
      <c r="BO684" s="12"/>
      <c r="BP684" s="12"/>
      <c r="BQ684" s="12"/>
      <c r="BR684" s="12"/>
      <c r="BS684" s="12"/>
      <c r="BT684" s="12"/>
      <c r="BU684" s="12"/>
      <c r="BV684" s="12"/>
      <c r="BW684" s="12"/>
      <c r="BX684" s="12"/>
      <c r="BY684" s="12"/>
      <c r="BZ684" s="12"/>
      <c r="CA684" s="12"/>
      <c r="CB684" s="12"/>
      <c r="CC684" s="12"/>
      <c r="CD684" s="12"/>
      <c r="CE684" s="18"/>
    </row>
    <row r="685" spans="1:83" s="9" customFormat="1" ht="12.75" customHeight="1" x14ac:dyDescent="0.15">
      <c r="A685" s="16"/>
      <c r="B685" s="8"/>
      <c r="C685" s="29"/>
      <c r="D685" s="21"/>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8" t="s">
        <v>850</v>
      </c>
      <c r="AW685" s="12"/>
      <c r="AX685" s="12"/>
      <c r="AY685" s="29"/>
      <c r="AZ685" s="29"/>
      <c r="BA685" s="29"/>
      <c r="BB685" s="29"/>
      <c r="BC685" s="29"/>
      <c r="BD685" s="29"/>
      <c r="BE685" s="29"/>
      <c r="BF685" s="29"/>
      <c r="BG685" s="29"/>
      <c r="BH685" s="29"/>
      <c r="BI685" s="12"/>
      <c r="BJ685" s="12"/>
      <c r="BK685" s="12"/>
      <c r="BL685" s="12"/>
      <c r="BM685" s="12"/>
      <c r="BN685" s="12"/>
      <c r="BO685" s="12"/>
      <c r="BP685" s="12"/>
      <c r="BQ685" s="12"/>
      <c r="BR685" s="12"/>
      <c r="BS685" s="12"/>
      <c r="BT685" s="12"/>
      <c r="BU685" s="12"/>
      <c r="BV685" s="12"/>
      <c r="BW685" s="12"/>
      <c r="BX685" s="12"/>
      <c r="BY685" s="12"/>
      <c r="BZ685" s="12"/>
      <c r="CA685" s="12"/>
      <c r="CB685" s="12"/>
      <c r="CC685" s="12"/>
      <c r="CD685" s="12"/>
      <c r="CE685" s="18"/>
    </row>
    <row r="686" spans="1:83" s="9" customFormat="1" ht="12.75" customHeight="1" x14ac:dyDescent="0.15">
      <c r="A686" s="16"/>
      <c r="B686" s="8"/>
      <c r="C686" s="29"/>
      <c r="D686" s="21"/>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29"/>
      <c r="AZ686" s="29"/>
      <c r="BA686" s="29"/>
      <c r="BB686" s="29"/>
      <c r="BC686" s="29"/>
      <c r="BD686" s="29"/>
      <c r="BE686" s="29"/>
      <c r="BF686" s="29"/>
      <c r="BG686" s="29"/>
      <c r="BH686" s="29"/>
      <c r="BI686" s="12"/>
      <c r="BJ686" s="12"/>
      <c r="BK686" s="12"/>
      <c r="BL686" s="12"/>
      <c r="BM686" s="12"/>
      <c r="BN686" s="12"/>
      <c r="BO686" s="12"/>
      <c r="BP686" s="12"/>
      <c r="BQ686" s="12"/>
      <c r="BR686" s="12"/>
      <c r="BS686" s="12"/>
      <c r="BT686" s="12"/>
      <c r="BU686" s="12"/>
      <c r="BV686" s="12"/>
      <c r="BW686" s="12"/>
      <c r="BX686" s="12"/>
      <c r="BY686" s="12"/>
      <c r="BZ686" s="12"/>
      <c r="CA686" s="12"/>
      <c r="CB686" s="12"/>
      <c r="CC686" s="12"/>
      <c r="CD686" s="12"/>
      <c r="CE686" s="18"/>
    </row>
    <row r="687" spans="1:83" s="9" customFormat="1" ht="12.75" customHeight="1" x14ac:dyDescent="0.15">
      <c r="A687" s="16"/>
      <c r="B687" s="8"/>
      <c r="C687" s="29"/>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29"/>
      <c r="AZ687" s="29"/>
      <c r="BA687" s="29"/>
      <c r="BB687" s="29"/>
      <c r="BC687" s="29"/>
      <c r="BD687" s="29"/>
      <c r="BE687" s="29"/>
      <c r="BF687" s="29"/>
      <c r="BG687" s="29"/>
      <c r="BH687" s="29"/>
      <c r="BI687" s="12"/>
      <c r="BJ687" s="12"/>
      <c r="BK687" s="12"/>
      <c r="BL687" s="12"/>
      <c r="BM687" s="12"/>
      <c r="BN687" s="12"/>
      <c r="BO687" s="12"/>
      <c r="BP687" s="12"/>
      <c r="BQ687" s="12"/>
      <c r="BR687" s="12"/>
      <c r="BS687" s="12"/>
      <c r="BT687" s="12"/>
      <c r="BU687" s="12"/>
      <c r="BV687" s="12"/>
      <c r="BW687" s="12"/>
      <c r="BX687" s="12"/>
      <c r="BY687" s="12"/>
      <c r="BZ687" s="12"/>
      <c r="CA687" s="12"/>
      <c r="CB687" s="12"/>
      <c r="CC687" s="12"/>
      <c r="CD687" s="12"/>
      <c r="CE687" s="18"/>
    </row>
    <row r="688" spans="1:83" s="9" customFormat="1" ht="12.75" customHeight="1" x14ac:dyDescent="0.15">
      <c r="A688" s="16"/>
      <c r="B688" s="8"/>
      <c r="C688" s="29"/>
      <c r="D688" s="50"/>
      <c r="E688" s="50"/>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29"/>
      <c r="AZ688" s="29"/>
      <c r="BA688" s="29"/>
      <c r="BB688" s="29"/>
      <c r="BC688" s="29"/>
      <c r="BD688" s="29"/>
      <c r="BE688" s="29"/>
      <c r="BF688" s="29"/>
      <c r="BG688" s="29"/>
      <c r="BH688" s="29"/>
      <c r="BI688" s="12"/>
      <c r="BJ688" s="12"/>
      <c r="BK688" s="12"/>
      <c r="BL688" s="12"/>
      <c r="BM688" s="12"/>
      <c r="BN688" s="12"/>
      <c r="BO688" s="12"/>
      <c r="BP688" s="12"/>
      <c r="BQ688" s="12"/>
      <c r="BR688" s="12"/>
      <c r="BS688" s="12"/>
      <c r="BT688" s="12"/>
      <c r="BU688" s="12"/>
      <c r="BV688" s="12"/>
      <c r="BW688" s="12"/>
      <c r="BX688" s="12"/>
      <c r="BY688" s="12"/>
      <c r="BZ688" s="12"/>
      <c r="CA688" s="12"/>
      <c r="CB688" s="12"/>
      <c r="CC688" s="12"/>
      <c r="CD688" s="12"/>
      <c r="CE688" s="18"/>
    </row>
    <row r="689" spans="1:83" s="9" customFormat="1" ht="12.75" customHeight="1" x14ac:dyDescent="0.15">
      <c r="A689" s="16"/>
      <c r="B689" s="8"/>
      <c r="C689" s="29"/>
      <c r="D689" s="50"/>
      <c r="E689" s="50"/>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29"/>
      <c r="AZ689" s="29"/>
      <c r="BA689" s="29"/>
      <c r="BB689" s="29"/>
      <c r="BC689" s="29"/>
      <c r="BD689" s="29"/>
      <c r="BE689" s="29"/>
      <c r="BF689" s="29"/>
      <c r="BG689" s="29"/>
      <c r="BH689" s="29"/>
      <c r="BI689" s="12"/>
      <c r="BJ689" s="12"/>
      <c r="BK689" s="12"/>
      <c r="BL689" s="12"/>
      <c r="BM689" s="12"/>
      <c r="BN689" s="12"/>
      <c r="BO689" s="12"/>
      <c r="BP689" s="12"/>
      <c r="BQ689" s="12"/>
      <c r="BR689" s="12"/>
      <c r="BS689" s="12"/>
      <c r="BT689" s="12"/>
      <c r="BU689" s="12"/>
      <c r="BV689" s="12"/>
      <c r="BW689" s="12"/>
      <c r="BX689" s="12"/>
      <c r="BY689" s="12"/>
      <c r="BZ689" s="12"/>
      <c r="CA689" s="12"/>
      <c r="CB689" s="12"/>
      <c r="CC689" s="12"/>
      <c r="CD689" s="12"/>
      <c r="CE689" s="18"/>
    </row>
    <row r="690" spans="1:83" s="9" customFormat="1" ht="12.75" customHeight="1" x14ac:dyDescent="0.15">
      <c r="A690" s="16"/>
      <c r="B690" s="8"/>
      <c r="C690" s="29"/>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29"/>
      <c r="AZ690" s="29"/>
      <c r="BA690" s="29"/>
      <c r="BB690" s="29"/>
      <c r="BC690" s="29"/>
      <c r="BD690" s="29"/>
      <c r="BE690" s="29"/>
      <c r="BF690" s="29"/>
      <c r="BG690" s="29"/>
      <c r="BH690" s="29"/>
      <c r="BI690" s="12"/>
      <c r="BJ690" s="12"/>
      <c r="BK690" s="12"/>
      <c r="BL690" s="12"/>
      <c r="BM690" s="12"/>
      <c r="BN690" s="12"/>
      <c r="BO690" s="12"/>
      <c r="BP690" s="12"/>
      <c r="BQ690" s="12"/>
      <c r="BR690" s="12"/>
      <c r="BS690" s="12"/>
      <c r="BT690" s="12"/>
      <c r="BU690" s="12"/>
      <c r="BV690" s="12"/>
      <c r="BW690" s="12"/>
      <c r="BX690" s="12"/>
      <c r="BY690" s="12"/>
      <c r="BZ690" s="12"/>
      <c r="CA690" s="12"/>
      <c r="CB690" s="12"/>
      <c r="CC690" s="12"/>
      <c r="CD690" s="12"/>
      <c r="CE690" s="18"/>
    </row>
    <row r="691" spans="1:83" s="9" customFormat="1" ht="12.75" customHeight="1" x14ac:dyDescent="0.15">
      <c r="A691" s="16"/>
      <c r="B691" s="8"/>
      <c r="C691" s="22"/>
      <c r="D691" s="50"/>
      <c r="E691" s="50"/>
      <c r="F691" s="12"/>
      <c r="G691" s="12"/>
      <c r="H691" s="12"/>
      <c r="I691" s="12"/>
      <c r="J691" s="12"/>
      <c r="K691" s="12"/>
      <c r="L691" s="12"/>
      <c r="M691" s="12"/>
      <c r="N691" s="12"/>
      <c r="O691" s="12"/>
      <c r="P691" s="12"/>
      <c r="Q691" s="12"/>
      <c r="R691" s="12"/>
      <c r="S691" s="12"/>
      <c r="T691" s="12"/>
      <c r="U691" s="49"/>
      <c r="V691" s="49"/>
      <c r="W691" s="49"/>
      <c r="X691" s="49"/>
      <c r="Y691" s="49"/>
      <c r="Z691" s="49"/>
      <c r="AA691" s="49"/>
      <c r="AB691" s="49"/>
      <c r="AC691" s="49"/>
      <c r="AD691" s="49"/>
      <c r="AE691" s="49"/>
      <c r="AF691" s="49"/>
      <c r="AG691" s="49"/>
      <c r="AH691" s="49"/>
      <c r="AI691" s="49"/>
      <c r="AJ691" s="49"/>
      <c r="AK691" s="49"/>
      <c r="AL691" s="49"/>
      <c r="AM691" s="49"/>
      <c r="AN691" s="49"/>
      <c r="AO691" s="49"/>
      <c r="AP691" s="49"/>
      <c r="AQ691" s="49"/>
      <c r="AR691" s="49"/>
      <c r="AS691" s="49"/>
      <c r="AT691" s="49" t="s">
        <v>625</v>
      </c>
      <c r="AU691" s="49"/>
      <c r="AV691" s="49"/>
      <c r="AW691" s="49"/>
      <c r="AX691" s="49"/>
      <c r="AY691" s="29"/>
      <c r="AZ691" s="29"/>
      <c r="BA691" s="29"/>
      <c r="BB691" s="29"/>
      <c r="BC691" s="29"/>
      <c r="BD691" s="29"/>
      <c r="BE691" s="29"/>
      <c r="BF691" s="29"/>
      <c r="BG691" s="29"/>
      <c r="BH691" s="29"/>
      <c r="BI691" s="49"/>
      <c r="BJ691" s="49"/>
      <c r="BK691" s="49"/>
      <c r="BL691" s="49"/>
      <c r="BM691" s="49"/>
      <c r="BN691" s="49"/>
      <c r="BO691" s="49"/>
      <c r="BP691" s="49"/>
      <c r="BQ691" s="49"/>
      <c r="BR691" s="49"/>
      <c r="BS691" s="49"/>
      <c r="BT691" s="49"/>
      <c r="BU691" s="49"/>
      <c r="BV691" s="49"/>
      <c r="BW691" s="49"/>
      <c r="BX691" s="49"/>
      <c r="BY691" s="49"/>
      <c r="BZ691" s="49"/>
      <c r="CA691" s="49"/>
      <c r="CB691" s="49"/>
      <c r="CC691" s="49"/>
      <c r="CD691" s="49"/>
      <c r="CE691" s="18"/>
    </row>
    <row r="692" spans="1:83" s="9" customFormat="1" ht="12.75" customHeight="1" x14ac:dyDescent="0.15">
      <c r="A692" s="16"/>
      <c r="B692" s="8"/>
      <c r="C692" s="22"/>
      <c r="D692" s="12"/>
      <c r="E692" s="12"/>
      <c r="F692" s="12"/>
      <c r="G692" s="12"/>
      <c r="H692" s="12"/>
      <c r="I692" s="12"/>
      <c r="J692" s="12"/>
      <c r="K692" s="12"/>
      <c r="L692" s="12"/>
      <c r="M692" s="12"/>
      <c r="N692" s="12"/>
      <c r="O692" s="12"/>
      <c r="P692" s="12"/>
      <c r="Q692" s="12"/>
      <c r="R692" s="12"/>
      <c r="S692" s="12"/>
      <c r="T692" s="12"/>
      <c r="U692" s="49"/>
      <c r="V692" s="49"/>
      <c r="W692" s="49"/>
      <c r="X692" s="49"/>
      <c r="Y692" s="49"/>
      <c r="Z692" s="49"/>
      <c r="AA692" s="49"/>
      <c r="AB692" s="49"/>
      <c r="AC692" s="49"/>
      <c r="AD692" s="49"/>
      <c r="AE692" s="49"/>
      <c r="AF692" s="49"/>
      <c r="AG692" s="49"/>
      <c r="AH692" s="49"/>
      <c r="AI692" s="49"/>
      <c r="AJ692" s="49"/>
      <c r="AK692" s="49"/>
      <c r="AL692" s="49"/>
      <c r="AM692" s="49"/>
      <c r="AN692" s="49"/>
      <c r="AO692" s="49"/>
      <c r="AP692" s="49"/>
      <c r="AQ692" s="49"/>
      <c r="AR692" s="49"/>
      <c r="AS692" s="49"/>
      <c r="AT692" s="9" t="s">
        <v>664</v>
      </c>
      <c r="AU692" s="49"/>
      <c r="AV692" s="49"/>
      <c r="AW692" s="49"/>
      <c r="AX692" s="49"/>
      <c r="AY692" s="29"/>
      <c r="AZ692" s="29"/>
      <c r="BA692" s="29"/>
      <c r="BB692" s="29"/>
      <c r="BC692" s="29"/>
      <c r="BD692" s="29"/>
      <c r="BE692" s="29"/>
      <c r="BF692" s="29"/>
      <c r="BG692" s="29"/>
      <c r="BH692" s="29"/>
      <c r="BI692" s="49"/>
      <c r="BJ692" s="49"/>
      <c r="BK692" s="49"/>
      <c r="BL692" s="49"/>
      <c r="BM692" s="49"/>
      <c r="BN692" s="49"/>
      <c r="BO692" s="49"/>
      <c r="BP692" s="49"/>
      <c r="BQ692" s="49"/>
      <c r="BR692" s="49"/>
      <c r="BS692" s="49"/>
      <c r="BT692" s="49"/>
      <c r="BU692" s="49"/>
      <c r="BV692" s="49"/>
      <c r="BW692" s="49"/>
      <c r="BX692" s="49"/>
      <c r="BY692" s="49"/>
      <c r="BZ692" s="49"/>
      <c r="CA692" s="49"/>
      <c r="CB692" s="49"/>
      <c r="CC692" s="49"/>
      <c r="CD692" s="49"/>
      <c r="CE692" s="18"/>
    </row>
    <row r="693" spans="1:83" s="9" customFormat="1" ht="12.75" customHeight="1" x14ac:dyDescent="0.15">
      <c r="A693" s="16"/>
      <c r="B693" s="8"/>
      <c r="C693" s="22"/>
      <c r="D693" s="12"/>
      <c r="E693" s="12"/>
      <c r="F693" s="12"/>
      <c r="G693" s="12"/>
      <c r="H693" s="12"/>
      <c r="I693" s="12"/>
      <c r="J693" s="12"/>
      <c r="K693" s="12"/>
      <c r="L693" s="12"/>
      <c r="M693" s="12"/>
      <c r="N693" s="12"/>
      <c r="O693" s="12"/>
      <c r="P693" s="12"/>
      <c r="Q693" s="12"/>
      <c r="R693" s="12"/>
      <c r="S693" s="12"/>
      <c r="T693" s="12"/>
      <c r="U693" s="49"/>
      <c r="V693" s="49"/>
      <c r="W693" s="49"/>
      <c r="X693" s="49"/>
      <c r="Y693" s="49"/>
      <c r="Z693" s="49"/>
      <c r="AA693" s="49"/>
      <c r="AB693" s="49"/>
      <c r="AC693" s="49"/>
      <c r="AD693" s="49"/>
      <c r="AE693" s="49"/>
      <c r="AF693" s="49"/>
      <c r="AG693" s="49"/>
      <c r="AH693" s="49"/>
      <c r="AI693" s="49"/>
      <c r="AJ693" s="49"/>
      <c r="AK693" s="49"/>
      <c r="AL693" s="49"/>
      <c r="AM693" s="49"/>
      <c r="AN693" s="49"/>
      <c r="AO693" s="49"/>
      <c r="AP693" s="49"/>
      <c r="AQ693" s="49"/>
      <c r="AR693" s="49"/>
      <c r="AS693" s="49"/>
      <c r="AT693" s="49" t="s">
        <v>624</v>
      </c>
      <c r="AU693" s="49"/>
      <c r="AV693" s="49"/>
      <c r="AW693" s="49"/>
      <c r="AX693" s="49"/>
      <c r="AY693" s="29"/>
      <c r="AZ693" s="29"/>
      <c r="BA693" s="29"/>
      <c r="BB693" s="29"/>
      <c r="BC693" s="29"/>
      <c r="BD693" s="29"/>
      <c r="BE693" s="29"/>
      <c r="BF693" s="29"/>
      <c r="BG693" s="29"/>
      <c r="BH693" s="29"/>
      <c r="BI693" s="49"/>
      <c r="BJ693" s="49"/>
      <c r="BK693" s="49"/>
      <c r="BL693" s="49"/>
      <c r="BM693" s="49"/>
      <c r="BN693" s="49"/>
      <c r="BO693" s="49"/>
      <c r="BP693" s="49"/>
      <c r="BQ693" s="49"/>
      <c r="BR693" s="49"/>
      <c r="BS693" s="49"/>
      <c r="BT693" s="49"/>
      <c r="BU693" s="49"/>
      <c r="BV693" s="49"/>
      <c r="BW693" s="49"/>
      <c r="BX693" s="49"/>
      <c r="BY693" s="49"/>
      <c r="BZ693" s="49"/>
      <c r="CA693" s="49"/>
      <c r="CB693" s="49"/>
      <c r="CC693" s="49"/>
      <c r="CD693" s="49"/>
      <c r="CE693" s="18"/>
    </row>
    <row r="694" spans="1:83" s="9" customFormat="1" ht="12.75" customHeight="1" x14ac:dyDescent="0.15">
      <c r="A694" s="16"/>
      <c r="B694" s="8"/>
      <c r="C694" s="22"/>
      <c r="D694" s="12"/>
      <c r="E694" s="12"/>
      <c r="F694" s="12"/>
      <c r="G694" s="12"/>
      <c r="H694" s="12"/>
      <c r="I694" s="12"/>
      <c r="J694" s="12"/>
      <c r="K694" s="12"/>
      <c r="L694" s="12"/>
      <c r="M694" s="12"/>
      <c r="N694" s="12"/>
      <c r="O694" s="12"/>
      <c r="P694" s="12"/>
      <c r="Q694" s="12"/>
      <c r="R694" s="12"/>
      <c r="S694" s="12"/>
      <c r="T694" s="12"/>
      <c r="U694" s="49"/>
      <c r="V694" s="49"/>
      <c r="W694" s="49"/>
      <c r="X694" s="49"/>
      <c r="Y694" s="49"/>
      <c r="Z694" s="49"/>
      <c r="AA694" s="49"/>
      <c r="AB694" s="49"/>
      <c r="AC694" s="49"/>
      <c r="AD694" s="49"/>
      <c r="AE694" s="49"/>
      <c r="AF694" s="49"/>
      <c r="AG694" s="49"/>
      <c r="AH694" s="49"/>
      <c r="AI694" s="49"/>
      <c r="AJ694" s="49"/>
      <c r="AK694" s="49"/>
      <c r="AL694" s="49"/>
      <c r="AM694" s="49"/>
      <c r="AN694" s="49"/>
      <c r="AO694" s="49"/>
      <c r="AP694" s="49"/>
      <c r="AQ694" s="49"/>
      <c r="AR694" s="49"/>
      <c r="AS694" s="49"/>
      <c r="AU694" s="49"/>
      <c r="AV694" s="49"/>
      <c r="AW694" s="49"/>
      <c r="AX694" s="49"/>
      <c r="AY694" s="29"/>
      <c r="AZ694" s="29"/>
      <c r="BA694" s="29"/>
      <c r="BB694" s="29"/>
      <c r="BC694" s="29"/>
      <c r="BD694" s="29"/>
      <c r="BE694" s="29"/>
      <c r="BF694" s="29"/>
      <c r="BG694" s="29"/>
      <c r="BH694" s="29"/>
      <c r="BI694" s="49"/>
      <c r="BJ694" s="49"/>
      <c r="BK694" s="49"/>
      <c r="BL694" s="49"/>
      <c r="BM694" s="49"/>
      <c r="BN694" s="49"/>
      <c r="BO694" s="49"/>
      <c r="BP694" s="49"/>
      <c r="BQ694" s="49"/>
      <c r="BR694" s="49"/>
      <c r="BS694" s="49"/>
      <c r="BT694" s="49"/>
      <c r="BU694" s="49"/>
      <c r="BV694" s="49"/>
      <c r="BW694" s="49"/>
      <c r="BX694" s="49"/>
      <c r="BY694" s="49"/>
      <c r="BZ694" s="49"/>
      <c r="CA694" s="49"/>
      <c r="CB694" s="49"/>
      <c r="CC694" s="49"/>
      <c r="CD694" s="49"/>
      <c r="CE694" s="18"/>
    </row>
    <row r="695" spans="1:83" s="9" customFormat="1" ht="12.75" customHeight="1" x14ac:dyDescent="0.15">
      <c r="A695" s="16"/>
      <c r="B695" s="8"/>
      <c r="C695" s="22"/>
      <c r="D695" s="12"/>
      <c r="E695" s="12"/>
      <c r="F695" s="12"/>
      <c r="G695" s="12"/>
      <c r="H695" s="12"/>
      <c r="I695" s="12"/>
      <c r="J695" s="12"/>
      <c r="K695" s="12"/>
      <c r="L695" s="12"/>
      <c r="M695" s="12"/>
      <c r="N695" s="12"/>
      <c r="O695" s="12"/>
      <c r="P695" s="12"/>
      <c r="Q695" s="12"/>
      <c r="R695" s="12"/>
      <c r="S695" s="12"/>
      <c r="T695" s="12"/>
      <c r="U695" s="49"/>
      <c r="V695" s="49"/>
      <c r="W695" s="49"/>
      <c r="X695" s="49"/>
      <c r="Y695" s="49"/>
      <c r="Z695" s="49"/>
      <c r="AA695" s="49"/>
      <c r="AB695" s="49"/>
      <c r="AC695" s="49"/>
      <c r="AD695" s="49"/>
      <c r="AE695" s="49"/>
      <c r="AF695" s="49"/>
      <c r="AG695" s="49"/>
      <c r="AH695" s="49"/>
      <c r="AI695" s="49"/>
      <c r="AJ695" s="49"/>
      <c r="AK695" s="49"/>
      <c r="AL695" s="49"/>
      <c r="AM695" s="49"/>
      <c r="AN695" s="49"/>
      <c r="AO695" s="49"/>
      <c r="AP695" s="49"/>
      <c r="AQ695" s="49"/>
      <c r="AR695" s="49"/>
      <c r="AS695" s="49"/>
      <c r="AT695" s="49" t="s">
        <v>626</v>
      </c>
      <c r="AU695" s="49"/>
      <c r="AV695" s="49"/>
      <c r="AW695" s="49"/>
      <c r="AX695" s="49"/>
      <c r="AY695" s="29"/>
      <c r="AZ695" s="29"/>
      <c r="BA695" s="29"/>
      <c r="BB695" s="29"/>
      <c r="BC695" s="29"/>
      <c r="BD695" s="29"/>
      <c r="BE695" s="29"/>
      <c r="BF695" s="29"/>
      <c r="BG695" s="29"/>
      <c r="BH695" s="29"/>
      <c r="BI695" s="49"/>
      <c r="BJ695" s="49"/>
      <c r="BK695" s="49"/>
      <c r="BL695" s="49"/>
      <c r="BM695" s="49"/>
      <c r="BN695" s="49"/>
      <c r="BO695" s="49"/>
      <c r="BP695" s="49"/>
      <c r="BQ695" s="49"/>
      <c r="BR695" s="49"/>
      <c r="BS695" s="49"/>
      <c r="BT695" s="49"/>
      <c r="BU695" s="49"/>
      <c r="BV695" s="49"/>
      <c r="BW695" s="49"/>
      <c r="BX695" s="49"/>
      <c r="BY695" s="49"/>
      <c r="BZ695" s="49"/>
      <c r="CA695" s="49"/>
      <c r="CB695" s="49"/>
      <c r="CC695" s="49"/>
      <c r="CD695" s="49"/>
      <c r="CE695" s="18"/>
    </row>
    <row r="696" spans="1:83" s="9" customFormat="1" ht="12.75" customHeight="1" x14ac:dyDescent="0.15">
      <c r="A696" s="16"/>
      <c r="B696" s="8"/>
      <c r="C696" s="29"/>
      <c r="D696" s="50"/>
      <c r="E696" s="50"/>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49" t="s">
        <v>665</v>
      </c>
      <c r="AU696" s="12"/>
      <c r="AV696" s="12"/>
      <c r="AW696" s="12"/>
      <c r="AX696" s="12"/>
      <c r="AY696" s="29"/>
      <c r="AZ696" s="29"/>
      <c r="BA696" s="29"/>
      <c r="BB696" s="29"/>
      <c r="BC696" s="29"/>
      <c r="BD696" s="29"/>
      <c r="BE696" s="29"/>
      <c r="BF696" s="29"/>
      <c r="BG696" s="29"/>
      <c r="BH696" s="29"/>
      <c r="BI696" s="12"/>
      <c r="BJ696" s="12"/>
      <c r="BK696" s="12"/>
      <c r="BL696" s="12"/>
      <c r="BM696" s="12"/>
      <c r="BN696" s="12"/>
      <c r="BO696" s="12"/>
      <c r="BP696" s="12"/>
      <c r="BQ696" s="12"/>
      <c r="BR696" s="12"/>
      <c r="BS696" s="12"/>
      <c r="BT696" s="12"/>
      <c r="BU696" s="12"/>
      <c r="BV696" s="12"/>
      <c r="BW696" s="12"/>
      <c r="BX696" s="12"/>
      <c r="BY696" s="12"/>
      <c r="BZ696" s="12"/>
      <c r="CA696" s="12"/>
      <c r="CB696" s="12"/>
      <c r="CC696" s="12"/>
      <c r="CD696" s="12"/>
      <c r="CE696" s="18"/>
    </row>
    <row r="697" spans="1:83" s="9" customFormat="1" ht="12.75" customHeight="1" x14ac:dyDescent="0.15">
      <c r="A697" s="16"/>
      <c r="B697" s="8"/>
      <c r="C697" s="29"/>
      <c r="D697" s="50"/>
      <c r="E697" s="50"/>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29"/>
      <c r="AZ697" s="29"/>
      <c r="BA697" s="29"/>
      <c r="BB697" s="29"/>
      <c r="BC697" s="29"/>
      <c r="BD697" s="29"/>
      <c r="BE697" s="29"/>
      <c r="BF697" s="29"/>
      <c r="BG697" s="29"/>
      <c r="BH697" s="29"/>
      <c r="BI697" s="12"/>
      <c r="BJ697" s="12"/>
      <c r="BK697" s="12"/>
      <c r="BL697" s="12"/>
      <c r="BM697" s="12"/>
      <c r="BN697" s="12"/>
      <c r="BO697" s="12"/>
      <c r="BP697" s="12"/>
      <c r="BQ697" s="12"/>
      <c r="BR697" s="12"/>
      <c r="BS697" s="12"/>
      <c r="BT697" s="12"/>
      <c r="BU697" s="12"/>
      <c r="BV697" s="12"/>
      <c r="BW697" s="12"/>
      <c r="BX697" s="12"/>
      <c r="BY697" s="12"/>
      <c r="BZ697" s="12"/>
      <c r="CA697" s="12"/>
      <c r="CB697" s="12"/>
      <c r="CC697" s="12"/>
      <c r="CD697" s="12"/>
      <c r="CE697" s="18"/>
    </row>
    <row r="698" spans="1:83" s="9" customFormat="1" ht="12.75" customHeight="1" x14ac:dyDescent="0.15">
      <c r="A698" s="16"/>
      <c r="B698" s="8"/>
      <c r="C698" s="22"/>
      <c r="D698" s="50"/>
      <c r="E698" s="50"/>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29"/>
      <c r="AZ698" s="29"/>
      <c r="BA698" s="29"/>
      <c r="BB698" s="29"/>
      <c r="BC698" s="29"/>
      <c r="BD698" s="29"/>
      <c r="BE698" s="29"/>
      <c r="BF698" s="29"/>
      <c r="BG698" s="29"/>
      <c r="BH698" s="29"/>
      <c r="BI698" s="12"/>
      <c r="BJ698" s="12"/>
      <c r="BK698" s="12"/>
      <c r="BL698" s="12"/>
      <c r="BM698" s="12"/>
      <c r="BN698" s="12"/>
      <c r="BO698" s="12"/>
      <c r="BP698" s="12"/>
      <c r="BQ698" s="12"/>
      <c r="BR698" s="12"/>
      <c r="BS698" s="12"/>
      <c r="BT698" s="12"/>
      <c r="BU698" s="12"/>
      <c r="BV698" s="12"/>
      <c r="BW698" s="12"/>
      <c r="BX698" s="12"/>
      <c r="BY698" s="12"/>
      <c r="BZ698" s="12"/>
      <c r="CA698" s="12"/>
      <c r="CB698" s="12"/>
      <c r="CC698" s="12"/>
      <c r="CD698" s="12"/>
      <c r="CE698" s="18"/>
    </row>
    <row r="699" spans="1:83" s="9" customFormat="1" ht="12.75" customHeight="1" x14ac:dyDescent="0.15">
      <c r="A699" s="16"/>
      <c r="B699" s="8"/>
      <c r="C699" s="29"/>
      <c r="D699" s="2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29"/>
      <c r="AZ699" s="29"/>
      <c r="BA699" s="29"/>
      <c r="BB699" s="29"/>
      <c r="BC699" s="29"/>
      <c r="BD699" s="29"/>
      <c r="BE699" s="29"/>
      <c r="BF699" s="29"/>
      <c r="BG699" s="29"/>
      <c r="BH699" s="29"/>
      <c r="BI699" s="12"/>
      <c r="BJ699" s="12"/>
      <c r="BK699" s="12"/>
      <c r="BL699" s="12"/>
      <c r="BM699" s="12"/>
      <c r="BN699" s="12"/>
      <c r="BO699" s="12"/>
      <c r="BP699" s="12"/>
      <c r="BQ699" s="12"/>
      <c r="BR699" s="12"/>
      <c r="BS699" s="12"/>
      <c r="BT699" s="12"/>
      <c r="BU699" s="12"/>
      <c r="BV699" s="12"/>
      <c r="BW699" s="12"/>
      <c r="BX699" s="12"/>
      <c r="BY699" s="12"/>
      <c r="BZ699" s="12"/>
      <c r="CA699" s="12"/>
      <c r="CB699" s="12"/>
      <c r="CC699" s="12"/>
      <c r="CD699" s="12"/>
      <c r="CE699" s="18"/>
    </row>
    <row r="700" spans="1:83" s="9" customFormat="1" ht="12.75" customHeight="1" x14ac:dyDescent="0.15">
      <c r="A700" s="16"/>
      <c r="B700" s="8"/>
      <c r="C700" s="29"/>
      <c r="D700" s="2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29"/>
      <c r="AZ700" s="29"/>
      <c r="BA700" s="29"/>
      <c r="BB700" s="29"/>
      <c r="BC700" s="29"/>
      <c r="BD700" s="29"/>
      <c r="BE700" s="29"/>
      <c r="BF700" s="29"/>
      <c r="BG700" s="29"/>
      <c r="BH700" s="29"/>
      <c r="BI700" s="12"/>
      <c r="BJ700" s="12"/>
      <c r="BK700" s="12"/>
      <c r="BL700" s="12"/>
      <c r="BM700" s="12"/>
      <c r="BN700" s="12"/>
      <c r="BO700" s="12"/>
      <c r="BP700" s="12"/>
      <c r="BQ700" s="12"/>
      <c r="BR700" s="12"/>
      <c r="BS700" s="12"/>
      <c r="BT700" s="12"/>
      <c r="BU700" s="12"/>
      <c r="BV700" s="12"/>
      <c r="BW700" s="12"/>
      <c r="BX700" s="12"/>
      <c r="BY700" s="12"/>
      <c r="BZ700" s="12"/>
      <c r="CA700" s="12"/>
      <c r="CB700" s="12"/>
      <c r="CC700" s="12"/>
      <c r="CD700" s="12"/>
      <c r="CE700" s="18"/>
    </row>
    <row r="701" spans="1:83" s="9" customFormat="1" ht="12.75" customHeight="1" x14ac:dyDescent="0.15">
      <c r="A701" s="16"/>
      <c r="B701" s="8"/>
      <c r="C701" s="29"/>
      <c r="D701" s="2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29"/>
      <c r="AZ701" s="29"/>
      <c r="BA701" s="29"/>
      <c r="BB701" s="29"/>
      <c r="BC701" s="29"/>
      <c r="BD701" s="29"/>
      <c r="BE701" s="29"/>
      <c r="BF701" s="29"/>
      <c r="BG701" s="29"/>
      <c r="BH701" s="29"/>
      <c r="BI701" s="12"/>
      <c r="BJ701" s="12"/>
      <c r="BK701" s="12"/>
      <c r="BL701" s="12"/>
      <c r="BM701" s="12"/>
      <c r="BN701" s="12"/>
      <c r="BO701" s="12"/>
      <c r="BP701" s="12"/>
      <c r="BQ701" s="12"/>
      <c r="BR701" s="12"/>
      <c r="BS701" s="12"/>
      <c r="BT701" s="12"/>
      <c r="BU701" s="12"/>
      <c r="BV701" s="12"/>
      <c r="BW701" s="12"/>
      <c r="BX701" s="12"/>
      <c r="BY701" s="12"/>
      <c r="BZ701" s="12"/>
      <c r="CA701" s="12"/>
      <c r="CB701" s="12"/>
      <c r="CC701" s="12"/>
      <c r="CD701" s="12"/>
      <c r="CE701" s="18"/>
    </row>
    <row r="702" spans="1:83" s="9" customFormat="1" ht="12" customHeight="1" thickBot="1" x14ac:dyDescent="0.2">
      <c r="A702" s="25"/>
      <c r="B702" s="30"/>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7"/>
      <c r="BA702" s="27"/>
      <c r="BB702" s="27"/>
      <c r="BC702" s="27"/>
      <c r="BD702" s="27"/>
      <c r="BE702" s="27"/>
      <c r="BF702" s="27"/>
      <c r="BG702" s="27"/>
      <c r="BH702" s="27"/>
      <c r="BI702" s="27"/>
      <c r="BJ702" s="27"/>
      <c r="BK702" s="27"/>
      <c r="BL702" s="27"/>
      <c r="BM702" s="27"/>
      <c r="BN702" s="27"/>
      <c r="BO702" s="27"/>
      <c r="BP702" s="27"/>
      <c r="BQ702" s="27"/>
      <c r="BR702" s="27"/>
      <c r="BS702" s="27"/>
      <c r="BT702" s="27"/>
      <c r="BU702" s="27"/>
      <c r="BV702" s="27"/>
      <c r="BW702" s="27"/>
      <c r="BX702" s="27"/>
      <c r="BY702" s="27"/>
      <c r="BZ702" s="27"/>
      <c r="CA702" s="27"/>
      <c r="CB702" s="27"/>
      <c r="CC702" s="26"/>
      <c r="CD702" s="26"/>
      <c r="CE702" s="28"/>
    </row>
    <row r="703" spans="1:83" x14ac:dyDescent="0.15">
      <c r="A703" s="107"/>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c r="AZ703" s="106"/>
      <c r="BA703" s="106"/>
      <c r="BB703" s="106"/>
      <c r="BC703" s="106"/>
      <c r="BD703" s="106"/>
      <c r="BE703" s="106"/>
      <c r="BF703" s="106"/>
      <c r="BG703" s="106"/>
      <c r="BH703" s="106"/>
      <c r="BI703" s="106"/>
      <c r="BJ703" s="106"/>
      <c r="BK703" s="106"/>
      <c r="BL703" s="106"/>
      <c r="BM703" s="106"/>
      <c r="BN703" s="106"/>
      <c r="BO703" s="106"/>
      <c r="BP703" s="106"/>
      <c r="BQ703" s="106"/>
      <c r="BR703" s="106"/>
      <c r="BS703" s="106"/>
      <c r="BT703" s="106"/>
      <c r="BU703" s="106"/>
      <c r="BV703" s="106"/>
      <c r="BW703" s="106"/>
      <c r="BX703" s="106"/>
      <c r="BY703" s="106"/>
      <c r="BZ703" s="106"/>
      <c r="CA703" s="106"/>
      <c r="CB703" s="106"/>
      <c r="CC703" s="106"/>
      <c r="CD703" s="106"/>
      <c r="CE703" s="108"/>
    </row>
    <row r="704" spans="1:83" x14ac:dyDescent="0.15">
      <c r="A704" s="109"/>
      <c r="B704" s="3"/>
      <c r="C704" s="22" t="s">
        <v>33</v>
      </c>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100"/>
    </row>
    <row r="705" spans="1:83" x14ac:dyDescent="0.15">
      <c r="A705" s="109"/>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100"/>
    </row>
    <row r="706" spans="1:83" x14ac:dyDescent="0.15">
      <c r="A706" s="109"/>
      <c r="B706" s="3"/>
      <c r="C706" s="3"/>
      <c r="D706" s="3" t="s">
        <v>34</v>
      </c>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100"/>
    </row>
    <row r="707" spans="1:83" x14ac:dyDescent="0.15">
      <c r="A707" s="109"/>
      <c r="B707" s="3"/>
      <c r="C707" s="3"/>
      <c r="D707" s="3"/>
      <c r="E707" s="3" t="s">
        <v>35</v>
      </c>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100"/>
    </row>
    <row r="708" spans="1:83" x14ac:dyDescent="0.15">
      <c r="A708" s="109"/>
      <c r="B708" s="3"/>
      <c r="C708" s="3"/>
      <c r="D708" s="3"/>
      <c r="E708" s="3" t="s">
        <v>842</v>
      </c>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100"/>
    </row>
    <row r="709" spans="1:83" x14ac:dyDescent="0.15">
      <c r="A709" s="109"/>
      <c r="B709" s="3"/>
      <c r="C709" s="3"/>
      <c r="D709" s="3"/>
      <c r="E709" s="3" t="s">
        <v>25</v>
      </c>
      <c r="F709" s="3"/>
      <c r="G709" s="3"/>
      <c r="H709" s="3"/>
      <c r="I709" s="3"/>
      <c r="J709" s="3"/>
      <c r="K709" s="3"/>
      <c r="L709" s="3"/>
      <c r="M709" s="3"/>
      <c r="N709" s="3"/>
      <c r="O709" s="3"/>
      <c r="P709" s="3"/>
      <c r="Q709" s="3"/>
      <c r="R709" s="3"/>
      <c r="S709" s="3"/>
      <c r="T709" s="3"/>
      <c r="U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100"/>
    </row>
    <row r="710" spans="1:83" x14ac:dyDescent="0.15">
      <c r="A710" s="109"/>
      <c r="B710" s="3"/>
      <c r="C710" s="3"/>
      <c r="D710" s="3"/>
      <c r="E710" s="3" t="s">
        <v>26</v>
      </c>
      <c r="F710" s="3"/>
      <c r="G710" s="3"/>
      <c r="H710" s="3"/>
      <c r="I710" s="3"/>
      <c r="J710" s="3"/>
      <c r="K710" s="3"/>
      <c r="L710" s="3"/>
      <c r="M710" s="3"/>
      <c r="N710" s="3"/>
      <c r="O710" s="3"/>
      <c r="P710" s="3"/>
      <c r="Q710" s="3"/>
      <c r="R710" s="3"/>
      <c r="S710" s="3"/>
      <c r="T710" s="3"/>
      <c r="U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100"/>
    </row>
    <row r="711" spans="1:83" x14ac:dyDescent="0.15">
      <c r="A711" s="109"/>
      <c r="B711" s="3"/>
      <c r="C711" s="3"/>
      <c r="D711" s="3"/>
      <c r="E711" s="3" t="s">
        <v>936</v>
      </c>
      <c r="F711" s="3"/>
      <c r="G711" s="3"/>
      <c r="H711" s="3"/>
      <c r="I711" s="3"/>
      <c r="J711" s="3"/>
      <c r="K711" s="3"/>
      <c r="L711" s="3"/>
      <c r="M711" s="3"/>
      <c r="N711" s="3"/>
      <c r="O711" s="3"/>
      <c r="P711" s="3"/>
      <c r="Q711" s="3"/>
      <c r="R711" s="3"/>
      <c r="S711" s="3"/>
      <c r="T711" s="3"/>
      <c r="U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100"/>
    </row>
    <row r="712" spans="1:83" x14ac:dyDescent="0.15">
      <c r="A712" s="109"/>
      <c r="B712" s="3"/>
      <c r="C712" s="169"/>
      <c r="D712" s="801" t="s">
        <v>27</v>
      </c>
      <c r="E712" s="802"/>
      <c r="F712" s="803"/>
      <c r="G712" s="801" t="s">
        <v>28</v>
      </c>
      <c r="H712" s="802"/>
      <c r="I712" s="802"/>
      <c r="J712" s="802"/>
      <c r="K712" s="802"/>
      <c r="L712" s="802"/>
      <c r="M712" s="802"/>
      <c r="N712" s="802"/>
      <c r="O712" s="802"/>
      <c r="P712" s="802"/>
      <c r="Q712" s="802"/>
      <c r="R712" s="802"/>
      <c r="S712" s="802"/>
      <c r="T712" s="802"/>
      <c r="U712" s="802"/>
      <c r="V712" s="802"/>
      <c r="W712" s="802"/>
      <c r="X712" s="802"/>
      <c r="Y712" s="802"/>
      <c r="Z712" s="802"/>
      <c r="AA712" s="802"/>
      <c r="AB712" s="802"/>
      <c r="AC712" s="802"/>
      <c r="AD712" s="802"/>
      <c r="AE712" s="802"/>
      <c r="AF712" s="802"/>
      <c r="AG712" s="802"/>
      <c r="AH712" s="802"/>
      <c r="AI712" s="802"/>
      <c r="AJ712" s="803"/>
      <c r="AK712" s="801" t="s">
        <v>51</v>
      </c>
      <c r="AL712" s="802"/>
      <c r="AM712" s="802"/>
      <c r="AN712" s="802"/>
      <c r="AO712" s="803"/>
      <c r="AP712" s="804" t="s">
        <v>29</v>
      </c>
      <c r="AQ712" s="805"/>
      <c r="AR712" s="805"/>
      <c r="AS712" s="805"/>
      <c r="AT712" s="805"/>
      <c r="AU712" s="805"/>
      <c r="AV712" s="805"/>
      <c r="AW712" s="805"/>
      <c r="AX712" s="805"/>
      <c r="AY712" s="805"/>
      <c r="AZ712" s="805"/>
      <c r="BA712" s="805"/>
      <c r="BB712" s="805"/>
      <c r="BC712" s="805"/>
      <c r="BD712" s="805"/>
      <c r="BE712" s="805"/>
      <c r="BF712" s="805"/>
      <c r="BG712" s="806"/>
      <c r="BH712" s="807" t="s">
        <v>30</v>
      </c>
      <c r="BI712" s="808"/>
      <c r="BJ712" s="808"/>
      <c r="BK712" s="808"/>
      <c r="BL712" s="808"/>
      <c r="BM712" s="808"/>
      <c r="BN712" s="808"/>
      <c r="BO712" s="808"/>
      <c r="BP712" s="808"/>
      <c r="BQ712" s="808"/>
      <c r="BR712" s="809"/>
      <c r="BS712" s="801" t="s">
        <v>73</v>
      </c>
      <c r="BT712" s="802"/>
      <c r="BU712" s="802"/>
      <c r="BV712" s="802"/>
      <c r="BW712" s="802"/>
      <c r="BX712" s="802"/>
      <c r="BY712" s="802"/>
      <c r="BZ712" s="803"/>
      <c r="CA712" s="3"/>
      <c r="CB712" s="3"/>
      <c r="CC712" s="3"/>
      <c r="CD712" s="3"/>
      <c r="CE712" s="100"/>
    </row>
    <row r="713" spans="1:83" x14ac:dyDescent="0.15">
      <c r="A713" s="109"/>
      <c r="B713" s="3"/>
      <c r="C713" s="169"/>
      <c r="D713" s="670">
        <v>1</v>
      </c>
      <c r="E713" s="670"/>
      <c r="F713" s="670"/>
      <c r="G713" s="664" t="s">
        <v>36</v>
      </c>
      <c r="H713" s="665"/>
      <c r="I713" s="665"/>
      <c r="J713" s="665"/>
      <c r="K713" s="665"/>
      <c r="L713" s="665"/>
      <c r="M713" s="665"/>
      <c r="N713" s="665"/>
      <c r="O713" s="665"/>
      <c r="P713" s="665"/>
      <c r="Q713" s="665"/>
      <c r="R713" s="665"/>
      <c r="S713" s="665"/>
      <c r="T713" s="665"/>
      <c r="U713" s="665"/>
      <c r="V713" s="665"/>
      <c r="W713" s="665"/>
      <c r="X713" s="665"/>
      <c r="Y713" s="665"/>
      <c r="Z713" s="665"/>
      <c r="AA713" s="665"/>
      <c r="AB713" s="665"/>
      <c r="AC713" s="665"/>
      <c r="AD713" s="665"/>
      <c r="AE713" s="665"/>
      <c r="AF713" s="665"/>
      <c r="AG713" s="665"/>
      <c r="AH713" s="665"/>
      <c r="AI713" s="665"/>
      <c r="AJ713" s="666"/>
      <c r="AK713" s="680" t="s">
        <v>52</v>
      </c>
      <c r="AL713" s="681"/>
      <c r="AM713" s="681"/>
      <c r="AN713" s="681"/>
      <c r="AO713" s="682"/>
      <c r="AP713" s="683" t="s">
        <v>42</v>
      </c>
      <c r="AQ713" s="684"/>
      <c r="AR713" s="684"/>
      <c r="AS713" s="684"/>
      <c r="AT713" s="684"/>
      <c r="AU713" s="684"/>
      <c r="AV713" s="684"/>
      <c r="AW713" s="684"/>
      <c r="AX713" s="684"/>
      <c r="AY713" s="684"/>
      <c r="AZ713" s="684"/>
      <c r="BA713" s="684"/>
      <c r="BB713" s="684"/>
      <c r="BC713" s="684"/>
      <c r="BD713" s="684"/>
      <c r="BE713" s="684"/>
      <c r="BF713" s="684"/>
      <c r="BG713" s="685"/>
      <c r="BH713" s="680" t="s">
        <v>68</v>
      </c>
      <c r="BI713" s="681"/>
      <c r="BJ713" s="681"/>
      <c r="BK713" s="681"/>
      <c r="BL713" s="681"/>
      <c r="BM713" s="681"/>
      <c r="BN713" s="681"/>
      <c r="BO713" s="681"/>
      <c r="BP713" s="681"/>
      <c r="BQ713" s="681"/>
      <c r="BR713" s="682"/>
      <c r="BS713" s="680" t="s">
        <v>31</v>
      </c>
      <c r="BT713" s="681"/>
      <c r="BU713" s="681"/>
      <c r="BV713" s="681"/>
      <c r="BW713" s="681"/>
      <c r="BX713" s="681"/>
      <c r="BY713" s="681"/>
      <c r="BZ713" s="682"/>
      <c r="CA713" s="3"/>
      <c r="CB713" s="3"/>
      <c r="CC713" s="3"/>
      <c r="CD713" s="3"/>
      <c r="CE713" s="100"/>
    </row>
    <row r="714" spans="1:83" x14ac:dyDescent="0.15">
      <c r="A714" s="109"/>
      <c r="B714" s="3"/>
      <c r="C714" s="169"/>
      <c r="D714" s="670">
        <v>2</v>
      </c>
      <c r="E714" s="670"/>
      <c r="F714" s="670"/>
      <c r="G714" s="664" t="s">
        <v>37</v>
      </c>
      <c r="H714" s="665"/>
      <c r="I714" s="665"/>
      <c r="J714" s="665"/>
      <c r="K714" s="665"/>
      <c r="L714" s="665"/>
      <c r="M714" s="665"/>
      <c r="N714" s="665"/>
      <c r="O714" s="665"/>
      <c r="P714" s="665"/>
      <c r="Q714" s="665"/>
      <c r="R714" s="665"/>
      <c r="S714" s="665"/>
      <c r="T714" s="665"/>
      <c r="U714" s="665"/>
      <c r="V714" s="665"/>
      <c r="W714" s="665"/>
      <c r="X714" s="665"/>
      <c r="Y714" s="665"/>
      <c r="Z714" s="665"/>
      <c r="AA714" s="665"/>
      <c r="AB714" s="665"/>
      <c r="AC714" s="665"/>
      <c r="AD714" s="665"/>
      <c r="AE714" s="665"/>
      <c r="AF714" s="665"/>
      <c r="AG714" s="665"/>
      <c r="AH714" s="665"/>
      <c r="AI714" s="665"/>
      <c r="AJ714" s="666"/>
      <c r="AK714" s="680" t="s">
        <v>52</v>
      </c>
      <c r="AL714" s="681"/>
      <c r="AM714" s="681"/>
      <c r="AN714" s="681"/>
      <c r="AO714" s="682"/>
      <c r="AP714" s="683" t="s">
        <v>43</v>
      </c>
      <c r="AQ714" s="684"/>
      <c r="AR714" s="684"/>
      <c r="AS714" s="684"/>
      <c r="AT714" s="684"/>
      <c r="AU714" s="684"/>
      <c r="AV714" s="684"/>
      <c r="AW714" s="684"/>
      <c r="AX714" s="684"/>
      <c r="AY714" s="684"/>
      <c r="AZ714" s="684"/>
      <c r="BA714" s="684"/>
      <c r="BB714" s="684"/>
      <c r="BC714" s="684"/>
      <c r="BD714" s="684"/>
      <c r="BE714" s="684"/>
      <c r="BF714" s="684"/>
      <c r="BG714" s="685"/>
      <c r="BH714" s="680" t="s">
        <v>71</v>
      </c>
      <c r="BI714" s="681"/>
      <c r="BJ714" s="681"/>
      <c r="BK714" s="681"/>
      <c r="BL714" s="681"/>
      <c r="BM714" s="681"/>
      <c r="BN714" s="681"/>
      <c r="BO714" s="681"/>
      <c r="BP714" s="681"/>
      <c r="BQ714" s="681"/>
      <c r="BR714" s="682"/>
      <c r="BS714" s="680" t="s">
        <v>31</v>
      </c>
      <c r="BT714" s="681"/>
      <c r="BU714" s="681"/>
      <c r="BV714" s="681"/>
      <c r="BW714" s="681"/>
      <c r="BX714" s="681"/>
      <c r="BY714" s="681"/>
      <c r="BZ714" s="682"/>
      <c r="CA714" s="3"/>
      <c r="CB714" s="3"/>
      <c r="CC714" s="3"/>
      <c r="CD714" s="3"/>
      <c r="CE714" s="100"/>
    </row>
    <row r="715" spans="1:83" x14ac:dyDescent="0.15">
      <c r="A715" s="109"/>
      <c r="B715" s="3"/>
      <c r="C715" s="169"/>
      <c r="D715" s="670">
        <v>3</v>
      </c>
      <c r="E715" s="670"/>
      <c r="F715" s="670"/>
      <c r="G715" s="664" t="s">
        <v>38</v>
      </c>
      <c r="H715" s="665"/>
      <c r="I715" s="665"/>
      <c r="J715" s="665"/>
      <c r="K715" s="665"/>
      <c r="L715" s="665"/>
      <c r="M715" s="665"/>
      <c r="N715" s="665"/>
      <c r="O715" s="665"/>
      <c r="P715" s="665"/>
      <c r="Q715" s="665"/>
      <c r="R715" s="665"/>
      <c r="S715" s="665"/>
      <c r="T715" s="665"/>
      <c r="U715" s="665"/>
      <c r="V715" s="665"/>
      <c r="W715" s="665"/>
      <c r="X715" s="665"/>
      <c r="Y715" s="665"/>
      <c r="Z715" s="665"/>
      <c r="AA715" s="665"/>
      <c r="AB715" s="665"/>
      <c r="AC715" s="665"/>
      <c r="AD715" s="665"/>
      <c r="AE715" s="665"/>
      <c r="AF715" s="665"/>
      <c r="AG715" s="665"/>
      <c r="AH715" s="665"/>
      <c r="AI715" s="665"/>
      <c r="AJ715" s="666"/>
      <c r="AK715" s="680" t="s">
        <v>52</v>
      </c>
      <c r="AL715" s="681"/>
      <c r="AM715" s="681"/>
      <c r="AN715" s="681"/>
      <c r="AO715" s="682"/>
      <c r="AP715" s="683" t="s">
        <v>41</v>
      </c>
      <c r="AQ715" s="684"/>
      <c r="AR715" s="684"/>
      <c r="AS715" s="684"/>
      <c r="AT715" s="684"/>
      <c r="AU715" s="684"/>
      <c r="AV715" s="684"/>
      <c r="AW715" s="684"/>
      <c r="AX715" s="684"/>
      <c r="AY715" s="684"/>
      <c r="AZ715" s="684"/>
      <c r="BA715" s="684"/>
      <c r="BB715" s="684"/>
      <c r="BC715" s="684"/>
      <c r="BD715" s="684"/>
      <c r="BE715" s="684"/>
      <c r="BF715" s="684"/>
      <c r="BG715" s="685"/>
      <c r="BH715" s="680" t="s">
        <v>71</v>
      </c>
      <c r="BI715" s="681"/>
      <c r="BJ715" s="681"/>
      <c r="BK715" s="681"/>
      <c r="BL715" s="681"/>
      <c r="BM715" s="681"/>
      <c r="BN715" s="681"/>
      <c r="BO715" s="681"/>
      <c r="BP715" s="681"/>
      <c r="BQ715" s="681"/>
      <c r="BR715" s="682"/>
      <c r="BS715" s="661" t="s">
        <v>31</v>
      </c>
      <c r="BT715" s="662"/>
      <c r="BU715" s="662"/>
      <c r="BV715" s="662"/>
      <c r="BW715" s="662"/>
      <c r="BX715" s="662"/>
      <c r="BY715" s="662"/>
      <c r="BZ715" s="663"/>
      <c r="CA715" s="3"/>
      <c r="CB715" s="3"/>
      <c r="CC715" s="3"/>
      <c r="CD715" s="3"/>
      <c r="CE715" s="100"/>
    </row>
    <row r="716" spans="1:83" x14ac:dyDescent="0.15">
      <c r="A716" s="109"/>
      <c r="B716" s="3"/>
      <c r="C716" s="169"/>
      <c r="D716" s="670">
        <v>4</v>
      </c>
      <c r="E716" s="670"/>
      <c r="F716" s="670"/>
      <c r="G716" s="664" t="s">
        <v>39</v>
      </c>
      <c r="H716" s="665"/>
      <c r="I716" s="665"/>
      <c r="J716" s="665"/>
      <c r="K716" s="665"/>
      <c r="L716" s="665"/>
      <c r="M716" s="665"/>
      <c r="N716" s="665"/>
      <c r="O716" s="665"/>
      <c r="P716" s="665"/>
      <c r="Q716" s="665"/>
      <c r="R716" s="665"/>
      <c r="S716" s="665"/>
      <c r="T716" s="665"/>
      <c r="U716" s="665"/>
      <c r="V716" s="665"/>
      <c r="W716" s="665"/>
      <c r="X716" s="665"/>
      <c r="Y716" s="665"/>
      <c r="Z716" s="665"/>
      <c r="AA716" s="665"/>
      <c r="AB716" s="665"/>
      <c r="AC716" s="665"/>
      <c r="AD716" s="665"/>
      <c r="AE716" s="665"/>
      <c r="AF716" s="665"/>
      <c r="AG716" s="665"/>
      <c r="AH716" s="665"/>
      <c r="AI716" s="665"/>
      <c r="AJ716" s="666"/>
      <c r="AK716" s="680" t="s">
        <v>52</v>
      </c>
      <c r="AL716" s="681"/>
      <c r="AM716" s="681"/>
      <c r="AN716" s="681"/>
      <c r="AO716" s="682"/>
      <c r="AP716" s="683" t="s">
        <v>40</v>
      </c>
      <c r="AQ716" s="684"/>
      <c r="AR716" s="684"/>
      <c r="AS716" s="684"/>
      <c r="AT716" s="684"/>
      <c r="AU716" s="684"/>
      <c r="AV716" s="684"/>
      <c r="AW716" s="684"/>
      <c r="AX716" s="684"/>
      <c r="AY716" s="684"/>
      <c r="AZ716" s="684"/>
      <c r="BA716" s="684"/>
      <c r="BB716" s="684"/>
      <c r="BC716" s="684"/>
      <c r="BD716" s="684"/>
      <c r="BE716" s="684"/>
      <c r="BF716" s="684"/>
      <c r="BG716" s="685"/>
      <c r="BH716" s="680" t="s">
        <v>71</v>
      </c>
      <c r="BI716" s="681"/>
      <c r="BJ716" s="681"/>
      <c r="BK716" s="681"/>
      <c r="BL716" s="681"/>
      <c r="BM716" s="681"/>
      <c r="BN716" s="681"/>
      <c r="BO716" s="681"/>
      <c r="BP716" s="681"/>
      <c r="BQ716" s="681"/>
      <c r="BR716" s="682"/>
      <c r="BS716" s="680" t="s">
        <v>31</v>
      </c>
      <c r="BT716" s="681"/>
      <c r="BU716" s="681"/>
      <c r="BV716" s="681"/>
      <c r="BW716" s="681"/>
      <c r="BX716" s="681"/>
      <c r="BY716" s="681"/>
      <c r="BZ716" s="682"/>
      <c r="CA716" s="3"/>
      <c r="CB716" s="3"/>
      <c r="CC716" s="3"/>
      <c r="CD716" s="3"/>
      <c r="CE716" s="100"/>
    </row>
    <row r="717" spans="1:83" ht="13.5" customHeight="1" x14ac:dyDescent="0.15">
      <c r="A717" s="109"/>
      <c r="B717" s="3"/>
      <c r="C717" s="3"/>
      <c r="D717" s="670">
        <v>5</v>
      </c>
      <c r="E717" s="670"/>
      <c r="F717" s="670"/>
      <c r="G717" s="664" t="s">
        <v>54</v>
      </c>
      <c r="H717" s="665"/>
      <c r="I717" s="665"/>
      <c r="J717" s="665"/>
      <c r="K717" s="665"/>
      <c r="L717" s="665"/>
      <c r="M717" s="665"/>
      <c r="N717" s="665"/>
      <c r="O717" s="665"/>
      <c r="P717" s="665"/>
      <c r="Q717" s="665"/>
      <c r="R717" s="665"/>
      <c r="S717" s="665"/>
      <c r="T717" s="665"/>
      <c r="U717" s="665"/>
      <c r="V717" s="665"/>
      <c r="W717" s="665"/>
      <c r="X717" s="665"/>
      <c r="Y717" s="665"/>
      <c r="Z717" s="665"/>
      <c r="AA717" s="665"/>
      <c r="AB717" s="665"/>
      <c r="AC717" s="665"/>
      <c r="AD717" s="665"/>
      <c r="AE717" s="665"/>
      <c r="AF717" s="665"/>
      <c r="AG717" s="665"/>
      <c r="AH717" s="665"/>
      <c r="AI717" s="665"/>
      <c r="AJ717" s="666"/>
      <c r="AK717" s="680" t="s">
        <v>53</v>
      </c>
      <c r="AL717" s="681"/>
      <c r="AM717" s="681"/>
      <c r="AN717" s="681"/>
      <c r="AO717" s="682"/>
      <c r="AP717" s="683" t="s">
        <v>48</v>
      </c>
      <c r="AQ717" s="684"/>
      <c r="AR717" s="684"/>
      <c r="AS717" s="684"/>
      <c r="AT717" s="684"/>
      <c r="AU717" s="684"/>
      <c r="AV717" s="684"/>
      <c r="AW717" s="684"/>
      <c r="AX717" s="684"/>
      <c r="AY717" s="684"/>
      <c r="AZ717" s="684"/>
      <c r="BA717" s="684"/>
      <c r="BB717" s="684"/>
      <c r="BC717" s="684"/>
      <c r="BD717" s="684"/>
      <c r="BE717" s="684"/>
      <c r="BF717" s="684"/>
      <c r="BG717" s="685"/>
      <c r="BH717" s="680" t="s">
        <v>69</v>
      </c>
      <c r="BI717" s="681"/>
      <c r="BJ717" s="681"/>
      <c r="BK717" s="681"/>
      <c r="BL717" s="681"/>
      <c r="BM717" s="681"/>
      <c r="BN717" s="681"/>
      <c r="BO717" s="681"/>
      <c r="BP717" s="681"/>
      <c r="BQ717" s="681"/>
      <c r="BR717" s="682"/>
      <c r="BS717" s="680" t="s">
        <v>50</v>
      </c>
      <c r="BT717" s="681"/>
      <c r="BU717" s="681"/>
      <c r="BV717" s="681"/>
      <c r="BW717" s="681"/>
      <c r="BX717" s="681"/>
      <c r="BY717" s="681"/>
      <c r="BZ717" s="682"/>
      <c r="CB717" s="140"/>
      <c r="CC717" s="140"/>
      <c r="CD717" s="3"/>
      <c r="CE717" s="100"/>
    </row>
    <row r="718" spans="1:83" x14ac:dyDescent="0.15">
      <c r="A718" s="109"/>
      <c r="B718" s="3"/>
      <c r="C718" s="3"/>
      <c r="D718" s="670">
        <v>6</v>
      </c>
      <c r="E718" s="670"/>
      <c r="F718" s="670"/>
      <c r="G718" s="664" t="s">
        <v>55</v>
      </c>
      <c r="H718" s="665"/>
      <c r="I718" s="665"/>
      <c r="J718" s="665"/>
      <c r="K718" s="665"/>
      <c r="L718" s="665"/>
      <c r="M718" s="665"/>
      <c r="N718" s="665"/>
      <c r="O718" s="665"/>
      <c r="P718" s="665"/>
      <c r="Q718" s="665"/>
      <c r="R718" s="665"/>
      <c r="S718" s="665"/>
      <c r="T718" s="665"/>
      <c r="U718" s="665"/>
      <c r="V718" s="665"/>
      <c r="W718" s="665"/>
      <c r="X718" s="665"/>
      <c r="Y718" s="665"/>
      <c r="Z718" s="665"/>
      <c r="AA718" s="665"/>
      <c r="AB718" s="665"/>
      <c r="AC718" s="665"/>
      <c r="AD718" s="665"/>
      <c r="AE718" s="665"/>
      <c r="AF718" s="665"/>
      <c r="AG718" s="665"/>
      <c r="AH718" s="665"/>
      <c r="AI718" s="665"/>
      <c r="AJ718" s="666"/>
      <c r="AK718" s="680" t="s">
        <v>53</v>
      </c>
      <c r="AL718" s="681"/>
      <c r="AM718" s="681"/>
      <c r="AN718" s="681"/>
      <c r="AO718" s="682"/>
      <c r="AP718" s="683" t="s">
        <v>49</v>
      </c>
      <c r="AQ718" s="684"/>
      <c r="AR718" s="684"/>
      <c r="AS718" s="684"/>
      <c r="AT718" s="684"/>
      <c r="AU718" s="684"/>
      <c r="AV718" s="684"/>
      <c r="AW718" s="684"/>
      <c r="AX718" s="684"/>
      <c r="AY718" s="684"/>
      <c r="AZ718" s="684"/>
      <c r="BA718" s="684"/>
      <c r="BB718" s="684"/>
      <c r="BC718" s="684"/>
      <c r="BD718" s="684"/>
      <c r="BE718" s="684"/>
      <c r="BF718" s="684"/>
      <c r="BG718" s="685"/>
      <c r="BH718" s="680" t="s">
        <v>70</v>
      </c>
      <c r="BI718" s="681"/>
      <c r="BJ718" s="681"/>
      <c r="BK718" s="681"/>
      <c r="BL718" s="681"/>
      <c r="BM718" s="681"/>
      <c r="BN718" s="681"/>
      <c r="BO718" s="681"/>
      <c r="BP718" s="681"/>
      <c r="BQ718" s="681"/>
      <c r="BR718" s="682"/>
      <c r="BS718" s="680" t="s">
        <v>50</v>
      </c>
      <c r="BT718" s="681"/>
      <c r="BU718" s="681"/>
      <c r="BV718" s="681"/>
      <c r="BW718" s="681"/>
      <c r="BX718" s="681"/>
      <c r="BY718" s="681"/>
      <c r="BZ718" s="682"/>
      <c r="CB718" s="3"/>
      <c r="CC718" s="3"/>
      <c r="CD718" s="3"/>
      <c r="CE718" s="100"/>
    </row>
    <row r="719" spans="1:83" x14ac:dyDescent="0.15">
      <c r="A719" s="109"/>
      <c r="B719" s="3"/>
      <c r="C719" s="3"/>
      <c r="D719" s="670">
        <v>7</v>
      </c>
      <c r="E719" s="670"/>
      <c r="F719" s="670"/>
      <c r="G719" s="664" t="s">
        <v>56</v>
      </c>
      <c r="H719" s="665"/>
      <c r="I719" s="665"/>
      <c r="J719" s="665"/>
      <c r="K719" s="665"/>
      <c r="L719" s="665"/>
      <c r="M719" s="665"/>
      <c r="N719" s="665"/>
      <c r="O719" s="665"/>
      <c r="P719" s="665"/>
      <c r="Q719" s="665"/>
      <c r="R719" s="665"/>
      <c r="S719" s="665"/>
      <c r="T719" s="665"/>
      <c r="U719" s="665"/>
      <c r="V719" s="665"/>
      <c r="W719" s="665"/>
      <c r="X719" s="665"/>
      <c r="Y719" s="665"/>
      <c r="Z719" s="665"/>
      <c r="AA719" s="665"/>
      <c r="AB719" s="665"/>
      <c r="AC719" s="665"/>
      <c r="AD719" s="665"/>
      <c r="AE719" s="665"/>
      <c r="AF719" s="665"/>
      <c r="AG719" s="665"/>
      <c r="AH719" s="665"/>
      <c r="AI719" s="665"/>
      <c r="AJ719" s="666"/>
      <c r="AK719" s="680" t="s">
        <v>52</v>
      </c>
      <c r="AL719" s="681"/>
      <c r="AM719" s="681"/>
      <c r="AN719" s="681"/>
      <c r="AO719" s="682"/>
      <c r="AP719" s="683" t="s">
        <v>57</v>
      </c>
      <c r="AQ719" s="684"/>
      <c r="AR719" s="684"/>
      <c r="AS719" s="684"/>
      <c r="AT719" s="684"/>
      <c r="AU719" s="684"/>
      <c r="AV719" s="684"/>
      <c r="AW719" s="684"/>
      <c r="AX719" s="684"/>
      <c r="AY719" s="684"/>
      <c r="AZ719" s="684"/>
      <c r="BA719" s="684"/>
      <c r="BB719" s="684"/>
      <c r="BC719" s="684"/>
      <c r="BD719" s="684"/>
      <c r="BE719" s="684"/>
      <c r="BF719" s="684"/>
      <c r="BG719" s="685"/>
      <c r="BH719" s="680" t="s">
        <v>72</v>
      </c>
      <c r="BI719" s="681"/>
      <c r="BJ719" s="681"/>
      <c r="BK719" s="681"/>
      <c r="BL719" s="681"/>
      <c r="BM719" s="681"/>
      <c r="BN719" s="681"/>
      <c r="BO719" s="681"/>
      <c r="BP719" s="681"/>
      <c r="BQ719" s="681"/>
      <c r="BR719" s="682"/>
      <c r="BS719" s="661" t="s">
        <v>31</v>
      </c>
      <c r="BT719" s="662"/>
      <c r="BU719" s="662"/>
      <c r="BV719" s="662"/>
      <c r="BW719" s="662"/>
      <c r="BX719" s="662"/>
      <c r="BY719" s="662"/>
      <c r="BZ719" s="663"/>
      <c r="CB719" s="3"/>
      <c r="CC719" s="3"/>
      <c r="CD719" s="3"/>
      <c r="CE719" s="100"/>
    </row>
    <row r="720" spans="1:83" x14ac:dyDescent="0.15">
      <c r="A720" s="109"/>
      <c r="B720" s="3"/>
      <c r="C720" s="3"/>
      <c r="D720" s="670">
        <v>8</v>
      </c>
      <c r="E720" s="670"/>
      <c r="F720" s="670"/>
      <c r="G720" s="674" t="s">
        <v>881</v>
      </c>
      <c r="H720" s="675"/>
      <c r="I720" s="675"/>
      <c r="J720" s="675"/>
      <c r="K720" s="675"/>
      <c r="L720" s="675"/>
      <c r="M720" s="675"/>
      <c r="N720" s="675"/>
      <c r="O720" s="675"/>
      <c r="P720" s="675"/>
      <c r="Q720" s="675"/>
      <c r="R720" s="675"/>
      <c r="S720" s="675"/>
      <c r="T720" s="675"/>
      <c r="U720" s="675"/>
      <c r="V720" s="675"/>
      <c r="W720" s="675"/>
      <c r="X720" s="675"/>
      <c r="Y720" s="675"/>
      <c r="Z720" s="675"/>
      <c r="AA720" s="675"/>
      <c r="AB720" s="675"/>
      <c r="AC720" s="675"/>
      <c r="AD720" s="675"/>
      <c r="AE720" s="675"/>
      <c r="AF720" s="675"/>
      <c r="AG720" s="675"/>
      <c r="AH720" s="675"/>
      <c r="AI720" s="675"/>
      <c r="AJ720" s="676"/>
      <c r="AK720" s="667" t="s">
        <v>52</v>
      </c>
      <c r="AL720" s="668"/>
      <c r="AM720" s="668"/>
      <c r="AN720" s="668"/>
      <c r="AO720" s="669"/>
      <c r="AP720" s="671" t="s">
        <v>883</v>
      </c>
      <c r="AQ720" s="672"/>
      <c r="AR720" s="672"/>
      <c r="AS720" s="672"/>
      <c r="AT720" s="672"/>
      <c r="AU720" s="672"/>
      <c r="AV720" s="672"/>
      <c r="AW720" s="672"/>
      <c r="AX720" s="672"/>
      <c r="AY720" s="672"/>
      <c r="AZ720" s="672"/>
      <c r="BA720" s="672"/>
      <c r="BB720" s="672"/>
      <c r="BC720" s="672"/>
      <c r="BD720" s="672"/>
      <c r="BE720" s="672"/>
      <c r="BF720" s="672"/>
      <c r="BG720" s="673"/>
      <c r="BH720" s="677" t="s">
        <v>69</v>
      </c>
      <c r="BI720" s="678"/>
      <c r="BJ720" s="678"/>
      <c r="BK720" s="678"/>
      <c r="BL720" s="678"/>
      <c r="BM720" s="678"/>
      <c r="BN720" s="678"/>
      <c r="BO720" s="678"/>
      <c r="BP720" s="678"/>
      <c r="BQ720" s="678"/>
      <c r="BR720" s="679"/>
      <c r="BS720" s="667" t="s">
        <v>31</v>
      </c>
      <c r="BT720" s="668"/>
      <c r="BU720" s="668"/>
      <c r="BV720" s="668"/>
      <c r="BW720" s="668"/>
      <c r="BX720" s="668"/>
      <c r="BY720" s="668"/>
      <c r="BZ720" s="669"/>
      <c r="CB720" s="3"/>
      <c r="CC720" s="3"/>
      <c r="CD720" s="3"/>
      <c r="CE720" s="100"/>
    </row>
    <row r="721" spans="1:83" ht="12" customHeight="1" x14ac:dyDescent="0.15">
      <c r="A721" s="109"/>
      <c r="B721" s="3"/>
      <c r="C721" s="3"/>
      <c r="D721" s="670">
        <v>9</v>
      </c>
      <c r="E721" s="670"/>
      <c r="F721" s="670"/>
      <c r="G721" s="674" t="s">
        <v>884</v>
      </c>
      <c r="H721" s="675"/>
      <c r="I721" s="675"/>
      <c r="J721" s="675"/>
      <c r="K721" s="675"/>
      <c r="L721" s="675"/>
      <c r="M721" s="675"/>
      <c r="N721" s="675"/>
      <c r="O721" s="675"/>
      <c r="P721" s="675"/>
      <c r="Q721" s="675"/>
      <c r="R721" s="675"/>
      <c r="S721" s="675"/>
      <c r="T721" s="675"/>
      <c r="U721" s="675"/>
      <c r="V721" s="675"/>
      <c r="W721" s="675"/>
      <c r="X721" s="675"/>
      <c r="Y721" s="675"/>
      <c r="Z721" s="675"/>
      <c r="AA721" s="675"/>
      <c r="AB721" s="675"/>
      <c r="AC721" s="675"/>
      <c r="AD721" s="675"/>
      <c r="AE721" s="675"/>
      <c r="AF721" s="675"/>
      <c r="AG721" s="675"/>
      <c r="AH721" s="675"/>
      <c r="AI721" s="675"/>
      <c r="AJ721" s="676"/>
      <c r="AK721" s="667" t="s">
        <v>52</v>
      </c>
      <c r="AL721" s="668"/>
      <c r="AM721" s="668"/>
      <c r="AN721" s="668"/>
      <c r="AO721" s="669"/>
      <c r="AP721" s="671" t="s">
        <v>882</v>
      </c>
      <c r="AQ721" s="672"/>
      <c r="AR721" s="672"/>
      <c r="AS721" s="672"/>
      <c r="AT721" s="672"/>
      <c r="AU721" s="672"/>
      <c r="AV721" s="672"/>
      <c r="AW721" s="672"/>
      <c r="AX721" s="672"/>
      <c r="AY721" s="672"/>
      <c r="AZ721" s="672"/>
      <c r="BA721" s="672"/>
      <c r="BB721" s="672"/>
      <c r="BC721" s="672"/>
      <c r="BD721" s="672"/>
      <c r="BE721" s="672"/>
      <c r="BF721" s="672"/>
      <c r="BG721" s="673"/>
      <c r="BH721" s="677" t="s">
        <v>69</v>
      </c>
      <c r="BI721" s="678"/>
      <c r="BJ721" s="678"/>
      <c r="BK721" s="678"/>
      <c r="BL721" s="678"/>
      <c r="BM721" s="678"/>
      <c r="BN721" s="678"/>
      <c r="BO721" s="678"/>
      <c r="BP721" s="678"/>
      <c r="BQ721" s="678"/>
      <c r="BR721" s="679"/>
      <c r="BS721" s="667" t="s">
        <v>31</v>
      </c>
      <c r="BT721" s="668"/>
      <c r="BU721" s="668"/>
      <c r="BV721" s="668"/>
      <c r="BW721" s="668"/>
      <c r="BX721" s="668"/>
      <c r="BY721" s="668"/>
      <c r="BZ721" s="669"/>
      <c r="CB721" s="3"/>
      <c r="CC721" s="3"/>
      <c r="CD721" s="3"/>
      <c r="CE721" s="100"/>
    </row>
    <row r="722" spans="1:83" x14ac:dyDescent="0.15">
      <c r="A722" s="109"/>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B722" s="3"/>
      <c r="CC722" s="3"/>
      <c r="CD722" s="3"/>
      <c r="CE722" s="100"/>
    </row>
    <row r="723" spans="1:83" x14ac:dyDescent="0.15">
      <c r="A723" s="109"/>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B723" s="3"/>
      <c r="CC723" s="3"/>
      <c r="CD723" s="3"/>
      <c r="CE723" s="100"/>
    </row>
    <row r="724" spans="1:83" x14ac:dyDescent="0.15">
      <c r="A724" s="109"/>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B724" s="3"/>
      <c r="CC724" s="3"/>
      <c r="CD724" s="3"/>
      <c r="CE724" s="100"/>
    </row>
    <row r="725" spans="1:83" x14ac:dyDescent="0.15">
      <c r="A725" s="109"/>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B725" s="3"/>
      <c r="CC725" s="3"/>
      <c r="CD725" s="3"/>
      <c r="CE725" s="100"/>
    </row>
    <row r="726" spans="1:83" x14ac:dyDescent="0.15">
      <c r="A726" s="109"/>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B726" s="3"/>
      <c r="CC726" s="3"/>
      <c r="CD726" s="3"/>
      <c r="CE726" s="100"/>
    </row>
    <row r="727" spans="1:83" x14ac:dyDescent="0.15">
      <c r="A727" s="109"/>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B727" s="3"/>
      <c r="CC727" s="3"/>
      <c r="CD727" s="3"/>
      <c r="CE727" s="100"/>
    </row>
    <row r="728" spans="1:83" x14ac:dyDescent="0.15">
      <c r="A728" s="109"/>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B728" s="3"/>
      <c r="CC728" s="3"/>
      <c r="CD728" s="3"/>
      <c r="CE728" s="100"/>
    </row>
    <row r="729" spans="1:83" x14ac:dyDescent="0.15">
      <c r="A729" s="10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B729" s="3"/>
      <c r="CC729" s="3"/>
      <c r="CD729" s="3"/>
      <c r="CE729" s="100"/>
    </row>
    <row r="730" spans="1:83" x14ac:dyDescent="0.15">
      <c r="A730" s="109"/>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B730" s="3"/>
      <c r="CC730" s="3"/>
      <c r="CD730" s="3"/>
      <c r="CE730" s="100"/>
    </row>
    <row r="731" spans="1:83" x14ac:dyDescent="0.15">
      <c r="A731" s="109"/>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B731" s="3"/>
      <c r="CC731" s="3"/>
      <c r="CD731" s="3"/>
      <c r="CE731" s="100"/>
    </row>
    <row r="732" spans="1:83" x14ac:dyDescent="0.15">
      <c r="A732" s="109"/>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B732" s="3"/>
      <c r="CC732" s="3"/>
      <c r="CD732" s="3"/>
      <c r="CE732" s="100"/>
    </row>
    <row r="733" spans="1:83" x14ac:dyDescent="0.15">
      <c r="A733" s="109"/>
      <c r="B733" s="3"/>
      <c r="C733" s="3"/>
      <c r="D733" s="3"/>
      <c r="E733" s="3"/>
      <c r="F733" s="3"/>
      <c r="G733" s="3"/>
      <c r="H733" s="170"/>
      <c r="I733" s="170"/>
      <c r="J733" s="170"/>
      <c r="K733" s="170"/>
      <c r="L733" s="170"/>
      <c r="M733" s="170"/>
      <c r="N733" s="170"/>
      <c r="O733" s="170"/>
      <c r="P733" s="170"/>
      <c r="Q733" s="170"/>
      <c r="R733" s="170"/>
      <c r="S733" s="170"/>
      <c r="T733" s="170"/>
      <c r="U733" s="170"/>
      <c r="V733" s="170"/>
      <c r="W733" s="170"/>
      <c r="X733" s="170"/>
      <c r="Y733" s="170"/>
      <c r="Z733" s="170"/>
      <c r="AA733" s="170"/>
      <c r="AB733" s="170"/>
      <c r="AC733" s="170"/>
      <c r="AD733" s="170"/>
      <c r="AE733" s="170"/>
      <c r="AF733" s="170"/>
      <c r="AG733" s="170"/>
      <c r="AH733" s="170"/>
      <c r="AI733" s="170"/>
      <c r="AJ733" s="170"/>
      <c r="AK733" s="170"/>
      <c r="AL733" s="170"/>
      <c r="AM733" s="170"/>
      <c r="AN733" s="170"/>
      <c r="AO733" s="170"/>
      <c r="AP733" s="170"/>
      <c r="AQ733" s="170"/>
      <c r="AR733" s="170"/>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100"/>
    </row>
    <row r="734" spans="1:83" x14ac:dyDescent="0.15">
      <c r="A734" s="109"/>
      <c r="B734" s="3"/>
      <c r="C734" s="3"/>
      <c r="D734" s="3"/>
      <c r="E734" s="3"/>
      <c r="F734" s="3"/>
      <c r="G734" s="3"/>
      <c r="H734" s="170"/>
      <c r="I734" s="170"/>
      <c r="J734" s="170"/>
      <c r="K734" s="170"/>
      <c r="L734" s="170"/>
      <c r="M734" s="170"/>
      <c r="N734" s="170"/>
      <c r="O734" s="170"/>
      <c r="P734" s="170"/>
      <c r="Q734" s="170"/>
      <c r="R734" s="170"/>
      <c r="S734" s="170"/>
      <c r="T734" s="170"/>
      <c r="U734" s="170"/>
      <c r="V734" s="170"/>
      <c r="W734" s="170"/>
      <c r="X734" s="170"/>
      <c r="Y734" s="170"/>
      <c r="Z734" s="170"/>
      <c r="AA734" s="170"/>
      <c r="AB734" s="170"/>
      <c r="AC734" s="170"/>
      <c r="AD734" s="170"/>
      <c r="AE734" s="170"/>
      <c r="AF734" s="170"/>
      <c r="AG734" s="170"/>
      <c r="AH734" s="170"/>
      <c r="AI734" s="170"/>
      <c r="AJ734" s="170"/>
      <c r="AK734" s="170"/>
      <c r="AL734" s="170"/>
      <c r="AM734" s="170"/>
      <c r="AN734" s="170"/>
      <c r="AO734" s="170"/>
      <c r="AP734" s="170"/>
      <c r="AQ734" s="170"/>
      <c r="AR734" s="170"/>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100"/>
    </row>
    <row r="735" spans="1:83" x14ac:dyDescent="0.15">
      <c r="A735" s="109"/>
      <c r="B735" s="3"/>
      <c r="C735" s="3"/>
      <c r="D735" s="3"/>
      <c r="E735" s="3"/>
      <c r="F735" s="3"/>
      <c r="G735" s="3"/>
      <c r="H735" s="170"/>
      <c r="I735" s="170"/>
      <c r="J735" s="170"/>
      <c r="K735" s="170"/>
      <c r="L735" s="170"/>
      <c r="M735" s="170"/>
      <c r="N735" s="170"/>
      <c r="O735" s="170"/>
      <c r="P735" s="170"/>
      <c r="Q735" s="170"/>
      <c r="R735" s="170"/>
      <c r="S735" s="170"/>
      <c r="T735" s="170"/>
      <c r="U735" s="170"/>
      <c r="V735" s="170"/>
      <c r="W735" s="170"/>
      <c r="X735" s="170"/>
      <c r="Y735" s="170"/>
      <c r="Z735" s="170"/>
      <c r="AA735" s="170"/>
      <c r="AB735" s="170"/>
      <c r="AC735" s="170"/>
      <c r="AD735" s="170"/>
      <c r="AE735" s="170"/>
      <c r="AF735" s="170"/>
      <c r="AG735" s="170"/>
      <c r="AH735" s="170"/>
      <c r="AI735" s="170"/>
      <c r="AJ735" s="170"/>
      <c r="AK735" s="170"/>
      <c r="AL735" s="170"/>
      <c r="AM735" s="170"/>
      <c r="AN735" s="170"/>
      <c r="AO735" s="170"/>
      <c r="AP735" s="170"/>
      <c r="AQ735" s="170"/>
      <c r="AR735" s="170"/>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100"/>
    </row>
    <row r="736" spans="1:83" x14ac:dyDescent="0.15">
      <c r="A736" s="109"/>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100"/>
    </row>
    <row r="737" spans="1:83" ht="12.75" thickBot="1" x14ac:dyDescent="0.2">
      <c r="A737" s="110"/>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c r="AA737" s="103"/>
      <c r="AB737" s="103"/>
      <c r="AC737" s="103"/>
      <c r="AD737" s="103"/>
      <c r="AE737" s="103"/>
      <c r="AF737" s="103"/>
      <c r="AG737" s="103"/>
      <c r="AH737" s="103"/>
      <c r="AI737" s="103"/>
      <c r="AJ737" s="103"/>
      <c r="AK737" s="103"/>
      <c r="AL737" s="103"/>
      <c r="AM737" s="103"/>
      <c r="AN737" s="103"/>
      <c r="AO737" s="103"/>
      <c r="AP737" s="103"/>
      <c r="AQ737" s="103"/>
      <c r="AR737" s="103"/>
      <c r="AS737" s="103"/>
      <c r="AT737" s="103"/>
      <c r="AU737" s="103"/>
      <c r="AV737" s="103"/>
      <c r="AW737" s="103"/>
      <c r="AX737" s="103"/>
      <c r="AY737" s="103"/>
      <c r="AZ737" s="103"/>
      <c r="BA737" s="103"/>
      <c r="BB737" s="103"/>
      <c r="BC737" s="103"/>
      <c r="BD737" s="103"/>
      <c r="BE737" s="103"/>
      <c r="BF737" s="103"/>
      <c r="BG737" s="103"/>
      <c r="BH737" s="103"/>
      <c r="BI737" s="103"/>
      <c r="BJ737" s="103"/>
      <c r="BK737" s="103"/>
      <c r="BL737" s="103"/>
      <c r="BM737" s="103"/>
      <c r="BN737" s="103"/>
      <c r="BO737" s="103"/>
      <c r="BP737" s="103"/>
      <c r="BQ737" s="103"/>
      <c r="BR737" s="103"/>
      <c r="BS737" s="103"/>
      <c r="BT737" s="103"/>
      <c r="BU737" s="103"/>
      <c r="BV737" s="103"/>
      <c r="BW737" s="103"/>
      <c r="BX737" s="103"/>
      <c r="BY737" s="103"/>
      <c r="BZ737" s="103"/>
      <c r="CA737" s="103"/>
      <c r="CB737" s="103"/>
      <c r="CC737" s="103"/>
      <c r="CD737" s="103"/>
      <c r="CE737" s="105"/>
    </row>
  </sheetData>
  <mergeCells count="517">
    <mergeCell ref="F543:H543"/>
    <mergeCell ref="F544:H544"/>
    <mergeCell ref="BE544:BM544"/>
    <mergeCell ref="X544:BD544"/>
    <mergeCell ref="BE543:BM543"/>
    <mergeCell ref="BN535:BV535"/>
    <mergeCell ref="BN536:BV536"/>
    <mergeCell ref="BN537:BV537"/>
    <mergeCell ref="BN538:BV538"/>
    <mergeCell ref="BN539:BV539"/>
    <mergeCell ref="BN540:BV540"/>
    <mergeCell ref="BN541:BV541"/>
    <mergeCell ref="BN542:BV542"/>
    <mergeCell ref="BN543:BV543"/>
    <mergeCell ref="BN544:BV544"/>
    <mergeCell ref="I535:W535"/>
    <mergeCell ref="F535:H535"/>
    <mergeCell ref="F536:H536"/>
    <mergeCell ref="F537:H537"/>
    <mergeCell ref="F538:H538"/>
    <mergeCell ref="F539:H539"/>
    <mergeCell ref="F540:H540"/>
    <mergeCell ref="F541:H541"/>
    <mergeCell ref="F542:H542"/>
    <mergeCell ref="AH355:CD355"/>
    <mergeCell ref="G717:AJ717"/>
    <mergeCell ref="AK719:AO719"/>
    <mergeCell ref="X535:AF535"/>
    <mergeCell ref="X536:AF536"/>
    <mergeCell ref="X537:AF537"/>
    <mergeCell ref="X538:AF538"/>
    <mergeCell ref="X539:AF539"/>
    <mergeCell ref="X540:AF540"/>
    <mergeCell ref="X541:AF541"/>
    <mergeCell ref="X542:AF542"/>
    <mergeCell ref="X543:AF543"/>
    <mergeCell ref="BS718:BZ718"/>
    <mergeCell ref="AP719:BG719"/>
    <mergeCell ref="BH719:BR719"/>
    <mergeCell ref="G716:AJ716"/>
    <mergeCell ref="AK712:AO712"/>
    <mergeCell ref="AK713:AO713"/>
    <mergeCell ref="AK714:AO714"/>
    <mergeCell ref="AK715:AO715"/>
    <mergeCell ref="I355:AG355"/>
    <mergeCell ref="D386:CB386"/>
    <mergeCell ref="D387:H387"/>
    <mergeCell ref="I387:AB387"/>
    <mergeCell ref="D606:E606"/>
    <mergeCell ref="D607:E607"/>
    <mergeCell ref="G713:AJ713"/>
    <mergeCell ref="G712:AJ712"/>
    <mergeCell ref="D719:F719"/>
    <mergeCell ref="D720:F720"/>
    <mergeCell ref="D609:E609"/>
    <mergeCell ref="D614:CD616"/>
    <mergeCell ref="D712:F712"/>
    <mergeCell ref="AP712:BG712"/>
    <mergeCell ref="BH712:BR712"/>
    <mergeCell ref="D714:F714"/>
    <mergeCell ref="AP714:BG714"/>
    <mergeCell ref="BH714:BR714"/>
    <mergeCell ref="G714:AJ714"/>
    <mergeCell ref="G715:AJ715"/>
    <mergeCell ref="BS712:BZ712"/>
    <mergeCell ref="D713:F713"/>
    <mergeCell ref="AP713:BG713"/>
    <mergeCell ref="BH713:BR713"/>
    <mergeCell ref="BS713:BZ713"/>
    <mergeCell ref="BH716:BR716"/>
    <mergeCell ref="AK716:AO716"/>
    <mergeCell ref="AK717:AO717"/>
    <mergeCell ref="AA116:AF116"/>
    <mergeCell ref="AA117:AF117"/>
    <mergeCell ref="AM120:AR120"/>
    <mergeCell ref="AS120:AX120"/>
    <mergeCell ref="AM121:AR121"/>
    <mergeCell ref="AS121:AX121"/>
    <mergeCell ref="BW122:CB122"/>
    <mergeCell ref="D123:F123"/>
    <mergeCell ref="AG123:AL123"/>
    <mergeCell ref="AM123:AR123"/>
    <mergeCell ref="BW123:CB123"/>
    <mergeCell ref="BE123:BJ123"/>
    <mergeCell ref="AY122:BD122"/>
    <mergeCell ref="BE122:BJ122"/>
    <mergeCell ref="AS123:AX123"/>
    <mergeCell ref="BK123:BP123"/>
    <mergeCell ref="AY123:BD123"/>
    <mergeCell ref="AA123:AF123"/>
    <mergeCell ref="BQ123:BV123"/>
    <mergeCell ref="BQ122:BV122"/>
    <mergeCell ref="BQ120:BV120"/>
    <mergeCell ref="D122:F122"/>
    <mergeCell ref="AG122:AL122"/>
    <mergeCell ref="AM122:AR122"/>
    <mergeCell ref="AS122:AX122"/>
    <mergeCell ref="AY120:BD120"/>
    <mergeCell ref="D121:F121"/>
    <mergeCell ref="BK120:BP120"/>
    <mergeCell ref="BW120:CB120"/>
    <mergeCell ref="BQ121:BV121"/>
    <mergeCell ref="BE120:BJ120"/>
    <mergeCell ref="AA120:AF120"/>
    <mergeCell ref="BW121:CB121"/>
    <mergeCell ref="AY121:BD121"/>
    <mergeCell ref="AG120:AL120"/>
    <mergeCell ref="BK121:BP121"/>
    <mergeCell ref="AA122:AF122"/>
    <mergeCell ref="BE121:BJ121"/>
    <mergeCell ref="BK122:BP122"/>
    <mergeCell ref="BW118:CB118"/>
    <mergeCell ref="BQ119:BV119"/>
    <mergeCell ref="AG117:AL117"/>
    <mergeCell ref="AM117:AR117"/>
    <mergeCell ref="AS117:AX117"/>
    <mergeCell ref="AY117:BD117"/>
    <mergeCell ref="D118:F118"/>
    <mergeCell ref="AG118:AL118"/>
    <mergeCell ref="AM118:AR118"/>
    <mergeCell ref="AS118:AX118"/>
    <mergeCell ref="AA118:AF118"/>
    <mergeCell ref="D119:F119"/>
    <mergeCell ref="AG119:AL119"/>
    <mergeCell ref="AM119:AR119"/>
    <mergeCell ref="AS119:AX119"/>
    <mergeCell ref="AA119:AF119"/>
    <mergeCell ref="BE119:BJ119"/>
    <mergeCell ref="BK119:BP119"/>
    <mergeCell ref="BW111:CB111"/>
    <mergeCell ref="BE111:BJ111"/>
    <mergeCell ref="AY110:BD110"/>
    <mergeCell ref="BQ112:BV112"/>
    <mergeCell ref="BW112:CB112"/>
    <mergeCell ref="BQ116:BV116"/>
    <mergeCell ref="BQ113:BV113"/>
    <mergeCell ref="BW113:CB113"/>
    <mergeCell ref="BQ114:BV114"/>
    <mergeCell ref="BW114:CB114"/>
    <mergeCell ref="BK113:BP113"/>
    <mergeCell ref="BW116:CB116"/>
    <mergeCell ref="AY113:BD113"/>
    <mergeCell ref="AY116:BD116"/>
    <mergeCell ref="BK116:BP116"/>
    <mergeCell ref="BQ115:BV115"/>
    <mergeCell ref="BW115:CB115"/>
    <mergeCell ref="BK114:BP114"/>
    <mergeCell ref="AS113:AX113"/>
    <mergeCell ref="BE113:BJ113"/>
    <mergeCell ref="AS114:AX114"/>
    <mergeCell ref="BE115:BJ115"/>
    <mergeCell ref="BK115:BP115"/>
    <mergeCell ref="AY114:BD114"/>
    <mergeCell ref="BE114:BJ114"/>
    <mergeCell ref="AY115:BD115"/>
    <mergeCell ref="D107:CB107"/>
    <mergeCell ref="AS115:AX115"/>
    <mergeCell ref="AG113:AL113"/>
    <mergeCell ref="AG112:AL112"/>
    <mergeCell ref="D112:F112"/>
    <mergeCell ref="D113:F113"/>
    <mergeCell ref="D114:F114"/>
    <mergeCell ref="AM114:AR114"/>
    <mergeCell ref="AA112:AF112"/>
    <mergeCell ref="AM112:AR112"/>
    <mergeCell ref="AM113:AR113"/>
    <mergeCell ref="AA114:AF114"/>
    <mergeCell ref="AA115:AF115"/>
    <mergeCell ref="AY112:BD112"/>
    <mergeCell ref="BE112:BJ112"/>
    <mergeCell ref="BK112:BP112"/>
    <mergeCell ref="D95:H96"/>
    <mergeCell ref="D93:H94"/>
    <mergeCell ref="D46:F46"/>
    <mergeCell ref="AH97:CB98"/>
    <mergeCell ref="D91:H92"/>
    <mergeCell ref="AG108:CB108"/>
    <mergeCell ref="AA110:AF110"/>
    <mergeCell ref="AA111:AF111"/>
    <mergeCell ref="BK110:BP110"/>
    <mergeCell ref="BK111:BP111"/>
    <mergeCell ref="BQ109:BV109"/>
    <mergeCell ref="BW109:CB109"/>
    <mergeCell ref="AY111:BD111"/>
    <mergeCell ref="BQ111:BV111"/>
    <mergeCell ref="BQ110:BV110"/>
    <mergeCell ref="BW110:CB110"/>
    <mergeCell ref="D109:F109"/>
    <mergeCell ref="D110:F110"/>
    <mergeCell ref="AM109:AR109"/>
    <mergeCell ref="AM111:AR111"/>
    <mergeCell ref="AS111:AX111"/>
    <mergeCell ref="AG109:AL109"/>
    <mergeCell ref="D111:F111"/>
    <mergeCell ref="AG110:AL110"/>
    <mergeCell ref="D89:H90"/>
    <mergeCell ref="I89:AG90"/>
    <mergeCell ref="D40:F40"/>
    <mergeCell ref="D51:F52"/>
    <mergeCell ref="G51:M52"/>
    <mergeCell ref="I88:AG88"/>
    <mergeCell ref="AF51:CB52"/>
    <mergeCell ref="AH89:CB90"/>
    <mergeCell ref="N51:Q52"/>
    <mergeCell ref="R51:X52"/>
    <mergeCell ref="Y51:AE52"/>
    <mergeCell ref="D88:H88"/>
    <mergeCell ref="D41:F41"/>
    <mergeCell ref="D42:F42"/>
    <mergeCell ref="D43:F43"/>
    <mergeCell ref="D44:F44"/>
    <mergeCell ref="D45:F45"/>
    <mergeCell ref="I245:AG251"/>
    <mergeCell ref="AM115:AR115"/>
    <mergeCell ref="AM116:AR116"/>
    <mergeCell ref="D116:F116"/>
    <mergeCell ref="AH221:CB221"/>
    <mergeCell ref="D128:F128"/>
    <mergeCell ref="I206:AG206"/>
    <mergeCell ref="AS116:AX116"/>
    <mergeCell ref="BE116:BJ116"/>
    <mergeCell ref="D117:F117"/>
    <mergeCell ref="D130:F130"/>
    <mergeCell ref="D206:H206"/>
    <mergeCell ref="D171:F202"/>
    <mergeCell ref="D115:F115"/>
    <mergeCell ref="AY118:BD118"/>
    <mergeCell ref="BE118:BJ118"/>
    <mergeCell ref="BE117:BJ117"/>
    <mergeCell ref="BK117:BP117"/>
    <mergeCell ref="BQ117:BV117"/>
    <mergeCell ref="BW117:CB117"/>
    <mergeCell ref="BW119:CB119"/>
    <mergeCell ref="BK118:BP118"/>
    <mergeCell ref="BQ118:BV118"/>
    <mergeCell ref="AY119:BD119"/>
    <mergeCell ref="AH254:CB255"/>
    <mergeCell ref="AH88:CB88"/>
    <mergeCell ref="D218:H220"/>
    <mergeCell ref="I218:AG220"/>
    <mergeCell ref="AH218:CB220"/>
    <mergeCell ref="D205:CB205"/>
    <mergeCell ref="I95:AG96"/>
    <mergeCell ref="AM110:AR110"/>
    <mergeCell ref="I91:AG92"/>
    <mergeCell ref="BE109:BJ109"/>
    <mergeCell ref="AS110:AX110"/>
    <mergeCell ref="I93:AG94"/>
    <mergeCell ref="AH93:CB94"/>
    <mergeCell ref="I97:AG98"/>
    <mergeCell ref="I99:AG100"/>
    <mergeCell ref="AS109:AX109"/>
    <mergeCell ref="AH95:CB96"/>
    <mergeCell ref="BE110:BJ110"/>
    <mergeCell ref="BK109:BP109"/>
    <mergeCell ref="AH103:CB105"/>
    <mergeCell ref="AH91:CB92"/>
    <mergeCell ref="D244:H244"/>
    <mergeCell ref="G169:M170"/>
    <mergeCell ref="AH99:CB100"/>
    <mergeCell ref="D461:E461"/>
    <mergeCell ref="D349:CB349"/>
    <mergeCell ref="AH207:CB216"/>
    <mergeCell ref="I217:AG217"/>
    <mergeCell ref="AH217:CB217"/>
    <mergeCell ref="AH252:CB252"/>
    <mergeCell ref="AH245:CB251"/>
    <mergeCell ref="D252:H252"/>
    <mergeCell ref="I252:AG252"/>
    <mergeCell ref="AH253:CB253"/>
    <mergeCell ref="D243:CB243"/>
    <mergeCell ref="D312:H312"/>
    <mergeCell ref="D313:H313"/>
    <mergeCell ref="D308:CB308"/>
    <mergeCell ref="S253:AG253"/>
    <mergeCell ref="D309:H309"/>
    <mergeCell ref="D310:H310"/>
    <mergeCell ref="D311:H311"/>
    <mergeCell ref="D217:H217"/>
    <mergeCell ref="D354:H354"/>
    <mergeCell ref="I354:AG354"/>
    <mergeCell ref="I351:AG351"/>
    <mergeCell ref="D450:E450"/>
    <mergeCell ref="D355:H355"/>
    <mergeCell ref="I244:AG244"/>
    <mergeCell ref="AH244:CB244"/>
    <mergeCell ref="D87:CB87"/>
    <mergeCell ref="AF169:CB170"/>
    <mergeCell ref="I207:AG216"/>
    <mergeCell ref="D97:H98"/>
    <mergeCell ref="S221:AG221"/>
    <mergeCell ref="D120:F120"/>
    <mergeCell ref="AO5:AR5"/>
    <mergeCell ref="AE17:CB18"/>
    <mergeCell ref="D19:F24"/>
    <mergeCell ref="M17:AD18"/>
    <mergeCell ref="AE19:CB24"/>
    <mergeCell ref="D53:F84"/>
    <mergeCell ref="AY109:BD109"/>
    <mergeCell ref="D25:F28"/>
    <mergeCell ref="G25:L28"/>
    <mergeCell ref="D17:F18"/>
    <mergeCell ref="G17:L18"/>
    <mergeCell ref="G19:L24"/>
    <mergeCell ref="D29:F33"/>
    <mergeCell ref="G29:L33"/>
    <mergeCell ref="M29:AD33"/>
    <mergeCell ref="D39:F39"/>
    <mergeCell ref="A1:CE1"/>
    <mergeCell ref="A3:H3"/>
    <mergeCell ref="I3:AC3"/>
    <mergeCell ref="AD3:AL3"/>
    <mergeCell ref="AM3:BQ3"/>
    <mergeCell ref="CA3:CE5"/>
    <mergeCell ref="AZ5:BC5"/>
    <mergeCell ref="BY3:BZ5"/>
    <mergeCell ref="AH5:AN5"/>
    <mergeCell ref="AD5:AG5"/>
    <mergeCell ref="BK5:BM5"/>
    <mergeCell ref="BR3:BS5"/>
    <mergeCell ref="AD4:AL4"/>
    <mergeCell ref="AS5:AY5"/>
    <mergeCell ref="BN5:BQ5"/>
    <mergeCell ref="I4:AC5"/>
    <mergeCell ref="A4:H5"/>
    <mergeCell ref="BD5:BJ5"/>
    <mergeCell ref="AM4:BQ4"/>
    <mergeCell ref="BT3:BX5"/>
    <mergeCell ref="M19:AD24"/>
    <mergeCell ref="M25:AD28"/>
    <mergeCell ref="AA113:AF113"/>
    <mergeCell ref="AS112:AX112"/>
    <mergeCell ref="D221:H225"/>
    <mergeCell ref="AG114:AL114"/>
    <mergeCell ref="AG115:AL115"/>
    <mergeCell ref="AG116:AL116"/>
    <mergeCell ref="AA121:AF121"/>
    <mergeCell ref="AH222:CB225"/>
    <mergeCell ref="AG121:AL121"/>
    <mergeCell ref="D127:CB127"/>
    <mergeCell ref="D34:F36"/>
    <mergeCell ref="G34:L36"/>
    <mergeCell ref="M34:AD36"/>
    <mergeCell ref="AE34:CB36"/>
    <mergeCell ref="AE29:CB33"/>
    <mergeCell ref="AE25:CB28"/>
    <mergeCell ref="D99:H100"/>
    <mergeCell ref="Y169:AE170"/>
    <mergeCell ref="AH206:CB206"/>
    <mergeCell ref="R169:X170"/>
    <mergeCell ref="N169:Q170"/>
    <mergeCell ref="D169:F170"/>
    <mergeCell ref="AC387:CB387"/>
    <mergeCell ref="D473:E473"/>
    <mergeCell ref="D472:E472"/>
    <mergeCell ref="I356:AG356"/>
    <mergeCell ref="AH356:CD356"/>
    <mergeCell ref="D457:E457"/>
    <mergeCell ref="D463:E463"/>
    <mergeCell ref="D452:E452"/>
    <mergeCell ref="D453:E453"/>
    <mergeCell ref="D356:H356"/>
    <mergeCell ref="D451:E451"/>
    <mergeCell ref="D467:E467"/>
    <mergeCell ref="D464:E464"/>
    <mergeCell ref="D458:E458"/>
    <mergeCell ref="D462:E462"/>
    <mergeCell ref="AC388:CB388"/>
    <mergeCell ref="D389:H389"/>
    <mergeCell ref="I389:AB389"/>
    <mergeCell ref="AC389:CB389"/>
    <mergeCell ref="D390:H390"/>
    <mergeCell ref="I390:AB390"/>
    <mergeCell ref="AC390:CB390"/>
    <mergeCell ref="D391:H391"/>
    <mergeCell ref="I391:AB391"/>
    <mergeCell ref="D353:H353"/>
    <mergeCell ref="D129:F129"/>
    <mergeCell ref="AG111:AL111"/>
    <mergeCell ref="D471:E471"/>
    <mergeCell ref="F470:Q470"/>
    <mergeCell ref="F472:Q472"/>
    <mergeCell ref="P559:CD562"/>
    <mergeCell ref="I309:AB309"/>
    <mergeCell ref="I310:AB310"/>
    <mergeCell ref="AC309:CB309"/>
    <mergeCell ref="AC310:CB310"/>
    <mergeCell ref="AC498:CD501"/>
    <mergeCell ref="D465:E465"/>
    <mergeCell ref="AC311:CB311"/>
    <mergeCell ref="I311:AB311"/>
    <mergeCell ref="D460:E460"/>
    <mergeCell ref="D455:E455"/>
    <mergeCell ref="D466:E466"/>
    <mergeCell ref="AH350:CD350"/>
    <mergeCell ref="AH351:CD351"/>
    <mergeCell ref="I353:AG353"/>
    <mergeCell ref="D350:H350"/>
    <mergeCell ref="D315:H315"/>
    <mergeCell ref="D314:H314"/>
    <mergeCell ref="BS714:BZ714"/>
    <mergeCell ref="D715:F715"/>
    <mergeCell ref="AP715:BG715"/>
    <mergeCell ref="BH715:BR715"/>
    <mergeCell ref="BS715:BZ715"/>
    <mergeCell ref="D718:F718"/>
    <mergeCell ref="AP718:BG718"/>
    <mergeCell ref="BH718:BR718"/>
    <mergeCell ref="G718:AJ718"/>
    <mergeCell ref="AK718:AO718"/>
    <mergeCell ref="BS716:BZ716"/>
    <mergeCell ref="D717:F717"/>
    <mergeCell ref="AP717:BG717"/>
    <mergeCell ref="BH717:BR717"/>
    <mergeCell ref="BS717:BZ717"/>
    <mergeCell ref="D716:F716"/>
    <mergeCell ref="AP716:BG716"/>
    <mergeCell ref="BS719:BZ719"/>
    <mergeCell ref="G719:AJ719"/>
    <mergeCell ref="BS720:BZ720"/>
    <mergeCell ref="D721:F721"/>
    <mergeCell ref="AP721:BG721"/>
    <mergeCell ref="BS721:BZ721"/>
    <mergeCell ref="AP720:BG720"/>
    <mergeCell ref="AK720:AO720"/>
    <mergeCell ref="AK721:AO721"/>
    <mergeCell ref="G721:AJ721"/>
    <mergeCell ref="G720:AJ720"/>
    <mergeCell ref="BH720:BR720"/>
    <mergeCell ref="BH721:BR721"/>
    <mergeCell ref="D621:E621"/>
    <mergeCell ref="D555:CD556"/>
    <mergeCell ref="D468:E468"/>
    <mergeCell ref="AE465:CD465"/>
    <mergeCell ref="D620:E620"/>
    <mergeCell ref="D470:E470"/>
    <mergeCell ref="AC487:CD490"/>
    <mergeCell ref="AC491:CD494"/>
    <mergeCell ref="AC495:CD497"/>
    <mergeCell ref="D573:J575"/>
    <mergeCell ref="AG535:BD535"/>
    <mergeCell ref="BE535:BM535"/>
    <mergeCell ref="BE536:BM536"/>
    <mergeCell ref="BE537:BM537"/>
    <mergeCell ref="BE538:BM538"/>
    <mergeCell ref="P563:CD565"/>
    <mergeCell ref="D474:E474"/>
    <mergeCell ref="D591:CD595"/>
    <mergeCell ref="D599:E599"/>
    <mergeCell ref="D600:E600"/>
    <mergeCell ref="D608:E608"/>
    <mergeCell ref="D601:E601"/>
    <mergeCell ref="P573:CD575"/>
    <mergeCell ref="D602:E602"/>
    <mergeCell ref="D351:H351"/>
    <mergeCell ref="D352:H352"/>
    <mergeCell ref="I352:AG352"/>
    <mergeCell ref="D317:H317"/>
    <mergeCell ref="I350:AG350"/>
    <mergeCell ref="AC312:CB312"/>
    <mergeCell ref="AC313:CB313"/>
    <mergeCell ref="I312:AB312"/>
    <mergeCell ref="I313:AB313"/>
    <mergeCell ref="AC314:CB317"/>
    <mergeCell ref="I314:AB317"/>
    <mergeCell ref="AH354:CD354"/>
    <mergeCell ref="AH352:CD352"/>
    <mergeCell ref="AH353:CD353"/>
    <mergeCell ref="BE539:BM539"/>
    <mergeCell ref="BE540:BM540"/>
    <mergeCell ref="BE541:BM541"/>
    <mergeCell ref="BE542:BM542"/>
    <mergeCell ref="D101:H102"/>
    <mergeCell ref="I101:AG102"/>
    <mergeCell ref="AH101:CB102"/>
    <mergeCell ref="D103:H105"/>
    <mergeCell ref="I103:AG105"/>
    <mergeCell ref="D131:F131"/>
    <mergeCell ref="D226:H228"/>
    <mergeCell ref="I226:AG228"/>
    <mergeCell ref="AH226:CB228"/>
    <mergeCell ref="D256:H256"/>
    <mergeCell ref="I256:AG256"/>
    <mergeCell ref="AH256:CB256"/>
    <mergeCell ref="D207:H216"/>
    <mergeCell ref="D245:H251"/>
    <mergeCell ref="D253:H255"/>
    <mergeCell ref="D388:H388"/>
    <mergeCell ref="I388:AB388"/>
    <mergeCell ref="AC391:CB391"/>
    <mergeCell ref="D392:H392"/>
    <mergeCell ref="I392:AB395"/>
    <mergeCell ref="AC392:CB395"/>
    <mergeCell ref="D393:H393"/>
    <mergeCell ref="D395:H395"/>
    <mergeCell ref="D427:CB427"/>
    <mergeCell ref="D428:H428"/>
    <mergeCell ref="I428:AG428"/>
    <mergeCell ref="AH428:CD428"/>
    <mergeCell ref="D429:H429"/>
    <mergeCell ref="I429:AG429"/>
    <mergeCell ref="AH429:CD429"/>
    <mergeCell ref="D430:H430"/>
    <mergeCell ref="I430:AG430"/>
    <mergeCell ref="AH430:CD430"/>
    <mergeCell ref="D431:H431"/>
    <mergeCell ref="I431:AG431"/>
    <mergeCell ref="AH431:CD431"/>
    <mergeCell ref="D434:H434"/>
    <mergeCell ref="I434:AG434"/>
    <mergeCell ref="AH434:CD434"/>
    <mergeCell ref="D432:H432"/>
    <mergeCell ref="I432:AG432"/>
    <mergeCell ref="AH432:CD432"/>
    <mergeCell ref="D433:H433"/>
    <mergeCell ref="I433:AG433"/>
    <mergeCell ref="AH433:CD433"/>
  </mergeCells>
  <phoneticPr fontId="5"/>
  <pageMargins left="0.59055118110236227" right="0.59055118110236227" top="0.59055118110236227" bottom="0" header="0.43307086614173229" footer="0"/>
  <pageSetup paperSize="9" fitToHeight="0" orientation="landscape" r:id="rId1"/>
  <headerFooter alignWithMargins="0">
    <oddHeader>&amp;R
（&amp;P　／　&amp;N）　　　　　　　　　</oddHeader>
    <oddFooter>&amp;L&amp;9Copyright c 2014 The Japan Research Institute, Limited.</oddFooter>
  </headerFooter>
  <rowBreaks count="18" manualBreakCount="18">
    <brk id="46" max="16383" man="1"/>
    <brk id="85" max="16383" man="1"/>
    <brk id="125" max="82" man="1"/>
    <brk id="164" max="82" man="1"/>
    <brk id="203" max="16383" man="1"/>
    <brk id="241" max="82" man="1"/>
    <brk id="280" max="82" man="1"/>
    <brk id="319" max="82" man="1"/>
    <brk id="358" max="82" man="1"/>
    <brk id="397" max="82" man="1"/>
    <brk id="436" max="16383" man="1"/>
    <brk id="474" max="82" man="1"/>
    <brk id="513" max="82" man="1"/>
    <brk id="552" max="16383" man="1"/>
    <brk id="588" max="82" man="1"/>
    <brk id="625" max="82" man="1"/>
    <brk id="664" max="16383" man="1"/>
    <brk id="702" max="8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CH589"/>
  <sheetViews>
    <sheetView showGridLines="0" view="pageBreakPreview" zoomScaleNormal="85" zoomScaleSheetLayoutView="100" workbookViewId="0">
      <selection activeCell="AV11" sqref="AV11"/>
    </sheetView>
  </sheetViews>
  <sheetFormatPr defaultColWidth="1.625" defaultRowHeight="12" x14ac:dyDescent="0.15"/>
  <cols>
    <col min="1" max="82" width="1.625" style="2"/>
    <col min="83" max="83" width="1.625" style="2" customWidth="1"/>
    <col min="84" max="16384" width="1.625" style="2"/>
  </cols>
  <sheetData>
    <row r="1" spans="1:86" s="1" customFormat="1" ht="18" customHeight="1" x14ac:dyDescent="0.15">
      <c r="A1" s="735" t="s">
        <v>793</v>
      </c>
      <c r="B1" s="735"/>
      <c r="C1" s="735"/>
      <c r="D1" s="735"/>
      <c r="E1" s="735"/>
      <c r="F1" s="735"/>
      <c r="G1" s="735"/>
      <c r="H1" s="735"/>
      <c r="I1" s="735"/>
      <c r="J1" s="735"/>
      <c r="K1" s="735"/>
      <c r="L1" s="735"/>
      <c r="M1" s="735"/>
      <c r="N1" s="735"/>
      <c r="O1" s="735"/>
      <c r="P1" s="735"/>
      <c r="Q1" s="735"/>
      <c r="R1" s="735"/>
      <c r="S1" s="735"/>
      <c r="T1" s="735"/>
      <c r="U1" s="735"/>
      <c r="V1" s="735"/>
      <c r="W1" s="735"/>
      <c r="X1" s="735"/>
      <c r="Y1" s="735"/>
      <c r="Z1" s="735"/>
      <c r="AA1" s="735"/>
      <c r="AB1" s="735"/>
      <c r="AC1" s="735"/>
      <c r="AD1" s="735"/>
      <c r="AE1" s="735"/>
      <c r="AF1" s="735"/>
      <c r="AG1" s="735"/>
      <c r="AH1" s="735"/>
      <c r="AI1" s="735"/>
      <c r="AJ1" s="735"/>
      <c r="AK1" s="735"/>
      <c r="AL1" s="735"/>
      <c r="AM1" s="735"/>
      <c r="AN1" s="735"/>
      <c r="AO1" s="735"/>
      <c r="AP1" s="735"/>
      <c r="AQ1" s="735"/>
      <c r="AR1" s="735"/>
      <c r="AS1" s="735"/>
      <c r="AT1" s="735"/>
      <c r="AU1" s="735"/>
      <c r="AV1" s="735"/>
      <c r="AW1" s="735"/>
      <c r="AX1" s="735"/>
      <c r="AY1" s="735"/>
      <c r="AZ1" s="735"/>
      <c r="BA1" s="735"/>
      <c r="BB1" s="735"/>
      <c r="BC1" s="735"/>
      <c r="BD1" s="735"/>
      <c r="BE1" s="735"/>
      <c r="BF1" s="735"/>
      <c r="BG1" s="735"/>
      <c r="BH1" s="735"/>
      <c r="BI1" s="735"/>
      <c r="BJ1" s="735"/>
      <c r="BK1" s="735"/>
      <c r="BL1" s="735"/>
      <c r="BM1" s="735"/>
      <c r="BN1" s="735"/>
      <c r="BO1" s="735"/>
      <c r="BP1" s="735"/>
      <c r="BQ1" s="735"/>
      <c r="BR1" s="735"/>
      <c r="BS1" s="735"/>
      <c r="BT1" s="735"/>
      <c r="BU1" s="735"/>
      <c r="BV1" s="735"/>
      <c r="BW1" s="735"/>
      <c r="BX1" s="735"/>
      <c r="BY1" s="735"/>
      <c r="BZ1" s="735"/>
      <c r="CA1" s="735"/>
      <c r="CB1" s="735"/>
      <c r="CC1" s="735"/>
      <c r="CD1" s="735"/>
      <c r="CE1" s="735"/>
    </row>
    <row r="2" spans="1:86" ht="4.5" customHeight="1" x14ac:dyDescent="0.15">
      <c r="BN2" s="3"/>
      <c r="BO2" s="3"/>
      <c r="BP2" s="3"/>
      <c r="BQ2" s="3"/>
      <c r="BR2" s="3"/>
      <c r="BS2" s="3"/>
      <c r="BT2" s="3"/>
      <c r="BU2" s="3"/>
      <c r="BV2" s="3"/>
    </row>
    <row r="3" spans="1:86" ht="12.95" customHeight="1" x14ac:dyDescent="0.15">
      <c r="A3" s="440" t="s">
        <v>78</v>
      </c>
      <c r="B3" s="441"/>
      <c r="C3" s="441"/>
      <c r="D3" s="441"/>
      <c r="E3" s="441"/>
      <c r="F3" s="441"/>
      <c r="G3" s="441"/>
      <c r="H3" s="442"/>
      <c r="I3" s="440" t="s">
        <v>193</v>
      </c>
      <c r="J3" s="441"/>
      <c r="K3" s="441"/>
      <c r="L3" s="441"/>
      <c r="M3" s="441"/>
      <c r="N3" s="441"/>
      <c r="O3" s="441"/>
      <c r="P3" s="441"/>
      <c r="Q3" s="441"/>
      <c r="R3" s="441"/>
      <c r="S3" s="441"/>
      <c r="T3" s="441"/>
      <c r="U3" s="441"/>
      <c r="V3" s="441"/>
      <c r="W3" s="441"/>
      <c r="X3" s="441"/>
      <c r="Y3" s="441"/>
      <c r="Z3" s="441"/>
      <c r="AA3" s="441"/>
      <c r="AB3" s="441"/>
      <c r="AC3" s="442"/>
      <c r="AD3" s="440" t="s">
        <v>79</v>
      </c>
      <c r="AE3" s="441"/>
      <c r="AF3" s="441"/>
      <c r="AG3" s="441"/>
      <c r="AH3" s="441"/>
      <c r="AI3" s="441"/>
      <c r="AJ3" s="441"/>
      <c r="AK3" s="441"/>
      <c r="AL3" s="442"/>
      <c r="AM3" s="440" t="s">
        <v>788</v>
      </c>
      <c r="AN3" s="441"/>
      <c r="AO3" s="441"/>
      <c r="AP3" s="441"/>
      <c r="AQ3" s="441"/>
      <c r="AR3" s="441"/>
      <c r="AS3" s="441"/>
      <c r="AT3" s="441"/>
      <c r="AU3" s="441"/>
      <c r="AV3" s="441"/>
      <c r="AW3" s="441"/>
      <c r="AX3" s="441"/>
      <c r="AY3" s="441"/>
      <c r="AZ3" s="441"/>
      <c r="BA3" s="441"/>
      <c r="BB3" s="441"/>
      <c r="BC3" s="441"/>
      <c r="BD3" s="441"/>
      <c r="BE3" s="441"/>
      <c r="BF3" s="441"/>
      <c r="BG3" s="441"/>
      <c r="BH3" s="441"/>
      <c r="BI3" s="441"/>
      <c r="BJ3" s="441"/>
      <c r="BK3" s="441"/>
      <c r="BL3" s="441"/>
      <c r="BM3" s="441"/>
      <c r="BN3" s="441"/>
      <c r="BO3" s="441"/>
      <c r="BP3" s="441"/>
      <c r="BQ3" s="442"/>
      <c r="BR3" s="468" t="s">
        <v>80</v>
      </c>
      <c r="BS3" s="469"/>
      <c r="BT3" s="459" t="s">
        <v>943</v>
      </c>
      <c r="BU3" s="460"/>
      <c r="BV3" s="460"/>
      <c r="BW3" s="460"/>
      <c r="BX3" s="461"/>
      <c r="BY3" s="468" t="s">
        <v>81</v>
      </c>
      <c r="BZ3" s="469"/>
      <c r="CA3" s="459" t="s">
        <v>944</v>
      </c>
      <c r="CB3" s="460"/>
      <c r="CC3" s="460"/>
      <c r="CD3" s="460"/>
      <c r="CE3" s="461"/>
      <c r="CF3" s="3"/>
      <c r="CG3" s="3"/>
    </row>
    <row r="4" spans="1:86" ht="12.95" customHeight="1" x14ac:dyDescent="0.15">
      <c r="A4" s="452" t="s">
        <v>82</v>
      </c>
      <c r="B4" s="453"/>
      <c r="C4" s="453"/>
      <c r="D4" s="453"/>
      <c r="E4" s="453"/>
      <c r="F4" s="453"/>
      <c r="G4" s="453"/>
      <c r="H4" s="454"/>
      <c r="I4" s="434" t="s">
        <v>787</v>
      </c>
      <c r="J4" s="435"/>
      <c r="K4" s="435"/>
      <c r="L4" s="435"/>
      <c r="M4" s="435"/>
      <c r="N4" s="435"/>
      <c r="O4" s="435"/>
      <c r="P4" s="435"/>
      <c r="Q4" s="435"/>
      <c r="R4" s="435"/>
      <c r="S4" s="435"/>
      <c r="T4" s="435"/>
      <c r="U4" s="435"/>
      <c r="V4" s="435"/>
      <c r="W4" s="435"/>
      <c r="X4" s="435"/>
      <c r="Y4" s="435"/>
      <c r="Z4" s="435"/>
      <c r="AA4" s="435"/>
      <c r="AB4" s="435"/>
      <c r="AC4" s="436"/>
      <c r="AD4" s="440" t="s">
        <v>83</v>
      </c>
      <c r="AE4" s="441"/>
      <c r="AF4" s="441"/>
      <c r="AG4" s="441"/>
      <c r="AH4" s="441"/>
      <c r="AI4" s="441"/>
      <c r="AJ4" s="441"/>
      <c r="AK4" s="441"/>
      <c r="AL4" s="442"/>
      <c r="AM4" s="440" t="s">
        <v>441</v>
      </c>
      <c r="AN4" s="441"/>
      <c r="AO4" s="441"/>
      <c r="AP4" s="441"/>
      <c r="AQ4" s="441"/>
      <c r="AR4" s="441"/>
      <c r="AS4" s="441"/>
      <c r="AT4" s="441"/>
      <c r="AU4" s="441"/>
      <c r="AV4" s="441"/>
      <c r="AW4" s="441"/>
      <c r="AX4" s="441"/>
      <c r="AY4" s="441"/>
      <c r="AZ4" s="441"/>
      <c r="BA4" s="441"/>
      <c r="BB4" s="441"/>
      <c r="BC4" s="441"/>
      <c r="BD4" s="441"/>
      <c r="BE4" s="441"/>
      <c r="BF4" s="441"/>
      <c r="BG4" s="441"/>
      <c r="BH4" s="441"/>
      <c r="BI4" s="441"/>
      <c r="BJ4" s="441"/>
      <c r="BK4" s="441"/>
      <c r="BL4" s="441"/>
      <c r="BM4" s="441"/>
      <c r="BN4" s="441"/>
      <c r="BO4" s="441"/>
      <c r="BP4" s="441"/>
      <c r="BQ4" s="442"/>
      <c r="BR4" s="470"/>
      <c r="BS4" s="471"/>
      <c r="BT4" s="462"/>
      <c r="BU4" s="463"/>
      <c r="BV4" s="463"/>
      <c r="BW4" s="463"/>
      <c r="BX4" s="464"/>
      <c r="BY4" s="470"/>
      <c r="BZ4" s="471"/>
      <c r="CA4" s="462"/>
      <c r="CB4" s="463"/>
      <c r="CC4" s="463"/>
      <c r="CD4" s="463"/>
      <c r="CE4" s="464"/>
      <c r="CF4" s="3"/>
      <c r="CG4" s="3"/>
    </row>
    <row r="5" spans="1:86" ht="12.95" customHeight="1" x14ac:dyDescent="0.15">
      <c r="A5" s="455"/>
      <c r="B5" s="456"/>
      <c r="C5" s="456"/>
      <c r="D5" s="456"/>
      <c r="E5" s="456"/>
      <c r="F5" s="456"/>
      <c r="G5" s="456"/>
      <c r="H5" s="457"/>
      <c r="I5" s="437"/>
      <c r="J5" s="438"/>
      <c r="K5" s="438"/>
      <c r="L5" s="438"/>
      <c r="M5" s="438"/>
      <c r="N5" s="438"/>
      <c r="O5" s="438"/>
      <c r="P5" s="438"/>
      <c r="Q5" s="438"/>
      <c r="R5" s="438"/>
      <c r="S5" s="438"/>
      <c r="T5" s="438"/>
      <c r="U5" s="438"/>
      <c r="V5" s="438"/>
      <c r="W5" s="438"/>
      <c r="X5" s="438"/>
      <c r="Y5" s="438"/>
      <c r="Z5" s="438"/>
      <c r="AA5" s="438"/>
      <c r="AB5" s="438"/>
      <c r="AC5" s="439"/>
      <c r="AD5" s="440" t="s">
        <v>84</v>
      </c>
      <c r="AE5" s="441"/>
      <c r="AF5" s="441"/>
      <c r="AG5" s="442"/>
      <c r="AH5" s="443">
        <v>43476</v>
      </c>
      <c r="AI5" s="444"/>
      <c r="AJ5" s="445"/>
      <c r="AK5" s="445"/>
      <c r="AL5" s="445"/>
      <c r="AM5" s="445"/>
      <c r="AN5" s="446"/>
      <c r="AO5" s="440" t="s">
        <v>85</v>
      </c>
      <c r="AP5" s="441"/>
      <c r="AQ5" s="441"/>
      <c r="AR5" s="442"/>
      <c r="AS5" s="443">
        <v>43567</v>
      </c>
      <c r="AT5" s="444"/>
      <c r="AU5" s="445"/>
      <c r="AV5" s="445"/>
      <c r="AW5" s="445"/>
      <c r="AX5" s="445"/>
      <c r="AY5" s="446"/>
      <c r="AZ5" s="451" t="s">
        <v>86</v>
      </c>
      <c r="BA5" s="449"/>
      <c r="BB5" s="449"/>
      <c r="BC5" s="450"/>
      <c r="BD5" s="443">
        <v>43567</v>
      </c>
      <c r="BE5" s="444"/>
      <c r="BF5" s="445"/>
      <c r="BG5" s="445"/>
      <c r="BH5" s="445"/>
      <c r="BI5" s="445"/>
      <c r="BJ5" s="446"/>
      <c r="BK5" s="440" t="s">
        <v>87</v>
      </c>
      <c r="BL5" s="441"/>
      <c r="BM5" s="442"/>
      <c r="BN5" s="489">
        <v>1.3</v>
      </c>
      <c r="BO5" s="490"/>
      <c r="BP5" s="490"/>
      <c r="BQ5" s="491"/>
      <c r="BR5" s="472"/>
      <c r="BS5" s="473"/>
      <c r="BT5" s="465"/>
      <c r="BU5" s="466"/>
      <c r="BV5" s="466"/>
      <c r="BW5" s="466"/>
      <c r="BX5" s="467"/>
      <c r="BY5" s="472"/>
      <c r="BZ5" s="473"/>
      <c r="CA5" s="465"/>
      <c r="CB5" s="466"/>
      <c r="CC5" s="466"/>
      <c r="CD5" s="466"/>
      <c r="CE5" s="467"/>
      <c r="CF5" s="3"/>
      <c r="CG5" s="3"/>
    </row>
    <row r="6" spans="1:86"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6"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s="4" customFormat="1" ht="12" customHeight="1" x14ac:dyDescent="0.15">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5"/>
    </row>
    <row r="9" spans="1:86" s="4" customFormat="1" ht="12" customHeight="1" x14ac:dyDescent="0.15">
      <c r="A9" s="16"/>
      <c r="B9" s="8" t="s">
        <v>88</v>
      </c>
      <c r="C9" s="1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17"/>
      <c r="CD9" s="8"/>
      <c r="CE9" s="18"/>
    </row>
    <row r="10" spans="1:86" s="6" customFormat="1" ht="12" customHeight="1" x14ac:dyDescent="0.15">
      <c r="A10" s="16"/>
      <c r="B10" s="19"/>
      <c r="C10" s="24"/>
      <c r="D10" s="17"/>
      <c r="E10" s="17"/>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19"/>
      <c r="CD10" s="5"/>
      <c r="CE10" s="18"/>
    </row>
    <row r="11" spans="1:86" s="4" customFormat="1" ht="12" customHeight="1" x14ac:dyDescent="0.15">
      <c r="A11" s="16"/>
      <c r="B11" s="5"/>
      <c r="C11" s="17" t="s">
        <v>89</v>
      </c>
      <c r="D11" s="21"/>
      <c r="E11" s="12"/>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10"/>
      <c r="CE11" s="18"/>
    </row>
    <row r="12" spans="1:86" s="4" customFormat="1" ht="12" customHeight="1" x14ac:dyDescent="0.15">
      <c r="A12" s="16"/>
      <c r="B12" s="5"/>
      <c r="C12" s="73"/>
      <c r="D12" s="21" t="s">
        <v>90</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10"/>
      <c r="CE12" s="18"/>
    </row>
    <row r="13" spans="1:86" s="4" customFormat="1" ht="12" customHeight="1" x14ac:dyDescent="0.15">
      <c r="A13" s="16"/>
      <c r="B13" s="5"/>
      <c r="C13" s="21"/>
      <c r="E13" s="73" t="s">
        <v>835</v>
      </c>
      <c r="F13" s="21"/>
      <c r="G13" s="21"/>
      <c r="H13" s="21"/>
      <c r="I13" s="21"/>
      <c r="J13" s="21"/>
      <c r="K13" s="21"/>
      <c r="L13" s="21"/>
      <c r="M13" s="21"/>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0"/>
      <c r="CE13" s="18"/>
    </row>
    <row r="14" spans="1:86" s="4" customFormat="1" ht="12" customHeight="1" x14ac:dyDescent="0.15">
      <c r="A14" s="16"/>
      <c r="B14" s="5"/>
      <c r="C14" s="73"/>
      <c r="D14" s="12"/>
      <c r="E14" s="12"/>
      <c r="F14" s="12"/>
      <c r="G14" s="12"/>
      <c r="H14" s="12"/>
      <c r="I14" s="12"/>
      <c r="J14" s="12"/>
      <c r="K14" s="12"/>
      <c r="L14" s="12"/>
      <c r="M14" s="12"/>
      <c r="N14" s="12"/>
      <c r="O14" s="11"/>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0"/>
      <c r="CE14" s="18"/>
    </row>
    <row r="15" spans="1:86" s="4" customFormat="1" ht="12" customHeight="1" x14ac:dyDescent="0.15">
      <c r="A15" s="16"/>
      <c r="B15" s="5"/>
      <c r="C15" s="73"/>
      <c r="D15" s="22" t="s">
        <v>91</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0"/>
      <c r="CE15" s="18"/>
    </row>
    <row r="16" spans="1:86" s="4" customFormat="1" ht="12" customHeight="1" x14ac:dyDescent="0.15">
      <c r="A16" s="16"/>
      <c r="B16" s="5"/>
      <c r="C16" s="73"/>
      <c r="E16" s="22" t="s">
        <v>836</v>
      </c>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0"/>
      <c r="CE16" s="18"/>
    </row>
    <row r="17" spans="1:84" s="4" customFormat="1" ht="12" customHeight="1" x14ac:dyDescent="0.15">
      <c r="A17" s="16"/>
      <c r="B17" s="5"/>
      <c r="C17" s="73"/>
      <c r="D17" s="752" t="s">
        <v>92</v>
      </c>
      <c r="E17" s="752"/>
      <c r="F17" s="766"/>
      <c r="G17" s="752" t="s">
        <v>391</v>
      </c>
      <c r="H17" s="752"/>
      <c r="I17" s="752"/>
      <c r="J17" s="752"/>
      <c r="K17" s="752"/>
      <c r="L17" s="752"/>
      <c r="M17" s="752" t="s">
        <v>392</v>
      </c>
      <c r="N17" s="752"/>
      <c r="O17" s="752"/>
      <c r="P17" s="752"/>
      <c r="Q17" s="752"/>
      <c r="R17" s="752"/>
      <c r="S17" s="752"/>
      <c r="T17" s="752"/>
      <c r="U17" s="752"/>
      <c r="V17" s="752"/>
      <c r="W17" s="752"/>
      <c r="X17" s="752"/>
      <c r="Y17" s="752"/>
      <c r="Z17" s="752"/>
      <c r="AA17" s="752"/>
      <c r="AB17" s="752"/>
      <c r="AC17" s="752"/>
      <c r="AD17" s="752"/>
      <c r="AE17" s="586" t="s">
        <v>393</v>
      </c>
      <c r="AF17" s="703"/>
      <c r="AG17" s="703"/>
      <c r="AH17" s="703"/>
      <c r="AI17" s="703"/>
      <c r="AJ17" s="703"/>
      <c r="AK17" s="703"/>
      <c r="AL17" s="703"/>
      <c r="AM17" s="703"/>
      <c r="AN17" s="703"/>
      <c r="AO17" s="703"/>
      <c r="AP17" s="703"/>
      <c r="AQ17" s="703"/>
      <c r="AR17" s="703"/>
      <c r="AS17" s="703"/>
      <c r="AT17" s="703"/>
      <c r="AU17" s="703"/>
      <c r="AV17" s="703"/>
      <c r="AW17" s="703"/>
      <c r="AX17" s="703"/>
      <c r="AY17" s="703"/>
      <c r="AZ17" s="703"/>
      <c r="BA17" s="703"/>
      <c r="BB17" s="703"/>
      <c r="BC17" s="703"/>
      <c r="BD17" s="703"/>
      <c r="BE17" s="703"/>
      <c r="BF17" s="703"/>
      <c r="BG17" s="703"/>
      <c r="BH17" s="703"/>
      <c r="BI17" s="703"/>
      <c r="BJ17" s="703"/>
      <c r="BK17" s="703"/>
      <c r="BL17" s="703"/>
      <c r="BM17" s="703"/>
      <c r="BN17" s="703"/>
      <c r="BO17" s="703"/>
      <c r="BP17" s="703"/>
      <c r="BQ17" s="703"/>
      <c r="BR17" s="703"/>
      <c r="BS17" s="703"/>
      <c r="BT17" s="703"/>
      <c r="BU17" s="703"/>
      <c r="BV17" s="703"/>
      <c r="BW17" s="703"/>
      <c r="BX17" s="703"/>
      <c r="BY17" s="703"/>
      <c r="BZ17" s="703"/>
      <c r="CA17" s="703"/>
      <c r="CB17" s="704"/>
      <c r="CC17" s="75"/>
      <c r="CD17" s="58"/>
      <c r="CE17" s="76"/>
      <c r="CF17" s="58"/>
    </row>
    <row r="18" spans="1:84" s="4" customFormat="1" ht="12" customHeight="1" x14ac:dyDescent="0.15">
      <c r="A18" s="16"/>
      <c r="B18" s="5"/>
      <c r="C18" s="73"/>
      <c r="D18" s="752"/>
      <c r="E18" s="752"/>
      <c r="F18" s="766"/>
      <c r="G18" s="752"/>
      <c r="H18" s="752"/>
      <c r="I18" s="752"/>
      <c r="J18" s="752"/>
      <c r="K18" s="752"/>
      <c r="L18" s="752"/>
      <c r="M18" s="752"/>
      <c r="N18" s="752"/>
      <c r="O18" s="752"/>
      <c r="P18" s="752"/>
      <c r="Q18" s="752"/>
      <c r="R18" s="752"/>
      <c r="S18" s="752"/>
      <c r="T18" s="752"/>
      <c r="U18" s="752"/>
      <c r="V18" s="752"/>
      <c r="W18" s="752"/>
      <c r="X18" s="752"/>
      <c r="Y18" s="752"/>
      <c r="Z18" s="752"/>
      <c r="AA18" s="752"/>
      <c r="AB18" s="752"/>
      <c r="AC18" s="752"/>
      <c r="AD18" s="752"/>
      <c r="AE18" s="707"/>
      <c r="AF18" s="708"/>
      <c r="AG18" s="708"/>
      <c r="AH18" s="708"/>
      <c r="AI18" s="708"/>
      <c r="AJ18" s="708"/>
      <c r="AK18" s="708"/>
      <c r="AL18" s="708"/>
      <c r="AM18" s="708"/>
      <c r="AN18" s="708"/>
      <c r="AO18" s="708"/>
      <c r="AP18" s="708"/>
      <c r="AQ18" s="708"/>
      <c r="AR18" s="708"/>
      <c r="AS18" s="708"/>
      <c r="AT18" s="708"/>
      <c r="AU18" s="708"/>
      <c r="AV18" s="708"/>
      <c r="AW18" s="708"/>
      <c r="AX18" s="708"/>
      <c r="AY18" s="708"/>
      <c r="AZ18" s="708"/>
      <c r="BA18" s="708"/>
      <c r="BB18" s="708"/>
      <c r="BC18" s="708"/>
      <c r="BD18" s="708"/>
      <c r="BE18" s="708"/>
      <c r="BF18" s="708"/>
      <c r="BG18" s="708"/>
      <c r="BH18" s="708"/>
      <c r="BI18" s="708"/>
      <c r="BJ18" s="708"/>
      <c r="BK18" s="708"/>
      <c r="BL18" s="708"/>
      <c r="BM18" s="708"/>
      <c r="BN18" s="708"/>
      <c r="BO18" s="708"/>
      <c r="BP18" s="708"/>
      <c r="BQ18" s="708"/>
      <c r="BR18" s="708"/>
      <c r="BS18" s="708"/>
      <c r="BT18" s="708"/>
      <c r="BU18" s="708"/>
      <c r="BV18" s="708"/>
      <c r="BW18" s="708"/>
      <c r="BX18" s="708"/>
      <c r="BY18" s="708"/>
      <c r="BZ18" s="708"/>
      <c r="CA18" s="708"/>
      <c r="CB18" s="709"/>
      <c r="CC18" s="75"/>
      <c r="CD18" s="58"/>
      <c r="CE18" s="76"/>
      <c r="CF18" s="58"/>
    </row>
    <row r="19" spans="1:84" s="4" customFormat="1" ht="12.75" customHeight="1" x14ac:dyDescent="0.15">
      <c r="A19" s="16"/>
      <c r="B19" s="5"/>
      <c r="C19" s="73"/>
      <c r="D19" s="586">
        <v>1</v>
      </c>
      <c r="E19" s="703"/>
      <c r="F19" s="704"/>
      <c r="G19" s="710" t="s">
        <v>394</v>
      </c>
      <c r="H19" s="711"/>
      <c r="I19" s="711"/>
      <c r="J19" s="711"/>
      <c r="K19" s="711"/>
      <c r="L19" s="712"/>
      <c r="M19" s="647" t="s">
        <v>93</v>
      </c>
      <c r="N19" s="648"/>
      <c r="O19" s="648"/>
      <c r="P19" s="648"/>
      <c r="Q19" s="648"/>
      <c r="R19" s="648"/>
      <c r="S19" s="648"/>
      <c r="T19" s="648"/>
      <c r="U19" s="648"/>
      <c r="V19" s="648"/>
      <c r="W19" s="648"/>
      <c r="X19" s="648"/>
      <c r="Y19" s="648"/>
      <c r="Z19" s="648"/>
      <c r="AA19" s="648"/>
      <c r="AB19" s="648"/>
      <c r="AC19" s="648"/>
      <c r="AD19" s="649"/>
      <c r="AE19" s="719" t="s">
        <v>886</v>
      </c>
      <c r="AF19" s="720"/>
      <c r="AG19" s="720"/>
      <c r="AH19" s="720"/>
      <c r="AI19" s="720"/>
      <c r="AJ19" s="720"/>
      <c r="AK19" s="720"/>
      <c r="AL19" s="720"/>
      <c r="AM19" s="720"/>
      <c r="AN19" s="720"/>
      <c r="AO19" s="720"/>
      <c r="AP19" s="720"/>
      <c r="AQ19" s="720"/>
      <c r="AR19" s="720"/>
      <c r="AS19" s="720"/>
      <c r="AT19" s="720"/>
      <c r="AU19" s="720"/>
      <c r="AV19" s="720"/>
      <c r="AW19" s="720"/>
      <c r="AX19" s="720"/>
      <c r="AY19" s="720"/>
      <c r="AZ19" s="720"/>
      <c r="BA19" s="720"/>
      <c r="BB19" s="720"/>
      <c r="BC19" s="720"/>
      <c r="BD19" s="720"/>
      <c r="BE19" s="720"/>
      <c r="BF19" s="720"/>
      <c r="BG19" s="720"/>
      <c r="BH19" s="720"/>
      <c r="BI19" s="720"/>
      <c r="BJ19" s="720"/>
      <c r="BK19" s="720"/>
      <c r="BL19" s="720"/>
      <c r="BM19" s="720"/>
      <c r="BN19" s="720"/>
      <c r="BO19" s="720"/>
      <c r="BP19" s="720"/>
      <c r="BQ19" s="720"/>
      <c r="BR19" s="720"/>
      <c r="BS19" s="720"/>
      <c r="BT19" s="720"/>
      <c r="BU19" s="720"/>
      <c r="BV19" s="720"/>
      <c r="BW19" s="720"/>
      <c r="BX19" s="720"/>
      <c r="BY19" s="720"/>
      <c r="BZ19" s="720"/>
      <c r="CA19" s="720"/>
      <c r="CB19" s="721"/>
      <c r="CC19" s="75"/>
      <c r="CD19" s="58"/>
      <c r="CE19" s="76"/>
      <c r="CF19" s="58"/>
    </row>
    <row r="20" spans="1:84" s="4" customFormat="1" ht="12.75" customHeight="1" x14ac:dyDescent="0.15">
      <c r="A20" s="16"/>
      <c r="B20" s="5"/>
      <c r="C20" s="73"/>
      <c r="D20" s="589"/>
      <c r="E20" s="705"/>
      <c r="F20" s="706"/>
      <c r="G20" s="713"/>
      <c r="H20" s="714"/>
      <c r="I20" s="714"/>
      <c r="J20" s="714"/>
      <c r="K20" s="714"/>
      <c r="L20" s="715"/>
      <c r="M20" s="650"/>
      <c r="N20" s="651"/>
      <c r="O20" s="651"/>
      <c r="P20" s="651"/>
      <c r="Q20" s="651"/>
      <c r="R20" s="651"/>
      <c r="S20" s="651"/>
      <c r="T20" s="651"/>
      <c r="U20" s="651"/>
      <c r="V20" s="651"/>
      <c r="W20" s="651"/>
      <c r="X20" s="651"/>
      <c r="Y20" s="651"/>
      <c r="Z20" s="651"/>
      <c r="AA20" s="651"/>
      <c r="AB20" s="651"/>
      <c r="AC20" s="651"/>
      <c r="AD20" s="652"/>
      <c r="AE20" s="722"/>
      <c r="AF20" s="723"/>
      <c r="AG20" s="723"/>
      <c r="AH20" s="723"/>
      <c r="AI20" s="723"/>
      <c r="AJ20" s="723"/>
      <c r="AK20" s="723"/>
      <c r="AL20" s="723"/>
      <c r="AM20" s="723"/>
      <c r="AN20" s="723"/>
      <c r="AO20" s="723"/>
      <c r="AP20" s="723"/>
      <c r="AQ20" s="723"/>
      <c r="AR20" s="723"/>
      <c r="AS20" s="723"/>
      <c r="AT20" s="723"/>
      <c r="AU20" s="723"/>
      <c r="AV20" s="723"/>
      <c r="AW20" s="723"/>
      <c r="AX20" s="723"/>
      <c r="AY20" s="723"/>
      <c r="AZ20" s="723"/>
      <c r="BA20" s="723"/>
      <c r="BB20" s="723"/>
      <c r="BC20" s="723"/>
      <c r="BD20" s="723"/>
      <c r="BE20" s="723"/>
      <c r="BF20" s="723"/>
      <c r="BG20" s="723"/>
      <c r="BH20" s="723"/>
      <c r="BI20" s="723"/>
      <c r="BJ20" s="723"/>
      <c r="BK20" s="723"/>
      <c r="BL20" s="723"/>
      <c r="BM20" s="723"/>
      <c r="BN20" s="723"/>
      <c r="BO20" s="723"/>
      <c r="BP20" s="723"/>
      <c r="BQ20" s="723"/>
      <c r="BR20" s="723"/>
      <c r="BS20" s="723"/>
      <c r="BT20" s="723"/>
      <c r="BU20" s="723"/>
      <c r="BV20" s="723"/>
      <c r="BW20" s="723"/>
      <c r="BX20" s="723"/>
      <c r="BY20" s="723"/>
      <c r="BZ20" s="723"/>
      <c r="CA20" s="723"/>
      <c r="CB20" s="724"/>
      <c r="CC20" s="75"/>
      <c r="CD20" s="58"/>
      <c r="CE20" s="76"/>
      <c r="CF20" s="58"/>
    </row>
    <row r="21" spans="1:84" s="4" customFormat="1" ht="12.75" customHeight="1" x14ac:dyDescent="0.15">
      <c r="A21" s="16"/>
      <c r="B21" s="5"/>
      <c r="C21" s="73"/>
      <c r="D21" s="589"/>
      <c r="E21" s="705"/>
      <c r="F21" s="706"/>
      <c r="G21" s="713"/>
      <c r="H21" s="714"/>
      <c r="I21" s="714"/>
      <c r="J21" s="714"/>
      <c r="K21" s="714"/>
      <c r="L21" s="715"/>
      <c r="M21" s="650"/>
      <c r="N21" s="651"/>
      <c r="O21" s="651"/>
      <c r="P21" s="651"/>
      <c r="Q21" s="651"/>
      <c r="R21" s="651"/>
      <c r="S21" s="651"/>
      <c r="T21" s="651"/>
      <c r="U21" s="651"/>
      <c r="V21" s="651"/>
      <c r="W21" s="651"/>
      <c r="X21" s="651"/>
      <c r="Y21" s="651"/>
      <c r="Z21" s="651"/>
      <c r="AA21" s="651"/>
      <c r="AB21" s="651"/>
      <c r="AC21" s="651"/>
      <c r="AD21" s="652"/>
      <c r="AE21" s="722"/>
      <c r="AF21" s="723"/>
      <c r="AG21" s="723"/>
      <c r="AH21" s="723"/>
      <c r="AI21" s="723"/>
      <c r="AJ21" s="723"/>
      <c r="AK21" s="723"/>
      <c r="AL21" s="723"/>
      <c r="AM21" s="723"/>
      <c r="AN21" s="723"/>
      <c r="AO21" s="723"/>
      <c r="AP21" s="723"/>
      <c r="AQ21" s="723"/>
      <c r="AR21" s="723"/>
      <c r="AS21" s="723"/>
      <c r="AT21" s="723"/>
      <c r="AU21" s="723"/>
      <c r="AV21" s="723"/>
      <c r="AW21" s="723"/>
      <c r="AX21" s="723"/>
      <c r="AY21" s="723"/>
      <c r="AZ21" s="723"/>
      <c r="BA21" s="723"/>
      <c r="BB21" s="723"/>
      <c r="BC21" s="723"/>
      <c r="BD21" s="723"/>
      <c r="BE21" s="723"/>
      <c r="BF21" s="723"/>
      <c r="BG21" s="723"/>
      <c r="BH21" s="723"/>
      <c r="BI21" s="723"/>
      <c r="BJ21" s="723"/>
      <c r="BK21" s="723"/>
      <c r="BL21" s="723"/>
      <c r="BM21" s="723"/>
      <c r="BN21" s="723"/>
      <c r="BO21" s="723"/>
      <c r="BP21" s="723"/>
      <c r="BQ21" s="723"/>
      <c r="BR21" s="723"/>
      <c r="BS21" s="723"/>
      <c r="BT21" s="723"/>
      <c r="BU21" s="723"/>
      <c r="BV21" s="723"/>
      <c r="BW21" s="723"/>
      <c r="BX21" s="723"/>
      <c r="BY21" s="723"/>
      <c r="BZ21" s="723"/>
      <c r="CA21" s="723"/>
      <c r="CB21" s="724"/>
      <c r="CC21" s="75"/>
      <c r="CD21" s="58"/>
      <c r="CE21" s="76"/>
      <c r="CF21" s="58"/>
    </row>
    <row r="22" spans="1:84" s="4" customFormat="1" ht="12.75" customHeight="1" x14ac:dyDescent="0.15">
      <c r="A22" s="16"/>
      <c r="B22" s="5"/>
      <c r="C22" s="73"/>
      <c r="D22" s="589"/>
      <c r="E22" s="705"/>
      <c r="F22" s="706"/>
      <c r="G22" s="713"/>
      <c r="H22" s="714"/>
      <c r="I22" s="714"/>
      <c r="J22" s="714"/>
      <c r="K22" s="714"/>
      <c r="L22" s="715"/>
      <c r="M22" s="650"/>
      <c r="N22" s="651"/>
      <c r="O22" s="651"/>
      <c r="P22" s="651"/>
      <c r="Q22" s="651"/>
      <c r="R22" s="651"/>
      <c r="S22" s="651"/>
      <c r="T22" s="651"/>
      <c r="U22" s="651"/>
      <c r="V22" s="651"/>
      <c r="W22" s="651"/>
      <c r="X22" s="651"/>
      <c r="Y22" s="651"/>
      <c r="Z22" s="651"/>
      <c r="AA22" s="651"/>
      <c r="AB22" s="651"/>
      <c r="AC22" s="651"/>
      <c r="AD22" s="652"/>
      <c r="AE22" s="722"/>
      <c r="AF22" s="723"/>
      <c r="AG22" s="723"/>
      <c r="AH22" s="723"/>
      <c r="AI22" s="723"/>
      <c r="AJ22" s="723"/>
      <c r="AK22" s="723"/>
      <c r="AL22" s="723"/>
      <c r="AM22" s="723"/>
      <c r="AN22" s="723"/>
      <c r="AO22" s="723"/>
      <c r="AP22" s="723"/>
      <c r="AQ22" s="723"/>
      <c r="AR22" s="723"/>
      <c r="AS22" s="723"/>
      <c r="AT22" s="723"/>
      <c r="AU22" s="723"/>
      <c r="AV22" s="723"/>
      <c r="AW22" s="723"/>
      <c r="AX22" s="723"/>
      <c r="AY22" s="723"/>
      <c r="AZ22" s="723"/>
      <c r="BA22" s="723"/>
      <c r="BB22" s="723"/>
      <c r="BC22" s="723"/>
      <c r="BD22" s="723"/>
      <c r="BE22" s="723"/>
      <c r="BF22" s="723"/>
      <c r="BG22" s="723"/>
      <c r="BH22" s="723"/>
      <c r="BI22" s="723"/>
      <c r="BJ22" s="723"/>
      <c r="BK22" s="723"/>
      <c r="BL22" s="723"/>
      <c r="BM22" s="723"/>
      <c r="BN22" s="723"/>
      <c r="BO22" s="723"/>
      <c r="BP22" s="723"/>
      <c r="BQ22" s="723"/>
      <c r="BR22" s="723"/>
      <c r="BS22" s="723"/>
      <c r="BT22" s="723"/>
      <c r="BU22" s="723"/>
      <c r="BV22" s="723"/>
      <c r="BW22" s="723"/>
      <c r="BX22" s="723"/>
      <c r="BY22" s="723"/>
      <c r="BZ22" s="723"/>
      <c r="CA22" s="723"/>
      <c r="CB22" s="724"/>
      <c r="CC22" s="75"/>
      <c r="CD22" s="58"/>
      <c r="CE22" s="76"/>
      <c r="CF22" s="58"/>
    </row>
    <row r="23" spans="1:84" s="4" customFormat="1" ht="12.75" customHeight="1" x14ac:dyDescent="0.15">
      <c r="A23" s="16"/>
      <c r="B23" s="5"/>
      <c r="C23" s="73"/>
      <c r="D23" s="589"/>
      <c r="E23" s="705"/>
      <c r="F23" s="706"/>
      <c r="G23" s="713"/>
      <c r="H23" s="714"/>
      <c r="I23" s="714"/>
      <c r="J23" s="714"/>
      <c r="K23" s="714"/>
      <c r="L23" s="715"/>
      <c r="M23" s="650"/>
      <c r="N23" s="651"/>
      <c r="O23" s="651"/>
      <c r="P23" s="651"/>
      <c r="Q23" s="651"/>
      <c r="R23" s="651"/>
      <c r="S23" s="651"/>
      <c r="T23" s="651"/>
      <c r="U23" s="651"/>
      <c r="V23" s="651"/>
      <c r="W23" s="651"/>
      <c r="X23" s="651"/>
      <c r="Y23" s="651"/>
      <c r="Z23" s="651"/>
      <c r="AA23" s="651"/>
      <c r="AB23" s="651"/>
      <c r="AC23" s="651"/>
      <c r="AD23" s="652"/>
      <c r="AE23" s="722"/>
      <c r="AF23" s="723"/>
      <c r="AG23" s="723"/>
      <c r="AH23" s="723"/>
      <c r="AI23" s="723"/>
      <c r="AJ23" s="723"/>
      <c r="AK23" s="723"/>
      <c r="AL23" s="723"/>
      <c r="AM23" s="723"/>
      <c r="AN23" s="723"/>
      <c r="AO23" s="723"/>
      <c r="AP23" s="723"/>
      <c r="AQ23" s="723"/>
      <c r="AR23" s="723"/>
      <c r="AS23" s="723"/>
      <c r="AT23" s="723"/>
      <c r="AU23" s="723"/>
      <c r="AV23" s="723"/>
      <c r="AW23" s="723"/>
      <c r="AX23" s="723"/>
      <c r="AY23" s="723"/>
      <c r="AZ23" s="723"/>
      <c r="BA23" s="723"/>
      <c r="BB23" s="723"/>
      <c r="BC23" s="723"/>
      <c r="BD23" s="723"/>
      <c r="BE23" s="723"/>
      <c r="BF23" s="723"/>
      <c r="BG23" s="723"/>
      <c r="BH23" s="723"/>
      <c r="BI23" s="723"/>
      <c r="BJ23" s="723"/>
      <c r="BK23" s="723"/>
      <c r="BL23" s="723"/>
      <c r="BM23" s="723"/>
      <c r="BN23" s="723"/>
      <c r="BO23" s="723"/>
      <c r="BP23" s="723"/>
      <c r="BQ23" s="723"/>
      <c r="BR23" s="723"/>
      <c r="BS23" s="723"/>
      <c r="BT23" s="723"/>
      <c r="BU23" s="723"/>
      <c r="BV23" s="723"/>
      <c r="BW23" s="723"/>
      <c r="BX23" s="723"/>
      <c r="BY23" s="723"/>
      <c r="BZ23" s="723"/>
      <c r="CA23" s="723"/>
      <c r="CB23" s="724"/>
      <c r="CC23" s="75"/>
      <c r="CD23" s="58"/>
      <c r="CE23" s="76"/>
      <c r="CF23" s="58"/>
    </row>
    <row r="24" spans="1:84" s="4" customFormat="1" ht="12.75" customHeight="1" x14ac:dyDescent="0.15">
      <c r="A24" s="16"/>
      <c r="B24" s="5"/>
      <c r="C24" s="73"/>
      <c r="D24" s="707"/>
      <c r="E24" s="708"/>
      <c r="F24" s="709"/>
      <c r="G24" s="716"/>
      <c r="H24" s="717"/>
      <c r="I24" s="717"/>
      <c r="J24" s="717"/>
      <c r="K24" s="717"/>
      <c r="L24" s="718"/>
      <c r="M24" s="653"/>
      <c r="N24" s="654"/>
      <c r="O24" s="654"/>
      <c r="P24" s="654"/>
      <c r="Q24" s="654"/>
      <c r="R24" s="654"/>
      <c r="S24" s="654"/>
      <c r="T24" s="654"/>
      <c r="U24" s="654"/>
      <c r="V24" s="654"/>
      <c r="W24" s="654"/>
      <c r="X24" s="654"/>
      <c r="Y24" s="654"/>
      <c r="Z24" s="654"/>
      <c r="AA24" s="654"/>
      <c r="AB24" s="654"/>
      <c r="AC24" s="654"/>
      <c r="AD24" s="655"/>
      <c r="AE24" s="725"/>
      <c r="AF24" s="726"/>
      <c r="AG24" s="726"/>
      <c r="AH24" s="726"/>
      <c r="AI24" s="726"/>
      <c r="AJ24" s="726"/>
      <c r="AK24" s="726"/>
      <c r="AL24" s="726"/>
      <c r="AM24" s="726"/>
      <c r="AN24" s="726"/>
      <c r="AO24" s="726"/>
      <c r="AP24" s="726"/>
      <c r="AQ24" s="726"/>
      <c r="AR24" s="726"/>
      <c r="AS24" s="726"/>
      <c r="AT24" s="726"/>
      <c r="AU24" s="726"/>
      <c r="AV24" s="726"/>
      <c r="AW24" s="726"/>
      <c r="AX24" s="726"/>
      <c r="AY24" s="726"/>
      <c r="AZ24" s="726"/>
      <c r="BA24" s="726"/>
      <c r="BB24" s="726"/>
      <c r="BC24" s="726"/>
      <c r="BD24" s="726"/>
      <c r="BE24" s="726"/>
      <c r="BF24" s="726"/>
      <c r="BG24" s="726"/>
      <c r="BH24" s="726"/>
      <c r="BI24" s="726"/>
      <c r="BJ24" s="726"/>
      <c r="BK24" s="726"/>
      <c r="BL24" s="726"/>
      <c r="BM24" s="726"/>
      <c r="BN24" s="726"/>
      <c r="BO24" s="726"/>
      <c r="BP24" s="726"/>
      <c r="BQ24" s="726"/>
      <c r="BR24" s="726"/>
      <c r="BS24" s="726"/>
      <c r="BT24" s="726"/>
      <c r="BU24" s="726"/>
      <c r="BV24" s="726"/>
      <c r="BW24" s="726"/>
      <c r="BX24" s="726"/>
      <c r="BY24" s="726"/>
      <c r="BZ24" s="726"/>
      <c r="CA24" s="726"/>
      <c r="CB24" s="727"/>
      <c r="CC24" s="75"/>
      <c r="CD24" s="58"/>
      <c r="CE24" s="76"/>
      <c r="CF24" s="58"/>
    </row>
    <row r="25" spans="1:84" s="4" customFormat="1" ht="12.75" customHeight="1" x14ac:dyDescent="0.15">
      <c r="A25" s="16"/>
      <c r="B25" s="5"/>
      <c r="C25" s="73"/>
      <c r="D25" s="586">
        <v>2</v>
      </c>
      <c r="E25" s="703"/>
      <c r="F25" s="704"/>
      <c r="G25" s="762" t="s">
        <v>395</v>
      </c>
      <c r="H25" s="930"/>
      <c r="I25" s="930"/>
      <c r="J25" s="930"/>
      <c r="K25" s="930"/>
      <c r="L25" s="931"/>
      <c r="M25" s="647" t="s">
        <v>94</v>
      </c>
      <c r="N25" s="648"/>
      <c r="O25" s="648"/>
      <c r="P25" s="648"/>
      <c r="Q25" s="648"/>
      <c r="R25" s="648"/>
      <c r="S25" s="648"/>
      <c r="T25" s="648"/>
      <c r="U25" s="648"/>
      <c r="V25" s="648"/>
      <c r="W25" s="648"/>
      <c r="X25" s="648"/>
      <c r="Y25" s="648"/>
      <c r="Z25" s="648"/>
      <c r="AA25" s="648"/>
      <c r="AB25" s="648"/>
      <c r="AC25" s="648"/>
      <c r="AD25" s="649"/>
      <c r="AE25" s="729" t="s">
        <v>95</v>
      </c>
      <c r="AF25" s="730"/>
      <c r="AG25" s="730"/>
      <c r="AH25" s="730"/>
      <c r="AI25" s="730"/>
      <c r="AJ25" s="730"/>
      <c r="AK25" s="730"/>
      <c r="AL25" s="730"/>
      <c r="AM25" s="730"/>
      <c r="AN25" s="730"/>
      <c r="AO25" s="730"/>
      <c r="AP25" s="730"/>
      <c r="AQ25" s="730"/>
      <c r="AR25" s="730"/>
      <c r="AS25" s="730"/>
      <c r="AT25" s="730"/>
      <c r="AU25" s="730"/>
      <c r="AV25" s="730"/>
      <c r="AW25" s="730"/>
      <c r="AX25" s="730"/>
      <c r="AY25" s="730"/>
      <c r="AZ25" s="730"/>
      <c r="BA25" s="730"/>
      <c r="BB25" s="730"/>
      <c r="BC25" s="730"/>
      <c r="BD25" s="730"/>
      <c r="BE25" s="730"/>
      <c r="BF25" s="730"/>
      <c r="BG25" s="730"/>
      <c r="BH25" s="730"/>
      <c r="BI25" s="730"/>
      <c r="BJ25" s="730"/>
      <c r="BK25" s="730"/>
      <c r="BL25" s="730"/>
      <c r="BM25" s="730"/>
      <c r="BN25" s="730"/>
      <c r="BO25" s="730"/>
      <c r="BP25" s="730"/>
      <c r="BQ25" s="730"/>
      <c r="BR25" s="730"/>
      <c r="BS25" s="730"/>
      <c r="BT25" s="730"/>
      <c r="BU25" s="730"/>
      <c r="BV25" s="730"/>
      <c r="BW25" s="730"/>
      <c r="BX25" s="730"/>
      <c r="BY25" s="730"/>
      <c r="BZ25" s="730"/>
      <c r="CA25" s="730"/>
      <c r="CB25" s="731"/>
      <c r="CC25" s="75"/>
      <c r="CD25" s="58"/>
      <c r="CE25" s="76"/>
      <c r="CF25" s="58"/>
    </row>
    <row r="26" spans="1:84" s="4" customFormat="1" ht="12.75" customHeight="1" x14ac:dyDescent="0.15">
      <c r="A26" s="16"/>
      <c r="B26" s="5"/>
      <c r="C26" s="73"/>
      <c r="D26" s="589"/>
      <c r="E26" s="705"/>
      <c r="F26" s="706"/>
      <c r="G26" s="932"/>
      <c r="H26" s="933"/>
      <c r="I26" s="933"/>
      <c r="J26" s="933"/>
      <c r="K26" s="933"/>
      <c r="L26" s="934"/>
      <c r="M26" s="650"/>
      <c r="N26" s="651"/>
      <c r="O26" s="651"/>
      <c r="P26" s="651"/>
      <c r="Q26" s="651"/>
      <c r="R26" s="651"/>
      <c r="S26" s="651"/>
      <c r="T26" s="651"/>
      <c r="U26" s="651"/>
      <c r="V26" s="651"/>
      <c r="W26" s="651"/>
      <c r="X26" s="651"/>
      <c r="Y26" s="651"/>
      <c r="Z26" s="651"/>
      <c r="AA26" s="651"/>
      <c r="AB26" s="651"/>
      <c r="AC26" s="651"/>
      <c r="AD26" s="652"/>
      <c r="AE26" s="938"/>
      <c r="AF26" s="939"/>
      <c r="AG26" s="939"/>
      <c r="AH26" s="939"/>
      <c r="AI26" s="939"/>
      <c r="AJ26" s="939"/>
      <c r="AK26" s="939"/>
      <c r="AL26" s="939"/>
      <c r="AM26" s="939"/>
      <c r="AN26" s="939"/>
      <c r="AO26" s="939"/>
      <c r="AP26" s="939"/>
      <c r="AQ26" s="939"/>
      <c r="AR26" s="939"/>
      <c r="AS26" s="939"/>
      <c r="AT26" s="939"/>
      <c r="AU26" s="939"/>
      <c r="AV26" s="939"/>
      <c r="AW26" s="939"/>
      <c r="AX26" s="939"/>
      <c r="AY26" s="939"/>
      <c r="AZ26" s="939"/>
      <c r="BA26" s="939"/>
      <c r="BB26" s="939"/>
      <c r="BC26" s="939"/>
      <c r="BD26" s="939"/>
      <c r="BE26" s="939"/>
      <c r="BF26" s="939"/>
      <c r="BG26" s="939"/>
      <c r="BH26" s="939"/>
      <c r="BI26" s="939"/>
      <c r="BJ26" s="939"/>
      <c r="BK26" s="939"/>
      <c r="BL26" s="939"/>
      <c r="BM26" s="939"/>
      <c r="BN26" s="939"/>
      <c r="BO26" s="939"/>
      <c r="BP26" s="939"/>
      <c r="BQ26" s="939"/>
      <c r="BR26" s="939"/>
      <c r="BS26" s="939"/>
      <c r="BT26" s="939"/>
      <c r="BU26" s="939"/>
      <c r="BV26" s="939"/>
      <c r="BW26" s="939"/>
      <c r="BX26" s="939"/>
      <c r="BY26" s="939"/>
      <c r="BZ26" s="939"/>
      <c r="CA26" s="939"/>
      <c r="CB26" s="940"/>
      <c r="CC26" s="75"/>
      <c r="CD26" s="58"/>
      <c r="CE26" s="76"/>
      <c r="CF26" s="58"/>
    </row>
    <row r="27" spans="1:84" s="4" customFormat="1" ht="12.75" customHeight="1" x14ac:dyDescent="0.15">
      <c r="A27" s="16"/>
      <c r="B27" s="5"/>
      <c r="C27" s="73"/>
      <c r="D27" s="589"/>
      <c r="E27" s="705"/>
      <c r="F27" s="706"/>
      <c r="G27" s="932"/>
      <c r="H27" s="933"/>
      <c r="I27" s="933"/>
      <c r="J27" s="933"/>
      <c r="K27" s="933"/>
      <c r="L27" s="934"/>
      <c r="M27" s="650"/>
      <c r="N27" s="651"/>
      <c r="O27" s="651"/>
      <c r="P27" s="651"/>
      <c r="Q27" s="651"/>
      <c r="R27" s="651"/>
      <c r="S27" s="651"/>
      <c r="T27" s="651"/>
      <c r="U27" s="651"/>
      <c r="V27" s="651"/>
      <c r="W27" s="651"/>
      <c r="X27" s="651"/>
      <c r="Y27" s="651"/>
      <c r="Z27" s="651"/>
      <c r="AA27" s="651"/>
      <c r="AB27" s="651"/>
      <c r="AC27" s="651"/>
      <c r="AD27" s="652"/>
      <c r="AE27" s="938"/>
      <c r="AF27" s="939"/>
      <c r="AG27" s="939"/>
      <c r="AH27" s="939"/>
      <c r="AI27" s="939"/>
      <c r="AJ27" s="939"/>
      <c r="AK27" s="939"/>
      <c r="AL27" s="939"/>
      <c r="AM27" s="939"/>
      <c r="AN27" s="939"/>
      <c r="AO27" s="939"/>
      <c r="AP27" s="939"/>
      <c r="AQ27" s="939"/>
      <c r="AR27" s="939"/>
      <c r="AS27" s="939"/>
      <c r="AT27" s="939"/>
      <c r="AU27" s="939"/>
      <c r="AV27" s="939"/>
      <c r="AW27" s="939"/>
      <c r="AX27" s="939"/>
      <c r="AY27" s="939"/>
      <c r="AZ27" s="939"/>
      <c r="BA27" s="939"/>
      <c r="BB27" s="939"/>
      <c r="BC27" s="939"/>
      <c r="BD27" s="939"/>
      <c r="BE27" s="939"/>
      <c r="BF27" s="939"/>
      <c r="BG27" s="939"/>
      <c r="BH27" s="939"/>
      <c r="BI27" s="939"/>
      <c r="BJ27" s="939"/>
      <c r="BK27" s="939"/>
      <c r="BL27" s="939"/>
      <c r="BM27" s="939"/>
      <c r="BN27" s="939"/>
      <c r="BO27" s="939"/>
      <c r="BP27" s="939"/>
      <c r="BQ27" s="939"/>
      <c r="BR27" s="939"/>
      <c r="BS27" s="939"/>
      <c r="BT27" s="939"/>
      <c r="BU27" s="939"/>
      <c r="BV27" s="939"/>
      <c r="BW27" s="939"/>
      <c r="BX27" s="939"/>
      <c r="BY27" s="939"/>
      <c r="BZ27" s="939"/>
      <c r="CA27" s="939"/>
      <c r="CB27" s="940"/>
      <c r="CC27" s="75"/>
      <c r="CD27" s="58"/>
      <c r="CE27" s="76"/>
      <c r="CF27" s="58"/>
    </row>
    <row r="28" spans="1:84" s="4" customFormat="1" ht="12.75" customHeight="1" x14ac:dyDescent="0.15">
      <c r="A28" s="16"/>
      <c r="B28" s="5"/>
      <c r="C28" s="73"/>
      <c r="D28" s="707"/>
      <c r="E28" s="708"/>
      <c r="F28" s="709"/>
      <c r="G28" s="935"/>
      <c r="H28" s="936"/>
      <c r="I28" s="936"/>
      <c r="J28" s="936"/>
      <c r="K28" s="936"/>
      <c r="L28" s="937"/>
      <c r="M28" s="650"/>
      <c r="N28" s="651"/>
      <c r="O28" s="651"/>
      <c r="P28" s="651"/>
      <c r="Q28" s="651"/>
      <c r="R28" s="651"/>
      <c r="S28" s="651"/>
      <c r="T28" s="651"/>
      <c r="U28" s="651"/>
      <c r="V28" s="651"/>
      <c r="W28" s="651"/>
      <c r="X28" s="651"/>
      <c r="Y28" s="651"/>
      <c r="Z28" s="651"/>
      <c r="AA28" s="651"/>
      <c r="AB28" s="651"/>
      <c r="AC28" s="651"/>
      <c r="AD28" s="652"/>
      <c r="AE28" s="732"/>
      <c r="AF28" s="733"/>
      <c r="AG28" s="733"/>
      <c r="AH28" s="733"/>
      <c r="AI28" s="733"/>
      <c r="AJ28" s="733"/>
      <c r="AK28" s="733"/>
      <c r="AL28" s="733"/>
      <c r="AM28" s="733"/>
      <c r="AN28" s="733"/>
      <c r="AO28" s="733"/>
      <c r="AP28" s="733"/>
      <c r="AQ28" s="733"/>
      <c r="AR28" s="733"/>
      <c r="AS28" s="733"/>
      <c r="AT28" s="733"/>
      <c r="AU28" s="733"/>
      <c r="AV28" s="733"/>
      <c r="AW28" s="733"/>
      <c r="AX28" s="733"/>
      <c r="AY28" s="733"/>
      <c r="AZ28" s="733"/>
      <c r="BA28" s="733"/>
      <c r="BB28" s="733"/>
      <c r="BC28" s="733"/>
      <c r="BD28" s="733"/>
      <c r="BE28" s="733"/>
      <c r="BF28" s="733"/>
      <c r="BG28" s="733"/>
      <c r="BH28" s="733"/>
      <c r="BI28" s="733"/>
      <c r="BJ28" s="733"/>
      <c r="BK28" s="733"/>
      <c r="BL28" s="733"/>
      <c r="BM28" s="733"/>
      <c r="BN28" s="733"/>
      <c r="BO28" s="733"/>
      <c r="BP28" s="733"/>
      <c r="BQ28" s="733"/>
      <c r="BR28" s="733"/>
      <c r="BS28" s="733"/>
      <c r="BT28" s="733"/>
      <c r="BU28" s="733"/>
      <c r="BV28" s="733"/>
      <c r="BW28" s="733"/>
      <c r="BX28" s="733"/>
      <c r="BY28" s="733"/>
      <c r="BZ28" s="733"/>
      <c r="CA28" s="733"/>
      <c r="CB28" s="734"/>
      <c r="CC28" s="75"/>
      <c r="CD28" s="58"/>
      <c r="CE28" s="76"/>
      <c r="CF28" s="58"/>
    </row>
    <row r="29" spans="1:84" s="4" customFormat="1" ht="12.75" customHeight="1" x14ac:dyDescent="0.15">
      <c r="A29" s="16"/>
      <c r="B29" s="5"/>
      <c r="C29" s="73"/>
      <c r="D29" s="586">
        <v>3</v>
      </c>
      <c r="E29" s="703"/>
      <c r="F29" s="704"/>
      <c r="G29" s="767" t="s">
        <v>396</v>
      </c>
      <c r="H29" s="767"/>
      <c r="I29" s="767"/>
      <c r="J29" s="767"/>
      <c r="K29" s="767"/>
      <c r="L29" s="767"/>
      <c r="M29" s="768" t="s">
        <v>96</v>
      </c>
      <c r="N29" s="768"/>
      <c r="O29" s="768"/>
      <c r="P29" s="768"/>
      <c r="Q29" s="768"/>
      <c r="R29" s="768"/>
      <c r="S29" s="768"/>
      <c r="T29" s="768"/>
      <c r="U29" s="768"/>
      <c r="V29" s="768"/>
      <c r="W29" s="768"/>
      <c r="X29" s="768"/>
      <c r="Y29" s="768"/>
      <c r="Z29" s="768"/>
      <c r="AA29" s="768"/>
      <c r="AB29" s="768"/>
      <c r="AC29" s="768"/>
      <c r="AD29" s="768"/>
      <c r="AE29" s="719" t="s">
        <v>97</v>
      </c>
      <c r="AF29" s="720"/>
      <c r="AG29" s="720"/>
      <c r="AH29" s="720"/>
      <c r="AI29" s="720"/>
      <c r="AJ29" s="720"/>
      <c r="AK29" s="720"/>
      <c r="AL29" s="720"/>
      <c r="AM29" s="720"/>
      <c r="AN29" s="720"/>
      <c r="AO29" s="720"/>
      <c r="AP29" s="720"/>
      <c r="AQ29" s="720"/>
      <c r="AR29" s="720"/>
      <c r="AS29" s="720"/>
      <c r="AT29" s="720"/>
      <c r="AU29" s="720"/>
      <c r="AV29" s="720"/>
      <c r="AW29" s="720"/>
      <c r="AX29" s="720"/>
      <c r="AY29" s="720"/>
      <c r="AZ29" s="720"/>
      <c r="BA29" s="720"/>
      <c r="BB29" s="720"/>
      <c r="BC29" s="720"/>
      <c r="BD29" s="720"/>
      <c r="BE29" s="720"/>
      <c r="BF29" s="720"/>
      <c r="BG29" s="720"/>
      <c r="BH29" s="720"/>
      <c r="BI29" s="720"/>
      <c r="BJ29" s="720"/>
      <c r="BK29" s="720"/>
      <c r="BL29" s="720"/>
      <c r="BM29" s="720"/>
      <c r="BN29" s="720"/>
      <c r="BO29" s="720"/>
      <c r="BP29" s="720"/>
      <c r="BQ29" s="720"/>
      <c r="BR29" s="720"/>
      <c r="BS29" s="720"/>
      <c r="BT29" s="720"/>
      <c r="BU29" s="720"/>
      <c r="BV29" s="720"/>
      <c r="BW29" s="720"/>
      <c r="BX29" s="720"/>
      <c r="BY29" s="720"/>
      <c r="BZ29" s="720"/>
      <c r="CA29" s="720"/>
      <c r="CB29" s="721"/>
      <c r="CC29" s="75"/>
      <c r="CD29" s="58"/>
      <c r="CE29" s="76"/>
      <c r="CF29" s="58"/>
    </row>
    <row r="30" spans="1:84" s="4" customFormat="1" ht="12.75" customHeight="1" x14ac:dyDescent="0.15">
      <c r="A30" s="16"/>
      <c r="B30" s="5"/>
      <c r="C30" s="73"/>
      <c r="D30" s="589"/>
      <c r="E30" s="705"/>
      <c r="F30" s="706"/>
      <c r="G30" s="767"/>
      <c r="H30" s="767"/>
      <c r="I30" s="767"/>
      <c r="J30" s="767"/>
      <c r="K30" s="767"/>
      <c r="L30" s="767"/>
      <c r="M30" s="768"/>
      <c r="N30" s="768"/>
      <c r="O30" s="768"/>
      <c r="P30" s="768"/>
      <c r="Q30" s="768"/>
      <c r="R30" s="768"/>
      <c r="S30" s="768"/>
      <c r="T30" s="768"/>
      <c r="U30" s="768"/>
      <c r="V30" s="768"/>
      <c r="W30" s="768"/>
      <c r="X30" s="768"/>
      <c r="Y30" s="768"/>
      <c r="Z30" s="768"/>
      <c r="AA30" s="768"/>
      <c r="AB30" s="768"/>
      <c r="AC30" s="768"/>
      <c r="AD30" s="768"/>
      <c r="AE30" s="722"/>
      <c r="AF30" s="723"/>
      <c r="AG30" s="723"/>
      <c r="AH30" s="723"/>
      <c r="AI30" s="723"/>
      <c r="AJ30" s="723"/>
      <c r="AK30" s="723"/>
      <c r="AL30" s="723"/>
      <c r="AM30" s="723"/>
      <c r="AN30" s="723"/>
      <c r="AO30" s="723"/>
      <c r="AP30" s="723"/>
      <c r="AQ30" s="723"/>
      <c r="AR30" s="723"/>
      <c r="AS30" s="723"/>
      <c r="AT30" s="723"/>
      <c r="AU30" s="723"/>
      <c r="AV30" s="723"/>
      <c r="AW30" s="723"/>
      <c r="AX30" s="723"/>
      <c r="AY30" s="723"/>
      <c r="AZ30" s="723"/>
      <c r="BA30" s="723"/>
      <c r="BB30" s="723"/>
      <c r="BC30" s="723"/>
      <c r="BD30" s="723"/>
      <c r="BE30" s="723"/>
      <c r="BF30" s="723"/>
      <c r="BG30" s="723"/>
      <c r="BH30" s="723"/>
      <c r="BI30" s="723"/>
      <c r="BJ30" s="723"/>
      <c r="BK30" s="723"/>
      <c r="BL30" s="723"/>
      <c r="BM30" s="723"/>
      <c r="BN30" s="723"/>
      <c r="BO30" s="723"/>
      <c r="BP30" s="723"/>
      <c r="BQ30" s="723"/>
      <c r="BR30" s="723"/>
      <c r="BS30" s="723"/>
      <c r="BT30" s="723"/>
      <c r="BU30" s="723"/>
      <c r="BV30" s="723"/>
      <c r="BW30" s="723"/>
      <c r="BX30" s="723"/>
      <c r="BY30" s="723"/>
      <c r="BZ30" s="723"/>
      <c r="CA30" s="723"/>
      <c r="CB30" s="724"/>
      <c r="CC30" s="75"/>
      <c r="CD30" s="58"/>
      <c r="CE30" s="76"/>
      <c r="CF30" s="58"/>
    </row>
    <row r="31" spans="1:84" s="4" customFormat="1" ht="12.75" customHeight="1" x14ac:dyDescent="0.15">
      <c r="A31" s="16"/>
      <c r="B31" s="5"/>
      <c r="C31" s="73"/>
      <c r="D31" s="589"/>
      <c r="E31" s="705"/>
      <c r="F31" s="706"/>
      <c r="G31" s="767"/>
      <c r="H31" s="767"/>
      <c r="I31" s="767"/>
      <c r="J31" s="767"/>
      <c r="K31" s="767"/>
      <c r="L31" s="767"/>
      <c r="M31" s="768"/>
      <c r="N31" s="768"/>
      <c r="O31" s="768"/>
      <c r="P31" s="768"/>
      <c r="Q31" s="768"/>
      <c r="R31" s="768"/>
      <c r="S31" s="768"/>
      <c r="T31" s="768"/>
      <c r="U31" s="768"/>
      <c r="V31" s="768"/>
      <c r="W31" s="768"/>
      <c r="X31" s="768"/>
      <c r="Y31" s="768"/>
      <c r="Z31" s="768"/>
      <c r="AA31" s="768"/>
      <c r="AB31" s="768"/>
      <c r="AC31" s="768"/>
      <c r="AD31" s="768"/>
      <c r="AE31" s="722"/>
      <c r="AF31" s="723"/>
      <c r="AG31" s="723"/>
      <c r="AH31" s="723"/>
      <c r="AI31" s="723"/>
      <c r="AJ31" s="723"/>
      <c r="AK31" s="723"/>
      <c r="AL31" s="723"/>
      <c r="AM31" s="723"/>
      <c r="AN31" s="723"/>
      <c r="AO31" s="723"/>
      <c r="AP31" s="723"/>
      <c r="AQ31" s="723"/>
      <c r="AR31" s="723"/>
      <c r="AS31" s="723"/>
      <c r="AT31" s="723"/>
      <c r="AU31" s="723"/>
      <c r="AV31" s="723"/>
      <c r="AW31" s="723"/>
      <c r="AX31" s="723"/>
      <c r="AY31" s="723"/>
      <c r="AZ31" s="723"/>
      <c r="BA31" s="723"/>
      <c r="BB31" s="723"/>
      <c r="BC31" s="723"/>
      <c r="BD31" s="723"/>
      <c r="BE31" s="723"/>
      <c r="BF31" s="723"/>
      <c r="BG31" s="723"/>
      <c r="BH31" s="723"/>
      <c r="BI31" s="723"/>
      <c r="BJ31" s="723"/>
      <c r="BK31" s="723"/>
      <c r="BL31" s="723"/>
      <c r="BM31" s="723"/>
      <c r="BN31" s="723"/>
      <c r="BO31" s="723"/>
      <c r="BP31" s="723"/>
      <c r="BQ31" s="723"/>
      <c r="BR31" s="723"/>
      <c r="BS31" s="723"/>
      <c r="BT31" s="723"/>
      <c r="BU31" s="723"/>
      <c r="BV31" s="723"/>
      <c r="BW31" s="723"/>
      <c r="BX31" s="723"/>
      <c r="BY31" s="723"/>
      <c r="BZ31" s="723"/>
      <c r="CA31" s="723"/>
      <c r="CB31" s="724"/>
      <c r="CC31" s="75"/>
      <c r="CD31" s="58"/>
      <c r="CE31" s="76"/>
      <c r="CF31" s="58"/>
    </row>
    <row r="32" spans="1:84" s="4" customFormat="1" ht="12.75" customHeight="1" x14ac:dyDescent="0.15">
      <c r="A32" s="16"/>
      <c r="B32" s="5"/>
      <c r="C32" s="73"/>
      <c r="D32" s="589"/>
      <c r="E32" s="705"/>
      <c r="F32" s="706"/>
      <c r="G32" s="767"/>
      <c r="H32" s="767"/>
      <c r="I32" s="767"/>
      <c r="J32" s="767"/>
      <c r="K32" s="767"/>
      <c r="L32" s="767"/>
      <c r="M32" s="768"/>
      <c r="N32" s="768"/>
      <c r="O32" s="768"/>
      <c r="P32" s="768"/>
      <c r="Q32" s="768"/>
      <c r="R32" s="768"/>
      <c r="S32" s="768"/>
      <c r="T32" s="768"/>
      <c r="U32" s="768"/>
      <c r="V32" s="768"/>
      <c r="W32" s="768"/>
      <c r="X32" s="768"/>
      <c r="Y32" s="768"/>
      <c r="Z32" s="768"/>
      <c r="AA32" s="768"/>
      <c r="AB32" s="768"/>
      <c r="AC32" s="768"/>
      <c r="AD32" s="768"/>
      <c r="AE32" s="722"/>
      <c r="AF32" s="723"/>
      <c r="AG32" s="723"/>
      <c r="AH32" s="723"/>
      <c r="AI32" s="723"/>
      <c r="AJ32" s="723"/>
      <c r="AK32" s="723"/>
      <c r="AL32" s="723"/>
      <c r="AM32" s="723"/>
      <c r="AN32" s="723"/>
      <c r="AO32" s="723"/>
      <c r="AP32" s="723"/>
      <c r="AQ32" s="723"/>
      <c r="AR32" s="723"/>
      <c r="AS32" s="723"/>
      <c r="AT32" s="723"/>
      <c r="AU32" s="723"/>
      <c r="AV32" s="723"/>
      <c r="AW32" s="723"/>
      <c r="AX32" s="723"/>
      <c r="AY32" s="723"/>
      <c r="AZ32" s="723"/>
      <c r="BA32" s="723"/>
      <c r="BB32" s="723"/>
      <c r="BC32" s="723"/>
      <c r="BD32" s="723"/>
      <c r="BE32" s="723"/>
      <c r="BF32" s="723"/>
      <c r="BG32" s="723"/>
      <c r="BH32" s="723"/>
      <c r="BI32" s="723"/>
      <c r="BJ32" s="723"/>
      <c r="BK32" s="723"/>
      <c r="BL32" s="723"/>
      <c r="BM32" s="723"/>
      <c r="BN32" s="723"/>
      <c r="BO32" s="723"/>
      <c r="BP32" s="723"/>
      <c r="BQ32" s="723"/>
      <c r="BR32" s="723"/>
      <c r="BS32" s="723"/>
      <c r="BT32" s="723"/>
      <c r="BU32" s="723"/>
      <c r="BV32" s="723"/>
      <c r="BW32" s="723"/>
      <c r="BX32" s="723"/>
      <c r="BY32" s="723"/>
      <c r="BZ32" s="723"/>
      <c r="CA32" s="723"/>
      <c r="CB32" s="724"/>
      <c r="CC32" s="75"/>
      <c r="CD32" s="58"/>
      <c r="CE32" s="76"/>
      <c r="CF32" s="58"/>
    </row>
    <row r="33" spans="1:84" s="4" customFormat="1" ht="12.75" customHeight="1" x14ac:dyDescent="0.15">
      <c r="A33" s="16"/>
      <c r="B33" s="5"/>
      <c r="C33" s="73"/>
      <c r="D33" s="707"/>
      <c r="E33" s="708"/>
      <c r="F33" s="709"/>
      <c r="G33" s="767"/>
      <c r="H33" s="767"/>
      <c r="I33" s="767"/>
      <c r="J33" s="767"/>
      <c r="K33" s="767"/>
      <c r="L33" s="767"/>
      <c r="M33" s="768"/>
      <c r="N33" s="768"/>
      <c r="O33" s="768"/>
      <c r="P33" s="768"/>
      <c r="Q33" s="768"/>
      <c r="R33" s="768"/>
      <c r="S33" s="768"/>
      <c r="T33" s="768"/>
      <c r="U33" s="768"/>
      <c r="V33" s="768"/>
      <c r="W33" s="768"/>
      <c r="X33" s="768"/>
      <c r="Y33" s="768"/>
      <c r="Z33" s="768"/>
      <c r="AA33" s="768"/>
      <c r="AB33" s="768"/>
      <c r="AC33" s="768"/>
      <c r="AD33" s="768"/>
      <c r="AE33" s="725"/>
      <c r="AF33" s="726"/>
      <c r="AG33" s="726"/>
      <c r="AH33" s="726"/>
      <c r="AI33" s="726"/>
      <c r="AJ33" s="726"/>
      <c r="AK33" s="726"/>
      <c r="AL33" s="726"/>
      <c r="AM33" s="726"/>
      <c r="AN33" s="726"/>
      <c r="AO33" s="726"/>
      <c r="AP33" s="726"/>
      <c r="AQ33" s="726"/>
      <c r="AR33" s="726"/>
      <c r="AS33" s="726"/>
      <c r="AT33" s="726"/>
      <c r="AU33" s="726"/>
      <c r="AV33" s="726"/>
      <c r="AW33" s="726"/>
      <c r="AX33" s="726"/>
      <c r="AY33" s="726"/>
      <c r="AZ33" s="726"/>
      <c r="BA33" s="726"/>
      <c r="BB33" s="726"/>
      <c r="BC33" s="726"/>
      <c r="BD33" s="726"/>
      <c r="BE33" s="726"/>
      <c r="BF33" s="726"/>
      <c r="BG33" s="726"/>
      <c r="BH33" s="726"/>
      <c r="BI33" s="726"/>
      <c r="BJ33" s="726"/>
      <c r="BK33" s="726"/>
      <c r="BL33" s="726"/>
      <c r="BM33" s="726"/>
      <c r="BN33" s="726"/>
      <c r="BO33" s="726"/>
      <c r="BP33" s="726"/>
      <c r="BQ33" s="726"/>
      <c r="BR33" s="726"/>
      <c r="BS33" s="726"/>
      <c r="BT33" s="726"/>
      <c r="BU33" s="726"/>
      <c r="BV33" s="726"/>
      <c r="BW33" s="726"/>
      <c r="BX33" s="726"/>
      <c r="BY33" s="726"/>
      <c r="BZ33" s="726"/>
      <c r="CA33" s="726"/>
      <c r="CB33" s="727"/>
      <c r="CC33" s="75"/>
      <c r="CD33" s="58"/>
      <c r="CE33" s="76"/>
      <c r="CF33" s="58"/>
    </row>
    <row r="34" spans="1:84" s="4" customFormat="1" ht="12.75" customHeight="1" x14ac:dyDescent="0.15">
      <c r="A34" s="16"/>
      <c r="B34" s="5"/>
      <c r="C34" s="73"/>
      <c r="D34" s="586">
        <v>4</v>
      </c>
      <c r="E34" s="703"/>
      <c r="F34" s="704"/>
      <c r="G34" s="710" t="s">
        <v>398</v>
      </c>
      <c r="H34" s="711"/>
      <c r="I34" s="711"/>
      <c r="J34" s="711"/>
      <c r="K34" s="711"/>
      <c r="L34" s="712"/>
      <c r="M34" s="719" t="s">
        <v>98</v>
      </c>
      <c r="N34" s="720"/>
      <c r="O34" s="720"/>
      <c r="P34" s="720"/>
      <c r="Q34" s="720"/>
      <c r="R34" s="720"/>
      <c r="S34" s="720"/>
      <c r="T34" s="720"/>
      <c r="U34" s="720"/>
      <c r="V34" s="720"/>
      <c r="W34" s="720"/>
      <c r="X34" s="720"/>
      <c r="Y34" s="720"/>
      <c r="Z34" s="720"/>
      <c r="AA34" s="720"/>
      <c r="AB34" s="720"/>
      <c r="AC34" s="720"/>
      <c r="AD34" s="721"/>
      <c r="AE34" s="719" t="s">
        <v>931</v>
      </c>
      <c r="AF34" s="720"/>
      <c r="AG34" s="720"/>
      <c r="AH34" s="720"/>
      <c r="AI34" s="720"/>
      <c r="AJ34" s="720"/>
      <c r="AK34" s="720"/>
      <c r="AL34" s="720"/>
      <c r="AM34" s="720"/>
      <c r="AN34" s="720"/>
      <c r="AO34" s="720"/>
      <c r="AP34" s="720"/>
      <c r="AQ34" s="720"/>
      <c r="AR34" s="720"/>
      <c r="AS34" s="720"/>
      <c r="AT34" s="720"/>
      <c r="AU34" s="720"/>
      <c r="AV34" s="720"/>
      <c r="AW34" s="720"/>
      <c r="AX34" s="720"/>
      <c r="AY34" s="720"/>
      <c r="AZ34" s="720"/>
      <c r="BA34" s="720"/>
      <c r="BB34" s="720"/>
      <c r="BC34" s="720"/>
      <c r="BD34" s="720"/>
      <c r="BE34" s="720"/>
      <c r="BF34" s="720"/>
      <c r="BG34" s="720"/>
      <c r="BH34" s="720"/>
      <c r="BI34" s="720"/>
      <c r="BJ34" s="720"/>
      <c r="BK34" s="720"/>
      <c r="BL34" s="720"/>
      <c r="BM34" s="720"/>
      <c r="BN34" s="720"/>
      <c r="BO34" s="720"/>
      <c r="BP34" s="720"/>
      <c r="BQ34" s="720"/>
      <c r="BR34" s="720"/>
      <c r="BS34" s="720"/>
      <c r="BT34" s="720"/>
      <c r="BU34" s="720"/>
      <c r="BV34" s="720"/>
      <c r="BW34" s="720"/>
      <c r="BX34" s="720"/>
      <c r="BY34" s="720"/>
      <c r="BZ34" s="720"/>
      <c r="CA34" s="720"/>
      <c r="CB34" s="721"/>
      <c r="CC34" s="75"/>
      <c r="CD34" s="58"/>
      <c r="CE34" s="76"/>
      <c r="CF34" s="58"/>
    </row>
    <row r="35" spans="1:84" s="4" customFormat="1" ht="12.75" customHeight="1" x14ac:dyDescent="0.15">
      <c r="A35" s="16"/>
      <c r="B35" s="5"/>
      <c r="C35" s="73"/>
      <c r="D35" s="589"/>
      <c r="E35" s="705"/>
      <c r="F35" s="706"/>
      <c r="G35" s="713"/>
      <c r="H35" s="714"/>
      <c r="I35" s="714"/>
      <c r="J35" s="714"/>
      <c r="K35" s="714"/>
      <c r="L35" s="715"/>
      <c r="M35" s="722"/>
      <c r="N35" s="723"/>
      <c r="O35" s="723"/>
      <c r="P35" s="723"/>
      <c r="Q35" s="723"/>
      <c r="R35" s="723"/>
      <c r="S35" s="723"/>
      <c r="T35" s="723"/>
      <c r="U35" s="723"/>
      <c r="V35" s="723"/>
      <c r="W35" s="723"/>
      <c r="X35" s="723"/>
      <c r="Y35" s="723"/>
      <c r="Z35" s="723"/>
      <c r="AA35" s="723"/>
      <c r="AB35" s="723"/>
      <c r="AC35" s="723"/>
      <c r="AD35" s="724"/>
      <c r="AE35" s="722"/>
      <c r="AF35" s="723"/>
      <c r="AG35" s="723"/>
      <c r="AH35" s="723"/>
      <c r="AI35" s="723"/>
      <c r="AJ35" s="723"/>
      <c r="AK35" s="723"/>
      <c r="AL35" s="723"/>
      <c r="AM35" s="723"/>
      <c r="AN35" s="723"/>
      <c r="AO35" s="723"/>
      <c r="AP35" s="723"/>
      <c r="AQ35" s="723"/>
      <c r="AR35" s="723"/>
      <c r="AS35" s="723"/>
      <c r="AT35" s="723"/>
      <c r="AU35" s="723"/>
      <c r="AV35" s="723"/>
      <c r="AW35" s="723"/>
      <c r="AX35" s="723"/>
      <c r="AY35" s="723"/>
      <c r="AZ35" s="723"/>
      <c r="BA35" s="723"/>
      <c r="BB35" s="723"/>
      <c r="BC35" s="723"/>
      <c r="BD35" s="723"/>
      <c r="BE35" s="723"/>
      <c r="BF35" s="723"/>
      <c r="BG35" s="723"/>
      <c r="BH35" s="723"/>
      <c r="BI35" s="723"/>
      <c r="BJ35" s="723"/>
      <c r="BK35" s="723"/>
      <c r="BL35" s="723"/>
      <c r="BM35" s="723"/>
      <c r="BN35" s="723"/>
      <c r="BO35" s="723"/>
      <c r="BP35" s="723"/>
      <c r="BQ35" s="723"/>
      <c r="BR35" s="723"/>
      <c r="BS35" s="723"/>
      <c r="BT35" s="723"/>
      <c r="BU35" s="723"/>
      <c r="BV35" s="723"/>
      <c r="BW35" s="723"/>
      <c r="BX35" s="723"/>
      <c r="BY35" s="723"/>
      <c r="BZ35" s="723"/>
      <c r="CA35" s="723"/>
      <c r="CB35" s="724"/>
      <c r="CC35" s="75"/>
      <c r="CD35" s="58"/>
      <c r="CE35" s="76"/>
      <c r="CF35" s="58"/>
    </row>
    <row r="36" spans="1:84" s="4" customFormat="1" ht="12.75" customHeight="1" x14ac:dyDescent="0.15">
      <c r="A36" s="16"/>
      <c r="B36" s="5"/>
      <c r="C36" s="73"/>
      <c r="D36" s="589"/>
      <c r="E36" s="705"/>
      <c r="F36" s="706"/>
      <c r="G36" s="713"/>
      <c r="H36" s="714"/>
      <c r="I36" s="714"/>
      <c r="J36" s="714"/>
      <c r="K36" s="714"/>
      <c r="L36" s="715"/>
      <c r="M36" s="722"/>
      <c r="N36" s="723"/>
      <c r="O36" s="723"/>
      <c r="P36" s="723"/>
      <c r="Q36" s="723"/>
      <c r="R36" s="723"/>
      <c r="S36" s="723"/>
      <c r="T36" s="723"/>
      <c r="U36" s="723"/>
      <c r="V36" s="723"/>
      <c r="W36" s="723"/>
      <c r="X36" s="723"/>
      <c r="Y36" s="723"/>
      <c r="Z36" s="723"/>
      <c r="AA36" s="723"/>
      <c r="AB36" s="723"/>
      <c r="AC36" s="723"/>
      <c r="AD36" s="724"/>
      <c r="AE36" s="722"/>
      <c r="AF36" s="723"/>
      <c r="AG36" s="723"/>
      <c r="AH36" s="723"/>
      <c r="AI36" s="723"/>
      <c r="AJ36" s="723"/>
      <c r="AK36" s="723"/>
      <c r="AL36" s="723"/>
      <c r="AM36" s="723"/>
      <c r="AN36" s="723"/>
      <c r="AO36" s="723"/>
      <c r="AP36" s="723"/>
      <c r="AQ36" s="723"/>
      <c r="AR36" s="723"/>
      <c r="AS36" s="723"/>
      <c r="AT36" s="723"/>
      <c r="AU36" s="723"/>
      <c r="AV36" s="723"/>
      <c r="AW36" s="723"/>
      <c r="AX36" s="723"/>
      <c r="AY36" s="723"/>
      <c r="AZ36" s="723"/>
      <c r="BA36" s="723"/>
      <c r="BB36" s="723"/>
      <c r="BC36" s="723"/>
      <c r="BD36" s="723"/>
      <c r="BE36" s="723"/>
      <c r="BF36" s="723"/>
      <c r="BG36" s="723"/>
      <c r="BH36" s="723"/>
      <c r="BI36" s="723"/>
      <c r="BJ36" s="723"/>
      <c r="BK36" s="723"/>
      <c r="BL36" s="723"/>
      <c r="BM36" s="723"/>
      <c r="BN36" s="723"/>
      <c r="BO36" s="723"/>
      <c r="BP36" s="723"/>
      <c r="BQ36" s="723"/>
      <c r="BR36" s="723"/>
      <c r="BS36" s="723"/>
      <c r="BT36" s="723"/>
      <c r="BU36" s="723"/>
      <c r="BV36" s="723"/>
      <c r="BW36" s="723"/>
      <c r="BX36" s="723"/>
      <c r="BY36" s="723"/>
      <c r="BZ36" s="723"/>
      <c r="CA36" s="723"/>
      <c r="CB36" s="724"/>
      <c r="CC36" s="75"/>
      <c r="CD36" s="58"/>
      <c r="CE36" s="76"/>
      <c r="CF36" s="58"/>
    </row>
    <row r="37" spans="1:84" s="4" customFormat="1" ht="12.75" customHeight="1" x14ac:dyDescent="0.15">
      <c r="A37" s="16"/>
      <c r="B37" s="5"/>
      <c r="C37" s="73"/>
      <c r="D37" s="589"/>
      <c r="E37" s="705"/>
      <c r="F37" s="706"/>
      <c r="G37" s="713"/>
      <c r="H37" s="714"/>
      <c r="I37" s="714"/>
      <c r="J37" s="714"/>
      <c r="K37" s="714"/>
      <c r="L37" s="715"/>
      <c r="M37" s="722"/>
      <c r="N37" s="723"/>
      <c r="O37" s="723"/>
      <c r="P37" s="723"/>
      <c r="Q37" s="723"/>
      <c r="R37" s="723"/>
      <c r="S37" s="723"/>
      <c r="T37" s="723"/>
      <c r="U37" s="723"/>
      <c r="V37" s="723"/>
      <c r="W37" s="723"/>
      <c r="X37" s="723"/>
      <c r="Y37" s="723"/>
      <c r="Z37" s="723"/>
      <c r="AA37" s="723"/>
      <c r="AB37" s="723"/>
      <c r="AC37" s="723"/>
      <c r="AD37" s="724"/>
      <c r="AE37" s="722"/>
      <c r="AF37" s="723"/>
      <c r="AG37" s="723"/>
      <c r="AH37" s="723"/>
      <c r="AI37" s="723"/>
      <c r="AJ37" s="723"/>
      <c r="AK37" s="723"/>
      <c r="AL37" s="723"/>
      <c r="AM37" s="723"/>
      <c r="AN37" s="723"/>
      <c r="AO37" s="723"/>
      <c r="AP37" s="723"/>
      <c r="AQ37" s="723"/>
      <c r="AR37" s="723"/>
      <c r="AS37" s="723"/>
      <c r="AT37" s="723"/>
      <c r="AU37" s="723"/>
      <c r="AV37" s="723"/>
      <c r="AW37" s="723"/>
      <c r="AX37" s="723"/>
      <c r="AY37" s="723"/>
      <c r="AZ37" s="723"/>
      <c r="BA37" s="723"/>
      <c r="BB37" s="723"/>
      <c r="BC37" s="723"/>
      <c r="BD37" s="723"/>
      <c r="BE37" s="723"/>
      <c r="BF37" s="723"/>
      <c r="BG37" s="723"/>
      <c r="BH37" s="723"/>
      <c r="BI37" s="723"/>
      <c r="BJ37" s="723"/>
      <c r="BK37" s="723"/>
      <c r="BL37" s="723"/>
      <c r="BM37" s="723"/>
      <c r="BN37" s="723"/>
      <c r="BO37" s="723"/>
      <c r="BP37" s="723"/>
      <c r="BQ37" s="723"/>
      <c r="BR37" s="723"/>
      <c r="BS37" s="723"/>
      <c r="BT37" s="723"/>
      <c r="BU37" s="723"/>
      <c r="BV37" s="723"/>
      <c r="BW37" s="723"/>
      <c r="BX37" s="723"/>
      <c r="BY37" s="723"/>
      <c r="BZ37" s="723"/>
      <c r="CA37" s="723"/>
      <c r="CB37" s="724"/>
      <c r="CC37" s="75"/>
      <c r="CD37" s="58"/>
      <c r="CE37" s="76"/>
      <c r="CF37" s="58"/>
    </row>
    <row r="38" spans="1:84" s="4" customFormat="1" ht="12.75" customHeight="1" x14ac:dyDescent="0.15">
      <c r="A38" s="16"/>
      <c r="B38" s="5"/>
      <c r="C38" s="73"/>
      <c r="D38" s="707"/>
      <c r="E38" s="708"/>
      <c r="F38" s="709"/>
      <c r="G38" s="716"/>
      <c r="H38" s="717"/>
      <c r="I38" s="717"/>
      <c r="J38" s="717"/>
      <c r="K38" s="717"/>
      <c r="L38" s="718"/>
      <c r="M38" s="725"/>
      <c r="N38" s="726"/>
      <c r="O38" s="726"/>
      <c r="P38" s="726"/>
      <c r="Q38" s="726"/>
      <c r="R38" s="726"/>
      <c r="S38" s="726"/>
      <c r="T38" s="726"/>
      <c r="U38" s="726"/>
      <c r="V38" s="726"/>
      <c r="W38" s="726"/>
      <c r="X38" s="726"/>
      <c r="Y38" s="726"/>
      <c r="Z38" s="726"/>
      <c r="AA38" s="726"/>
      <c r="AB38" s="726"/>
      <c r="AC38" s="726"/>
      <c r="AD38" s="727"/>
      <c r="AE38" s="725"/>
      <c r="AF38" s="726"/>
      <c r="AG38" s="726"/>
      <c r="AH38" s="726"/>
      <c r="AI38" s="726"/>
      <c r="AJ38" s="726"/>
      <c r="AK38" s="726"/>
      <c r="AL38" s="726"/>
      <c r="AM38" s="726"/>
      <c r="AN38" s="726"/>
      <c r="AO38" s="726"/>
      <c r="AP38" s="726"/>
      <c r="AQ38" s="726"/>
      <c r="AR38" s="726"/>
      <c r="AS38" s="726"/>
      <c r="AT38" s="726"/>
      <c r="AU38" s="726"/>
      <c r="AV38" s="726"/>
      <c r="AW38" s="726"/>
      <c r="AX38" s="726"/>
      <c r="AY38" s="726"/>
      <c r="AZ38" s="726"/>
      <c r="BA38" s="726"/>
      <c r="BB38" s="726"/>
      <c r="BC38" s="726"/>
      <c r="BD38" s="726"/>
      <c r="BE38" s="726"/>
      <c r="BF38" s="726"/>
      <c r="BG38" s="726"/>
      <c r="BH38" s="726"/>
      <c r="BI38" s="726"/>
      <c r="BJ38" s="726"/>
      <c r="BK38" s="726"/>
      <c r="BL38" s="726"/>
      <c r="BM38" s="726"/>
      <c r="BN38" s="726"/>
      <c r="BO38" s="726"/>
      <c r="BP38" s="726"/>
      <c r="BQ38" s="726"/>
      <c r="BR38" s="726"/>
      <c r="BS38" s="726"/>
      <c r="BT38" s="726"/>
      <c r="BU38" s="726"/>
      <c r="BV38" s="726"/>
      <c r="BW38" s="726"/>
      <c r="BX38" s="726"/>
      <c r="BY38" s="726"/>
      <c r="BZ38" s="726"/>
      <c r="CA38" s="726"/>
      <c r="CB38" s="727"/>
      <c r="CC38" s="75"/>
      <c r="CD38" s="58"/>
      <c r="CE38" s="76"/>
      <c r="CF38" s="58"/>
    </row>
    <row r="39" spans="1:84" s="4" customFormat="1" ht="12.75" customHeight="1" x14ac:dyDescent="0.15">
      <c r="A39" s="16"/>
      <c r="B39" s="5"/>
      <c r="C39" s="73"/>
      <c r="D39" s="79"/>
      <c r="E39" s="79"/>
      <c r="F39" s="79"/>
      <c r="G39" s="77"/>
      <c r="H39" s="77"/>
      <c r="I39" s="77"/>
      <c r="J39" s="77"/>
      <c r="K39" s="77"/>
      <c r="L39" s="77"/>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58"/>
      <c r="CD39" s="58"/>
      <c r="CE39" s="76"/>
      <c r="CF39" s="58"/>
    </row>
    <row r="40" spans="1:84" s="4" customFormat="1" ht="12.75" customHeight="1" x14ac:dyDescent="0.15">
      <c r="A40" s="16"/>
      <c r="B40" s="5"/>
      <c r="C40" s="73"/>
      <c r="D40" s="22" t="s">
        <v>99</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8"/>
      <c r="CE40" s="76"/>
      <c r="CF40" s="58"/>
    </row>
    <row r="41" spans="1:84" s="4" customFormat="1" ht="12" customHeight="1" x14ac:dyDescent="0.15">
      <c r="A41" s="16"/>
      <c r="C41" s="58"/>
      <c r="D41" s="51" t="s">
        <v>100</v>
      </c>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3"/>
      <c r="CE41" s="18"/>
    </row>
    <row r="42" spans="1:84" s="4" customFormat="1" ht="12" customHeight="1" x14ac:dyDescent="0.15">
      <c r="A42" s="16"/>
      <c r="C42" s="58"/>
      <c r="D42" s="192"/>
      <c r="E42" s="54" t="s">
        <v>101</v>
      </c>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193"/>
      <c r="CE42" s="18"/>
    </row>
    <row r="43" spans="1:84" s="4" customFormat="1" ht="12" customHeight="1" x14ac:dyDescent="0.15">
      <c r="A43" s="16"/>
      <c r="C43" s="58"/>
      <c r="D43" s="192"/>
      <c r="E43" s="54" t="s">
        <v>911</v>
      </c>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193"/>
      <c r="CE43" s="18"/>
    </row>
    <row r="44" spans="1:84" s="4" customFormat="1" ht="12" customHeight="1" x14ac:dyDescent="0.15">
      <c r="A44" s="16"/>
      <c r="C44" s="5"/>
      <c r="D44" s="55"/>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7"/>
      <c r="CE44" s="18"/>
    </row>
    <row r="45" spans="1:84" s="4" customFormat="1" ht="12.75" customHeight="1" thickBot="1" x14ac:dyDescent="0.2">
      <c r="A45" s="25"/>
      <c r="B45" s="141"/>
      <c r="C45" s="142"/>
      <c r="D45" s="194"/>
      <c r="E45" s="194"/>
      <c r="F45" s="194"/>
      <c r="G45" s="195"/>
      <c r="H45" s="195"/>
      <c r="I45" s="195"/>
      <c r="J45" s="195"/>
      <c r="K45" s="195"/>
      <c r="L45" s="195"/>
      <c r="M45" s="196"/>
      <c r="N45" s="196"/>
      <c r="O45" s="196"/>
      <c r="P45" s="196"/>
      <c r="Q45" s="196"/>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6"/>
      <c r="BB45" s="196"/>
      <c r="BC45" s="196"/>
      <c r="BD45" s="196"/>
      <c r="BE45" s="196"/>
      <c r="BF45" s="196"/>
      <c r="BG45" s="196"/>
      <c r="BH45" s="196"/>
      <c r="BI45" s="196"/>
      <c r="BJ45" s="196"/>
      <c r="BK45" s="196"/>
      <c r="BL45" s="196"/>
      <c r="BM45" s="196"/>
      <c r="BN45" s="196"/>
      <c r="BO45" s="196"/>
      <c r="BP45" s="196"/>
      <c r="BQ45" s="196"/>
      <c r="BR45" s="196"/>
      <c r="BS45" s="196"/>
      <c r="BT45" s="196"/>
      <c r="BU45" s="196"/>
      <c r="BV45" s="196"/>
      <c r="BW45" s="196"/>
      <c r="BX45" s="196"/>
      <c r="BY45" s="196"/>
      <c r="BZ45" s="196"/>
      <c r="CA45" s="196"/>
      <c r="CB45" s="196"/>
      <c r="CC45" s="104"/>
      <c r="CD45" s="104"/>
      <c r="CE45" s="143"/>
      <c r="CF45" s="58"/>
    </row>
    <row r="46" spans="1:84" s="204" customFormat="1" ht="12.75" customHeight="1" x14ac:dyDescent="0.15">
      <c r="A46" s="197"/>
      <c r="B46" s="198"/>
      <c r="C46" s="199"/>
      <c r="D46" s="200"/>
      <c r="E46" s="201"/>
      <c r="F46" s="201"/>
      <c r="G46" s="201"/>
      <c r="H46" s="201"/>
      <c r="I46" s="201"/>
      <c r="J46" s="201"/>
      <c r="K46" s="201"/>
      <c r="L46" s="201"/>
      <c r="M46" s="201"/>
      <c r="N46" s="201"/>
      <c r="O46" s="202"/>
      <c r="P46" s="202"/>
      <c r="Q46" s="202"/>
      <c r="R46" s="202"/>
      <c r="S46" s="202"/>
      <c r="T46" s="202"/>
      <c r="U46" s="202"/>
      <c r="V46" s="202"/>
      <c r="W46" s="202"/>
      <c r="X46" s="202"/>
      <c r="Y46" s="202"/>
      <c r="Z46" s="202"/>
      <c r="AA46" s="202"/>
      <c r="AB46" s="202"/>
      <c r="AC46" s="202"/>
      <c r="AD46" s="202"/>
      <c r="AE46" s="202"/>
      <c r="AF46" s="202"/>
      <c r="AG46" s="202"/>
      <c r="AH46" s="202"/>
      <c r="AI46" s="202"/>
      <c r="AJ46" s="202"/>
      <c r="AK46" s="202"/>
      <c r="AL46" s="202"/>
      <c r="AM46" s="202"/>
      <c r="AN46" s="202"/>
      <c r="AO46" s="202"/>
      <c r="AP46" s="202"/>
      <c r="AQ46" s="202"/>
      <c r="AR46" s="202"/>
      <c r="AS46" s="202"/>
      <c r="AT46" s="202"/>
      <c r="AU46" s="202"/>
      <c r="AV46" s="202"/>
      <c r="AW46" s="202"/>
      <c r="AX46" s="202"/>
      <c r="AY46" s="202"/>
      <c r="AZ46" s="202"/>
      <c r="BA46" s="202"/>
      <c r="BB46" s="202"/>
      <c r="BC46" s="202"/>
      <c r="BD46" s="202"/>
      <c r="BE46" s="202"/>
      <c r="BF46" s="202"/>
      <c r="BG46" s="202"/>
      <c r="BH46" s="202"/>
      <c r="BI46" s="202"/>
      <c r="BJ46" s="202"/>
      <c r="BK46" s="202"/>
      <c r="BL46" s="202"/>
      <c r="BM46" s="202"/>
      <c r="BN46" s="202"/>
      <c r="BO46" s="202"/>
      <c r="BP46" s="202"/>
      <c r="BQ46" s="202"/>
      <c r="BR46" s="202"/>
      <c r="BS46" s="202"/>
      <c r="BT46" s="202"/>
      <c r="BU46" s="202"/>
      <c r="BV46" s="202"/>
      <c r="BW46" s="202"/>
      <c r="BX46" s="202"/>
      <c r="BY46" s="202"/>
      <c r="BZ46" s="202"/>
      <c r="CA46" s="202"/>
      <c r="CB46" s="202"/>
      <c r="CC46" s="202"/>
      <c r="CD46" s="201"/>
      <c r="CE46" s="203"/>
    </row>
    <row r="47" spans="1:84" s="204" customFormat="1" ht="12.75" customHeight="1" x14ac:dyDescent="0.15">
      <c r="A47" s="205"/>
      <c r="B47" s="206"/>
      <c r="C47" s="22" t="s">
        <v>761</v>
      </c>
      <c r="D47" s="22"/>
      <c r="E47" s="11"/>
      <c r="F47" s="11"/>
      <c r="G47" s="11"/>
      <c r="H47" s="11"/>
      <c r="I47" s="11"/>
      <c r="J47" s="11"/>
      <c r="K47" s="11"/>
      <c r="L47" s="11"/>
      <c r="M47" s="11"/>
      <c r="N47" s="11"/>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207"/>
      <c r="CD47" s="208"/>
      <c r="CE47" s="209"/>
    </row>
    <row r="48" spans="1:84" s="204" customFormat="1" ht="12.75" customHeight="1" x14ac:dyDescent="0.15">
      <c r="A48" s="205"/>
      <c r="B48" s="206"/>
      <c r="C48" s="22"/>
      <c r="D48" s="22" t="s">
        <v>103</v>
      </c>
      <c r="E48" s="11"/>
      <c r="F48" s="11"/>
      <c r="G48" s="11"/>
      <c r="H48" s="11"/>
      <c r="I48" s="11"/>
      <c r="J48" s="11"/>
      <c r="K48" s="11"/>
      <c r="L48" s="11"/>
      <c r="M48" s="11"/>
      <c r="N48" s="11"/>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207"/>
      <c r="CD48" s="208"/>
      <c r="CE48" s="209"/>
    </row>
    <row r="49" spans="1:83" s="204" customFormat="1" ht="12.75" customHeight="1" x14ac:dyDescent="0.15">
      <c r="A49" s="205"/>
      <c r="B49" s="206"/>
      <c r="C49" s="22"/>
      <c r="D49" s="22"/>
      <c r="E49" s="12" t="s">
        <v>406</v>
      </c>
      <c r="F49" s="11"/>
      <c r="G49" s="11"/>
      <c r="H49" s="11"/>
      <c r="I49" s="11"/>
      <c r="J49" s="11"/>
      <c r="K49" s="11"/>
      <c r="L49" s="11"/>
      <c r="M49" s="11"/>
      <c r="N49" s="11"/>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207"/>
      <c r="CD49" s="208"/>
      <c r="CE49" s="209"/>
    </row>
    <row r="50" spans="1:83" s="204" customFormat="1" ht="12.75" customHeight="1" x14ac:dyDescent="0.15">
      <c r="A50" s="205"/>
      <c r="B50" s="206"/>
      <c r="C50" s="73"/>
      <c r="D50" s="586" t="s">
        <v>391</v>
      </c>
      <c r="E50" s="703"/>
      <c r="F50" s="704"/>
      <c r="G50" s="729" t="s">
        <v>400</v>
      </c>
      <c r="H50" s="730"/>
      <c r="I50" s="730"/>
      <c r="J50" s="730"/>
      <c r="K50" s="730"/>
      <c r="L50" s="730"/>
      <c r="M50" s="731"/>
      <c r="N50" s="586" t="s">
        <v>92</v>
      </c>
      <c r="O50" s="703"/>
      <c r="P50" s="703"/>
      <c r="Q50" s="704"/>
      <c r="R50" s="729">
        <v>1</v>
      </c>
      <c r="S50" s="730"/>
      <c r="T50" s="730"/>
      <c r="U50" s="730"/>
      <c r="V50" s="730"/>
      <c r="W50" s="730"/>
      <c r="X50" s="731"/>
      <c r="Y50" s="586" t="s">
        <v>401</v>
      </c>
      <c r="Z50" s="703"/>
      <c r="AA50" s="703"/>
      <c r="AB50" s="703"/>
      <c r="AC50" s="703"/>
      <c r="AD50" s="703"/>
      <c r="AE50" s="704"/>
      <c r="AF50" s="736" t="s">
        <v>407</v>
      </c>
      <c r="AG50" s="737"/>
      <c r="AH50" s="737"/>
      <c r="AI50" s="737"/>
      <c r="AJ50" s="737"/>
      <c r="AK50" s="737"/>
      <c r="AL50" s="737"/>
      <c r="AM50" s="737"/>
      <c r="AN50" s="737"/>
      <c r="AO50" s="737"/>
      <c r="AP50" s="737"/>
      <c r="AQ50" s="737"/>
      <c r="AR50" s="737"/>
      <c r="AS50" s="737"/>
      <c r="AT50" s="737"/>
      <c r="AU50" s="737"/>
      <c r="AV50" s="737"/>
      <c r="AW50" s="737"/>
      <c r="AX50" s="737"/>
      <c r="AY50" s="737"/>
      <c r="AZ50" s="737"/>
      <c r="BA50" s="737"/>
      <c r="BB50" s="737"/>
      <c r="BC50" s="737"/>
      <c r="BD50" s="737"/>
      <c r="BE50" s="737"/>
      <c r="BF50" s="737"/>
      <c r="BG50" s="737"/>
      <c r="BH50" s="737"/>
      <c r="BI50" s="737"/>
      <c r="BJ50" s="737"/>
      <c r="BK50" s="737"/>
      <c r="BL50" s="737"/>
      <c r="BM50" s="737"/>
      <c r="BN50" s="737"/>
      <c r="BO50" s="737"/>
      <c r="BP50" s="737"/>
      <c r="BQ50" s="737"/>
      <c r="BR50" s="737"/>
      <c r="BS50" s="737"/>
      <c r="BT50" s="737"/>
      <c r="BU50" s="737"/>
      <c r="BV50" s="737"/>
      <c r="BW50" s="737"/>
      <c r="BX50" s="737"/>
      <c r="BY50" s="737"/>
      <c r="BZ50" s="737"/>
      <c r="CA50" s="737"/>
      <c r="CB50" s="738"/>
      <c r="CC50" s="210"/>
      <c r="CD50" s="211"/>
      <c r="CE50" s="212"/>
    </row>
    <row r="51" spans="1:83" s="204" customFormat="1" ht="12.75" customHeight="1" x14ac:dyDescent="0.15">
      <c r="A51" s="205"/>
      <c r="B51" s="206"/>
      <c r="C51" s="73"/>
      <c r="D51" s="707"/>
      <c r="E51" s="708"/>
      <c r="F51" s="709"/>
      <c r="G51" s="732"/>
      <c r="H51" s="733"/>
      <c r="I51" s="733"/>
      <c r="J51" s="733"/>
      <c r="K51" s="733"/>
      <c r="L51" s="733"/>
      <c r="M51" s="734"/>
      <c r="N51" s="707"/>
      <c r="O51" s="708"/>
      <c r="P51" s="708"/>
      <c r="Q51" s="709"/>
      <c r="R51" s="732"/>
      <c r="S51" s="733"/>
      <c r="T51" s="733"/>
      <c r="U51" s="733"/>
      <c r="V51" s="733"/>
      <c r="W51" s="733"/>
      <c r="X51" s="734"/>
      <c r="Y51" s="707"/>
      <c r="Z51" s="708"/>
      <c r="AA51" s="708"/>
      <c r="AB51" s="708"/>
      <c r="AC51" s="708"/>
      <c r="AD51" s="708"/>
      <c r="AE51" s="709"/>
      <c r="AF51" s="739"/>
      <c r="AG51" s="740"/>
      <c r="AH51" s="740"/>
      <c r="AI51" s="740"/>
      <c r="AJ51" s="740"/>
      <c r="AK51" s="740"/>
      <c r="AL51" s="740"/>
      <c r="AM51" s="740"/>
      <c r="AN51" s="740"/>
      <c r="AO51" s="740"/>
      <c r="AP51" s="740"/>
      <c r="AQ51" s="740"/>
      <c r="AR51" s="740"/>
      <c r="AS51" s="740"/>
      <c r="AT51" s="740"/>
      <c r="AU51" s="740"/>
      <c r="AV51" s="740"/>
      <c r="AW51" s="740"/>
      <c r="AX51" s="740"/>
      <c r="AY51" s="740"/>
      <c r="AZ51" s="740"/>
      <c r="BA51" s="740"/>
      <c r="BB51" s="740"/>
      <c r="BC51" s="740"/>
      <c r="BD51" s="740"/>
      <c r="BE51" s="740"/>
      <c r="BF51" s="740"/>
      <c r="BG51" s="740"/>
      <c r="BH51" s="740"/>
      <c r="BI51" s="740"/>
      <c r="BJ51" s="740"/>
      <c r="BK51" s="740"/>
      <c r="BL51" s="740"/>
      <c r="BM51" s="740"/>
      <c r="BN51" s="740"/>
      <c r="BO51" s="740"/>
      <c r="BP51" s="740"/>
      <c r="BQ51" s="740"/>
      <c r="BR51" s="740"/>
      <c r="BS51" s="740"/>
      <c r="BT51" s="740"/>
      <c r="BU51" s="740"/>
      <c r="BV51" s="740"/>
      <c r="BW51" s="740"/>
      <c r="BX51" s="740"/>
      <c r="BY51" s="740"/>
      <c r="BZ51" s="740"/>
      <c r="CA51" s="740"/>
      <c r="CB51" s="741"/>
      <c r="CC51" s="213"/>
      <c r="CD51" s="211"/>
      <c r="CE51" s="212"/>
    </row>
    <row r="52" spans="1:83" s="204" customFormat="1" ht="12.75" customHeight="1" x14ac:dyDescent="0.15">
      <c r="A52" s="205"/>
      <c r="B52" s="206"/>
      <c r="C52" s="73"/>
      <c r="D52" s="753" t="s">
        <v>402</v>
      </c>
      <c r="E52" s="754"/>
      <c r="F52" s="755"/>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c r="BU52" s="80"/>
      <c r="BV52" s="80"/>
      <c r="BW52" s="80"/>
      <c r="BX52" s="80"/>
      <c r="BY52" s="80"/>
      <c r="BZ52" s="80"/>
      <c r="CA52" s="80"/>
      <c r="CB52" s="81"/>
      <c r="CC52" s="213"/>
      <c r="CD52" s="211"/>
      <c r="CE52" s="212"/>
    </row>
    <row r="53" spans="1:83" s="217" customFormat="1" ht="12.75" customHeight="1" x14ac:dyDescent="0.15">
      <c r="A53" s="214"/>
      <c r="B53" s="206"/>
      <c r="C53" s="92"/>
      <c r="D53" s="756"/>
      <c r="E53" s="757"/>
      <c r="F53" s="7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92"/>
      <c r="BI53" s="58"/>
      <c r="BJ53" s="58"/>
      <c r="BK53" s="58"/>
      <c r="BL53" s="54"/>
      <c r="BM53" s="58"/>
      <c r="BN53" s="58"/>
      <c r="BO53" s="58"/>
      <c r="BP53" s="58"/>
      <c r="BQ53" s="58"/>
      <c r="BR53" s="92"/>
      <c r="BS53" s="58"/>
      <c r="BT53" s="58"/>
      <c r="BU53" s="58"/>
      <c r="BV53" s="58"/>
      <c r="BW53" s="58"/>
      <c r="BX53" s="58"/>
      <c r="BY53" s="58"/>
      <c r="BZ53" s="58"/>
      <c r="CA53" s="58"/>
      <c r="CB53" s="82"/>
      <c r="CC53" s="213"/>
      <c r="CD53" s="215"/>
      <c r="CE53" s="216"/>
    </row>
    <row r="54" spans="1:83" s="217" customFormat="1" ht="12.75" customHeight="1" x14ac:dyDescent="0.15">
      <c r="A54" s="214"/>
      <c r="B54" s="206"/>
      <c r="C54" s="92"/>
      <c r="D54" s="756"/>
      <c r="E54" s="757"/>
      <c r="F54" s="7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4"/>
      <c r="BI54" s="58"/>
      <c r="BJ54" s="58"/>
      <c r="BK54" s="58"/>
      <c r="BL54" s="58"/>
      <c r="BM54" s="58"/>
      <c r="BN54" s="58"/>
      <c r="BO54" s="58"/>
      <c r="BP54" s="58"/>
      <c r="BQ54" s="58"/>
      <c r="BR54" s="58"/>
      <c r="BS54" s="58"/>
      <c r="BT54" s="58"/>
      <c r="BU54" s="58"/>
      <c r="BV54" s="58"/>
      <c r="BW54" s="58"/>
      <c r="BX54" s="58"/>
      <c r="BY54" s="58"/>
      <c r="BZ54" s="58"/>
      <c r="CA54" s="58"/>
      <c r="CB54" s="82"/>
      <c r="CC54" s="213"/>
      <c r="CD54" s="215"/>
      <c r="CE54" s="216"/>
    </row>
    <row r="55" spans="1:83" s="217" customFormat="1" ht="12.75" customHeight="1" x14ac:dyDescent="0.15">
      <c r="A55" s="214"/>
      <c r="B55" s="206"/>
      <c r="C55" s="92"/>
      <c r="D55" s="756"/>
      <c r="E55" s="757"/>
      <c r="F55" s="7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82"/>
      <c r="CC55" s="213"/>
      <c r="CD55" s="215"/>
      <c r="CE55" s="216"/>
    </row>
    <row r="56" spans="1:83" s="217" customFormat="1" ht="12.75" customHeight="1" x14ac:dyDescent="0.15">
      <c r="A56" s="214"/>
      <c r="B56" s="206"/>
      <c r="C56" s="92"/>
      <c r="D56" s="756"/>
      <c r="E56" s="757"/>
      <c r="F56" s="7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82"/>
      <c r="CC56" s="213"/>
      <c r="CD56" s="215"/>
      <c r="CE56" s="216"/>
    </row>
    <row r="57" spans="1:83" s="217" customFormat="1" ht="12.75" customHeight="1" x14ac:dyDescent="0.15">
      <c r="A57" s="214"/>
      <c r="B57" s="206"/>
      <c r="C57" s="92"/>
      <c r="D57" s="756"/>
      <c r="E57" s="757"/>
      <c r="F57" s="7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82"/>
      <c r="CC57" s="213"/>
      <c r="CD57" s="215"/>
      <c r="CE57" s="216"/>
    </row>
    <row r="58" spans="1:83" s="217" customFormat="1" ht="12.75" customHeight="1" x14ac:dyDescent="0.15">
      <c r="A58" s="214"/>
      <c r="B58" s="206"/>
      <c r="C58" s="92"/>
      <c r="D58" s="756"/>
      <c r="E58" s="757"/>
      <c r="F58" s="7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82"/>
      <c r="CC58" s="213"/>
      <c r="CD58" s="215"/>
      <c r="CE58" s="216"/>
    </row>
    <row r="59" spans="1:83" s="217" customFormat="1" ht="12.75" customHeight="1" x14ac:dyDescent="0.15">
      <c r="A59" s="214"/>
      <c r="B59" s="206"/>
      <c r="C59" s="92"/>
      <c r="D59" s="756"/>
      <c r="E59" s="757"/>
      <c r="F59" s="7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82"/>
      <c r="CC59" s="213"/>
      <c r="CD59" s="215"/>
      <c r="CE59" s="216"/>
    </row>
    <row r="60" spans="1:83" s="217" customFormat="1" ht="12.75" customHeight="1" x14ac:dyDescent="0.15">
      <c r="A60" s="214"/>
      <c r="B60" s="206"/>
      <c r="C60" s="92"/>
      <c r="D60" s="756"/>
      <c r="E60" s="757"/>
      <c r="F60" s="7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82"/>
      <c r="CC60" s="213"/>
      <c r="CD60" s="215"/>
      <c r="CE60" s="216"/>
    </row>
    <row r="61" spans="1:83" s="217" customFormat="1" ht="12.75" customHeight="1" x14ac:dyDescent="0.15">
      <c r="A61" s="214"/>
      <c r="B61" s="206"/>
      <c r="C61" s="92"/>
      <c r="D61" s="756"/>
      <c r="E61" s="757"/>
      <c r="F61" s="7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82"/>
      <c r="CC61" s="213"/>
      <c r="CD61" s="215"/>
      <c r="CE61" s="216"/>
    </row>
    <row r="62" spans="1:83" s="217" customFormat="1" ht="12.75" customHeight="1" x14ac:dyDescent="0.15">
      <c r="A62" s="214"/>
      <c r="B62" s="206"/>
      <c r="C62" s="92"/>
      <c r="D62" s="756"/>
      <c r="E62" s="757"/>
      <c r="F62" s="7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82"/>
      <c r="CC62" s="213"/>
      <c r="CD62" s="215"/>
      <c r="CE62" s="216"/>
    </row>
    <row r="63" spans="1:83" s="220" customFormat="1" ht="12.75" customHeight="1" x14ac:dyDescent="0.15">
      <c r="A63" s="205"/>
      <c r="B63" s="210"/>
      <c r="C63" s="29"/>
      <c r="D63" s="756"/>
      <c r="E63" s="757"/>
      <c r="F63" s="7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82"/>
      <c r="CC63" s="213"/>
      <c r="CD63" s="218"/>
      <c r="CE63" s="219"/>
    </row>
    <row r="64" spans="1:83" s="204" customFormat="1" ht="12.75" customHeight="1" x14ac:dyDescent="0.15">
      <c r="A64" s="205"/>
      <c r="B64" s="206"/>
      <c r="C64" s="73"/>
      <c r="D64" s="756"/>
      <c r="E64" s="757"/>
      <c r="F64" s="7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82"/>
      <c r="CC64" s="213"/>
      <c r="CD64" s="211"/>
      <c r="CE64" s="212"/>
    </row>
    <row r="65" spans="1:83" s="204" customFormat="1" ht="12.75" customHeight="1" x14ac:dyDescent="0.15">
      <c r="A65" s="205"/>
      <c r="B65" s="221"/>
      <c r="C65" s="73"/>
      <c r="D65" s="756"/>
      <c r="E65" s="757"/>
      <c r="F65" s="7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82"/>
      <c r="CC65" s="213"/>
      <c r="CD65" s="211"/>
      <c r="CE65" s="212"/>
    </row>
    <row r="66" spans="1:83" s="204" customFormat="1" ht="12.75" customHeight="1" x14ac:dyDescent="0.15">
      <c r="A66" s="205"/>
      <c r="B66" s="221"/>
      <c r="C66" s="73"/>
      <c r="D66" s="756"/>
      <c r="E66" s="757"/>
      <c r="F66" s="7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82"/>
      <c r="CC66" s="213"/>
      <c r="CD66" s="211"/>
      <c r="CE66" s="212"/>
    </row>
    <row r="67" spans="1:83" s="204" customFormat="1" ht="12.75" customHeight="1" x14ac:dyDescent="0.15">
      <c r="A67" s="205"/>
      <c r="B67" s="206"/>
      <c r="C67" s="73"/>
      <c r="D67" s="756"/>
      <c r="E67" s="757"/>
      <c r="F67" s="7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82"/>
      <c r="CC67" s="213"/>
      <c r="CD67" s="211"/>
      <c r="CE67" s="212"/>
    </row>
    <row r="68" spans="1:83" s="204" customFormat="1" ht="12.75" customHeight="1" x14ac:dyDescent="0.15">
      <c r="A68" s="205"/>
      <c r="B68" s="206"/>
      <c r="C68" s="73"/>
      <c r="D68" s="756"/>
      <c r="E68" s="757"/>
      <c r="F68" s="7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82"/>
      <c r="CC68" s="213"/>
      <c r="CD68" s="211"/>
      <c r="CE68" s="212"/>
    </row>
    <row r="69" spans="1:83" s="204" customFormat="1" ht="12.75" customHeight="1" x14ac:dyDescent="0.15">
      <c r="A69" s="205"/>
      <c r="B69" s="210"/>
      <c r="C69" s="73"/>
      <c r="D69" s="756"/>
      <c r="E69" s="757"/>
      <c r="F69" s="7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82"/>
      <c r="CC69" s="213"/>
      <c r="CD69" s="211"/>
      <c r="CE69" s="212"/>
    </row>
    <row r="70" spans="1:83" s="204" customFormat="1" ht="12.75" customHeight="1" x14ac:dyDescent="0.15">
      <c r="A70" s="205"/>
      <c r="B70" s="206"/>
      <c r="C70" s="73"/>
      <c r="D70" s="756"/>
      <c r="E70" s="757"/>
      <c r="F70" s="7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82"/>
      <c r="CC70" s="213"/>
      <c r="CD70" s="211"/>
      <c r="CE70" s="212"/>
    </row>
    <row r="71" spans="1:83" s="204" customFormat="1" ht="12.75" customHeight="1" x14ac:dyDescent="0.15">
      <c r="A71" s="205"/>
      <c r="B71" s="206"/>
      <c r="C71" s="73"/>
      <c r="D71" s="756"/>
      <c r="E71" s="757"/>
      <c r="F71" s="7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82"/>
      <c r="CC71" s="213"/>
      <c r="CD71" s="211"/>
      <c r="CE71" s="212"/>
    </row>
    <row r="72" spans="1:83" s="204" customFormat="1" ht="12.75" customHeight="1" x14ac:dyDescent="0.15">
      <c r="A72" s="222"/>
      <c r="B72" s="223"/>
      <c r="C72" s="73"/>
      <c r="D72" s="756"/>
      <c r="E72" s="757"/>
      <c r="F72" s="7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82"/>
      <c r="CC72" s="213"/>
      <c r="CD72" s="211"/>
      <c r="CE72" s="212"/>
    </row>
    <row r="73" spans="1:83" s="228" customFormat="1" ht="12.75" customHeight="1" x14ac:dyDescent="0.15">
      <c r="A73" s="224"/>
      <c r="B73" s="225"/>
      <c r="C73" s="3"/>
      <c r="D73" s="756"/>
      <c r="E73" s="757"/>
      <c r="F73" s="7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82"/>
      <c r="CC73" s="213"/>
      <c r="CD73" s="226"/>
      <c r="CE73" s="227"/>
    </row>
    <row r="74" spans="1:83" s="228" customFormat="1" ht="12.75" customHeight="1" x14ac:dyDescent="0.15">
      <c r="A74" s="224"/>
      <c r="B74" s="225"/>
      <c r="C74" s="3"/>
      <c r="D74" s="756"/>
      <c r="E74" s="757"/>
      <c r="F74" s="7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82"/>
      <c r="CC74" s="213"/>
      <c r="CD74" s="226"/>
      <c r="CE74" s="227"/>
    </row>
    <row r="75" spans="1:83" s="228" customFormat="1" ht="12.75" customHeight="1" x14ac:dyDescent="0.15">
      <c r="A75" s="224"/>
      <c r="B75" s="225"/>
      <c r="C75" s="3"/>
      <c r="D75" s="756"/>
      <c r="E75" s="757"/>
      <c r="F75" s="7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82"/>
      <c r="CC75" s="213"/>
      <c r="CD75" s="226"/>
      <c r="CE75" s="227"/>
    </row>
    <row r="76" spans="1:83" s="228" customFormat="1" ht="12.75" customHeight="1" x14ac:dyDescent="0.15">
      <c r="A76" s="224"/>
      <c r="B76" s="225"/>
      <c r="C76" s="3"/>
      <c r="D76" s="756"/>
      <c r="E76" s="757"/>
      <c r="F76" s="7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82"/>
      <c r="CC76" s="213"/>
      <c r="CD76" s="226"/>
      <c r="CE76" s="227"/>
    </row>
    <row r="77" spans="1:83" s="228" customFormat="1" ht="12.75" customHeight="1" x14ac:dyDescent="0.15">
      <c r="A77" s="224"/>
      <c r="B77" s="225"/>
      <c r="C77" s="3"/>
      <c r="D77" s="756"/>
      <c r="E77" s="757"/>
      <c r="F77" s="7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82"/>
      <c r="CC77" s="213"/>
      <c r="CD77" s="226"/>
      <c r="CE77" s="227"/>
    </row>
    <row r="78" spans="1:83" s="228" customFormat="1" ht="12.75" customHeight="1" x14ac:dyDescent="0.15">
      <c r="A78" s="224"/>
      <c r="B78" s="225"/>
      <c r="C78" s="3"/>
      <c r="D78" s="756"/>
      <c r="E78" s="757"/>
      <c r="F78" s="758"/>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82"/>
      <c r="CC78" s="213"/>
      <c r="CD78" s="226"/>
      <c r="CE78" s="227"/>
    </row>
    <row r="79" spans="1:83" s="228" customFormat="1" x14ac:dyDescent="0.15">
      <c r="A79" s="229"/>
      <c r="B79" s="226"/>
      <c r="C79" s="3"/>
      <c r="D79" s="756"/>
      <c r="E79" s="757"/>
      <c r="F79" s="758"/>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82"/>
      <c r="CC79" s="213"/>
      <c r="CD79" s="226"/>
      <c r="CE79" s="227"/>
    </row>
    <row r="80" spans="1:83" s="228" customFormat="1" x14ac:dyDescent="0.15">
      <c r="A80" s="229"/>
      <c r="B80" s="226"/>
      <c r="C80" s="3"/>
      <c r="D80" s="756"/>
      <c r="E80" s="757"/>
      <c r="F80" s="758"/>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82"/>
      <c r="CC80" s="213"/>
      <c r="CD80" s="226"/>
      <c r="CE80" s="227"/>
    </row>
    <row r="81" spans="1:83" s="228" customFormat="1" x14ac:dyDescent="0.15">
      <c r="A81" s="229"/>
      <c r="B81" s="226"/>
      <c r="C81" s="3"/>
      <c r="D81" s="756"/>
      <c r="E81" s="757"/>
      <c r="F81" s="758"/>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82"/>
      <c r="CC81" s="213"/>
      <c r="CD81" s="226"/>
      <c r="CE81" s="227"/>
    </row>
    <row r="82" spans="1:83" s="228" customFormat="1" x14ac:dyDescent="0.15">
      <c r="A82" s="229"/>
      <c r="B82" s="226"/>
      <c r="C82" s="3"/>
      <c r="D82" s="756"/>
      <c r="E82" s="757"/>
      <c r="F82" s="758"/>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82"/>
      <c r="CC82" s="213"/>
      <c r="CD82" s="226"/>
      <c r="CE82" s="227"/>
    </row>
    <row r="83" spans="1:83" s="228" customFormat="1" ht="12.75" customHeight="1" x14ac:dyDescent="0.15">
      <c r="A83" s="224"/>
      <c r="B83" s="225"/>
      <c r="C83" s="3"/>
      <c r="D83" s="759"/>
      <c r="E83" s="760"/>
      <c r="F83" s="761"/>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4"/>
      <c r="CC83" s="213"/>
      <c r="CD83" s="226"/>
      <c r="CE83" s="227"/>
    </row>
    <row r="84" spans="1:83" s="228" customFormat="1" ht="12.75" customHeight="1" thickBot="1" x14ac:dyDescent="0.2">
      <c r="A84" s="230"/>
      <c r="B84" s="231"/>
      <c r="C84" s="232"/>
      <c r="D84" s="233"/>
      <c r="E84" s="233"/>
      <c r="F84" s="233"/>
      <c r="G84" s="234"/>
      <c r="H84" s="234"/>
      <c r="I84" s="234"/>
      <c r="J84" s="234"/>
      <c r="K84" s="234"/>
      <c r="L84" s="234"/>
      <c r="M84" s="234"/>
      <c r="N84" s="234"/>
      <c r="O84" s="234"/>
      <c r="P84" s="234"/>
      <c r="Q84" s="234"/>
      <c r="R84" s="234"/>
      <c r="S84" s="234"/>
      <c r="T84" s="234"/>
      <c r="U84" s="234"/>
      <c r="V84" s="234"/>
      <c r="W84" s="234"/>
      <c r="X84" s="234"/>
      <c r="Y84" s="234"/>
      <c r="Z84" s="234"/>
      <c r="AA84" s="234"/>
      <c r="AB84" s="234"/>
      <c r="AC84" s="234"/>
      <c r="AD84" s="234"/>
      <c r="AE84" s="234"/>
      <c r="AF84" s="234"/>
      <c r="AG84" s="234"/>
      <c r="AH84" s="234"/>
      <c r="AI84" s="234"/>
      <c r="AJ84" s="234"/>
      <c r="AK84" s="234"/>
      <c r="AL84" s="234"/>
      <c r="AM84" s="234"/>
      <c r="AN84" s="234"/>
      <c r="AO84" s="234"/>
      <c r="AP84" s="234"/>
      <c r="AQ84" s="234"/>
      <c r="AR84" s="234"/>
      <c r="AS84" s="234"/>
      <c r="AT84" s="234"/>
      <c r="AU84" s="234"/>
      <c r="AV84" s="234"/>
      <c r="AW84" s="234"/>
      <c r="AX84" s="234"/>
      <c r="AY84" s="234"/>
      <c r="AZ84" s="234"/>
      <c r="BA84" s="234"/>
      <c r="BB84" s="234"/>
      <c r="BC84" s="234"/>
      <c r="BD84" s="234"/>
      <c r="BE84" s="234"/>
      <c r="BF84" s="234"/>
      <c r="BG84" s="234"/>
      <c r="BH84" s="234"/>
      <c r="BI84" s="234"/>
      <c r="BJ84" s="234"/>
      <c r="BK84" s="234"/>
      <c r="BL84" s="234"/>
      <c r="BM84" s="234"/>
      <c r="BN84" s="234"/>
      <c r="BO84" s="234"/>
      <c r="BP84" s="234"/>
      <c r="BQ84" s="234"/>
      <c r="BR84" s="234"/>
      <c r="BS84" s="234"/>
      <c r="BT84" s="234"/>
      <c r="BU84" s="234"/>
      <c r="BV84" s="234"/>
      <c r="BW84" s="234"/>
      <c r="BX84" s="234"/>
      <c r="BY84" s="234"/>
      <c r="BZ84" s="234"/>
      <c r="CA84" s="234"/>
      <c r="CB84" s="234"/>
      <c r="CC84" s="235"/>
      <c r="CD84" s="232"/>
      <c r="CE84" s="236"/>
    </row>
    <row r="85" spans="1:83" s="228" customFormat="1" ht="12.75" customHeight="1" x14ac:dyDescent="0.15">
      <c r="A85" s="237"/>
      <c r="B85" s="238"/>
      <c r="C85" s="238"/>
      <c r="D85" s="238"/>
      <c r="E85" s="238"/>
      <c r="F85" s="238"/>
      <c r="G85" s="238"/>
      <c r="H85" s="238"/>
      <c r="I85" s="238"/>
      <c r="J85" s="238"/>
      <c r="K85" s="238"/>
      <c r="L85" s="238"/>
      <c r="M85" s="238"/>
      <c r="N85" s="238"/>
      <c r="O85" s="238"/>
      <c r="P85" s="238"/>
      <c r="Q85" s="238"/>
      <c r="R85" s="238"/>
      <c r="S85" s="238"/>
      <c r="T85" s="238"/>
      <c r="U85" s="238"/>
      <c r="V85" s="238"/>
      <c r="W85" s="238"/>
      <c r="X85" s="238"/>
      <c r="Y85" s="238"/>
      <c r="Z85" s="238"/>
      <c r="AA85" s="238"/>
      <c r="AB85" s="238"/>
      <c r="AC85" s="238"/>
      <c r="AD85" s="238"/>
      <c r="AE85" s="238"/>
      <c r="AF85" s="238"/>
      <c r="AG85" s="238"/>
      <c r="AH85" s="238"/>
      <c r="AI85" s="238"/>
      <c r="AJ85" s="238"/>
      <c r="AK85" s="238"/>
      <c r="AL85" s="238"/>
      <c r="AM85" s="238"/>
      <c r="AN85" s="238"/>
      <c r="AO85" s="238"/>
      <c r="AP85" s="238"/>
      <c r="AQ85" s="238"/>
      <c r="AR85" s="238"/>
      <c r="AS85" s="238"/>
      <c r="AT85" s="238"/>
      <c r="AU85" s="238"/>
      <c r="AV85" s="238"/>
      <c r="AW85" s="238"/>
      <c r="AX85" s="238"/>
      <c r="AY85" s="238"/>
      <c r="AZ85" s="238"/>
      <c r="BA85" s="238"/>
      <c r="BB85" s="238"/>
      <c r="BC85" s="238"/>
      <c r="BD85" s="238"/>
      <c r="BE85" s="238"/>
      <c r="BF85" s="238"/>
      <c r="BG85" s="238"/>
      <c r="BH85" s="238"/>
      <c r="BI85" s="238"/>
      <c r="BJ85" s="238"/>
      <c r="BK85" s="238"/>
      <c r="BL85" s="238"/>
      <c r="BM85" s="238"/>
      <c r="BN85" s="238"/>
      <c r="BO85" s="238"/>
      <c r="BP85" s="238"/>
      <c r="BQ85" s="238"/>
      <c r="BR85" s="238"/>
      <c r="BS85" s="238"/>
      <c r="BT85" s="238"/>
      <c r="BU85" s="238"/>
      <c r="BV85" s="238"/>
      <c r="BW85" s="238"/>
      <c r="BX85" s="238"/>
      <c r="BY85" s="238"/>
      <c r="BZ85" s="238"/>
      <c r="CA85" s="238"/>
      <c r="CB85" s="238"/>
      <c r="CC85" s="238"/>
      <c r="CD85" s="238"/>
      <c r="CE85" s="239"/>
    </row>
    <row r="86" spans="1:83" s="228" customFormat="1" ht="12.75" customHeight="1" x14ac:dyDescent="0.15">
      <c r="A86" s="224"/>
      <c r="B86" s="225"/>
      <c r="C86" s="226"/>
      <c r="D86" s="534" t="s">
        <v>104</v>
      </c>
      <c r="E86" s="534"/>
      <c r="F86" s="534"/>
      <c r="G86" s="534"/>
      <c r="H86" s="534"/>
      <c r="I86" s="534"/>
      <c r="J86" s="534"/>
      <c r="K86" s="534"/>
      <c r="L86" s="534"/>
      <c r="M86" s="534"/>
      <c r="N86" s="534"/>
      <c r="O86" s="534"/>
      <c r="P86" s="534"/>
      <c r="Q86" s="534"/>
      <c r="R86" s="534"/>
      <c r="S86" s="534"/>
      <c r="T86" s="534"/>
      <c r="U86" s="534"/>
      <c r="V86" s="534"/>
      <c r="W86" s="534"/>
      <c r="X86" s="534"/>
      <c r="Y86" s="534"/>
      <c r="Z86" s="534"/>
      <c r="AA86" s="534"/>
      <c r="AB86" s="534"/>
      <c r="AC86" s="534"/>
      <c r="AD86" s="534"/>
      <c r="AE86" s="534"/>
      <c r="AF86" s="534"/>
      <c r="AG86" s="534"/>
      <c r="AH86" s="534"/>
      <c r="AI86" s="534"/>
      <c r="AJ86" s="534"/>
      <c r="AK86" s="534"/>
      <c r="AL86" s="534"/>
      <c r="AM86" s="534"/>
      <c r="AN86" s="534"/>
      <c r="AO86" s="534"/>
      <c r="AP86" s="534"/>
      <c r="AQ86" s="534"/>
      <c r="AR86" s="534"/>
      <c r="AS86" s="534"/>
      <c r="AT86" s="534"/>
      <c r="AU86" s="534"/>
      <c r="AV86" s="534"/>
      <c r="AW86" s="534"/>
      <c r="AX86" s="534"/>
      <c r="AY86" s="534"/>
      <c r="AZ86" s="534"/>
      <c r="BA86" s="534"/>
      <c r="BB86" s="534"/>
      <c r="BC86" s="534"/>
      <c r="BD86" s="534"/>
      <c r="BE86" s="534"/>
      <c r="BF86" s="534"/>
      <c r="BG86" s="534"/>
      <c r="BH86" s="534"/>
      <c r="BI86" s="534"/>
      <c r="BJ86" s="534"/>
      <c r="BK86" s="534"/>
      <c r="BL86" s="534"/>
      <c r="BM86" s="534"/>
      <c r="BN86" s="534"/>
      <c r="BO86" s="534"/>
      <c r="BP86" s="534"/>
      <c r="BQ86" s="534"/>
      <c r="BR86" s="534"/>
      <c r="BS86" s="534"/>
      <c r="BT86" s="534"/>
      <c r="BU86" s="534"/>
      <c r="BV86" s="534"/>
      <c r="BW86" s="534"/>
      <c r="BX86" s="534"/>
      <c r="BY86" s="534"/>
      <c r="BZ86" s="534"/>
      <c r="CA86" s="534"/>
      <c r="CB86" s="534"/>
      <c r="CC86" s="213"/>
      <c r="CD86" s="226"/>
      <c r="CE86" s="227"/>
    </row>
    <row r="87" spans="1:83" s="228" customFormat="1" ht="12.75" customHeight="1" x14ac:dyDescent="0.15">
      <c r="A87" s="224"/>
      <c r="B87" s="225"/>
      <c r="C87" s="226"/>
      <c r="D87" s="535" t="s">
        <v>403</v>
      </c>
      <c r="E87" s="536"/>
      <c r="F87" s="536"/>
      <c r="G87" s="536"/>
      <c r="H87" s="537"/>
      <c r="I87" s="538" t="s">
        <v>404</v>
      </c>
      <c r="J87" s="539"/>
      <c r="K87" s="539"/>
      <c r="L87" s="539"/>
      <c r="M87" s="539"/>
      <c r="N87" s="539"/>
      <c r="O87" s="539"/>
      <c r="P87" s="539"/>
      <c r="Q87" s="539"/>
      <c r="R87" s="539"/>
      <c r="S87" s="539"/>
      <c r="T87" s="539"/>
      <c r="U87" s="539"/>
      <c r="V87" s="539"/>
      <c r="W87" s="539"/>
      <c r="X87" s="539"/>
      <c r="Y87" s="539"/>
      <c r="Z87" s="539"/>
      <c r="AA87" s="539"/>
      <c r="AB87" s="539"/>
      <c r="AC87" s="539"/>
      <c r="AD87" s="539"/>
      <c r="AE87" s="539"/>
      <c r="AF87" s="539"/>
      <c r="AG87" s="540"/>
      <c r="AH87" s="538" t="s">
        <v>405</v>
      </c>
      <c r="AI87" s="539"/>
      <c r="AJ87" s="539"/>
      <c r="AK87" s="539"/>
      <c r="AL87" s="539"/>
      <c r="AM87" s="539"/>
      <c r="AN87" s="539"/>
      <c r="AO87" s="539"/>
      <c r="AP87" s="539"/>
      <c r="AQ87" s="539"/>
      <c r="AR87" s="539"/>
      <c r="AS87" s="539"/>
      <c r="AT87" s="539"/>
      <c r="AU87" s="539"/>
      <c r="AV87" s="539"/>
      <c r="AW87" s="539"/>
      <c r="AX87" s="539"/>
      <c r="AY87" s="539"/>
      <c r="AZ87" s="539"/>
      <c r="BA87" s="539"/>
      <c r="BB87" s="539"/>
      <c r="BC87" s="539"/>
      <c r="BD87" s="539"/>
      <c r="BE87" s="539"/>
      <c r="BF87" s="539"/>
      <c r="BG87" s="539"/>
      <c r="BH87" s="539"/>
      <c r="BI87" s="539"/>
      <c r="BJ87" s="539"/>
      <c r="BK87" s="539"/>
      <c r="BL87" s="539"/>
      <c r="BM87" s="539"/>
      <c r="BN87" s="539"/>
      <c r="BO87" s="539"/>
      <c r="BP87" s="539"/>
      <c r="BQ87" s="539"/>
      <c r="BR87" s="539"/>
      <c r="BS87" s="539"/>
      <c r="BT87" s="539"/>
      <c r="BU87" s="539"/>
      <c r="BV87" s="539"/>
      <c r="BW87" s="539"/>
      <c r="BX87" s="539"/>
      <c r="BY87" s="539"/>
      <c r="BZ87" s="539"/>
      <c r="CA87" s="539"/>
      <c r="CB87" s="540"/>
      <c r="CC87" s="213"/>
      <c r="CD87" s="226"/>
      <c r="CE87" s="227"/>
    </row>
    <row r="88" spans="1:83" s="228" customFormat="1" ht="12.75" customHeight="1" x14ac:dyDescent="0.15">
      <c r="A88" s="224"/>
      <c r="B88" s="225"/>
      <c r="C88" s="226"/>
      <c r="D88" s="501" t="s">
        <v>105</v>
      </c>
      <c r="E88" s="502"/>
      <c r="F88" s="502"/>
      <c r="G88" s="502"/>
      <c r="H88" s="503"/>
      <c r="I88" s="510" t="s">
        <v>756</v>
      </c>
      <c r="J88" s="511"/>
      <c r="K88" s="511"/>
      <c r="L88" s="511"/>
      <c r="M88" s="511"/>
      <c r="N88" s="511"/>
      <c r="O88" s="511"/>
      <c r="P88" s="511"/>
      <c r="Q88" s="511"/>
      <c r="R88" s="511"/>
      <c r="S88" s="511"/>
      <c r="T88" s="511"/>
      <c r="U88" s="511"/>
      <c r="V88" s="511"/>
      <c r="W88" s="511"/>
      <c r="X88" s="511"/>
      <c r="Y88" s="511"/>
      <c r="Z88" s="511"/>
      <c r="AA88" s="511"/>
      <c r="AB88" s="511"/>
      <c r="AC88" s="511"/>
      <c r="AD88" s="511"/>
      <c r="AE88" s="511"/>
      <c r="AF88" s="511"/>
      <c r="AG88" s="512"/>
      <c r="AH88" s="519" t="s">
        <v>758</v>
      </c>
      <c r="AI88" s="520"/>
      <c r="AJ88" s="520"/>
      <c r="AK88" s="520"/>
      <c r="AL88" s="520"/>
      <c r="AM88" s="520"/>
      <c r="AN88" s="520"/>
      <c r="AO88" s="520"/>
      <c r="AP88" s="520"/>
      <c r="AQ88" s="520"/>
      <c r="AR88" s="520"/>
      <c r="AS88" s="520"/>
      <c r="AT88" s="520"/>
      <c r="AU88" s="520"/>
      <c r="AV88" s="520"/>
      <c r="AW88" s="520"/>
      <c r="AX88" s="520"/>
      <c r="AY88" s="520"/>
      <c r="AZ88" s="520"/>
      <c r="BA88" s="520"/>
      <c r="BB88" s="520"/>
      <c r="BC88" s="520"/>
      <c r="BD88" s="520"/>
      <c r="BE88" s="520"/>
      <c r="BF88" s="520"/>
      <c r="BG88" s="520"/>
      <c r="BH88" s="520"/>
      <c r="BI88" s="520"/>
      <c r="BJ88" s="520"/>
      <c r="BK88" s="520"/>
      <c r="BL88" s="520"/>
      <c r="BM88" s="520"/>
      <c r="BN88" s="520"/>
      <c r="BO88" s="520"/>
      <c r="BP88" s="520"/>
      <c r="BQ88" s="520"/>
      <c r="BR88" s="520"/>
      <c r="BS88" s="520"/>
      <c r="BT88" s="520"/>
      <c r="BU88" s="520"/>
      <c r="BV88" s="520"/>
      <c r="BW88" s="520"/>
      <c r="BX88" s="520"/>
      <c r="BY88" s="520"/>
      <c r="BZ88" s="520"/>
      <c r="CA88" s="520"/>
      <c r="CB88" s="521"/>
      <c r="CC88" s="213"/>
      <c r="CD88" s="226"/>
      <c r="CE88" s="227"/>
    </row>
    <row r="89" spans="1:83" s="228" customFormat="1" ht="12.75" customHeight="1" x14ac:dyDescent="0.15">
      <c r="A89" s="224"/>
      <c r="B89" s="225"/>
      <c r="C89" s="226"/>
      <c r="D89" s="840"/>
      <c r="E89" s="841"/>
      <c r="F89" s="841"/>
      <c r="G89" s="841"/>
      <c r="H89" s="842"/>
      <c r="I89" s="547"/>
      <c r="J89" s="548"/>
      <c r="K89" s="548"/>
      <c r="L89" s="548"/>
      <c r="M89" s="548"/>
      <c r="N89" s="548"/>
      <c r="O89" s="548"/>
      <c r="P89" s="548"/>
      <c r="Q89" s="548"/>
      <c r="R89" s="548"/>
      <c r="S89" s="548"/>
      <c r="T89" s="548"/>
      <c r="U89" s="548"/>
      <c r="V89" s="548"/>
      <c r="W89" s="548"/>
      <c r="X89" s="548"/>
      <c r="Y89" s="548"/>
      <c r="Z89" s="548"/>
      <c r="AA89" s="548"/>
      <c r="AB89" s="548"/>
      <c r="AC89" s="548"/>
      <c r="AD89" s="548"/>
      <c r="AE89" s="548"/>
      <c r="AF89" s="548"/>
      <c r="AG89" s="549"/>
      <c r="AH89" s="550"/>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2"/>
      <c r="CC89" s="213"/>
      <c r="CD89" s="226"/>
      <c r="CE89" s="227"/>
    </row>
    <row r="90" spans="1:83" s="228" customFormat="1" ht="12.75" customHeight="1" x14ac:dyDescent="0.15">
      <c r="A90" s="224"/>
      <c r="B90" s="225"/>
      <c r="C90" s="226"/>
      <c r="D90" s="501" t="s">
        <v>106</v>
      </c>
      <c r="E90" s="502"/>
      <c r="F90" s="502"/>
      <c r="G90" s="502"/>
      <c r="H90" s="503"/>
      <c r="I90" s="510" t="s">
        <v>757</v>
      </c>
      <c r="J90" s="511"/>
      <c r="K90" s="511"/>
      <c r="L90" s="511"/>
      <c r="M90" s="511"/>
      <c r="N90" s="511"/>
      <c r="O90" s="511"/>
      <c r="P90" s="511"/>
      <c r="Q90" s="511"/>
      <c r="R90" s="511"/>
      <c r="S90" s="511"/>
      <c r="T90" s="511"/>
      <c r="U90" s="511"/>
      <c r="V90" s="511"/>
      <c r="W90" s="511"/>
      <c r="X90" s="511"/>
      <c r="Y90" s="511"/>
      <c r="Z90" s="511"/>
      <c r="AA90" s="511"/>
      <c r="AB90" s="511"/>
      <c r="AC90" s="511"/>
      <c r="AD90" s="511"/>
      <c r="AE90" s="511"/>
      <c r="AF90" s="511"/>
      <c r="AG90" s="512"/>
      <c r="AH90" s="519" t="s">
        <v>759</v>
      </c>
      <c r="AI90" s="520"/>
      <c r="AJ90" s="520"/>
      <c r="AK90" s="520"/>
      <c r="AL90" s="520"/>
      <c r="AM90" s="520"/>
      <c r="AN90" s="520"/>
      <c r="AO90" s="520"/>
      <c r="AP90" s="520"/>
      <c r="AQ90" s="520"/>
      <c r="AR90" s="520"/>
      <c r="AS90" s="520"/>
      <c r="AT90" s="520"/>
      <c r="AU90" s="520"/>
      <c r="AV90" s="520"/>
      <c r="AW90" s="520"/>
      <c r="AX90" s="520"/>
      <c r="AY90" s="520"/>
      <c r="AZ90" s="520"/>
      <c r="BA90" s="520"/>
      <c r="BB90" s="520"/>
      <c r="BC90" s="520"/>
      <c r="BD90" s="520"/>
      <c r="BE90" s="520"/>
      <c r="BF90" s="520"/>
      <c r="BG90" s="520"/>
      <c r="BH90" s="520"/>
      <c r="BI90" s="520"/>
      <c r="BJ90" s="520"/>
      <c r="BK90" s="520"/>
      <c r="BL90" s="520"/>
      <c r="BM90" s="520"/>
      <c r="BN90" s="520"/>
      <c r="BO90" s="520"/>
      <c r="BP90" s="520"/>
      <c r="BQ90" s="520"/>
      <c r="BR90" s="520"/>
      <c r="BS90" s="520"/>
      <c r="BT90" s="520"/>
      <c r="BU90" s="520"/>
      <c r="BV90" s="520"/>
      <c r="BW90" s="520"/>
      <c r="BX90" s="520"/>
      <c r="BY90" s="520"/>
      <c r="BZ90" s="520"/>
      <c r="CA90" s="520"/>
      <c r="CB90" s="521"/>
      <c r="CC90" s="213"/>
      <c r="CD90" s="226"/>
      <c r="CE90" s="227"/>
    </row>
    <row r="91" spans="1:83" s="228" customFormat="1" ht="12.75" customHeight="1" x14ac:dyDescent="0.15">
      <c r="A91" s="224"/>
      <c r="B91" s="225"/>
      <c r="C91" s="226"/>
      <c r="D91" s="840"/>
      <c r="E91" s="841"/>
      <c r="F91" s="841"/>
      <c r="G91" s="841"/>
      <c r="H91" s="842"/>
      <c r="I91" s="547"/>
      <c r="J91" s="548"/>
      <c r="K91" s="548"/>
      <c r="L91" s="548"/>
      <c r="M91" s="548"/>
      <c r="N91" s="548"/>
      <c r="O91" s="548"/>
      <c r="P91" s="548"/>
      <c r="Q91" s="548"/>
      <c r="R91" s="548"/>
      <c r="S91" s="548"/>
      <c r="T91" s="548"/>
      <c r="U91" s="548"/>
      <c r="V91" s="548"/>
      <c r="W91" s="548"/>
      <c r="X91" s="548"/>
      <c r="Y91" s="548"/>
      <c r="Z91" s="548"/>
      <c r="AA91" s="548"/>
      <c r="AB91" s="548"/>
      <c r="AC91" s="548"/>
      <c r="AD91" s="548"/>
      <c r="AE91" s="548"/>
      <c r="AF91" s="548"/>
      <c r="AG91" s="549"/>
      <c r="AH91" s="550"/>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2"/>
      <c r="CC91" s="213"/>
      <c r="CD91" s="226"/>
      <c r="CE91" s="227"/>
    </row>
    <row r="92" spans="1:83" s="228" customFormat="1" ht="12.75" customHeight="1" x14ac:dyDescent="0.15">
      <c r="A92" s="224"/>
      <c r="B92" s="225"/>
      <c r="C92" s="226"/>
      <c r="D92" s="501" t="s">
        <v>107</v>
      </c>
      <c r="E92" s="502"/>
      <c r="F92" s="502"/>
      <c r="G92" s="502"/>
      <c r="H92" s="503"/>
      <c r="I92" s="510" t="s">
        <v>808</v>
      </c>
      <c r="J92" s="511"/>
      <c r="K92" s="511"/>
      <c r="L92" s="511"/>
      <c r="M92" s="511"/>
      <c r="N92" s="511"/>
      <c r="O92" s="511"/>
      <c r="P92" s="511"/>
      <c r="Q92" s="511"/>
      <c r="R92" s="511"/>
      <c r="S92" s="511"/>
      <c r="T92" s="511"/>
      <c r="U92" s="511"/>
      <c r="V92" s="511"/>
      <c r="W92" s="511"/>
      <c r="X92" s="511"/>
      <c r="Y92" s="511"/>
      <c r="Z92" s="511"/>
      <c r="AA92" s="511"/>
      <c r="AB92" s="511"/>
      <c r="AC92" s="511"/>
      <c r="AD92" s="511"/>
      <c r="AE92" s="511"/>
      <c r="AF92" s="511"/>
      <c r="AG92" s="512"/>
      <c r="AH92" s="519" t="s">
        <v>810</v>
      </c>
      <c r="AI92" s="520"/>
      <c r="AJ92" s="520"/>
      <c r="AK92" s="520"/>
      <c r="AL92" s="520"/>
      <c r="AM92" s="520"/>
      <c r="AN92" s="520"/>
      <c r="AO92" s="520"/>
      <c r="AP92" s="520"/>
      <c r="AQ92" s="520"/>
      <c r="AR92" s="520"/>
      <c r="AS92" s="520"/>
      <c r="AT92" s="520"/>
      <c r="AU92" s="520"/>
      <c r="AV92" s="520"/>
      <c r="AW92" s="520"/>
      <c r="AX92" s="520"/>
      <c r="AY92" s="520"/>
      <c r="AZ92" s="520"/>
      <c r="BA92" s="520"/>
      <c r="BB92" s="520"/>
      <c r="BC92" s="520"/>
      <c r="BD92" s="520"/>
      <c r="BE92" s="520"/>
      <c r="BF92" s="520"/>
      <c r="BG92" s="520"/>
      <c r="BH92" s="520"/>
      <c r="BI92" s="520"/>
      <c r="BJ92" s="520"/>
      <c r="BK92" s="520"/>
      <c r="BL92" s="520"/>
      <c r="BM92" s="520"/>
      <c r="BN92" s="520"/>
      <c r="BO92" s="520"/>
      <c r="BP92" s="520"/>
      <c r="BQ92" s="520"/>
      <c r="BR92" s="520"/>
      <c r="BS92" s="520"/>
      <c r="BT92" s="520"/>
      <c r="BU92" s="520"/>
      <c r="BV92" s="520"/>
      <c r="BW92" s="520"/>
      <c r="BX92" s="520"/>
      <c r="BY92" s="520"/>
      <c r="BZ92" s="520"/>
      <c r="CA92" s="520"/>
      <c r="CB92" s="521"/>
      <c r="CC92" s="213"/>
      <c r="CD92" s="226"/>
      <c r="CE92" s="227"/>
    </row>
    <row r="93" spans="1:83" s="228" customFormat="1" ht="12.75" customHeight="1" x14ac:dyDescent="0.15">
      <c r="A93" s="224"/>
      <c r="B93" s="225"/>
      <c r="C93" s="226"/>
      <c r="D93" s="840"/>
      <c r="E93" s="841"/>
      <c r="F93" s="841"/>
      <c r="G93" s="841"/>
      <c r="H93" s="842"/>
      <c r="I93" s="547"/>
      <c r="J93" s="548"/>
      <c r="K93" s="548"/>
      <c r="L93" s="548"/>
      <c r="M93" s="548"/>
      <c r="N93" s="548"/>
      <c r="O93" s="548"/>
      <c r="P93" s="548"/>
      <c r="Q93" s="548"/>
      <c r="R93" s="548"/>
      <c r="S93" s="548"/>
      <c r="T93" s="548"/>
      <c r="U93" s="548"/>
      <c r="V93" s="548"/>
      <c r="W93" s="548"/>
      <c r="X93" s="548"/>
      <c r="Y93" s="548"/>
      <c r="Z93" s="548"/>
      <c r="AA93" s="548"/>
      <c r="AB93" s="548"/>
      <c r="AC93" s="548"/>
      <c r="AD93" s="548"/>
      <c r="AE93" s="548"/>
      <c r="AF93" s="548"/>
      <c r="AG93" s="549"/>
      <c r="AH93" s="550"/>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2"/>
      <c r="CC93" s="213"/>
      <c r="CD93" s="226"/>
      <c r="CE93" s="227"/>
    </row>
    <row r="94" spans="1:83" s="228" customFormat="1" ht="12.75" customHeight="1" x14ac:dyDescent="0.15">
      <c r="A94" s="224"/>
      <c r="B94" s="225"/>
      <c r="C94" s="226"/>
      <c r="D94" s="501" t="s">
        <v>108</v>
      </c>
      <c r="E94" s="502"/>
      <c r="F94" s="502"/>
      <c r="G94" s="502"/>
      <c r="H94" s="503"/>
      <c r="I94" s="510" t="s">
        <v>809</v>
      </c>
      <c r="J94" s="511"/>
      <c r="K94" s="511"/>
      <c r="L94" s="511"/>
      <c r="M94" s="511"/>
      <c r="N94" s="511"/>
      <c r="O94" s="511"/>
      <c r="P94" s="511"/>
      <c r="Q94" s="511"/>
      <c r="R94" s="511"/>
      <c r="S94" s="511"/>
      <c r="T94" s="511"/>
      <c r="U94" s="511"/>
      <c r="V94" s="511"/>
      <c r="W94" s="511"/>
      <c r="X94" s="511"/>
      <c r="Y94" s="511"/>
      <c r="Z94" s="511"/>
      <c r="AA94" s="511"/>
      <c r="AB94" s="511"/>
      <c r="AC94" s="511"/>
      <c r="AD94" s="511"/>
      <c r="AE94" s="511"/>
      <c r="AF94" s="511"/>
      <c r="AG94" s="512"/>
      <c r="AH94" s="519" t="s">
        <v>811</v>
      </c>
      <c r="AI94" s="520"/>
      <c r="AJ94" s="520"/>
      <c r="AK94" s="520"/>
      <c r="AL94" s="520"/>
      <c r="AM94" s="520"/>
      <c r="AN94" s="520"/>
      <c r="AO94" s="520"/>
      <c r="AP94" s="520"/>
      <c r="AQ94" s="520"/>
      <c r="AR94" s="520"/>
      <c r="AS94" s="520"/>
      <c r="AT94" s="520"/>
      <c r="AU94" s="520"/>
      <c r="AV94" s="520"/>
      <c r="AW94" s="520"/>
      <c r="AX94" s="520"/>
      <c r="AY94" s="520"/>
      <c r="AZ94" s="520"/>
      <c r="BA94" s="520"/>
      <c r="BB94" s="520"/>
      <c r="BC94" s="520"/>
      <c r="BD94" s="520"/>
      <c r="BE94" s="520"/>
      <c r="BF94" s="520"/>
      <c r="BG94" s="520"/>
      <c r="BH94" s="520"/>
      <c r="BI94" s="520"/>
      <c r="BJ94" s="520"/>
      <c r="BK94" s="520"/>
      <c r="BL94" s="520"/>
      <c r="BM94" s="520"/>
      <c r="BN94" s="520"/>
      <c r="BO94" s="520"/>
      <c r="BP94" s="520"/>
      <c r="BQ94" s="520"/>
      <c r="BR94" s="520"/>
      <c r="BS94" s="520"/>
      <c r="BT94" s="520"/>
      <c r="BU94" s="520"/>
      <c r="BV94" s="520"/>
      <c r="BW94" s="520"/>
      <c r="BX94" s="520"/>
      <c r="BY94" s="520"/>
      <c r="BZ94" s="520"/>
      <c r="CA94" s="520"/>
      <c r="CB94" s="521"/>
      <c r="CC94" s="213"/>
      <c r="CD94" s="226"/>
      <c r="CE94" s="227"/>
    </row>
    <row r="95" spans="1:83" s="228" customFormat="1" ht="12.75" customHeight="1" x14ac:dyDescent="0.15">
      <c r="A95" s="224"/>
      <c r="B95" s="225"/>
      <c r="C95" s="226"/>
      <c r="D95" s="528"/>
      <c r="E95" s="529"/>
      <c r="F95" s="529"/>
      <c r="G95" s="529"/>
      <c r="H95" s="530"/>
      <c r="I95" s="513"/>
      <c r="J95" s="514"/>
      <c r="K95" s="514"/>
      <c r="L95" s="514"/>
      <c r="M95" s="514"/>
      <c r="N95" s="514"/>
      <c r="O95" s="514"/>
      <c r="P95" s="514"/>
      <c r="Q95" s="514"/>
      <c r="R95" s="514"/>
      <c r="S95" s="514"/>
      <c r="T95" s="514"/>
      <c r="U95" s="514"/>
      <c r="V95" s="514"/>
      <c r="W95" s="514"/>
      <c r="X95" s="514"/>
      <c r="Y95" s="514"/>
      <c r="Z95" s="514"/>
      <c r="AA95" s="514"/>
      <c r="AB95" s="514"/>
      <c r="AC95" s="514"/>
      <c r="AD95" s="514"/>
      <c r="AE95" s="514"/>
      <c r="AF95" s="514"/>
      <c r="AG95" s="515"/>
      <c r="AH95" s="522"/>
      <c r="AI95" s="523"/>
      <c r="AJ95" s="523"/>
      <c r="AK95" s="523"/>
      <c r="AL95" s="523"/>
      <c r="AM95" s="523"/>
      <c r="AN95" s="523"/>
      <c r="AO95" s="523"/>
      <c r="AP95" s="523"/>
      <c r="AQ95" s="523"/>
      <c r="AR95" s="523"/>
      <c r="AS95" s="523"/>
      <c r="AT95" s="523"/>
      <c r="AU95" s="523"/>
      <c r="AV95" s="523"/>
      <c r="AW95" s="523"/>
      <c r="AX95" s="523"/>
      <c r="AY95" s="523"/>
      <c r="AZ95" s="523"/>
      <c r="BA95" s="523"/>
      <c r="BB95" s="523"/>
      <c r="BC95" s="523"/>
      <c r="BD95" s="523"/>
      <c r="BE95" s="523"/>
      <c r="BF95" s="523"/>
      <c r="BG95" s="523"/>
      <c r="BH95" s="523"/>
      <c r="BI95" s="523"/>
      <c r="BJ95" s="523"/>
      <c r="BK95" s="523"/>
      <c r="BL95" s="523"/>
      <c r="BM95" s="523"/>
      <c r="BN95" s="523"/>
      <c r="BO95" s="523"/>
      <c r="BP95" s="523"/>
      <c r="BQ95" s="523"/>
      <c r="BR95" s="523"/>
      <c r="BS95" s="523"/>
      <c r="BT95" s="523"/>
      <c r="BU95" s="523"/>
      <c r="BV95" s="523"/>
      <c r="BW95" s="523"/>
      <c r="BX95" s="523"/>
      <c r="BY95" s="523"/>
      <c r="BZ95" s="523"/>
      <c r="CA95" s="523"/>
      <c r="CB95" s="524"/>
      <c r="CC95" s="213"/>
      <c r="CD95" s="226"/>
      <c r="CE95" s="227"/>
    </row>
    <row r="96" spans="1:83" s="228" customFormat="1" ht="12.75" customHeight="1" x14ac:dyDescent="0.15">
      <c r="A96" s="224"/>
      <c r="B96" s="225"/>
      <c r="C96" s="226"/>
      <c r="D96" s="840"/>
      <c r="E96" s="841"/>
      <c r="F96" s="841"/>
      <c r="G96" s="841"/>
      <c r="H96" s="842"/>
      <c r="I96" s="547"/>
      <c r="J96" s="548"/>
      <c r="K96" s="548"/>
      <c r="L96" s="548"/>
      <c r="M96" s="548"/>
      <c r="N96" s="548"/>
      <c r="O96" s="548"/>
      <c r="P96" s="548"/>
      <c r="Q96" s="548"/>
      <c r="R96" s="548"/>
      <c r="S96" s="548"/>
      <c r="T96" s="548"/>
      <c r="U96" s="548"/>
      <c r="V96" s="548"/>
      <c r="W96" s="548"/>
      <c r="X96" s="548"/>
      <c r="Y96" s="548"/>
      <c r="Z96" s="548"/>
      <c r="AA96" s="548"/>
      <c r="AB96" s="548"/>
      <c r="AC96" s="548"/>
      <c r="AD96" s="548"/>
      <c r="AE96" s="548"/>
      <c r="AF96" s="548"/>
      <c r="AG96" s="549"/>
      <c r="AH96" s="550"/>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2"/>
      <c r="CC96" s="213"/>
      <c r="CD96" s="226"/>
      <c r="CE96" s="227"/>
    </row>
    <row r="97" spans="1:83" s="228" customFormat="1" ht="12.75" customHeight="1" x14ac:dyDescent="0.15">
      <c r="A97" s="98"/>
      <c r="B97" s="99"/>
      <c r="C97" s="3"/>
      <c r="D97" s="501" t="s">
        <v>109</v>
      </c>
      <c r="E97" s="502"/>
      <c r="F97" s="502"/>
      <c r="G97" s="502"/>
      <c r="H97" s="503"/>
      <c r="I97" s="519" t="s">
        <v>823</v>
      </c>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2"/>
      <c r="AH97" s="519" t="s">
        <v>110</v>
      </c>
      <c r="AI97" s="511"/>
      <c r="AJ97" s="511"/>
      <c r="AK97" s="511"/>
      <c r="AL97" s="511"/>
      <c r="AM97" s="511"/>
      <c r="AN97" s="511"/>
      <c r="AO97" s="511"/>
      <c r="AP97" s="511"/>
      <c r="AQ97" s="511"/>
      <c r="AR97" s="511"/>
      <c r="AS97" s="511"/>
      <c r="AT97" s="511"/>
      <c r="AU97" s="511"/>
      <c r="AV97" s="511"/>
      <c r="AW97" s="511"/>
      <c r="AX97" s="511"/>
      <c r="AY97" s="511"/>
      <c r="AZ97" s="511"/>
      <c r="BA97" s="511"/>
      <c r="BB97" s="511"/>
      <c r="BC97" s="511"/>
      <c r="BD97" s="511"/>
      <c r="BE97" s="511"/>
      <c r="BF97" s="511"/>
      <c r="BG97" s="511"/>
      <c r="BH97" s="511"/>
      <c r="BI97" s="511"/>
      <c r="BJ97" s="511"/>
      <c r="BK97" s="511"/>
      <c r="BL97" s="511"/>
      <c r="BM97" s="511"/>
      <c r="BN97" s="511"/>
      <c r="BO97" s="511"/>
      <c r="BP97" s="511"/>
      <c r="BQ97" s="511"/>
      <c r="BR97" s="511"/>
      <c r="BS97" s="511"/>
      <c r="BT97" s="511"/>
      <c r="BU97" s="511"/>
      <c r="BV97" s="511"/>
      <c r="BW97" s="511"/>
      <c r="BX97" s="511"/>
      <c r="BY97" s="511"/>
      <c r="BZ97" s="511"/>
      <c r="CA97" s="511"/>
      <c r="CB97" s="512"/>
      <c r="CC97" s="58"/>
      <c r="CD97" s="3"/>
      <c r="CE97" s="100"/>
    </row>
    <row r="98" spans="1:83" s="228" customFormat="1" ht="12.75" customHeight="1" x14ac:dyDescent="0.15">
      <c r="A98" s="98"/>
      <c r="B98" s="99"/>
      <c r="C98" s="3"/>
      <c r="D98" s="544"/>
      <c r="E98" s="545"/>
      <c r="F98" s="545"/>
      <c r="G98" s="545"/>
      <c r="H98" s="546"/>
      <c r="I98" s="547"/>
      <c r="J98" s="548"/>
      <c r="K98" s="548"/>
      <c r="L98" s="548"/>
      <c r="M98" s="548"/>
      <c r="N98" s="548"/>
      <c r="O98" s="548"/>
      <c r="P98" s="548"/>
      <c r="Q98" s="548"/>
      <c r="R98" s="548"/>
      <c r="S98" s="548"/>
      <c r="T98" s="548"/>
      <c r="U98" s="548"/>
      <c r="V98" s="548"/>
      <c r="W98" s="548"/>
      <c r="X98" s="548"/>
      <c r="Y98" s="548"/>
      <c r="Z98" s="548"/>
      <c r="AA98" s="548"/>
      <c r="AB98" s="548"/>
      <c r="AC98" s="548"/>
      <c r="AD98" s="548"/>
      <c r="AE98" s="548"/>
      <c r="AF98" s="548"/>
      <c r="AG98" s="549"/>
      <c r="AH98" s="547"/>
      <c r="AI98" s="548"/>
      <c r="AJ98" s="548"/>
      <c r="AK98" s="548"/>
      <c r="AL98" s="548"/>
      <c r="AM98" s="548"/>
      <c r="AN98" s="548"/>
      <c r="AO98" s="548"/>
      <c r="AP98" s="548"/>
      <c r="AQ98" s="548"/>
      <c r="AR98" s="548"/>
      <c r="AS98" s="548"/>
      <c r="AT98" s="548"/>
      <c r="AU98" s="548"/>
      <c r="AV98" s="548"/>
      <c r="AW98" s="548"/>
      <c r="AX98" s="548"/>
      <c r="AY98" s="548"/>
      <c r="AZ98" s="548"/>
      <c r="BA98" s="548"/>
      <c r="BB98" s="548"/>
      <c r="BC98" s="548"/>
      <c r="BD98" s="548"/>
      <c r="BE98" s="548"/>
      <c r="BF98" s="548"/>
      <c r="BG98" s="548"/>
      <c r="BH98" s="548"/>
      <c r="BI98" s="548"/>
      <c r="BJ98" s="548"/>
      <c r="BK98" s="548"/>
      <c r="BL98" s="548"/>
      <c r="BM98" s="548"/>
      <c r="BN98" s="548"/>
      <c r="BO98" s="548"/>
      <c r="BP98" s="548"/>
      <c r="BQ98" s="548"/>
      <c r="BR98" s="548"/>
      <c r="BS98" s="548"/>
      <c r="BT98" s="548"/>
      <c r="BU98" s="548"/>
      <c r="BV98" s="548"/>
      <c r="BW98" s="548"/>
      <c r="BX98" s="548"/>
      <c r="BY98" s="548"/>
      <c r="BZ98" s="548"/>
      <c r="CA98" s="548"/>
      <c r="CB98" s="549"/>
      <c r="CC98" s="58"/>
      <c r="CD98" s="3"/>
      <c r="CE98" s="100"/>
    </row>
    <row r="99" spans="1:83" s="228" customFormat="1" ht="12.75" customHeight="1" x14ac:dyDescent="0.15">
      <c r="A99" s="224"/>
      <c r="B99" s="225"/>
      <c r="C99" s="226"/>
      <c r="D99" s="501" t="s">
        <v>111</v>
      </c>
      <c r="E99" s="502"/>
      <c r="F99" s="502"/>
      <c r="G99" s="502"/>
      <c r="H99" s="503"/>
      <c r="I99" s="519" t="s">
        <v>822</v>
      </c>
      <c r="J99" s="511"/>
      <c r="K99" s="511"/>
      <c r="L99" s="511"/>
      <c r="M99" s="511"/>
      <c r="N99" s="511"/>
      <c r="O99" s="511"/>
      <c r="P99" s="511"/>
      <c r="Q99" s="511"/>
      <c r="R99" s="511"/>
      <c r="S99" s="511"/>
      <c r="T99" s="511"/>
      <c r="U99" s="511"/>
      <c r="V99" s="511"/>
      <c r="W99" s="511"/>
      <c r="X99" s="511"/>
      <c r="Y99" s="511"/>
      <c r="Z99" s="511"/>
      <c r="AA99" s="511"/>
      <c r="AB99" s="511"/>
      <c r="AC99" s="511"/>
      <c r="AD99" s="511"/>
      <c r="AE99" s="511"/>
      <c r="AF99" s="511"/>
      <c r="AG99" s="512"/>
      <c r="AH99" s="519" t="s">
        <v>430</v>
      </c>
      <c r="AI99" s="511"/>
      <c r="AJ99" s="511"/>
      <c r="AK99" s="511"/>
      <c r="AL99" s="511"/>
      <c r="AM99" s="511"/>
      <c r="AN99" s="511"/>
      <c r="AO99" s="511"/>
      <c r="AP99" s="511"/>
      <c r="AQ99" s="511"/>
      <c r="AR99" s="511"/>
      <c r="AS99" s="511"/>
      <c r="AT99" s="511"/>
      <c r="AU99" s="511"/>
      <c r="AV99" s="511"/>
      <c r="AW99" s="511"/>
      <c r="AX99" s="511"/>
      <c r="AY99" s="511"/>
      <c r="AZ99" s="511"/>
      <c r="BA99" s="511"/>
      <c r="BB99" s="511"/>
      <c r="BC99" s="511"/>
      <c r="BD99" s="511"/>
      <c r="BE99" s="511"/>
      <c r="BF99" s="511"/>
      <c r="BG99" s="511"/>
      <c r="BH99" s="511"/>
      <c r="BI99" s="511"/>
      <c r="BJ99" s="511"/>
      <c r="BK99" s="511"/>
      <c r="BL99" s="511"/>
      <c r="BM99" s="511"/>
      <c r="BN99" s="511"/>
      <c r="BO99" s="511"/>
      <c r="BP99" s="511"/>
      <c r="BQ99" s="511"/>
      <c r="BR99" s="511"/>
      <c r="BS99" s="511"/>
      <c r="BT99" s="511"/>
      <c r="BU99" s="511"/>
      <c r="BV99" s="511"/>
      <c r="BW99" s="511"/>
      <c r="BX99" s="511"/>
      <c r="BY99" s="511"/>
      <c r="BZ99" s="511"/>
      <c r="CA99" s="511"/>
      <c r="CB99" s="512"/>
      <c r="CC99" s="213"/>
      <c r="CD99" s="226"/>
      <c r="CE99" s="227"/>
    </row>
    <row r="100" spans="1:83" s="228" customFormat="1" ht="12.75" customHeight="1" x14ac:dyDescent="0.15">
      <c r="A100" s="224"/>
      <c r="B100" s="225"/>
      <c r="C100" s="226"/>
      <c r="D100" s="840"/>
      <c r="E100" s="841"/>
      <c r="F100" s="841"/>
      <c r="G100" s="841"/>
      <c r="H100" s="842"/>
      <c r="I100" s="547"/>
      <c r="J100" s="548"/>
      <c r="K100" s="548"/>
      <c r="L100" s="548"/>
      <c r="M100" s="548"/>
      <c r="N100" s="548"/>
      <c r="O100" s="548"/>
      <c r="P100" s="548"/>
      <c r="Q100" s="548"/>
      <c r="R100" s="548"/>
      <c r="S100" s="548"/>
      <c r="T100" s="548"/>
      <c r="U100" s="548"/>
      <c r="V100" s="548"/>
      <c r="W100" s="548"/>
      <c r="X100" s="548"/>
      <c r="Y100" s="548"/>
      <c r="Z100" s="548"/>
      <c r="AA100" s="548"/>
      <c r="AB100" s="548"/>
      <c r="AC100" s="548"/>
      <c r="AD100" s="548"/>
      <c r="AE100" s="548"/>
      <c r="AF100" s="548"/>
      <c r="AG100" s="549"/>
      <c r="AH100" s="547"/>
      <c r="AI100" s="548"/>
      <c r="AJ100" s="548"/>
      <c r="AK100" s="548"/>
      <c r="AL100" s="548"/>
      <c r="AM100" s="548"/>
      <c r="AN100" s="548"/>
      <c r="AO100" s="548"/>
      <c r="AP100" s="548"/>
      <c r="AQ100" s="548"/>
      <c r="AR100" s="548"/>
      <c r="AS100" s="548"/>
      <c r="AT100" s="548"/>
      <c r="AU100" s="548"/>
      <c r="AV100" s="548"/>
      <c r="AW100" s="548"/>
      <c r="AX100" s="548"/>
      <c r="AY100" s="548"/>
      <c r="AZ100" s="548"/>
      <c r="BA100" s="548"/>
      <c r="BB100" s="548"/>
      <c r="BC100" s="548"/>
      <c r="BD100" s="548"/>
      <c r="BE100" s="548"/>
      <c r="BF100" s="548"/>
      <c r="BG100" s="548"/>
      <c r="BH100" s="548"/>
      <c r="BI100" s="548"/>
      <c r="BJ100" s="548"/>
      <c r="BK100" s="548"/>
      <c r="BL100" s="548"/>
      <c r="BM100" s="548"/>
      <c r="BN100" s="548"/>
      <c r="BO100" s="548"/>
      <c r="BP100" s="548"/>
      <c r="BQ100" s="548"/>
      <c r="BR100" s="548"/>
      <c r="BS100" s="548"/>
      <c r="BT100" s="548"/>
      <c r="BU100" s="548"/>
      <c r="BV100" s="548"/>
      <c r="BW100" s="548"/>
      <c r="BX100" s="548"/>
      <c r="BY100" s="548"/>
      <c r="BZ100" s="548"/>
      <c r="CA100" s="548"/>
      <c r="CB100" s="549"/>
      <c r="CC100" s="213"/>
      <c r="CD100" s="226"/>
      <c r="CE100" s="227"/>
    </row>
    <row r="101" spans="1:83" s="228" customFormat="1" x14ac:dyDescent="0.15">
      <c r="A101" s="229"/>
      <c r="B101" s="226"/>
      <c r="C101" s="226"/>
      <c r="D101" s="501" t="s">
        <v>748</v>
      </c>
      <c r="E101" s="502"/>
      <c r="F101" s="502"/>
      <c r="G101" s="502"/>
      <c r="H101" s="503"/>
      <c r="I101" s="510" t="s">
        <v>808</v>
      </c>
      <c r="J101" s="511"/>
      <c r="K101" s="511"/>
      <c r="L101" s="511"/>
      <c r="M101" s="511"/>
      <c r="N101" s="511"/>
      <c r="O101" s="511"/>
      <c r="P101" s="511"/>
      <c r="Q101" s="511"/>
      <c r="R101" s="511"/>
      <c r="S101" s="511"/>
      <c r="T101" s="511"/>
      <c r="U101" s="511"/>
      <c r="V101" s="511"/>
      <c r="W101" s="511"/>
      <c r="X101" s="511"/>
      <c r="Y101" s="511"/>
      <c r="Z101" s="511"/>
      <c r="AA101" s="511"/>
      <c r="AB101" s="511"/>
      <c r="AC101" s="511"/>
      <c r="AD101" s="511"/>
      <c r="AE101" s="511"/>
      <c r="AF101" s="511"/>
      <c r="AG101" s="512"/>
      <c r="AH101" s="519" t="s">
        <v>812</v>
      </c>
      <c r="AI101" s="520"/>
      <c r="AJ101" s="520"/>
      <c r="AK101" s="520"/>
      <c r="AL101" s="520"/>
      <c r="AM101" s="520"/>
      <c r="AN101" s="520"/>
      <c r="AO101" s="520"/>
      <c r="AP101" s="520"/>
      <c r="AQ101" s="520"/>
      <c r="AR101" s="520"/>
      <c r="AS101" s="520"/>
      <c r="AT101" s="520"/>
      <c r="AU101" s="520"/>
      <c r="AV101" s="520"/>
      <c r="AW101" s="520"/>
      <c r="AX101" s="520"/>
      <c r="AY101" s="520"/>
      <c r="AZ101" s="520"/>
      <c r="BA101" s="520"/>
      <c r="BB101" s="520"/>
      <c r="BC101" s="520"/>
      <c r="BD101" s="520"/>
      <c r="BE101" s="520"/>
      <c r="BF101" s="520"/>
      <c r="BG101" s="520"/>
      <c r="BH101" s="520"/>
      <c r="BI101" s="520"/>
      <c r="BJ101" s="520"/>
      <c r="BK101" s="520"/>
      <c r="BL101" s="520"/>
      <c r="BM101" s="520"/>
      <c r="BN101" s="520"/>
      <c r="BO101" s="520"/>
      <c r="BP101" s="520"/>
      <c r="BQ101" s="520"/>
      <c r="BR101" s="520"/>
      <c r="BS101" s="520"/>
      <c r="BT101" s="520"/>
      <c r="BU101" s="520"/>
      <c r="BV101" s="520"/>
      <c r="BW101" s="520"/>
      <c r="BX101" s="520"/>
      <c r="BY101" s="520"/>
      <c r="BZ101" s="520"/>
      <c r="CA101" s="520"/>
      <c r="CB101" s="521"/>
      <c r="CC101" s="226"/>
      <c r="CD101" s="226"/>
      <c r="CE101" s="227"/>
    </row>
    <row r="102" spans="1:83" s="228" customFormat="1" x14ac:dyDescent="0.15">
      <c r="A102" s="229"/>
      <c r="B102" s="226"/>
      <c r="C102" s="226"/>
      <c r="D102" s="840"/>
      <c r="E102" s="841"/>
      <c r="F102" s="841"/>
      <c r="G102" s="841"/>
      <c r="H102" s="842"/>
      <c r="I102" s="547"/>
      <c r="J102" s="548"/>
      <c r="K102" s="548"/>
      <c r="L102" s="548"/>
      <c r="M102" s="548"/>
      <c r="N102" s="548"/>
      <c r="O102" s="548"/>
      <c r="P102" s="548"/>
      <c r="Q102" s="548"/>
      <c r="R102" s="548"/>
      <c r="S102" s="548"/>
      <c r="T102" s="548"/>
      <c r="U102" s="548"/>
      <c r="V102" s="548"/>
      <c r="W102" s="548"/>
      <c r="X102" s="548"/>
      <c r="Y102" s="548"/>
      <c r="Z102" s="548"/>
      <c r="AA102" s="548"/>
      <c r="AB102" s="548"/>
      <c r="AC102" s="548"/>
      <c r="AD102" s="548"/>
      <c r="AE102" s="548"/>
      <c r="AF102" s="548"/>
      <c r="AG102" s="549"/>
      <c r="AH102" s="550"/>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2"/>
      <c r="CC102" s="226"/>
      <c r="CD102" s="226"/>
      <c r="CE102" s="227"/>
    </row>
    <row r="103" spans="1:83" s="228" customFormat="1" x14ac:dyDescent="0.15">
      <c r="A103" s="229"/>
      <c r="B103" s="226"/>
      <c r="C103" s="226"/>
      <c r="D103" s="501" t="s">
        <v>749</v>
      </c>
      <c r="E103" s="502"/>
      <c r="F103" s="502"/>
      <c r="G103" s="502"/>
      <c r="H103" s="503"/>
      <c r="I103" s="510" t="s">
        <v>803</v>
      </c>
      <c r="J103" s="511"/>
      <c r="K103" s="511"/>
      <c r="L103" s="511"/>
      <c r="M103" s="511"/>
      <c r="N103" s="511"/>
      <c r="O103" s="511"/>
      <c r="P103" s="511"/>
      <c r="Q103" s="511"/>
      <c r="R103" s="511"/>
      <c r="S103" s="511"/>
      <c r="T103" s="511"/>
      <c r="U103" s="511"/>
      <c r="V103" s="511"/>
      <c r="W103" s="511"/>
      <c r="X103" s="511"/>
      <c r="Y103" s="511"/>
      <c r="Z103" s="511"/>
      <c r="AA103" s="511"/>
      <c r="AB103" s="511"/>
      <c r="AC103" s="511"/>
      <c r="AD103" s="511"/>
      <c r="AE103" s="511"/>
      <c r="AF103" s="511"/>
      <c r="AG103" s="512"/>
      <c r="AH103" s="519" t="s">
        <v>813</v>
      </c>
      <c r="AI103" s="520"/>
      <c r="AJ103" s="520"/>
      <c r="AK103" s="520"/>
      <c r="AL103" s="520"/>
      <c r="AM103" s="520"/>
      <c r="AN103" s="520"/>
      <c r="AO103" s="520"/>
      <c r="AP103" s="520"/>
      <c r="AQ103" s="520"/>
      <c r="AR103" s="520"/>
      <c r="AS103" s="520"/>
      <c r="AT103" s="520"/>
      <c r="AU103" s="520"/>
      <c r="AV103" s="520"/>
      <c r="AW103" s="520"/>
      <c r="AX103" s="520"/>
      <c r="AY103" s="520"/>
      <c r="AZ103" s="520"/>
      <c r="BA103" s="520"/>
      <c r="BB103" s="520"/>
      <c r="BC103" s="520"/>
      <c r="BD103" s="520"/>
      <c r="BE103" s="520"/>
      <c r="BF103" s="520"/>
      <c r="BG103" s="520"/>
      <c r="BH103" s="520"/>
      <c r="BI103" s="520"/>
      <c r="BJ103" s="520"/>
      <c r="BK103" s="520"/>
      <c r="BL103" s="520"/>
      <c r="BM103" s="520"/>
      <c r="BN103" s="520"/>
      <c r="BO103" s="520"/>
      <c r="BP103" s="520"/>
      <c r="BQ103" s="520"/>
      <c r="BR103" s="520"/>
      <c r="BS103" s="520"/>
      <c r="BT103" s="520"/>
      <c r="BU103" s="520"/>
      <c r="BV103" s="520"/>
      <c r="BW103" s="520"/>
      <c r="BX103" s="520"/>
      <c r="BY103" s="520"/>
      <c r="BZ103" s="520"/>
      <c r="CA103" s="520"/>
      <c r="CB103" s="521"/>
      <c r="CC103" s="226"/>
      <c r="CD103" s="226"/>
      <c r="CE103" s="227"/>
    </row>
    <row r="104" spans="1:83" s="228" customFormat="1" x14ac:dyDescent="0.15">
      <c r="A104" s="229"/>
      <c r="B104" s="226"/>
      <c r="C104" s="226"/>
      <c r="D104" s="528"/>
      <c r="E104" s="529"/>
      <c r="F104" s="529"/>
      <c r="G104" s="529"/>
      <c r="H104" s="530"/>
      <c r="I104" s="513"/>
      <c r="J104" s="514"/>
      <c r="K104" s="514"/>
      <c r="L104" s="514"/>
      <c r="M104" s="514"/>
      <c r="N104" s="514"/>
      <c r="O104" s="514"/>
      <c r="P104" s="514"/>
      <c r="Q104" s="514"/>
      <c r="R104" s="514"/>
      <c r="S104" s="514"/>
      <c r="T104" s="514"/>
      <c r="U104" s="514"/>
      <c r="V104" s="514"/>
      <c r="W104" s="514"/>
      <c r="X104" s="514"/>
      <c r="Y104" s="514"/>
      <c r="Z104" s="514"/>
      <c r="AA104" s="514"/>
      <c r="AB104" s="514"/>
      <c r="AC104" s="514"/>
      <c r="AD104" s="514"/>
      <c r="AE104" s="514"/>
      <c r="AF104" s="514"/>
      <c r="AG104" s="515"/>
      <c r="AH104" s="522"/>
      <c r="AI104" s="523"/>
      <c r="AJ104" s="523"/>
      <c r="AK104" s="523"/>
      <c r="AL104" s="523"/>
      <c r="AM104" s="523"/>
      <c r="AN104" s="523"/>
      <c r="AO104" s="523"/>
      <c r="AP104" s="523"/>
      <c r="AQ104" s="523"/>
      <c r="AR104" s="523"/>
      <c r="AS104" s="523"/>
      <c r="AT104" s="523"/>
      <c r="AU104" s="523"/>
      <c r="AV104" s="523"/>
      <c r="AW104" s="523"/>
      <c r="AX104" s="523"/>
      <c r="AY104" s="523"/>
      <c r="AZ104" s="523"/>
      <c r="BA104" s="523"/>
      <c r="BB104" s="523"/>
      <c r="BC104" s="523"/>
      <c r="BD104" s="523"/>
      <c r="BE104" s="523"/>
      <c r="BF104" s="523"/>
      <c r="BG104" s="523"/>
      <c r="BH104" s="523"/>
      <c r="BI104" s="523"/>
      <c r="BJ104" s="523"/>
      <c r="BK104" s="523"/>
      <c r="BL104" s="523"/>
      <c r="BM104" s="523"/>
      <c r="BN104" s="523"/>
      <c r="BO104" s="523"/>
      <c r="BP104" s="523"/>
      <c r="BQ104" s="523"/>
      <c r="BR104" s="523"/>
      <c r="BS104" s="523"/>
      <c r="BT104" s="523"/>
      <c r="BU104" s="523"/>
      <c r="BV104" s="523"/>
      <c r="BW104" s="523"/>
      <c r="BX104" s="523"/>
      <c r="BY104" s="523"/>
      <c r="BZ104" s="523"/>
      <c r="CA104" s="523"/>
      <c r="CB104" s="524"/>
      <c r="CC104" s="226"/>
      <c r="CD104" s="226"/>
      <c r="CE104" s="227"/>
    </row>
    <row r="105" spans="1:83" s="228" customFormat="1" x14ac:dyDescent="0.15">
      <c r="A105" s="229"/>
      <c r="B105" s="226"/>
      <c r="C105" s="226"/>
      <c r="D105" s="840"/>
      <c r="E105" s="841"/>
      <c r="F105" s="841"/>
      <c r="G105" s="841"/>
      <c r="H105" s="842"/>
      <c r="I105" s="547"/>
      <c r="J105" s="548"/>
      <c r="K105" s="548"/>
      <c r="L105" s="548"/>
      <c r="M105" s="548"/>
      <c r="N105" s="548"/>
      <c r="O105" s="548"/>
      <c r="P105" s="548"/>
      <c r="Q105" s="548"/>
      <c r="R105" s="548"/>
      <c r="S105" s="548"/>
      <c r="T105" s="548"/>
      <c r="U105" s="548"/>
      <c r="V105" s="548"/>
      <c r="W105" s="548"/>
      <c r="X105" s="548"/>
      <c r="Y105" s="548"/>
      <c r="Z105" s="548"/>
      <c r="AA105" s="548"/>
      <c r="AB105" s="548"/>
      <c r="AC105" s="548"/>
      <c r="AD105" s="548"/>
      <c r="AE105" s="548"/>
      <c r="AF105" s="548"/>
      <c r="AG105" s="549"/>
      <c r="AH105" s="550"/>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2"/>
      <c r="CC105" s="226"/>
      <c r="CD105" s="226"/>
      <c r="CE105" s="227"/>
    </row>
    <row r="106" spans="1:83" s="228" customFormat="1" x14ac:dyDescent="0.15">
      <c r="A106" s="229"/>
      <c r="B106" s="226"/>
      <c r="C106" s="226"/>
      <c r="D106" s="226"/>
      <c r="E106" s="226"/>
      <c r="F106" s="226"/>
      <c r="G106" s="226"/>
      <c r="H106" s="226"/>
      <c r="I106" s="226"/>
      <c r="J106" s="226"/>
      <c r="K106" s="226"/>
      <c r="L106" s="226"/>
      <c r="M106" s="226"/>
      <c r="N106" s="226"/>
      <c r="O106" s="226"/>
      <c r="P106" s="226"/>
      <c r="Q106" s="226"/>
      <c r="R106" s="226"/>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c r="AP106" s="226"/>
      <c r="AQ106" s="226"/>
      <c r="AR106" s="226"/>
      <c r="AS106" s="226"/>
      <c r="AT106" s="226"/>
      <c r="AU106" s="226"/>
      <c r="AV106" s="226"/>
      <c r="AW106" s="226"/>
      <c r="AX106" s="226"/>
      <c r="AY106" s="226"/>
      <c r="AZ106" s="226"/>
      <c r="BA106" s="226"/>
      <c r="BB106" s="226"/>
      <c r="BC106" s="226"/>
      <c r="BD106" s="226"/>
      <c r="BE106" s="226"/>
      <c r="BF106" s="226"/>
      <c r="BG106" s="226"/>
      <c r="BH106" s="226"/>
      <c r="BI106" s="226"/>
      <c r="BJ106" s="226"/>
      <c r="BK106" s="226"/>
      <c r="BL106" s="226"/>
      <c r="BM106" s="226"/>
      <c r="BN106" s="226"/>
      <c r="BO106" s="226"/>
      <c r="BP106" s="226"/>
      <c r="BQ106" s="226"/>
      <c r="BR106" s="226"/>
      <c r="BS106" s="226"/>
      <c r="BT106" s="226"/>
      <c r="BU106" s="226"/>
      <c r="BV106" s="226"/>
      <c r="BW106" s="226"/>
      <c r="BX106" s="226"/>
      <c r="BY106" s="226"/>
      <c r="BZ106" s="226"/>
      <c r="CA106" s="226"/>
      <c r="CB106" s="226"/>
      <c r="CC106" s="226"/>
      <c r="CD106" s="226"/>
      <c r="CE106" s="227"/>
    </row>
    <row r="107" spans="1:83" s="228" customFormat="1" x14ac:dyDescent="0.15">
      <c r="A107" s="229"/>
      <c r="B107" s="226"/>
      <c r="C107" s="226"/>
      <c r="D107" s="923"/>
      <c r="E107" s="923"/>
      <c r="F107" s="923"/>
      <c r="G107" s="923"/>
      <c r="H107" s="923"/>
      <c r="I107" s="923"/>
      <c r="J107" s="923"/>
      <c r="K107" s="923"/>
      <c r="L107" s="923"/>
      <c r="M107" s="923"/>
      <c r="N107" s="923"/>
      <c r="O107" s="923"/>
      <c r="P107" s="923"/>
      <c r="Q107" s="923"/>
      <c r="R107" s="923"/>
      <c r="S107" s="923"/>
      <c r="T107" s="923"/>
      <c r="U107" s="923"/>
      <c r="V107" s="923"/>
      <c r="W107" s="923"/>
      <c r="X107" s="923"/>
      <c r="Y107" s="923"/>
      <c r="Z107" s="923"/>
      <c r="AA107" s="923"/>
      <c r="AB107" s="923"/>
      <c r="AC107" s="923"/>
      <c r="AD107" s="923"/>
      <c r="AE107" s="923"/>
      <c r="AF107" s="923"/>
      <c r="AG107" s="923"/>
      <c r="AH107" s="923"/>
      <c r="AI107" s="923"/>
      <c r="AJ107" s="923"/>
      <c r="AK107" s="923"/>
      <c r="AL107" s="923"/>
      <c r="AM107" s="923"/>
      <c r="AN107" s="923"/>
      <c r="AO107" s="923"/>
      <c r="AP107" s="923"/>
      <c r="AQ107" s="923"/>
      <c r="AR107" s="923"/>
      <c r="AS107" s="923"/>
      <c r="AT107" s="923"/>
      <c r="AU107" s="923"/>
      <c r="AV107" s="923"/>
      <c r="AW107" s="923"/>
      <c r="AX107" s="923"/>
      <c r="AY107" s="923"/>
      <c r="AZ107" s="923"/>
      <c r="BA107" s="923"/>
      <c r="BB107" s="923"/>
      <c r="BC107" s="923"/>
      <c r="BD107" s="923"/>
      <c r="BE107" s="923"/>
      <c r="BF107" s="923"/>
      <c r="BG107" s="923"/>
      <c r="BH107" s="923"/>
      <c r="BI107" s="923"/>
      <c r="BJ107" s="923"/>
      <c r="BK107" s="923"/>
      <c r="BL107" s="923"/>
      <c r="BM107" s="923"/>
      <c r="BN107" s="923"/>
      <c r="BO107" s="923"/>
      <c r="BP107" s="923"/>
      <c r="BQ107" s="923"/>
      <c r="BR107" s="923"/>
      <c r="BS107" s="923"/>
      <c r="BT107" s="923"/>
      <c r="BU107" s="923"/>
      <c r="BV107" s="923"/>
      <c r="BW107" s="923"/>
      <c r="BX107" s="923"/>
      <c r="BY107" s="923"/>
      <c r="BZ107" s="923"/>
      <c r="CA107" s="923"/>
      <c r="CB107" s="923"/>
      <c r="CC107" s="226"/>
      <c r="CD107" s="226"/>
      <c r="CE107" s="227"/>
    </row>
    <row r="108" spans="1:83" s="228" customFormat="1" x14ac:dyDescent="0.15">
      <c r="A108" s="229"/>
      <c r="B108" s="226"/>
      <c r="C108" s="226"/>
      <c r="D108" s="226"/>
      <c r="E108" s="226"/>
      <c r="F108" s="226"/>
      <c r="G108" s="226"/>
      <c r="H108" s="226"/>
      <c r="I108" s="226"/>
      <c r="J108" s="226"/>
      <c r="K108" s="226"/>
      <c r="L108" s="226"/>
      <c r="M108" s="226"/>
      <c r="N108" s="226"/>
      <c r="O108" s="226"/>
      <c r="P108" s="226"/>
      <c r="Q108" s="226"/>
      <c r="R108" s="226"/>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c r="AP108" s="226"/>
      <c r="AQ108" s="226"/>
      <c r="AR108" s="226"/>
      <c r="AS108" s="226"/>
      <c r="AT108" s="226"/>
      <c r="AU108" s="226"/>
      <c r="AV108" s="226"/>
      <c r="AW108" s="226"/>
      <c r="AX108" s="226"/>
      <c r="AY108" s="226"/>
      <c r="AZ108" s="226"/>
      <c r="BA108" s="226"/>
      <c r="BB108" s="226"/>
      <c r="BC108" s="226"/>
      <c r="BD108" s="226"/>
      <c r="BE108" s="226"/>
      <c r="BF108" s="226"/>
      <c r="BG108" s="226"/>
      <c r="BH108" s="226"/>
      <c r="BI108" s="226"/>
      <c r="BJ108" s="226"/>
      <c r="BK108" s="226"/>
      <c r="BL108" s="226"/>
      <c r="BM108" s="226"/>
      <c r="BN108" s="226"/>
      <c r="BO108" s="226"/>
      <c r="BP108" s="226"/>
      <c r="BQ108" s="226"/>
      <c r="BR108" s="226"/>
      <c r="BS108" s="226"/>
      <c r="BT108" s="226"/>
      <c r="BU108" s="226"/>
      <c r="BV108" s="226"/>
      <c r="BW108" s="226"/>
      <c r="BX108" s="226"/>
      <c r="BY108" s="226"/>
      <c r="BZ108" s="226"/>
      <c r="CA108" s="226"/>
      <c r="CB108" s="226"/>
      <c r="CC108" s="226"/>
      <c r="CD108" s="226"/>
      <c r="CE108" s="227"/>
    </row>
    <row r="109" spans="1:83" s="228" customFormat="1" x14ac:dyDescent="0.15">
      <c r="A109" s="229"/>
      <c r="B109" s="226"/>
      <c r="C109" s="226"/>
      <c r="D109" s="226"/>
      <c r="E109" s="226"/>
      <c r="F109" s="226"/>
      <c r="G109" s="226"/>
      <c r="H109" s="226"/>
      <c r="I109" s="226"/>
      <c r="J109" s="226"/>
      <c r="K109" s="226"/>
      <c r="L109" s="226"/>
      <c r="M109" s="226"/>
      <c r="N109" s="226"/>
      <c r="O109" s="226"/>
      <c r="P109" s="226"/>
      <c r="Q109" s="226"/>
      <c r="R109" s="226"/>
      <c r="S109" s="226"/>
      <c r="T109" s="226"/>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c r="AP109" s="226"/>
      <c r="AQ109" s="226"/>
      <c r="AR109" s="226"/>
      <c r="AS109" s="226"/>
      <c r="AT109" s="226"/>
      <c r="AU109" s="226"/>
      <c r="AV109" s="226"/>
      <c r="AW109" s="226"/>
      <c r="AX109" s="226"/>
      <c r="AY109" s="226"/>
      <c r="AZ109" s="226"/>
      <c r="BA109" s="226"/>
      <c r="BB109" s="226"/>
      <c r="BC109" s="226"/>
      <c r="BD109" s="226"/>
      <c r="BE109" s="226"/>
      <c r="BF109" s="226"/>
      <c r="BG109" s="226"/>
      <c r="BH109" s="226"/>
      <c r="BI109" s="226"/>
      <c r="BJ109" s="226"/>
      <c r="BK109" s="226"/>
      <c r="BL109" s="226"/>
      <c r="BM109" s="226"/>
      <c r="BN109" s="226"/>
      <c r="BO109" s="226"/>
      <c r="BP109" s="226"/>
      <c r="BQ109" s="226"/>
      <c r="BR109" s="226"/>
      <c r="BS109" s="226"/>
      <c r="BT109" s="226"/>
      <c r="BU109" s="226"/>
      <c r="BV109" s="226"/>
      <c r="BW109" s="226"/>
      <c r="BX109" s="226"/>
      <c r="BY109" s="226"/>
      <c r="BZ109" s="226"/>
      <c r="CA109" s="226"/>
      <c r="CB109" s="226"/>
      <c r="CC109" s="226"/>
      <c r="CD109" s="226"/>
      <c r="CE109" s="227"/>
    </row>
    <row r="110" spans="1:83" s="228" customFormat="1" x14ac:dyDescent="0.15">
      <c r="A110" s="229"/>
      <c r="B110" s="226"/>
      <c r="C110" s="226"/>
      <c r="D110" s="226"/>
      <c r="E110" s="226"/>
      <c r="F110" s="226"/>
      <c r="G110" s="226"/>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c r="AP110" s="226"/>
      <c r="AQ110" s="226"/>
      <c r="AR110" s="226"/>
      <c r="AS110" s="226"/>
      <c r="AT110" s="226"/>
      <c r="AU110" s="226"/>
      <c r="AV110" s="226"/>
      <c r="AW110" s="226"/>
      <c r="AX110" s="226"/>
      <c r="AY110" s="226"/>
      <c r="AZ110" s="226"/>
      <c r="BA110" s="226"/>
      <c r="BB110" s="226"/>
      <c r="BC110" s="226"/>
      <c r="BD110" s="226"/>
      <c r="BE110" s="226"/>
      <c r="BF110" s="226"/>
      <c r="BG110" s="226"/>
      <c r="BH110" s="226"/>
      <c r="BI110" s="226"/>
      <c r="BJ110" s="226"/>
      <c r="BK110" s="226"/>
      <c r="BL110" s="226"/>
      <c r="BM110" s="226"/>
      <c r="BN110" s="226"/>
      <c r="BO110" s="226"/>
      <c r="BP110" s="226"/>
      <c r="BQ110" s="226"/>
      <c r="BR110" s="226"/>
      <c r="BS110" s="226"/>
      <c r="BT110" s="226"/>
      <c r="BU110" s="226"/>
      <c r="BV110" s="226"/>
      <c r="BW110" s="226"/>
      <c r="BX110" s="226"/>
      <c r="BY110" s="226"/>
      <c r="BZ110" s="226"/>
      <c r="CA110" s="226"/>
      <c r="CB110" s="226"/>
      <c r="CC110" s="226"/>
      <c r="CD110" s="226"/>
      <c r="CE110" s="227"/>
    </row>
    <row r="111" spans="1:83" s="228" customFormat="1" x14ac:dyDescent="0.15">
      <c r="A111" s="229"/>
      <c r="B111" s="226"/>
      <c r="C111" s="226"/>
      <c r="D111" s="226"/>
      <c r="E111" s="226"/>
      <c r="F111" s="226"/>
      <c r="G111" s="226"/>
      <c r="H111" s="226"/>
      <c r="I111" s="226"/>
      <c r="J111" s="226"/>
      <c r="K111" s="226"/>
      <c r="L111" s="226"/>
      <c r="M111" s="226"/>
      <c r="N111" s="226"/>
      <c r="O111" s="226"/>
      <c r="P111" s="226"/>
      <c r="Q111" s="226"/>
      <c r="R111" s="226"/>
      <c r="S111" s="226"/>
      <c r="T111" s="226"/>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c r="AP111" s="226"/>
      <c r="AQ111" s="226"/>
      <c r="AR111" s="226"/>
      <c r="AS111" s="226"/>
      <c r="AT111" s="226"/>
      <c r="AU111" s="226"/>
      <c r="AV111" s="226"/>
      <c r="AW111" s="226"/>
      <c r="AX111" s="226"/>
      <c r="AY111" s="226"/>
      <c r="AZ111" s="226"/>
      <c r="BA111" s="226"/>
      <c r="BB111" s="226"/>
      <c r="BC111" s="226"/>
      <c r="BD111" s="226"/>
      <c r="BE111" s="226"/>
      <c r="BF111" s="226"/>
      <c r="BG111" s="226"/>
      <c r="BH111" s="226"/>
      <c r="BI111" s="226"/>
      <c r="BJ111" s="226"/>
      <c r="BK111" s="226"/>
      <c r="BL111" s="226"/>
      <c r="BM111" s="226"/>
      <c r="BN111" s="226"/>
      <c r="BO111" s="226"/>
      <c r="BP111" s="226"/>
      <c r="BQ111" s="226"/>
      <c r="BR111" s="226"/>
      <c r="BS111" s="226"/>
      <c r="BT111" s="226"/>
      <c r="BU111" s="226"/>
      <c r="BV111" s="226"/>
      <c r="BW111" s="226"/>
      <c r="BX111" s="226"/>
      <c r="BY111" s="226"/>
      <c r="BZ111" s="226"/>
      <c r="CA111" s="226"/>
      <c r="CB111" s="226"/>
      <c r="CC111" s="226"/>
      <c r="CD111" s="226"/>
      <c r="CE111" s="227"/>
    </row>
    <row r="112" spans="1:83" s="228" customFormat="1" x14ac:dyDescent="0.15">
      <c r="A112" s="229"/>
      <c r="B112" s="226"/>
      <c r="C112" s="226"/>
      <c r="D112" s="923"/>
      <c r="E112" s="923"/>
      <c r="F112" s="923"/>
      <c r="G112" s="923"/>
      <c r="H112" s="923"/>
      <c r="I112" s="923"/>
      <c r="J112" s="923"/>
      <c r="K112" s="923"/>
      <c r="L112" s="923"/>
      <c r="M112" s="923"/>
      <c r="N112" s="923"/>
      <c r="O112" s="923"/>
      <c r="P112" s="923"/>
      <c r="Q112" s="923"/>
      <c r="R112" s="923"/>
      <c r="S112" s="923"/>
      <c r="T112" s="923"/>
      <c r="U112" s="923"/>
      <c r="V112" s="923"/>
      <c r="W112" s="923"/>
      <c r="X112" s="923"/>
      <c r="Y112" s="923"/>
      <c r="Z112" s="923"/>
      <c r="AA112" s="923"/>
      <c r="AB112" s="923"/>
      <c r="AC112" s="923"/>
      <c r="AD112" s="923"/>
      <c r="AE112" s="923"/>
      <c r="AF112" s="923"/>
      <c r="AG112" s="923"/>
      <c r="AH112" s="923"/>
      <c r="AI112" s="923"/>
      <c r="AJ112" s="923"/>
      <c r="AK112" s="923"/>
      <c r="AL112" s="923"/>
      <c r="AM112" s="923"/>
      <c r="AN112" s="923"/>
      <c r="AO112" s="923"/>
      <c r="AP112" s="923"/>
      <c r="AQ112" s="923"/>
      <c r="AR112" s="923"/>
      <c r="AS112" s="923"/>
      <c r="AT112" s="923"/>
      <c r="AU112" s="923"/>
      <c r="AV112" s="923"/>
      <c r="AW112" s="923"/>
      <c r="AX112" s="923"/>
      <c r="AY112" s="923"/>
      <c r="AZ112" s="923"/>
      <c r="BA112" s="923"/>
      <c r="BB112" s="923"/>
      <c r="BC112" s="923"/>
      <c r="BD112" s="923"/>
      <c r="BE112" s="923"/>
      <c r="BF112" s="923"/>
      <c r="BG112" s="923"/>
      <c r="BH112" s="923"/>
      <c r="BI112" s="923"/>
      <c r="BJ112" s="923"/>
      <c r="BK112" s="923"/>
      <c r="BL112" s="923"/>
      <c r="BM112" s="923"/>
      <c r="BN112" s="923"/>
      <c r="BO112" s="923"/>
      <c r="BP112" s="923"/>
      <c r="BQ112" s="923"/>
      <c r="BR112" s="923"/>
      <c r="BS112" s="923"/>
      <c r="BT112" s="923"/>
      <c r="BU112" s="923"/>
      <c r="BV112" s="923"/>
      <c r="BW112" s="923"/>
      <c r="BX112" s="923"/>
      <c r="BY112" s="923"/>
      <c r="BZ112" s="923"/>
      <c r="CA112" s="923"/>
      <c r="CB112" s="923"/>
      <c r="CC112" s="226"/>
      <c r="CD112" s="226"/>
      <c r="CE112" s="227"/>
    </row>
    <row r="113" spans="1:83" s="228" customFormat="1" x14ac:dyDescent="0.15">
      <c r="A113" s="229"/>
      <c r="B113" s="226"/>
      <c r="C113" s="226"/>
      <c r="D113" s="226"/>
      <c r="E113" s="226"/>
      <c r="F113" s="226"/>
      <c r="G113" s="226"/>
      <c r="H113" s="226"/>
      <c r="I113" s="226"/>
      <c r="J113" s="226"/>
      <c r="K113" s="226"/>
      <c r="L113" s="226"/>
      <c r="M113" s="226"/>
      <c r="N113" s="226"/>
      <c r="O113" s="226"/>
      <c r="P113" s="226"/>
      <c r="Q113" s="226"/>
      <c r="R113" s="226"/>
      <c r="S113" s="226"/>
      <c r="T113" s="226"/>
      <c r="U113" s="226"/>
      <c r="V113" s="226"/>
      <c r="W113" s="226"/>
      <c r="X113" s="226"/>
      <c r="Y113" s="226"/>
      <c r="Z113" s="226"/>
      <c r="AA113" s="226"/>
      <c r="AB113" s="226"/>
      <c r="AC113" s="226"/>
      <c r="AD113" s="226"/>
      <c r="AE113" s="226"/>
      <c r="AF113" s="226"/>
      <c r="AG113" s="226"/>
      <c r="AH113" s="226"/>
      <c r="AI113" s="226"/>
      <c r="AJ113" s="226"/>
      <c r="AK113" s="226"/>
      <c r="AL113" s="226"/>
      <c r="AM113" s="226"/>
      <c r="AN113" s="226"/>
      <c r="AO113" s="226"/>
      <c r="AP113" s="226"/>
      <c r="AQ113" s="226"/>
      <c r="AR113" s="226"/>
      <c r="AS113" s="226"/>
      <c r="AT113" s="226"/>
      <c r="AU113" s="226"/>
      <c r="AV113" s="226"/>
      <c r="AW113" s="226"/>
      <c r="AX113" s="226"/>
      <c r="AY113" s="226"/>
      <c r="AZ113" s="226"/>
      <c r="BA113" s="226"/>
      <c r="BB113" s="226"/>
      <c r="BC113" s="226"/>
      <c r="BD113" s="226"/>
      <c r="BE113" s="226"/>
      <c r="BF113" s="226"/>
      <c r="BG113" s="226"/>
      <c r="BH113" s="226"/>
      <c r="BI113" s="226"/>
      <c r="BJ113" s="226"/>
      <c r="BK113" s="226"/>
      <c r="BL113" s="226"/>
      <c r="BM113" s="226"/>
      <c r="BN113" s="226"/>
      <c r="BO113" s="226"/>
      <c r="BP113" s="226"/>
      <c r="BQ113" s="226"/>
      <c r="BR113" s="226"/>
      <c r="BS113" s="226"/>
      <c r="BT113" s="226"/>
      <c r="BU113" s="226"/>
      <c r="BV113" s="226"/>
      <c r="BW113" s="226"/>
      <c r="BX113" s="226"/>
      <c r="BY113" s="226"/>
      <c r="BZ113" s="226"/>
      <c r="CA113" s="226"/>
      <c r="CB113" s="226"/>
      <c r="CC113" s="226"/>
      <c r="CD113" s="226"/>
      <c r="CE113" s="227"/>
    </row>
    <row r="114" spans="1:83" s="228" customFormat="1" x14ac:dyDescent="0.15">
      <c r="A114" s="229"/>
      <c r="B114" s="226"/>
      <c r="C114" s="226"/>
      <c r="D114" s="226"/>
      <c r="E114" s="226"/>
      <c r="F114" s="226"/>
      <c r="G114" s="226"/>
      <c r="H114" s="226"/>
      <c r="I114" s="226"/>
      <c r="J114" s="226"/>
      <c r="K114" s="226"/>
      <c r="L114" s="226"/>
      <c r="M114" s="226"/>
      <c r="N114" s="226"/>
      <c r="O114" s="226"/>
      <c r="P114" s="226"/>
      <c r="Q114" s="226"/>
      <c r="R114" s="226"/>
      <c r="S114" s="226"/>
      <c r="T114" s="226"/>
      <c r="U114" s="226"/>
      <c r="V114" s="226"/>
      <c r="W114" s="226"/>
      <c r="X114" s="226"/>
      <c r="Y114" s="226"/>
      <c r="Z114" s="226"/>
      <c r="AA114" s="226"/>
      <c r="AB114" s="226"/>
      <c r="AC114" s="226"/>
      <c r="AD114" s="226"/>
      <c r="AE114" s="226"/>
      <c r="AF114" s="226"/>
      <c r="AG114" s="226"/>
      <c r="AH114" s="226"/>
      <c r="AI114" s="226"/>
      <c r="AJ114" s="226"/>
      <c r="AK114" s="226"/>
      <c r="AL114" s="226"/>
      <c r="AM114" s="226"/>
      <c r="AN114" s="226"/>
      <c r="AO114" s="226"/>
      <c r="AP114" s="226"/>
      <c r="AQ114" s="226"/>
      <c r="AR114" s="226"/>
      <c r="AS114" s="226"/>
      <c r="AT114" s="226"/>
      <c r="AU114" s="226"/>
      <c r="AV114" s="226"/>
      <c r="AW114" s="226"/>
      <c r="AX114" s="226"/>
      <c r="AY114" s="226"/>
      <c r="AZ114" s="226"/>
      <c r="BA114" s="226"/>
      <c r="BB114" s="226"/>
      <c r="BC114" s="226"/>
      <c r="BD114" s="226"/>
      <c r="BE114" s="226"/>
      <c r="BF114" s="226"/>
      <c r="BG114" s="226"/>
      <c r="BH114" s="226"/>
      <c r="BI114" s="226"/>
      <c r="BJ114" s="226"/>
      <c r="BK114" s="226"/>
      <c r="BL114" s="226"/>
      <c r="BM114" s="226"/>
      <c r="BN114" s="226"/>
      <c r="BO114" s="226"/>
      <c r="BP114" s="226"/>
      <c r="BQ114" s="226"/>
      <c r="BR114" s="226"/>
      <c r="BS114" s="226"/>
      <c r="BT114" s="226"/>
      <c r="BU114" s="226"/>
      <c r="BV114" s="226"/>
      <c r="BW114" s="226"/>
      <c r="BX114" s="226"/>
      <c r="BY114" s="226"/>
      <c r="BZ114" s="226"/>
      <c r="CA114" s="226"/>
      <c r="CB114" s="226"/>
      <c r="CC114" s="226"/>
      <c r="CD114" s="226"/>
      <c r="CE114" s="227"/>
    </row>
    <row r="115" spans="1:83" s="228" customFormat="1" x14ac:dyDescent="0.15">
      <c r="A115" s="229"/>
      <c r="B115" s="226"/>
      <c r="C115" s="226"/>
      <c r="D115" s="226"/>
      <c r="E115" s="226"/>
      <c r="F115" s="226"/>
      <c r="G115" s="226"/>
      <c r="H115" s="226"/>
      <c r="I115" s="226"/>
      <c r="J115" s="226"/>
      <c r="K115" s="226"/>
      <c r="L115" s="226"/>
      <c r="M115" s="226"/>
      <c r="N115" s="226"/>
      <c r="O115" s="226"/>
      <c r="P115" s="226"/>
      <c r="Q115" s="226"/>
      <c r="R115" s="226"/>
      <c r="S115" s="226"/>
      <c r="T115" s="226"/>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c r="AP115" s="226"/>
      <c r="AQ115" s="226"/>
      <c r="AR115" s="226"/>
      <c r="AS115" s="226"/>
      <c r="AT115" s="226"/>
      <c r="AU115" s="226"/>
      <c r="AV115" s="226"/>
      <c r="AW115" s="226"/>
      <c r="AX115" s="226"/>
      <c r="AY115" s="226"/>
      <c r="AZ115" s="226"/>
      <c r="BA115" s="226"/>
      <c r="BB115" s="226"/>
      <c r="BC115" s="226"/>
      <c r="BD115" s="226"/>
      <c r="BE115" s="226"/>
      <c r="BF115" s="226"/>
      <c r="BG115" s="226"/>
      <c r="BH115" s="226"/>
      <c r="BI115" s="226"/>
      <c r="BJ115" s="226"/>
      <c r="BK115" s="226"/>
      <c r="BL115" s="226"/>
      <c r="BM115" s="226"/>
      <c r="BN115" s="226"/>
      <c r="BO115" s="226"/>
      <c r="BP115" s="226"/>
      <c r="BQ115" s="226"/>
      <c r="BR115" s="226"/>
      <c r="BS115" s="226"/>
      <c r="BT115" s="226"/>
      <c r="BU115" s="226"/>
      <c r="BV115" s="226"/>
      <c r="BW115" s="226"/>
      <c r="BX115" s="226"/>
      <c r="BY115" s="226"/>
      <c r="BZ115" s="226"/>
      <c r="CA115" s="226"/>
      <c r="CB115" s="226"/>
      <c r="CC115" s="226"/>
      <c r="CD115" s="226"/>
      <c r="CE115" s="227"/>
    </row>
    <row r="116" spans="1:83" s="228" customFormat="1" x14ac:dyDescent="0.15">
      <c r="A116" s="229"/>
      <c r="B116" s="226"/>
      <c r="C116" s="226"/>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c r="AB116" s="226"/>
      <c r="AC116" s="226"/>
      <c r="AD116" s="226"/>
      <c r="AE116" s="226"/>
      <c r="AF116" s="226"/>
      <c r="AG116" s="226"/>
      <c r="AH116" s="226"/>
      <c r="AI116" s="226"/>
      <c r="AJ116" s="226"/>
      <c r="AK116" s="226"/>
      <c r="AL116" s="226"/>
      <c r="AM116" s="226"/>
      <c r="AN116" s="226"/>
      <c r="AO116" s="226"/>
      <c r="AP116" s="226"/>
      <c r="AQ116" s="226"/>
      <c r="AR116" s="226"/>
      <c r="AS116" s="226"/>
      <c r="AT116" s="226"/>
      <c r="AU116" s="226"/>
      <c r="AV116" s="226"/>
      <c r="AW116" s="226"/>
      <c r="AX116" s="226"/>
      <c r="AY116" s="226"/>
      <c r="AZ116" s="226"/>
      <c r="BA116" s="226"/>
      <c r="BB116" s="226"/>
      <c r="BC116" s="226"/>
      <c r="BD116" s="226"/>
      <c r="BE116" s="226"/>
      <c r="BF116" s="226"/>
      <c r="BG116" s="226"/>
      <c r="BH116" s="226"/>
      <c r="BI116" s="226"/>
      <c r="BJ116" s="226"/>
      <c r="BK116" s="226"/>
      <c r="BL116" s="226"/>
      <c r="BM116" s="226"/>
      <c r="BN116" s="226"/>
      <c r="BO116" s="226"/>
      <c r="BP116" s="226"/>
      <c r="BQ116" s="226"/>
      <c r="BR116" s="226"/>
      <c r="BS116" s="226"/>
      <c r="BT116" s="226"/>
      <c r="BU116" s="226"/>
      <c r="BV116" s="226"/>
      <c r="BW116" s="226"/>
      <c r="BX116" s="226"/>
      <c r="BY116" s="226"/>
      <c r="BZ116" s="226"/>
      <c r="CA116" s="226"/>
      <c r="CB116" s="226"/>
      <c r="CC116" s="226"/>
      <c r="CD116" s="226"/>
      <c r="CE116" s="227"/>
    </row>
    <row r="117" spans="1:83" s="228" customFormat="1" x14ac:dyDescent="0.15">
      <c r="A117" s="229"/>
      <c r="B117" s="226"/>
      <c r="C117" s="226"/>
      <c r="D117" s="226"/>
      <c r="E117" s="226"/>
      <c r="F117" s="226"/>
      <c r="G117" s="226"/>
      <c r="H117" s="226"/>
      <c r="I117" s="226"/>
      <c r="J117" s="226"/>
      <c r="K117" s="226"/>
      <c r="L117" s="226"/>
      <c r="M117" s="226"/>
      <c r="N117" s="226"/>
      <c r="O117" s="226"/>
      <c r="P117" s="226"/>
      <c r="Q117" s="226"/>
      <c r="R117" s="226"/>
      <c r="S117" s="226"/>
      <c r="T117" s="226"/>
      <c r="U117" s="226"/>
      <c r="V117" s="226"/>
      <c r="W117" s="226"/>
      <c r="X117" s="226"/>
      <c r="Y117" s="226"/>
      <c r="Z117" s="226"/>
      <c r="AA117" s="226"/>
      <c r="AB117" s="226"/>
      <c r="AC117" s="226"/>
      <c r="AD117" s="226"/>
      <c r="AE117" s="226"/>
      <c r="AF117" s="226"/>
      <c r="AG117" s="226"/>
      <c r="AH117" s="226"/>
      <c r="AI117" s="226"/>
      <c r="AJ117" s="226"/>
      <c r="AK117" s="226"/>
      <c r="AL117" s="226"/>
      <c r="AM117" s="226"/>
      <c r="AN117" s="226"/>
      <c r="AO117" s="226"/>
      <c r="AP117" s="226"/>
      <c r="AQ117" s="226"/>
      <c r="AR117" s="226"/>
      <c r="AS117" s="226"/>
      <c r="AT117" s="226"/>
      <c r="AU117" s="226"/>
      <c r="AV117" s="226"/>
      <c r="AW117" s="226"/>
      <c r="AX117" s="226"/>
      <c r="AY117" s="226"/>
      <c r="AZ117" s="226"/>
      <c r="BA117" s="226"/>
      <c r="BB117" s="226"/>
      <c r="BC117" s="226"/>
      <c r="BD117" s="226"/>
      <c r="BE117" s="226"/>
      <c r="BF117" s="226"/>
      <c r="BG117" s="226"/>
      <c r="BH117" s="226"/>
      <c r="BI117" s="226"/>
      <c r="BJ117" s="226"/>
      <c r="BK117" s="226"/>
      <c r="BL117" s="226"/>
      <c r="BM117" s="226"/>
      <c r="BN117" s="226"/>
      <c r="BO117" s="226"/>
      <c r="BP117" s="226"/>
      <c r="BQ117" s="226"/>
      <c r="BR117" s="226"/>
      <c r="BS117" s="226"/>
      <c r="BT117" s="226"/>
      <c r="BU117" s="226"/>
      <c r="BV117" s="226"/>
      <c r="BW117" s="226"/>
      <c r="BX117" s="226"/>
      <c r="BY117" s="226"/>
      <c r="BZ117" s="226"/>
      <c r="CA117" s="226"/>
      <c r="CB117" s="226"/>
      <c r="CC117" s="226"/>
      <c r="CD117" s="226"/>
      <c r="CE117" s="227"/>
    </row>
    <row r="118" spans="1:83" s="228" customFormat="1" x14ac:dyDescent="0.15">
      <c r="A118" s="229"/>
      <c r="B118" s="226"/>
      <c r="C118" s="226"/>
      <c r="D118" s="226"/>
      <c r="E118" s="226"/>
      <c r="F118" s="226"/>
      <c r="G118" s="226"/>
      <c r="H118" s="226"/>
      <c r="I118" s="226"/>
      <c r="J118" s="226"/>
      <c r="K118" s="226"/>
      <c r="L118" s="226"/>
      <c r="M118" s="226"/>
      <c r="N118" s="226"/>
      <c r="O118" s="226"/>
      <c r="P118" s="226"/>
      <c r="Q118" s="226"/>
      <c r="R118" s="226"/>
      <c r="S118" s="226"/>
      <c r="T118" s="226"/>
      <c r="U118" s="226"/>
      <c r="V118" s="226"/>
      <c r="W118" s="226"/>
      <c r="X118" s="226"/>
      <c r="Y118" s="226"/>
      <c r="Z118" s="226"/>
      <c r="AA118" s="226"/>
      <c r="AB118" s="226"/>
      <c r="AC118" s="226"/>
      <c r="AD118" s="226"/>
      <c r="AE118" s="226"/>
      <c r="AF118" s="226"/>
      <c r="AG118" s="226"/>
      <c r="AH118" s="226"/>
      <c r="AI118" s="226"/>
      <c r="AJ118" s="226"/>
      <c r="AK118" s="226"/>
      <c r="AL118" s="226"/>
      <c r="AM118" s="226"/>
      <c r="AN118" s="226"/>
      <c r="AO118" s="226"/>
      <c r="AP118" s="226"/>
      <c r="AQ118" s="226"/>
      <c r="AR118" s="226"/>
      <c r="AS118" s="226"/>
      <c r="AT118" s="226"/>
      <c r="AU118" s="226"/>
      <c r="AV118" s="226"/>
      <c r="AW118" s="226"/>
      <c r="AX118" s="226"/>
      <c r="AY118" s="226"/>
      <c r="AZ118" s="226"/>
      <c r="BA118" s="226"/>
      <c r="BB118" s="226"/>
      <c r="BC118" s="226"/>
      <c r="BD118" s="226"/>
      <c r="BE118" s="226"/>
      <c r="BF118" s="226"/>
      <c r="BG118" s="226"/>
      <c r="BH118" s="226"/>
      <c r="BI118" s="226"/>
      <c r="BJ118" s="226"/>
      <c r="BK118" s="226"/>
      <c r="BL118" s="226"/>
      <c r="BM118" s="226"/>
      <c r="BN118" s="226"/>
      <c r="BO118" s="226"/>
      <c r="BP118" s="226"/>
      <c r="BQ118" s="226"/>
      <c r="BR118" s="226"/>
      <c r="BS118" s="226"/>
      <c r="BT118" s="226"/>
      <c r="BU118" s="226"/>
      <c r="BV118" s="226"/>
      <c r="BW118" s="226"/>
      <c r="BX118" s="226"/>
      <c r="BY118" s="226"/>
      <c r="BZ118" s="226"/>
      <c r="CA118" s="226"/>
      <c r="CB118" s="226"/>
      <c r="CC118" s="226"/>
      <c r="CD118" s="226"/>
      <c r="CE118" s="227"/>
    </row>
    <row r="119" spans="1:83" s="228" customFormat="1" x14ac:dyDescent="0.15">
      <c r="A119" s="229"/>
      <c r="B119" s="226"/>
      <c r="C119" s="226"/>
      <c r="D119" s="226"/>
      <c r="E119" s="226"/>
      <c r="F119" s="226"/>
      <c r="G119" s="226"/>
      <c r="H119" s="226"/>
      <c r="I119" s="226"/>
      <c r="J119" s="226"/>
      <c r="K119" s="226"/>
      <c r="L119" s="226"/>
      <c r="M119" s="226"/>
      <c r="N119" s="226"/>
      <c r="O119" s="226"/>
      <c r="P119" s="226"/>
      <c r="Q119" s="226"/>
      <c r="R119" s="226"/>
      <c r="S119" s="226"/>
      <c r="T119" s="226"/>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c r="AP119" s="226"/>
      <c r="AQ119" s="226"/>
      <c r="AR119" s="226"/>
      <c r="AS119" s="226"/>
      <c r="AT119" s="226"/>
      <c r="AU119" s="226"/>
      <c r="AV119" s="226"/>
      <c r="AW119" s="226"/>
      <c r="AX119" s="226"/>
      <c r="AY119" s="226"/>
      <c r="AZ119" s="226"/>
      <c r="BA119" s="226"/>
      <c r="BB119" s="226"/>
      <c r="BC119" s="226"/>
      <c r="BD119" s="226"/>
      <c r="BE119" s="226"/>
      <c r="BF119" s="226"/>
      <c r="BG119" s="226"/>
      <c r="BH119" s="226"/>
      <c r="BI119" s="226"/>
      <c r="BJ119" s="226"/>
      <c r="BK119" s="226"/>
      <c r="BL119" s="226"/>
      <c r="BM119" s="226"/>
      <c r="BN119" s="226"/>
      <c r="BO119" s="226"/>
      <c r="BP119" s="226"/>
      <c r="BQ119" s="226"/>
      <c r="BR119" s="226"/>
      <c r="BS119" s="226"/>
      <c r="BT119" s="226"/>
      <c r="BU119" s="226"/>
      <c r="BV119" s="226"/>
      <c r="BW119" s="226"/>
      <c r="BX119" s="226"/>
      <c r="BY119" s="226"/>
      <c r="BZ119" s="226"/>
      <c r="CA119" s="226"/>
      <c r="CB119" s="226"/>
      <c r="CC119" s="226"/>
      <c r="CD119" s="226"/>
      <c r="CE119" s="227"/>
    </row>
    <row r="120" spans="1:83" s="228" customFormat="1" x14ac:dyDescent="0.15">
      <c r="A120" s="229"/>
      <c r="B120" s="226"/>
      <c r="C120" s="226"/>
      <c r="D120" s="226"/>
      <c r="E120" s="226"/>
      <c r="F120" s="226"/>
      <c r="G120" s="226"/>
      <c r="H120" s="226"/>
      <c r="I120" s="226"/>
      <c r="J120" s="226"/>
      <c r="K120" s="226"/>
      <c r="L120" s="226"/>
      <c r="M120" s="226"/>
      <c r="N120" s="226"/>
      <c r="O120" s="226"/>
      <c r="P120" s="226"/>
      <c r="Q120" s="226"/>
      <c r="R120" s="226"/>
      <c r="S120" s="226"/>
      <c r="T120" s="226"/>
      <c r="U120" s="226"/>
      <c r="V120" s="226"/>
      <c r="W120" s="226"/>
      <c r="X120" s="226"/>
      <c r="Y120" s="226"/>
      <c r="Z120" s="226"/>
      <c r="AA120" s="226"/>
      <c r="AB120" s="226"/>
      <c r="AC120" s="226"/>
      <c r="AD120" s="226"/>
      <c r="AE120" s="226"/>
      <c r="AF120" s="226"/>
      <c r="AG120" s="226"/>
      <c r="AH120" s="226"/>
      <c r="AI120" s="226"/>
      <c r="AJ120" s="226"/>
      <c r="AK120" s="226"/>
      <c r="AL120" s="226"/>
      <c r="AM120" s="226"/>
      <c r="AN120" s="226"/>
      <c r="AO120" s="226"/>
      <c r="AP120" s="226"/>
      <c r="AQ120" s="226"/>
      <c r="AR120" s="226"/>
      <c r="AS120" s="226"/>
      <c r="AT120" s="226"/>
      <c r="AU120" s="226"/>
      <c r="AV120" s="226"/>
      <c r="AW120" s="226"/>
      <c r="AX120" s="226"/>
      <c r="AY120" s="226"/>
      <c r="AZ120" s="226"/>
      <c r="BA120" s="226"/>
      <c r="BB120" s="226"/>
      <c r="BC120" s="226"/>
      <c r="BD120" s="226"/>
      <c r="BE120" s="226"/>
      <c r="BF120" s="226"/>
      <c r="BG120" s="226"/>
      <c r="BH120" s="226"/>
      <c r="BI120" s="226"/>
      <c r="BJ120" s="226"/>
      <c r="BK120" s="226"/>
      <c r="BL120" s="226"/>
      <c r="BM120" s="226"/>
      <c r="BN120" s="226"/>
      <c r="BO120" s="226"/>
      <c r="BP120" s="226"/>
      <c r="BQ120" s="226"/>
      <c r="BR120" s="226"/>
      <c r="BS120" s="226"/>
      <c r="BT120" s="226"/>
      <c r="BU120" s="226"/>
      <c r="BV120" s="226"/>
      <c r="BW120" s="226"/>
      <c r="BX120" s="226"/>
      <c r="BY120" s="226"/>
      <c r="BZ120" s="226"/>
      <c r="CA120" s="226"/>
      <c r="CB120" s="226"/>
      <c r="CC120" s="226"/>
      <c r="CD120" s="226"/>
      <c r="CE120" s="227"/>
    </row>
    <row r="121" spans="1:83" s="228" customFormat="1" x14ac:dyDescent="0.15">
      <c r="A121" s="229"/>
      <c r="B121" s="226"/>
      <c r="C121" s="226"/>
      <c r="D121" s="226"/>
      <c r="E121" s="226"/>
      <c r="F121" s="226"/>
      <c r="G121" s="226"/>
      <c r="H121" s="226"/>
      <c r="I121" s="226"/>
      <c r="J121" s="226"/>
      <c r="K121" s="226"/>
      <c r="L121" s="226"/>
      <c r="M121" s="226"/>
      <c r="N121" s="226"/>
      <c r="O121" s="226"/>
      <c r="P121" s="226"/>
      <c r="Q121" s="226"/>
      <c r="R121" s="226"/>
      <c r="S121" s="226"/>
      <c r="T121" s="226"/>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c r="AP121" s="226"/>
      <c r="AQ121" s="226"/>
      <c r="AR121" s="226"/>
      <c r="AS121" s="226"/>
      <c r="AT121" s="226"/>
      <c r="AU121" s="226"/>
      <c r="AV121" s="226"/>
      <c r="AW121" s="226"/>
      <c r="AX121" s="226"/>
      <c r="AY121" s="226"/>
      <c r="AZ121" s="226"/>
      <c r="BA121" s="226"/>
      <c r="BB121" s="226"/>
      <c r="BC121" s="226"/>
      <c r="BD121" s="226"/>
      <c r="BE121" s="226"/>
      <c r="BF121" s="226"/>
      <c r="BG121" s="226"/>
      <c r="BH121" s="226"/>
      <c r="BI121" s="226"/>
      <c r="BJ121" s="226"/>
      <c r="BK121" s="226"/>
      <c r="BL121" s="226"/>
      <c r="BM121" s="226"/>
      <c r="BN121" s="226"/>
      <c r="BO121" s="226"/>
      <c r="BP121" s="226"/>
      <c r="BQ121" s="226"/>
      <c r="BR121" s="226"/>
      <c r="BS121" s="226"/>
      <c r="BT121" s="226"/>
      <c r="BU121" s="226"/>
      <c r="BV121" s="226"/>
      <c r="BW121" s="226"/>
      <c r="BX121" s="226"/>
      <c r="BY121" s="226"/>
      <c r="BZ121" s="226"/>
      <c r="CA121" s="226"/>
      <c r="CB121" s="226"/>
      <c r="CC121" s="226"/>
      <c r="CD121" s="226"/>
      <c r="CE121" s="227"/>
    </row>
    <row r="122" spans="1:83" s="228" customFormat="1" x14ac:dyDescent="0.15">
      <c r="A122" s="229"/>
      <c r="B122" s="226"/>
      <c r="C122" s="226"/>
      <c r="D122" s="226"/>
      <c r="E122" s="226"/>
      <c r="F122" s="226"/>
      <c r="G122" s="226"/>
      <c r="H122" s="226"/>
      <c r="I122" s="226"/>
      <c r="J122" s="226"/>
      <c r="K122" s="226"/>
      <c r="L122" s="226"/>
      <c r="M122" s="226"/>
      <c r="N122" s="226"/>
      <c r="O122" s="226"/>
      <c r="P122" s="226"/>
      <c r="Q122" s="226"/>
      <c r="R122" s="226"/>
      <c r="S122" s="226"/>
      <c r="T122" s="226"/>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c r="AP122" s="226"/>
      <c r="AQ122" s="226"/>
      <c r="AR122" s="226"/>
      <c r="AS122" s="226"/>
      <c r="AT122" s="226"/>
      <c r="AU122" s="226"/>
      <c r="AV122" s="226"/>
      <c r="AW122" s="226"/>
      <c r="AX122" s="226"/>
      <c r="AY122" s="226"/>
      <c r="AZ122" s="226"/>
      <c r="BA122" s="226"/>
      <c r="BB122" s="226"/>
      <c r="BC122" s="226"/>
      <c r="BD122" s="226"/>
      <c r="BE122" s="226"/>
      <c r="BF122" s="226"/>
      <c r="BG122" s="226"/>
      <c r="BH122" s="226"/>
      <c r="BI122" s="226"/>
      <c r="BJ122" s="226"/>
      <c r="BK122" s="226"/>
      <c r="BL122" s="226"/>
      <c r="BM122" s="226"/>
      <c r="BN122" s="226"/>
      <c r="BO122" s="226"/>
      <c r="BP122" s="226"/>
      <c r="BQ122" s="226"/>
      <c r="BR122" s="226"/>
      <c r="BS122" s="226"/>
      <c r="BT122" s="226"/>
      <c r="BU122" s="226"/>
      <c r="BV122" s="226"/>
      <c r="BW122" s="226"/>
      <c r="BX122" s="226"/>
      <c r="BY122" s="226"/>
      <c r="BZ122" s="226"/>
      <c r="CA122" s="226"/>
      <c r="CB122" s="226"/>
      <c r="CC122" s="226"/>
      <c r="CD122" s="226"/>
      <c r="CE122" s="227"/>
    </row>
    <row r="123" spans="1:83" s="228" customFormat="1" ht="12.75" thickBot="1" x14ac:dyDescent="0.2">
      <c r="A123" s="240"/>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c r="AA123" s="232"/>
      <c r="AB123" s="232"/>
      <c r="AC123" s="232"/>
      <c r="AD123" s="232"/>
      <c r="AE123" s="232"/>
      <c r="AF123" s="232"/>
      <c r="AG123" s="232"/>
      <c r="AH123" s="232"/>
      <c r="AI123" s="232"/>
      <c r="AJ123" s="232"/>
      <c r="AK123" s="232"/>
      <c r="AL123" s="232"/>
      <c r="AM123" s="232"/>
      <c r="AN123" s="232"/>
      <c r="AO123" s="232"/>
      <c r="AP123" s="232"/>
      <c r="AQ123" s="232"/>
      <c r="AR123" s="232"/>
      <c r="AS123" s="232"/>
      <c r="AT123" s="232"/>
      <c r="AU123" s="232"/>
      <c r="AV123" s="232"/>
      <c r="AW123" s="232"/>
      <c r="AX123" s="232"/>
      <c r="AY123" s="232"/>
      <c r="AZ123" s="232"/>
      <c r="BA123" s="232"/>
      <c r="BB123" s="232"/>
      <c r="BC123" s="232"/>
      <c r="BD123" s="232"/>
      <c r="BE123" s="232"/>
      <c r="BF123" s="232"/>
      <c r="BG123" s="232"/>
      <c r="BH123" s="232"/>
      <c r="BI123" s="232"/>
      <c r="BJ123" s="232"/>
      <c r="BK123" s="232"/>
      <c r="BL123" s="232"/>
      <c r="BM123" s="232"/>
      <c r="BN123" s="232"/>
      <c r="BO123" s="232"/>
      <c r="BP123" s="232"/>
      <c r="BQ123" s="232"/>
      <c r="BR123" s="232"/>
      <c r="BS123" s="232"/>
      <c r="BT123" s="232"/>
      <c r="BU123" s="232"/>
      <c r="BV123" s="232"/>
      <c r="BW123" s="232"/>
      <c r="BX123" s="232"/>
      <c r="BY123" s="232"/>
      <c r="BZ123" s="232"/>
      <c r="CA123" s="232"/>
      <c r="CB123" s="232"/>
      <c r="CC123" s="232"/>
      <c r="CD123" s="232"/>
      <c r="CE123" s="236"/>
    </row>
    <row r="124" spans="1:83" s="228" customFormat="1" ht="12.75" customHeight="1" x14ac:dyDescent="0.15">
      <c r="A124" s="237"/>
      <c r="B124" s="238"/>
      <c r="C124" s="238"/>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c r="AD124" s="238"/>
      <c r="AE124" s="238"/>
      <c r="AF124" s="238"/>
      <c r="AG124" s="238"/>
      <c r="AH124" s="238"/>
      <c r="AI124" s="238"/>
      <c r="AJ124" s="238"/>
      <c r="AK124" s="238"/>
      <c r="AL124" s="238"/>
      <c r="AM124" s="238"/>
      <c r="AN124" s="238"/>
      <c r="AO124" s="238"/>
      <c r="AP124" s="238"/>
      <c r="AQ124" s="238"/>
      <c r="AR124" s="238"/>
      <c r="AS124" s="238"/>
      <c r="AT124" s="238"/>
      <c r="AU124" s="238"/>
      <c r="AV124" s="238"/>
      <c r="AW124" s="238"/>
      <c r="AX124" s="238"/>
      <c r="AY124" s="238"/>
      <c r="AZ124" s="238"/>
      <c r="BA124" s="238"/>
      <c r="BB124" s="238"/>
      <c r="BC124" s="238"/>
      <c r="BD124" s="238"/>
      <c r="BE124" s="238"/>
      <c r="BF124" s="238"/>
      <c r="BG124" s="238"/>
      <c r="BH124" s="238"/>
      <c r="BI124" s="238"/>
      <c r="BJ124" s="238"/>
      <c r="BK124" s="238"/>
      <c r="BL124" s="238"/>
      <c r="BM124" s="238"/>
      <c r="BN124" s="238"/>
      <c r="BO124" s="238"/>
      <c r="BP124" s="238"/>
      <c r="BQ124" s="238"/>
      <c r="BR124" s="238"/>
      <c r="BS124" s="238"/>
      <c r="BT124" s="238"/>
      <c r="BU124" s="238"/>
      <c r="BV124" s="238"/>
      <c r="BW124" s="238"/>
      <c r="BX124" s="238"/>
      <c r="BY124" s="238"/>
      <c r="BZ124" s="238"/>
      <c r="CA124" s="238"/>
      <c r="CB124" s="238"/>
      <c r="CC124" s="238"/>
      <c r="CD124" s="238"/>
      <c r="CE124" s="239"/>
    </row>
    <row r="125" spans="1:83" s="228" customFormat="1" x14ac:dyDescent="0.15">
      <c r="A125" s="229"/>
      <c r="B125" s="226"/>
      <c r="C125" s="226"/>
      <c r="D125" s="534" t="s">
        <v>112</v>
      </c>
      <c r="E125" s="534"/>
      <c r="F125" s="534"/>
      <c r="G125" s="534"/>
      <c r="H125" s="534"/>
      <c r="I125" s="534"/>
      <c r="J125" s="534"/>
      <c r="K125" s="534"/>
      <c r="L125" s="534"/>
      <c r="M125" s="534"/>
      <c r="N125" s="534"/>
      <c r="O125" s="534"/>
      <c r="P125" s="534"/>
      <c r="Q125" s="534"/>
      <c r="R125" s="534"/>
      <c r="S125" s="534"/>
      <c r="T125" s="534"/>
      <c r="U125" s="534"/>
      <c r="V125" s="534"/>
      <c r="W125" s="534"/>
      <c r="X125" s="534"/>
      <c r="Y125" s="534"/>
      <c r="Z125" s="534"/>
      <c r="AA125" s="534"/>
      <c r="AB125" s="534"/>
      <c r="AC125" s="534"/>
      <c r="AD125" s="534"/>
      <c r="AE125" s="534"/>
      <c r="AF125" s="534"/>
      <c r="AG125" s="534"/>
      <c r="AH125" s="534"/>
      <c r="AI125" s="534"/>
      <c r="AJ125" s="534"/>
      <c r="AK125" s="534"/>
      <c r="AL125" s="534"/>
      <c r="AM125" s="534"/>
      <c r="AN125" s="534"/>
      <c r="AO125" s="534"/>
      <c r="AP125" s="534"/>
      <c r="AQ125" s="534"/>
      <c r="AR125" s="534"/>
      <c r="AS125" s="534"/>
      <c r="AT125" s="534"/>
      <c r="AU125" s="534"/>
      <c r="AV125" s="534"/>
      <c r="AW125" s="534"/>
      <c r="AX125" s="534"/>
      <c r="AY125" s="534"/>
      <c r="AZ125" s="534"/>
      <c r="BA125" s="534"/>
      <c r="BB125" s="534"/>
      <c r="BC125" s="534"/>
      <c r="BD125" s="534"/>
      <c r="BE125" s="534"/>
      <c r="BF125" s="534"/>
      <c r="BG125" s="534"/>
      <c r="BH125" s="534"/>
      <c r="BI125" s="534"/>
      <c r="BJ125" s="534"/>
      <c r="BK125" s="534"/>
      <c r="BL125" s="534"/>
      <c r="BM125" s="534"/>
      <c r="BN125" s="534"/>
      <c r="BO125" s="534"/>
      <c r="BP125" s="534"/>
      <c r="BQ125" s="534"/>
      <c r="BR125" s="534"/>
      <c r="BS125" s="534"/>
      <c r="BT125" s="534"/>
      <c r="BU125" s="534"/>
      <c r="BV125" s="534"/>
      <c r="BW125" s="534"/>
      <c r="BX125" s="534"/>
      <c r="BY125" s="534"/>
      <c r="BZ125" s="534"/>
      <c r="CA125" s="534"/>
      <c r="CB125" s="534"/>
      <c r="CC125" s="226"/>
      <c r="CD125" s="226"/>
      <c r="CE125" s="227"/>
    </row>
    <row r="126" spans="1:83" s="228" customFormat="1" x14ac:dyDescent="0.15">
      <c r="A126" s="229"/>
      <c r="B126" s="226"/>
      <c r="C126" s="226"/>
      <c r="D126" s="119"/>
      <c r="E126" s="120"/>
      <c r="F126" s="120"/>
      <c r="G126" s="120"/>
      <c r="H126" s="120"/>
      <c r="I126" s="120"/>
      <c r="J126" s="123"/>
      <c r="K126" s="123"/>
      <c r="L126" s="123"/>
      <c r="M126" s="123"/>
      <c r="N126" s="123"/>
      <c r="O126" s="123"/>
      <c r="P126" s="123"/>
      <c r="Q126" s="123"/>
      <c r="R126" s="123"/>
      <c r="S126" s="123"/>
      <c r="T126" s="120"/>
      <c r="U126" s="120"/>
      <c r="V126" s="120"/>
      <c r="W126" s="120"/>
      <c r="X126" s="121"/>
      <c r="Y126" s="121"/>
      <c r="Z126" s="121"/>
      <c r="AA126" s="121"/>
      <c r="AB126" s="123"/>
      <c r="AC126" s="123"/>
      <c r="AD126" s="123"/>
      <c r="AE126" s="123"/>
      <c r="AF126" s="123"/>
      <c r="AG126" s="123"/>
      <c r="AH126" s="121"/>
      <c r="AI126" s="121"/>
      <c r="AJ126" s="562" t="s">
        <v>431</v>
      </c>
      <c r="AK126" s="563"/>
      <c r="AL126" s="563"/>
      <c r="AM126" s="563"/>
      <c r="AN126" s="563"/>
      <c r="AO126" s="563"/>
      <c r="AP126" s="563"/>
      <c r="AQ126" s="563"/>
      <c r="AR126" s="563"/>
      <c r="AS126" s="563"/>
      <c r="AT126" s="563"/>
      <c r="AU126" s="563"/>
      <c r="AV126" s="563"/>
      <c r="AW126" s="563"/>
      <c r="AX126" s="563"/>
      <c r="AY126" s="563"/>
      <c r="AZ126" s="563"/>
      <c r="BA126" s="563"/>
      <c r="BB126" s="563"/>
      <c r="BC126" s="563"/>
      <c r="BD126" s="563"/>
      <c r="BE126" s="563"/>
      <c r="BF126" s="563"/>
      <c r="BG126" s="563"/>
      <c r="BH126" s="563"/>
      <c r="BI126" s="563"/>
      <c r="BJ126" s="563"/>
      <c r="BK126" s="563"/>
      <c r="BL126" s="563"/>
      <c r="BM126" s="563"/>
      <c r="BN126" s="563"/>
      <c r="BO126" s="563"/>
      <c r="BP126" s="563"/>
      <c r="BQ126" s="563"/>
      <c r="BR126" s="563"/>
      <c r="BS126" s="563"/>
      <c r="BT126" s="563"/>
      <c r="BU126" s="563"/>
      <c r="BV126" s="563"/>
      <c r="BW126" s="563"/>
      <c r="BX126" s="563"/>
      <c r="BY126" s="563"/>
      <c r="BZ126" s="563"/>
      <c r="CA126" s="563"/>
      <c r="CB126" s="564"/>
      <c r="CC126" s="226"/>
      <c r="CD126" s="226"/>
      <c r="CE126" s="227"/>
    </row>
    <row r="127" spans="1:83" s="228" customFormat="1" x14ac:dyDescent="0.15">
      <c r="A127" s="229"/>
      <c r="B127" s="226"/>
      <c r="C127" s="226"/>
      <c r="D127" s="562" t="s">
        <v>92</v>
      </c>
      <c r="E127" s="563"/>
      <c r="F127" s="564"/>
      <c r="G127" s="119" t="s">
        <v>487</v>
      </c>
      <c r="H127" s="120"/>
      <c r="I127" s="120"/>
      <c r="J127" s="123"/>
      <c r="K127" s="123"/>
      <c r="L127" s="123"/>
      <c r="M127" s="123"/>
      <c r="N127" s="123"/>
      <c r="O127" s="123"/>
      <c r="P127" s="123"/>
      <c r="Q127" s="123"/>
      <c r="R127" s="123"/>
      <c r="S127" s="123"/>
      <c r="T127" s="120"/>
      <c r="U127" s="120"/>
      <c r="V127" s="120"/>
      <c r="W127" s="120"/>
      <c r="X127" s="123"/>
      <c r="Y127" s="123"/>
      <c r="Z127" s="121"/>
      <c r="AA127" s="121"/>
      <c r="AB127" s="121"/>
      <c r="AC127" s="123"/>
      <c r="AD127" s="122" t="s">
        <v>503</v>
      </c>
      <c r="AE127" s="123"/>
      <c r="AF127" s="123"/>
      <c r="AG127" s="123"/>
      <c r="AH127" s="123"/>
      <c r="AI127" s="134"/>
      <c r="AJ127" s="562" t="s">
        <v>495</v>
      </c>
      <c r="AK127" s="563"/>
      <c r="AL127" s="563"/>
      <c r="AM127" s="563"/>
      <c r="AN127" s="564"/>
      <c r="AO127" s="562" t="s">
        <v>496</v>
      </c>
      <c r="AP127" s="563"/>
      <c r="AQ127" s="563"/>
      <c r="AR127" s="563"/>
      <c r="AS127" s="564"/>
      <c r="AT127" s="563" t="s">
        <v>497</v>
      </c>
      <c r="AU127" s="563"/>
      <c r="AV127" s="563"/>
      <c r="AW127" s="563"/>
      <c r="AX127" s="564"/>
      <c r="AY127" s="562" t="s">
        <v>498</v>
      </c>
      <c r="AZ127" s="563"/>
      <c r="BA127" s="563"/>
      <c r="BB127" s="563"/>
      <c r="BC127" s="564"/>
      <c r="BD127" s="562" t="s">
        <v>628</v>
      </c>
      <c r="BE127" s="563"/>
      <c r="BF127" s="563"/>
      <c r="BG127" s="563"/>
      <c r="BH127" s="564"/>
      <c r="BI127" s="562" t="s">
        <v>629</v>
      </c>
      <c r="BJ127" s="563"/>
      <c r="BK127" s="563"/>
      <c r="BL127" s="563"/>
      <c r="BM127" s="564"/>
      <c r="BN127" s="562" t="s">
        <v>630</v>
      </c>
      <c r="BO127" s="563"/>
      <c r="BP127" s="563"/>
      <c r="BQ127" s="563"/>
      <c r="BR127" s="564"/>
      <c r="BS127" s="562" t="s">
        <v>631</v>
      </c>
      <c r="BT127" s="563"/>
      <c r="BU127" s="563"/>
      <c r="BV127" s="563"/>
      <c r="BW127" s="563"/>
      <c r="BX127" s="562" t="s">
        <v>627</v>
      </c>
      <c r="BY127" s="563"/>
      <c r="BZ127" s="563"/>
      <c r="CA127" s="563"/>
      <c r="CB127" s="564"/>
      <c r="CC127" s="226"/>
      <c r="CD127" s="226"/>
      <c r="CE127" s="227"/>
    </row>
    <row r="128" spans="1:83" s="228" customFormat="1" x14ac:dyDescent="0.15">
      <c r="A128" s="229"/>
      <c r="B128" s="226"/>
      <c r="C128" s="226"/>
      <c r="D128" s="562">
        <v>1</v>
      </c>
      <c r="E128" s="563"/>
      <c r="F128" s="564"/>
      <c r="G128" s="147" t="s">
        <v>478</v>
      </c>
      <c r="H128" s="124"/>
      <c r="I128" s="124"/>
      <c r="J128" s="124"/>
      <c r="K128" s="124"/>
      <c r="L128" s="124"/>
      <c r="M128" s="124"/>
      <c r="N128" s="124"/>
      <c r="O128" s="124"/>
      <c r="P128" s="124"/>
      <c r="Q128" s="124"/>
      <c r="R128" s="124"/>
      <c r="S128" s="124"/>
      <c r="T128" s="124"/>
      <c r="U128" s="124"/>
      <c r="V128" s="124"/>
      <c r="W128" s="124"/>
      <c r="X128" s="124"/>
      <c r="Y128" s="124"/>
      <c r="Z128" s="355"/>
      <c r="AA128" s="355"/>
      <c r="AB128" s="355"/>
      <c r="AC128" s="124"/>
      <c r="AD128" s="686" t="s">
        <v>113</v>
      </c>
      <c r="AE128" s="687"/>
      <c r="AF128" s="687"/>
      <c r="AG128" s="687"/>
      <c r="AH128" s="687"/>
      <c r="AI128" s="688"/>
      <c r="AJ128" s="686"/>
      <c r="AK128" s="687"/>
      <c r="AL128" s="687"/>
      <c r="AM128" s="687"/>
      <c r="AN128" s="688"/>
      <c r="AO128" s="686" t="s">
        <v>114</v>
      </c>
      <c r="AP128" s="687"/>
      <c r="AQ128" s="687"/>
      <c r="AR128" s="687"/>
      <c r="AS128" s="688"/>
      <c r="AT128" s="686"/>
      <c r="AU128" s="687"/>
      <c r="AV128" s="687"/>
      <c r="AW128" s="687"/>
      <c r="AX128" s="688"/>
      <c r="AY128" s="686"/>
      <c r="AZ128" s="687"/>
      <c r="BA128" s="687"/>
      <c r="BB128" s="687"/>
      <c r="BC128" s="688"/>
      <c r="BD128" s="686"/>
      <c r="BE128" s="687"/>
      <c r="BF128" s="687"/>
      <c r="BG128" s="687"/>
      <c r="BH128" s="688"/>
      <c r="BI128" s="686" t="s">
        <v>114</v>
      </c>
      <c r="BJ128" s="687"/>
      <c r="BK128" s="687"/>
      <c r="BL128" s="687"/>
      <c r="BM128" s="688"/>
      <c r="BN128" s="686"/>
      <c r="BO128" s="687"/>
      <c r="BP128" s="687"/>
      <c r="BQ128" s="687"/>
      <c r="BR128" s="688"/>
      <c r="BS128" s="686"/>
      <c r="BT128" s="687"/>
      <c r="BU128" s="687"/>
      <c r="BV128" s="687"/>
      <c r="BW128" s="688"/>
      <c r="BX128" s="686"/>
      <c r="BY128" s="687"/>
      <c r="BZ128" s="687"/>
      <c r="CA128" s="687"/>
      <c r="CB128" s="688"/>
      <c r="CC128" s="226"/>
      <c r="CD128" s="226"/>
      <c r="CE128" s="227"/>
    </row>
    <row r="129" spans="1:83" s="228" customFormat="1" x14ac:dyDescent="0.15">
      <c r="A129" s="229"/>
      <c r="B129" s="226"/>
      <c r="C129" s="226"/>
      <c r="D129" s="562">
        <v>2</v>
      </c>
      <c r="E129" s="563"/>
      <c r="F129" s="564"/>
      <c r="G129" s="147" t="s">
        <v>479</v>
      </c>
      <c r="H129" s="124"/>
      <c r="I129" s="124"/>
      <c r="J129" s="124"/>
      <c r="K129" s="124"/>
      <c r="L129" s="124"/>
      <c r="M129" s="124"/>
      <c r="N129" s="124"/>
      <c r="O129" s="124"/>
      <c r="P129" s="124"/>
      <c r="Q129" s="124"/>
      <c r="R129" s="124"/>
      <c r="S129" s="124"/>
      <c r="T129" s="124"/>
      <c r="U129" s="124"/>
      <c r="V129" s="124"/>
      <c r="W129" s="124"/>
      <c r="X129" s="124"/>
      <c r="Y129" s="124"/>
      <c r="Z129" s="355"/>
      <c r="AA129" s="355"/>
      <c r="AB129" s="355"/>
      <c r="AC129" s="124"/>
      <c r="AD129" s="686" t="s">
        <v>113</v>
      </c>
      <c r="AE129" s="687"/>
      <c r="AF129" s="687"/>
      <c r="AG129" s="687"/>
      <c r="AH129" s="687"/>
      <c r="AI129" s="688"/>
      <c r="AJ129" s="686" t="s">
        <v>114</v>
      </c>
      <c r="AK129" s="687"/>
      <c r="AL129" s="687"/>
      <c r="AM129" s="687"/>
      <c r="AN129" s="688"/>
      <c r="AO129" s="686"/>
      <c r="AP129" s="687"/>
      <c r="AQ129" s="687"/>
      <c r="AR129" s="687"/>
      <c r="AS129" s="688"/>
      <c r="AT129" s="686"/>
      <c r="AU129" s="687"/>
      <c r="AV129" s="687"/>
      <c r="AW129" s="687"/>
      <c r="AX129" s="688"/>
      <c r="AY129" s="686"/>
      <c r="AZ129" s="687"/>
      <c r="BA129" s="687"/>
      <c r="BB129" s="687"/>
      <c r="BC129" s="688"/>
      <c r="BD129" s="686" t="s">
        <v>114</v>
      </c>
      <c r="BE129" s="687"/>
      <c r="BF129" s="687"/>
      <c r="BG129" s="687"/>
      <c r="BH129" s="688"/>
      <c r="BI129" s="686"/>
      <c r="BJ129" s="687"/>
      <c r="BK129" s="687"/>
      <c r="BL129" s="687"/>
      <c r="BM129" s="688"/>
      <c r="BN129" s="686"/>
      <c r="BO129" s="687"/>
      <c r="BP129" s="687"/>
      <c r="BQ129" s="687"/>
      <c r="BR129" s="688"/>
      <c r="BS129" s="686"/>
      <c r="BT129" s="687"/>
      <c r="BU129" s="687"/>
      <c r="BV129" s="687"/>
      <c r="BW129" s="688"/>
      <c r="BX129" s="686"/>
      <c r="BY129" s="687"/>
      <c r="BZ129" s="687"/>
      <c r="CA129" s="687"/>
      <c r="CB129" s="688"/>
      <c r="CC129" s="226"/>
      <c r="CD129" s="226"/>
      <c r="CE129" s="227"/>
    </row>
    <row r="130" spans="1:83" s="228" customFormat="1" x14ac:dyDescent="0.15">
      <c r="A130" s="229"/>
      <c r="B130" s="226"/>
      <c r="C130" s="226"/>
      <c r="D130" s="562">
        <v>3</v>
      </c>
      <c r="E130" s="563"/>
      <c r="F130" s="564"/>
      <c r="G130" s="147" t="s">
        <v>480</v>
      </c>
      <c r="H130" s="124"/>
      <c r="I130" s="124"/>
      <c r="J130" s="124"/>
      <c r="K130" s="124"/>
      <c r="L130" s="124"/>
      <c r="M130" s="124"/>
      <c r="N130" s="124"/>
      <c r="O130" s="124"/>
      <c r="P130" s="124"/>
      <c r="Q130" s="124"/>
      <c r="R130" s="124"/>
      <c r="S130" s="124"/>
      <c r="T130" s="124"/>
      <c r="U130" s="124"/>
      <c r="V130" s="124"/>
      <c r="W130" s="124"/>
      <c r="X130" s="124"/>
      <c r="Y130" s="124"/>
      <c r="Z130" s="355"/>
      <c r="AA130" s="355"/>
      <c r="AB130" s="355"/>
      <c r="AC130" s="124"/>
      <c r="AD130" s="686" t="s">
        <v>113</v>
      </c>
      <c r="AE130" s="687"/>
      <c r="AF130" s="687"/>
      <c r="AG130" s="687"/>
      <c r="AH130" s="687"/>
      <c r="AI130" s="688"/>
      <c r="AJ130" s="686" t="s">
        <v>114</v>
      </c>
      <c r="AK130" s="687"/>
      <c r="AL130" s="687"/>
      <c r="AM130" s="687"/>
      <c r="AN130" s="688"/>
      <c r="AO130" s="686"/>
      <c r="AP130" s="687"/>
      <c r="AQ130" s="687"/>
      <c r="AR130" s="687"/>
      <c r="AS130" s="688"/>
      <c r="AT130" s="686"/>
      <c r="AU130" s="687"/>
      <c r="AV130" s="687"/>
      <c r="AW130" s="687"/>
      <c r="AX130" s="688"/>
      <c r="AY130" s="686"/>
      <c r="AZ130" s="687"/>
      <c r="BA130" s="687"/>
      <c r="BB130" s="687"/>
      <c r="BC130" s="688"/>
      <c r="BD130" s="686" t="s">
        <v>114</v>
      </c>
      <c r="BE130" s="687"/>
      <c r="BF130" s="687"/>
      <c r="BG130" s="687"/>
      <c r="BH130" s="688"/>
      <c r="BI130" s="686"/>
      <c r="BJ130" s="687"/>
      <c r="BK130" s="687"/>
      <c r="BL130" s="687"/>
      <c r="BM130" s="688"/>
      <c r="BN130" s="686"/>
      <c r="BO130" s="687"/>
      <c r="BP130" s="687"/>
      <c r="BQ130" s="687"/>
      <c r="BR130" s="688"/>
      <c r="BS130" s="686"/>
      <c r="BT130" s="687"/>
      <c r="BU130" s="687"/>
      <c r="BV130" s="687"/>
      <c r="BW130" s="688"/>
      <c r="BX130" s="686"/>
      <c r="BY130" s="687"/>
      <c r="BZ130" s="687"/>
      <c r="CA130" s="687"/>
      <c r="CB130" s="688"/>
      <c r="CC130" s="226"/>
      <c r="CD130" s="226"/>
      <c r="CE130" s="227"/>
    </row>
    <row r="131" spans="1:83" s="228" customFormat="1" x14ac:dyDescent="0.15">
      <c r="A131" s="229"/>
      <c r="B131" s="226"/>
      <c r="C131" s="226"/>
      <c r="D131" s="562">
        <v>4</v>
      </c>
      <c r="E131" s="563"/>
      <c r="F131" s="564"/>
      <c r="G131" s="147" t="s">
        <v>481</v>
      </c>
      <c r="H131" s="124"/>
      <c r="I131" s="124"/>
      <c r="J131" s="124"/>
      <c r="K131" s="124"/>
      <c r="L131" s="124"/>
      <c r="M131" s="124"/>
      <c r="N131" s="124"/>
      <c r="O131" s="124"/>
      <c r="P131" s="124"/>
      <c r="Q131" s="124"/>
      <c r="R131" s="124"/>
      <c r="S131" s="124"/>
      <c r="T131" s="124"/>
      <c r="U131" s="124"/>
      <c r="V131" s="124"/>
      <c r="W131" s="124"/>
      <c r="X131" s="124"/>
      <c r="Y131" s="124"/>
      <c r="Z131" s="355"/>
      <c r="AA131" s="355"/>
      <c r="AB131" s="355"/>
      <c r="AC131" s="124"/>
      <c r="AD131" s="686" t="s">
        <v>113</v>
      </c>
      <c r="AE131" s="687"/>
      <c r="AF131" s="687"/>
      <c r="AG131" s="687"/>
      <c r="AH131" s="687"/>
      <c r="AI131" s="688"/>
      <c r="AJ131" s="686" t="s">
        <v>114</v>
      </c>
      <c r="AK131" s="687"/>
      <c r="AL131" s="687"/>
      <c r="AM131" s="687"/>
      <c r="AN131" s="688"/>
      <c r="AO131" s="686"/>
      <c r="AP131" s="687"/>
      <c r="AQ131" s="687"/>
      <c r="AR131" s="687"/>
      <c r="AS131" s="688"/>
      <c r="AT131" s="686"/>
      <c r="AU131" s="687"/>
      <c r="AV131" s="687"/>
      <c r="AW131" s="687"/>
      <c r="AX131" s="688"/>
      <c r="AY131" s="686"/>
      <c r="AZ131" s="687"/>
      <c r="BA131" s="687"/>
      <c r="BB131" s="687"/>
      <c r="BC131" s="688"/>
      <c r="BD131" s="686" t="s">
        <v>114</v>
      </c>
      <c r="BE131" s="687"/>
      <c r="BF131" s="687"/>
      <c r="BG131" s="687"/>
      <c r="BH131" s="688"/>
      <c r="BI131" s="686"/>
      <c r="BJ131" s="687"/>
      <c r="BK131" s="687"/>
      <c r="BL131" s="687"/>
      <c r="BM131" s="688"/>
      <c r="BN131" s="686"/>
      <c r="BO131" s="687"/>
      <c r="BP131" s="687"/>
      <c r="BQ131" s="687"/>
      <c r="BR131" s="688"/>
      <c r="BS131" s="686"/>
      <c r="BT131" s="687"/>
      <c r="BU131" s="687"/>
      <c r="BV131" s="687"/>
      <c r="BW131" s="688"/>
      <c r="BX131" s="686"/>
      <c r="BY131" s="687"/>
      <c r="BZ131" s="687"/>
      <c r="CA131" s="687"/>
      <c r="CB131" s="688"/>
      <c r="CC131" s="226"/>
      <c r="CD131" s="226"/>
      <c r="CE131" s="227"/>
    </row>
    <row r="132" spans="1:83" s="228" customFormat="1" x14ac:dyDescent="0.15">
      <c r="A132" s="229"/>
      <c r="B132" s="226"/>
      <c r="C132" s="226"/>
      <c r="D132" s="562">
        <v>5</v>
      </c>
      <c r="E132" s="563"/>
      <c r="F132" s="564"/>
      <c r="G132" s="147" t="s">
        <v>482</v>
      </c>
      <c r="H132" s="124"/>
      <c r="I132" s="124"/>
      <c r="J132" s="124"/>
      <c r="K132" s="124"/>
      <c r="L132" s="124"/>
      <c r="M132" s="124"/>
      <c r="N132" s="124"/>
      <c r="O132" s="124"/>
      <c r="P132" s="124"/>
      <c r="Q132" s="124"/>
      <c r="R132" s="124"/>
      <c r="S132" s="124"/>
      <c r="T132" s="124"/>
      <c r="U132" s="124"/>
      <c r="V132" s="124"/>
      <c r="W132" s="124"/>
      <c r="X132" s="124"/>
      <c r="Y132" s="124"/>
      <c r="Z132" s="355"/>
      <c r="AA132" s="355"/>
      <c r="AB132" s="355"/>
      <c r="AC132" s="124"/>
      <c r="AD132" s="686" t="s">
        <v>113</v>
      </c>
      <c r="AE132" s="687"/>
      <c r="AF132" s="687"/>
      <c r="AG132" s="687"/>
      <c r="AH132" s="687"/>
      <c r="AI132" s="688"/>
      <c r="AJ132" s="686" t="s">
        <v>114</v>
      </c>
      <c r="AK132" s="687"/>
      <c r="AL132" s="687"/>
      <c r="AM132" s="687"/>
      <c r="AN132" s="688"/>
      <c r="AO132" s="686"/>
      <c r="AP132" s="687"/>
      <c r="AQ132" s="687"/>
      <c r="AR132" s="687"/>
      <c r="AS132" s="688"/>
      <c r="AT132" s="686"/>
      <c r="AU132" s="687"/>
      <c r="AV132" s="687"/>
      <c r="AW132" s="687"/>
      <c r="AX132" s="688"/>
      <c r="AY132" s="686"/>
      <c r="AZ132" s="687"/>
      <c r="BA132" s="687"/>
      <c r="BB132" s="687"/>
      <c r="BC132" s="688"/>
      <c r="BD132" s="686" t="s">
        <v>114</v>
      </c>
      <c r="BE132" s="687"/>
      <c r="BF132" s="687"/>
      <c r="BG132" s="687"/>
      <c r="BH132" s="688"/>
      <c r="BI132" s="686"/>
      <c r="BJ132" s="687"/>
      <c r="BK132" s="687"/>
      <c r="BL132" s="687"/>
      <c r="BM132" s="688"/>
      <c r="BN132" s="686"/>
      <c r="BO132" s="687"/>
      <c r="BP132" s="687"/>
      <c r="BQ132" s="687"/>
      <c r="BR132" s="688"/>
      <c r="BS132" s="686"/>
      <c r="BT132" s="687"/>
      <c r="BU132" s="687"/>
      <c r="BV132" s="687"/>
      <c r="BW132" s="688"/>
      <c r="BX132" s="686"/>
      <c r="BY132" s="687"/>
      <c r="BZ132" s="687"/>
      <c r="CA132" s="687"/>
      <c r="CB132" s="688"/>
      <c r="CC132" s="226"/>
      <c r="CD132" s="226"/>
      <c r="CE132" s="227"/>
    </row>
    <row r="133" spans="1:83" s="228" customFormat="1" x14ac:dyDescent="0.15">
      <c r="A133" s="229"/>
      <c r="B133" s="226"/>
      <c r="C133" s="226"/>
      <c r="D133" s="562">
        <v>6</v>
      </c>
      <c r="E133" s="563"/>
      <c r="F133" s="564"/>
      <c r="G133" s="147" t="s">
        <v>483</v>
      </c>
      <c r="H133" s="124"/>
      <c r="I133" s="124"/>
      <c r="J133" s="124"/>
      <c r="K133" s="124"/>
      <c r="L133" s="124"/>
      <c r="M133" s="124"/>
      <c r="N133" s="124"/>
      <c r="O133" s="124"/>
      <c r="P133" s="124"/>
      <c r="Q133" s="124"/>
      <c r="R133" s="124"/>
      <c r="S133" s="124"/>
      <c r="T133" s="124"/>
      <c r="U133" s="124"/>
      <c r="V133" s="124"/>
      <c r="W133" s="124"/>
      <c r="X133" s="124"/>
      <c r="Y133" s="124"/>
      <c r="Z133" s="355"/>
      <c r="AA133" s="355"/>
      <c r="AB133" s="355"/>
      <c r="AC133" s="124"/>
      <c r="AD133" s="686" t="s">
        <v>113</v>
      </c>
      <c r="AE133" s="687"/>
      <c r="AF133" s="687"/>
      <c r="AG133" s="687"/>
      <c r="AH133" s="687"/>
      <c r="AI133" s="688"/>
      <c r="AJ133" s="686"/>
      <c r="AK133" s="687"/>
      <c r="AL133" s="687"/>
      <c r="AM133" s="687"/>
      <c r="AN133" s="688"/>
      <c r="AO133" s="686" t="s">
        <v>114</v>
      </c>
      <c r="AP133" s="687"/>
      <c r="AQ133" s="687"/>
      <c r="AR133" s="687"/>
      <c r="AS133" s="688"/>
      <c r="AT133" s="686"/>
      <c r="AU133" s="687"/>
      <c r="AV133" s="687"/>
      <c r="AW133" s="687"/>
      <c r="AX133" s="688"/>
      <c r="AY133" s="686"/>
      <c r="AZ133" s="687"/>
      <c r="BA133" s="687"/>
      <c r="BB133" s="687"/>
      <c r="BC133" s="688"/>
      <c r="BD133" s="686"/>
      <c r="BE133" s="687"/>
      <c r="BF133" s="687"/>
      <c r="BG133" s="687"/>
      <c r="BH133" s="688"/>
      <c r="BI133" s="686" t="s">
        <v>114</v>
      </c>
      <c r="BJ133" s="687"/>
      <c r="BK133" s="687"/>
      <c r="BL133" s="687"/>
      <c r="BM133" s="688"/>
      <c r="BN133" s="686"/>
      <c r="BO133" s="687"/>
      <c r="BP133" s="687"/>
      <c r="BQ133" s="687"/>
      <c r="BR133" s="688"/>
      <c r="BS133" s="686"/>
      <c r="BT133" s="687"/>
      <c r="BU133" s="687"/>
      <c r="BV133" s="687"/>
      <c r="BW133" s="688"/>
      <c r="BX133" s="686"/>
      <c r="BY133" s="687"/>
      <c r="BZ133" s="687"/>
      <c r="CA133" s="687"/>
      <c r="CB133" s="688"/>
      <c r="CC133" s="226"/>
      <c r="CD133" s="226"/>
      <c r="CE133" s="227"/>
    </row>
    <row r="134" spans="1:83" s="228" customFormat="1" x14ac:dyDescent="0.15">
      <c r="A134" s="229"/>
      <c r="B134" s="226"/>
      <c r="C134" s="226"/>
      <c r="D134" s="562">
        <v>7</v>
      </c>
      <c r="E134" s="563"/>
      <c r="F134" s="564"/>
      <c r="G134" s="147" t="s">
        <v>484</v>
      </c>
      <c r="H134" s="124"/>
      <c r="I134" s="124"/>
      <c r="J134" s="124"/>
      <c r="K134" s="124"/>
      <c r="L134" s="124"/>
      <c r="M134" s="124"/>
      <c r="N134" s="124"/>
      <c r="O134" s="124"/>
      <c r="P134" s="124"/>
      <c r="Q134" s="124"/>
      <c r="R134" s="124"/>
      <c r="S134" s="124"/>
      <c r="T134" s="124"/>
      <c r="U134" s="124"/>
      <c r="V134" s="124"/>
      <c r="W134" s="124"/>
      <c r="X134" s="124"/>
      <c r="Y134" s="124"/>
      <c r="Z134" s="355"/>
      <c r="AA134" s="355"/>
      <c r="AB134" s="355"/>
      <c r="AC134" s="124"/>
      <c r="AD134" s="686" t="s">
        <v>113</v>
      </c>
      <c r="AE134" s="687"/>
      <c r="AF134" s="687"/>
      <c r="AG134" s="687"/>
      <c r="AH134" s="687"/>
      <c r="AI134" s="688"/>
      <c r="AJ134" s="686"/>
      <c r="AK134" s="687"/>
      <c r="AL134" s="687"/>
      <c r="AM134" s="687"/>
      <c r="AN134" s="688"/>
      <c r="AO134" s="686" t="s">
        <v>114</v>
      </c>
      <c r="AP134" s="687"/>
      <c r="AQ134" s="687"/>
      <c r="AR134" s="687"/>
      <c r="AS134" s="688"/>
      <c r="AT134" s="686"/>
      <c r="AU134" s="687"/>
      <c r="AV134" s="687"/>
      <c r="AW134" s="687"/>
      <c r="AX134" s="688"/>
      <c r="AY134" s="686"/>
      <c r="AZ134" s="687"/>
      <c r="BA134" s="687"/>
      <c r="BB134" s="687"/>
      <c r="BC134" s="688"/>
      <c r="BD134" s="686"/>
      <c r="BE134" s="687"/>
      <c r="BF134" s="687"/>
      <c r="BG134" s="687"/>
      <c r="BH134" s="688"/>
      <c r="BI134" s="686" t="s">
        <v>114</v>
      </c>
      <c r="BJ134" s="687"/>
      <c r="BK134" s="687"/>
      <c r="BL134" s="687"/>
      <c r="BM134" s="688"/>
      <c r="BN134" s="686"/>
      <c r="BO134" s="687"/>
      <c r="BP134" s="687"/>
      <c r="BQ134" s="687"/>
      <c r="BR134" s="688"/>
      <c r="BS134" s="686"/>
      <c r="BT134" s="687"/>
      <c r="BU134" s="687"/>
      <c r="BV134" s="687"/>
      <c r="BW134" s="688"/>
      <c r="BX134" s="686"/>
      <c r="BY134" s="687"/>
      <c r="BZ134" s="687"/>
      <c r="CA134" s="687"/>
      <c r="CB134" s="688"/>
      <c r="CC134" s="226"/>
      <c r="CD134" s="226"/>
      <c r="CE134" s="227"/>
    </row>
    <row r="135" spans="1:83" s="228" customFormat="1" x14ac:dyDescent="0.15">
      <c r="A135" s="229"/>
      <c r="B135" s="226"/>
      <c r="C135" s="226"/>
      <c r="D135" s="562">
        <v>8</v>
      </c>
      <c r="E135" s="563"/>
      <c r="F135" s="564"/>
      <c r="G135" s="147" t="s">
        <v>478</v>
      </c>
      <c r="H135" s="124"/>
      <c r="I135" s="124"/>
      <c r="J135" s="124"/>
      <c r="K135" s="124"/>
      <c r="L135" s="124"/>
      <c r="M135" s="124"/>
      <c r="N135" s="124"/>
      <c r="O135" s="124"/>
      <c r="P135" s="124"/>
      <c r="Q135" s="124"/>
      <c r="R135" s="124"/>
      <c r="S135" s="124"/>
      <c r="T135" s="124"/>
      <c r="U135" s="124"/>
      <c r="V135" s="124"/>
      <c r="W135" s="124"/>
      <c r="X135" s="124"/>
      <c r="Y135" s="124"/>
      <c r="Z135" s="355"/>
      <c r="AA135" s="355"/>
      <c r="AB135" s="355"/>
      <c r="AC135" s="124"/>
      <c r="AD135" s="695" t="s">
        <v>115</v>
      </c>
      <c r="AE135" s="696"/>
      <c r="AF135" s="696"/>
      <c r="AG135" s="696"/>
      <c r="AH135" s="696"/>
      <c r="AI135" s="697"/>
      <c r="AJ135" s="686"/>
      <c r="AK135" s="687"/>
      <c r="AL135" s="687"/>
      <c r="AM135" s="687"/>
      <c r="AN135" s="688"/>
      <c r="AO135" s="686"/>
      <c r="AP135" s="687"/>
      <c r="AQ135" s="687"/>
      <c r="AR135" s="687"/>
      <c r="AS135" s="688"/>
      <c r="AT135" s="686"/>
      <c r="AU135" s="687"/>
      <c r="AV135" s="687"/>
      <c r="AW135" s="687"/>
      <c r="AX135" s="688"/>
      <c r="AY135" s="686" t="s">
        <v>114</v>
      </c>
      <c r="AZ135" s="687"/>
      <c r="BA135" s="687"/>
      <c r="BB135" s="687"/>
      <c r="BC135" s="688"/>
      <c r="BD135" s="686"/>
      <c r="BE135" s="687"/>
      <c r="BF135" s="687"/>
      <c r="BG135" s="687"/>
      <c r="BH135" s="688"/>
      <c r="BI135" s="686"/>
      <c r="BJ135" s="687"/>
      <c r="BK135" s="687"/>
      <c r="BL135" s="687"/>
      <c r="BM135" s="688"/>
      <c r="BN135" s="686"/>
      <c r="BO135" s="687"/>
      <c r="BP135" s="687"/>
      <c r="BQ135" s="687"/>
      <c r="BR135" s="688"/>
      <c r="BS135" s="686" t="s">
        <v>114</v>
      </c>
      <c r="BT135" s="687"/>
      <c r="BU135" s="687"/>
      <c r="BV135" s="687"/>
      <c r="BW135" s="688"/>
      <c r="BX135" s="686"/>
      <c r="BY135" s="687"/>
      <c r="BZ135" s="687"/>
      <c r="CA135" s="687"/>
      <c r="CB135" s="688"/>
      <c r="CC135" s="226"/>
      <c r="CD135" s="226"/>
      <c r="CE135" s="227"/>
    </row>
    <row r="136" spans="1:83" s="228" customFormat="1" x14ac:dyDescent="0.15">
      <c r="A136" s="229"/>
      <c r="B136" s="226"/>
      <c r="C136" s="226"/>
      <c r="D136" s="562">
        <v>9</v>
      </c>
      <c r="E136" s="563"/>
      <c r="F136" s="564"/>
      <c r="G136" s="147" t="s">
        <v>479</v>
      </c>
      <c r="H136" s="124"/>
      <c r="I136" s="124"/>
      <c r="J136" s="124"/>
      <c r="K136" s="124"/>
      <c r="L136" s="124"/>
      <c r="M136" s="124"/>
      <c r="N136" s="124"/>
      <c r="O136" s="124"/>
      <c r="P136" s="124"/>
      <c r="Q136" s="124"/>
      <c r="R136" s="124"/>
      <c r="S136" s="124"/>
      <c r="T136" s="124"/>
      <c r="U136" s="124"/>
      <c r="V136" s="124"/>
      <c r="W136" s="124"/>
      <c r="X136" s="124"/>
      <c r="Y136" s="124"/>
      <c r="Z136" s="355"/>
      <c r="AA136" s="355"/>
      <c r="AB136" s="355"/>
      <c r="AC136" s="124"/>
      <c r="AD136" s="695" t="s">
        <v>115</v>
      </c>
      <c r="AE136" s="696"/>
      <c r="AF136" s="696"/>
      <c r="AG136" s="696"/>
      <c r="AH136" s="696"/>
      <c r="AI136" s="697"/>
      <c r="AJ136" s="686"/>
      <c r="AK136" s="687"/>
      <c r="AL136" s="687"/>
      <c r="AM136" s="687"/>
      <c r="AN136" s="688"/>
      <c r="AO136" s="686"/>
      <c r="AP136" s="687"/>
      <c r="AQ136" s="687"/>
      <c r="AR136" s="687"/>
      <c r="AS136" s="688"/>
      <c r="AT136" s="686" t="s">
        <v>114</v>
      </c>
      <c r="AU136" s="687"/>
      <c r="AV136" s="687"/>
      <c r="AW136" s="687"/>
      <c r="AX136" s="688"/>
      <c r="AY136" s="686"/>
      <c r="AZ136" s="687"/>
      <c r="BA136" s="687"/>
      <c r="BB136" s="687"/>
      <c r="BC136" s="688"/>
      <c r="BD136" s="686"/>
      <c r="BE136" s="687"/>
      <c r="BF136" s="687"/>
      <c r="BG136" s="687"/>
      <c r="BH136" s="688"/>
      <c r="BI136" s="686"/>
      <c r="BJ136" s="687"/>
      <c r="BK136" s="687"/>
      <c r="BL136" s="687"/>
      <c r="BM136" s="688"/>
      <c r="BN136" s="686" t="s">
        <v>114</v>
      </c>
      <c r="BO136" s="687"/>
      <c r="BP136" s="687"/>
      <c r="BQ136" s="687"/>
      <c r="BR136" s="688"/>
      <c r="BS136" s="686"/>
      <c r="BT136" s="687"/>
      <c r="BU136" s="687"/>
      <c r="BV136" s="687"/>
      <c r="BW136" s="688"/>
      <c r="BX136" s="686"/>
      <c r="BY136" s="687"/>
      <c r="BZ136" s="687"/>
      <c r="CA136" s="687"/>
      <c r="CB136" s="688"/>
      <c r="CC136" s="226"/>
      <c r="CD136" s="226"/>
      <c r="CE136" s="227"/>
    </row>
    <row r="137" spans="1:83" s="228" customFormat="1" x14ac:dyDescent="0.15">
      <c r="A137" s="229"/>
      <c r="B137" s="226"/>
      <c r="C137" s="226"/>
      <c r="D137" s="562">
        <v>10</v>
      </c>
      <c r="E137" s="563"/>
      <c r="F137" s="564"/>
      <c r="G137" s="147" t="s">
        <v>480</v>
      </c>
      <c r="H137" s="124"/>
      <c r="I137" s="124"/>
      <c r="J137" s="124"/>
      <c r="K137" s="124"/>
      <c r="L137" s="124"/>
      <c r="M137" s="124"/>
      <c r="N137" s="124"/>
      <c r="O137" s="124"/>
      <c r="P137" s="124"/>
      <c r="Q137" s="124"/>
      <c r="R137" s="124"/>
      <c r="S137" s="124"/>
      <c r="T137" s="124"/>
      <c r="U137" s="124"/>
      <c r="V137" s="124"/>
      <c r="W137" s="124"/>
      <c r="X137" s="124"/>
      <c r="Y137" s="124"/>
      <c r="Z137" s="355"/>
      <c r="AA137" s="355"/>
      <c r="AB137" s="355"/>
      <c r="AC137" s="124"/>
      <c r="AD137" s="695" t="s">
        <v>115</v>
      </c>
      <c r="AE137" s="696"/>
      <c r="AF137" s="696"/>
      <c r="AG137" s="696"/>
      <c r="AH137" s="696"/>
      <c r="AI137" s="697"/>
      <c r="AJ137" s="686"/>
      <c r="AK137" s="687"/>
      <c r="AL137" s="687"/>
      <c r="AM137" s="687"/>
      <c r="AN137" s="688"/>
      <c r="AO137" s="686"/>
      <c r="AP137" s="687"/>
      <c r="AQ137" s="687"/>
      <c r="AR137" s="687"/>
      <c r="AS137" s="688"/>
      <c r="AT137" s="686" t="s">
        <v>114</v>
      </c>
      <c r="AU137" s="687"/>
      <c r="AV137" s="687"/>
      <c r="AW137" s="687"/>
      <c r="AX137" s="688"/>
      <c r="AY137" s="686"/>
      <c r="AZ137" s="687"/>
      <c r="BA137" s="687"/>
      <c r="BB137" s="687"/>
      <c r="BC137" s="688"/>
      <c r="BD137" s="686"/>
      <c r="BE137" s="687"/>
      <c r="BF137" s="687"/>
      <c r="BG137" s="687"/>
      <c r="BH137" s="688"/>
      <c r="BI137" s="686"/>
      <c r="BJ137" s="687"/>
      <c r="BK137" s="687"/>
      <c r="BL137" s="687"/>
      <c r="BM137" s="688"/>
      <c r="BN137" s="686" t="s">
        <v>114</v>
      </c>
      <c r="BO137" s="687"/>
      <c r="BP137" s="687"/>
      <c r="BQ137" s="687"/>
      <c r="BR137" s="688"/>
      <c r="BS137" s="686"/>
      <c r="BT137" s="687"/>
      <c r="BU137" s="687"/>
      <c r="BV137" s="687"/>
      <c r="BW137" s="688"/>
      <c r="BX137" s="686"/>
      <c r="BY137" s="687"/>
      <c r="BZ137" s="687"/>
      <c r="CA137" s="687"/>
      <c r="CB137" s="688"/>
      <c r="CC137" s="226"/>
      <c r="CD137" s="226"/>
      <c r="CE137" s="227"/>
    </row>
    <row r="138" spans="1:83" s="228" customFormat="1" x14ac:dyDescent="0.15">
      <c r="A138" s="229"/>
      <c r="B138" s="226"/>
      <c r="C138" s="226"/>
      <c r="D138" s="562">
        <v>11</v>
      </c>
      <c r="E138" s="563"/>
      <c r="F138" s="564"/>
      <c r="G138" s="147" t="s">
        <v>481</v>
      </c>
      <c r="H138" s="124"/>
      <c r="I138" s="124"/>
      <c r="J138" s="124"/>
      <c r="K138" s="124"/>
      <c r="L138" s="124"/>
      <c r="M138" s="124"/>
      <c r="N138" s="124"/>
      <c r="O138" s="124"/>
      <c r="P138" s="124"/>
      <c r="Q138" s="124"/>
      <c r="R138" s="124"/>
      <c r="S138" s="124"/>
      <c r="T138" s="124"/>
      <c r="U138" s="124"/>
      <c r="V138" s="124"/>
      <c r="W138" s="124"/>
      <c r="X138" s="124"/>
      <c r="Y138" s="124"/>
      <c r="Z138" s="355"/>
      <c r="AA138" s="355"/>
      <c r="AB138" s="355"/>
      <c r="AC138" s="124"/>
      <c r="AD138" s="695" t="s">
        <v>115</v>
      </c>
      <c r="AE138" s="696"/>
      <c r="AF138" s="696"/>
      <c r="AG138" s="696"/>
      <c r="AH138" s="696"/>
      <c r="AI138" s="697"/>
      <c r="AJ138" s="686"/>
      <c r="AK138" s="687"/>
      <c r="AL138" s="687"/>
      <c r="AM138" s="687"/>
      <c r="AN138" s="688"/>
      <c r="AO138" s="686"/>
      <c r="AP138" s="687"/>
      <c r="AQ138" s="687"/>
      <c r="AR138" s="687"/>
      <c r="AS138" s="688"/>
      <c r="AT138" s="686" t="s">
        <v>114</v>
      </c>
      <c r="AU138" s="687"/>
      <c r="AV138" s="687"/>
      <c r="AW138" s="687"/>
      <c r="AX138" s="688"/>
      <c r="AY138" s="686"/>
      <c r="AZ138" s="687"/>
      <c r="BA138" s="687"/>
      <c r="BB138" s="687"/>
      <c r="BC138" s="688"/>
      <c r="BD138" s="686"/>
      <c r="BE138" s="687"/>
      <c r="BF138" s="687"/>
      <c r="BG138" s="687"/>
      <c r="BH138" s="688"/>
      <c r="BI138" s="686"/>
      <c r="BJ138" s="687"/>
      <c r="BK138" s="687"/>
      <c r="BL138" s="687"/>
      <c r="BM138" s="688"/>
      <c r="BN138" s="686" t="s">
        <v>114</v>
      </c>
      <c r="BO138" s="687"/>
      <c r="BP138" s="687"/>
      <c r="BQ138" s="687"/>
      <c r="BR138" s="688"/>
      <c r="BS138" s="686"/>
      <c r="BT138" s="687"/>
      <c r="BU138" s="687"/>
      <c r="BV138" s="687"/>
      <c r="BW138" s="688"/>
      <c r="BX138" s="686"/>
      <c r="BY138" s="687"/>
      <c r="BZ138" s="687"/>
      <c r="CA138" s="687"/>
      <c r="CB138" s="688"/>
      <c r="CC138" s="226"/>
      <c r="CD138" s="226"/>
      <c r="CE138" s="227"/>
    </row>
    <row r="139" spans="1:83" s="228" customFormat="1" x14ac:dyDescent="0.15">
      <c r="A139" s="229"/>
      <c r="B139" s="226"/>
      <c r="C139" s="226"/>
      <c r="D139" s="562">
        <v>12</v>
      </c>
      <c r="E139" s="563"/>
      <c r="F139" s="564"/>
      <c r="G139" s="147" t="s">
        <v>482</v>
      </c>
      <c r="H139" s="124"/>
      <c r="I139" s="124"/>
      <c r="J139" s="124"/>
      <c r="K139" s="124"/>
      <c r="L139" s="124"/>
      <c r="M139" s="124"/>
      <c r="N139" s="124"/>
      <c r="O139" s="124"/>
      <c r="P139" s="124"/>
      <c r="Q139" s="124"/>
      <c r="R139" s="124"/>
      <c r="S139" s="124"/>
      <c r="T139" s="124"/>
      <c r="U139" s="124"/>
      <c r="V139" s="124"/>
      <c r="W139" s="124"/>
      <c r="X139" s="124"/>
      <c r="Y139" s="124"/>
      <c r="Z139" s="355"/>
      <c r="AA139" s="355"/>
      <c r="AB139" s="355"/>
      <c r="AC139" s="124"/>
      <c r="AD139" s="695" t="s">
        <v>115</v>
      </c>
      <c r="AE139" s="696"/>
      <c r="AF139" s="696"/>
      <c r="AG139" s="696"/>
      <c r="AH139" s="696"/>
      <c r="AI139" s="697"/>
      <c r="AJ139" s="686"/>
      <c r="AK139" s="687"/>
      <c r="AL139" s="687"/>
      <c r="AM139" s="687"/>
      <c r="AN139" s="688"/>
      <c r="AO139" s="686"/>
      <c r="AP139" s="687"/>
      <c r="AQ139" s="687"/>
      <c r="AR139" s="687"/>
      <c r="AS139" s="688"/>
      <c r="AT139" s="686" t="s">
        <v>114</v>
      </c>
      <c r="AU139" s="687"/>
      <c r="AV139" s="687"/>
      <c r="AW139" s="687"/>
      <c r="AX139" s="688"/>
      <c r="AY139" s="686"/>
      <c r="AZ139" s="687"/>
      <c r="BA139" s="687"/>
      <c r="BB139" s="687"/>
      <c r="BC139" s="688"/>
      <c r="BD139" s="686"/>
      <c r="BE139" s="687"/>
      <c r="BF139" s="687"/>
      <c r="BG139" s="687"/>
      <c r="BH139" s="688"/>
      <c r="BI139" s="686"/>
      <c r="BJ139" s="687"/>
      <c r="BK139" s="687"/>
      <c r="BL139" s="687"/>
      <c r="BM139" s="688"/>
      <c r="BN139" s="686" t="s">
        <v>114</v>
      </c>
      <c r="BO139" s="687"/>
      <c r="BP139" s="687"/>
      <c r="BQ139" s="687"/>
      <c r="BR139" s="688"/>
      <c r="BS139" s="686"/>
      <c r="BT139" s="687"/>
      <c r="BU139" s="687"/>
      <c r="BV139" s="687"/>
      <c r="BW139" s="688"/>
      <c r="BX139" s="686"/>
      <c r="BY139" s="687"/>
      <c r="BZ139" s="687"/>
      <c r="CA139" s="687"/>
      <c r="CB139" s="688"/>
      <c r="CC139" s="226"/>
      <c r="CD139" s="226"/>
      <c r="CE139" s="227"/>
    </row>
    <row r="140" spans="1:83" s="228" customFormat="1" x14ac:dyDescent="0.15">
      <c r="A140" s="229"/>
      <c r="B140" s="226"/>
      <c r="C140" s="226"/>
      <c r="D140" s="562">
        <v>13</v>
      </c>
      <c r="E140" s="563"/>
      <c r="F140" s="564"/>
      <c r="G140" s="147" t="s">
        <v>483</v>
      </c>
      <c r="H140" s="124"/>
      <c r="I140" s="124"/>
      <c r="J140" s="124"/>
      <c r="K140" s="124"/>
      <c r="L140" s="124"/>
      <c r="M140" s="124"/>
      <c r="N140" s="124"/>
      <c r="O140" s="124"/>
      <c r="P140" s="124"/>
      <c r="Q140" s="124"/>
      <c r="R140" s="124"/>
      <c r="S140" s="124"/>
      <c r="T140" s="124"/>
      <c r="U140" s="124"/>
      <c r="V140" s="124"/>
      <c r="W140" s="124"/>
      <c r="X140" s="124"/>
      <c r="Y140" s="124"/>
      <c r="Z140" s="355"/>
      <c r="AA140" s="355"/>
      <c r="AB140" s="355"/>
      <c r="AC140" s="124"/>
      <c r="AD140" s="695" t="s">
        <v>115</v>
      </c>
      <c r="AE140" s="696"/>
      <c r="AF140" s="696"/>
      <c r="AG140" s="696"/>
      <c r="AH140" s="696"/>
      <c r="AI140" s="697"/>
      <c r="AJ140" s="686"/>
      <c r="AK140" s="687"/>
      <c r="AL140" s="687"/>
      <c r="AM140" s="687"/>
      <c r="AN140" s="688"/>
      <c r="AO140" s="686"/>
      <c r="AP140" s="687"/>
      <c r="AQ140" s="687"/>
      <c r="AR140" s="687"/>
      <c r="AS140" s="688"/>
      <c r="AT140" s="686"/>
      <c r="AU140" s="687"/>
      <c r="AV140" s="687"/>
      <c r="AW140" s="687"/>
      <c r="AX140" s="688"/>
      <c r="AY140" s="686" t="s">
        <v>114</v>
      </c>
      <c r="AZ140" s="687"/>
      <c r="BA140" s="687"/>
      <c r="BB140" s="687"/>
      <c r="BC140" s="688"/>
      <c r="BD140" s="686"/>
      <c r="BE140" s="687"/>
      <c r="BF140" s="687"/>
      <c r="BG140" s="687"/>
      <c r="BH140" s="688"/>
      <c r="BI140" s="686"/>
      <c r="BJ140" s="687"/>
      <c r="BK140" s="687"/>
      <c r="BL140" s="687"/>
      <c r="BM140" s="688"/>
      <c r="BN140" s="686"/>
      <c r="BO140" s="687"/>
      <c r="BP140" s="687"/>
      <c r="BQ140" s="687"/>
      <c r="BR140" s="688"/>
      <c r="BS140" s="686" t="s">
        <v>114</v>
      </c>
      <c r="BT140" s="687"/>
      <c r="BU140" s="687"/>
      <c r="BV140" s="687"/>
      <c r="BW140" s="688"/>
      <c r="BX140" s="686"/>
      <c r="BY140" s="687"/>
      <c r="BZ140" s="687"/>
      <c r="CA140" s="687"/>
      <c r="CB140" s="688"/>
      <c r="CC140" s="226"/>
      <c r="CD140" s="226"/>
      <c r="CE140" s="227"/>
    </row>
    <row r="141" spans="1:83" s="228" customFormat="1" x14ac:dyDescent="0.15">
      <c r="A141" s="229"/>
      <c r="B141" s="226"/>
      <c r="C141" s="226"/>
      <c r="D141" s="562">
        <v>14</v>
      </c>
      <c r="E141" s="563"/>
      <c r="F141" s="564"/>
      <c r="G141" s="147" t="s">
        <v>484</v>
      </c>
      <c r="H141" s="124"/>
      <c r="I141" s="124"/>
      <c r="J141" s="124"/>
      <c r="K141" s="124"/>
      <c r="L141" s="124"/>
      <c r="M141" s="124"/>
      <c r="N141" s="124"/>
      <c r="O141" s="124"/>
      <c r="P141" s="124"/>
      <c r="Q141" s="124"/>
      <c r="R141" s="124"/>
      <c r="S141" s="124"/>
      <c r="T141" s="124"/>
      <c r="U141" s="124"/>
      <c r="V141" s="124"/>
      <c r="W141" s="124"/>
      <c r="X141" s="124"/>
      <c r="Y141" s="124"/>
      <c r="Z141" s="355"/>
      <c r="AA141" s="355"/>
      <c r="AB141" s="355"/>
      <c r="AC141" s="124"/>
      <c r="AD141" s="695" t="s">
        <v>115</v>
      </c>
      <c r="AE141" s="696"/>
      <c r="AF141" s="696"/>
      <c r="AG141" s="696"/>
      <c r="AH141" s="696"/>
      <c r="AI141" s="697"/>
      <c r="AJ141" s="686"/>
      <c r="AK141" s="687"/>
      <c r="AL141" s="687"/>
      <c r="AM141" s="687"/>
      <c r="AN141" s="688"/>
      <c r="AO141" s="686"/>
      <c r="AP141" s="687"/>
      <c r="AQ141" s="687"/>
      <c r="AR141" s="687"/>
      <c r="AS141" s="688"/>
      <c r="AT141" s="686"/>
      <c r="AU141" s="687"/>
      <c r="AV141" s="687"/>
      <c r="AW141" s="687"/>
      <c r="AX141" s="688"/>
      <c r="AY141" s="686" t="s">
        <v>114</v>
      </c>
      <c r="AZ141" s="687"/>
      <c r="BA141" s="687"/>
      <c r="BB141" s="687"/>
      <c r="BC141" s="688"/>
      <c r="BD141" s="686"/>
      <c r="BE141" s="687"/>
      <c r="BF141" s="687"/>
      <c r="BG141" s="687"/>
      <c r="BH141" s="688"/>
      <c r="BI141" s="686"/>
      <c r="BJ141" s="687"/>
      <c r="BK141" s="687"/>
      <c r="BL141" s="687"/>
      <c r="BM141" s="688"/>
      <c r="BN141" s="686"/>
      <c r="BO141" s="687"/>
      <c r="BP141" s="687"/>
      <c r="BQ141" s="687"/>
      <c r="BR141" s="688"/>
      <c r="BS141" s="686" t="s">
        <v>114</v>
      </c>
      <c r="BT141" s="687"/>
      <c r="BU141" s="687"/>
      <c r="BV141" s="687"/>
      <c r="BW141" s="688"/>
      <c r="BX141" s="686"/>
      <c r="BY141" s="687"/>
      <c r="BZ141" s="687"/>
      <c r="CA141" s="687"/>
      <c r="CB141" s="688"/>
      <c r="CC141" s="226"/>
      <c r="CD141" s="226"/>
      <c r="CE141" s="227"/>
    </row>
    <row r="142" spans="1:83" s="228" customFormat="1" x14ac:dyDescent="0.15">
      <c r="A142" s="229"/>
      <c r="B142" s="226"/>
      <c r="C142" s="226"/>
      <c r="D142" s="562">
        <v>15</v>
      </c>
      <c r="E142" s="563"/>
      <c r="F142" s="564"/>
      <c r="G142" s="147" t="s">
        <v>632</v>
      </c>
      <c r="H142" s="124"/>
      <c r="I142" s="124"/>
      <c r="J142" s="124"/>
      <c r="K142" s="124"/>
      <c r="L142" s="124"/>
      <c r="M142" s="124"/>
      <c r="N142" s="124"/>
      <c r="O142" s="124"/>
      <c r="P142" s="124"/>
      <c r="Q142" s="124"/>
      <c r="R142" s="124"/>
      <c r="S142" s="124"/>
      <c r="T142" s="124"/>
      <c r="U142" s="124"/>
      <c r="V142" s="124"/>
      <c r="W142" s="124"/>
      <c r="X142" s="124"/>
      <c r="Y142" s="124"/>
      <c r="Z142" s="355"/>
      <c r="AA142" s="355"/>
      <c r="AB142" s="355"/>
      <c r="AC142" s="124"/>
      <c r="AD142" s="686" t="s">
        <v>113</v>
      </c>
      <c r="AE142" s="687"/>
      <c r="AF142" s="687"/>
      <c r="AG142" s="687"/>
      <c r="AH142" s="687"/>
      <c r="AI142" s="688"/>
      <c r="AJ142" s="686"/>
      <c r="AK142" s="687"/>
      <c r="AL142" s="687"/>
      <c r="AM142" s="687"/>
      <c r="AN142" s="688"/>
      <c r="AO142" s="686"/>
      <c r="AP142" s="687"/>
      <c r="AQ142" s="687"/>
      <c r="AR142" s="687"/>
      <c r="AS142" s="688"/>
      <c r="AT142" s="686"/>
      <c r="AU142" s="687"/>
      <c r="AV142" s="687"/>
      <c r="AW142" s="687"/>
      <c r="AX142" s="688"/>
      <c r="AY142" s="686"/>
      <c r="AZ142" s="687"/>
      <c r="BA142" s="687"/>
      <c r="BB142" s="687"/>
      <c r="BC142" s="688"/>
      <c r="BD142" s="686"/>
      <c r="BE142" s="687"/>
      <c r="BF142" s="687"/>
      <c r="BG142" s="687"/>
      <c r="BH142" s="688"/>
      <c r="BI142" s="686"/>
      <c r="BJ142" s="687"/>
      <c r="BK142" s="687"/>
      <c r="BL142" s="687"/>
      <c r="BM142" s="688"/>
      <c r="BN142" s="686"/>
      <c r="BO142" s="687"/>
      <c r="BP142" s="687"/>
      <c r="BQ142" s="687"/>
      <c r="BR142" s="688"/>
      <c r="BS142" s="686"/>
      <c r="BT142" s="687"/>
      <c r="BU142" s="687"/>
      <c r="BV142" s="687"/>
      <c r="BW142" s="688"/>
      <c r="BX142" s="686" t="s">
        <v>114</v>
      </c>
      <c r="BY142" s="687"/>
      <c r="BZ142" s="687"/>
      <c r="CA142" s="687"/>
      <c r="CB142" s="688"/>
      <c r="CC142" s="226"/>
      <c r="CD142" s="226"/>
      <c r="CE142" s="227"/>
    </row>
    <row r="143" spans="1:83" s="228" customFormat="1" x14ac:dyDescent="0.15">
      <c r="A143" s="229"/>
      <c r="B143" s="226"/>
      <c r="C143" s="226"/>
      <c r="D143" s="562">
        <v>16</v>
      </c>
      <c r="E143" s="563"/>
      <c r="F143" s="564"/>
      <c r="G143" s="147" t="s">
        <v>633</v>
      </c>
      <c r="H143" s="124"/>
      <c r="I143" s="124"/>
      <c r="J143" s="124"/>
      <c r="K143" s="124"/>
      <c r="L143" s="124"/>
      <c r="M143" s="124"/>
      <c r="N143" s="124"/>
      <c r="O143" s="124"/>
      <c r="P143" s="124"/>
      <c r="Q143" s="124"/>
      <c r="R143" s="124"/>
      <c r="S143" s="124"/>
      <c r="T143" s="124"/>
      <c r="U143" s="124"/>
      <c r="V143" s="124"/>
      <c r="W143" s="124"/>
      <c r="X143" s="124"/>
      <c r="Y143" s="124"/>
      <c r="Z143" s="355"/>
      <c r="AA143" s="355"/>
      <c r="AB143" s="355"/>
      <c r="AC143" s="124"/>
      <c r="AD143" s="686" t="s">
        <v>113</v>
      </c>
      <c r="AE143" s="687"/>
      <c r="AF143" s="687"/>
      <c r="AG143" s="687"/>
      <c r="AH143" s="687"/>
      <c r="AI143" s="688"/>
      <c r="AJ143" s="686"/>
      <c r="AK143" s="687"/>
      <c r="AL143" s="687"/>
      <c r="AM143" s="687"/>
      <c r="AN143" s="688"/>
      <c r="AO143" s="686"/>
      <c r="AP143" s="687"/>
      <c r="AQ143" s="687"/>
      <c r="AR143" s="687"/>
      <c r="AS143" s="688"/>
      <c r="AT143" s="686"/>
      <c r="AU143" s="687"/>
      <c r="AV143" s="687"/>
      <c r="AW143" s="687"/>
      <c r="AX143" s="688"/>
      <c r="AY143" s="686"/>
      <c r="AZ143" s="687"/>
      <c r="BA143" s="687"/>
      <c r="BB143" s="687"/>
      <c r="BC143" s="688"/>
      <c r="BD143" s="686"/>
      <c r="BE143" s="687"/>
      <c r="BF143" s="687"/>
      <c r="BG143" s="687"/>
      <c r="BH143" s="688"/>
      <c r="BI143" s="686"/>
      <c r="BJ143" s="687"/>
      <c r="BK143" s="687"/>
      <c r="BL143" s="687"/>
      <c r="BM143" s="688"/>
      <c r="BN143" s="686"/>
      <c r="BO143" s="687"/>
      <c r="BP143" s="687"/>
      <c r="BQ143" s="687"/>
      <c r="BR143" s="688"/>
      <c r="BS143" s="686"/>
      <c r="BT143" s="687"/>
      <c r="BU143" s="687"/>
      <c r="BV143" s="687"/>
      <c r="BW143" s="688"/>
      <c r="BX143" s="686" t="s">
        <v>114</v>
      </c>
      <c r="BY143" s="687"/>
      <c r="BZ143" s="687"/>
      <c r="CA143" s="687"/>
      <c r="CB143" s="688"/>
      <c r="CC143" s="226"/>
      <c r="CD143" s="226"/>
      <c r="CE143" s="227"/>
    </row>
    <row r="144" spans="1:83" s="228" customFormat="1" x14ac:dyDescent="0.15">
      <c r="A144" s="229"/>
      <c r="B144" s="226"/>
      <c r="C144" s="226"/>
      <c r="D144" s="562">
        <v>17</v>
      </c>
      <c r="E144" s="563"/>
      <c r="F144" s="564"/>
      <c r="G144" s="147" t="s">
        <v>912</v>
      </c>
      <c r="H144" s="124"/>
      <c r="I144" s="124"/>
      <c r="J144" s="124"/>
      <c r="K144" s="124"/>
      <c r="L144" s="124"/>
      <c r="M144" s="124"/>
      <c r="N144" s="124"/>
      <c r="O144" s="124"/>
      <c r="P144" s="124"/>
      <c r="Q144" s="124"/>
      <c r="R144" s="124"/>
      <c r="S144" s="124"/>
      <c r="T144" s="124"/>
      <c r="U144" s="124"/>
      <c r="V144" s="124"/>
      <c r="W144" s="124"/>
      <c r="X144" s="124"/>
      <c r="Y144" s="124"/>
      <c r="Z144" s="355"/>
      <c r="AA144" s="355"/>
      <c r="AB144" s="355"/>
      <c r="AC144" s="124"/>
      <c r="AD144" s="686" t="s">
        <v>113</v>
      </c>
      <c r="AE144" s="687"/>
      <c r="AF144" s="687"/>
      <c r="AG144" s="687"/>
      <c r="AH144" s="687"/>
      <c r="AI144" s="688"/>
      <c r="AJ144" s="686"/>
      <c r="AK144" s="687"/>
      <c r="AL144" s="687"/>
      <c r="AM144" s="687"/>
      <c r="AN144" s="688"/>
      <c r="AO144" s="686"/>
      <c r="AP144" s="687"/>
      <c r="AQ144" s="687"/>
      <c r="AR144" s="687"/>
      <c r="AS144" s="688"/>
      <c r="AT144" s="686"/>
      <c r="AU144" s="687"/>
      <c r="AV144" s="687"/>
      <c r="AW144" s="687"/>
      <c r="AX144" s="688"/>
      <c r="AY144" s="686"/>
      <c r="AZ144" s="687"/>
      <c r="BA144" s="687"/>
      <c r="BB144" s="687"/>
      <c r="BC144" s="688"/>
      <c r="BD144" s="686"/>
      <c r="BE144" s="687"/>
      <c r="BF144" s="687"/>
      <c r="BG144" s="687"/>
      <c r="BH144" s="688"/>
      <c r="BI144" s="686"/>
      <c r="BJ144" s="687"/>
      <c r="BK144" s="687"/>
      <c r="BL144" s="687"/>
      <c r="BM144" s="688"/>
      <c r="BN144" s="686"/>
      <c r="BO144" s="687"/>
      <c r="BP144" s="687"/>
      <c r="BQ144" s="687"/>
      <c r="BR144" s="688"/>
      <c r="BS144" s="686"/>
      <c r="BT144" s="687"/>
      <c r="BU144" s="687"/>
      <c r="BV144" s="687"/>
      <c r="BW144" s="688"/>
      <c r="BX144" s="686" t="s">
        <v>114</v>
      </c>
      <c r="BY144" s="687"/>
      <c r="BZ144" s="687"/>
      <c r="CA144" s="687"/>
      <c r="CB144" s="688"/>
      <c r="CC144" s="226"/>
      <c r="CD144" s="226"/>
      <c r="CE144" s="227"/>
    </row>
    <row r="145" spans="1:83" s="228" customFormat="1" ht="12.75" customHeight="1" x14ac:dyDescent="0.15">
      <c r="A145" s="224"/>
      <c r="B145" s="225"/>
      <c r="C145" s="226"/>
      <c r="D145" s="226"/>
      <c r="E145" s="226"/>
      <c r="F145" s="226"/>
      <c r="G145" s="226"/>
      <c r="H145" s="226"/>
      <c r="I145" s="226"/>
      <c r="J145" s="226"/>
      <c r="K145" s="226"/>
      <c r="L145" s="226"/>
      <c r="M145" s="226"/>
      <c r="N145" s="226"/>
      <c r="O145" s="226"/>
      <c r="P145" s="226"/>
      <c r="Q145" s="226"/>
      <c r="R145" s="226"/>
      <c r="S145" s="226"/>
      <c r="T145" s="226"/>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c r="AP145" s="226"/>
      <c r="AQ145" s="226"/>
      <c r="AR145" s="226"/>
      <c r="AS145" s="226"/>
      <c r="AT145" s="226"/>
      <c r="AU145" s="226"/>
      <c r="AV145" s="226"/>
      <c r="AW145" s="226"/>
      <c r="AX145" s="226"/>
      <c r="AY145" s="226"/>
      <c r="AZ145" s="226"/>
      <c r="BA145" s="226"/>
      <c r="BB145" s="226"/>
      <c r="BC145" s="226"/>
      <c r="BD145" s="226"/>
      <c r="BE145" s="226"/>
      <c r="BF145" s="226"/>
      <c r="BG145" s="226"/>
      <c r="BH145" s="226"/>
      <c r="BI145" s="226"/>
      <c r="BJ145" s="226"/>
      <c r="BK145" s="226"/>
      <c r="BL145" s="226"/>
      <c r="BM145" s="226"/>
      <c r="BN145" s="226"/>
      <c r="BO145" s="226"/>
      <c r="BP145" s="226"/>
      <c r="BQ145" s="226"/>
      <c r="BR145" s="226"/>
      <c r="BS145" s="226"/>
      <c r="BT145" s="226"/>
      <c r="BU145" s="226"/>
      <c r="BV145" s="226"/>
      <c r="BW145" s="226"/>
      <c r="BX145" s="226"/>
      <c r="BY145" s="226"/>
      <c r="BZ145" s="226"/>
      <c r="CA145" s="226"/>
      <c r="CB145" s="226"/>
      <c r="CC145" s="213"/>
      <c r="CD145" s="226"/>
      <c r="CE145" s="227"/>
    </row>
    <row r="146" spans="1:83" s="228" customFormat="1" ht="12.75" customHeight="1" x14ac:dyDescent="0.15">
      <c r="A146" s="224"/>
      <c r="B146" s="225"/>
      <c r="C146" s="226"/>
      <c r="D146" s="226"/>
      <c r="E146" s="226"/>
      <c r="F146" s="226"/>
      <c r="G146" s="226"/>
      <c r="H146" s="226"/>
      <c r="I146" s="226"/>
      <c r="J146" s="226"/>
      <c r="K146" s="226"/>
      <c r="L146" s="226"/>
      <c r="M146" s="226"/>
      <c r="N146" s="226"/>
      <c r="O146" s="226"/>
      <c r="P146" s="226"/>
      <c r="Q146" s="226"/>
      <c r="R146" s="226"/>
      <c r="S146" s="226"/>
      <c r="T146" s="226"/>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c r="AP146" s="226"/>
      <c r="AQ146" s="226"/>
      <c r="AR146" s="226"/>
      <c r="AS146" s="226"/>
      <c r="AT146" s="226"/>
      <c r="AU146" s="226"/>
      <c r="AV146" s="226"/>
      <c r="AW146" s="226"/>
      <c r="AX146" s="226"/>
      <c r="AY146" s="226"/>
      <c r="AZ146" s="226"/>
      <c r="BA146" s="226"/>
      <c r="BB146" s="226"/>
      <c r="BC146" s="226"/>
      <c r="BD146" s="226"/>
      <c r="BE146" s="226"/>
      <c r="BF146" s="226"/>
      <c r="BG146" s="226"/>
      <c r="BH146" s="226"/>
      <c r="BI146" s="226"/>
      <c r="BJ146" s="226"/>
      <c r="BK146" s="226"/>
      <c r="BL146" s="226"/>
      <c r="BM146" s="226"/>
      <c r="BN146" s="226"/>
      <c r="BO146" s="226"/>
      <c r="BP146" s="226"/>
      <c r="BQ146" s="226"/>
      <c r="BR146" s="226"/>
      <c r="BS146" s="226"/>
      <c r="BT146" s="226"/>
      <c r="BU146" s="226"/>
      <c r="BV146" s="226"/>
      <c r="BW146" s="226"/>
      <c r="BX146" s="226"/>
      <c r="BY146" s="226"/>
      <c r="BZ146" s="226"/>
      <c r="CA146" s="226"/>
      <c r="CB146" s="226"/>
      <c r="CC146" s="213"/>
      <c r="CD146" s="226"/>
      <c r="CE146" s="227"/>
    </row>
    <row r="147" spans="1:83" s="228" customFormat="1" ht="12.75" customHeight="1" x14ac:dyDescent="0.15">
      <c r="A147" s="224"/>
      <c r="B147" s="225"/>
      <c r="C147" s="226"/>
      <c r="D147" s="226"/>
      <c r="E147" s="226"/>
      <c r="F147" s="226"/>
      <c r="G147" s="226"/>
      <c r="H147" s="226"/>
      <c r="I147" s="226"/>
      <c r="J147" s="226"/>
      <c r="K147" s="226"/>
      <c r="L147" s="226"/>
      <c r="M147" s="226"/>
      <c r="N147" s="226"/>
      <c r="O147" s="226"/>
      <c r="P147" s="226"/>
      <c r="Q147" s="226"/>
      <c r="R147" s="226"/>
      <c r="S147" s="226"/>
      <c r="T147" s="226"/>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c r="AP147" s="226"/>
      <c r="AQ147" s="226"/>
      <c r="AR147" s="226"/>
      <c r="AS147" s="226"/>
      <c r="AT147" s="226"/>
      <c r="AU147" s="226"/>
      <c r="AV147" s="226"/>
      <c r="AW147" s="226"/>
      <c r="AX147" s="226"/>
      <c r="AY147" s="226"/>
      <c r="AZ147" s="226"/>
      <c r="BA147" s="226"/>
      <c r="BB147" s="226"/>
      <c r="BC147" s="226"/>
      <c r="BD147" s="226"/>
      <c r="BE147" s="226"/>
      <c r="BF147" s="226"/>
      <c r="BG147" s="226"/>
      <c r="BH147" s="226"/>
      <c r="BI147" s="226"/>
      <c r="BJ147" s="226"/>
      <c r="BK147" s="226"/>
      <c r="BL147" s="226"/>
      <c r="BM147" s="226"/>
      <c r="BN147" s="226"/>
      <c r="BO147" s="226"/>
      <c r="BP147" s="226"/>
      <c r="BQ147" s="226"/>
      <c r="BR147" s="226"/>
      <c r="BS147" s="226"/>
      <c r="BT147" s="226"/>
      <c r="BU147" s="226"/>
      <c r="BV147" s="226"/>
      <c r="BW147" s="226"/>
      <c r="BX147" s="226"/>
      <c r="BY147" s="226"/>
      <c r="BZ147" s="226"/>
      <c r="CA147" s="226"/>
      <c r="CB147" s="226"/>
      <c r="CC147" s="213"/>
      <c r="CD147" s="226"/>
      <c r="CE147" s="227"/>
    </row>
    <row r="148" spans="1:83" s="228" customFormat="1" ht="12.75" customHeight="1" x14ac:dyDescent="0.15">
      <c r="A148" s="224"/>
      <c r="B148" s="225"/>
      <c r="C148" s="226"/>
      <c r="D148" s="226"/>
      <c r="E148" s="226"/>
      <c r="F148" s="226"/>
      <c r="G148" s="226"/>
      <c r="H148" s="226"/>
      <c r="I148" s="226"/>
      <c r="J148" s="226"/>
      <c r="K148" s="226"/>
      <c r="L148" s="226"/>
      <c r="M148" s="226"/>
      <c r="N148" s="226"/>
      <c r="O148" s="226"/>
      <c r="P148" s="226"/>
      <c r="Q148" s="226"/>
      <c r="R148" s="226"/>
      <c r="S148" s="226"/>
      <c r="T148" s="226"/>
      <c r="U148" s="226"/>
      <c r="V148" s="226"/>
      <c r="W148" s="226"/>
      <c r="X148" s="226"/>
      <c r="Y148" s="226"/>
      <c r="Z148" s="226"/>
      <c r="AA148" s="226"/>
      <c r="AB148" s="226"/>
      <c r="AC148" s="226"/>
      <c r="AD148" s="226"/>
      <c r="AE148" s="226"/>
      <c r="AF148" s="226"/>
      <c r="AG148" s="226"/>
      <c r="AH148" s="226"/>
      <c r="AI148" s="226"/>
      <c r="AJ148" s="226"/>
      <c r="AK148" s="226"/>
      <c r="AL148" s="226"/>
      <c r="AM148" s="226"/>
      <c r="AN148" s="226"/>
      <c r="AO148" s="226"/>
      <c r="AP148" s="226"/>
      <c r="AQ148" s="226"/>
      <c r="AR148" s="226"/>
      <c r="AS148" s="226"/>
      <c r="AT148" s="226"/>
      <c r="AU148" s="226"/>
      <c r="AV148" s="226"/>
      <c r="AW148" s="226"/>
      <c r="AX148" s="226"/>
      <c r="AY148" s="226"/>
      <c r="AZ148" s="226"/>
      <c r="BA148" s="226"/>
      <c r="BB148" s="226"/>
      <c r="BC148" s="226"/>
      <c r="BD148" s="226"/>
      <c r="BE148" s="226"/>
      <c r="BF148" s="226"/>
      <c r="BG148" s="226"/>
      <c r="BH148" s="226"/>
      <c r="BI148" s="226"/>
      <c r="BJ148" s="226"/>
      <c r="BK148" s="226"/>
      <c r="BL148" s="226"/>
      <c r="BM148" s="226"/>
      <c r="BN148" s="226"/>
      <c r="BO148" s="226"/>
      <c r="BP148" s="226"/>
      <c r="BQ148" s="226"/>
      <c r="BR148" s="226"/>
      <c r="BS148" s="226"/>
      <c r="BT148" s="226"/>
      <c r="BU148" s="226"/>
      <c r="BV148" s="226"/>
      <c r="BW148" s="226"/>
      <c r="BX148" s="226"/>
      <c r="BY148" s="226"/>
      <c r="BZ148" s="226"/>
      <c r="CA148" s="226"/>
      <c r="CB148" s="226"/>
      <c r="CC148" s="213"/>
      <c r="CD148" s="226"/>
      <c r="CE148" s="227"/>
    </row>
    <row r="149" spans="1:83" s="228" customFormat="1" ht="12.75" customHeight="1" x14ac:dyDescent="0.15">
      <c r="A149" s="224"/>
      <c r="B149" s="225"/>
      <c r="C149" s="226"/>
      <c r="D149" s="226"/>
      <c r="E149" s="226"/>
      <c r="F149" s="226"/>
      <c r="G149" s="226"/>
      <c r="H149" s="226"/>
      <c r="I149" s="226"/>
      <c r="J149" s="226"/>
      <c r="K149" s="226"/>
      <c r="L149" s="226"/>
      <c r="M149" s="226"/>
      <c r="N149" s="226"/>
      <c r="O149" s="226"/>
      <c r="P149" s="226"/>
      <c r="Q149" s="226"/>
      <c r="R149" s="226"/>
      <c r="S149" s="226"/>
      <c r="T149" s="226"/>
      <c r="U149" s="226"/>
      <c r="V149" s="226"/>
      <c r="W149" s="226"/>
      <c r="X149" s="226"/>
      <c r="Y149" s="226"/>
      <c r="Z149" s="226"/>
      <c r="AA149" s="226"/>
      <c r="AB149" s="226"/>
      <c r="AC149" s="226"/>
      <c r="AD149" s="226"/>
      <c r="AE149" s="226"/>
      <c r="AF149" s="226"/>
      <c r="AG149" s="226"/>
      <c r="AH149" s="226"/>
      <c r="AI149" s="226"/>
      <c r="AJ149" s="226"/>
      <c r="AK149" s="226"/>
      <c r="AL149" s="226"/>
      <c r="AM149" s="226"/>
      <c r="AN149" s="226"/>
      <c r="AO149" s="226"/>
      <c r="AP149" s="226"/>
      <c r="AQ149" s="226"/>
      <c r="AR149" s="226"/>
      <c r="AS149" s="226"/>
      <c r="AT149" s="226"/>
      <c r="AU149" s="226"/>
      <c r="AV149" s="226"/>
      <c r="AW149" s="226"/>
      <c r="AX149" s="226"/>
      <c r="AY149" s="226"/>
      <c r="AZ149" s="226"/>
      <c r="BA149" s="226"/>
      <c r="BB149" s="226"/>
      <c r="BC149" s="226"/>
      <c r="BD149" s="226"/>
      <c r="BE149" s="226"/>
      <c r="BF149" s="226"/>
      <c r="BG149" s="226"/>
      <c r="BH149" s="226"/>
      <c r="BI149" s="226"/>
      <c r="BJ149" s="226"/>
      <c r="BK149" s="226"/>
      <c r="BL149" s="226"/>
      <c r="BM149" s="226"/>
      <c r="BN149" s="226"/>
      <c r="BO149" s="226"/>
      <c r="BP149" s="226"/>
      <c r="BQ149" s="226"/>
      <c r="BR149" s="226"/>
      <c r="BS149" s="226"/>
      <c r="BT149" s="226"/>
      <c r="BU149" s="226"/>
      <c r="BV149" s="226"/>
      <c r="BW149" s="226"/>
      <c r="BX149" s="226"/>
      <c r="BY149" s="226"/>
      <c r="BZ149" s="226"/>
      <c r="CA149" s="226"/>
      <c r="CB149" s="226"/>
      <c r="CC149" s="213"/>
      <c r="CD149" s="226"/>
      <c r="CE149" s="227"/>
    </row>
    <row r="150" spans="1:83" s="228" customFormat="1" ht="12.75" customHeight="1" x14ac:dyDescent="0.15">
      <c r="A150" s="224"/>
      <c r="B150" s="225"/>
      <c r="C150" s="226"/>
      <c r="D150" s="226"/>
      <c r="E150" s="226"/>
      <c r="F150" s="226"/>
      <c r="G150" s="226"/>
      <c r="H150" s="226"/>
      <c r="I150" s="226"/>
      <c r="J150" s="226"/>
      <c r="K150" s="226"/>
      <c r="L150" s="226"/>
      <c r="M150" s="226"/>
      <c r="N150" s="226"/>
      <c r="O150" s="226"/>
      <c r="P150" s="226"/>
      <c r="Q150" s="226"/>
      <c r="R150" s="226"/>
      <c r="S150" s="226"/>
      <c r="T150" s="226"/>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c r="AP150" s="226"/>
      <c r="AQ150" s="226"/>
      <c r="AR150" s="226"/>
      <c r="AS150" s="226"/>
      <c r="AT150" s="226"/>
      <c r="AU150" s="226"/>
      <c r="AV150" s="226"/>
      <c r="AW150" s="226"/>
      <c r="AX150" s="226"/>
      <c r="AY150" s="226"/>
      <c r="AZ150" s="226"/>
      <c r="BA150" s="226"/>
      <c r="BB150" s="226"/>
      <c r="BC150" s="226"/>
      <c r="BD150" s="226"/>
      <c r="BE150" s="226"/>
      <c r="BF150" s="226"/>
      <c r="BG150" s="226"/>
      <c r="BH150" s="226"/>
      <c r="BI150" s="226"/>
      <c r="BJ150" s="226"/>
      <c r="BK150" s="226"/>
      <c r="BL150" s="226"/>
      <c r="BM150" s="226"/>
      <c r="BN150" s="226"/>
      <c r="BO150" s="226"/>
      <c r="BP150" s="226"/>
      <c r="BQ150" s="226"/>
      <c r="BR150" s="226"/>
      <c r="BS150" s="226"/>
      <c r="BT150" s="226"/>
      <c r="BU150" s="226"/>
      <c r="BV150" s="226"/>
      <c r="BW150" s="226"/>
      <c r="BX150" s="226"/>
      <c r="BY150" s="226"/>
      <c r="BZ150" s="226"/>
      <c r="CA150" s="226"/>
      <c r="CB150" s="226"/>
      <c r="CC150" s="213"/>
      <c r="CD150" s="226"/>
      <c r="CE150" s="227"/>
    </row>
    <row r="151" spans="1:83" s="228" customFormat="1" ht="12.75" customHeight="1" x14ac:dyDescent="0.15">
      <c r="A151" s="224"/>
      <c r="B151" s="225"/>
      <c r="C151" s="226"/>
      <c r="D151" s="226"/>
      <c r="E151" s="226"/>
      <c r="F151" s="226"/>
      <c r="G151" s="226"/>
      <c r="H151" s="226"/>
      <c r="I151" s="226"/>
      <c r="J151" s="226"/>
      <c r="K151" s="226"/>
      <c r="L151" s="226"/>
      <c r="M151" s="226"/>
      <c r="N151" s="226"/>
      <c r="O151" s="226"/>
      <c r="P151" s="226"/>
      <c r="Q151" s="226"/>
      <c r="R151" s="226"/>
      <c r="S151" s="226"/>
      <c r="T151" s="226"/>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c r="AP151" s="226"/>
      <c r="AQ151" s="226"/>
      <c r="AR151" s="226"/>
      <c r="AS151" s="226"/>
      <c r="AT151" s="226"/>
      <c r="AU151" s="226"/>
      <c r="AV151" s="226"/>
      <c r="AW151" s="226"/>
      <c r="AX151" s="226"/>
      <c r="AY151" s="226"/>
      <c r="AZ151" s="226"/>
      <c r="BA151" s="226"/>
      <c r="BB151" s="226"/>
      <c r="BC151" s="226"/>
      <c r="BD151" s="226"/>
      <c r="BE151" s="226"/>
      <c r="BF151" s="226"/>
      <c r="BG151" s="226"/>
      <c r="BH151" s="226"/>
      <c r="BI151" s="226"/>
      <c r="BJ151" s="226"/>
      <c r="BK151" s="226"/>
      <c r="BL151" s="226"/>
      <c r="BM151" s="226"/>
      <c r="BN151" s="226"/>
      <c r="BO151" s="226"/>
      <c r="BP151" s="226"/>
      <c r="BQ151" s="226"/>
      <c r="BR151" s="226"/>
      <c r="BS151" s="226"/>
      <c r="BT151" s="226"/>
      <c r="BU151" s="226"/>
      <c r="BV151" s="226"/>
      <c r="BW151" s="226"/>
      <c r="BX151" s="226"/>
      <c r="BY151" s="226"/>
      <c r="BZ151" s="226"/>
      <c r="CA151" s="226"/>
      <c r="CB151" s="226"/>
      <c r="CC151" s="213"/>
      <c r="CD151" s="226"/>
      <c r="CE151" s="227"/>
    </row>
    <row r="152" spans="1:83" s="228" customFormat="1" ht="12.75" customHeight="1" x14ac:dyDescent="0.15">
      <c r="A152" s="224"/>
      <c r="B152" s="225"/>
      <c r="C152" s="226"/>
      <c r="D152" s="226"/>
      <c r="E152" s="226"/>
      <c r="F152" s="226"/>
      <c r="G152" s="226"/>
      <c r="H152" s="226"/>
      <c r="I152" s="226"/>
      <c r="J152" s="226"/>
      <c r="K152" s="226"/>
      <c r="L152" s="226"/>
      <c r="M152" s="226"/>
      <c r="N152" s="226"/>
      <c r="O152" s="226"/>
      <c r="P152" s="226"/>
      <c r="Q152" s="226"/>
      <c r="R152" s="226"/>
      <c r="S152" s="226"/>
      <c r="T152" s="226"/>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6"/>
      <c r="AP152" s="226"/>
      <c r="AQ152" s="226"/>
      <c r="AR152" s="226"/>
      <c r="AS152" s="226"/>
      <c r="AT152" s="226"/>
      <c r="AU152" s="226"/>
      <c r="AV152" s="226"/>
      <c r="AW152" s="226"/>
      <c r="AX152" s="226"/>
      <c r="AY152" s="226"/>
      <c r="AZ152" s="226"/>
      <c r="BA152" s="226"/>
      <c r="BB152" s="226"/>
      <c r="BC152" s="226"/>
      <c r="BD152" s="226"/>
      <c r="BE152" s="226"/>
      <c r="BF152" s="226"/>
      <c r="BG152" s="226"/>
      <c r="BH152" s="226"/>
      <c r="BI152" s="226"/>
      <c r="BJ152" s="226"/>
      <c r="BK152" s="226"/>
      <c r="BL152" s="226"/>
      <c r="BM152" s="226"/>
      <c r="BN152" s="226"/>
      <c r="BO152" s="226"/>
      <c r="BP152" s="226"/>
      <c r="BQ152" s="226"/>
      <c r="BR152" s="226"/>
      <c r="BS152" s="226"/>
      <c r="BT152" s="226"/>
      <c r="BU152" s="226"/>
      <c r="BV152" s="226"/>
      <c r="BW152" s="226"/>
      <c r="BX152" s="226"/>
      <c r="BY152" s="226"/>
      <c r="BZ152" s="226"/>
      <c r="CA152" s="226"/>
      <c r="CB152" s="226"/>
      <c r="CC152" s="213"/>
      <c r="CD152" s="226"/>
      <c r="CE152" s="227"/>
    </row>
    <row r="153" spans="1:83" s="228" customFormat="1" ht="12.75" customHeight="1" x14ac:dyDescent="0.15">
      <c r="A153" s="224"/>
      <c r="B153" s="225"/>
      <c r="C153" s="226"/>
      <c r="D153" s="226"/>
      <c r="E153" s="226"/>
      <c r="F153" s="226"/>
      <c r="G153" s="226"/>
      <c r="H153" s="226"/>
      <c r="I153" s="226"/>
      <c r="J153" s="226"/>
      <c r="K153" s="226"/>
      <c r="L153" s="226"/>
      <c r="M153" s="226"/>
      <c r="N153" s="226"/>
      <c r="O153" s="226"/>
      <c r="P153" s="226"/>
      <c r="Q153" s="226"/>
      <c r="R153" s="226"/>
      <c r="S153" s="226"/>
      <c r="T153" s="226"/>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6"/>
      <c r="AP153" s="226"/>
      <c r="AQ153" s="226"/>
      <c r="AR153" s="226"/>
      <c r="AS153" s="226"/>
      <c r="AT153" s="226"/>
      <c r="AU153" s="226"/>
      <c r="AV153" s="226"/>
      <c r="AW153" s="226"/>
      <c r="AX153" s="226"/>
      <c r="AY153" s="226"/>
      <c r="AZ153" s="226"/>
      <c r="BA153" s="226"/>
      <c r="BB153" s="226"/>
      <c r="BC153" s="226"/>
      <c r="BD153" s="226"/>
      <c r="BE153" s="226"/>
      <c r="BF153" s="226"/>
      <c r="BG153" s="226"/>
      <c r="BH153" s="226"/>
      <c r="BI153" s="226"/>
      <c r="BJ153" s="226"/>
      <c r="BK153" s="226"/>
      <c r="BL153" s="226"/>
      <c r="BM153" s="226"/>
      <c r="BN153" s="226"/>
      <c r="BO153" s="226"/>
      <c r="BP153" s="226"/>
      <c r="BQ153" s="226"/>
      <c r="BR153" s="226"/>
      <c r="BS153" s="226"/>
      <c r="BT153" s="226"/>
      <c r="BU153" s="226"/>
      <c r="BV153" s="226"/>
      <c r="BW153" s="226"/>
      <c r="BX153" s="226"/>
      <c r="BY153" s="226"/>
      <c r="BZ153" s="226"/>
      <c r="CA153" s="226"/>
      <c r="CB153" s="226"/>
      <c r="CC153" s="213"/>
      <c r="CD153" s="226"/>
      <c r="CE153" s="227"/>
    </row>
    <row r="154" spans="1:83" s="228" customFormat="1" ht="12.75" customHeight="1" x14ac:dyDescent="0.15">
      <c r="A154" s="224"/>
      <c r="B154" s="225"/>
      <c r="C154" s="226"/>
      <c r="D154" s="226"/>
      <c r="E154" s="226"/>
      <c r="F154" s="226"/>
      <c r="G154" s="226"/>
      <c r="H154" s="226"/>
      <c r="I154" s="226"/>
      <c r="J154" s="226"/>
      <c r="K154" s="226"/>
      <c r="L154" s="226"/>
      <c r="M154" s="226"/>
      <c r="N154" s="226"/>
      <c r="O154" s="226"/>
      <c r="P154" s="226"/>
      <c r="Q154" s="226"/>
      <c r="R154" s="226"/>
      <c r="S154" s="226"/>
      <c r="T154" s="226"/>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6"/>
      <c r="AP154" s="226"/>
      <c r="AQ154" s="226"/>
      <c r="AR154" s="226"/>
      <c r="AS154" s="226"/>
      <c r="AT154" s="226"/>
      <c r="AU154" s="226"/>
      <c r="AV154" s="226"/>
      <c r="AW154" s="226"/>
      <c r="AX154" s="226"/>
      <c r="AY154" s="226"/>
      <c r="AZ154" s="226"/>
      <c r="BA154" s="226"/>
      <c r="BB154" s="226"/>
      <c r="BC154" s="226"/>
      <c r="BD154" s="226"/>
      <c r="BE154" s="226"/>
      <c r="BF154" s="226"/>
      <c r="BG154" s="226"/>
      <c r="BH154" s="226"/>
      <c r="BI154" s="226"/>
      <c r="BJ154" s="226"/>
      <c r="BK154" s="226"/>
      <c r="BL154" s="226"/>
      <c r="BM154" s="226"/>
      <c r="BN154" s="226"/>
      <c r="BO154" s="226"/>
      <c r="BP154" s="226"/>
      <c r="BQ154" s="226"/>
      <c r="BR154" s="226"/>
      <c r="BS154" s="226"/>
      <c r="BT154" s="226"/>
      <c r="BU154" s="226"/>
      <c r="BV154" s="226"/>
      <c r="BW154" s="226"/>
      <c r="BX154" s="226"/>
      <c r="BY154" s="226"/>
      <c r="BZ154" s="226"/>
      <c r="CA154" s="226"/>
      <c r="CB154" s="226"/>
      <c r="CC154" s="213"/>
      <c r="CD154" s="226"/>
      <c r="CE154" s="227"/>
    </row>
    <row r="155" spans="1:83" s="228" customFormat="1" ht="12.75" customHeight="1" x14ac:dyDescent="0.15">
      <c r="A155" s="224"/>
      <c r="B155" s="225"/>
      <c r="C155" s="226"/>
      <c r="D155" s="226"/>
      <c r="E155" s="226"/>
      <c r="F155" s="226"/>
      <c r="G155" s="226"/>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6"/>
      <c r="AP155" s="226"/>
      <c r="AQ155" s="226"/>
      <c r="AR155" s="226"/>
      <c r="AS155" s="226"/>
      <c r="AT155" s="226"/>
      <c r="AU155" s="226"/>
      <c r="AV155" s="226"/>
      <c r="AW155" s="226"/>
      <c r="AX155" s="226"/>
      <c r="AY155" s="226"/>
      <c r="AZ155" s="226"/>
      <c r="BA155" s="226"/>
      <c r="BB155" s="226"/>
      <c r="BC155" s="226"/>
      <c r="BD155" s="226"/>
      <c r="BE155" s="226"/>
      <c r="BF155" s="226"/>
      <c r="BG155" s="226"/>
      <c r="BH155" s="226"/>
      <c r="BI155" s="226"/>
      <c r="BJ155" s="226"/>
      <c r="BK155" s="226"/>
      <c r="BL155" s="226"/>
      <c r="BM155" s="226"/>
      <c r="BN155" s="226"/>
      <c r="BO155" s="226"/>
      <c r="BP155" s="226"/>
      <c r="BQ155" s="226"/>
      <c r="BR155" s="226"/>
      <c r="BS155" s="226"/>
      <c r="BT155" s="226"/>
      <c r="BU155" s="226"/>
      <c r="BV155" s="226"/>
      <c r="BW155" s="226"/>
      <c r="BX155" s="226"/>
      <c r="BY155" s="226"/>
      <c r="BZ155" s="226"/>
      <c r="CA155" s="226"/>
      <c r="CB155" s="226"/>
      <c r="CC155" s="213"/>
      <c r="CD155" s="226"/>
      <c r="CE155" s="227"/>
    </row>
    <row r="156" spans="1:83" s="228" customFormat="1" ht="12.75" customHeight="1" x14ac:dyDescent="0.15">
      <c r="A156" s="98"/>
      <c r="B156" s="99"/>
      <c r="C156" s="3"/>
      <c r="D156" s="226"/>
      <c r="E156" s="226"/>
      <c r="F156" s="226"/>
      <c r="G156" s="226"/>
      <c r="H156" s="226"/>
      <c r="I156" s="226"/>
      <c r="J156" s="226"/>
      <c r="K156" s="226"/>
      <c r="L156" s="226"/>
      <c r="M156" s="226"/>
      <c r="N156" s="226"/>
      <c r="O156" s="226"/>
      <c r="P156" s="226"/>
      <c r="Q156" s="226"/>
      <c r="R156" s="226"/>
      <c r="S156" s="226"/>
      <c r="T156" s="226"/>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6"/>
      <c r="AP156" s="226"/>
      <c r="AQ156" s="226"/>
      <c r="AR156" s="226"/>
      <c r="AS156" s="226"/>
      <c r="AT156" s="226"/>
      <c r="AU156" s="226"/>
      <c r="AV156" s="226"/>
      <c r="AW156" s="226"/>
      <c r="AX156" s="226"/>
      <c r="AY156" s="226"/>
      <c r="AZ156" s="226"/>
      <c r="BA156" s="226"/>
      <c r="BB156" s="226"/>
      <c r="BC156" s="226"/>
      <c r="BD156" s="226"/>
      <c r="BE156" s="226"/>
      <c r="BF156" s="226"/>
      <c r="BG156" s="226"/>
      <c r="BH156" s="226"/>
      <c r="BI156" s="226"/>
      <c r="BJ156" s="226"/>
      <c r="BK156" s="226"/>
      <c r="BL156" s="226"/>
      <c r="BM156" s="226"/>
      <c r="BN156" s="226"/>
      <c r="BO156" s="226"/>
      <c r="BP156" s="226"/>
      <c r="BQ156" s="226"/>
      <c r="BR156" s="226"/>
      <c r="BS156" s="226"/>
      <c r="BT156" s="226"/>
      <c r="BU156" s="226"/>
      <c r="BV156" s="226"/>
      <c r="BW156" s="226"/>
      <c r="BX156" s="226"/>
      <c r="BY156" s="226"/>
      <c r="BZ156" s="226"/>
      <c r="CA156" s="226"/>
      <c r="CB156" s="226"/>
      <c r="CC156" s="58"/>
      <c r="CD156" s="3"/>
      <c r="CE156" s="100"/>
    </row>
    <row r="157" spans="1:83" s="228" customFormat="1" ht="12.75" customHeight="1" x14ac:dyDescent="0.15">
      <c r="A157" s="98"/>
      <c r="B157" s="99"/>
      <c r="C157" s="3"/>
      <c r="D157" s="226"/>
      <c r="E157" s="226"/>
      <c r="F157" s="226"/>
      <c r="G157" s="226"/>
      <c r="H157" s="226"/>
      <c r="I157" s="226"/>
      <c r="J157" s="226"/>
      <c r="K157" s="226"/>
      <c r="L157" s="226"/>
      <c r="M157" s="226"/>
      <c r="N157" s="226"/>
      <c r="O157" s="226"/>
      <c r="P157" s="226"/>
      <c r="Q157" s="226"/>
      <c r="R157" s="226"/>
      <c r="S157" s="226"/>
      <c r="T157" s="226"/>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c r="AP157" s="226"/>
      <c r="AQ157" s="226"/>
      <c r="AR157" s="226"/>
      <c r="AS157" s="226"/>
      <c r="AT157" s="226"/>
      <c r="AU157" s="226"/>
      <c r="AV157" s="226"/>
      <c r="AW157" s="226"/>
      <c r="AX157" s="226"/>
      <c r="AY157" s="226"/>
      <c r="AZ157" s="226"/>
      <c r="BA157" s="226"/>
      <c r="BB157" s="226"/>
      <c r="BC157" s="226"/>
      <c r="BD157" s="226"/>
      <c r="BE157" s="226"/>
      <c r="BF157" s="226"/>
      <c r="BG157" s="226"/>
      <c r="BH157" s="226"/>
      <c r="BI157" s="226"/>
      <c r="BJ157" s="226"/>
      <c r="BK157" s="226"/>
      <c r="BL157" s="226"/>
      <c r="BM157" s="226"/>
      <c r="BN157" s="226"/>
      <c r="BO157" s="226"/>
      <c r="BP157" s="226"/>
      <c r="BQ157" s="226"/>
      <c r="BR157" s="226"/>
      <c r="BS157" s="226"/>
      <c r="BT157" s="226"/>
      <c r="BU157" s="226"/>
      <c r="BV157" s="226"/>
      <c r="BW157" s="226"/>
      <c r="BX157" s="226"/>
      <c r="BY157" s="226"/>
      <c r="BZ157" s="226"/>
      <c r="CA157" s="226"/>
      <c r="CB157" s="226"/>
      <c r="CC157" s="58"/>
      <c r="CD157" s="3"/>
      <c r="CE157" s="100"/>
    </row>
    <row r="158" spans="1:83" s="228" customFormat="1" ht="12.75" customHeight="1" x14ac:dyDescent="0.15">
      <c r="A158" s="224"/>
      <c r="B158" s="225"/>
      <c r="C158" s="226"/>
      <c r="D158" s="226"/>
      <c r="E158" s="226"/>
      <c r="F158" s="226"/>
      <c r="G158" s="226"/>
      <c r="H158" s="226"/>
      <c r="I158" s="226"/>
      <c r="J158" s="226"/>
      <c r="K158" s="226"/>
      <c r="L158" s="226"/>
      <c r="M158" s="226"/>
      <c r="N158" s="226"/>
      <c r="O158" s="226"/>
      <c r="P158" s="226"/>
      <c r="Q158" s="226"/>
      <c r="R158" s="226"/>
      <c r="S158" s="226"/>
      <c r="T158" s="226"/>
      <c r="U158" s="226"/>
      <c r="V158" s="226"/>
      <c r="W158" s="226"/>
      <c r="X158" s="226"/>
      <c r="Y158" s="226"/>
      <c r="Z158" s="226"/>
      <c r="AA158" s="226"/>
      <c r="AB158" s="226"/>
      <c r="AC158" s="226"/>
      <c r="AD158" s="226"/>
      <c r="AE158" s="226"/>
      <c r="AF158" s="226"/>
      <c r="AG158" s="226"/>
      <c r="AH158" s="226"/>
      <c r="AI158" s="226"/>
      <c r="AJ158" s="226"/>
      <c r="AK158" s="226"/>
      <c r="AL158" s="226"/>
      <c r="AM158" s="226"/>
      <c r="AN158" s="226"/>
      <c r="AO158" s="226"/>
      <c r="AP158" s="226"/>
      <c r="AQ158" s="226"/>
      <c r="AR158" s="226"/>
      <c r="AS158" s="226"/>
      <c r="AT158" s="226"/>
      <c r="AU158" s="226"/>
      <c r="AV158" s="226"/>
      <c r="AW158" s="226"/>
      <c r="AX158" s="226"/>
      <c r="AY158" s="226"/>
      <c r="AZ158" s="226"/>
      <c r="BA158" s="226"/>
      <c r="BB158" s="226"/>
      <c r="BC158" s="226"/>
      <c r="BD158" s="226"/>
      <c r="BE158" s="226"/>
      <c r="BF158" s="226"/>
      <c r="BG158" s="226"/>
      <c r="BH158" s="226"/>
      <c r="BI158" s="226"/>
      <c r="BJ158" s="226"/>
      <c r="BK158" s="226"/>
      <c r="BL158" s="226"/>
      <c r="BM158" s="226"/>
      <c r="BN158" s="226"/>
      <c r="BO158" s="226"/>
      <c r="BP158" s="226"/>
      <c r="BQ158" s="226"/>
      <c r="BR158" s="226"/>
      <c r="BS158" s="226"/>
      <c r="BT158" s="226"/>
      <c r="BU158" s="226"/>
      <c r="BV158" s="226"/>
      <c r="BW158" s="226"/>
      <c r="BX158" s="226"/>
      <c r="BY158" s="226"/>
      <c r="BZ158" s="226"/>
      <c r="CA158" s="226"/>
      <c r="CB158" s="226"/>
      <c r="CC158" s="213"/>
      <c r="CD158" s="226"/>
      <c r="CE158" s="227"/>
    </row>
    <row r="159" spans="1:83" s="228" customFormat="1" ht="12.75" customHeight="1" x14ac:dyDescent="0.15">
      <c r="A159" s="224"/>
      <c r="B159" s="225"/>
      <c r="C159" s="226"/>
      <c r="D159" s="226"/>
      <c r="E159" s="226"/>
      <c r="F159" s="226"/>
      <c r="G159" s="226"/>
      <c r="H159" s="226"/>
      <c r="I159" s="226"/>
      <c r="J159" s="226"/>
      <c r="K159" s="226"/>
      <c r="L159" s="226"/>
      <c r="M159" s="226"/>
      <c r="N159" s="226"/>
      <c r="O159" s="226"/>
      <c r="P159" s="226"/>
      <c r="Q159" s="226"/>
      <c r="R159" s="226"/>
      <c r="S159" s="226"/>
      <c r="T159" s="226"/>
      <c r="U159" s="226"/>
      <c r="V159" s="226"/>
      <c r="W159" s="226"/>
      <c r="X159" s="226"/>
      <c r="Y159" s="226"/>
      <c r="Z159" s="226"/>
      <c r="AA159" s="226"/>
      <c r="AB159" s="226"/>
      <c r="AC159" s="226"/>
      <c r="AD159" s="226"/>
      <c r="AE159" s="226"/>
      <c r="AF159" s="226"/>
      <c r="AG159" s="226"/>
      <c r="AH159" s="226"/>
      <c r="AI159" s="226"/>
      <c r="AJ159" s="226"/>
      <c r="AK159" s="226"/>
      <c r="AL159" s="226"/>
      <c r="AM159" s="226"/>
      <c r="AN159" s="226"/>
      <c r="AO159" s="226"/>
      <c r="AP159" s="226"/>
      <c r="AQ159" s="226"/>
      <c r="AR159" s="226"/>
      <c r="AS159" s="226"/>
      <c r="AT159" s="226"/>
      <c r="AU159" s="226"/>
      <c r="AV159" s="226"/>
      <c r="AW159" s="226"/>
      <c r="AX159" s="226"/>
      <c r="AY159" s="226"/>
      <c r="AZ159" s="226"/>
      <c r="BA159" s="226"/>
      <c r="BB159" s="226"/>
      <c r="BC159" s="226"/>
      <c r="BD159" s="226"/>
      <c r="BE159" s="226"/>
      <c r="BF159" s="226"/>
      <c r="BG159" s="226"/>
      <c r="BH159" s="226"/>
      <c r="BI159" s="226"/>
      <c r="BJ159" s="226"/>
      <c r="BK159" s="226"/>
      <c r="BL159" s="226"/>
      <c r="BM159" s="226"/>
      <c r="BN159" s="226"/>
      <c r="BO159" s="226"/>
      <c r="BP159" s="226"/>
      <c r="BQ159" s="226"/>
      <c r="BR159" s="226"/>
      <c r="BS159" s="226"/>
      <c r="BT159" s="226"/>
      <c r="BU159" s="226"/>
      <c r="BV159" s="226"/>
      <c r="BW159" s="226"/>
      <c r="BX159" s="226"/>
      <c r="BY159" s="226"/>
      <c r="BZ159" s="226"/>
      <c r="CA159" s="226"/>
      <c r="CB159" s="226"/>
      <c r="CC159" s="213"/>
      <c r="CD159" s="226"/>
      <c r="CE159" s="227"/>
    </row>
    <row r="160" spans="1:83" s="228" customFormat="1" x14ac:dyDescent="0.15">
      <c r="A160" s="229"/>
      <c r="B160" s="226"/>
      <c r="C160" s="226"/>
      <c r="D160" s="226"/>
      <c r="E160" s="226"/>
      <c r="F160" s="226"/>
      <c r="G160" s="226"/>
      <c r="H160" s="226"/>
      <c r="I160" s="226"/>
      <c r="J160" s="226"/>
      <c r="K160" s="226"/>
      <c r="L160" s="226"/>
      <c r="M160" s="226"/>
      <c r="N160" s="226"/>
      <c r="O160" s="226"/>
      <c r="P160" s="226"/>
      <c r="Q160" s="226"/>
      <c r="R160" s="226"/>
      <c r="S160" s="226"/>
      <c r="T160" s="226"/>
      <c r="U160" s="226"/>
      <c r="V160" s="226"/>
      <c r="W160" s="226"/>
      <c r="X160" s="226"/>
      <c r="Y160" s="226"/>
      <c r="Z160" s="226"/>
      <c r="AA160" s="226"/>
      <c r="AB160" s="226"/>
      <c r="AC160" s="226"/>
      <c r="AD160" s="226"/>
      <c r="AE160" s="226"/>
      <c r="AF160" s="226"/>
      <c r="AG160" s="226"/>
      <c r="AH160" s="226"/>
      <c r="AI160" s="226"/>
      <c r="AJ160" s="226"/>
      <c r="AK160" s="226"/>
      <c r="AL160" s="226"/>
      <c r="AM160" s="226"/>
      <c r="AN160" s="226"/>
      <c r="AO160" s="226"/>
      <c r="AP160" s="226"/>
      <c r="AQ160" s="226"/>
      <c r="AR160" s="226"/>
      <c r="AS160" s="226"/>
      <c r="AT160" s="226"/>
      <c r="AU160" s="226"/>
      <c r="AV160" s="226"/>
      <c r="AW160" s="226"/>
      <c r="AX160" s="226"/>
      <c r="AY160" s="226"/>
      <c r="AZ160" s="226"/>
      <c r="BA160" s="226"/>
      <c r="BB160" s="226"/>
      <c r="BC160" s="226"/>
      <c r="BD160" s="226"/>
      <c r="BE160" s="226"/>
      <c r="BF160" s="226"/>
      <c r="BG160" s="226"/>
      <c r="BH160" s="226"/>
      <c r="BI160" s="226"/>
      <c r="BJ160" s="226"/>
      <c r="BK160" s="226"/>
      <c r="BL160" s="226"/>
      <c r="BM160" s="226"/>
      <c r="BN160" s="226"/>
      <c r="BO160" s="226"/>
      <c r="BP160" s="226"/>
      <c r="BQ160" s="226"/>
      <c r="BR160" s="226"/>
      <c r="BS160" s="226"/>
      <c r="BT160" s="226"/>
      <c r="BU160" s="226"/>
      <c r="BV160" s="226"/>
      <c r="BW160" s="226"/>
      <c r="BX160" s="226"/>
      <c r="BY160" s="226"/>
      <c r="BZ160" s="226"/>
      <c r="CA160" s="226"/>
      <c r="CB160" s="226"/>
      <c r="CC160" s="226"/>
      <c r="CD160" s="226"/>
      <c r="CE160" s="227"/>
    </row>
    <row r="161" spans="1:83" s="228" customFormat="1" x14ac:dyDescent="0.15">
      <c r="A161" s="229"/>
      <c r="B161" s="226"/>
      <c r="C161" s="226"/>
      <c r="D161" s="226"/>
      <c r="E161" s="226"/>
      <c r="F161" s="226"/>
      <c r="G161" s="226"/>
      <c r="H161" s="226"/>
      <c r="I161" s="226"/>
      <c r="J161" s="226"/>
      <c r="K161" s="226"/>
      <c r="L161" s="226"/>
      <c r="M161" s="226"/>
      <c r="N161" s="226"/>
      <c r="O161" s="226"/>
      <c r="P161" s="226"/>
      <c r="Q161" s="226"/>
      <c r="R161" s="226"/>
      <c r="S161" s="226"/>
      <c r="T161" s="226"/>
      <c r="U161" s="226"/>
      <c r="V161" s="226"/>
      <c r="W161" s="226"/>
      <c r="X161" s="226"/>
      <c r="Y161" s="226"/>
      <c r="Z161" s="226"/>
      <c r="AA161" s="226"/>
      <c r="AB161" s="226"/>
      <c r="AC161" s="226"/>
      <c r="AD161" s="226"/>
      <c r="AE161" s="226"/>
      <c r="AF161" s="226"/>
      <c r="AG161" s="226"/>
      <c r="AH161" s="226"/>
      <c r="AI161" s="226"/>
      <c r="AJ161" s="226"/>
      <c r="AK161" s="226"/>
      <c r="AL161" s="226"/>
      <c r="AM161" s="226"/>
      <c r="AN161" s="226"/>
      <c r="AO161" s="226"/>
      <c r="AP161" s="226"/>
      <c r="AQ161" s="226"/>
      <c r="AR161" s="226"/>
      <c r="AS161" s="226"/>
      <c r="AT161" s="226"/>
      <c r="AU161" s="226"/>
      <c r="AV161" s="226"/>
      <c r="AW161" s="226"/>
      <c r="AX161" s="226"/>
      <c r="AY161" s="226"/>
      <c r="AZ161" s="226"/>
      <c r="BA161" s="226"/>
      <c r="BB161" s="226"/>
      <c r="BC161" s="226"/>
      <c r="BD161" s="226"/>
      <c r="BE161" s="226"/>
      <c r="BF161" s="226"/>
      <c r="BG161" s="226"/>
      <c r="BH161" s="226"/>
      <c r="BI161" s="226"/>
      <c r="BJ161" s="226"/>
      <c r="BK161" s="226"/>
      <c r="BL161" s="226"/>
      <c r="BM161" s="226"/>
      <c r="BN161" s="226"/>
      <c r="BO161" s="226"/>
      <c r="BP161" s="226"/>
      <c r="BQ161" s="226"/>
      <c r="BR161" s="226"/>
      <c r="BS161" s="226"/>
      <c r="BT161" s="226"/>
      <c r="BU161" s="226"/>
      <c r="BV161" s="226"/>
      <c r="BW161" s="226"/>
      <c r="BX161" s="226"/>
      <c r="BY161" s="226"/>
      <c r="BZ161" s="226"/>
      <c r="CA161" s="226"/>
      <c r="CB161" s="226"/>
      <c r="CC161" s="226"/>
      <c r="CD161" s="226"/>
      <c r="CE161" s="227"/>
    </row>
    <row r="162" spans="1:83" s="228" customFormat="1" ht="12.75" thickBot="1" x14ac:dyDescent="0.2">
      <c r="A162" s="240"/>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c r="Z162" s="232"/>
      <c r="AA162" s="232"/>
      <c r="AB162" s="232"/>
      <c r="AC162" s="232"/>
      <c r="AD162" s="232"/>
      <c r="AE162" s="232"/>
      <c r="AF162" s="232"/>
      <c r="AG162" s="232"/>
      <c r="AH162" s="232"/>
      <c r="AI162" s="232"/>
      <c r="AJ162" s="232"/>
      <c r="AK162" s="232"/>
      <c r="AL162" s="232"/>
      <c r="AM162" s="232"/>
      <c r="AN162" s="232"/>
      <c r="AO162" s="232"/>
      <c r="AP162" s="232"/>
      <c r="AQ162" s="232"/>
      <c r="AR162" s="232"/>
      <c r="AS162" s="232"/>
      <c r="AT162" s="232"/>
      <c r="AU162" s="232"/>
      <c r="AV162" s="232"/>
      <c r="AW162" s="232"/>
      <c r="AX162" s="232"/>
      <c r="AY162" s="232"/>
      <c r="AZ162" s="232"/>
      <c r="BA162" s="232"/>
      <c r="BB162" s="232"/>
      <c r="BC162" s="232"/>
      <c r="BD162" s="232"/>
      <c r="BE162" s="232"/>
      <c r="BF162" s="232"/>
      <c r="BG162" s="232"/>
      <c r="BH162" s="232"/>
      <c r="BI162" s="232"/>
      <c r="BJ162" s="232"/>
      <c r="BK162" s="232"/>
      <c r="BL162" s="232"/>
      <c r="BM162" s="232"/>
      <c r="BN162" s="232"/>
      <c r="BO162" s="232"/>
      <c r="BP162" s="232"/>
      <c r="BQ162" s="232"/>
      <c r="BR162" s="232"/>
      <c r="BS162" s="232"/>
      <c r="BT162" s="232"/>
      <c r="BU162" s="232"/>
      <c r="BV162" s="232"/>
      <c r="BW162" s="232"/>
      <c r="BX162" s="232"/>
      <c r="BY162" s="232"/>
      <c r="BZ162" s="232"/>
      <c r="CA162" s="232"/>
      <c r="CB162" s="232"/>
      <c r="CC162" s="232"/>
      <c r="CD162" s="232"/>
      <c r="CE162" s="236"/>
    </row>
    <row r="163" spans="1:83" s="204" customFormat="1" ht="12.75" customHeight="1" x14ac:dyDescent="0.15">
      <c r="A163" s="197"/>
      <c r="B163" s="198"/>
      <c r="C163" s="199"/>
      <c r="D163" s="200"/>
      <c r="E163" s="201"/>
      <c r="F163" s="201"/>
      <c r="G163" s="201"/>
      <c r="H163" s="201"/>
      <c r="I163" s="201"/>
      <c r="J163" s="201"/>
      <c r="K163" s="201"/>
      <c r="L163" s="201"/>
      <c r="M163" s="201"/>
      <c r="N163" s="201"/>
      <c r="O163" s="202"/>
      <c r="P163" s="202"/>
      <c r="Q163" s="202"/>
      <c r="R163" s="202"/>
      <c r="S163" s="202"/>
      <c r="T163" s="202"/>
      <c r="U163" s="202"/>
      <c r="V163" s="202"/>
      <c r="W163" s="202"/>
      <c r="X163" s="202"/>
      <c r="Y163" s="202"/>
      <c r="Z163" s="202"/>
      <c r="AA163" s="202"/>
      <c r="AB163" s="202"/>
      <c r="AC163" s="202"/>
      <c r="AD163" s="202"/>
      <c r="AE163" s="202"/>
      <c r="AF163" s="202"/>
      <c r="AG163" s="202"/>
      <c r="AH163" s="202"/>
      <c r="AI163" s="202"/>
      <c r="AJ163" s="202"/>
      <c r="AK163" s="202"/>
      <c r="AL163" s="202"/>
      <c r="AM163" s="202"/>
      <c r="AN163" s="202"/>
      <c r="AO163" s="202"/>
      <c r="AP163" s="202"/>
      <c r="AQ163" s="202"/>
      <c r="AR163" s="202"/>
      <c r="AS163" s="202"/>
      <c r="AT163" s="202"/>
      <c r="AU163" s="202"/>
      <c r="AV163" s="202"/>
      <c r="AW163" s="202"/>
      <c r="AX163" s="202"/>
      <c r="AY163" s="202"/>
      <c r="AZ163" s="202"/>
      <c r="BA163" s="202"/>
      <c r="BB163" s="202"/>
      <c r="BC163" s="202"/>
      <c r="BD163" s="202"/>
      <c r="BE163" s="202"/>
      <c r="BF163" s="202"/>
      <c r="BG163" s="202"/>
      <c r="BH163" s="202"/>
      <c r="BI163" s="202"/>
      <c r="BJ163" s="202"/>
      <c r="BK163" s="202"/>
      <c r="BL163" s="202"/>
      <c r="BM163" s="202"/>
      <c r="BN163" s="202"/>
      <c r="BO163" s="202"/>
      <c r="BP163" s="202"/>
      <c r="BQ163" s="202"/>
      <c r="BR163" s="202"/>
      <c r="BS163" s="202"/>
      <c r="BT163" s="202"/>
      <c r="BU163" s="202"/>
      <c r="BV163" s="202"/>
      <c r="BW163" s="202"/>
      <c r="BX163" s="202"/>
      <c r="BY163" s="202"/>
      <c r="BZ163" s="202"/>
      <c r="CA163" s="202"/>
      <c r="CB163" s="202"/>
      <c r="CC163" s="202"/>
      <c r="CD163" s="201"/>
      <c r="CE163" s="203"/>
    </row>
    <row r="164" spans="1:83" s="204" customFormat="1" ht="12.75" customHeight="1" x14ac:dyDescent="0.15">
      <c r="A164" s="205"/>
      <c r="B164" s="206"/>
      <c r="C164" s="241"/>
      <c r="D164" s="241"/>
      <c r="E164" s="208"/>
      <c r="F164" s="208"/>
      <c r="G164" s="208"/>
      <c r="H164" s="208"/>
      <c r="I164" s="208"/>
      <c r="J164" s="208"/>
      <c r="K164" s="208"/>
      <c r="L164" s="208"/>
      <c r="M164" s="208"/>
      <c r="N164" s="208"/>
      <c r="O164" s="207"/>
      <c r="P164" s="207"/>
      <c r="Q164" s="207"/>
      <c r="R164" s="207"/>
      <c r="S164" s="207"/>
      <c r="T164" s="207"/>
      <c r="U164" s="207"/>
      <c r="V164" s="207"/>
      <c r="W164" s="207"/>
      <c r="X164" s="207"/>
      <c r="Y164" s="207"/>
      <c r="Z164" s="207"/>
      <c r="AA164" s="207"/>
      <c r="AB164" s="207"/>
      <c r="AC164" s="207"/>
      <c r="AD164" s="207"/>
      <c r="AE164" s="207"/>
      <c r="AF164" s="207"/>
      <c r="AG164" s="207"/>
      <c r="AH164" s="207"/>
      <c r="AI164" s="207"/>
      <c r="AJ164" s="207"/>
      <c r="AK164" s="207"/>
      <c r="AL164" s="207"/>
      <c r="AM164" s="207"/>
      <c r="AN164" s="207"/>
      <c r="AO164" s="207"/>
      <c r="AP164" s="207"/>
      <c r="AQ164" s="207"/>
      <c r="AR164" s="207"/>
      <c r="AS164" s="207"/>
      <c r="AT164" s="207"/>
      <c r="AU164" s="207"/>
      <c r="AV164" s="207"/>
      <c r="AW164" s="207"/>
      <c r="AX164" s="207"/>
      <c r="AY164" s="207"/>
      <c r="AZ164" s="207"/>
      <c r="BA164" s="207"/>
      <c r="BB164" s="207"/>
      <c r="BC164" s="207"/>
      <c r="BD164" s="207"/>
      <c r="BE164" s="207"/>
      <c r="BF164" s="207"/>
      <c r="BG164" s="207"/>
      <c r="BH164" s="207"/>
      <c r="BI164" s="207"/>
      <c r="BJ164" s="207"/>
      <c r="BK164" s="207"/>
      <c r="BL164" s="207"/>
      <c r="BM164" s="207"/>
      <c r="BN164" s="207"/>
      <c r="BO164" s="207"/>
      <c r="BP164" s="207"/>
      <c r="BQ164" s="207"/>
      <c r="BR164" s="207"/>
      <c r="BS164" s="207"/>
      <c r="BT164" s="207"/>
      <c r="BU164" s="207"/>
      <c r="BV164" s="207"/>
      <c r="BW164" s="207"/>
      <c r="BX164" s="207"/>
      <c r="BY164" s="207"/>
      <c r="BZ164" s="207"/>
      <c r="CA164" s="207"/>
      <c r="CB164" s="207"/>
      <c r="CC164" s="207"/>
      <c r="CD164" s="208"/>
      <c r="CE164" s="209"/>
    </row>
    <row r="165" spans="1:83" s="204" customFormat="1" ht="12.75" customHeight="1" x14ac:dyDescent="0.15">
      <c r="A165" s="205"/>
      <c r="B165" s="206"/>
      <c r="C165" s="241"/>
      <c r="D165" s="22" t="s">
        <v>116</v>
      </c>
      <c r="E165" s="11"/>
      <c r="F165" s="208"/>
      <c r="G165" s="208"/>
      <c r="H165" s="208"/>
      <c r="I165" s="208"/>
      <c r="J165" s="208"/>
      <c r="K165" s="208"/>
      <c r="L165" s="208"/>
      <c r="M165" s="208"/>
      <c r="N165" s="208"/>
      <c r="O165" s="207"/>
      <c r="P165" s="207"/>
      <c r="Q165" s="207"/>
      <c r="R165" s="207"/>
      <c r="S165" s="207"/>
      <c r="T165" s="207"/>
      <c r="U165" s="207"/>
      <c r="V165" s="207"/>
      <c r="W165" s="207"/>
      <c r="X165" s="207"/>
      <c r="Y165" s="207"/>
      <c r="Z165" s="207"/>
      <c r="AA165" s="207"/>
      <c r="AB165" s="207"/>
      <c r="AC165" s="207"/>
      <c r="AD165" s="207"/>
      <c r="AE165" s="207"/>
      <c r="AF165" s="207"/>
      <c r="AG165" s="207"/>
      <c r="AH165" s="207"/>
      <c r="AI165" s="207"/>
      <c r="AJ165" s="207"/>
      <c r="AK165" s="207"/>
      <c r="AL165" s="207"/>
      <c r="AM165" s="207"/>
      <c r="AN165" s="207"/>
      <c r="AO165" s="207"/>
      <c r="AP165" s="207"/>
      <c r="AQ165" s="207"/>
      <c r="AR165" s="207"/>
      <c r="AS165" s="207"/>
      <c r="AT165" s="207"/>
      <c r="AU165" s="207"/>
      <c r="AV165" s="207"/>
      <c r="AW165" s="207"/>
      <c r="AX165" s="207"/>
      <c r="AY165" s="207"/>
      <c r="AZ165" s="207"/>
      <c r="BA165" s="207"/>
      <c r="BB165" s="207"/>
      <c r="BC165" s="207"/>
      <c r="BD165" s="207"/>
      <c r="BE165" s="207"/>
      <c r="BF165" s="207"/>
      <c r="BG165" s="207"/>
      <c r="BH165" s="207"/>
      <c r="BI165" s="207"/>
      <c r="BJ165" s="207"/>
      <c r="BK165" s="207"/>
      <c r="BL165" s="207"/>
      <c r="BM165" s="207"/>
      <c r="BN165" s="207"/>
      <c r="BO165" s="207"/>
      <c r="BP165" s="207"/>
      <c r="BQ165" s="207"/>
      <c r="BR165" s="207"/>
      <c r="BS165" s="207"/>
      <c r="BT165" s="207"/>
      <c r="BU165" s="207"/>
      <c r="BV165" s="207"/>
      <c r="BW165" s="207"/>
      <c r="BX165" s="207"/>
      <c r="BY165" s="207"/>
      <c r="BZ165" s="207"/>
      <c r="CA165" s="207"/>
      <c r="CB165" s="207"/>
      <c r="CC165" s="207"/>
      <c r="CD165" s="208"/>
      <c r="CE165" s="209"/>
    </row>
    <row r="166" spans="1:83" s="204" customFormat="1" ht="12.75" customHeight="1" x14ac:dyDescent="0.15">
      <c r="A166" s="205"/>
      <c r="B166" s="206"/>
      <c r="C166" s="241"/>
      <c r="D166" s="22"/>
      <c r="E166" s="12" t="s">
        <v>117</v>
      </c>
      <c r="F166" s="208"/>
      <c r="G166" s="208"/>
      <c r="H166" s="208"/>
      <c r="I166" s="208"/>
      <c r="J166" s="208"/>
      <c r="K166" s="208"/>
      <c r="L166" s="208"/>
      <c r="M166" s="208"/>
      <c r="N166" s="208"/>
      <c r="O166" s="207"/>
      <c r="P166" s="207"/>
      <c r="Q166" s="207"/>
      <c r="R166" s="207"/>
      <c r="S166" s="207"/>
      <c r="T166" s="207"/>
      <c r="U166" s="207"/>
      <c r="V166" s="207"/>
      <c r="W166" s="207"/>
      <c r="X166" s="207"/>
      <c r="Y166" s="207"/>
      <c r="Z166" s="207"/>
      <c r="AA166" s="207"/>
      <c r="AB166" s="207"/>
      <c r="AC166" s="207"/>
      <c r="AD166" s="207"/>
      <c r="AE166" s="207"/>
      <c r="AF166" s="207"/>
      <c r="AG166" s="207"/>
      <c r="AH166" s="207"/>
      <c r="AI166" s="207"/>
      <c r="AJ166" s="207"/>
      <c r="AK166" s="207"/>
      <c r="AL166" s="207"/>
      <c r="AM166" s="207"/>
      <c r="AN166" s="207"/>
      <c r="AO166" s="207"/>
      <c r="AP166" s="207"/>
      <c r="AQ166" s="207"/>
      <c r="AR166" s="207"/>
      <c r="AS166" s="207"/>
      <c r="AT166" s="207"/>
      <c r="AU166" s="207"/>
      <c r="AV166" s="207"/>
      <c r="AW166" s="207"/>
      <c r="AX166" s="207"/>
      <c r="AY166" s="207"/>
      <c r="AZ166" s="207"/>
      <c r="BA166" s="207"/>
      <c r="BB166" s="207"/>
      <c r="BC166" s="207"/>
      <c r="BD166" s="207"/>
      <c r="BE166" s="207"/>
      <c r="BF166" s="207"/>
      <c r="BG166" s="207"/>
      <c r="BH166" s="207"/>
      <c r="BI166" s="207"/>
      <c r="BJ166" s="207"/>
      <c r="BK166" s="207"/>
      <c r="BL166" s="207"/>
      <c r="BM166" s="207"/>
      <c r="BN166" s="207"/>
      <c r="BO166" s="207"/>
      <c r="BP166" s="207"/>
      <c r="BQ166" s="207"/>
      <c r="BR166" s="207"/>
      <c r="BS166" s="207"/>
      <c r="BT166" s="207"/>
      <c r="BU166" s="207"/>
      <c r="BV166" s="207"/>
      <c r="BW166" s="207"/>
      <c r="BX166" s="207"/>
      <c r="BY166" s="207"/>
      <c r="BZ166" s="207"/>
      <c r="CA166" s="207"/>
      <c r="CB166" s="207"/>
      <c r="CC166" s="207"/>
      <c r="CD166" s="208"/>
      <c r="CE166" s="209"/>
    </row>
    <row r="167" spans="1:83" s="204" customFormat="1" ht="12.75" customHeight="1" x14ac:dyDescent="0.15">
      <c r="A167" s="205"/>
      <c r="B167" s="206"/>
      <c r="C167" s="211"/>
      <c r="D167" s="586" t="s">
        <v>391</v>
      </c>
      <c r="E167" s="703"/>
      <c r="F167" s="704"/>
      <c r="G167" s="729" t="s">
        <v>417</v>
      </c>
      <c r="H167" s="730"/>
      <c r="I167" s="730"/>
      <c r="J167" s="730"/>
      <c r="K167" s="730"/>
      <c r="L167" s="730"/>
      <c r="M167" s="731"/>
      <c r="N167" s="586" t="s">
        <v>92</v>
      </c>
      <c r="O167" s="703"/>
      <c r="P167" s="703"/>
      <c r="Q167" s="704"/>
      <c r="R167" s="729">
        <v>2</v>
      </c>
      <c r="S167" s="730"/>
      <c r="T167" s="730"/>
      <c r="U167" s="730"/>
      <c r="V167" s="730"/>
      <c r="W167" s="730"/>
      <c r="X167" s="731"/>
      <c r="Y167" s="586" t="s">
        <v>401</v>
      </c>
      <c r="Z167" s="703"/>
      <c r="AA167" s="703"/>
      <c r="AB167" s="703"/>
      <c r="AC167" s="703"/>
      <c r="AD167" s="703"/>
      <c r="AE167" s="704"/>
      <c r="AF167" s="736" t="s">
        <v>418</v>
      </c>
      <c r="AG167" s="737"/>
      <c r="AH167" s="737"/>
      <c r="AI167" s="737"/>
      <c r="AJ167" s="737"/>
      <c r="AK167" s="737"/>
      <c r="AL167" s="737"/>
      <c r="AM167" s="737"/>
      <c r="AN167" s="737"/>
      <c r="AO167" s="737"/>
      <c r="AP167" s="737"/>
      <c r="AQ167" s="737"/>
      <c r="AR167" s="737"/>
      <c r="AS167" s="737"/>
      <c r="AT167" s="737"/>
      <c r="AU167" s="737"/>
      <c r="AV167" s="737"/>
      <c r="AW167" s="737"/>
      <c r="AX167" s="737"/>
      <c r="AY167" s="737"/>
      <c r="AZ167" s="737"/>
      <c r="BA167" s="737"/>
      <c r="BB167" s="737"/>
      <c r="BC167" s="737"/>
      <c r="BD167" s="737"/>
      <c r="BE167" s="737"/>
      <c r="BF167" s="737"/>
      <c r="BG167" s="737"/>
      <c r="BH167" s="737"/>
      <c r="BI167" s="737"/>
      <c r="BJ167" s="737"/>
      <c r="BK167" s="737"/>
      <c r="BL167" s="737"/>
      <c r="BM167" s="737"/>
      <c r="BN167" s="737"/>
      <c r="BO167" s="737"/>
      <c r="BP167" s="737"/>
      <c r="BQ167" s="737"/>
      <c r="BR167" s="737"/>
      <c r="BS167" s="737"/>
      <c r="BT167" s="737"/>
      <c r="BU167" s="737"/>
      <c r="BV167" s="737"/>
      <c r="BW167" s="737"/>
      <c r="BX167" s="737"/>
      <c r="BY167" s="737"/>
      <c r="BZ167" s="737"/>
      <c r="CA167" s="737"/>
      <c r="CB167" s="738"/>
      <c r="CC167" s="210"/>
      <c r="CD167" s="211"/>
      <c r="CE167" s="212"/>
    </row>
    <row r="168" spans="1:83" s="204" customFormat="1" ht="12.75" customHeight="1" x14ac:dyDescent="0.15">
      <c r="A168" s="205"/>
      <c r="B168" s="206"/>
      <c r="C168" s="211"/>
      <c r="D168" s="707"/>
      <c r="E168" s="708"/>
      <c r="F168" s="709"/>
      <c r="G168" s="732"/>
      <c r="H168" s="733"/>
      <c r="I168" s="733"/>
      <c r="J168" s="733"/>
      <c r="K168" s="733"/>
      <c r="L168" s="733"/>
      <c r="M168" s="734"/>
      <c r="N168" s="707"/>
      <c r="O168" s="708"/>
      <c r="P168" s="708"/>
      <c r="Q168" s="709"/>
      <c r="R168" s="732"/>
      <c r="S168" s="733"/>
      <c r="T168" s="733"/>
      <c r="U168" s="733"/>
      <c r="V168" s="733"/>
      <c r="W168" s="733"/>
      <c r="X168" s="734"/>
      <c r="Y168" s="707"/>
      <c r="Z168" s="708"/>
      <c r="AA168" s="708"/>
      <c r="AB168" s="708"/>
      <c r="AC168" s="708"/>
      <c r="AD168" s="708"/>
      <c r="AE168" s="709"/>
      <c r="AF168" s="739"/>
      <c r="AG168" s="740"/>
      <c r="AH168" s="740"/>
      <c r="AI168" s="740"/>
      <c r="AJ168" s="740"/>
      <c r="AK168" s="740"/>
      <c r="AL168" s="740"/>
      <c r="AM168" s="740"/>
      <c r="AN168" s="740"/>
      <c r="AO168" s="740"/>
      <c r="AP168" s="740"/>
      <c r="AQ168" s="740"/>
      <c r="AR168" s="740"/>
      <c r="AS168" s="740"/>
      <c r="AT168" s="740"/>
      <c r="AU168" s="740"/>
      <c r="AV168" s="740"/>
      <c r="AW168" s="740"/>
      <c r="AX168" s="740"/>
      <c r="AY168" s="740"/>
      <c r="AZ168" s="740"/>
      <c r="BA168" s="740"/>
      <c r="BB168" s="740"/>
      <c r="BC168" s="740"/>
      <c r="BD168" s="740"/>
      <c r="BE168" s="740"/>
      <c r="BF168" s="740"/>
      <c r="BG168" s="740"/>
      <c r="BH168" s="740"/>
      <c r="BI168" s="740"/>
      <c r="BJ168" s="740"/>
      <c r="BK168" s="740"/>
      <c r="BL168" s="740"/>
      <c r="BM168" s="740"/>
      <c r="BN168" s="740"/>
      <c r="BO168" s="740"/>
      <c r="BP168" s="740"/>
      <c r="BQ168" s="740"/>
      <c r="BR168" s="740"/>
      <c r="BS168" s="740"/>
      <c r="BT168" s="740"/>
      <c r="BU168" s="740"/>
      <c r="BV168" s="740"/>
      <c r="BW168" s="740"/>
      <c r="BX168" s="740"/>
      <c r="BY168" s="740"/>
      <c r="BZ168" s="740"/>
      <c r="CA168" s="740"/>
      <c r="CB168" s="741"/>
      <c r="CC168" s="213"/>
      <c r="CD168" s="211"/>
      <c r="CE168" s="212"/>
    </row>
    <row r="169" spans="1:83" s="204" customFormat="1" ht="12.75" customHeight="1" x14ac:dyDescent="0.15">
      <c r="A169" s="205"/>
      <c r="B169" s="206"/>
      <c r="C169" s="211"/>
      <c r="D169" s="753" t="s">
        <v>402</v>
      </c>
      <c r="E169" s="754"/>
      <c r="F169" s="755"/>
      <c r="G169" s="242"/>
      <c r="H169" s="242"/>
      <c r="I169" s="242"/>
      <c r="J169" s="242"/>
      <c r="K169" s="242"/>
      <c r="L169" s="242"/>
      <c r="M169" s="242"/>
      <c r="N169" s="242"/>
      <c r="O169" s="242"/>
      <c r="P169" s="242"/>
      <c r="Q169" s="242"/>
      <c r="R169" s="242"/>
      <c r="S169" s="242"/>
      <c r="T169" s="242"/>
      <c r="U169" s="242"/>
      <c r="V169" s="242"/>
      <c r="W169" s="242"/>
      <c r="X169" s="242"/>
      <c r="Y169" s="242"/>
      <c r="Z169" s="242"/>
      <c r="AA169" s="242"/>
      <c r="AB169" s="242"/>
      <c r="AC169" s="242"/>
      <c r="AD169" s="242"/>
      <c r="AE169" s="242"/>
      <c r="AF169" s="242"/>
      <c r="AG169" s="242"/>
      <c r="AH169" s="242"/>
      <c r="AI169" s="242"/>
      <c r="AJ169" s="242"/>
      <c r="AK169" s="242"/>
      <c r="AL169" s="242"/>
      <c r="AM169" s="242"/>
      <c r="AN169" s="242"/>
      <c r="AO169" s="242"/>
      <c r="AP169" s="242"/>
      <c r="AQ169" s="242"/>
      <c r="AR169" s="242"/>
      <c r="AS169" s="242"/>
      <c r="AT169" s="242"/>
      <c r="AU169" s="242"/>
      <c r="AV169" s="242"/>
      <c r="AW169" s="242"/>
      <c r="AX169" s="242"/>
      <c r="AY169" s="242"/>
      <c r="AZ169" s="242"/>
      <c r="BA169" s="242"/>
      <c r="BB169" s="242"/>
      <c r="BC169" s="242"/>
      <c r="BD169" s="242"/>
      <c r="BE169" s="242"/>
      <c r="BF169" s="242"/>
      <c r="BG169" s="242"/>
      <c r="BH169" s="242"/>
      <c r="BI169" s="242"/>
      <c r="BJ169" s="242"/>
      <c r="BK169" s="242"/>
      <c r="BL169" s="242"/>
      <c r="BM169" s="242"/>
      <c r="BN169" s="242"/>
      <c r="BO169" s="242"/>
      <c r="BP169" s="242"/>
      <c r="BQ169" s="242"/>
      <c r="BR169" s="242"/>
      <c r="BS169" s="242"/>
      <c r="BT169" s="242"/>
      <c r="BU169" s="242"/>
      <c r="BV169" s="242"/>
      <c r="BW169" s="242"/>
      <c r="BX169" s="242"/>
      <c r="BY169" s="242"/>
      <c r="BZ169" s="242"/>
      <c r="CA169" s="242"/>
      <c r="CB169" s="243"/>
      <c r="CC169" s="213"/>
      <c r="CD169" s="211"/>
      <c r="CE169" s="212"/>
    </row>
    <row r="170" spans="1:83" s="217" customFormat="1" ht="12.75" customHeight="1" x14ac:dyDescent="0.15">
      <c r="A170" s="214"/>
      <c r="B170" s="206"/>
      <c r="C170" s="215"/>
      <c r="D170" s="756"/>
      <c r="E170" s="757"/>
      <c r="F170" s="758"/>
      <c r="G170" s="213"/>
      <c r="H170" s="213"/>
      <c r="I170" s="213"/>
      <c r="J170" s="213"/>
      <c r="K170" s="213"/>
      <c r="L170" s="213"/>
      <c r="M170" s="213"/>
      <c r="N170" s="213"/>
      <c r="O170" s="213"/>
      <c r="P170" s="213"/>
      <c r="Q170" s="213"/>
      <c r="R170" s="213"/>
      <c r="S170" s="213"/>
      <c r="T170" s="213"/>
      <c r="U170" s="213"/>
      <c r="V170" s="213"/>
      <c r="W170" s="213"/>
      <c r="X170" s="213"/>
      <c r="Y170" s="213"/>
      <c r="Z170" s="213"/>
      <c r="AA170" s="213"/>
      <c r="AB170" s="213"/>
      <c r="AC170" s="213"/>
      <c r="AD170" s="213"/>
      <c r="AE170" s="213"/>
      <c r="AF170" s="213"/>
      <c r="AG170" s="213"/>
      <c r="AH170" s="213"/>
      <c r="AI170" s="213"/>
      <c r="AJ170" s="213"/>
      <c r="AK170" s="213"/>
      <c r="AL170" s="213"/>
      <c r="AM170" s="213"/>
      <c r="AN170" s="213"/>
      <c r="AO170" s="213"/>
      <c r="AP170" s="213"/>
      <c r="AQ170" s="213"/>
      <c r="AR170" s="213"/>
      <c r="AS170" s="213"/>
      <c r="AT170" s="213"/>
      <c r="AU170" s="213"/>
      <c r="AV170" s="213"/>
      <c r="AW170" s="213"/>
      <c r="AX170" s="213"/>
      <c r="AY170" s="213"/>
      <c r="AZ170" s="213"/>
      <c r="BA170" s="213"/>
      <c r="BB170" s="213"/>
      <c r="BC170" s="213"/>
      <c r="BD170" s="213"/>
      <c r="BE170" s="213"/>
      <c r="BF170" s="213"/>
      <c r="BG170" s="213"/>
      <c r="BH170" s="215"/>
      <c r="BI170" s="213"/>
      <c r="BJ170" s="213"/>
      <c r="BK170" s="213"/>
      <c r="BL170" s="244"/>
      <c r="BM170" s="213"/>
      <c r="BN170" s="213"/>
      <c r="BO170" s="213"/>
      <c r="BP170" s="213"/>
      <c r="BQ170" s="213"/>
      <c r="BR170" s="215"/>
      <c r="BS170" s="213"/>
      <c r="BT170" s="213"/>
      <c r="BU170" s="213"/>
      <c r="BV170" s="213"/>
      <c r="BW170" s="213"/>
      <c r="BX170" s="213"/>
      <c r="BY170" s="213"/>
      <c r="BZ170" s="213"/>
      <c r="CA170" s="213"/>
      <c r="CB170" s="245"/>
      <c r="CC170" s="213"/>
      <c r="CD170" s="215"/>
      <c r="CE170" s="216"/>
    </row>
    <row r="171" spans="1:83" s="217" customFormat="1" ht="12.75" customHeight="1" x14ac:dyDescent="0.15">
      <c r="A171" s="214"/>
      <c r="B171" s="206"/>
      <c r="C171" s="215"/>
      <c r="D171" s="756"/>
      <c r="E171" s="757"/>
      <c r="F171" s="758"/>
      <c r="G171" s="213"/>
      <c r="H171" s="213"/>
      <c r="I171" s="213"/>
      <c r="J171" s="213"/>
      <c r="K171" s="213"/>
      <c r="L171" s="213"/>
      <c r="M171" s="213"/>
      <c r="N171" s="213"/>
      <c r="O171" s="213"/>
      <c r="P171" s="213"/>
      <c r="Q171" s="213"/>
      <c r="R171" s="213"/>
      <c r="S171" s="213"/>
      <c r="T171" s="213"/>
      <c r="U171" s="213"/>
      <c r="V171" s="213"/>
      <c r="W171" s="213"/>
      <c r="X171" s="213"/>
      <c r="Y171" s="213"/>
      <c r="Z171" s="213"/>
      <c r="AA171" s="213"/>
      <c r="AB171" s="213"/>
      <c r="AC171" s="213"/>
      <c r="AD171" s="213"/>
      <c r="AE171" s="213"/>
      <c r="AF171" s="213"/>
      <c r="AG171" s="213"/>
      <c r="AH171" s="213"/>
      <c r="AI171" s="213"/>
      <c r="AJ171" s="213"/>
      <c r="AK171" s="213"/>
      <c r="AL171" s="213"/>
      <c r="AM171" s="213"/>
      <c r="AN171" s="213"/>
      <c r="AO171" s="213"/>
      <c r="AP171" s="213"/>
      <c r="AQ171" s="213"/>
      <c r="AR171" s="213"/>
      <c r="AS171" s="213"/>
      <c r="AT171" s="213"/>
      <c r="AU171" s="213"/>
      <c r="AV171" s="213"/>
      <c r="AW171" s="213"/>
      <c r="AX171" s="213"/>
      <c r="AY171" s="213"/>
      <c r="AZ171" s="213"/>
      <c r="BA171" s="213"/>
      <c r="BB171" s="213"/>
      <c r="BC171" s="213"/>
      <c r="BD171" s="213"/>
      <c r="BE171" s="213"/>
      <c r="BF171" s="213"/>
      <c r="BG171" s="213"/>
      <c r="BH171" s="244"/>
      <c r="BI171" s="213"/>
      <c r="BJ171" s="213"/>
      <c r="BK171" s="213"/>
      <c r="BL171" s="213"/>
      <c r="BM171" s="213"/>
      <c r="BN171" s="213"/>
      <c r="BO171" s="213"/>
      <c r="BP171" s="213"/>
      <c r="BQ171" s="213"/>
      <c r="BR171" s="213"/>
      <c r="BS171" s="213"/>
      <c r="BT171" s="213"/>
      <c r="BU171" s="213"/>
      <c r="BV171" s="213"/>
      <c r="BW171" s="213"/>
      <c r="BX171" s="213"/>
      <c r="BY171" s="213"/>
      <c r="BZ171" s="213"/>
      <c r="CA171" s="213"/>
      <c r="CB171" s="245"/>
      <c r="CC171" s="213"/>
      <c r="CD171" s="215"/>
      <c r="CE171" s="216"/>
    </row>
    <row r="172" spans="1:83" s="217" customFormat="1" ht="12.75" customHeight="1" x14ac:dyDescent="0.15">
      <c r="A172" s="214"/>
      <c r="B172" s="206"/>
      <c r="C172" s="215"/>
      <c r="D172" s="756"/>
      <c r="E172" s="757"/>
      <c r="F172" s="758"/>
      <c r="G172" s="213"/>
      <c r="H172" s="213"/>
      <c r="I172" s="213"/>
      <c r="J172" s="213"/>
      <c r="K172" s="213"/>
      <c r="L172" s="213"/>
      <c r="M172" s="213"/>
      <c r="N172" s="213"/>
      <c r="O172" s="213"/>
      <c r="P172" s="213"/>
      <c r="Q172" s="213"/>
      <c r="R172" s="213"/>
      <c r="S172" s="213"/>
      <c r="T172" s="213"/>
      <c r="U172" s="213"/>
      <c r="V172" s="213"/>
      <c r="W172" s="213"/>
      <c r="X172" s="213"/>
      <c r="Y172" s="213"/>
      <c r="Z172" s="213"/>
      <c r="AA172" s="213"/>
      <c r="AB172" s="213"/>
      <c r="AC172" s="213"/>
      <c r="AD172" s="213"/>
      <c r="AE172" s="213"/>
      <c r="AF172" s="213"/>
      <c r="AG172" s="213"/>
      <c r="AH172" s="213"/>
      <c r="AI172" s="213"/>
      <c r="AJ172" s="213"/>
      <c r="AK172" s="213"/>
      <c r="AL172" s="213"/>
      <c r="AM172" s="213"/>
      <c r="AN172" s="213"/>
      <c r="AO172" s="213"/>
      <c r="AP172" s="213"/>
      <c r="AQ172" s="213"/>
      <c r="AR172" s="213"/>
      <c r="AS172" s="213"/>
      <c r="AT172" s="213"/>
      <c r="AU172" s="213"/>
      <c r="AV172" s="213"/>
      <c r="AW172" s="213"/>
      <c r="AX172" s="213"/>
      <c r="AY172" s="213"/>
      <c r="AZ172" s="213"/>
      <c r="BA172" s="213"/>
      <c r="BB172" s="213"/>
      <c r="BC172" s="213"/>
      <c r="BD172" s="213"/>
      <c r="BE172" s="213"/>
      <c r="BF172" s="213"/>
      <c r="BG172" s="213"/>
      <c r="BH172" s="213"/>
      <c r="BI172" s="213"/>
      <c r="BJ172" s="213"/>
      <c r="BK172" s="213"/>
      <c r="BL172" s="213"/>
      <c r="BM172" s="213"/>
      <c r="BN172" s="213"/>
      <c r="BO172" s="213"/>
      <c r="BP172" s="213"/>
      <c r="BQ172" s="213"/>
      <c r="BR172" s="213"/>
      <c r="BS172" s="213"/>
      <c r="BT172" s="213"/>
      <c r="BU172" s="213"/>
      <c r="BV172" s="213"/>
      <c r="BW172" s="213"/>
      <c r="BX172" s="213"/>
      <c r="BY172" s="213"/>
      <c r="BZ172" s="213"/>
      <c r="CA172" s="213"/>
      <c r="CB172" s="245"/>
      <c r="CC172" s="213"/>
      <c r="CD172" s="215"/>
      <c r="CE172" s="216"/>
    </row>
    <row r="173" spans="1:83" s="217" customFormat="1" ht="12.75" customHeight="1" x14ac:dyDescent="0.15">
      <c r="A173" s="214"/>
      <c r="B173" s="206"/>
      <c r="C173" s="215"/>
      <c r="D173" s="756"/>
      <c r="E173" s="757"/>
      <c r="F173" s="758"/>
      <c r="G173" s="213"/>
      <c r="H173" s="213"/>
      <c r="I173" s="213"/>
      <c r="J173" s="213"/>
      <c r="K173" s="213"/>
      <c r="L173" s="213"/>
      <c r="M173" s="213"/>
      <c r="N173" s="213"/>
      <c r="O173" s="213"/>
      <c r="P173" s="213"/>
      <c r="Q173" s="213"/>
      <c r="R173" s="213"/>
      <c r="S173" s="213"/>
      <c r="T173" s="213"/>
      <c r="U173" s="213"/>
      <c r="V173" s="213"/>
      <c r="W173" s="213"/>
      <c r="X173" s="213"/>
      <c r="Y173" s="213"/>
      <c r="Z173" s="213"/>
      <c r="AA173" s="213"/>
      <c r="AB173" s="213"/>
      <c r="AC173" s="213"/>
      <c r="AD173" s="213"/>
      <c r="AE173" s="213"/>
      <c r="AF173" s="213"/>
      <c r="AG173" s="213"/>
      <c r="AH173" s="213"/>
      <c r="AI173" s="213"/>
      <c r="AJ173" s="213"/>
      <c r="AK173" s="213"/>
      <c r="AL173" s="213"/>
      <c r="AM173" s="213"/>
      <c r="AN173" s="213"/>
      <c r="AO173" s="213"/>
      <c r="AP173" s="213"/>
      <c r="AQ173" s="213"/>
      <c r="AR173" s="213"/>
      <c r="AS173" s="213"/>
      <c r="AT173" s="213"/>
      <c r="AU173" s="213"/>
      <c r="AV173" s="213"/>
      <c r="AW173" s="213"/>
      <c r="AX173" s="213"/>
      <c r="AY173" s="213"/>
      <c r="AZ173" s="213"/>
      <c r="BA173" s="213"/>
      <c r="BB173" s="213"/>
      <c r="BC173" s="213"/>
      <c r="BD173" s="213"/>
      <c r="BE173" s="213"/>
      <c r="BF173" s="213"/>
      <c r="BG173" s="213"/>
      <c r="BH173" s="213"/>
      <c r="BI173" s="213"/>
      <c r="BJ173" s="213"/>
      <c r="BK173" s="213"/>
      <c r="BL173" s="213"/>
      <c r="BM173" s="213"/>
      <c r="BN173" s="213"/>
      <c r="BO173" s="213"/>
      <c r="BP173" s="213"/>
      <c r="BQ173" s="213"/>
      <c r="BR173" s="213"/>
      <c r="BS173" s="213"/>
      <c r="BT173" s="213"/>
      <c r="BU173" s="213"/>
      <c r="BV173" s="213"/>
      <c r="BW173" s="213"/>
      <c r="BX173" s="213"/>
      <c r="BY173" s="213"/>
      <c r="BZ173" s="213"/>
      <c r="CA173" s="213"/>
      <c r="CB173" s="245"/>
      <c r="CC173" s="213"/>
      <c r="CD173" s="215"/>
      <c r="CE173" s="216"/>
    </row>
    <row r="174" spans="1:83" s="217" customFormat="1" ht="12.75" customHeight="1" x14ac:dyDescent="0.15">
      <c r="A174" s="214"/>
      <c r="B174" s="206"/>
      <c r="C174" s="215"/>
      <c r="D174" s="756"/>
      <c r="E174" s="757"/>
      <c r="F174" s="758"/>
      <c r="G174" s="213"/>
      <c r="H174" s="213"/>
      <c r="I174" s="213"/>
      <c r="J174" s="213"/>
      <c r="K174" s="213"/>
      <c r="L174" s="213"/>
      <c r="M174" s="213"/>
      <c r="N174" s="213"/>
      <c r="O174" s="213"/>
      <c r="P174" s="213"/>
      <c r="Q174" s="213"/>
      <c r="R174" s="213"/>
      <c r="S174" s="213"/>
      <c r="T174" s="213"/>
      <c r="U174" s="213"/>
      <c r="V174" s="213"/>
      <c r="W174" s="213"/>
      <c r="X174" s="213"/>
      <c r="Y174" s="213"/>
      <c r="Z174" s="213"/>
      <c r="AA174" s="213"/>
      <c r="AB174" s="213"/>
      <c r="AC174" s="213"/>
      <c r="AD174" s="213"/>
      <c r="AE174" s="213"/>
      <c r="AF174" s="213"/>
      <c r="AG174" s="213"/>
      <c r="AH174" s="213"/>
      <c r="AI174" s="213"/>
      <c r="AJ174" s="213"/>
      <c r="AK174" s="213"/>
      <c r="AL174" s="213"/>
      <c r="AM174" s="213"/>
      <c r="AN174" s="213"/>
      <c r="AO174" s="213"/>
      <c r="AP174" s="213"/>
      <c r="AQ174" s="213"/>
      <c r="AR174" s="213"/>
      <c r="AS174" s="213"/>
      <c r="AT174" s="213"/>
      <c r="AU174" s="213"/>
      <c r="AV174" s="213"/>
      <c r="AW174" s="213"/>
      <c r="AX174" s="213"/>
      <c r="AY174" s="213"/>
      <c r="AZ174" s="213"/>
      <c r="BA174" s="213"/>
      <c r="BB174" s="213"/>
      <c r="BC174" s="213"/>
      <c r="BD174" s="213"/>
      <c r="BE174" s="213"/>
      <c r="BF174" s="213"/>
      <c r="BG174" s="213"/>
      <c r="BH174" s="213"/>
      <c r="BI174" s="213"/>
      <c r="BJ174" s="213"/>
      <c r="BK174" s="213"/>
      <c r="BL174" s="213"/>
      <c r="BM174" s="213"/>
      <c r="BN174" s="213"/>
      <c r="BO174" s="213"/>
      <c r="BP174" s="213"/>
      <c r="BQ174" s="213"/>
      <c r="BR174" s="213"/>
      <c r="BS174" s="213"/>
      <c r="BT174" s="213"/>
      <c r="BU174" s="213"/>
      <c r="BV174" s="213"/>
      <c r="BW174" s="213"/>
      <c r="BX174" s="213"/>
      <c r="BY174" s="213"/>
      <c r="BZ174" s="213"/>
      <c r="CA174" s="213"/>
      <c r="CB174" s="245"/>
      <c r="CC174" s="213"/>
      <c r="CD174" s="215"/>
      <c r="CE174" s="216"/>
    </row>
    <row r="175" spans="1:83" s="217" customFormat="1" ht="12.75" customHeight="1" x14ac:dyDescent="0.15">
      <c r="A175" s="214"/>
      <c r="B175" s="206"/>
      <c r="C175" s="215"/>
      <c r="D175" s="756"/>
      <c r="E175" s="757"/>
      <c r="F175" s="758"/>
      <c r="G175" s="213"/>
      <c r="H175" s="213"/>
      <c r="I175" s="213"/>
      <c r="J175" s="213"/>
      <c r="K175" s="213"/>
      <c r="L175" s="213"/>
      <c r="M175" s="213"/>
      <c r="N175" s="213"/>
      <c r="O175" s="213"/>
      <c r="P175" s="213"/>
      <c r="Q175" s="213"/>
      <c r="R175" s="213"/>
      <c r="S175" s="213"/>
      <c r="T175" s="213"/>
      <c r="U175" s="213"/>
      <c r="V175" s="213"/>
      <c r="W175" s="213"/>
      <c r="X175" s="213"/>
      <c r="Y175" s="213"/>
      <c r="Z175" s="213"/>
      <c r="AA175" s="213"/>
      <c r="AB175" s="213"/>
      <c r="AC175" s="213"/>
      <c r="AD175" s="213"/>
      <c r="AE175" s="213"/>
      <c r="AF175" s="213"/>
      <c r="AG175" s="213"/>
      <c r="AH175" s="213"/>
      <c r="AI175" s="213"/>
      <c r="AJ175" s="213"/>
      <c r="AK175" s="213"/>
      <c r="AL175" s="213"/>
      <c r="AM175" s="213"/>
      <c r="AN175" s="213"/>
      <c r="AO175" s="213"/>
      <c r="AP175" s="213"/>
      <c r="AQ175" s="213"/>
      <c r="AR175" s="213"/>
      <c r="AS175" s="213"/>
      <c r="AT175" s="213"/>
      <c r="AU175" s="213"/>
      <c r="AV175" s="213"/>
      <c r="AW175" s="213"/>
      <c r="AX175" s="213"/>
      <c r="AY175" s="213"/>
      <c r="AZ175" s="213"/>
      <c r="BA175" s="213"/>
      <c r="BB175" s="213"/>
      <c r="BC175" s="213"/>
      <c r="BD175" s="213"/>
      <c r="BE175" s="213"/>
      <c r="BF175" s="213"/>
      <c r="BG175" s="213"/>
      <c r="BH175" s="213"/>
      <c r="BI175" s="213"/>
      <c r="BJ175" s="213"/>
      <c r="BK175" s="213"/>
      <c r="BL175" s="213"/>
      <c r="BM175" s="213"/>
      <c r="BN175" s="213"/>
      <c r="BO175" s="213"/>
      <c r="BP175" s="213"/>
      <c r="BQ175" s="213"/>
      <c r="BR175" s="213"/>
      <c r="BS175" s="213"/>
      <c r="BT175" s="213"/>
      <c r="BU175" s="213"/>
      <c r="BV175" s="213"/>
      <c r="BW175" s="213"/>
      <c r="BX175" s="213"/>
      <c r="BY175" s="213"/>
      <c r="BZ175" s="213"/>
      <c r="CA175" s="213"/>
      <c r="CB175" s="245"/>
      <c r="CC175" s="213"/>
      <c r="CD175" s="215"/>
      <c r="CE175" s="216"/>
    </row>
    <row r="176" spans="1:83" s="217" customFormat="1" ht="12.75" customHeight="1" x14ac:dyDescent="0.15">
      <c r="A176" s="214"/>
      <c r="B176" s="206"/>
      <c r="C176" s="215"/>
      <c r="D176" s="756"/>
      <c r="E176" s="757"/>
      <c r="F176" s="758"/>
      <c r="G176" s="213"/>
      <c r="H176" s="213"/>
      <c r="I176" s="213"/>
      <c r="J176" s="213"/>
      <c r="K176" s="213"/>
      <c r="L176" s="213"/>
      <c r="M176" s="213"/>
      <c r="N176" s="213"/>
      <c r="O176" s="213"/>
      <c r="P176" s="213"/>
      <c r="Q176" s="213"/>
      <c r="R176" s="213"/>
      <c r="S176" s="213"/>
      <c r="T176" s="213"/>
      <c r="U176" s="213"/>
      <c r="V176" s="213"/>
      <c r="W176" s="213"/>
      <c r="X176" s="213"/>
      <c r="Y176" s="213"/>
      <c r="Z176" s="213"/>
      <c r="AA176" s="213"/>
      <c r="AB176" s="213"/>
      <c r="AC176" s="213"/>
      <c r="AD176" s="213"/>
      <c r="AE176" s="213"/>
      <c r="AF176" s="213"/>
      <c r="AG176" s="213"/>
      <c r="AH176" s="213"/>
      <c r="AI176" s="213"/>
      <c r="AJ176" s="213"/>
      <c r="AK176" s="213"/>
      <c r="AL176" s="213"/>
      <c r="AM176" s="213"/>
      <c r="AN176" s="213"/>
      <c r="AO176" s="213"/>
      <c r="AP176" s="213"/>
      <c r="AQ176" s="213"/>
      <c r="AR176" s="213"/>
      <c r="AS176" s="213"/>
      <c r="AT176" s="213"/>
      <c r="AU176" s="213"/>
      <c r="AV176" s="213"/>
      <c r="AW176" s="213"/>
      <c r="AX176" s="213"/>
      <c r="AY176" s="213"/>
      <c r="AZ176" s="213"/>
      <c r="BA176" s="213"/>
      <c r="BB176" s="213"/>
      <c r="BC176" s="213"/>
      <c r="BD176" s="213"/>
      <c r="BE176" s="213"/>
      <c r="BF176" s="213"/>
      <c r="BG176" s="213"/>
      <c r="BH176" s="213"/>
      <c r="BI176" s="213"/>
      <c r="BJ176" s="213"/>
      <c r="BK176" s="213"/>
      <c r="BL176" s="213"/>
      <c r="BM176" s="213"/>
      <c r="BN176" s="213"/>
      <c r="BO176" s="213"/>
      <c r="BP176" s="213"/>
      <c r="BQ176" s="213"/>
      <c r="BR176" s="213"/>
      <c r="BS176" s="213"/>
      <c r="BT176" s="213"/>
      <c r="BU176" s="213"/>
      <c r="BV176" s="213"/>
      <c r="BW176" s="213"/>
      <c r="BX176" s="213"/>
      <c r="BY176" s="213"/>
      <c r="BZ176" s="213"/>
      <c r="CA176" s="213"/>
      <c r="CB176" s="245"/>
      <c r="CC176" s="213"/>
      <c r="CD176" s="215"/>
      <c r="CE176" s="216"/>
    </row>
    <row r="177" spans="1:83" s="217" customFormat="1" ht="12.75" customHeight="1" x14ac:dyDescent="0.15">
      <c r="A177" s="214"/>
      <c r="B177" s="206"/>
      <c r="C177" s="215"/>
      <c r="D177" s="756"/>
      <c r="E177" s="757"/>
      <c r="F177" s="758"/>
      <c r="G177" s="213"/>
      <c r="H177" s="213"/>
      <c r="I177" s="213"/>
      <c r="J177" s="213"/>
      <c r="K177" s="213"/>
      <c r="L177" s="213"/>
      <c r="M177" s="213"/>
      <c r="N177" s="213"/>
      <c r="O177" s="213"/>
      <c r="P177" s="213"/>
      <c r="Q177" s="213"/>
      <c r="R177" s="213"/>
      <c r="S177" s="213"/>
      <c r="T177" s="213"/>
      <c r="U177" s="213"/>
      <c r="V177" s="213"/>
      <c r="W177" s="213"/>
      <c r="X177" s="213"/>
      <c r="Y177" s="213"/>
      <c r="Z177" s="213"/>
      <c r="AA177" s="213"/>
      <c r="AB177" s="213"/>
      <c r="AC177" s="213"/>
      <c r="AD177" s="213"/>
      <c r="AE177" s="213"/>
      <c r="AF177" s="213"/>
      <c r="AG177" s="213"/>
      <c r="AH177" s="213"/>
      <c r="AI177" s="213"/>
      <c r="AJ177" s="213"/>
      <c r="AK177" s="213"/>
      <c r="AL177" s="213"/>
      <c r="AM177" s="213"/>
      <c r="AN177" s="213"/>
      <c r="AO177" s="213"/>
      <c r="AP177" s="213"/>
      <c r="AQ177" s="213"/>
      <c r="AR177" s="213"/>
      <c r="AS177" s="213"/>
      <c r="AT177" s="213"/>
      <c r="AU177" s="213"/>
      <c r="AV177" s="213"/>
      <c r="AW177" s="213"/>
      <c r="AX177" s="213"/>
      <c r="AY177" s="213"/>
      <c r="AZ177" s="213"/>
      <c r="BA177" s="213"/>
      <c r="BB177" s="213"/>
      <c r="BC177" s="213"/>
      <c r="BD177" s="213"/>
      <c r="BE177" s="213"/>
      <c r="BF177" s="213"/>
      <c r="BG177" s="213"/>
      <c r="BH177" s="213"/>
      <c r="BI177" s="213"/>
      <c r="BJ177" s="213"/>
      <c r="BK177" s="213"/>
      <c r="BL177" s="213"/>
      <c r="BM177" s="213"/>
      <c r="BN177" s="213"/>
      <c r="BO177" s="213"/>
      <c r="BP177" s="213"/>
      <c r="BQ177" s="213"/>
      <c r="BR177" s="213"/>
      <c r="BS177" s="213"/>
      <c r="BT177" s="213"/>
      <c r="BU177" s="213"/>
      <c r="BV177" s="213"/>
      <c r="BW177" s="213"/>
      <c r="BX177" s="213"/>
      <c r="BY177" s="213"/>
      <c r="BZ177" s="213"/>
      <c r="CA177" s="213"/>
      <c r="CB177" s="245"/>
      <c r="CC177" s="213"/>
      <c r="CD177" s="215"/>
      <c r="CE177" s="216"/>
    </row>
    <row r="178" spans="1:83" s="217" customFormat="1" ht="12.75" customHeight="1" x14ac:dyDescent="0.15">
      <c r="A178" s="214"/>
      <c r="B178" s="206"/>
      <c r="C178" s="215"/>
      <c r="D178" s="756"/>
      <c r="E178" s="757"/>
      <c r="F178" s="758"/>
      <c r="G178" s="213"/>
      <c r="H178" s="213"/>
      <c r="I178" s="213"/>
      <c r="J178" s="213"/>
      <c r="K178" s="213"/>
      <c r="L178" s="213"/>
      <c r="M178" s="213"/>
      <c r="N178" s="213"/>
      <c r="O178" s="213"/>
      <c r="P178" s="213"/>
      <c r="Q178" s="213"/>
      <c r="R178" s="213"/>
      <c r="S178" s="213"/>
      <c r="T178" s="213"/>
      <c r="U178" s="213"/>
      <c r="V178" s="213"/>
      <c r="W178" s="213"/>
      <c r="X178" s="213"/>
      <c r="Y178" s="213"/>
      <c r="Z178" s="213"/>
      <c r="AA178" s="213"/>
      <c r="AB178" s="213"/>
      <c r="AC178" s="213"/>
      <c r="AD178" s="213"/>
      <c r="AE178" s="213"/>
      <c r="AF178" s="213"/>
      <c r="AG178" s="213"/>
      <c r="AH178" s="213"/>
      <c r="AI178" s="213"/>
      <c r="AJ178" s="213"/>
      <c r="AK178" s="213"/>
      <c r="AL178" s="213"/>
      <c r="AM178" s="213"/>
      <c r="AN178" s="213"/>
      <c r="AO178" s="213"/>
      <c r="AP178" s="213"/>
      <c r="AQ178" s="213"/>
      <c r="AR178" s="213"/>
      <c r="AS178" s="213"/>
      <c r="AT178" s="213"/>
      <c r="AU178" s="213"/>
      <c r="AV178" s="213"/>
      <c r="AW178" s="213"/>
      <c r="AX178" s="213"/>
      <c r="AY178" s="213"/>
      <c r="AZ178" s="213"/>
      <c r="BA178" s="213"/>
      <c r="BB178" s="213"/>
      <c r="BC178" s="213"/>
      <c r="BD178" s="213"/>
      <c r="BE178" s="213"/>
      <c r="BF178" s="213"/>
      <c r="BG178" s="213"/>
      <c r="BH178" s="213"/>
      <c r="BI178" s="213"/>
      <c r="BJ178" s="213"/>
      <c r="BK178" s="213"/>
      <c r="BL178" s="213"/>
      <c r="BM178" s="213"/>
      <c r="BN178" s="213"/>
      <c r="BO178" s="213"/>
      <c r="BP178" s="213"/>
      <c r="BQ178" s="213"/>
      <c r="BR178" s="213"/>
      <c r="BS178" s="213"/>
      <c r="BT178" s="213"/>
      <c r="BU178" s="213"/>
      <c r="BV178" s="213"/>
      <c r="BW178" s="213"/>
      <c r="BX178" s="213"/>
      <c r="BY178" s="213"/>
      <c r="BZ178" s="213"/>
      <c r="CA178" s="213"/>
      <c r="CB178" s="245"/>
      <c r="CC178" s="213"/>
      <c r="CD178" s="215"/>
      <c r="CE178" s="216"/>
    </row>
    <row r="179" spans="1:83" s="217" customFormat="1" ht="12.75" customHeight="1" x14ac:dyDescent="0.15">
      <c r="A179" s="214"/>
      <c r="B179" s="206"/>
      <c r="C179" s="215"/>
      <c r="D179" s="756"/>
      <c r="E179" s="757"/>
      <c r="F179" s="758"/>
      <c r="G179" s="213"/>
      <c r="H179" s="213"/>
      <c r="I179" s="213"/>
      <c r="J179" s="213"/>
      <c r="K179" s="213"/>
      <c r="L179" s="213"/>
      <c r="M179" s="213"/>
      <c r="N179" s="213"/>
      <c r="O179" s="213"/>
      <c r="P179" s="213"/>
      <c r="Q179" s="213"/>
      <c r="R179" s="213"/>
      <c r="S179" s="213"/>
      <c r="T179" s="213"/>
      <c r="U179" s="213"/>
      <c r="V179" s="213"/>
      <c r="W179" s="213"/>
      <c r="X179" s="213"/>
      <c r="Y179" s="213"/>
      <c r="Z179" s="213"/>
      <c r="AA179" s="213"/>
      <c r="AB179" s="213"/>
      <c r="AC179" s="213"/>
      <c r="AD179" s="213"/>
      <c r="AE179" s="213"/>
      <c r="AF179" s="213"/>
      <c r="AG179" s="213"/>
      <c r="AH179" s="213"/>
      <c r="AI179" s="213"/>
      <c r="AJ179" s="213"/>
      <c r="AK179" s="213"/>
      <c r="AL179" s="213"/>
      <c r="AM179" s="213"/>
      <c r="AN179" s="213"/>
      <c r="AO179" s="213"/>
      <c r="AP179" s="213"/>
      <c r="AQ179" s="213"/>
      <c r="AR179" s="213"/>
      <c r="AS179" s="213"/>
      <c r="AT179" s="213"/>
      <c r="AU179" s="213"/>
      <c r="AV179" s="213"/>
      <c r="AW179" s="213"/>
      <c r="AX179" s="213"/>
      <c r="AY179" s="213"/>
      <c r="AZ179" s="213"/>
      <c r="BA179" s="213"/>
      <c r="BB179" s="213"/>
      <c r="BC179" s="213"/>
      <c r="BD179" s="213"/>
      <c r="BE179" s="213"/>
      <c r="BF179" s="213"/>
      <c r="BG179" s="213"/>
      <c r="BH179" s="213"/>
      <c r="BI179" s="213"/>
      <c r="BJ179" s="213"/>
      <c r="BK179" s="213"/>
      <c r="BL179" s="213"/>
      <c r="BM179" s="213"/>
      <c r="BN179" s="213"/>
      <c r="BO179" s="213"/>
      <c r="BP179" s="213"/>
      <c r="BQ179" s="213"/>
      <c r="BR179" s="213"/>
      <c r="BS179" s="213"/>
      <c r="BT179" s="213"/>
      <c r="BU179" s="213"/>
      <c r="BV179" s="213"/>
      <c r="BW179" s="213"/>
      <c r="BX179" s="213"/>
      <c r="BY179" s="213"/>
      <c r="BZ179" s="213"/>
      <c r="CA179" s="213"/>
      <c r="CB179" s="245"/>
      <c r="CC179" s="213"/>
      <c r="CD179" s="215"/>
      <c r="CE179" s="216"/>
    </row>
    <row r="180" spans="1:83" s="220" customFormat="1" ht="12.75" customHeight="1" x14ac:dyDescent="0.15">
      <c r="A180" s="205"/>
      <c r="B180" s="210"/>
      <c r="C180" s="218"/>
      <c r="D180" s="756"/>
      <c r="E180" s="757"/>
      <c r="F180" s="758"/>
      <c r="G180" s="213"/>
      <c r="H180" s="213"/>
      <c r="I180" s="213"/>
      <c r="J180" s="213"/>
      <c r="K180" s="213"/>
      <c r="L180" s="213"/>
      <c r="M180" s="213"/>
      <c r="N180" s="213"/>
      <c r="O180" s="213"/>
      <c r="P180" s="213"/>
      <c r="Q180" s="213"/>
      <c r="R180" s="213"/>
      <c r="S180" s="213"/>
      <c r="T180" s="213"/>
      <c r="U180" s="213"/>
      <c r="V180" s="213"/>
      <c r="W180" s="213"/>
      <c r="X180" s="213"/>
      <c r="Y180" s="213"/>
      <c r="Z180" s="213"/>
      <c r="AA180" s="213"/>
      <c r="AB180" s="213"/>
      <c r="AC180" s="213"/>
      <c r="AD180" s="213"/>
      <c r="AE180" s="213"/>
      <c r="AF180" s="213"/>
      <c r="AG180" s="213"/>
      <c r="AH180" s="213"/>
      <c r="AI180" s="213"/>
      <c r="AJ180" s="213"/>
      <c r="AK180" s="213"/>
      <c r="AL180" s="213"/>
      <c r="AM180" s="213"/>
      <c r="AN180" s="213"/>
      <c r="AO180" s="213"/>
      <c r="AP180" s="213"/>
      <c r="AQ180" s="213"/>
      <c r="AR180" s="213"/>
      <c r="AS180" s="213"/>
      <c r="AT180" s="213"/>
      <c r="AU180" s="213"/>
      <c r="AV180" s="213"/>
      <c r="AW180" s="213"/>
      <c r="AX180" s="213"/>
      <c r="AY180" s="213"/>
      <c r="AZ180" s="213"/>
      <c r="BA180" s="213"/>
      <c r="BB180" s="213"/>
      <c r="BC180" s="213"/>
      <c r="BD180" s="213"/>
      <c r="BE180" s="213"/>
      <c r="BF180" s="213"/>
      <c r="BG180" s="213"/>
      <c r="BH180" s="213"/>
      <c r="BI180" s="213"/>
      <c r="BJ180" s="213"/>
      <c r="BK180" s="213"/>
      <c r="BL180" s="213"/>
      <c r="BM180" s="213"/>
      <c r="BN180" s="213"/>
      <c r="BO180" s="213"/>
      <c r="BP180" s="213"/>
      <c r="BQ180" s="213"/>
      <c r="BR180" s="213"/>
      <c r="BS180" s="213"/>
      <c r="BT180" s="213"/>
      <c r="BU180" s="213"/>
      <c r="BV180" s="213"/>
      <c r="BW180" s="213"/>
      <c r="BX180" s="213"/>
      <c r="BY180" s="213"/>
      <c r="BZ180" s="213"/>
      <c r="CA180" s="213"/>
      <c r="CB180" s="245"/>
      <c r="CC180" s="213"/>
      <c r="CD180" s="218"/>
      <c r="CE180" s="219"/>
    </row>
    <row r="181" spans="1:83" s="204" customFormat="1" ht="12.75" customHeight="1" x14ac:dyDescent="0.15">
      <c r="A181" s="205"/>
      <c r="B181" s="206"/>
      <c r="C181" s="211"/>
      <c r="D181" s="756"/>
      <c r="E181" s="757"/>
      <c r="F181" s="758"/>
      <c r="G181" s="213"/>
      <c r="H181" s="213"/>
      <c r="I181" s="213"/>
      <c r="J181" s="213"/>
      <c r="K181" s="213"/>
      <c r="L181" s="213"/>
      <c r="M181" s="213"/>
      <c r="N181" s="213"/>
      <c r="O181" s="213"/>
      <c r="P181" s="213"/>
      <c r="Q181" s="213"/>
      <c r="R181" s="213"/>
      <c r="S181" s="213"/>
      <c r="T181" s="213"/>
      <c r="U181" s="213"/>
      <c r="V181" s="213"/>
      <c r="W181" s="213"/>
      <c r="X181" s="213"/>
      <c r="Y181" s="213"/>
      <c r="Z181" s="213"/>
      <c r="AA181" s="213"/>
      <c r="AB181" s="213"/>
      <c r="AC181" s="213"/>
      <c r="AD181" s="213"/>
      <c r="AE181" s="213"/>
      <c r="AF181" s="213"/>
      <c r="AG181" s="213"/>
      <c r="AH181" s="213"/>
      <c r="AI181" s="213"/>
      <c r="AJ181" s="213"/>
      <c r="AK181" s="213"/>
      <c r="AL181" s="213"/>
      <c r="AM181" s="213"/>
      <c r="AN181" s="213"/>
      <c r="AO181" s="213"/>
      <c r="AP181" s="213"/>
      <c r="AQ181" s="213"/>
      <c r="AR181" s="213"/>
      <c r="AS181" s="213"/>
      <c r="AT181" s="213"/>
      <c r="AU181" s="213"/>
      <c r="AV181" s="213"/>
      <c r="AW181" s="213"/>
      <c r="AX181" s="213"/>
      <c r="AY181" s="213"/>
      <c r="AZ181" s="213"/>
      <c r="BA181" s="213"/>
      <c r="BB181" s="213"/>
      <c r="BC181" s="213"/>
      <c r="BD181" s="213"/>
      <c r="BE181" s="213"/>
      <c r="BF181" s="213"/>
      <c r="BG181" s="213"/>
      <c r="BH181" s="213"/>
      <c r="BI181" s="213"/>
      <c r="BJ181" s="213"/>
      <c r="BK181" s="213"/>
      <c r="BL181" s="213"/>
      <c r="BM181" s="213"/>
      <c r="BN181" s="213"/>
      <c r="BO181" s="213"/>
      <c r="BP181" s="213"/>
      <c r="BQ181" s="213"/>
      <c r="BR181" s="213"/>
      <c r="BS181" s="213"/>
      <c r="BT181" s="213"/>
      <c r="BU181" s="213"/>
      <c r="BV181" s="213"/>
      <c r="BW181" s="213"/>
      <c r="BX181" s="213"/>
      <c r="BY181" s="213"/>
      <c r="BZ181" s="213"/>
      <c r="CA181" s="213"/>
      <c r="CB181" s="245"/>
      <c r="CC181" s="213"/>
      <c r="CD181" s="211"/>
      <c r="CE181" s="212"/>
    </row>
    <row r="182" spans="1:83" s="204" customFormat="1" ht="12.75" customHeight="1" x14ac:dyDescent="0.15">
      <c r="A182" s="205"/>
      <c r="B182" s="221"/>
      <c r="C182" s="211"/>
      <c r="D182" s="756"/>
      <c r="E182" s="757"/>
      <c r="F182" s="758"/>
      <c r="G182" s="213"/>
      <c r="H182" s="213"/>
      <c r="I182" s="213"/>
      <c r="J182" s="213"/>
      <c r="K182" s="213"/>
      <c r="L182" s="213"/>
      <c r="M182" s="213"/>
      <c r="N182" s="213"/>
      <c r="O182" s="213"/>
      <c r="P182" s="213"/>
      <c r="Q182" s="213"/>
      <c r="R182" s="213"/>
      <c r="S182" s="213"/>
      <c r="T182" s="213"/>
      <c r="U182" s="213"/>
      <c r="V182" s="213"/>
      <c r="W182" s="213"/>
      <c r="X182" s="213"/>
      <c r="Y182" s="213"/>
      <c r="Z182" s="213"/>
      <c r="AA182" s="213"/>
      <c r="AB182" s="213"/>
      <c r="AC182" s="213"/>
      <c r="AD182" s="213"/>
      <c r="AE182" s="213"/>
      <c r="AF182" s="213"/>
      <c r="AG182" s="213"/>
      <c r="AH182" s="213"/>
      <c r="AI182" s="213"/>
      <c r="AJ182" s="213"/>
      <c r="AK182" s="213"/>
      <c r="AL182" s="213"/>
      <c r="AM182" s="213"/>
      <c r="AN182" s="213"/>
      <c r="AO182" s="213"/>
      <c r="AP182" s="213"/>
      <c r="AQ182" s="213"/>
      <c r="AR182" s="213"/>
      <c r="AS182" s="213"/>
      <c r="AT182" s="213"/>
      <c r="AU182" s="213"/>
      <c r="AV182" s="213"/>
      <c r="AW182" s="213"/>
      <c r="AX182" s="213"/>
      <c r="AY182" s="213"/>
      <c r="AZ182" s="213"/>
      <c r="BA182" s="213"/>
      <c r="BB182" s="213"/>
      <c r="BC182" s="213"/>
      <c r="BD182" s="213"/>
      <c r="BE182" s="213"/>
      <c r="BF182" s="213"/>
      <c r="BG182" s="213"/>
      <c r="BH182" s="213"/>
      <c r="BI182" s="213"/>
      <c r="BJ182" s="213"/>
      <c r="BK182" s="213"/>
      <c r="BL182" s="213"/>
      <c r="BM182" s="213"/>
      <c r="BN182" s="213"/>
      <c r="BO182" s="213"/>
      <c r="BP182" s="213"/>
      <c r="BQ182" s="213"/>
      <c r="BR182" s="213"/>
      <c r="BS182" s="213"/>
      <c r="BT182" s="213"/>
      <c r="BU182" s="213"/>
      <c r="BV182" s="213"/>
      <c r="BW182" s="213"/>
      <c r="BX182" s="213"/>
      <c r="BY182" s="213"/>
      <c r="BZ182" s="213"/>
      <c r="CA182" s="213"/>
      <c r="CB182" s="245"/>
      <c r="CC182" s="213"/>
      <c r="CD182" s="211"/>
      <c r="CE182" s="212"/>
    </row>
    <row r="183" spans="1:83" s="204" customFormat="1" ht="12.75" customHeight="1" x14ac:dyDescent="0.15">
      <c r="A183" s="205"/>
      <c r="B183" s="221"/>
      <c r="C183" s="211"/>
      <c r="D183" s="756"/>
      <c r="E183" s="757"/>
      <c r="F183" s="758"/>
      <c r="G183" s="213"/>
      <c r="H183" s="213"/>
      <c r="I183" s="213"/>
      <c r="J183" s="213"/>
      <c r="K183" s="213"/>
      <c r="L183" s="213"/>
      <c r="M183" s="213"/>
      <c r="N183" s="213"/>
      <c r="O183" s="213"/>
      <c r="P183" s="213"/>
      <c r="Q183" s="213"/>
      <c r="R183" s="213"/>
      <c r="S183" s="213"/>
      <c r="T183" s="213"/>
      <c r="U183" s="213"/>
      <c r="V183" s="213"/>
      <c r="W183" s="213"/>
      <c r="X183" s="213"/>
      <c r="Y183" s="213"/>
      <c r="Z183" s="213"/>
      <c r="AA183" s="213"/>
      <c r="AB183" s="213"/>
      <c r="AC183" s="213"/>
      <c r="AD183" s="213"/>
      <c r="AE183" s="213"/>
      <c r="AF183" s="213"/>
      <c r="AG183" s="213"/>
      <c r="AH183" s="213"/>
      <c r="AI183" s="213"/>
      <c r="AJ183" s="213"/>
      <c r="AK183" s="213"/>
      <c r="AL183" s="213"/>
      <c r="AM183" s="213"/>
      <c r="AN183" s="213"/>
      <c r="AO183" s="213"/>
      <c r="AP183" s="213"/>
      <c r="AQ183" s="213"/>
      <c r="AR183" s="213"/>
      <c r="AS183" s="213"/>
      <c r="AT183" s="213"/>
      <c r="AU183" s="213"/>
      <c r="AV183" s="213"/>
      <c r="AW183" s="213"/>
      <c r="AX183" s="213"/>
      <c r="AY183" s="213"/>
      <c r="AZ183" s="213"/>
      <c r="BA183" s="213"/>
      <c r="BB183" s="213"/>
      <c r="BC183" s="213"/>
      <c r="BD183" s="213"/>
      <c r="BE183" s="213"/>
      <c r="BF183" s="213"/>
      <c r="BG183" s="213"/>
      <c r="BH183" s="213"/>
      <c r="BI183" s="213"/>
      <c r="BJ183" s="213"/>
      <c r="BK183" s="213"/>
      <c r="BL183" s="213"/>
      <c r="BM183" s="213"/>
      <c r="BN183" s="213"/>
      <c r="BO183" s="213"/>
      <c r="BP183" s="213"/>
      <c r="BQ183" s="213"/>
      <c r="BR183" s="213"/>
      <c r="BS183" s="213"/>
      <c r="BT183" s="213"/>
      <c r="BU183" s="213"/>
      <c r="BV183" s="213"/>
      <c r="BW183" s="213"/>
      <c r="BX183" s="213"/>
      <c r="BY183" s="213"/>
      <c r="BZ183" s="213"/>
      <c r="CA183" s="213"/>
      <c r="CB183" s="245"/>
      <c r="CC183" s="213"/>
      <c r="CD183" s="211"/>
      <c r="CE183" s="212"/>
    </row>
    <row r="184" spans="1:83" s="204" customFormat="1" ht="12.75" customHeight="1" x14ac:dyDescent="0.15">
      <c r="A184" s="205"/>
      <c r="B184" s="206"/>
      <c r="C184" s="211"/>
      <c r="D184" s="756"/>
      <c r="E184" s="757"/>
      <c r="F184" s="758"/>
      <c r="G184" s="213"/>
      <c r="H184" s="213"/>
      <c r="I184" s="213"/>
      <c r="J184" s="213"/>
      <c r="K184" s="213"/>
      <c r="L184" s="213"/>
      <c r="M184" s="213"/>
      <c r="N184" s="213"/>
      <c r="O184" s="213"/>
      <c r="P184" s="213"/>
      <c r="Q184" s="213"/>
      <c r="R184" s="213"/>
      <c r="S184" s="213"/>
      <c r="T184" s="213"/>
      <c r="U184" s="213"/>
      <c r="V184" s="213"/>
      <c r="W184" s="213"/>
      <c r="X184" s="213"/>
      <c r="Y184" s="213"/>
      <c r="Z184" s="213"/>
      <c r="AA184" s="213"/>
      <c r="AB184" s="213"/>
      <c r="AC184" s="213"/>
      <c r="AD184" s="213"/>
      <c r="AE184" s="213"/>
      <c r="AF184" s="213"/>
      <c r="AG184" s="213"/>
      <c r="AH184" s="213"/>
      <c r="AI184" s="213"/>
      <c r="AJ184" s="213"/>
      <c r="AK184" s="213"/>
      <c r="AL184" s="213"/>
      <c r="AM184" s="213"/>
      <c r="AN184" s="213"/>
      <c r="AO184" s="213"/>
      <c r="AP184" s="213"/>
      <c r="AQ184" s="213"/>
      <c r="AR184" s="213"/>
      <c r="AS184" s="213"/>
      <c r="AT184" s="213"/>
      <c r="AU184" s="213"/>
      <c r="AV184" s="213"/>
      <c r="AW184" s="213"/>
      <c r="AX184" s="213"/>
      <c r="AY184" s="213"/>
      <c r="AZ184" s="213"/>
      <c r="BA184" s="213"/>
      <c r="BB184" s="213"/>
      <c r="BC184" s="213"/>
      <c r="BD184" s="213"/>
      <c r="BE184" s="213"/>
      <c r="BF184" s="213"/>
      <c r="BG184" s="213"/>
      <c r="BH184" s="213"/>
      <c r="BI184" s="213"/>
      <c r="BJ184" s="213"/>
      <c r="BK184" s="213"/>
      <c r="BL184" s="213"/>
      <c r="BM184" s="213"/>
      <c r="BN184" s="213"/>
      <c r="BO184" s="213"/>
      <c r="BP184" s="213"/>
      <c r="BQ184" s="213"/>
      <c r="BR184" s="213"/>
      <c r="BS184" s="213"/>
      <c r="BT184" s="213"/>
      <c r="BU184" s="213"/>
      <c r="BV184" s="213"/>
      <c r="BW184" s="213"/>
      <c r="BX184" s="213"/>
      <c r="BY184" s="213"/>
      <c r="BZ184" s="213"/>
      <c r="CA184" s="213"/>
      <c r="CB184" s="245"/>
      <c r="CC184" s="213"/>
      <c r="CD184" s="211"/>
      <c r="CE184" s="212"/>
    </row>
    <row r="185" spans="1:83" s="204" customFormat="1" ht="12.75" customHeight="1" x14ac:dyDescent="0.15">
      <c r="A185" s="205"/>
      <c r="B185" s="206"/>
      <c r="C185" s="211"/>
      <c r="D185" s="756"/>
      <c r="E185" s="757"/>
      <c r="F185" s="758"/>
      <c r="G185" s="213"/>
      <c r="H185" s="213"/>
      <c r="I185" s="213"/>
      <c r="J185" s="213"/>
      <c r="K185" s="213"/>
      <c r="L185" s="213"/>
      <c r="M185" s="213"/>
      <c r="N185" s="213"/>
      <c r="O185" s="213"/>
      <c r="P185" s="213"/>
      <c r="Q185" s="213"/>
      <c r="R185" s="213"/>
      <c r="S185" s="213"/>
      <c r="T185" s="213"/>
      <c r="U185" s="213"/>
      <c r="V185" s="213"/>
      <c r="W185" s="213"/>
      <c r="X185" s="213"/>
      <c r="Y185" s="213"/>
      <c r="Z185" s="213"/>
      <c r="AA185" s="213"/>
      <c r="AB185" s="213"/>
      <c r="AC185" s="213"/>
      <c r="AD185" s="213"/>
      <c r="AE185" s="213"/>
      <c r="AF185" s="213"/>
      <c r="AG185" s="213"/>
      <c r="AH185" s="213"/>
      <c r="AI185" s="213"/>
      <c r="AJ185" s="213"/>
      <c r="AK185" s="213"/>
      <c r="AL185" s="213"/>
      <c r="AM185" s="213"/>
      <c r="AN185" s="213"/>
      <c r="AO185" s="213"/>
      <c r="AP185" s="213"/>
      <c r="AQ185" s="213"/>
      <c r="AR185" s="213"/>
      <c r="AS185" s="213"/>
      <c r="AT185" s="213"/>
      <c r="AU185" s="213"/>
      <c r="AV185" s="213"/>
      <c r="AW185" s="213"/>
      <c r="AX185" s="213"/>
      <c r="AY185" s="213"/>
      <c r="AZ185" s="213"/>
      <c r="BA185" s="213"/>
      <c r="BB185" s="213"/>
      <c r="BC185" s="213"/>
      <c r="BD185" s="213"/>
      <c r="BE185" s="213"/>
      <c r="BF185" s="213"/>
      <c r="BG185" s="213"/>
      <c r="BH185" s="213"/>
      <c r="BI185" s="213"/>
      <c r="BJ185" s="213"/>
      <c r="BK185" s="213"/>
      <c r="BL185" s="213"/>
      <c r="BM185" s="213"/>
      <c r="BN185" s="213"/>
      <c r="BO185" s="213"/>
      <c r="BP185" s="213"/>
      <c r="BQ185" s="213"/>
      <c r="BR185" s="213"/>
      <c r="BS185" s="213"/>
      <c r="BT185" s="213"/>
      <c r="BU185" s="213"/>
      <c r="BV185" s="213"/>
      <c r="BW185" s="213"/>
      <c r="BX185" s="213"/>
      <c r="BY185" s="213"/>
      <c r="BZ185" s="213"/>
      <c r="CA185" s="213"/>
      <c r="CB185" s="245"/>
      <c r="CC185" s="213"/>
      <c r="CD185" s="211"/>
      <c r="CE185" s="212"/>
    </row>
    <row r="186" spans="1:83" s="204" customFormat="1" ht="12.75" customHeight="1" x14ac:dyDescent="0.15">
      <c r="A186" s="205"/>
      <c r="B186" s="210"/>
      <c r="C186" s="211"/>
      <c r="D186" s="756"/>
      <c r="E186" s="757"/>
      <c r="F186" s="758"/>
      <c r="G186" s="213"/>
      <c r="H186" s="213"/>
      <c r="I186" s="213"/>
      <c r="J186" s="213"/>
      <c r="K186" s="213"/>
      <c r="L186" s="213"/>
      <c r="M186" s="213"/>
      <c r="N186" s="213"/>
      <c r="O186" s="213"/>
      <c r="P186" s="213"/>
      <c r="Q186" s="213"/>
      <c r="R186" s="213"/>
      <c r="S186" s="213"/>
      <c r="T186" s="213"/>
      <c r="U186" s="213"/>
      <c r="V186" s="213"/>
      <c r="W186" s="213"/>
      <c r="X186" s="213"/>
      <c r="Y186" s="213"/>
      <c r="Z186" s="213"/>
      <c r="AA186" s="213"/>
      <c r="AB186" s="213"/>
      <c r="AC186" s="213"/>
      <c r="AD186" s="213"/>
      <c r="AE186" s="213"/>
      <c r="AF186" s="213"/>
      <c r="AG186" s="213"/>
      <c r="AH186" s="213"/>
      <c r="AI186" s="213"/>
      <c r="AJ186" s="213"/>
      <c r="AK186" s="213"/>
      <c r="AL186" s="213"/>
      <c r="AM186" s="213"/>
      <c r="AN186" s="213"/>
      <c r="AO186" s="213"/>
      <c r="AP186" s="213"/>
      <c r="AQ186" s="213"/>
      <c r="AR186" s="213"/>
      <c r="AS186" s="213"/>
      <c r="AT186" s="213"/>
      <c r="AU186" s="213"/>
      <c r="AV186" s="213"/>
      <c r="AW186" s="213"/>
      <c r="AX186" s="213"/>
      <c r="AY186" s="213"/>
      <c r="AZ186" s="213"/>
      <c r="BA186" s="213"/>
      <c r="BB186" s="213"/>
      <c r="BC186" s="213"/>
      <c r="BD186" s="213"/>
      <c r="BE186" s="213"/>
      <c r="BF186" s="213"/>
      <c r="BG186" s="213"/>
      <c r="BH186" s="213"/>
      <c r="BI186" s="213"/>
      <c r="BJ186" s="213"/>
      <c r="BK186" s="213"/>
      <c r="BL186" s="213"/>
      <c r="BM186" s="213"/>
      <c r="BN186" s="213"/>
      <c r="BO186" s="213"/>
      <c r="BP186" s="213"/>
      <c r="BQ186" s="213"/>
      <c r="BR186" s="213"/>
      <c r="BS186" s="213"/>
      <c r="BT186" s="213"/>
      <c r="BU186" s="213"/>
      <c r="BV186" s="213"/>
      <c r="BW186" s="213"/>
      <c r="BX186" s="213"/>
      <c r="BY186" s="213"/>
      <c r="BZ186" s="213"/>
      <c r="CA186" s="213"/>
      <c r="CB186" s="245"/>
      <c r="CC186" s="213"/>
      <c r="CD186" s="211"/>
      <c r="CE186" s="212"/>
    </row>
    <row r="187" spans="1:83" s="204" customFormat="1" ht="12.75" customHeight="1" x14ac:dyDescent="0.15">
      <c r="A187" s="205"/>
      <c r="B187" s="206"/>
      <c r="C187" s="211"/>
      <c r="D187" s="756"/>
      <c r="E187" s="757"/>
      <c r="F187" s="758"/>
      <c r="G187" s="213"/>
      <c r="H187" s="213"/>
      <c r="I187" s="213"/>
      <c r="J187" s="213"/>
      <c r="K187" s="213"/>
      <c r="L187" s="213"/>
      <c r="M187" s="213"/>
      <c r="N187" s="213"/>
      <c r="O187" s="213"/>
      <c r="P187" s="213"/>
      <c r="Q187" s="213"/>
      <c r="R187" s="213"/>
      <c r="S187" s="213"/>
      <c r="T187" s="213"/>
      <c r="U187" s="213"/>
      <c r="V187" s="213"/>
      <c r="W187" s="213"/>
      <c r="X187" s="213"/>
      <c r="Y187" s="213"/>
      <c r="Z187" s="213"/>
      <c r="AA187" s="213"/>
      <c r="AB187" s="213"/>
      <c r="AC187" s="213"/>
      <c r="AD187" s="213"/>
      <c r="AE187" s="213"/>
      <c r="AF187" s="213"/>
      <c r="AG187" s="213"/>
      <c r="AH187" s="213"/>
      <c r="AI187" s="213"/>
      <c r="AJ187" s="213"/>
      <c r="AK187" s="213"/>
      <c r="AL187" s="213"/>
      <c r="AM187" s="213"/>
      <c r="AN187" s="213"/>
      <c r="AO187" s="213"/>
      <c r="AP187" s="213"/>
      <c r="AQ187" s="213"/>
      <c r="AR187" s="213"/>
      <c r="AS187" s="213"/>
      <c r="AT187" s="213"/>
      <c r="AU187" s="213"/>
      <c r="AV187" s="213"/>
      <c r="AW187" s="213"/>
      <c r="AX187" s="213"/>
      <c r="AY187" s="213"/>
      <c r="AZ187" s="213"/>
      <c r="BA187" s="213"/>
      <c r="BB187" s="213"/>
      <c r="BC187" s="213"/>
      <c r="BD187" s="213"/>
      <c r="BE187" s="213"/>
      <c r="BF187" s="213"/>
      <c r="BG187" s="213"/>
      <c r="BH187" s="213"/>
      <c r="BI187" s="213"/>
      <c r="BJ187" s="213"/>
      <c r="BK187" s="213"/>
      <c r="BL187" s="213"/>
      <c r="BM187" s="213"/>
      <c r="BN187" s="213"/>
      <c r="BO187" s="213"/>
      <c r="BP187" s="213"/>
      <c r="BQ187" s="213"/>
      <c r="BR187" s="213"/>
      <c r="BS187" s="213"/>
      <c r="BT187" s="213"/>
      <c r="BU187" s="213"/>
      <c r="BV187" s="213"/>
      <c r="BW187" s="213"/>
      <c r="BX187" s="213"/>
      <c r="BY187" s="213"/>
      <c r="BZ187" s="213"/>
      <c r="CA187" s="213"/>
      <c r="CB187" s="245"/>
      <c r="CC187" s="213"/>
      <c r="CD187" s="211"/>
      <c r="CE187" s="212"/>
    </row>
    <row r="188" spans="1:83" s="204" customFormat="1" ht="12.75" customHeight="1" x14ac:dyDescent="0.15">
      <c r="A188" s="205"/>
      <c r="B188" s="206"/>
      <c r="C188" s="211"/>
      <c r="D188" s="756"/>
      <c r="E188" s="757"/>
      <c r="F188" s="758"/>
      <c r="G188" s="213"/>
      <c r="H188" s="213"/>
      <c r="I188" s="213"/>
      <c r="J188" s="213"/>
      <c r="K188" s="213"/>
      <c r="L188" s="213"/>
      <c r="M188" s="213"/>
      <c r="N188" s="213"/>
      <c r="O188" s="213"/>
      <c r="P188" s="213"/>
      <c r="Q188" s="213"/>
      <c r="R188" s="213"/>
      <c r="S188" s="213"/>
      <c r="T188" s="213"/>
      <c r="U188" s="213"/>
      <c r="V188" s="213"/>
      <c r="W188" s="213"/>
      <c r="X188" s="213"/>
      <c r="Y188" s="213"/>
      <c r="Z188" s="213"/>
      <c r="AA188" s="213"/>
      <c r="AB188" s="213"/>
      <c r="AC188" s="213"/>
      <c r="AD188" s="213"/>
      <c r="AE188" s="213"/>
      <c r="AF188" s="213"/>
      <c r="AG188" s="213"/>
      <c r="AH188" s="213"/>
      <c r="AI188" s="213"/>
      <c r="AJ188" s="213"/>
      <c r="AK188" s="213"/>
      <c r="AL188" s="213"/>
      <c r="AM188" s="213"/>
      <c r="AN188" s="213"/>
      <c r="AO188" s="213"/>
      <c r="AP188" s="213"/>
      <c r="AQ188" s="213"/>
      <c r="AR188" s="213"/>
      <c r="AS188" s="213"/>
      <c r="AT188" s="213"/>
      <c r="AU188" s="213"/>
      <c r="AV188" s="213"/>
      <c r="AW188" s="213"/>
      <c r="AX188" s="213"/>
      <c r="AY188" s="213"/>
      <c r="AZ188" s="213"/>
      <c r="BA188" s="213"/>
      <c r="BB188" s="213"/>
      <c r="BC188" s="213"/>
      <c r="BD188" s="213"/>
      <c r="BE188" s="213"/>
      <c r="BF188" s="213"/>
      <c r="BG188" s="213"/>
      <c r="BH188" s="213"/>
      <c r="BI188" s="213"/>
      <c r="BJ188" s="213"/>
      <c r="BK188" s="213"/>
      <c r="BL188" s="213"/>
      <c r="BM188" s="213"/>
      <c r="BN188" s="213"/>
      <c r="BO188" s="213"/>
      <c r="BP188" s="213"/>
      <c r="BQ188" s="213"/>
      <c r="BR188" s="213"/>
      <c r="BS188" s="213"/>
      <c r="BT188" s="213"/>
      <c r="BU188" s="213"/>
      <c r="BV188" s="213"/>
      <c r="BW188" s="213"/>
      <c r="BX188" s="213"/>
      <c r="BY188" s="213"/>
      <c r="BZ188" s="213"/>
      <c r="CA188" s="213"/>
      <c r="CB188" s="245"/>
      <c r="CC188" s="213"/>
      <c r="CD188" s="211"/>
      <c r="CE188" s="212"/>
    </row>
    <row r="189" spans="1:83" s="204" customFormat="1" ht="12.75" customHeight="1" x14ac:dyDescent="0.15">
      <c r="A189" s="222"/>
      <c r="B189" s="223"/>
      <c r="C189" s="211"/>
      <c r="D189" s="756"/>
      <c r="E189" s="757"/>
      <c r="F189" s="758"/>
      <c r="G189" s="213"/>
      <c r="H189" s="213"/>
      <c r="I189" s="213"/>
      <c r="J189" s="213"/>
      <c r="K189" s="213"/>
      <c r="L189" s="213"/>
      <c r="M189" s="213"/>
      <c r="N189" s="213"/>
      <c r="O189" s="213"/>
      <c r="P189" s="213"/>
      <c r="Q189" s="213"/>
      <c r="R189" s="213"/>
      <c r="S189" s="213"/>
      <c r="T189" s="213"/>
      <c r="U189" s="213"/>
      <c r="V189" s="213"/>
      <c r="W189" s="213"/>
      <c r="X189" s="213"/>
      <c r="Y189" s="213"/>
      <c r="Z189" s="213"/>
      <c r="AA189" s="213"/>
      <c r="AB189" s="213"/>
      <c r="AC189" s="213"/>
      <c r="AD189" s="213"/>
      <c r="AE189" s="213"/>
      <c r="AF189" s="213"/>
      <c r="AG189" s="213"/>
      <c r="AH189" s="213"/>
      <c r="AI189" s="213"/>
      <c r="AJ189" s="213"/>
      <c r="AK189" s="213"/>
      <c r="AL189" s="213"/>
      <c r="AM189" s="213"/>
      <c r="AN189" s="213"/>
      <c r="AO189" s="213"/>
      <c r="AP189" s="213"/>
      <c r="AQ189" s="213"/>
      <c r="AR189" s="213"/>
      <c r="AS189" s="213"/>
      <c r="AT189" s="213"/>
      <c r="AU189" s="213"/>
      <c r="AV189" s="213"/>
      <c r="AW189" s="213"/>
      <c r="AX189" s="213"/>
      <c r="AY189" s="213"/>
      <c r="AZ189" s="213"/>
      <c r="BA189" s="213"/>
      <c r="BB189" s="213"/>
      <c r="BC189" s="213"/>
      <c r="BD189" s="213"/>
      <c r="BE189" s="213"/>
      <c r="BF189" s="213"/>
      <c r="BG189" s="213"/>
      <c r="BH189" s="213"/>
      <c r="BI189" s="213"/>
      <c r="BJ189" s="213"/>
      <c r="BK189" s="213"/>
      <c r="BL189" s="213"/>
      <c r="BM189" s="213"/>
      <c r="BN189" s="213"/>
      <c r="BO189" s="213"/>
      <c r="BP189" s="213"/>
      <c r="BQ189" s="213"/>
      <c r="BR189" s="213"/>
      <c r="BS189" s="213"/>
      <c r="BT189" s="213"/>
      <c r="BU189" s="213"/>
      <c r="BV189" s="213"/>
      <c r="BW189" s="213"/>
      <c r="BX189" s="213"/>
      <c r="BY189" s="213"/>
      <c r="BZ189" s="213"/>
      <c r="CA189" s="213"/>
      <c r="CB189" s="245"/>
      <c r="CC189" s="213"/>
      <c r="CD189" s="211"/>
      <c r="CE189" s="212"/>
    </row>
    <row r="190" spans="1:83" s="228" customFormat="1" ht="12.75" customHeight="1" x14ac:dyDescent="0.15">
      <c r="A190" s="224"/>
      <c r="B190" s="225"/>
      <c r="C190" s="226"/>
      <c r="D190" s="756"/>
      <c r="E190" s="757"/>
      <c r="F190" s="758"/>
      <c r="G190" s="213"/>
      <c r="H190" s="213"/>
      <c r="I190" s="213"/>
      <c r="J190" s="213"/>
      <c r="K190" s="213"/>
      <c r="L190" s="213"/>
      <c r="M190" s="213"/>
      <c r="N190" s="213"/>
      <c r="O190" s="213"/>
      <c r="P190" s="213"/>
      <c r="Q190" s="213"/>
      <c r="R190" s="213"/>
      <c r="S190" s="213"/>
      <c r="T190" s="213"/>
      <c r="U190" s="213"/>
      <c r="V190" s="213"/>
      <c r="W190" s="213"/>
      <c r="X190" s="213"/>
      <c r="Y190" s="213"/>
      <c r="Z190" s="213"/>
      <c r="AA190" s="213"/>
      <c r="AB190" s="213"/>
      <c r="AC190" s="213"/>
      <c r="AD190" s="213"/>
      <c r="AE190" s="213"/>
      <c r="AF190" s="213"/>
      <c r="AG190" s="213"/>
      <c r="AH190" s="213"/>
      <c r="AI190" s="213"/>
      <c r="AJ190" s="213"/>
      <c r="AK190" s="213"/>
      <c r="AL190" s="213"/>
      <c r="AM190" s="213"/>
      <c r="AN190" s="213"/>
      <c r="AO190" s="213"/>
      <c r="AP190" s="213"/>
      <c r="AQ190" s="213"/>
      <c r="AR190" s="213"/>
      <c r="AS190" s="213"/>
      <c r="AT190" s="213"/>
      <c r="AU190" s="213"/>
      <c r="AV190" s="213"/>
      <c r="AW190" s="213"/>
      <c r="AX190" s="213"/>
      <c r="AY190" s="213"/>
      <c r="AZ190" s="213"/>
      <c r="BA190" s="213"/>
      <c r="BB190" s="213"/>
      <c r="BC190" s="213"/>
      <c r="BD190" s="213"/>
      <c r="BE190" s="213"/>
      <c r="BF190" s="213"/>
      <c r="BG190" s="213"/>
      <c r="BH190" s="213"/>
      <c r="BI190" s="213"/>
      <c r="BJ190" s="213"/>
      <c r="BK190" s="213"/>
      <c r="BL190" s="213"/>
      <c r="BM190" s="213"/>
      <c r="BN190" s="213"/>
      <c r="BO190" s="213"/>
      <c r="BP190" s="213"/>
      <c r="BQ190" s="213"/>
      <c r="BR190" s="213"/>
      <c r="BS190" s="213"/>
      <c r="BT190" s="213"/>
      <c r="BU190" s="213"/>
      <c r="BV190" s="213"/>
      <c r="BW190" s="213"/>
      <c r="BX190" s="213"/>
      <c r="BY190" s="213"/>
      <c r="BZ190" s="213"/>
      <c r="CA190" s="213"/>
      <c r="CB190" s="245"/>
      <c r="CC190" s="213"/>
      <c r="CD190" s="226"/>
      <c r="CE190" s="227"/>
    </row>
    <row r="191" spans="1:83" s="228" customFormat="1" ht="12.75" customHeight="1" x14ac:dyDescent="0.15">
      <c r="A191" s="224"/>
      <c r="B191" s="225"/>
      <c r="C191" s="226"/>
      <c r="D191" s="756"/>
      <c r="E191" s="757"/>
      <c r="F191" s="758"/>
      <c r="G191" s="213"/>
      <c r="H191" s="213"/>
      <c r="I191" s="213"/>
      <c r="J191" s="213"/>
      <c r="K191" s="213"/>
      <c r="L191" s="213"/>
      <c r="M191" s="213"/>
      <c r="N191" s="213"/>
      <c r="O191" s="213"/>
      <c r="P191" s="213"/>
      <c r="Q191" s="213"/>
      <c r="R191" s="213"/>
      <c r="S191" s="213"/>
      <c r="T191" s="213"/>
      <c r="U191" s="213"/>
      <c r="V191" s="213"/>
      <c r="W191" s="213"/>
      <c r="X191" s="213"/>
      <c r="Y191" s="213"/>
      <c r="Z191" s="213"/>
      <c r="AA191" s="213"/>
      <c r="AB191" s="213"/>
      <c r="AC191" s="213"/>
      <c r="AD191" s="213"/>
      <c r="AE191" s="213"/>
      <c r="AF191" s="213"/>
      <c r="AG191" s="213"/>
      <c r="AH191" s="213"/>
      <c r="AI191" s="213"/>
      <c r="AJ191" s="213"/>
      <c r="AK191" s="213"/>
      <c r="AL191" s="213"/>
      <c r="AM191" s="213"/>
      <c r="AN191" s="213"/>
      <c r="AO191" s="213"/>
      <c r="AP191" s="213"/>
      <c r="AQ191" s="213"/>
      <c r="AR191" s="213"/>
      <c r="AS191" s="213"/>
      <c r="AT191" s="213"/>
      <c r="AU191" s="213"/>
      <c r="AV191" s="213"/>
      <c r="AW191" s="213"/>
      <c r="AX191" s="213"/>
      <c r="AY191" s="213"/>
      <c r="AZ191" s="213"/>
      <c r="BA191" s="213"/>
      <c r="BB191" s="213"/>
      <c r="BC191" s="213"/>
      <c r="BD191" s="213"/>
      <c r="BE191" s="213"/>
      <c r="BF191" s="213"/>
      <c r="BG191" s="213"/>
      <c r="BH191" s="213"/>
      <c r="BI191" s="213"/>
      <c r="BJ191" s="213"/>
      <c r="BK191" s="213"/>
      <c r="BL191" s="213"/>
      <c r="BM191" s="213"/>
      <c r="BN191" s="213"/>
      <c r="BO191" s="213"/>
      <c r="BP191" s="213"/>
      <c r="BQ191" s="213"/>
      <c r="BR191" s="213"/>
      <c r="BS191" s="213"/>
      <c r="BT191" s="213"/>
      <c r="BU191" s="213"/>
      <c r="BV191" s="213"/>
      <c r="BW191" s="213"/>
      <c r="BX191" s="213"/>
      <c r="BY191" s="213"/>
      <c r="BZ191" s="213"/>
      <c r="CA191" s="213"/>
      <c r="CB191" s="245"/>
      <c r="CC191" s="213"/>
      <c r="CD191" s="226"/>
      <c r="CE191" s="227"/>
    </row>
    <row r="192" spans="1:83" s="228" customFormat="1" ht="12.75" customHeight="1" x14ac:dyDescent="0.15">
      <c r="A192" s="224"/>
      <c r="B192" s="225"/>
      <c r="C192" s="226"/>
      <c r="D192" s="756"/>
      <c r="E192" s="757"/>
      <c r="F192" s="758"/>
      <c r="G192" s="213"/>
      <c r="H192" s="213"/>
      <c r="I192" s="213"/>
      <c r="J192" s="213"/>
      <c r="K192" s="213"/>
      <c r="L192" s="213"/>
      <c r="M192" s="213"/>
      <c r="N192" s="213"/>
      <c r="O192" s="213"/>
      <c r="P192" s="213"/>
      <c r="Q192" s="213"/>
      <c r="R192" s="213"/>
      <c r="S192" s="213"/>
      <c r="T192" s="213"/>
      <c r="U192" s="213"/>
      <c r="V192" s="213"/>
      <c r="W192" s="213"/>
      <c r="X192" s="213"/>
      <c r="Y192" s="213"/>
      <c r="Z192" s="213"/>
      <c r="AA192" s="213"/>
      <c r="AB192" s="213"/>
      <c r="AC192" s="213"/>
      <c r="AD192" s="213"/>
      <c r="AE192" s="213"/>
      <c r="AF192" s="213"/>
      <c r="AG192" s="213"/>
      <c r="AH192" s="213"/>
      <c r="AI192" s="213"/>
      <c r="AJ192" s="213"/>
      <c r="AK192" s="213"/>
      <c r="AL192" s="213"/>
      <c r="AM192" s="213"/>
      <c r="AN192" s="213"/>
      <c r="AO192" s="213"/>
      <c r="AP192" s="213"/>
      <c r="AQ192" s="213"/>
      <c r="AR192" s="213"/>
      <c r="AS192" s="213"/>
      <c r="AT192" s="213"/>
      <c r="AU192" s="213"/>
      <c r="AV192" s="213"/>
      <c r="AW192" s="213"/>
      <c r="AX192" s="213"/>
      <c r="AY192" s="213"/>
      <c r="AZ192" s="213"/>
      <c r="BA192" s="213"/>
      <c r="BB192" s="213"/>
      <c r="BC192" s="213"/>
      <c r="BD192" s="213"/>
      <c r="BE192" s="213"/>
      <c r="BF192" s="213"/>
      <c r="BG192" s="213"/>
      <c r="BH192" s="213"/>
      <c r="BI192" s="213"/>
      <c r="BJ192" s="213"/>
      <c r="BK192" s="213"/>
      <c r="BL192" s="213"/>
      <c r="BM192" s="213"/>
      <c r="BN192" s="213"/>
      <c r="BO192" s="213"/>
      <c r="BP192" s="213"/>
      <c r="BQ192" s="213"/>
      <c r="BR192" s="213"/>
      <c r="BS192" s="213"/>
      <c r="BT192" s="213"/>
      <c r="BU192" s="213"/>
      <c r="BV192" s="213"/>
      <c r="BW192" s="213"/>
      <c r="BX192" s="213"/>
      <c r="BY192" s="213"/>
      <c r="BZ192" s="213"/>
      <c r="CA192" s="213"/>
      <c r="CB192" s="245"/>
      <c r="CC192" s="213"/>
      <c r="CD192" s="226"/>
      <c r="CE192" s="227"/>
    </row>
    <row r="193" spans="1:83" s="228" customFormat="1" ht="12.75" customHeight="1" x14ac:dyDescent="0.15">
      <c r="A193" s="224"/>
      <c r="B193" s="225"/>
      <c r="C193" s="226"/>
      <c r="D193" s="756"/>
      <c r="E193" s="757"/>
      <c r="F193" s="758"/>
      <c r="G193" s="213"/>
      <c r="H193" s="213"/>
      <c r="I193" s="213"/>
      <c r="J193" s="213"/>
      <c r="K193" s="213"/>
      <c r="L193" s="213"/>
      <c r="M193" s="213"/>
      <c r="N193" s="213"/>
      <c r="O193" s="213"/>
      <c r="P193" s="213"/>
      <c r="Q193" s="213"/>
      <c r="R193" s="213"/>
      <c r="S193" s="213"/>
      <c r="T193" s="213"/>
      <c r="U193" s="213"/>
      <c r="V193" s="213"/>
      <c r="W193" s="213"/>
      <c r="X193" s="213"/>
      <c r="Y193" s="213"/>
      <c r="Z193" s="213"/>
      <c r="AA193" s="213"/>
      <c r="AB193" s="213"/>
      <c r="AC193" s="213"/>
      <c r="AD193" s="213"/>
      <c r="AE193" s="213"/>
      <c r="AF193" s="213"/>
      <c r="AG193" s="213"/>
      <c r="AH193" s="213"/>
      <c r="AI193" s="213"/>
      <c r="AJ193" s="213"/>
      <c r="AK193" s="213"/>
      <c r="AL193" s="213"/>
      <c r="AM193" s="213"/>
      <c r="AN193" s="213"/>
      <c r="AO193" s="213"/>
      <c r="AP193" s="213"/>
      <c r="AQ193" s="213"/>
      <c r="AR193" s="213"/>
      <c r="AS193" s="213"/>
      <c r="AT193" s="213"/>
      <c r="AU193" s="213"/>
      <c r="AV193" s="213"/>
      <c r="AW193" s="213"/>
      <c r="AX193" s="213"/>
      <c r="AY193" s="213"/>
      <c r="AZ193" s="213"/>
      <c r="BA193" s="213"/>
      <c r="BB193" s="213"/>
      <c r="BC193" s="213"/>
      <c r="BD193" s="213"/>
      <c r="BE193" s="213"/>
      <c r="BF193" s="213"/>
      <c r="BG193" s="213"/>
      <c r="BH193" s="213"/>
      <c r="BI193" s="213"/>
      <c r="BJ193" s="213"/>
      <c r="BK193" s="213"/>
      <c r="BL193" s="213"/>
      <c r="BM193" s="213"/>
      <c r="BN193" s="213"/>
      <c r="BO193" s="213"/>
      <c r="BP193" s="213"/>
      <c r="BQ193" s="213"/>
      <c r="BR193" s="213"/>
      <c r="BS193" s="213"/>
      <c r="BT193" s="213"/>
      <c r="BU193" s="213"/>
      <c r="BV193" s="213"/>
      <c r="BW193" s="213"/>
      <c r="BX193" s="213"/>
      <c r="BY193" s="213"/>
      <c r="BZ193" s="213"/>
      <c r="CA193" s="213"/>
      <c r="CB193" s="245"/>
      <c r="CC193" s="213"/>
      <c r="CD193" s="226"/>
      <c r="CE193" s="227"/>
    </row>
    <row r="194" spans="1:83" s="228" customFormat="1" ht="12.75" customHeight="1" x14ac:dyDescent="0.15">
      <c r="A194" s="224"/>
      <c r="B194" s="225"/>
      <c r="C194" s="226"/>
      <c r="D194" s="756"/>
      <c r="E194" s="757"/>
      <c r="F194" s="758"/>
      <c r="G194" s="213"/>
      <c r="H194" s="213"/>
      <c r="I194" s="213"/>
      <c r="J194" s="213"/>
      <c r="K194" s="213"/>
      <c r="L194" s="213"/>
      <c r="M194" s="213"/>
      <c r="N194" s="213"/>
      <c r="O194" s="213"/>
      <c r="P194" s="213"/>
      <c r="Q194" s="213"/>
      <c r="R194" s="213"/>
      <c r="S194" s="213"/>
      <c r="T194" s="213"/>
      <c r="U194" s="213"/>
      <c r="V194" s="213"/>
      <c r="W194" s="213"/>
      <c r="X194" s="213"/>
      <c r="Y194" s="213"/>
      <c r="Z194" s="213"/>
      <c r="AA194" s="213"/>
      <c r="AB194" s="213"/>
      <c r="AC194" s="213"/>
      <c r="AD194" s="213"/>
      <c r="AE194" s="213"/>
      <c r="AF194" s="213"/>
      <c r="AG194" s="213"/>
      <c r="AH194" s="213"/>
      <c r="AI194" s="213"/>
      <c r="AJ194" s="213"/>
      <c r="AK194" s="213"/>
      <c r="AL194" s="213"/>
      <c r="AM194" s="213"/>
      <c r="AN194" s="213"/>
      <c r="AO194" s="213"/>
      <c r="AP194" s="213"/>
      <c r="AQ194" s="213"/>
      <c r="AR194" s="213"/>
      <c r="AS194" s="213"/>
      <c r="AT194" s="213"/>
      <c r="AU194" s="213"/>
      <c r="AV194" s="213"/>
      <c r="AW194" s="213"/>
      <c r="AX194" s="213"/>
      <c r="AY194" s="213"/>
      <c r="AZ194" s="213"/>
      <c r="BA194" s="213"/>
      <c r="BB194" s="213"/>
      <c r="BC194" s="213"/>
      <c r="BD194" s="213"/>
      <c r="BE194" s="213"/>
      <c r="BF194" s="213"/>
      <c r="BG194" s="213"/>
      <c r="BH194" s="213"/>
      <c r="BI194" s="213"/>
      <c r="BJ194" s="213"/>
      <c r="BK194" s="213"/>
      <c r="BL194" s="213"/>
      <c r="BM194" s="213"/>
      <c r="BN194" s="213"/>
      <c r="BO194" s="213"/>
      <c r="BP194" s="213"/>
      <c r="BQ194" s="213"/>
      <c r="BR194" s="213"/>
      <c r="BS194" s="213"/>
      <c r="BT194" s="213"/>
      <c r="BU194" s="213"/>
      <c r="BV194" s="213"/>
      <c r="BW194" s="213"/>
      <c r="BX194" s="213"/>
      <c r="BY194" s="213"/>
      <c r="BZ194" s="213"/>
      <c r="CA194" s="213"/>
      <c r="CB194" s="245"/>
      <c r="CC194" s="213"/>
      <c r="CD194" s="226"/>
      <c r="CE194" s="227"/>
    </row>
    <row r="195" spans="1:83" s="228" customFormat="1" ht="12.75" customHeight="1" x14ac:dyDescent="0.15">
      <c r="A195" s="224"/>
      <c r="B195" s="225"/>
      <c r="C195" s="226"/>
      <c r="D195" s="756"/>
      <c r="E195" s="757"/>
      <c r="F195" s="758"/>
      <c r="G195" s="226"/>
      <c r="H195" s="226"/>
      <c r="I195" s="226"/>
      <c r="J195" s="226"/>
      <c r="K195" s="226"/>
      <c r="L195" s="226"/>
      <c r="M195" s="226"/>
      <c r="N195" s="226"/>
      <c r="O195" s="226"/>
      <c r="P195" s="226"/>
      <c r="Q195" s="226"/>
      <c r="R195" s="226"/>
      <c r="S195" s="226"/>
      <c r="T195" s="226"/>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c r="AP195" s="226"/>
      <c r="AQ195" s="226"/>
      <c r="AR195" s="226"/>
      <c r="AS195" s="226"/>
      <c r="AT195" s="226"/>
      <c r="AU195" s="226"/>
      <c r="AV195" s="226"/>
      <c r="AW195" s="226"/>
      <c r="AX195" s="226"/>
      <c r="AY195" s="226"/>
      <c r="AZ195" s="226"/>
      <c r="BA195" s="226"/>
      <c r="BB195" s="226"/>
      <c r="BC195" s="226"/>
      <c r="BD195" s="226"/>
      <c r="BE195" s="226"/>
      <c r="BF195" s="226"/>
      <c r="BG195" s="226"/>
      <c r="BH195" s="226"/>
      <c r="BI195" s="226"/>
      <c r="BJ195" s="226"/>
      <c r="BK195" s="226"/>
      <c r="BL195" s="226"/>
      <c r="BM195" s="226"/>
      <c r="BN195" s="226"/>
      <c r="BO195" s="226"/>
      <c r="BP195" s="226"/>
      <c r="BQ195" s="226"/>
      <c r="BR195" s="226"/>
      <c r="BS195" s="226"/>
      <c r="BT195" s="226"/>
      <c r="BU195" s="226"/>
      <c r="BV195" s="226"/>
      <c r="BW195" s="226"/>
      <c r="BX195" s="226"/>
      <c r="BY195" s="226"/>
      <c r="BZ195" s="226"/>
      <c r="CA195" s="226"/>
      <c r="CB195" s="245"/>
      <c r="CC195" s="213"/>
      <c r="CD195" s="226"/>
      <c r="CE195" s="227"/>
    </row>
    <row r="196" spans="1:83" s="228" customFormat="1" x14ac:dyDescent="0.15">
      <c r="A196" s="229"/>
      <c r="B196" s="226"/>
      <c r="C196" s="226"/>
      <c r="D196" s="756"/>
      <c r="E196" s="757"/>
      <c r="F196" s="758"/>
      <c r="G196" s="226"/>
      <c r="H196" s="226"/>
      <c r="I196" s="226"/>
      <c r="J196" s="226"/>
      <c r="K196" s="226"/>
      <c r="L196" s="226"/>
      <c r="M196" s="226"/>
      <c r="N196" s="226"/>
      <c r="O196" s="226"/>
      <c r="P196" s="226"/>
      <c r="Q196" s="226"/>
      <c r="R196" s="226"/>
      <c r="S196" s="226"/>
      <c r="T196" s="226"/>
      <c r="U196" s="226"/>
      <c r="V196" s="226"/>
      <c r="W196" s="226"/>
      <c r="X196" s="226"/>
      <c r="Y196" s="226"/>
      <c r="Z196" s="226"/>
      <c r="AA196" s="226"/>
      <c r="AB196" s="226"/>
      <c r="AC196" s="226"/>
      <c r="AD196" s="226"/>
      <c r="AE196" s="226"/>
      <c r="AF196" s="226"/>
      <c r="AG196" s="226"/>
      <c r="AH196" s="226"/>
      <c r="AI196" s="226"/>
      <c r="AJ196" s="226"/>
      <c r="AK196" s="226"/>
      <c r="AL196" s="226"/>
      <c r="AM196" s="226"/>
      <c r="AN196" s="226"/>
      <c r="AO196" s="226"/>
      <c r="AP196" s="226"/>
      <c r="AQ196" s="226"/>
      <c r="AR196" s="226"/>
      <c r="AS196" s="226"/>
      <c r="AT196" s="226"/>
      <c r="AU196" s="226"/>
      <c r="AV196" s="226"/>
      <c r="AW196" s="226"/>
      <c r="AX196" s="226"/>
      <c r="AY196" s="226"/>
      <c r="AZ196" s="226"/>
      <c r="BA196" s="226"/>
      <c r="BB196" s="226"/>
      <c r="BC196" s="226"/>
      <c r="BD196" s="226"/>
      <c r="BE196" s="226"/>
      <c r="BF196" s="226"/>
      <c r="BG196" s="226"/>
      <c r="BH196" s="226"/>
      <c r="BI196" s="226"/>
      <c r="BJ196" s="226"/>
      <c r="BK196" s="226"/>
      <c r="BL196" s="226"/>
      <c r="BM196" s="226"/>
      <c r="BN196" s="226"/>
      <c r="BO196" s="226"/>
      <c r="BP196" s="226"/>
      <c r="BQ196" s="226"/>
      <c r="BR196" s="226"/>
      <c r="BS196" s="226"/>
      <c r="BT196" s="226"/>
      <c r="BU196" s="226"/>
      <c r="BV196" s="226"/>
      <c r="BW196" s="226"/>
      <c r="BX196" s="226"/>
      <c r="BY196" s="226"/>
      <c r="BZ196" s="226"/>
      <c r="CA196" s="226"/>
      <c r="CB196" s="245"/>
      <c r="CC196" s="213"/>
      <c r="CD196" s="226"/>
      <c r="CE196" s="227"/>
    </row>
    <row r="197" spans="1:83" s="228" customFormat="1" x14ac:dyDescent="0.15">
      <c r="A197" s="229"/>
      <c r="B197" s="226"/>
      <c r="C197" s="226"/>
      <c r="D197" s="756"/>
      <c r="E197" s="757"/>
      <c r="F197" s="758"/>
      <c r="G197" s="226"/>
      <c r="H197" s="226"/>
      <c r="I197" s="226"/>
      <c r="J197" s="226"/>
      <c r="K197" s="226"/>
      <c r="L197" s="226"/>
      <c r="M197" s="226"/>
      <c r="N197" s="226"/>
      <c r="O197" s="226"/>
      <c r="P197" s="226"/>
      <c r="Q197" s="226"/>
      <c r="R197" s="226"/>
      <c r="S197" s="226"/>
      <c r="T197" s="226"/>
      <c r="U197" s="226"/>
      <c r="V197" s="226"/>
      <c r="W197" s="226"/>
      <c r="X197" s="226"/>
      <c r="Y197" s="226"/>
      <c r="Z197" s="226"/>
      <c r="AA197" s="226"/>
      <c r="AB197" s="226"/>
      <c r="AC197" s="226"/>
      <c r="AD197" s="226"/>
      <c r="AE197" s="226"/>
      <c r="AF197" s="226"/>
      <c r="AG197" s="226"/>
      <c r="AH197" s="226"/>
      <c r="AI197" s="226"/>
      <c r="AJ197" s="226"/>
      <c r="AK197" s="226"/>
      <c r="AL197" s="226"/>
      <c r="AM197" s="226"/>
      <c r="AN197" s="226"/>
      <c r="AO197" s="226"/>
      <c r="AP197" s="226"/>
      <c r="AQ197" s="226"/>
      <c r="AR197" s="226"/>
      <c r="AS197" s="226"/>
      <c r="AT197" s="226"/>
      <c r="AU197" s="226"/>
      <c r="AV197" s="226"/>
      <c r="AW197" s="226"/>
      <c r="AX197" s="226"/>
      <c r="AY197" s="226"/>
      <c r="AZ197" s="226"/>
      <c r="BA197" s="226"/>
      <c r="BB197" s="226"/>
      <c r="BC197" s="226"/>
      <c r="BD197" s="226"/>
      <c r="BE197" s="226"/>
      <c r="BF197" s="226"/>
      <c r="BG197" s="226"/>
      <c r="BH197" s="226"/>
      <c r="BI197" s="226"/>
      <c r="BJ197" s="226"/>
      <c r="BK197" s="226"/>
      <c r="BL197" s="226"/>
      <c r="BM197" s="226"/>
      <c r="BN197" s="226"/>
      <c r="BO197" s="226"/>
      <c r="BP197" s="226"/>
      <c r="BQ197" s="226"/>
      <c r="BR197" s="226"/>
      <c r="BS197" s="226"/>
      <c r="BT197" s="226"/>
      <c r="BU197" s="226"/>
      <c r="BV197" s="226"/>
      <c r="BW197" s="226"/>
      <c r="BX197" s="226"/>
      <c r="BY197" s="226"/>
      <c r="BZ197" s="226"/>
      <c r="CA197" s="226"/>
      <c r="CB197" s="245"/>
      <c r="CC197" s="213"/>
      <c r="CD197" s="226"/>
      <c r="CE197" s="227"/>
    </row>
    <row r="198" spans="1:83" s="228" customFormat="1" x14ac:dyDescent="0.15">
      <c r="A198" s="229"/>
      <c r="B198" s="226"/>
      <c r="C198" s="226"/>
      <c r="D198" s="756"/>
      <c r="E198" s="757"/>
      <c r="F198" s="758"/>
      <c r="G198" s="226"/>
      <c r="H198" s="226"/>
      <c r="I198" s="226"/>
      <c r="J198" s="226"/>
      <c r="K198" s="226"/>
      <c r="L198" s="226"/>
      <c r="M198" s="226"/>
      <c r="N198" s="226"/>
      <c r="O198" s="226"/>
      <c r="P198" s="226"/>
      <c r="Q198" s="226"/>
      <c r="R198" s="226"/>
      <c r="S198" s="226"/>
      <c r="T198" s="226"/>
      <c r="U198" s="226"/>
      <c r="V198" s="226"/>
      <c r="W198" s="226"/>
      <c r="X198" s="226"/>
      <c r="Y198" s="226"/>
      <c r="Z198" s="226"/>
      <c r="AA198" s="226"/>
      <c r="AB198" s="226"/>
      <c r="AC198" s="226"/>
      <c r="AD198" s="226"/>
      <c r="AE198" s="226"/>
      <c r="AF198" s="226"/>
      <c r="AG198" s="226"/>
      <c r="AH198" s="226"/>
      <c r="AI198" s="226"/>
      <c r="AJ198" s="226"/>
      <c r="AK198" s="226"/>
      <c r="AL198" s="226"/>
      <c r="AM198" s="226"/>
      <c r="AN198" s="226"/>
      <c r="AO198" s="226"/>
      <c r="AP198" s="226"/>
      <c r="AQ198" s="226"/>
      <c r="AR198" s="226"/>
      <c r="AS198" s="226"/>
      <c r="AT198" s="226"/>
      <c r="AU198" s="226"/>
      <c r="AV198" s="226"/>
      <c r="AW198" s="226"/>
      <c r="AX198" s="226"/>
      <c r="AY198" s="226"/>
      <c r="AZ198" s="226"/>
      <c r="BA198" s="226"/>
      <c r="BB198" s="226"/>
      <c r="BC198" s="226"/>
      <c r="BD198" s="226"/>
      <c r="BE198" s="226"/>
      <c r="BF198" s="226"/>
      <c r="BG198" s="226"/>
      <c r="BH198" s="226"/>
      <c r="BI198" s="226"/>
      <c r="BJ198" s="226"/>
      <c r="BK198" s="226"/>
      <c r="BL198" s="226"/>
      <c r="BM198" s="226"/>
      <c r="BN198" s="226"/>
      <c r="BO198" s="226"/>
      <c r="BP198" s="226"/>
      <c r="BQ198" s="226"/>
      <c r="BR198" s="226"/>
      <c r="BS198" s="226"/>
      <c r="BT198" s="226"/>
      <c r="BU198" s="226"/>
      <c r="BV198" s="226"/>
      <c r="BW198" s="226"/>
      <c r="BX198" s="226"/>
      <c r="BY198" s="226"/>
      <c r="BZ198" s="226"/>
      <c r="CA198" s="226"/>
      <c r="CB198" s="245"/>
      <c r="CC198" s="213"/>
      <c r="CD198" s="226"/>
      <c r="CE198" s="227"/>
    </row>
    <row r="199" spans="1:83" s="228" customFormat="1" x14ac:dyDescent="0.15">
      <c r="A199" s="229"/>
      <c r="B199" s="226"/>
      <c r="C199" s="226"/>
      <c r="D199" s="756"/>
      <c r="E199" s="757"/>
      <c r="F199" s="758"/>
      <c r="G199" s="226"/>
      <c r="H199" s="226"/>
      <c r="I199" s="226"/>
      <c r="J199" s="226"/>
      <c r="K199" s="226"/>
      <c r="L199" s="226"/>
      <c r="M199" s="226"/>
      <c r="N199" s="226"/>
      <c r="O199" s="226"/>
      <c r="P199" s="226"/>
      <c r="Q199" s="226"/>
      <c r="R199" s="226"/>
      <c r="S199" s="226"/>
      <c r="T199" s="226"/>
      <c r="U199" s="226"/>
      <c r="V199" s="226"/>
      <c r="W199" s="226"/>
      <c r="X199" s="226"/>
      <c r="Y199" s="226"/>
      <c r="Z199" s="226"/>
      <c r="AA199" s="226"/>
      <c r="AB199" s="226"/>
      <c r="AC199" s="226"/>
      <c r="AD199" s="226"/>
      <c r="AE199" s="226"/>
      <c r="AF199" s="226"/>
      <c r="AG199" s="226"/>
      <c r="AH199" s="226"/>
      <c r="AI199" s="226"/>
      <c r="AJ199" s="226"/>
      <c r="AK199" s="226"/>
      <c r="AL199" s="226"/>
      <c r="AM199" s="226"/>
      <c r="AN199" s="226"/>
      <c r="AO199" s="226"/>
      <c r="AP199" s="226"/>
      <c r="AQ199" s="226"/>
      <c r="AR199" s="226"/>
      <c r="AS199" s="226"/>
      <c r="AT199" s="226"/>
      <c r="AU199" s="226"/>
      <c r="AV199" s="226"/>
      <c r="AW199" s="226"/>
      <c r="AX199" s="226"/>
      <c r="AY199" s="226"/>
      <c r="AZ199" s="226"/>
      <c r="BA199" s="226"/>
      <c r="BB199" s="226"/>
      <c r="BC199" s="226"/>
      <c r="BD199" s="226"/>
      <c r="BE199" s="226"/>
      <c r="BF199" s="226"/>
      <c r="BG199" s="226"/>
      <c r="BH199" s="226"/>
      <c r="BI199" s="226"/>
      <c r="BJ199" s="226"/>
      <c r="BK199" s="226"/>
      <c r="BL199" s="226"/>
      <c r="BM199" s="226"/>
      <c r="BN199" s="226"/>
      <c r="BO199" s="226"/>
      <c r="BP199" s="226"/>
      <c r="BQ199" s="226"/>
      <c r="BR199" s="226"/>
      <c r="BS199" s="226"/>
      <c r="BT199" s="226"/>
      <c r="BU199" s="226"/>
      <c r="BV199" s="226"/>
      <c r="BW199" s="226"/>
      <c r="BX199" s="226"/>
      <c r="BY199" s="226"/>
      <c r="BZ199" s="226"/>
      <c r="CA199" s="226"/>
      <c r="CB199" s="245"/>
      <c r="CC199" s="213"/>
      <c r="CD199" s="226"/>
      <c r="CE199" s="227"/>
    </row>
    <row r="200" spans="1:83" s="228" customFormat="1" ht="12.75" customHeight="1" x14ac:dyDescent="0.15">
      <c r="A200" s="224"/>
      <c r="B200" s="225"/>
      <c r="C200" s="226"/>
      <c r="D200" s="759"/>
      <c r="E200" s="760"/>
      <c r="F200" s="761"/>
      <c r="G200" s="246"/>
      <c r="H200" s="246"/>
      <c r="I200" s="246"/>
      <c r="J200" s="246"/>
      <c r="K200" s="246"/>
      <c r="L200" s="246"/>
      <c r="M200" s="246"/>
      <c r="N200" s="246"/>
      <c r="O200" s="246"/>
      <c r="P200" s="246"/>
      <c r="Q200" s="246"/>
      <c r="R200" s="246"/>
      <c r="S200" s="246"/>
      <c r="T200" s="246"/>
      <c r="U200" s="246"/>
      <c r="V200" s="246"/>
      <c r="W200" s="246"/>
      <c r="X200" s="246"/>
      <c r="Y200" s="246"/>
      <c r="Z200" s="246"/>
      <c r="AA200" s="246"/>
      <c r="AB200" s="246"/>
      <c r="AC200" s="246"/>
      <c r="AD200" s="246"/>
      <c r="AE200" s="246"/>
      <c r="AF200" s="246"/>
      <c r="AG200" s="246"/>
      <c r="AH200" s="246"/>
      <c r="AI200" s="246"/>
      <c r="AJ200" s="246"/>
      <c r="AK200" s="246"/>
      <c r="AL200" s="246"/>
      <c r="AM200" s="246"/>
      <c r="AN200" s="246"/>
      <c r="AO200" s="246"/>
      <c r="AP200" s="246"/>
      <c r="AQ200" s="246"/>
      <c r="AR200" s="246"/>
      <c r="AS200" s="246"/>
      <c r="AT200" s="246"/>
      <c r="AU200" s="246"/>
      <c r="AV200" s="246"/>
      <c r="AW200" s="246"/>
      <c r="AX200" s="246"/>
      <c r="AY200" s="246"/>
      <c r="AZ200" s="246"/>
      <c r="BA200" s="246"/>
      <c r="BB200" s="246"/>
      <c r="BC200" s="246"/>
      <c r="BD200" s="246"/>
      <c r="BE200" s="246"/>
      <c r="BF200" s="246"/>
      <c r="BG200" s="246"/>
      <c r="BH200" s="246"/>
      <c r="BI200" s="246"/>
      <c r="BJ200" s="246"/>
      <c r="BK200" s="246"/>
      <c r="BL200" s="246"/>
      <c r="BM200" s="246"/>
      <c r="BN200" s="246"/>
      <c r="BO200" s="246"/>
      <c r="BP200" s="246"/>
      <c r="BQ200" s="246"/>
      <c r="BR200" s="246"/>
      <c r="BS200" s="246"/>
      <c r="BT200" s="246"/>
      <c r="BU200" s="246"/>
      <c r="BV200" s="246"/>
      <c r="BW200" s="246"/>
      <c r="BX200" s="246"/>
      <c r="BY200" s="246"/>
      <c r="BZ200" s="246"/>
      <c r="CA200" s="246"/>
      <c r="CB200" s="247"/>
      <c r="CC200" s="213"/>
      <c r="CD200" s="226"/>
      <c r="CE200" s="227"/>
    </row>
    <row r="201" spans="1:83" s="228" customFormat="1" ht="12.75" customHeight="1" thickBot="1" x14ac:dyDescent="0.2">
      <c r="A201" s="230"/>
      <c r="B201" s="231"/>
      <c r="C201" s="232"/>
      <c r="D201" s="233"/>
      <c r="E201" s="233"/>
      <c r="F201" s="233"/>
      <c r="G201" s="234"/>
      <c r="H201" s="234"/>
      <c r="I201" s="234"/>
      <c r="J201" s="234"/>
      <c r="K201" s="234"/>
      <c r="L201" s="234"/>
      <c r="M201" s="234"/>
      <c r="N201" s="234"/>
      <c r="O201" s="234"/>
      <c r="P201" s="234"/>
      <c r="Q201" s="234"/>
      <c r="R201" s="234"/>
      <c r="S201" s="234"/>
      <c r="T201" s="234"/>
      <c r="U201" s="234"/>
      <c r="V201" s="234"/>
      <c r="W201" s="234"/>
      <c r="X201" s="234"/>
      <c r="Y201" s="234"/>
      <c r="Z201" s="234"/>
      <c r="AA201" s="234"/>
      <c r="AB201" s="234"/>
      <c r="AC201" s="234"/>
      <c r="AD201" s="234"/>
      <c r="AE201" s="234"/>
      <c r="AF201" s="234"/>
      <c r="AG201" s="234"/>
      <c r="AH201" s="234"/>
      <c r="AI201" s="234"/>
      <c r="AJ201" s="234"/>
      <c r="AK201" s="234"/>
      <c r="AL201" s="234"/>
      <c r="AM201" s="234"/>
      <c r="AN201" s="234"/>
      <c r="AO201" s="234"/>
      <c r="AP201" s="234"/>
      <c r="AQ201" s="234"/>
      <c r="AR201" s="234"/>
      <c r="AS201" s="234"/>
      <c r="AT201" s="234"/>
      <c r="AU201" s="234"/>
      <c r="AV201" s="234"/>
      <c r="AW201" s="234"/>
      <c r="AX201" s="234"/>
      <c r="AY201" s="234"/>
      <c r="AZ201" s="234"/>
      <c r="BA201" s="234"/>
      <c r="BB201" s="234"/>
      <c r="BC201" s="234"/>
      <c r="BD201" s="234"/>
      <c r="BE201" s="234"/>
      <c r="BF201" s="234"/>
      <c r="BG201" s="234"/>
      <c r="BH201" s="234"/>
      <c r="BI201" s="234"/>
      <c r="BJ201" s="234"/>
      <c r="BK201" s="234"/>
      <c r="BL201" s="234"/>
      <c r="BM201" s="234"/>
      <c r="BN201" s="234"/>
      <c r="BO201" s="234"/>
      <c r="BP201" s="234"/>
      <c r="BQ201" s="234"/>
      <c r="BR201" s="234"/>
      <c r="BS201" s="234"/>
      <c r="BT201" s="234"/>
      <c r="BU201" s="234"/>
      <c r="BV201" s="234"/>
      <c r="BW201" s="234"/>
      <c r="BX201" s="234"/>
      <c r="BY201" s="234"/>
      <c r="BZ201" s="234"/>
      <c r="CA201" s="234"/>
      <c r="CB201" s="234"/>
      <c r="CC201" s="235"/>
      <c r="CD201" s="232"/>
      <c r="CE201" s="236"/>
    </row>
    <row r="202" spans="1:83" s="228" customFormat="1" ht="12.75" customHeight="1" x14ac:dyDescent="0.15">
      <c r="A202" s="237"/>
      <c r="B202" s="238"/>
      <c r="C202" s="238"/>
      <c r="D202" s="238"/>
      <c r="E202" s="238"/>
      <c r="F202" s="238"/>
      <c r="G202" s="238"/>
      <c r="H202" s="238"/>
      <c r="I202" s="238"/>
      <c r="J202" s="238"/>
      <c r="K202" s="238"/>
      <c r="L202" s="238"/>
      <c r="M202" s="238"/>
      <c r="N202" s="238"/>
      <c r="O202" s="238"/>
      <c r="P202" s="238"/>
      <c r="Q202" s="238"/>
      <c r="R202" s="238"/>
      <c r="S202" s="238"/>
      <c r="T202" s="238"/>
      <c r="U202" s="238"/>
      <c r="V202" s="238"/>
      <c r="W202" s="238"/>
      <c r="X202" s="238"/>
      <c r="Y202" s="238"/>
      <c r="Z202" s="238"/>
      <c r="AA202" s="238"/>
      <c r="AB202" s="238"/>
      <c r="AC202" s="238"/>
      <c r="AD202" s="238"/>
      <c r="AE202" s="238"/>
      <c r="AF202" s="238"/>
      <c r="AG202" s="238"/>
      <c r="AH202" s="238"/>
      <c r="AI202" s="238"/>
      <c r="AJ202" s="238"/>
      <c r="AK202" s="238"/>
      <c r="AL202" s="238"/>
      <c r="AM202" s="238"/>
      <c r="AN202" s="238"/>
      <c r="AO202" s="238"/>
      <c r="AP202" s="238"/>
      <c r="AQ202" s="238"/>
      <c r="AR202" s="238"/>
      <c r="AS202" s="238"/>
      <c r="AT202" s="238"/>
      <c r="AU202" s="238"/>
      <c r="AV202" s="238"/>
      <c r="AW202" s="238"/>
      <c r="AX202" s="238"/>
      <c r="AY202" s="238"/>
      <c r="AZ202" s="238"/>
      <c r="BA202" s="238"/>
      <c r="BB202" s="238"/>
      <c r="BC202" s="238"/>
      <c r="BD202" s="238"/>
      <c r="BE202" s="238"/>
      <c r="BF202" s="238"/>
      <c r="BG202" s="238"/>
      <c r="BH202" s="238"/>
      <c r="BI202" s="238"/>
      <c r="BJ202" s="238"/>
      <c r="BK202" s="238"/>
      <c r="BL202" s="238"/>
      <c r="BM202" s="238"/>
      <c r="BN202" s="238"/>
      <c r="BO202" s="238"/>
      <c r="BP202" s="238"/>
      <c r="BQ202" s="238"/>
      <c r="BR202" s="238"/>
      <c r="BS202" s="238"/>
      <c r="BT202" s="238"/>
      <c r="BU202" s="238"/>
      <c r="BV202" s="238"/>
      <c r="BW202" s="238"/>
      <c r="BX202" s="238"/>
      <c r="BY202" s="238"/>
      <c r="BZ202" s="238"/>
      <c r="CA202" s="238"/>
      <c r="CB202" s="238"/>
      <c r="CC202" s="238"/>
      <c r="CD202" s="238"/>
      <c r="CE202" s="239"/>
    </row>
    <row r="203" spans="1:83" s="228" customFormat="1" ht="12.75" customHeight="1" x14ac:dyDescent="0.15">
      <c r="A203" s="229"/>
      <c r="B203" s="226"/>
      <c r="C203" s="226"/>
      <c r="D203" s="534" t="s">
        <v>118</v>
      </c>
      <c r="E203" s="534"/>
      <c r="F203" s="534"/>
      <c r="G203" s="534"/>
      <c r="H203" s="534"/>
      <c r="I203" s="534"/>
      <c r="J203" s="534"/>
      <c r="K203" s="534"/>
      <c r="L203" s="534"/>
      <c r="M203" s="534"/>
      <c r="N203" s="534"/>
      <c r="O203" s="534"/>
      <c r="P203" s="534"/>
      <c r="Q203" s="534"/>
      <c r="R203" s="534"/>
      <c r="S203" s="534"/>
      <c r="T203" s="534"/>
      <c r="U203" s="534"/>
      <c r="V203" s="534"/>
      <c r="W203" s="534"/>
      <c r="X203" s="534"/>
      <c r="Y203" s="534"/>
      <c r="Z203" s="534"/>
      <c r="AA203" s="534"/>
      <c r="AB203" s="534"/>
      <c r="AC203" s="534"/>
      <c r="AD203" s="534"/>
      <c r="AE203" s="534"/>
      <c r="AF203" s="534"/>
      <c r="AG203" s="534"/>
      <c r="AH203" s="534"/>
      <c r="AI203" s="534"/>
      <c r="AJ203" s="534"/>
      <c r="AK203" s="534"/>
      <c r="AL203" s="534"/>
      <c r="AM203" s="534"/>
      <c r="AN203" s="534"/>
      <c r="AO203" s="534"/>
      <c r="AP203" s="534"/>
      <c r="AQ203" s="534"/>
      <c r="AR203" s="534"/>
      <c r="AS203" s="534"/>
      <c r="AT203" s="534"/>
      <c r="AU203" s="534"/>
      <c r="AV203" s="534"/>
      <c r="AW203" s="534"/>
      <c r="AX203" s="534"/>
      <c r="AY203" s="534"/>
      <c r="AZ203" s="534"/>
      <c r="BA203" s="534"/>
      <c r="BB203" s="534"/>
      <c r="BC203" s="534"/>
      <c r="BD203" s="534"/>
      <c r="BE203" s="534"/>
      <c r="BF203" s="534"/>
      <c r="BG203" s="534"/>
      <c r="BH203" s="534"/>
      <c r="BI203" s="534"/>
      <c r="BJ203" s="534"/>
      <c r="BK203" s="534"/>
      <c r="BL203" s="534"/>
      <c r="BM203" s="534"/>
      <c r="BN203" s="534"/>
      <c r="BO203" s="534"/>
      <c r="BP203" s="534"/>
      <c r="BQ203" s="534"/>
      <c r="BR203" s="534"/>
      <c r="BS203" s="534"/>
      <c r="BT203" s="534"/>
      <c r="BU203" s="534"/>
      <c r="BV203" s="534"/>
      <c r="BW203" s="534"/>
      <c r="BX203" s="534"/>
      <c r="BY203" s="534"/>
      <c r="BZ203" s="534"/>
      <c r="CA203" s="534"/>
      <c r="CB203" s="534"/>
      <c r="CC203" s="226"/>
      <c r="CD203" s="226"/>
      <c r="CE203" s="227"/>
    </row>
    <row r="204" spans="1:83" s="228" customFormat="1" ht="12.75" customHeight="1" x14ac:dyDescent="0.15">
      <c r="A204" s="229"/>
      <c r="B204" s="226"/>
      <c r="C204" s="226"/>
      <c r="D204" s="797" t="s">
        <v>403</v>
      </c>
      <c r="E204" s="797"/>
      <c r="F204" s="797"/>
      <c r="G204" s="797"/>
      <c r="H204" s="797"/>
      <c r="I204" s="728" t="s">
        <v>408</v>
      </c>
      <c r="J204" s="728"/>
      <c r="K204" s="728"/>
      <c r="L204" s="728"/>
      <c r="M204" s="728"/>
      <c r="N204" s="728"/>
      <c r="O204" s="728"/>
      <c r="P204" s="728"/>
      <c r="Q204" s="728"/>
      <c r="R204" s="728"/>
      <c r="S204" s="728"/>
      <c r="T204" s="728"/>
      <c r="U204" s="728"/>
      <c r="V204" s="728"/>
      <c r="W204" s="728"/>
      <c r="X204" s="728"/>
      <c r="Y204" s="728"/>
      <c r="Z204" s="728"/>
      <c r="AA204" s="728"/>
      <c r="AB204" s="728"/>
      <c r="AC204" s="728"/>
      <c r="AD204" s="728"/>
      <c r="AE204" s="728"/>
      <c r="AF204" s="728"/>
      <c r="AG204" s="728"/>
      <c r="AH204" s="728" t="s">
        <v>409</v>
      </c>
      <c r="AI204" s="728"/>
      <c r="AJ204" s="728"/>
      <c r="AK204" s="728"/>
      <c r="AL204" s="728"/>
      <c r="AM204" s="728"/>
      <c r="AN204" s="728"/>
      <c r="AO204" s="728"/>
      <c r="AP204" s="728"/>
      <c r="AQ204" s="728"/>
      <c r="AR204" s="728"/>
      <c r="AS204" s="728"/>
      <c r="AT204" s="728"/>
      <c r="AU204" s="728"/>
      <c r="AV204" s="728"/>
      <c r="AW204" s="728"/>
      <c r="AX204" s="728"/>
      <c r="AY204" s="728"/>
      <c r="AZ204" s="728"/>
      <c r="BA204" s="728"/>
      <c r="BB204" s="728"/>
      <c r="BC204" s="728"/>
      <c r="BD204" s="728"/>
      <c r="BE204" s="728"/>
      <c r="BF204" s="728"/>
      <c r="BG204" s="728"/>
      <c r="BH204" s="728"/>
      <c r="BI204" s="728"/>
      <c r="BJ204" s="728"/>
      <c r="BK204" s="728"/>
      <c r="BL204" s="728"/>
      <c r="BM204" s="728"/>
      <c r="BN204" s="728"/>
      <c r="BO204" s="728"/>
      <c r="BP204" s="728"/>
      <c r="BQ204" s="728"/>
      <c r="BR204" s="728"/>
      <c r="BS204" s="728"/>
      <c r="BT204" s="728"/>
      <c r="BU204" s="728"/>
      <c r="BV204" s="728"/>
      <c r="BW204" s="728"/>
      <c r="BX204" s="728"/>
      <c r="BY204" s="728"/>
      <c r="BZ204" s="728"/>
      <c r="CA204" s="728"/>
      <c r="CB204" s="728"/>
      <c r="CC204" s="226"/>
      <c r="CD204" s="226"/>
      <c r="CE204" s="227"/>
    </row>
    <row r="205" spans="1:83" s="228" customFormat="1" ht="12.75" customHeight="1" x14ac:dyDescent="0.15">
      <c r="A205" s="229"/>
      <c r="B205" s="226"/>
      <c r="C205" s="226"/>
      <c r="D205" s="501" t="s">
        <v>119</v>
      </c>
      <c r="E205" s="502"/>
      <c r="F205" s="502"/>
      <c r="G205" s="502"/>
      <c r="H205" s="503"/>
      <c r="I205" s="742" t="s">
        <v>120</v>
      </c>
      <c r="J205" s="569"/>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70"/>
      <c r="AH205" s="577" t="s">
        <v>932</v>
      </c>
      <c r="AI205" s="578"/>
      <c r="AJ205" s="578"/>
      <c r="AK205" s="578"/>
      <c r="AL205" s="578"/>
      <c r="AM205" s="578"/>
      <c r="AN205" s="578"/>
      <c r="AO205" s="578"/>
      <c r="AP205" s="578"/>
      <c r="AQ205" s="578"/>
      <c r="AR205" s="578"/>
      <c r="AS205" s="578"/>
      <c r="AT205" s="578"/>
      <c r="AU205" s="578"/>
      <c r="AV205" s="578"/>
      <c r="AW205" s="578"/>
      <c r="AX205" s="578"/>
      <c r="AY205" s="578"/>
      <c r="AZ205" s="578"/>
      <c r="BA205" s="578"/>
      <c r="BB205" s="578"/>
      <c r="BC205" s="578"/>
      <c r="BD205" s="578"/>
      <c r="BE205" s="578"/>
      <c r="BF205" s="578"/>
      <c r="BG205" s="578"/>
      <c r="BH205" s="578"/>
      <c r="BI205" s="578"/>
      <c r="BJ205" s="578"/>
      <c r="BK205" s="578"/>
      <c r="BL205" s="578"/>
      <c r="BM205" s="578"/>
      <c r="BN205" s="578"/>
      <c r="BO205" s="578"/>
      <c r="BP205" s="578"/>
      <c r="BQ205" s="578"/>
      <c r="BR205" s="578"/>
      <c r="BS205" s="578"/>
      <c r="BT205" s="578"/>
      <c r="BU205" s="578"/>
      <c r="BV205" s="578"/>
      <c r="BW205" s="578"/>
      <c r="BX205" s="578"/>
      <c r="BY205" s="578"/>
      <c r="BZ205" s="578"/>
      <c r="CA205" s="578"/>
      <c r="CB205" s="579"/>
      <c r="CC205" s="226"/>
      <c r="CD205" s="226"/>
      <c r="CE205" s="227"/>
    </row>
    <row r="206" spans="1:83" s="228" customFormat="1" ht="12.75" customHeight="1" x14ac:dyDescent="0.15">
      <c r="A206" s="229"/>
      <c r="B206" s="226"/>
      <c r="C206" s="226"/>
      <c r="D206" s="837"/>
      <c r="E206" s="838"/>
      <c r="F206" s="838"/>
      <c r="G206" s="838"/>
      <c r="H206" s="839"/>
      <c r="I206" s="843"/>
      <c r="J206" s="844"/>
      <c r="K206" s="844"/>
      <c r="L206" s="844"/>
      <c r="M206" s="844"/>
      <c r="N206" s="844"/>
      <c r="O206" s="844"/>
      <c r="P206" s="844"/>
      <c r="Q206" s="844"/>
      <c r="R206" s="844"/>
      <c r="S206" s="844"/>
      <c r="T206" s="844"/>
      <c r="U206" s="844"/>
      <c r="V206" s="844"/>
      <c r="W206" s="844"/>
      <c r="X206" s="844"/>
      <c r="Y206" s="844"/>
      <c r="Z206" s="844"/>
      <c r="AA206" s="844"/>
      <c r="AB206" s="844"/>
      <c r="AC206" s="844"/>
      <c r="AD206" s="844"/>
      <c r="AE206" s="844"/>
      <c r="AF206" s="844"/>
      <c r="AG206" s="845"/>
      <c r="AH206" s="849"/>
      <c r="AI206" s="850"/>
      <c r="AJ206" s="850"/>
      <c r="AK206" s="850"/>
      <c r="AL206" s="850"/>
      <c r="AM206" s="850"/>
      <c r="AN206" s="850"/>
      <c r="AO206" s="850"/>
      <c r="AP206" s="850"/>
      <c r="AQ206" s="850"/>
      <c r="AR206" s="850"/>
      <c r="AS206" s="850"/>
      <c r="AT206" s="850"/>
      <c r="AU206" s="850"/>
      <c r="AV206" s="850"/>
      <c r="AW206" s="850"/>
      <c r="AX206" s="850"/>
      <c r="AY206" s="850"/>
      <c r="AZ206" s="850"/>
      <c r="BA206" s="850"/>
      <c r="BB206" s="850"/>
      <c r="BC206" s="850"/>
      <c r="BD206" s="850"/>
      <c r="BE206" s="850"/>
      <c r="BF206" s="850"/>
      <c r="BG206" s="850"/>
      <c r="BH206" s="850"/>
      <c r="BI206" s="850"/>
      <c r="BJ206" s="850"/>
      <c r="BK206" s="850"/>
      <c r="BL206" s="850"/>
      <c r="BM206" s="850"/>
      <c r="BN206" s="850"/>
      <c r="BO206" s="850"/>
      <c r="BP206" s="850"/>
      <c r="BQ206" s="850"/>
      <c r="BR206" s="850"/>
      <c r="BS206" s="850"/>
      <c r="BT206" s="850"/>
      <c r="BU206" s="850"/>
      <c r="BV206" s="850"/>
      <c r="BW206" s="850"/>
      <c r="BX206" s="850"/>
      <c r="BY206" s="850"/>
      <c r="BZ206" s="850"/>
      <c r="CA206" s="850"/>
      <c r="CB206" s="851"/>
      <c r="CC206" s="226"/>
      <c r="CD206" s="226"/>
      <c r="CE206" s="227"/>
    </row>
    <row r="207" spans="1:83" s="228" customFormat="1" ht="12.75" customHeight="1" x14ac:dyDescent="0.15">
      <c r="A207" s="229"/>
      <c r="B207" s="226"/>
      <c r="C207" s="226"/>
      <c r="D207" s="837"/>
      <c r="E207" s="838"/>
      <c r="F207" s="838"/>
      <c r="G207" s="838"/>
      <c r="H207" s="839"/>
      <c r="I207" s="843"/>
      <c r="J207" s="844"/>
      <c r="K207" s="844"/>
      <c r="L207" s="844"/>
      <c r="M207" s="844"/>
      <c r="N207" s="844"/>
      <c r="O207" s="844"/>
      <c r="P207" s="844"/>
      <c r="Q207" s="844"/>
      <c r="R207" s="844"/>
      <c r="S207" s="844"/>
      <c r="T207" s="844"/>
      <c r="U207" s="844"/>
      <c r="V207" s="844"/>
      <c r="W207" s="844"/>
      <c r="X207" s="844"/>
      <c r="Y207" s="844"/>
      <c r="Z207" s="844"/>
      <c r="AA207" s="844"/>
      <c r="AB207" s="844"/>
      <c r="AC207" s="844"/>
      <c r="AD207" s="844"/>
      <c r="AE207" s="844"/>
      <c r="AF207" s="844"/>
      <c r="AG207" s="845"/>
      <c r="AH207" s="849"/>
      <c r="AI207" s="850"/>
      <c r="AJ207" s="850"/>
      <c r="AK207" s="850"/>
      <c r="AL207" s="850"/>
      <c r="AM207" s="850"/>
      <c r="AN207" s="850"/>
      <c r="AO207" s="850"/>
      <c r="AP207" s="850"/>
      <c r="AQ207" s="850"/>
      <c r="AR207" s="850"/>
      <c r="AS207" s="850"/>
      <c r="AT207" s="850"/>
      <c r="AU207" s="850"/>
      <c r="AV207" s="850"/>
      <c r="AW207" s="850"/>
      <c r="AX207" s="850"/>
      <c r="AY207" s="850"/>
      <c r="AZ207" s="850"/>
      <c r="BA207" s="850"/>
      <c r="BB207" s="850"/>
      <c r="BC207" s="850"/>
      <c r="BD207" s="850"/>
      <c r="BE207" s="850"/>
      <c r="BF207" s="850"/>
      <c r="BG207" s="850"/>
      <c r="BH207" s="850"/>
      <c r="BI207" s="850"/>
      <c r="BJ207" s="850"/>
      <c r="BK207" s="850"/>
      <c r="BL207" s="850"/>
      <c r="BM207" s="850"/>
      <c r="BN207" s="850"/>
      <c r="BO207" s="850"/>
      <c r="BP207" s="850"/>
      <c r="BQ207" s="850"/>
      <c r="BR207" s="850"/>
      <c r="BS207" s="850"/>
      <c r="BT207" s="850"/>
      <c r="BU207" s="850"/>
      <c r="BV207" s="850"/>
      <c r="BW207" s="850"/>
      <c r="BX207" s="850"/>
      <c r="BY207" s="850"/>
      <c r="BZ207" s="850"/>
      <c r="CA207" s="850"/>
      <c r="CB207" s="851"/>
      <c r="CC207" s="226"/>
      <c r="CD207" s="226"/>
      <c r="CE207" s="227"/>
    </row>
    <row r="208" spans="1:83" s="228" customFormat="1" x14ac:dyDescent="0.15">
      <c r="A208" s="229"/>
      <c r="B208" s="226"/>
      <c r="C208" s="226"/>
      <c r="D208" s="840"/>
      <c r="E208" s="841"/>
      <c r="F208" s="841"/>
      <c r="G208" s="841"/>
      <c r="H208" s="842"/>
      <c r="I208" s="846"/>
      <c r="J208" s="847"/>
      <c r="K208" s="847"/>
      <c r="L208" s="847"/>
      <c r="M208" s="847"/>
      <c r="N208" s="847"/>
      <c r="O208" s="847"/>
      <c r="P208" s="847"/>
      <c r="Q208" s="847"/>
      <c r="R208" s="847"/>
      <c r="S208" s="847"/>
      <c r="T208" s="847"/>
      <c r="U208" s="847"/>
      <c r="V208" s="847"/>
      <c r="W208" s="847"/>
      <c r="X208" s="847"/>
      <c r="Y208" s="847"/>
      <c r="Z208" s="847"/>
      <c r="AA208" s="847"/>
      <c r="AB208" s="847"/>
      <c r="AC208" s="847"/>
      <c r="AD208" s="847"/>
      <c r="AE208" s="847"/>
      <c r="AF208" s="847"/>
      <c r="AG208" s="848"/>
      <c r="AH208" s="547"/>
      <c r="AI208" s="548"/>
      <c r="AJ208" s="548"/>
      <c r="AK208" s="548"/>
      <c r="AL208" s="548"/>
      <c r="AM208" s="548"/>
      <c r="AN208" s="548"/>
      <c r="AO208" s="548"/>
      <c r="AP208" s="548"/>
      <c r="AQ208" s="548"/>
      <c r="AR208" s="548"/>
      <c r="AS208" s="548"/>
      <c r="AT208" s="548"/>
      <c r="AU208" s="548"/>
      <c r="AV208" s="548"/>
      <c r="AW208" s="548"/>
      <c r="AX208" s="548"/>
      <c r="AY208" s="548"/>
      <c r="AZ208" s="548"/>
      <c r="BA208" s="548"/>
      <c r="BB208" s="548"/>
      <c r="BC208" s="548"/>
      <c r="BD208" s="548"/>
      <c r="BE208" s="548"/>
      <c r="BF208" s="548"/>
      <c r="BG208" s="548"/>
      <c r="BH208" s="548"/>
      <c r="BI208" s="548"/>
      <c r="BJ208" s="548"/>
      <c r="BK208" s="548"/>
      <c r="BL208" s="548"/>
      <c r="BM208" s="548"/>
      <c r="BN208" s="548"/>
      <c r="BO208" s="548"/>
      <c r="BP208" s="548"/>
      <c r="BQ208" s="548"/>
      <c r="BR208" s="548"/>
      <c r="BS208" s="548"/>
      <c r="BT208" s="548"/>
      <c r="BU208" s="548"/>
      <c r="BV208" s="548"/>
      <c r="BW208" s="548"/>
      <c r="BX208" s="548"/>
      <c r="BY208" s="548"/>
      <c r="BZ208" s="548"/>
      <c r="CA208" s="548"/>
      <c r="CB208" s="549"/>
      <c r="CC208" s="226"/>
      <c r="CD208" s="226"/>
      <c r="CE208" s="227"/>
    </row>
    <row r="209" spans="1:83" s="228" customFormat="1" ht="12.75" customHeight="1" x14ac:dyDescent="0.15">
      <c r="A209" s="229"/>
      <c r="B209" s="226"/>
      <c r="C209" s="226"/>
      <c r="D209" s="501" t="s">
        <v>121</v>
      </c>
      <c r="E209" s="502"/>
      <c r="F209" s="502"/>
      <c r="G209" s="502"/>
      <c r="H209" s="503"/>
      <c r="I209" s="742" t="s">
        <v>122</v>
      </c>
      <c r="J209" s="569"/>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70"/>
      <c r="AH209" s="599" t="s">
        <v>433</v>
      </c>
      <c r="AI209" s="920"/>
      <c r="AJ209" s="920"/>
      <c r="AK209" s="920"/>
      <c r="AL209" s="920"/>
      <c r="AM209" s="920"/>
      <c r="AN209" s="920"/>
      <c r="AO209" s="920"/>
      <c r="AP209" s="920"/>
      <c r="AQ209" s="920"/>
      <c r="AR209" s="920"/>
      <c r="AS209" s="920"/>
      <c r="AT209" s="920"/>
      <c r="AU209" s="920"/>
      <c r="AV209" s="920"/>
      <c r="AW209" s="920"/>
      <c r="AX209" s="920"/>
      <c r="AY209" s="920"/>
      <c r="AZ209" s="920"/>
      <c r="BA209" s="920"/>
      <c r="BB209" s="920"/>
      <c r="BC209" s="920"/>
      <c r="BD209" s="920"/>
      <c r="BE209" s="920"/>
      <c r="BF209" s="920"/>
      <c r="BG209" s="920"/>
      <c r="BH209" s="920"/>
      <c r="BI209" s="920"/>
      <c r="BJ209" s="920"/>
      <c r="BK209" s="920"/>
      <c r="BL209" s="920"/>
      <c r="BM209" s="920"/>
      <c r="BN209" s="920"/>
      <c r="BO209" s="920"/>
      <c r="BP209" s="920"/>
      <c r="BQ209" s="920"/>
      <c r="BR209" s="920"/>
      <c r="BS209" s="920"/>
      <c r="BT209" s="920"/>
      <c r="BU209" s="920"/>
      <c r="BV209" s="920"/>
      <c r="BW209" s="920"/>
      <c r="BX209" s="920"/>
      <c r="BY209" s="920"/>
      <c r="BZ209" s="920"/>
      <c r="CA209" s="920"/>
      <c r="CB209" s="921"/>
      <c r="CC209" s="226"/>
      <c r="CD209" s="226"/>
      <c r="CE209" s="227"/>
    </row>
    <row r="210" spans="1:83" s="228" customFormat="1" ht="12.75" customHeight="1" x14ac:dyDescent="0.15">
      <c r="A210" s="229"/>
      <c r="B210" s="226"/>
      <c r="C210" s="226"/>
      <c r="D210" s="501" t="s">
        <v>123</v>
      </c>
      <c r="E210" s="502"/>
      <c r="F210" s="502"/>
      <c r="G210" s="502"/>
      <c r="H210" s="503"/>
      <c r="I210" s="568" t="s">
        <v>124</v>
      </c>
      <c r="J210" s="569"/>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70"/>
      <c r="AH210" s="577" t="s">
        <v>413</v>
      </c>
      <c r="AI210" s="578"/>
      <c r="AJ210" s="578"/>
      <c r="AK210" s="578"/>
      <c r="AL210" s="578"/>
      <c r="AM210" s="578"/>
      <c r="AN210" s="578"/>
      <c r="AO210" s="578"/>
      <c r="AP210" s="578"/>
      <c r="AQ210" s="578"/>
      <c r="AR210" s="578"/>
      <c r="AS210" s="578"/>
      <c r="AT210" s="578"/>
      <c r="AU210" s="578"/>
      <c r="AV210" s="578"/>
      <c r="AW210" s="578"/>
      <c r="AX210" s="578"/>
      <c r="AY210" s="578"/>
      <c r="AZ210" s="578"/>
      <c r="BA210" s="578"/>
      <c r="BB210" s="578"/>
      <c r="BC210" s="578"/>
      <c r="BD210" s="578"/>
      <c r="BE210" s="578"/>
      <c r="BF210" s="578"/>
      <c r="BG210" s="578"/>
      <c r="BH210" s="578"/>
      <c r="BI210" s="578"/>
      <c r="BJ210" s="578"/>
      <c r="BK210" s="578"/>
      <c r="BL210" s="578"/>
      <c r="BM210" s="578"/>
      <c r="BN210" s="578"/>
      <c r="BO210" s="578"/>
      <c r="BP210" s="578"/>
      <c r="BQ210" s="578"/>
      <c r="BR210" s="578"/>
      <c r="BS210" s="578"/>
      <c r="BT210" s="578"/>
      <c r="BU210" s="578"/>
      <c r="BV210" s="578"/>
      <c r="BW210" s="578"/>
      <c r="BX210" s="578"/>
      <c r="BY210" s="578"/>
      <c r="BZ210" s="578"/>
      <c r="CA210" s="578"/>
      <c r="CB210" s="579"/>
      <c r="CC210" s="226"/>
      <c r="CD210" s="226"/>
      <c r="CE210" s="227"/>
    </row>
    <row r="211" spans="1:83" s="228" customFormat="1" ht="12.75" customHeight="1" x14ac:dyDescent="0.15">
      <c r="A211" s="229"/>
      <c r="B211" s="226"/>
      <c r="C211" s="226"/>
      <c r="D211" s="837"/>
      <c r="E211" s="838"/>
      <c r="F211" s="838"/>
      <c r="G211" s="838"/>
      <c r="H211" s="839"/>
      <c r="I211" s="843"/>
      <c r="J211" s="844"/>
      <c r="K211" s="844"/>
      <c r="L211" s="844"/>
      <c r="M211" s="844"/>
      <c r="N211" s="844"/>
      <c r="O211" s="844"/>
      <c r="P211" s="844"/>
      <c r="Q211" s="844"/>
      <c r="R211" s="844"/>
      <c r="S211" s="844"/>
      <c r="T211" s="844"/>
      <c r="U211" s="844"/>
      <c r="V211" s="844"/>
      <c r="W211" s="844"/>
      <c r="X211" s="844"/>
      <c r="Y211" s="844"/>
      <c r="Z211" s="844"/>
      <c r="AA211" s="844"/>
      <c r="AB211" s="844"/>
      <c r="AC211" s="844"/>
      <c r="AD211" s="844"/>
      <c r="AE211" s="844"/>
      <c r="AF211" s="844"/>
      <c r="AG211" s="845"/>
      <c r="AH211" s="849"/>
      <c r="AI211" s="850"/>
      <c r="AJ211" s="850"/>
      <c r="AK211" s="850"/>
      <c r="AL211" s="850"/>
      <c r="AM211" s="850"/>
      <c r="AN211" s="850"/>
      <c r="AO211" s="850"/>
      <c r="AP211" s="850"/>
      <c r="AQ211" s="850"/>
      <c r="AR211" s="850"/>
      <c r="AS211" s="850"/>
      <c r="AT211" s="850"/>
      <c r="AU211" s="850"/>
      <c r="AV211" s="850"/>
      <c r="AW211" s="850"/>
      <c r="AX211" s="850"/>
      <c r="AY211" s="850"/>
      <c r="AZ211" s="850"/>
      <c r="BA211" s="850"/>
      <c r="BB211" s="850"/>
      <c r="BC211" s="850"/>
      <c r="BD211" s="850"/>
      <c r="BE211" s="850"/>
      <c r="BF211" s="850"/>
      <c r="BG211" s="850"/>
      <c r="BH211" s="850"/>
      <c r="BI211" s="850"/>
      <c r="BJ211" s="850"/>
      <c r="BK211" s="850"/>
      <c r="BL211" s="850"/>
      <c r="BM211" s="850"/>
      <c r="BN211" s="850"/>
      <c r="BO211" s="850"/>
      <c r="BP211" s="850"/>
      <c r="BQ211" s="850"/>
      <c r="BR211" s="850"/>
      <c r="BS211" s="850"/>
      <c r="BT211" s="850"/>
      <c r="BU211" s="850"/>
      <c r="BV211" s="850"/>
      <c r="BW211" s="850"/>
      <c r="BX211" s="850"/>
      <c r="BY211" s="850"/>
      <c r="BZ211" s="850"/>
      <c r="CA211" s="850"/>
      <c r="CB211" s="851"/>
      <c r="CC211" s="226"/>
      <c r="CD211" s="226"/>
      <c r="CE211" s="227"/>
    </row>
    <row r="212" spans="1:83" s="228" customFormat="1" x14ac:dyDescent="0.15">
      <c r="A212" s="229"/>
      <c r="B212" s="226"/>
      <c r="C212" s="226"/>
      <c r="D212" s="840"/>
      <c r="E212" s="841"/>
      <c r="F212" s="841"/>
      <c r="G212" s="841"/>
      <c r="H212" s="842"/>
      <c r="I212" s="846"/>
      <c r="J212" s="847"/>
      <c r="K212" s="847"/>
      <c r="L212" s="847"/>
      <c r="M212" s="847"/>
      <c r="N212" s="847"/>
      <c r="O212" s="847"/>
      <c r="P212" s="847"/>
      <c r="Q212" s="847"/>
      <c r="R212" s="847"/>
      <c r="S212" s="847"/>
      <c r="T212" s="847"/>
      <c r="U212" s="847"/>
      <c r="V212" s="847"/>
      <c r="W212" s="847"/>
      <c r="X212" s="847"/>
      <c r="Y212" s="847"/>
      <c r="Z212" s="847"/>
      <c r="AA212" s="847"/>
      <c r="AB212" s="847"/>
      <c r="AC212" s="847"/>
      <c r="AD212" s="847"/>
      <c r="AE212" s="847"/>
      <c r="AF212" s="847"/>
      <c r="AG212" s="848"/>
      <c r="AH212" s="547"/>
      <c r="AI212" s="548"/>
      <c r="AJ212" s="548"/>
      <c r="AK212" s="548"/>
      <c r="AL212" s="548"/>
      <c r="AM212" s="548"/>
      <c r="AN212" s="548"/>
      <c r="AO212" s="548"/>
      <c r="AP212" s="548"/>
      <c r="AQ212" s="548"/>
      <c r="AR212" s="548"/>
      <c r="AS212" s="548"/>
      <c r="AT212" s="548"/>
      <c r="AU212" s="548"/>
      <c r="AV212" s="548"/>
      <c r="AW212" s="548"/>
      <c r="AX212" s="548"/>
      <c r="AY212" s="548"/>
      <c r="AZ212" s="548"/>
      <c r="BA212" s="548"/>
      <c r="BB212" s="548"/>
      <c r="BC212" s="548"/>
      <c r="BD212" s="548"/>
      <c r="BE212" s="548"/>
      <c r="BF212" s="548"/>
      <c r="BG212" s="548"/>
      <c r="BH212" s="548"/>
      <c r="BI212" s="548"/>
      <c r="BJ212" s="548"/>
      <c r="BK212" s="548"/>
      <c r="BL212" s="548"/>
      <c r="BM212" s="548"/>
      <c r="BN212" s="548"/>
      <c r="BO212" s="548"/>
      <c r="BP212" s="548"/>
      <c r="BQ212" s="548"/>
      <c r="BR212" s="548"/>
      <c r="BS212" s="548"/>
      <c r="BT212" s="548"/>
      <c r="BU212" s="548"/>
      <c r="BV212" s="548"/>
      <c r="BW212" s="548"/>
      <c r="BX212" s="548"/>
      <c r="BY212" s="548"/>
      <c r="BZ212" s="548"/>
      <c r="CA212" s="548"/>
      <c r="CB212" s="549"/>
      <c r="CC212" s="226"/>
      <c r="CD212" s="226"/>
      <c r="CE212" s="227"/>
    </row>
    <row r="213" spans="1:83" s="228" customFormat="1" ht="13.5" x14ac:dyDescent="0.15">
      <c r="A213" s="229"/>
      <c r="B213" s="226"/>
      <c r="C213" s="226"/>
      <c r="D213" s="593" t="s">
        <v>125</v>
      </c>
      <c r="E213" s="594"/>
      <c r="F213" s="594"/>
      <c r="G213" s="594"/>
      <c r="H213" s="595"/>
      <c r="I213" s="111" t="s">
        <v>421</v>
      </c>
      <c r="J213" s="113"/>
      <c r="K213" s="113"/>
      <c r="L213" s="113"/>
      <c r="M213" s="113"/>
      <c r="N213" s="113"/>
      <c r="O213" s="113"/>
      <c r="P213" s="113"/>
      <c r="Q213" s="113"/>
      <c r="R213" s="113"/>
      <c r="S213" s="749" t="s">
        <v>853</v>
      </c>
      <c r="T213" s="750"/>
      <c r="U213" s="750"/>
      <c r="V213" s="750"/>
      <c r="W213" s="750"/>
      <c r="X213" s="750"/>
      <c r="Y213" s="750"/>
      <c r="Z213" s="750"/>
      <c r="AA213" s="750"/>
      <c r="AB213" s="750"/>
      <c r="AC213" s="750"/>
      <c r="AD213" s="750"/>
      <c r="AE213" s="750"/>
      <c r="AF213" s="750"/>
      <c r="AG213" s="751"/>
      <c r="AH213" s="599" t="s">
        <v>433</v>
      </c>
      <c r="AI213" s="920"/>
      <c r="AJ213" s="920"/>
      <c r="AK213" s="920"/>
      <c r="AL213" s="920"/>
      <c r="AM213" s="920"/>
      <c r="AN213" s="920"/>
      <c r="AO213" s="920"/>
      <c r="AP213" s="920"/>
      <c r="AQ213" s="920"/>
      <c r="AR213" s="920"/>
      <c r="AS213" s="920"/>
      <c r="AT213" s="920"/>
      <c r="AU213" s="920"/>
      <c r="AV213" s="920"/>
      <c r="AW213" s="920"/>
      <c r="AX213" s="920"/>
      <c r="AY213" s="920"/>
      <c r="AZ213" s="920"/>
      <c r="BA213" s="920"/>
      <c r="BB213" s="920"/>
      <c r="BC213" s="920"/>
      <c r="BD213" s="920"/>
      <c r="BE213" s="920"/>
      <c r="BF213" s="920"/>
      <c r="BG213" s="920"/>
      <c r="BH213" s="920"/>
      <c r="BI213" s="920"/>
      <c r="BJ213" s="920"/>
      <c r="BK213" s="920"/>
      <c r="BL213" s="920"/>
      <c r="BM213" s="920"/>
      <c r="BN213" s="920"/>
      <c r="BO213" s="920"/>
      <c r="BP213" s="920"/>
      <c r="BQ213" s="920"/>
      <c r="BR213" s="920"/>
      <c r="BS213" s="920"/>
      <c r="BT213" s="920"/>
      <c r="BU213" s="920"/>
      <c r="BV213" s="920"/>
      <c r="BW213" s="920"/>
      <c r="BX213" s="920"/>
      <c r="BY213" s="920"/>
      <c r="BZ213" s="920"/>
      <c r="CA213" s="920"/>
      <c r="CB213" s="921"/>
      <c r="CC213" s="226"/>
      <c r="CD213" s="226"/>
      <c r="CE213" s="227"/>
    </row>
    <row r="214" spans="1:83" s="228" customFormat="1" x14ac:dyDescent="0.15">
      <c r="A214" s="229"/>
      <c r="B214" s="226"/>
      <c r="C214" s="226"/>
      <c r="D214" s="596"/>
      <c r="E214" s="597"/>
      <c r="F214" s="597"/>
      <c r="G214" s="597"/>
      <c r="H214" s="598"/>
      <c r="I214" s="114"/>
      <c r="J214" s="115"/>
      <c r="K214" s="115"/>
      <c r="L214" s="115"/>
      <c r="M214" s="115"/>
      <c r="N214" s="115"/>
      <c r="O214" s="115"/>
      <c r="P214" s="115"/>
      <c r="Q214" s="115"/>
      <c r="R214" s="115"/>
      <c r="S214" s="111" t="s">
        <v>126</v>
      </c>
      <c r="T214" s="112"/>
      <c r="U214" s="112"/>
      <c r="V214" s="112"/>
      <c r="W214" s="112"/>
      <c r="X214" s="112"/>
      <c r="Y214" s="112"/>
      <c r="Z214" s="112"/>
      <c r="AA214" s="112"/>
      <c r="AB214" s="112"/>
      <c r="AC214" s="112"/>
      <c r="AD214" s="112"/>
      <c r="AE214" s="112"/>
      <c r="AF214" s="112"/>
      <c r="AG214" s="145"/>
      <c r="AH214" s="519" t="s">
        <v>127</v>
      </c>
      <c r="AI214" s="698"/>
      <c r="AJ214" s="698"/>
      <c r="AK214" s="698"/>
      <c r="AL214" s="698"/>
      <c r="AM214" s="698"/>
      <c r="AN214" s="698"/>
      <c r="AO214" s="698"/>
      <c r="AP214" s="698"/>
      <c r="AQ214" s="698"/>
      <c r="AR214" s="698"/>
      <c r="AS214" s="698"/>
      <c r="AT214" s="698"/>
      <c r="AU214" s="698"/>
      <c r="AV214" s="698"/>
      <c r="AW214" s="698"/>
      <c r="AX214" s="698"/>
      <c r="AY214" s="698"/>
      <c r="AZ214" s="698"/>
      <c r="BA214" s="698"/>
      <c r="BB214" s="698"/>
      <c r="BC214" s="698"/>
      <c r="BD214" s="698"/>
      <c r="BE214" s="698"/>
      <c r="BF214" s="698"/>
      <c r="BG214" s="698"/>
      <c r="BH214" s="698"/>
      <c r="BI214" s="698"/>
      <c r="BJ214" s="698"/>
      <c r="BK214" s="698"/>
      <c r="BL214" s="698"/>
      <c r="BM214" s="698"/>
      <c r="BN214" s="698"/>
      <c r="BO214" s="698"/>
      <c r="BP214" s="698"/>
      <c r="BQ214" s="698"/>
      <c r="BR214" s="698"/>
      <c r="BS214" s="698"/>
      <c r="BT214" s="698"/>
      <c r="BU214" s="698"/>
      <c r="BV214" s="698"/>
      <c r="BW214" s="698"/>
      <c r="BX214" s="698"/>
      <c r="BY214" s="698"/>
      <c r="BZ214" s="698"/>
      <c r="CA214" s="698"/>
      <c r="CB214" s="699"/>
      <c r="CC214" s="226"/>
      <c r="CD214" s="226"/>
      <c r="CE214" s="227"/>
    </row>
    <row r="215" spans="1:83" s="228" customFormat="1" x14ac:dyDescent="0.15">
      <c r="A215" s="229"/>
      <c r="B215" s="226"/>
      <c r="C215" s="226"/>
      <c r="D215" s="596"/>
      <c r="E215" s="597"/>
      <c r="F215" s="597"/>
      <c r="G215" s="597"/>
      <c r="H215" s="598"/>
      <c r="I215" s="114"/>
      <c r="J215" s="115"/>
      <c r="K215" s="115"/>
      <c r="L215" s="115"/>
      <c r="M215" s="115"/>
      <c r="N215" s="115"/>
      <c r="O215" s="115"/>
      <c r="P215" s="115"/>
      <c r="Q215" s="115"/>
      <c r="R215" s="115"/>
      <c r="S215" s="127" t="s">
        <v>128</v>
      </c>
      <c r="T215" s="125"/>
      <c r="U215" s="125"/>
      <c r="V215" s="125"/>
      <c r="W215" s="125"/>
      <c r="X215" s="125"/>
      <c r="Y215" s="125"/>
      <c r="Z215" s="125"/>
      <c r="AA215" s="125"/>
      <c r="AB215" s="125"/>
      <c r="AC215" s="125"/>
      <c r="AD215" s="125"/>
      <c r="AE215" s="125"/>
      <c r="AF215" s="125"/>
      <c r="AG215" s="126"/>
      <c r="AH215" s="700"/>
      <c r="AI215" s="922"/>
      <c r="AJ215" s="922"/>
      <c r="AK215" s="922"/>
      <c r="AL215" s="922"/>
      <c r="AM215" s="922"/>
      <c r="AN215" s="922"/>
      <c r="AO215" s="922"/>
      <c r="AP215" s="922"/>
      <c r="AQ215" s="922"/>
      <c r="AR215" s="922"/>
      <c r="AS215" s="922"/>
      <c r="AT215" s="922"/>
      <c r="AU215" s="922"/>
      <c r="AV215" s="922"/>
      <c r="AW215" s="922"/>
      <c r="AX215" s="922"/>
      <c r="AY215" s="922"/>
      <c r="AZ215" s="922"/>
      <c r="BA215" s="922"/>
      <c r="BB215" s="922"/>
      <c r="BC215" s="922"/>
      <c r="BD215" s="922"/>
      <c r="BE215" s="922"/>
      <c r="BF215" s="922"/>
      <c r="BG215" s="922"/>
      <c r="BH215" s="922"/>
      <c r="BI215" s="922"/>
      <c r="BJ215" s="922"/>
      <c r="BK215" s="922"/>
      <c r="BL215" s="922"/>
      <c r="BM215" s="922"/>
      <c r="BN215" s="922"/>
      <c r="BO215" s="922"/>
      <c r="BP215" s="922"/>
      <c r="BQ215" s="922"/>
      <c r="BR215" s="922"/>
      <c r="BS215" s="922"/>
      <c r="BT215" s="922"/>
      <c r="BU215" s="922"/>
      <c r="BV215" s="922"/>
      <c r="BW215" s="922"/>
      <c r="BX215" s="922"/>
      <c r="BY215" s="922"/>
      <c r="BZ215" s="922"/>
      <c r="CA215" s="922"/>
      <c r="CB215" s="702"/>
      <c r="CC215" s="226"/>
      <c r="CD215" s="226"/>
      <c r="CE215" s="227"/>
    </row>
    <row r="216" spans="1:83" s="228" customFormat="1" ht="13.5" x14ac:dyDescent="0.15">
      <c r="A216" s="229"/>
      <c r="B216" s="226"/>
      <c r="C216" s="226"/>
      <c r="D216" s="840"/>
      <c r="E216" s="841"/>
      <c r="F216" s="841"/>
      <c r="G216" s="841"/>
      <c r="H216" s="842"/>
      <c r="I216" s="181"/>
      <c r="J216" s="182"/>
      <c r="K216" s="182"/>
      <c r="L216" s="182"/>
      <c r="M216" s="182"/>
      <c r="N216" s="182"/>
      <c r="O216" s="182"/>
      <c r="P216" s="182"/>
      <c r="Q216" s="182"/>
      <c r="R216" s="182"/>
      <c r="S216" s="178"/>
      <c r="T216" s="179"/>
      <c r="U216" s="179"/>
      <c r="V216" s="179"/>
      <c r="W216" s="179"/>
      <c r="X216" s="179"/>
      <c r="Y216" s="179"/>
      <c r="Z216" s="179"/>
      <c r="AA216" s="179"/>
      <c r="AB216" s="179"/>
      <c r="AC216" s="179"/>
      <c r="AD216" s="179"/>
      <c r="AE216" s="179"/>
      <c r="AF216" s="179"/>
      <c r="AG216" s="180"/>
      <c r="AH216" s="550"/>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2"/>
      <c r="CC216" s="226"/>
      <c r="CD216" s="226"/>
      <c r="CE216" s="227"/>
    </row>
    <row r="217" spans="1:83" s="228" customFormat="1" x14ac:dyDescent="0.15">
      <c r="A217" s="229"/>
      <c r="B217" s="226"/>
      <c r="C217" s="226"/>
      <c r="D217" s="501" t="s">
        <v>129</v>
      </c>
      <c r="E217" s="502"/>
      <c r="F217" s="502"/>
      <c r="G217" s="502"/>
      <c r="H217" s="503"/>
      <c r="I217" s="568" t="s">
        <v>130</v>
      </c>
      <c r="J217" s="569"/>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70"/>
      <c r="AH217" s="577" t="s">
        <v>933</v>
      </c>
      <c r="AI217" s="578"/>
      <c r="AJ217" s="578"/>
      <c r="AK217" s="578"/>
      <c r="AL217" s="578"/>
      <c r="AM217" s="578"/>
      <c r="AN217" s="578"/>
      <c r="AO217" s="578"/>
      <c r="AP217" s="578"/>
      <c r="AQ217" s="578"/>
      <c r="AR217" s="578"/>
      <c r="AS217" s="578"/>
      <c r="AT217" s="578"/>
      <c r="AU217" s="578"/>
      <c r="AV217" s="578"/>
      <c r="AW217" s="578"/>
      <c r="AX217" s="578"/>
      <c r="AY217" s="578"/>
      <c r="AZ217" s="578"/>
      <c r="BA217" s="578"/>
      <c r="BB217" s="578"/>
      <c r="BC217" s="578"/>
      <c r="BD217" s="578"/>
      <c r="BE217" s="578"/>
      <c r="BF217" s="578"/>
      <c r="BG217" s="578"/>
      <c r="BH217" s="578"/>
      <c r="BI217" s="578"/>
      <c r="BJ217" s="578"/>
      <c r="BK217" s="578"/>
      <c r="BL217" s="578"/>
      <c r="BM217" s="578"/>
      <c r="BN217" s="578"/>
      <c r="BO217" s="578"/>
      <c r="BP217" s="578"/>
      <c r="BQ217" s="578"/>
      <c r="BR217" s="578"/>
      <c r="BS217" s="578"/>
      <c r="BT217" s="578"/>
      <c r="BU217" s="578"/>
      <c r="BV217" s="578"/>
      <c r="BW217" s="578"/>
      <c r="BX217" s="578"/>
      <c r="BY217" s="578"/>
      <c r="BZ217" s="578"/>
      <c r="CA217" s="578"/>
      <c r="CB217" s="579"/>
      <c r="CC217" s="226"/>
      <c r="CD217" s="226"/>
      <c r="CE217" s="227"/>
    </row>
    <row r="218" spans="1:83" s="228" customFormat="1" x14ac:dyDescent="0.15">
      <c r="A218" s="229"/>
      <c r="B218" s="226"/>
      <c r="C218" s="226"/>
      <c r="D218" s="528"/>
      <c r="E218" s="529"/>
      <c r="F218" s="529"/>
      <c r="G218" s="529"/>
      <c r="H218" s="530"/>
      <c r="I218" s="924"/>
      <c r="J218" s="925"/>
      <c r="K218" s="925"/>
      <c r="L218" s="925"/>
      <c r="M218" s="925"/>
      <c r="N218" s="925"/>
      <c r="O218" s="925"/>
      <c r="P218" s="925"/>
      <c r="Q218" s="925"/>
      <c r="R218" s="925"/>
      <c r="S218" s="925"/>
      <c r="T218" s="925"/>
      <c r="U218" s="925"/>
      <c r="V218" s="925"/>
      <c r="W218" s="925"/>
      <c r="X218" s="925"/>
      <c r="Y218" s="925"/>
      <c r="Z218" s="925"/>
      <c r="AA218" s="925"/>
      <c r="AB218" s="925"/>
      <c r="AC218" s="925"/>
      <c r="AD218" s="925"/>
      <c r="AE218" s="925"/>
      <c r="AF218" s="925"/>
      <c r="AG218" s="926"/>
      <c r="AH218" s="927"/>
      <c r="AI218" s="928"/>
      <c r="AJ218" s="928"/>
      <c r="AK218" s="928"/>
      <c r="AL218" s="928"/>
      <c r="AM218" s="928"/>
      <c r="AN218" s="928"/>
      <c r="AO218" s="928"/>
      <c r="AP218" s="928"/>
      <c r="AQ218" s="928"/>
      <c r="AR218" s="928"/>
      <c r="AS218" s="928"/>
      <c r="AT218" s="928"/>
      <c r="AU218" s="928"/>
      <c r="AV218" s="928"/>
      <c r="AW218" s="928"/>
      <c r="AX218" s="928"/>
      <c r="AY218" s="928"/>
      <c r="AZ218" s="928"/>
      <c r="BA218" s="928"/>
      <c r="BB218" s="928"/>
      <c r="BC218" s="928"/>
      <c r="BD218" s="928"/>
      <c r="BE218" s="928"/>
      <c r="BF218" s="928"/>
      <c r="BG218" s="928"/>
      <c r="BH218" s="928"/>
      <c r="BI218" s="928"/>
      <c r="BJ218" s="928"/>
      <c r="BK218" s="928"/>
      <c r="BL218" s="928"/>
      <c r="BM218" s="928"/>
      <c r="BN218" s="928"/>
      <c r="BO218" s="928"/>
      <c r="BP218" s="928"/>
      <c r="BQ218" s="928"/>
      <c r="BR218" s="928"/>
      <c r="BS218" s="928"/>
      <c r="BT218" s="928"/>
      <c r="BU218" s="928"/>
      <c r="BV218" s="928"/>
      <c r="BW218" s="928"/>
      <c r="BX218" s="928"/>
      <c r="BY218" s="928"/>
      <c r="BZ218" s="928"/>
      <c r="CA218" s="928"/>
      <c r="CB218" s="929"/>
      <c r="CC218" s="226"/>
      <c r="CD218" s="226"/>
      <c r="CE218" s="227"/>
    </row>
    <row r="219" spans="1:83" s="228" customFormat="1" x14ac:dyDescent="0.15">
      <c r="A219" s="229"/>
      <c r="B219" s="226"/>
      <c r="C219" s="226"/>
      <c r="D219" s="837"/>
      <c r="E219" s="838"/>
      <c r="F219" s="838"/>
      <c r="G219" s="838"/>
      <c r="H219" s="839"/>
      <c r="I219" s="843"/>
      <c r="J219" s="844"/>
      <c r="K219" s="844"/>
      <c r="L219" s="844"/>
      <c r="M219" s="844"/>
      <c r="N219" s="844"/>
      <c r="O219" s="844"/>
      <c r="P219" s="844"/>
      <c r="Q219" s="844"/>
      <c r="R219" s="844"/>
      <c r="S219" s="844"/>
      <c r="T219" s="844"/>
      <c r="U219" s="844"/>
      <c r="V219" s="844"/>
      <c r="W219" s="844"/>
      <c r="X219" s="844"/>
      <c r="Y219" s="844"/>
      <c r="Z219" s="844"/>
      <c r="AA219" s="844"/>
      <c r="AB219" s="844"/>
      <c r="AC219" s="844"/>
      <c r="AD219" s="844"/>
      <c r="AE219" s="844"/>
      <c r="AF219" s="844"/>
      <c r="AG219" s="845"/>
      <c r="AH219" s="849"/>
      <c r="AI219" s="850"/>
      <c r="AJ219" s="850"/>
      <c r="AK219" s="850"/>
      <c r="AL219" s="850"/>
      <c r="AM219" s="850"/>
      <c r="AN219" s="850"/>
      <c r="AO219" s="850"/>
      <c r="AP219" s="850"/>
      <c r="AQ219" s="850"/>
      <c r="AR219" s="850"/>
      <c r="AS219" s="850"/>
      <c r="AT219" s="850"/>
      <c r="AU219" s="850"/>
      <c r="AV219" s="850"/>
      <c r="AW219" s="850"/>
      <c r="AX219" s="850"/>
      <c r="AY219" s="850"/>
      <c r="AZ219" s="850"/>
      <c r="BA219" s="850"/>
      <c r="BB219" s="850"/>
      <c r="BC219" s="850"/>
      <c r="BD219" s="850"/>
      <c r="BE219" s="850"/>
      <c r="BF219" s="850"/>
      <c r="BG219" s="850"/>
      <c r="BH219" s="850"/>
      <c r="BI219" s="850"/>
      <c r="BJ219" s="850"/>
      <c r="BK219" s="850"/>
      <c r="BL219" s="850"/>
      <c r="BM219" s="850"/>
      <c r="BN219" s="850"/>
      <c r="BO219" s="850"/>
      <c r="BP219" s="850"/>
      <c r="BQ219" s="850"/>
      <c r="BR219" s="850"/>
      <c r="BS219" s="850"/>
      <c r="BT219" s="850"/>
      <c r="BU219" s="850"/>
      <c r="BV219" s="850"/>
      <c r="BW219" s="850"/>
      <c r="BX219" s="850"/>
      <c r="BY219" s="850"/>
      <c r="BZ219" s="850"/>
      <c r="CA219" s="850"/>
      <c r="CB219" s="851"/>
      <c r="CC219" s="226"/>
      <c r="CD219" s="226"/>
      <c r="CE219" s="227"/>
    </row>
    <row r="220" spans="1:83" s="228" customFormat="1" x14ac:dyDescent="0.15">
      <c r="A220" s="229"/>
      <c r="B220" s="226"/>
      <c r="C220" s="226"/>
      <c r="D220" s="840"/>
      <c r="E220" s="841"/>
      <c r="F220" s="841"/>
      <c r="G220" s="841"/>
      <c r="H220" s="842"/>
      <c r="I220" s="846"/>
      <c r="J220" s="847"/>
      <c r="K220" s="847"/>
      <c r="L220" s="847"/>
      <c r="M220" s="847"/>
      <c r="N220" s="847"/>
      <c r="O220" s="847"/>
      <c r="P220" s="847"/>
      <c r="Q220" s="847"/>
      <c r="R220" s="847"/>
      <c r="S220" s="847"/>
      <c r="T220" s="847"/>
      <c r="U220" s="847"/>
      <c r="V220" s="847"/>
      <c r="W220" s="847"/>
      <c r="X220" s="847"/>
      <c r="Y220" s="847"/>
      <c r="Z220" s="847"/>
      <c r="AA220" s="847"/>
      <c r="AB220" s="847"/>
      <c r="AC220" s="847"/>
      <c r="AD220" s="847"/>
      <c r="AE220" s="847"/>
      <c r="AF220" s="847"/>
      <c r="AG220" s="848"/>
      <c r="AH220" s="547"/>
      <c r="AI220" s="548"/>
      <c r="AJ220" s="548"/>
      <c r="AK220" s="548"/>
      <c r="AL220" s="548"/>
      <c r="AM220" s="548"/>
      <c r="AN220" s="548"/>
      <c r="AO220" s="548"/>
      <c r="AP220" s="548"/>
      <c r="AQ220" s="548"/>
      <c r="AR220" s="548"/>
      <c r="AS220" s="548"/>
      <c r="AT220" s="548"/>
      <c r="AU220" s="548"/>
      <c r="AV220" s="548"/>
      <c r="AW220" s="548"/>
      <c r="AX220" s="548"/>
      <c r="AY220" s="548"/>
      <c r="AZ220" s="548"/>
      <c r="BA220" s="548"/>
      <c r="BB220" s="548"/>
      <c r="BC220" s="548"/>
      <c r="BD220" s="548"/>
      <c r="BE220" s="548"/>
      <c r="BF220" s="548"/>
      <c r="BG220" s="548"/>
      <c r="BH220" s="548"/>
      <c r="BI220" s="548"/>
      <c r="BJ220" s="548"/>
      <c r="BK220" s="548"/>
      <c r="BL220" s="548"/>
      <c r="BM220" s="548"/>
      <c r="BN220" s="548"/>
      <c r="BO220" s="548"/>
      <c r="BP220" s="548"/>
      <c r="BQ220" s="548"/>
      <c r="BR220" s="548"/>
      <c r="BS220" s="548"/>
      <c r="BT220" s="548"/>
      <c r="BU220" s="548"/>
      <c r="BV220" s="548"/>
      <c r="BW220" s="548"/>
      <c r="BX220" s="548"/>
      <c r="BY220" s="548"/>
      <c r="BZ220" s="548"/>
      <c r="CA220" s="548"/>
      <c r="CB220" s="549"/>
      <c r="CC220" s="226"/>
      <c r="CD220" s="226"/>
      <c r="CE220" s="227"/>
    </row>
    <row r="221" spans="1:83" x14ac:dyDescent="0.15">
      <c r="A221" s="109"/>
      <c r="B221" s="3"/>
      <c r="C221" s="3"/>
      <c r="D221" s="501" t="s">
        <v>750</v>
      </c>
      <c r="E221" s="502"/>
      <c r="F221" s="502"/>
      <c r="G221" s="502"/>
      <c r="H221" s="503"/>
      <c r="I221" s="568" t="s">
        <v>767</v>
      </c>
      <c r="J221" s="569"/>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70"/>
      <c r="AH221" s="577" t="s">
        <v>710</v>
      </c>
      <c r="AI221" s="578"/>
      <c r="AJ221" s="578"/>
      <c r="AK221" s="578"/>
      <c r="AL221" s="578"/>
      <c r="AM221" s="578"/>
      <c r="AN221" s="578"/>
      <c r="AO221" s="578"/>
      <c r="AP221" s="578"/>
      <c r="AQ221" s="578"/>
      <c r="AR221" s="578"/>
      <c r="AS221" s="578"/>
      <c r="AT221" s="578"/>
      <c r="AU221" s="578"/>
      <c r="AV221" s="578"/>
      <c r="AW221" s="578"/>
      <c r="AX221" s="578"/>
      <c r="AY221" s="578"/>
      <c r="AZ221" s="578"/>
      <c r="BA221" s="578"/>
      <c r="BB221" s="578"/>
      <c r="BC221" s="578"/>
      <c r="BD221" s="578"/>
      <c r="BE221" s="578"/>
      <c r="BF221" s="578"/>
      <c r="BG221" s="578"/>
      <c r="BH221" s="578"/>
      <c r="BI221" s="578"/>
      <c r="BJ221" s="578"/>
      <c r="BK221" s="578"/>
      <c r="BL221" s="578"/>
      <c r="BM221" s="578"/>
      <c r="BN221" s="578"/>
      <c r="BO221" s="578"/>
      <c r="BP221" s="578"/>
      <c r="BQ221" s="578"/>
      <c r="BR221" s="578"/>
      <c r="BS221" s="578"/>
      <c r="BT221" s="578"/>
      <c r="BU221" s="578"/>
      <c r="BV221" s="578"/>
      <c r="BW221" s="578"/>
      <c r="BX221" s="578"/>
      <c r="BY221" s="578"/>
      <c r="BZ221" s="578"/>
      <c r="CA221" s="578"/>
      <c r="CB221" s="579"/>
      <c r="CC221" s="3"/>
      <c r="CD221" s="3"/>
      <c r="CE221" s="100"/>
    </row>
    <row r="222" spans="1:83" x14ac:dyDescent="0.15">
      <c r="A222" s="109"/>
      <c r="B222" s="3"/>
      <c r="C222" s="3"/>
      <c r="D222" s="837"/>
      <c r="E222" s="838"/>
      <c r="F222" s="838"/>
      <c r="G222" s="838"/>
      <c r="H222" s="839"/>
      <c r="I222" s="843"/>
      <c r="J222" s="844"/>
      <c r="K222" s="844"/>
      <c r="L222" s="844"/>
      <c r="M222" s="844"/>
      <c r="N222" s="844"/>
      <c r="O222" s="844"/>
      <c r="P222" s="844"/>
      <c r="Q222" s="844"/>
      <c r="R222" s="844"/>
      <c r="S222" s="844"/>
      <c r="T222" s="844"/>
      <c r="U222" s="844"/>
      <c r="V222" s="844"/>
      <c r="W222" s="844"/>
      <c r="X222" s="844"/>
      <c r="Y222" s="844"/>
      <c r="Z222" s="844"/>
      <c r="AA222" s="844"/>
      <c r="AB222" s="844"/>
      <c r="AC222" s="844"/>
      <c r="AD222" s="844"/>
      <c r="AE222" s="844"/>
      <c r="AF222" s="844"/>
      <c r="AG222" s="845"/>
      <c r="AH222" s="849"/>
      <c r="AI222" s="850"/>
      <c r="AJ222" s="850"/>
      <c r="AK222" s="850"/>
      <c r="AL222" s="850"/>
      <c r="AM222" s="850"/>
      <c r="AN222" s="850"/>
      <c r="AO222" s="850"/>
      <c r="AP222" s="850"/>
      <c r="AQ222" s="850"/>
      <c r="AR222" s="850"/>
      <c r="AS222" s="850"/>
      <c r="AT222" s="850"/>
      <c r="AU222" s="850"/>
      <c r="AV222" s="850"/>
      <c r="AW222" s="850"/>
      <c r="AX222" s="850"/>
      <c r="AY222" s="850"/>
      <c r="AZ222" s="850"/>
      <c r="BA222" s="850"/>
      <c r="BB222" s="850"/>
      <c r="BC222" s="850"/>
      <c r="BD222" s="850"/>
      <c r="BE222" s="850"/>
      <c r="BF222" s="850"/>
      <c r="BG222" s="850"/>
      <c r="BH222" s="850"/>
      <c r="BI222" s="850"/>
      <c r="BJ222" s="850"/>
      <c r="BK222" s="850"/>
      <c r="BL222" s="850"/>
      <c r="BM222" s="850"/>
      <c r="BN222" s="850"/>
      <c r="BO222" s="850"/>
      <c r="BP222" s="850"/>
      <c r="BQ222" s="850"/>
      <c r="BR222" s="850"/>
      <c r="BS222" s="850"/>
      <c r="BT222" s="850"/>
      <c r="BU222" s="850"/>
      <c r="BV222" s="850"/>
      <c r="BW222" s="850"/>
      <c r="BX222" s="850"/>
      <c r="BY222" s="850"/>
      <c r="BZ222" s="850"/>
      <c r="CA222" s="850"/>
      <c r="CB222" s="851"/>
      <c r="CC222" s="3"/>
      <c r="CD222" s="3"/>
      <c r="CE222" s="100"/>
    </row>
    <row r="223" spans="1:83" x14ac:dyDescent="0.15">
      <c r="A223" s="109"/>
      <c r="B223" s="3"/>
      <c r="C223" s="3"/>
      <c r="D223" s="840"/>
      <c r="E223" s="841"/>
      <c r="F223" s="841"/>
      <c r="G223" s="841"/>
      <c r="H223" s="842"/>
      <c r="I223" s="846"/>
      <c r="J223" s="847"/>
      <c r="K223" s="847"/>
      <c r="L223" s="847"/>
      <c r="M223" s="847"/>
      <c r="N223" s="847"/>
      <c r="O223" s="847"/>
      <c r="P223" s="847"/>
      <c r="Q223" s="847"/>
      <c r="R223" s="847"/>
      <c r="S223" s="847"/>
      <c r="T223" s="847"/>
      <c r="U223" s="847"/>
      <c r="V223" s="847"/>
      <c r="W223" s="847"/>
      <c r="X223" s="847"/>
      <c r="Y223" s="847"/>
      <c r="Z223" s="847"/>
      <c r="AA223" s="847"/>
      <c r="AB223" s="847"/>
      <c r="AC223" s="847"/>
      <c r="AD223" s="847"/>
      <c r="AE223" s="847"/>
      <c r="AF223" s="847"/>
      <c r="AG223" s="848"/>
      <c r="AH223" s="547"/>
      <c r="AI223" s="548"/>
      <c r="AJ223" s="548"/>
      <c r="AK223" s="548"/>
      <c r="AL223" s="548"/>
      <c r="AM223" s="548"/>
      <c r="AN223" s="548"/>
      <c r="AO223" s="548"/>
      <c r="AP223" s="548"/>
      <c r="AQ223" s="548"/>
      <c r="AR223" s="548"/>
      <c r="AS223" s="548"/>
      <c r="AT223" s="548"/>
      <c r="AU223" s="548"/>
      <c r="AV223" s="548"/>
      <c r="AW223" s="548"/>
      <c r="AX223" s="548"/>
      <c r="AY223" s="548"/>
      <c r="AZ223" s="548"/>
      <c r="BA223" s="548"/>
      <c r="BB223" s="548"/>
      <c r="BC223" s="548"/>
      <c r="BD223" s="548"/>
      <c r="BE223" s="548"/>
      <c r="BF223" s="548"/>
      <c r="BG223" s="548"/>
      <c r="BH223" s="548"/>
      <c r="BI223" s="548"/>
      <c r="BJ223" s="548"/>
      <c r="BK223" s="548"/>
      <c r="BL223" s="548"/>
      <c r="BM223" s="548"/>
      <c r="BN223" s="548"/>
      <c r="BO223" s="548"/>
      <c r="BP223" s="548"/>
      <c r="BQ223" s="548"/>
      <c r="BR223" s="548"/>
      <c r="BS223" s="548"/>
      <c r="BT223" s="548"/>
      <c r="BU223" s="548"/>
      <c r="BV223" s="548"/>
      <c r="BW223" s="548"/>
      <c r="BX223" s="548"/>
      <c r="BY223" s="548"/>
      <c r="BZ223" s="548"/>
      <c r="CA223" s="548"/>
      <c r="CB223" s="549"/>
      <c r="CC223" s="3"/>
      <c r="CD223" s="3"/>
      <c r="CE223" s="100"/>
    </row>
    <row r="224" spans="1:83" s="228" customFormat="1" x14ac:dyDescent="0.15">
      <c r="A224" s="229"/>
      <c r="B224" s="226"/>
      <c r="C224" s="226"/>
      <c r="D224" s="226"/>
      <c r="E224" s="226"/>
      <c r="F224" s="226"/>
      <c r="G224" s="226"/>
      <c r="H224" s="226"/>
      <c r="I224" s="226"/>
      <c r="J224" s="226"/>
      <c r="K224" s="226"/>
      <c r="L224" s="226"/>
      <c r="M224" s="226"/>
      <c r="N224" s="226"/>
      <c r="O224" s="226"/>
      <c r="P224" s="226"/>
      <c r="Q224" s="226"/>
      <c r="R224" s="226"/>
      <c r="S224" s="226"/>
      <c r="T224" s="226"/>
      <c r="U224" s="226"/>
      <c r="V224" s="226"/>
      <c r="W224" s="226"/>
      <c r="X224" s="226"/>
      <c r="Y224" s="226"/>
      <c r="Z224" s="226"/>
      <c r="AA224" s="226"/>
      <c r="AB224" s="226"/>
      <c r="AC224" s="226"/>
      <c r="AD224" s="226"/>
      <c r="AE224" s="226"/>
      <c r="AF224" s="226"/>
      <c r="AG224" s="226"/>
      <c r="AH224" s="226"/>
      <c r="AI224" s="226"/>
      <c r="AJ224" s="226"/>
      <c r="AK224" s="226"/>
      <c r="AL224" s="226"/>
      <c r="AM224" s="226"/>
      <c r="AN224" s="226"/>
      <c r="AO224" s="226"/>
      <c r="AP224" s="226"/>
      <c r="AQ224" s="226"/>
      <c r="AR224" s="226"/>
      <c r="AS224" s="226"/>
      <c r="AT224" s="226"/>
      <c r="AU224" s="226"/>
      <c r="AV224" s="226"/>
      <c r="AW224" s="226"/>
      <c r="AX224" s="226"/>
      <c r="AY224" s="226"/>
      <c r="AZ224" s="226"/>
      <c r="BA224" s="226"/>
      <c r="BB224" s="226"/>
      <c r="BC224" s="226"/>
      <c r="BD224" s="226"/>
      <c r="BE224" s="226"/>
      <c r="BF224" s="226"/>
      <c r="BG224" s="226"/>
      <c r="BH224" s="226"/>
      <c r="BI224" s="226"/>
      <c r="BJ224" s="226"/>
      <c r="BK224" s="226"/>
      <c r="BL224" s="226"/>
      <c r="BM224" s="226"/>
      <c r="BN224" s="226"/>
      <c r="BO224" s="226"/>
      <c r="BP224" s="226"/>
      <c r="BQ224" s="226"/>
      <c r="BR224" s="226"/>
      <c r="BS224" s="226"/>
      <c r="BT224" s="226"/>
      <c r="BU224" s="226"/>
      <c r="BV224" s="226"/>
      <c r="BW224" s="226"/>
      <c r="BX224" s="226"/>
      <c r="BY224" s="226"/>
      <c r="BZ224" s="226"/>
      <c r="CA224" s="226"/>
      <c r="CB224" s="226"/>
      <c r="CC224" s="226"/>
      <c r="CD224" s="226"/>
      <c r="CE224" s="227"/>
    </row>
    <row r="225" spans="1:84" s="228" customFormat="1" x14ac:dyDescent="0.15">
      <c r="A225" s="229"/>
      <c r="B225" s="226"/>
      <c r="C225" s="226"/>
      <c r="D225" s="3" t="s">
        <v>781</v>
      </c>
      <c r="E225" s="3"/>
      <c r="F225" s="3"/>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3"/>
      <c r="BO225" s="3"/>
      <c r="BP225" s="58"/>
      <c r="BQ225" s="58"/>
      <c r="BR225" s="58"/>
      <c r="BS225" s="58"/>
      <c r="BT225" s="58"/>
      <c r="BU225" s="58"/>
      <c r="BV225" s="58"/>
      <c r="BW225" s="58"/>
      <c r="BX225" s="58"/>
      <c r="BY225" s="58"/>
      <c r="BZ225" s="58"/>
      <c r="CA225" s="58"/>
      <c r="CB225" s="58"/>
      <c r="CC225" s="226"/>
      <c r="CD225" s="226"/>
      <c r="CE225" s="227"/>
    </row>
    <row r="226" spans="1:84" s="228" customFormat="1" x14ac:dyDescent="0.15">
      <c r="A226" s="229"/>
      <c r="B226" s="226"/>
      <c r="C226" s="226"/>
      <c r="D226" s="534" t="s">
        <v>131</v>
      </c>
      <c r="E226" s="534"/>
      <c r="F226" s="534"/>
      <c r="G226" s="534"/>
      <c r="H226" s="534"/>
      <c r="I226" s="534"/>
      <c r="J226" s="534"/>
      <c r="K226" s="534"/>
      <c r="L226" s="534"/>
      <c r="M226" s="534"/>
      <c r="N226" s="534"/>
      <c r="O226" s="534"/>
      <c r="P226" s="534"/>
      <c r="Q226" s="534"/>
      <c r="R226" s="534"/>
      <c r="S226" s="534"/>
      <c r="T226" s="534"/>
      <c r="U226" s="534"/>
      <c r="V226" s="534"/>
      <c r="W226" s="534"/>
      <c r="X226" s="534"/>
      <c r="Y226" s="534"/>
      <c r="Z226" s="534"/>
      <c r="AA226" s="534"/>
      <c r="AB226" s="534"/>
      <c r="AC226" s="534"/>
      <c r="AD226" s="534"/>
      <c r="AE226" s="534"/>
      <c r="AF226" s="534"/>
      <c r="AG226" s="534"/>
      <c r="AH226" s="534"/>
      <c r="AI226" s="534"/>
      <c r="AJ226" s="534"/>
      <c r="AK226" s="534"/>
      <c r="AL226" s="534"/>
      <c r="AM226" s="534"/>
      <c r="AN226" s="534"/>
      <c r="AO226" s="534"/>
      <c r="AP226" s="534"/>
      <c r="AQ226" s="534"/>
      <c r="AR226" s="534"/>
      <c r="AS226" s="534"/>
      <c r="AT226" s="534"/>
      <c r="AU226" s="534"/>
      <c r="AV226" s="534"/>
      <c r="AW226" s="534"/>
      <c r="AX226" s="534"/>
      <c r="AY226" s="534"/>
      <c r="AZ226" s="534"/>
      <c r="BA226" s="534"/>
      <c r="BB226" s="534"/>
      <c r="BC226" s="534"/>
      <c r="BD226" s="534"/>
      <c r="BE226" s="534"/>
      <c r="BF226" s="534"/>
      <c r="BG226" s="534"/>
      <c r="BH226" s="534"/>
      <c r="BI226" s="534"/>
      <c r="BJ226" s="534"/>
      <c r="BK226" s="534"/>
      <c r="BL226" s="534"/>
      <c r="BM226" s="534"/>
      <c r="BN226" s="534"/>
      <c r="BO226" s="534"/>
      <c r="BP226" s="534"/>
      <c r="BQ226" s="534"/>
      <c r="BR226" s="534"/>
      <c r="BS226" s="534"/>
      <c r="BT226" s="534"/>
      <c r="BU226" s="534"/>
      <c r="BV226" s="534"/>
      <c r="BW226" s="534"/>
      <c r="BX226" s="534"/>
      <c r="BY226" s="534"/>
      <c r="BZ226" s="534"/>
      <c r="CA226" s="534"/>
      <c r="CB226" s="534"/>
      <c r="CC226" s="226"/>
      <c r="CD226" s="226"/>
      <c r="CE226" s="227"/>
    </row>
    <row r="227" spans="1:84" s="228" customFormat="1" x14ac:dyDescent="0.15">
      <c r="A227" s="229"/>
      <c r="B227" s="226"/>
      <c r="C227" s="226"/>
      <c r="D227" s="535" t="s">
        <v>403</v>
      </c>
      <c r="E227" s="536"/>
      <c r="F227" s="536"/>
      <c r="G227" s="536"/>
      <c r="H227" s="537"/>
      <c r="I227" s="538" t="s">
        <v>408</v>
      </c>
      <c r="J227" s="539"/>
      <c r="K227" s="539"/>
      <c r="L227" s="539"/>
      <c r="M227" s="539"/>
      <c r="N227" s="539"/>
      <c r="O227" s="539"/>
      <c r="P227" s="539"/>
      <c r="Q227" s="539"/>
      <c r="R227" s="539"/>
      <c r="S227" s="539"/>
      <c r="T227" s="539"/>
      <c r="U227" s="539"/>
      <c r="V227" s="539"/>
      <c r="W227" s="539"/>
      <c r="X227" s="539"/>
      <c r="Y227" s="539"/>
      <c r="Z227" s="539"/>
      <c r="AA227" s="539"/>
      <c r="AB227" s="539"/>
      <c r="AC227" s="539"/>
      <c r="AD227" s="539"/>
      <c r="AE227" s="539"/>
      <c r="AF227" s="539"/>
      <c r="AG227" s="540"/>
      <c r="AH227" s="538" t="s">
        <v>415</v>
      </c>
      <c r="AI227" s="539"/>
      <c r="AJ227" s="539"/>
      <c r="AK227" s="539"/>
      <c r="AL227" s="539"/>
      <c r="AM227" s="539"/>
      <c r="AN227" s="539"/>
      <c r="AO227" s="539"/>
      <c r="AP227" s="539"/>
      <c r="AQ227" s="539"/>
      <c r="AR227" s="539"/>
      <c r="AS227" s="539"/>
      <c r="AT227" s="539"/>
      <c r="AU227" s="539"/>
      <c r="AV227" s="539"/>
      <c r="AW227" s="539"/>
      <c r="AX227" s="539"/>
      <c r="AY227" s="539"/>
      <c r="AZ227" s="539"/>
      <c r="BA227" s="539"/>
      <c r="BB227" s="539"/>
      <c r="BC227" s="539"/>
      <c r="BD227" s="539"/>
      <c r="BE227" s="539"/>
      <c r="BF227" s="539"/>
      <c r="BG227" s="539"/>
      <c r="BH227" s="539"/>
      <c r="BI227" s="539"/>
      <c r="BJ227" s="539"/>
      <c r="BK227" s="539"/>
      <c r="BL227" s="539"/>
      <c r="BM227" s="539"/>
      <c r="BN227" s="539"/>
      <c r="BO227" s="539"/>
      <c r="BP227" s="539"/>
      <c r="BQ227" s="539"/>
      <c r="BR227" s="539"/>
      <c r="BS227" s="539"/>
      <c r="BT227" s="539"/>
      <c r="BU227" s="539"/>
      <c r="BV227" s="539"/>
      <c r="BW227" s="539"/>
      <c r="BX227" s="539"/>
      <c r="BY227" s="539"/>
      <c r="BZ227" s="539"/>
      <c r="CA227" s="539"/>
      <c r="CB227" s="540"/>
      <c r="CC227" s="226"/>
      <c r="CD227" s="226"/>
      <c r="CE227" s="227"/>
    </row>
    <row r="228" spans="1:84" s="228" customFormat="1" x14ac:dyDescent="0.15">
      <c r="A228" s="229"/>
      <c r="B228" s="226"/>
      <c r="C228" s="226"/>
      <c r="D228" s="586" t="s">
        <v>132</v>
      </c>
      <c r="E228" s="587"/>
      <c r="F228" s="587"/>
      <c r="G228" s="587"/>
      <c r="H228" s="588"/>
      <c r="I228" s="519" t="s">
        <v>133</v>
      </c>
      <c r="J228" s="520"/>
      <c r="K228" s="520"/>
      <c r="L228" s="520"/>
      <c r="M228" s="520"/>
      <c r="N228" s="520"/>
      <c r="O228" s="520"/>
      <c r="P228" s="520"/>
      <c r="Q228" s="520"/>
      <c r="R228" s="520"/>
      <c r="S228" s="520"/>
      <c r="T228" s="520"/>
      <c r="U228" s="520"/>
      <c r="V228" s="520"/>
      <c r="W228" s="520"/>
      <c r="X228" s="520"/>
      <c r="Y228" s="520"/>
      <c r="Z228" s="520"/>
      <c r="AA228" s="520"/>
      <c r="AB228" s="520"/>
      <c r="AC228" s="520"/>
      <c r="AD228" s="520"/>
      <c r="AE228" s="520"/>
      <c r="AF228" s="520"/>
      <c r="AG228" s="521"/>
      <c r="AH228" s="519" t="s">
        <v>134</v>
      </c>
      <c r="AI228" s="520"/>
      <c r="AJ228" s="520"/>
      <c r="AK228" s="520"/>
      <c r="AL228" s="520"/>
      <c r="AM228" s="520"/>
      <c r="AN228" s="520"/>
      <c r="AO228" s="520"/>
      <c r="AP228" s="520"/>
      <c r="AQ228" s="520"/>
      <c r="AR228" s="520"/>
      <c r="AS228" s="520"/>
      <c r="AT228" s="520"/>
      <c r="AU228" s="520"/>
      <c r="AV228" s="520"/>
      <c r="AW228" s="520"/>
      <c r="AX228" s="520"/>
      <c r="AY228" s="520"/>
      <c r="AZ228" s="520"/>
      <c r="BA228" s="520"/>
      <c r="BB228" s="520"/>
      <c r="BC228" s="520"/>
      <c r="BD228" s="520"/>
      <c r="BE228" s="520"/>
      <c r="BF228" s="520"/>
      <c r="BG228" s="520"/>
      <c r="BH228" s="520"/>
      <c r="BI228" s="520"/>
      <c r="BJ228" s="520"/>
      <c r="BK228" s="520"/>
      <c r="BL228" s="520"/>
      <c r="BM228" s="520"/>
      <c r="BN228" s="520"/>
      <c r="BO228" s="520"/>
      <c r="BP228" s="520"/>
      <c r="BQ228" s="520"/>
      <c r="BR228" s="520"/>
      <c r="BS228" s="520"/>
      <c r="BT228" s="520"/>
      <c r="BU228" s="520"/>
      <c r="BV228" s="520"/>
      <c r="BW228" s="520"/>
      <c r="BX228" s="520"/>
      <c r="BY228" s="520"/>
      <c r="BZ228" s="520"/>
      <c r="CA228" s="520"/>
      <c r="CB228" s="521"/>
      <c r="CC228" s="226"/>
      <c r="CD228" s="226"/>
      <c r="CE228" s="227"/>
    </row>
    <row r="229" spans="1:84" s="228" customFormat="1" x14ac:dyDescent="0.15">
      <c r="A229" s="229"/>
      <c r="B229" s="226"/>
      <c r="C229" s="226"/>
      <c r="D229" s="589"/>
      <c r="E229" s="590"/>
      <c r="F229" s="590"/>
      <c r="G229" s="590"/>
      <c r="H229" s="591"/>
      <c r="I229" s="522"/>
      <c r="J229" s="523"/>
      <c r="K229" s="523"/>
      <c r="L229" s="523"/>
      <c r="M229" s="523"/>
      <c r="N229" s="523"/>
      <c r="O229" s="523"/>
      <c r="P229" s="523"/>
      <c r="Q229" s="523"/>
      <c r="R229" s="523"/>
      <c r="S229" s="523"/>
      <c r="T229" s="523"/>
      <c r="U229" s="523"/>
      <c r="V229" s="523"/>
      <c r="W229" s="523"/>
      <c r="X229" s="523"/>
      <c r="Y229" s="523"/>
      <c r="Z229" s="523"/>
      <c r="AA229" s="523"/>
      <c r="AB229" s="523"/>
      <c r="AC229" s="523"/>
      <c r="AD229" s="523"/>
      <c r="AE229" s="523"/>
      <c r="AF229" s="523"/>
      <c r="AG229" s="524"/>
      <c r="AH229" s="522"/>
      <c r="AI229" s="523"/>
      <c r="AJ229" s="523"/>
      <c r="AK229" s="523"/>
      <c r="AL229" s="523"/>
      <c r="AM229" s="523"/>
      <c r="AN229" s="523"/>
      <c r="AO229" s="523"/>
      <c r="AP229" s="523"/>
      <c r="AQ229" s="523"/>
      <c r="AR229" s="523"/>
      <c r="AS229" s="523"/>
      <c r="AT229" s="523"/>
      <c r="AU229" s="523"/>
      <c r="AV229" s="523"/>
      <c r="AW229" s="523"/>
      <c r="AX229" s="523"/>
      <c r="AY229" s="523"/>
      <c r="AZ229" s="523"/>
      <c r="BA229" s="523"/>
      <c r="BB229" s="523"/>
      <c r="BC229" s="523"/>
      <c r="BD229" s="523"/>
      <c r="BE229" s="523"/>
      <c r="BF229" s="523"/>
      <c r="BG229" s="523"/>
      <c r="BH229" s="523"/>
      <c r="BI229" s="523"/>
      <c r="BJ229" s="523"/>
      <c r="BK229" s="523"/>
      <c r="BL229" s="523"/>
      <c r="BM229" s="523"/>
      <c r="BN229" s="523"/>
      <c r="BO229" s="523"/>
      <c r="BP229" s="523"/>
      <c r="BQ229" s="523"/>
      <c r="BR229" s="523"/>
      <c r="BS229" s="523"/>
      <c r="BT229" s="523"/>
      <c r="BU229" s="523"/>
      <c r="BV229" s="523"/>
      <c r="BW229" s="523"/>
      <c r="BX229" s="523"/>
      <c r="BY229" s="523"/>
      <c r="BZ229" s="523"/>
      <c r="CA229" s="523"/>
      <c r="CB229" s="524"/>
      <c r="CC229" s="226"/>
      <c r="CD229" s="226"/>
      <c r="CE229" s="227"/>
    </row>
    <row r="230" spans="1:84" s="228" customFormat="1" x14ac:dyDescent="0.15">
      <c r="A230" s="229"/>
      <c r="B230" s="226"/>
      <c r="C230" s="226"/>
      <c r="D230" s="589"/>
      <c r="E230" s="590"/>
      <c r="F230" s="590"/>
      <c r="G230" s="590"/>
      <c r="H230" s="591"/>
      <c r="I230" s="522"/>
      <c r="J230" s="523"/>
      <c r="K230" s="523"/>
      <c r="L230" s="523"/>
      <c r="M230" s="523"/>
      <c r="N230" s="523"/>
      <c r="O230" s="523"/>
      <c r="P230" s="523"/>
      <c r="Q230" s="523"/>
      <c r="R230" s="523"/>
      <c r="S230" s="523"/>
      <c r="T230" s="523"/>
      <c r="U230" s="523"/>
      <c r="V230" s="523"/>
      <c r="W230" s="523"/>
      <c r="X230" s="523"/>
      <c r="Y230" s="523"/>
      <c r="Z230" s="523"/>
      <c r="AA230" s="523"/>
      <c r="AB230" s="523"/>
      <c r="AC230" s="523"/>
      <c r="AD230" s="523"/>
      <c r="AE230" s="523"/>
      <c r="AF230" s="523"/>
      <c r="AG230" s="524"/>
      <c r="AH230" s="522"/>
      <c r="AI230" s="523"/>
      <c r="AJ230" s="523"/>
      <c r="AK230" s="523"/>
      <c r="AL230" s="523"/>
      <c r="AM230" s="523"/>
      <c r="AN230" s="523"/>
      <c r="AO230" s="523"/>
      <c r="AP230" s="523"/>
      <c r="AQ230" s="523"/>
      <c r="AR230" s="523"/>
      <c r="AS230" s="523"/>
      <c r="AT230" s="523"/>
      <c r="AU230" s="523"/>
      <c r="AV230" s="523"/>
      <c r="AW230" s="523"/>
      <c r="AX230" s="523"/>
      <c r="AY230" s="523"/>
      <c r="AZ230" s="523"/>
      <c r="BA230" s="523"/>
      <c r="BB230" s="523"/>
      <c r="BC230" s="523"/>
      <c r="BD230" s="523"/>
      <c r="BE230" s="523"/>
      <c r="BF230" s="523"/>
      <c r="BG230" s="523"/>
      <c r="BH230" s="523"/>
      <c r="BI230" s="523"/>
      <c r="BJ230" s="523"/>
      <c r="BK230" s="523"/>
      <c r="BL230" s="523"/>
      <c r="BM230" s="523"/>
      <c r="BN230" s="523"/>
      <c r="BO230" s="523"/>
      <c r="BP230" s="523"/>
      <c r="BQ230" s="523"/>
      <c r="BR230" s="523"/>
      <c r="BS230" s="523"/>
      <c r="BT230" s="523"/>
      <c r="BU230" s="523"/>
      <c r="BV230" s="523"/>
      <c r="BW230" s="523"/>
      <c r="BX230" s="523"/>
      <c r="BY230" s="523"/>
      <c r="BZ230" s="523"/>
      <c r="CA230" s="523"/>
      <c r="CB230" s="524"/>
      <c r="CC230" s="226"/>
      <c r="CD230" s="226"/>
      <c r="CE230" s="227"/>
    </row>
    <row r="231" spans="1:84" s="228" customFormat="1" x14ac:dyDescent="0.15">
      <c r="A231" s="229"/>
      <c r="B231" s="226"/>
      <c r="C231" s="226"/>
      <c r="D231" s="592"/>
      <c r="E231" s="590"/>
      <c r="F231" s="590"/>
      <c r="G231" s="590"/>
      <c r="H231" s="591"/>
      <c r="I231" s="522"/>
      <c r="J231" s="523"/>
      <c r="K231" s="523"/>
      <c r="L231" s="523"/>
      <c r="M231" s="523"/>
      <c r="N231" s="523"/>
      <c r="O231" s="523"/>
      <c r="P231" s="523"/>
      <c r="Q231" s="523"/>
      <c r="R231" s="523"/>
      <c r="S231" s="523"/>
      <c r="T231" s="523"/>
      <c r="U231" s="523"/>
      <c r="V231" s="523"/>
      <c r="W231" s="523"/>
      <c r="X231" s="523"/>
      <c r="Y231" s="523"/>
      <c r="Z231" s="523"/>
      <c r="AA231" s="523"/>
      <c r="AB231" s="523"/>
      <c r="AC231" s="523"/>
      <c r="AD231" s="523"/>
      <c r="AE231" s="523"/>
      <c r="AF231" s="523"/>
      <c r="AG231" s="524"/>
      <c r="AH231" s="522"/>
      <c r="AI231" s="523"/>
      <c r="AJ231" s="523"/>
      <c r="AK231" s="523"/>
      <c r="AL231" s="523"/>
      <c r="AM231" s="523"/>
      <c r="AN231" s="523"/>
      <c r="AO231" s="523"/>
      <c r="AP231" s="523"/>
      <c r="AQ231" s="523"/>
      <c r="AR231" s="523"/>
      <c r="AS231" s="523"/>
      <c r="AT231" s="523"/>
      <c r="AU231" s="523"/>
      <c r="AV231" s="523"/>
      <c r="AW231" s="523"/>
      <c r="AX231" s="523"/>
      <c r="AY231" s="523"/>
      <c r="AZ231" s="523"/>
      <c r="BA231" s="523"/>
      <c r="BB231" s="523"/>
      <c r="BC231" s="523"/>
      <c r="BD231" s="523"/>
      <c r="BE231" s="523"/>
      <c r="BF231" s="523"/>
      <c r="BG231" s="523"/>
      <c r="BH231" s="523"/>
      <c r="BI231" s="523"/>
      <c r="BJ231" s="523"/>
      <c r="BK231" s="523"/>
      <c r="BL231" s="523"/>
      <c r="BM231" s="523"/>
      <c r="BN231" s="523"/>
      <c r="BO231" s="523"/>
      <c r="BP231" s="523"/>
      <c r="BQ231" s="523"/>
      <c r="BR231" s="523"/>
      <c r="BS231" s="523"/>
      <c r="BT231" s="523"/>
      <c r="BU231" s="523"/>
      <c r="BV231" s="523"/>
      <c r="BW231" s="523"/>
      <c r="BX231" s="523"/>
      <c r="BY231" s="523"/>
      <c r="BZ231" s="523"/>
      <c r="CA231" s="523"/>
      <c r="CB231" s="524"/>
      <c r="CC231" s="226"/>
      <c r="CD231" s="226"/>
      <c r="CE231" s="227"/>
    </row>
    <row r="232" spans="1:84" s="228" customFormat="1" x14ac:dyDescent="0.15">
      <c r="A232" s="229"/>
      <c r="B232" s="226"/>
      <c r="C232" s="226"/>
      <c r="D232" s="535" t="s">
        <v>123</v>
      </c>
      <c r="E232" s="536"/>
      <c r="F232" s="536"/>
      <c r="G232" s="536"/>
      <c r="H232" s="537"/>
      <c r="I232" s="507" t="s">
        <v>124</v>
      </c>
      <c r="J232" s="508"/>
      <c r="K232" s="508"/>
      <c r="L232" s="508"/>
      <c r="M232" s="508"/>
      <c r="N232" s="508"/>
      <c r="O232" s="508"/>
      <c r="P232" s="508"/>
      <c r="Q232" s="508"/>
      <c r="R232" s="508"/>
      <c r="S232" s="508"/>
      <c r="T232" s="508"/>
      <c r="U232" s="508"/>
      <c r="V232" s="508"/>
      <c r="W232" s="508"/>
      <c r="X232" s="508"/>
      <c r="Y232" s="508"/>
      <c r="Z232" s="508"/>
      <c r="AA232" s="508"/>
      <c r="AB232" s="508"/>
      <c r="AC232" s="508"/>
      <c r="AD232" s="508"/>
      <c r="AE232" s="508"/>
      <c r="AF232" s="508"/>
      <c r="AG232" s="509"/>
      <c r="AH232" s="507" t="s">
        <v>416</v>
      </c>
      <c r="AI232" s="508"/>
      <c r="AJ232" s="508"/>
      <c r="AK232" s="508"/>
      <c r="AL232" s="508"/>
      <c r="AM232" s="508"/>
      <c r="AN232" s="508"/>
      <c r="AO232" s="508"/>
      <c r="AP232" s="508"/>
      <c r="AQ232" s="508"/>
      <c r="AR232" s="508"/>
      <c r="AS232" s="508"/>
      <c r="AT232" s="508"/>
      <c r="AU232" s="508"/>
      <c r="AV232" s="508"/>
      <c r="AW232" s="508"/>
      <c r="AX232" s="508"/>
      <c r="AY232" s="508"/>
      <c r="AZ232" s="508"/>
      <c r="BA232" s="508"/>
      <c r="BB232" s="508"/>
      <c r="BC232" s="508"/>
      <c r="BD232" s="508"/>
      <c r="BE232" s="508"/>
      <c r="BF232" s="508"/>
      <c r="BG232" s="508"/>
      <c r="BH232" s="508"/>
      <c r="BI232" s="508"/>
      <c r="BJ232" s="508"/>
      <c r="BK232" s="508"/>
      <c r="BL232" s="508"/>
      <c r="BM232" s="508"/>
      <c r="BN232" s="508"/>
      <c r="BO232" s="508"/>
      <c r="BP232" s="508"/>
      <c r="BQ232" s="508"/>
      <c r="BR232" s="508"/>
      <c r="BS232" s="508"/>
      <c r="BT232" s="508"/>
      <c r="BU232" s="508"/>
      <c r="BV232" s="508"/>
      <c r="BW232" s="508"/>
      <c r="BX232" s="508"/>
      <c r="BY232" s="508"/>
      <c r="BZ232" s="508"/>
      <c r="CA232" s="508"/>
      <c r="CB232" s="509"/>
      <c r="CC232" s="226"/>
      <c r="CD232" s="226"/>
      <c r="CE232" s="227"/>
    </row>
    <row r="233" spans="1:84" s="228" customFormat="1" x14ac:dyDescent="0.15">
      <c r="A233" s="229"/>
      <c r="B233" s="226"/>
      <c r="C233" s="226"/>
      <c r="D233" s="593" t="s">
        <v>125</v>
      </c>
      <c r="E233" s="594"/>
      <c r="F233" s="594"/>
      <c r="G233" s="594"/>
      <c r="H233" s="595"/>
      <c r="I233" s="111" t="s">
        <v>421</v>
      </c>
      <c r="J233" s="112"/>
      <c r="K233" s="112"/>
      <c r="L233" s="112"/>
      <c r="M233" s="112"/>
      <c r="N233" s="112"/>
      <c r="O233" s="112"/>
      <c r="P233" s="112"/>
      <c r="Q233" s="112"/>
      <c r="R233" s="112"/>
      <c r="S233" s="749" t="s">
        <v>837</v>
      </c>
      <c r="T233" s="750"/>
      <c r="U233" s="750"/>
      <c r="V233" s="750"/>
      <c r="W233" s="750"/>
      <c r="X233" s="750"/>
      <c r="Y233" s="750"/>
      <c r="Z233" s="750"/>
      <c r="AA233" s="750"/>
      <c r="AB233" s="750"/>
      <c r="AC233" s="750"/>
      <c r="AD233" s="750"/>
      <c r="AE233" s="750"/>
      <c r="AF233" s="750"/>
      <c r="AG233" s="751"/>
      <c r="AH233" s="749" t="s">
        <v>440</v>
      </c>
      <c r="AI233" s="750"/>
      <c r="AJ233" s="750"/>
      <c r="AK233" s="750"/>
      <c r="AL233" s="750"/>
      <c r="AM233" s="750"/>
      <c r="AN233" s="750"/>
      <c r="AO233" s="750"/>
      <c r="AP233" s="750"/>
      <c r="AQ233" s="750"/>
      <c r="AR233" s="750"/>
      <c r="AS233" s="750"/>
      <c r="AT233" s="750"/>
      <c r="AU233" s="750"/>
      <c r="AV233" s="750"/>
      <c r="AW233" s="750"/>
      <c r="AX233" s="750"/>
      <c r="AY233" s="750"/>
      <c r="AZ233" s="750"/>
      <c r="BA233" s="750"/>
      <c r="BB233" s="750"/>
      <c r="BC233" s="750"/>
      <c r="BD233" s="750"/>
      <c r="BE233" s="750"/>
      <c r="BF233" s="750"/>
      <c r="BG233" s="750"/>
      <c r="BH233" s="750"/>
      <c r="BI233" s="750"/>
      <c r="BJ233" s="750"/>
      <c r="BK233" s="750"/>
      <c r="BL233" s="750"/>
      <c r="BM233" s="750"/>
      <c r="BN233" s="750"/>
      <c r="BO233" s="750"/>
      <c r="BP233" s="750"/>
      <c r="BQ233" s="750"/>
      <c r="BR233" s="750"/>
      <c r="BS233" s="750"/>
      <c r="BT233" s="750"/>
      <c r="BU233" s="750"/>
      <c r="BV233" s="750"/>
      <c r="BW233" s="750"/>
      <c r="BX233" s="750"/>
      <c r="BY233" s="750"/>
      <c r="BZ233" s="750"/>
      <c r="CA233" s="750"/>
      <c r="CB233" s="751"/>
      <c r="CC233" s="226"/>
      <c r="CD233" s="226"/>
      <c r="CE233" s="227"/>
    </row>
    <row r="234" spans="1:84" s="228" customFormat="1" x14ac:dyDescent="0.15">
      <c r="A234" s="229"/>
      <c r="B234" s="226"/>
      <c r="C234" s="226"/>
      <c r="D234" s="596"/>
      <c r="E234" s="597"/>
      <c r="F234" s="597"/>
      <c r="G234" s="597"/>
      <c r="H234" s="598"/>
      <c r="I234" s="127"/>
      <c r="J234" s="125"/>
      <c r="K234" s="125"/>
      <c r="L234" s="125"/>
      <c r="M234" s="125"/>
      <c r="N234" s="125"/>
      <c r="O234" s="125"/>
      <c r="P234" s="125"/>
      <c r="Q234" s="125"/>
      <c r="R234" s="125"/>
      <c r="S234" s="111" t="s">
        <v>435</v>
      </c>
      <c r="T234" s="112"/>
      <c r="U234" s="112"/>
      <c r="V234" s="112"/>
      <c r="W234" s="112"/>
      <c r="X234" s="112"/>
      <c r="Y234" s="112"/>
      <c r="Z234" s="112"/>
      <c r="AA234" s="112"/>
      <c r="AB234" s="112"/>
      <c r="AC234" s="112"/>
      <c r="AD234" s="112"/>
      <c r="AE234" s="112"/>
      <c r="AF234" s="112"/>
      <c r="AG234" s="145"/>
      <c r="AH234" s="782" t="s">
        <v>440</v>
      </c>
      <c r="AI234" s="783"/>
      <c r="AJ234" s="783"/>
      <c r="AK234" s="783"/>
      <c r="AL234" s="783"/>
      <c r="AM234" s="783"/>
      <c r="AN234" s="783"/>
      <c r="AO234" s="783"/>
      <c r="AP234" s="783"/>
      <c r="AQ234" s="783"/>
      <c r="AR234" s="783"/>
      <c r="AS234" s="783"/>
      <c r="AT234" s="783"/>
      <c r="AU234" s="783"/>
      <c r="AV234" s="783"/>
      <c r="AW234" s="783"/>
      <c r="AX234" s="783"/>
      <c r="AY234" s="783"/>
      <c r="AZ234" s="783"/>
      <c r="BA234" s="783"/>
      <c r="BB234" s="783"/>
      <c r="BC234" s="783"/>
      <c r="BD234" s="783"/>
      <c r="BE234" s="783"/>
      <c r="BF234" s="783"/>
      <c r="BG234" s="783"/>
      <c r="BH234" s="783"/>
      <c r="BI234" s="783"/>
      <c r="BJ234" s="783"/>
      <c r="BK234" s="783"/>
      <c r="BL234" s="783"/>
      <c r="BM234" s="783"/>
      <c r="BN234" s="783"/>
      <c r="BO234" s="783"/>
      <c r="BP234" s="783"/>
      <c r="BQ234" s="783"/>
      <c r="BR234" s="783"/>
      <c r="BS234" s="783"/>
      <c r="BT234" s="783"/>
      <c r="BU234" s="783"/>
      <c r="BV234" s="783"/>
      <c r="BW234" s="783"/>
      <c r="BX234" s="783"/>
      <c r="BY234" s="783"/>
      <c r="BZ234" s="783"/>
      <c r="CA234" s="783"/>
      <c r="CB234" s="784"/>
      <c r="CC234" s="226"/>
      <c r="CD234" s="226"/>
      <c r="CE234" s="227"/>
    </row>
    <row r="235" spans="1:84" s="228" customFormat="1" ht="13.5" x14ac:dyDescent="0.15">
      <c r="A235" s="229"/>
      <c r="B235" s="226"/>
      <c r="C235" s="226"/>
      <c r="D235" s="840"/>
      <c r="E235" s="841"/>
      <c r="F235" s="841"/>
      <c r="G235" s="841"/>
      <c r="H235" s="842"/>
      <c r="I235" s="178"/>
      <c r="J235" s="179"/>
      <c r="K235" s="179"/>
      <c r="L235" s="179"/>
      <c r="M235" s="179"/>
      <c r="N235" s="179"/>
      <c r="O235" s="179"/>
      <c r="P235" s="179"/>
      <c r="Q235" s="179"/>
      <c r="R235" s="179"/>
      <c r="S235" s="150" t="s">
        <v>128</v>
      </c>
      <c r="T235" s="151"/>
      <c r="U235" s="151"/>
      <c r="V235" s="151"/>
      <c r="W235" s="151"/>
      <c r="X235" s="151"/>
      <c r="Y235" s="151"/>
      <c r="Z235" s="151"/>
      <c r="AA235" s="151"/>
      <c r="AB235" s="151"/>
      <c r="AC235" s="151"/>
      <c r="AD235" s="151"/>
      <c r="AE235" s="151"/>
      <c r="AF235" s="151"/>
      <c r="AG235" s="152"/>
      <c r="AH235" s="785"/>
      <c r="AI235" s="786"/>
      <c r="AJ235" s="786"/>
      <c r="AK235" s="786"/>
      <c r="AL235" s="786"/>
      <c r="AM235" s="786"/>
      <c r="AN235" s="786"/>
      <c r="AO235" s="786"/>
      <c r="AP235" s="786"/>
      <c r="AQ235" s="786"/>
      <c r="AR235" s="786"/>
      <c r="AS235" s="786"/>
      <c r="AT235" s="786"/>
      <c r="AU235" s="786"/>
      <c r="AV235" s="786"/>
      <c r="AW235" s="786"/>
      <c r="AX235" s="786"/>
      <c r="AY235" s="786"/>
      <c r="AZ235" s="786"/>
      <c r="BA235" s="786"/>
      <c r="BB235" s="786"/>
      <c r="BC235" s="786"/>
      <c r="BD235" s="786"/>
      <c r="BE235" s="786"/>
      <c r="BF235" s="786"/>
      <c r="BG235" s="786"/>
      <c r="BH235" s="786"/>
      <c r="BI235" s="786"/>
      <c r="BJ235" s="786"/>
      <c r="BK235" s="786"/>
      <c r="BL235" s="786"/>
      <c r="BM235" s="786"/>
      <c r="BN235" s="786"/>
      <c r="BO235" s="786"/>
      <c r="BP235" s="786"/>
      <c r="BQ235" s="786"/>
      <c r="BR235" s="786"/>
      <c r="BS235" s="786"/>
      <c r="BT235" s="786"/>
      <c r="BU235" s="786"/>
      <c r="BV235" s="786"/>
      <c r="BW235" s="786"/>
      <c r="BX235" s="786"/>
      <c r="BY235" s="786"/>
      <c r="BZ235" s="786"/>
      <c r="CA235" s="786"/>
      <c r="CB235" s="787"/>
      <c r="CC235" s="226"/>
      <c r="CD235" s="226"/>
      <c r="CE235" s="227"/>
    </row>
    <row r="236" spans="1:84" s="228" customFormat="1" x14ac:dyDescent="0.15">
      <c r="A236" s="229"/>
      <c r="B236" s="226"/>
      <c r="C236" s="226"/>
      <c r="D236" s="501" t="s">
        <v>129</v>
      </c>
      <c r="E236" s="502"/>
      <c r="F236" s="502"/>
      <c r="G236" s="502"/>
      <c r="H236" s="503"/>
      <c r="I236" s="568" t="s">
        <v>130</v>
      </c>
      <c r="J236" s="569"/>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70"/>
      <c r="AH236" s="769" t="s">
        <v>870</v>
      </c>
      <c r="AI236" s="770"/>
      <c r="AJ236" s="770"/>
      <c r="AK236" s="770"/>
      <c r="AL236" s="770"/>
      <c r="AM236" s="770"/>
      <c r="AN236" s="770"/>
      <c r="AO236" s="770"/>
      <c r="AP236" s="770"/>
      <c r="AQ236" s="770"/>
      <c r="AR236" s="770"/>
      <c r="AS236" s="770"/>
      <c r="AT236" s="770"/>
      <c r="AU236" s="770"/>
      <c r="AV236" s="770"/>
      <c r="AW236" s="770"/>
      <c r="AX236" s="770"/>
      <c r="AY236" s="770"/>
      <c r="AZ236" s="770"/>
      <c r="BA236" s="770"/>
      <c r="BB236" s="770"/>
      <c r="BC236" s="770"/>
      <c r="BD236" s="770"/>
      <c r="BE236" s="770"/>
      <c r="BF236" s="770"/>
      <c r="BG236" s="770"/>
      <c r="BH236" s="770"/>
      <c r="BI236" s="770"/>
      <c r="BJ236" s="770"/>
      <c r="BK236" s="770"/>
      <c r="BL236" s="770"/>
      <c r="BM236" s="770"/>
      <c r="BN236" s="770"/>
      <c r="BO236" s="770"/>
      <c r="BP236" s="770"/>
      <c r="BQ236" s="770"/>
      <c r="BR236" s="770"/>
      <c r="BS236" s="770"/>
      <c r="BT236" s="770"/>
      <c r="BU236" s="770"/>
      <c r="BV236" s="770"/>
      <c r="BW236" s="770"/>
      <c r="BX236" s="770"/>
      <c r="BY236" s="770"/>
      <c r="BZ236" s="770"/>
      <c r="CA236" s="770"/>
      <c r="CB236" s="771"/>
      <c r="CC236" s="226"/>
      <c r="CD236" s="226"/>
      <c r="CE236" s="227"/>
    </row>
    <row r="237" spans="1:84" x14ac:dyDescent="0.15">
      <c r="A237" s="109"/>
      <c r="B237" s="3"/>
      <c r="C237" s="3"/>
      <c r="D237" s="837"/>
      <c r="E237" s="838"/>
      <c r="F237" s="838"/>
      <c r="G237" s="838"/>
      <c r="H237" s="839"/>
      <c r="I237" s="843"/>
      <c r="J237" s="844"/>
      <c r="K237" s="844"/>
      <c r="L237" s="844"/>
      <c r="M237" s="844"/>
      <c r="N237" s="844"/>
      <c r="O237" s="844"/>
      <c r="P237" s="844"/>
      <c r="Q237" s="844"/>
      <c r="R237" s="844"/>
      <c r="S237" s="844"/>
      <c r="T237" s="844"/>
      <c r="U237" s="844"/>
      <c r="V237" s="844"/>
      <c r="W237" s="844"/>
      <c r="X237" s="844"/>
      <c r="Y237" s="844"/>
      <c r="Z237" s="844"/>
      <c r="AA237" s="844"/>
      <c r="AB237" s="844"/>
      <c r="AC237" s="844"/>
      <c r="AD237" s="844"/>
      <c r="AE237" s="844"/>
      <c r="AF237" s="844"/>
      <c r="AG237" s="845"/>
      <c r="AH237" s="772"/>
      <c r="AI237" s="852"/>
      <c r="AJ237" s="852"/>
      <c r="AK237" s="852"/>
      <c r="AL237" s="852"/>
      <c r="AM237" s="852"/>
      <c r="AN237" s="852"/>
      <c r="AO237" s="852"/>
      <c r="AP237" s="852"/>
      <c r="AQ237" s="852"/>
      <c r="AR237" s="852"/>
      <c r="AS237" s="852"/>
      <c r="AT237" s="852"/>
      <c r="AU237" s="852"/>
      <c r="AV237" s="852"/>
      <c r="AW237" s="852"/>
      <c r="AX237" s="852"/>
      <c r="AY237" s="852"/>
      <c r="AZ237" s="852"/>
      <c r="BA237" s="852"/>
      <c r="BB237" s="852"/>
      <c r="BC237" s="852"/>
      <c r="BD237" s="852"/>
      <c r="BE237" s="852"/>
      <c r="BF237" s="852"/>
      <c r="BG237" s="852"/>
      <c r="BH237" s="852"/>
      <c r="BI237" s="852"/>
      <c r="BJ237" s="852"/>
      <c r="BK237" s="852"/>
      <c r="BL237" s="852"/>
      <c r="BM237" s="852"/>
      <c r="BN237" s="852"/>
      <c r="BO237" s="852"/>
      <c r="BP237" s="852"/>
      <c r="BQ237" s="852"/>
      <c r="BR237" s="852"/>
      <c r="BS237" s="852"/>
      <c r="BT237" s="852"/>
      <c r="BU237" s="852"/>
      <c r="BV237" s="852"/>
      <c r="BW237" s="852"/>
      <c r="BX237" s="852"/>
      <c r="BY237" s="852"/>
      <c r="BZ237" s="852"/>
      <c r="CA237" s="852"/>
      <c r="CB237" s="774"/>
      <c r="CC237" s="3"/>
      <c r="CD237" s="3"/>
      <c r="CE237" s="100"/>
    </row>
    <row r="238" spans="1:84" x14ac:dyDescent="0.15">
      <c r="A238" s="109"/>
      <c r="B238" s="3"/>
      <c r="C238" s="3"/>
      <c r="D238" s="840"/>
      <c r="E238" s="841"/>
      <c r="F238" s="841"/>
      <c r="G238" s="841"/>
      <c r="H238" s="842"/>
      <c r="I238" s="846"/>
      <c r="J238" s="847"/>
      <c r="K238" s="847"/>
      <c r="L238" s="847"/>
      <c r="M238" s="847"/>
      <c r="N238" s="847"/>
      <c r="O238" s="847"/>
      <c r="P238" s="847"/>
      <c r="Q238" s="847"/>
      <c r="R238" s="847"/>
      <c r="S238" s="847"/>
      <c r="T238" s="847"/>
      <c r="U238" s="847"/>
      <c r="V238" s="847"/>
      <c r="W238" s="847"/>
      <c r="X238" s="847"/>
      <c r="Y238" s="847"/>
      <c r="Z238" s="847"/>
      <c r="AA238" s="847"/>
      <c r="AB238" s="847"/>
      <c r="AC238" s="847"/>
      <c r="AD238" s="847"/>
      <c r="AE238" s="847"/>
      <c r="AF238" s="847"/>
      <c r="AG238" s="848"/>
      <c r="AH238" s="775"/>
      <c r="AI238" s="776"/>
      <c r="AJ238" s="776"/>
      <c r="AK238" s="776"/>
      <c r="AL238" s="776"/>
      <c r="AM238" s="776"/>
      <c r="AN238" s="776"/>
      <c r="AO238" s="776"/>
      <c r="AP238" s="776"/>
      <c r="AQ238" s="776"/>
      <c r="AR238" s="776"/>
      <c r="AS238" s="776"/>
      <c r="AT238" s="776"/>
      <c r="AU238" s="776"/>
      <c r="AV238" s="776"/>
      <c r="AW238" s="776"/>
      <c r="AX238" s="776"/>
      <c r="AY238" s="776"/>
      <c r="AZ238" s="776"/>
      <c r="BA238" s="776"/>
      <c r="BB238" s="776"/>
      <c r="BC238" s="776"/>
      <c r="BD238" s="776"/>
      <c r="BE238" s="776"/>
      <c r="BF238" s="776"/>
      <c r="BG238" s="776"/>
      <c r="BH238" s="776"/>
      <c r="BI238" s="776"/>
      <c r="BJ238" s="776"/>
      <c r="BK238" s="776"/>
      <c r="BL238" s="776"/>
      <c r="BM238" s="776"/>
      <c r="BN238" s="776"/>
      <c r="BO238" s="776"/>
      <c r="BP238" s="776"/>
      <c r="BQ238" s="776"/>
      <c r="BR238" s="776"/>
      <c r="BS238" s="776"/>
      <c r="BT238" s="776"/>
      <c r="BU238" s="776"/>
      <c r="BV238" s="776"/>
      <c r="BW238" s="776"/>
      <c r="BX238" s="776"/>
      <c r="BY238" s="776"/>
      <c r="BZ238" s="776"/>
      <c r="CA238" s="776"/>
      <c r="CB238" s="777"/>
      <c r="CC238" s="3"/>
      <c r="CD238" s="3"/>
      <c r="CE238" s="100"/>
    </row>
    <row r="239" spans="1:84" s="228" customFormat="1" x14ac:dyDescent="0.15">
      <c r="A239" s="229"/>
      <c r="B239" s="226"/>
      <c r="C239" s="226"/>
      <c r="D239" s="535" t="s">
        <v>750</v>
      </c>
      <c r="E239" s="536"/>
      <c r="F239" s="536"/>
      <c r="G239" s="536"/>
      <c r="H239" s="537"/>
      <c r="I239" s="507" t="s">
        <v>767</v>
      </c>
      <c r="J239" s="508"/>
      <c r="K239" s="508"/>
      <c r="L239" s="508"/>
      <c r="M239" s="508"/>
      <c r="N239" s="508"/>
      <c r="O239" s="508"/>
      <c r="P239" s="508"/>
      <c r="Q239" s="508"/>
      <c r="R239" s="508"/>
      <c r="S239" s="508"/>
      <c r="T239" s="508"/>
      <c r="U239" s="508"/>
      <c r="V239" s="508"/>
      <c r="W239" s="508"/>
      <c r="X239" s="508"/>
      <c r="Y239" s="508"/>
      <c r="Z239" s="508"/>
      <c r="AA239" s="508"/>
      <c r="AB239" s="508"/>
      <c r="AC239" s="508"/>
      <c r="AD239" s="508"/>
      <c r="AE239" s="508"/>
      <c r="AF239" s="508"/>
      <c r="AG239" s="509"/>
      <c r="AH239" s="507" t="s">
        <v>416</v>
      </c>
      <c r="AI239" s="508"/>
      <c r="AJ239" s="508"/>
      <c r="AK239" s="508"/>
      <c r="AL239" s="508"/>
      <c r="AM239" s="508"/>
      <c r="AN239" s="508"/>
      <c r="AO239" s="508"/>
      <c r="AP239" s="508"/>
      <c r="AQ239" s="508"/>
      <c r="AR239" s="508"/>
      <c r="AS239" s="508"/>
      <c r="AT239" s="508"/>
      <c r="AU239" s="508"/>
      <c r="AV239" s="508"/>
      <c r="AW239" s="508"/>
      <c r="AX239" s="508"/>
      <c r="AY239" s="508"/>
      <c r="AZ239" s="508"/>
      <c r="BA239" s="508"/>
      <c r="BB239" s="508"/>
      <c r="BC239" s="508"/>
      <c r="BD239" s="508"/>
      <c r="BE239" s="508"/>
      <c r="BF239" s="508"/>
      <c r="BG239" s="508"/>
      <c r="BH239" s="508"/>
      <c r="BI239" s="508"/>
      <c r="BJ239" s="508"/>
      <c r="BK239" s="508"/>
      <c r="BL239" s="508"/>
      <c r="BM239" s="508"/>
      <c r="BN239" s="508"/>
      <c r="BO239" s="508"/>
      <c r="BP239" s="508"/>
      <c r="BQ239" s="508"/>
      <c r="BR239" s="508"/>
      <c r="BS239" s="508"/>
      <c r="BT239" s="508"/>
      <c r="BU239" s="508"/>
      <c r="BV239" s="508"/>
      <c r="BW239" s="508"/>
      <c r="BX239" s="508"/>
      <c r="BY239" s="508"/>
      <c r="BZ239" s="508"/>
      <c r="CA239" s="508"/>
      <c r="CB239" s="509"/>
      <c r="CC239" s="226"/>
      <c r="CD239" s="226"/>
      <c r="CE239" s="227"/>
    </row>
    <row r="240" spans="1:84" s="4" customFormat="1" ht="12.75" customHeight="1" thickBot="1" x14ac:dyDescent="0.2">
      <c r="A240" s="25"/>
      <c r="B240" s="141"/>
      <c r="C240" s="142"/>
      <c r="D240" s="194"/>
      <c r="E240" s="194"/>
      <c r="F240" s="194"/>
      <c r="G240" s="195"/>
      <c r="H240" s="195"/>
      <c r="I240" s="195"/>
      <c r="J240" s="195"/>
      <c r="K240" s="195"/>
      <c r="L240" s="195"/>
      <c r="M240" s="196"/>
      <c r="N240" s="196"/>
      <c r="O240" s="196"/>
      <c r="P240" s="196"/>
      <c r="Q240" s="196"/>
      <c r="R240" s="196"/>
      <c r="S240" s="196"/>
      <c r="T240" s="196"/>
      <c r="U240" s="196"/>
      <c r="V240" s="196"/>
      <c r="W240" s="196"/>
      <c r="X240" s="196"/>
      <c r="Y240" s="196"/>
      <c r="Z240" s="196"/>
      <c r="AA240" s="196"/>
      <c r="AB240" s="196"/>
      <c r="AC240" s="196"/>
      <c r="AD240" s="196"/>
      <c r="AE240" s="196"/>
      <c r="AF240" s="196"/>
      <c r="AG240" s="196"/>
      <c r="AH240" s="196"/>
      <c r="AI240" s="196"/>
      <c r="AJ240" s="196"/>
      <c r="AK240" s="196"/>
      <c r="AL240" s="196"/>
      <c r="AM240" s="196"/>
      <c r="AN240" s="196"/>
      <c r="AO240" s="196"/>
      <c r="AP240" s="196"/>
      <c r="AQ240" s="196"/>
      <c r="AR240" s="196"/>
      <c r="AS240" s="196"/>
      <c r="AT240" s="196"/>
      <c r="AU240" s="196"/>
      <c r="AV240" s="196"/>
      <c r="AW240" s="196"/>
      <c r="AX240" s="196"/>
      <c r="AY240" s="196"/>
      <c r="AZ240" s="196"/>
      <c r="BA240" s="196"/>
      <c r="BB240" s="196"/>
      <c r="BC240" s="196"/>
      <c r="BD240" s="196"/>
      <c r="BE240" s="196"/>
      <c r="BF240" s="196"/>
      <c r="BG240" s="196"/>
      <c r="BH240" s="196"/>
      <c r="BI240" s="196"/>
      <c r="BJ240" s="196"/>
      <c r="BK240" s="196"/>
      <c r="BL240" s="196"/>
      <c r="BM240" s="196"/>
      <c r="BN240" s="196"/>
      <c r="BO240" s="196"/>
      <c r="BP240" s="196"/>
      <c r="BQ240" s="196"/>
      <c r="BR240" s="196"/>
      <c r="BS240" s="196"/>
      <c r="BT240" s="196"/>
      <c r="BU240" s="196"/>
      <c r="BV240" s="196"/>
      <c r="BW240" s="196"/>
      <c r="BX240" s="196"/>
      <c r="BY240" s="196"/>
      <c r="BZ240" s="196"/>
      <c r="CA240" s="196"/>
      <c r="CB240" s="196"/>
      <c r="CC240" s="104"/>
      <c r="CD240" s="104"/>
      <c r="CE240" s="143"/>
      <c r="CF240" s="58"/>
    </row>
    <row r="241" spans="1:83" s="9" customFormat="1" ht="12" customHeight="1" x14ac:dyDescent="0.15">
      <c r="A241" s="13"/>
      <c r="B241" s="14"/>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59"/>
      <c r="AT241" s="159"/>
      <c r="AU241" s="159"/>
      <c r="AV241" s="159"/>
      <c r="AW241" s="159"/>
      <c r="AX241" s="159"/>
      <c r="AY241" s="159"/>
      <c r="AZ241" s="160"/>
      <c r="BA241" s="160"/>
      <c r="BB241" s="160"/>
      <c r="BC241" s="160"/>
      <c r="BD241" s="160"/>
      <c r="BE241" s="160"/>
      <c r="BF241" s="160"/>
      <c r="BG241" s="160"/>
      <c r="BH241" s="160"/>
      <c r="BI241" s="160"/>
      <c r="BJ241" s="160"/>
      <c r="BK241" s="160"/>
      <c r="BL241" s="160"/>
      <c r="BM241" s="160"/>
      <c r="BN241" s="160"/>
      <c r="BO241" s="160"/>
      <c r="BP241" s="160"/>
      <c r="BQ241" s="160"/>
      <c r="BR241" s="160"/>
      <c r="BS241" s="160"/>
      <c r="BT241" s="160"/>
      <c r="BU241" s="160"/>
      <c r="BV241" s="160"/>
      <c r="BW241" s="160"/>
      <c r="BX241" s="160"/>
      <c r="BY241" s="160"/>
      <c r="BZ241" s="160"/>
      <c r="CA241" s="160"/>
      <c r="CB241" s="160"/>
      <c r="CC241" s="159"/>
      <c r="CD241" s="159"/>
      <c r="CE241" s="15"/>
    </row>
    <row r="242" spans="1:83" s="9" customFormat="1" ht="12" customHeight="1" x14ac:dyDescent="0.15">
      <c r="A242" s="16"/>
      <c r="B242" s="8"/>
      <c r="C242" s="17"/>
      <c r="D242" s="17"/>
      <c r="E242" s="22" t="s">
        <v>135</v>
      </c>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17"/>
      <c r="CD242" s="17"/>
      <c r="CE242" s="18"/>
    </row>
    <row r="243" spans="1:83" s="4" customFormat="1" ht="12" customHeight="1" x14ac:dyDescent="0.15">
      <c r="A243" s="16"/>
      <c r="B243" s="5"/>
      <c r="C243" s="5"/>
      <c r="D243" s="5"/>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2"/>
      <c r="CB243" s="12"/>
      <c r="CC243" s="12"/>
      <c r="CD243" s="12"/>
      <c r="CE243" s="18"/>
    </row>
    <row r="244" spans="1:83" s="4" customFormat="1" ht="12" customHeight="1" x14ac:dyDescent="0.15">
      <c r="A244" s="16"/>
      <c r="B244" s="73"/>
      <c r="C244" s="12"/>
      <c r="D244" s="12"/>
      <c r="E244" s="17"/>
      <c r="F244" s="17"/>
      <c r="G244" s="17" t="s">
        <v>136</v>
      </c>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2"/>
      <c r="CB244" s="12"/>
      <c r="CC244" s="12"/>
      <c r="CD244" s="12"/>
      <c r="CE244" s="18"/>
    </row>
    <row r="245" spans="1:83" s="9" customFormat="1" ht="12" customHeight="1" x14ac:dyDescent="0.15">
      <c r="A245" s="16"/>
      <c r="B245" s="8"/>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17"/>
      <c r="CD245" s="17"/>
      <c r="CE245" s="18"/>
    </row>
    <row r="246" spans="1:83" s="6" customFormat="1" ht="12" customHeight="1" x14ac:dyDescent="0.15">
      <c r="A246" s="16"/>
      <c r="B246" s="5"/>
      <c r="C246" s="12"/>
      <c r="D246" s="12"/>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2"/>
      <c r="CB246" s="12"/>
      <c r="CC246" s="12"/>
      <c r="CD246" s="12"/>
      <c r="CE246" s="18"/>
    </row>
    <row r="247" spans="1:83" s="4" customFormat="1" ht="12" customHeight="1" x14ac:dyDescent="0.15">
      <c r="A247" s="16"/>
      <c r="B247" s="73"/>
      <c r="C247" s="12"/>
      <c r="D247" s="12"/>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2"/>
      <c r="CB247" s="12"/>
      <c r="CC247" s="12"/>
      <c r="CD247" s="12"/>
      <c r="CE247" s="18"/>
    </row>
    <row r="248" spans="1:83" s="4" customFormat="1" ht="12" customHeight="1" x14ac:dyDescent="0.15">
      <c r="A248" s="16"/>
      <c r="B248" s="73"/>
      <c r="C248" s="12"/>
      <c r="D248" s="12"/>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2"/>
      <c r="CB248" s="12"/>
      <c r="CC248" s="12"/>
      <c r="CD248" s="12"/>
      <c r="CE248" s="18"/>
    </row>
    <row r="249" spans="1:83" s="4" customFormat="1" ht="12" customHeight="1" x14ac:dyDescent="0.15">
      <c r="A249" s="16"/>
      <c r="B249" s="73"/>
      <c r="C249" s="12"/>
      <c r="D249" s="12"/>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2"/>
      <c r="CB249" s="12"/>
      <c r="CC249" s="12"/>
      <c r="CD249" s="12"/>
      <c r="CE249" s="18"/>
    </row>
    <row r="250" spans="1:83" s="4" customFormat="1" ht="12" customHeight="1" x14ac:dyDescent="0.15">
      <c r="A250" s="16"/>
      <c r="B250" s="73"/>
      <c r="C250" s="12"/>
      <c r="D250" s="12"/>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2"/>
      <c r="CB250" s="12"/>
      <c r="CC250" s="12"/>
      <c r="CD250" s="12"/>
      <c r="CE250" s="18"/>
    </row>
    <row r="251" spans="1:83" s="4" customFormat="1" ht="12" customHeight="1" x14ac:dyDescent="0.15">
      <c r="A251" s="16"/>
      <c r="B251" s="8"/>
      <c r="C251" s="12"/>
      <c r="D251" s="12"/>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2"/>
      <c r="CB251" s="12"/>
      <c r="CC251" s="12"/>
      <c r="CD251" s="12"/>
      <c r="CE251" s="18"/>
    </row>
    <row r="252" spans="1:83" s="4" customFormat="1" ht="12" customHeight="1" x14ac:dyDescent="0.15">
      <c r="A252" s="16"/>
      <c r="B252" s="8"/>
      <c r="C252" s="12"/>
      <c r="D252" s="12"/>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2"/>
      <c r="CB252" s="12"/>
      <c r="CC252" s="12"/>
      <c r="CD252" s="12"/>
      <c r="CE252" s="18"/>
    </row>
    <row r="253" spans="1:83" s="9" customFormat="1" ht="12" customHeight="1" x14ac:dyDescent="0.15">
      <c r="A253" s="16"/>
      <c r="B253" s="8"/>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17"/>
      <c r="CD253" s="17"/>
      <c r="CE253" s="18"/>
    </row>
    <row r="254" spans="1:83" s="9" customFormat="1" ht="12" customHeight="1" x14ac:dyDescent="0.15">
      <c r="A254" s="16"/>
      <c r="B254" s="8"/>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17"/>
      <c r="CD254" s="17"/>
      <c r="CE254" s="18"/>
    </row>
    <row r="255" spans="1:83" s="9" customFormat="1" ht="12" customHeight="1" x14ac:dyDescent="0.15">
      <c r="A255" s="16"/>
      <c r="B255" s="8"/>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17"/>
      <c r="CD255" s="17"/>
      <c r="CE255" s="18"/>
    </row>
    <row r="256" spans="1:83" s="9" customFormat="1" ht="12" customHeight="1" x14ac:dyDescent="0.15">
      <c r="A256" s="16"/>
      <c r="B256" s="8"/>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17"/>
      <c r="CD256" s="17"/>
      <c r="CE256" s="18"/>
    </row>
    <row r="257" spans="1:83" s="9" customFormat="1" ht="12" customHeight="1" x14ac:dyDescent="0.15">
      <c r="A257" s="16"/>
      <c r="B257" s="8"/>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17"/>
      <c r="CD257" s="17"/>
      <c r="CE257" s="18"/>
    </row>
    <row r="258" spans="1:83" s="9" customFormat="1" ht="12" customHeight="1" x14ac:dyDescent="0.15">
      <c r="A258" s="16"/>
      <c r="B258" s="8"/>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17"/>
      <c r="CD258" s="17"/>
      <c r="CE258" s="18"/>
    </row>
    <row r="259" spans="1:83" s="9" customFormat="1" ht="12" customHeight="1" x14ac:dyDescent="0.15">
      <c r="A259" s="16"/>
      <c r="B259" s="8"/>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17"/>
      <c r="CD259" s="17"/>
      <c r="CE259" s="18"/>
    </row>
    <row r="260" spans="1:83" s="9" customFormat="1" ht="12" customHeight="1" x14ac:dyDescent="0.15">
      <c r="A260" s="16"/>
      <c r="B260" s="8"/>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17"/>
      <c r="CD260" s="17"/>
      <c r="CE260" s="18"/>
    </row>
    <row r="261" spans="1:83" s="9" customFormat="1" ht="12" customHeight="1" x14ac:dyDescent="0.15">
      <c r="A261" s="16"/>
      <c r="B261" s="8"/>
      <c r="C261" s="17"/>
      <c r="D261" s="157"/>
      <c r="E261" s="157"/>
      <c r="F261" s="15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17"/>
      <c r="CD261" s="17"/>
      <c r="CE261" s="18"/>
    </row>
    <row r="262" spans="1:83" s="9" customFormat="1" ht="12" customHeight="1" x14ac:dyDescent="0.15">
      <c r="A262" s="16"/>
      <c r="B262" s="8"/>
      <c r="C262" s="17"/>
      <c r="D262" s="157"/>
      <c r="E262" s="157"/>
      <c r="F262" s="15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17"/>
      <c r="CD262" s="17"/>
      <c r="CE262" s="18"/>
    </row>
    <row r="263" spans="1:83" s="9" customFormat="1" ht="12" customHeight="1" x14ac:dyDescent="0.15">
      <c r="A263" s="16"/>
      <c r="B263" s="8"/>
      <c r="C263" s="17"/>
      <c r="D263" s="157"/>
      <c r="E263" s="157"/>
      <c r="F263" s="15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17"/>
      <c r="CD263" s="17"/>
      <c r="CE263" s="18"/>
    </row>
    <row r="264" spans="1:83" s="9" customFormat="1" ht="12" customHeight="1" x14ac:dyDescent="0.15">
      <c r="A264" s="16"/>
      <c r="B264" s="8"/>
      <c r="C264" s="17"/>
      <c r="D264" s="157"/>
      <c r="E264" s="157"/>
      <c r="F264" s="15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17"/>
      <c r="CD264" s="17"/>
      <c r="CE264" s="18"/>
    </row>
    <row r="265" spans="1:83" s="9" customFormat="1" ht="12" customHeight="1" x14ac:dyDescent="0.15">
      <c r="A265" s="16"/>
      <c r="B265" s="8"/>
      <c r="C265" s="17"/>
      <c r="D265" s="157"/>
      <c r="E265" s="157"/>
      <c r="F265" s="15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17"/>
      <c r="CD265" s="17"/>
      <c r="CE265" s="18"/>
    </row>
    <row r="266" spans="1:83" s="9" customFormat="1" ht="12" customHeight="1" x14ac:dyDescent="0.15">
      <c r="A266" s="16"/>
      <c r="B266" s="8"/>
      <c r="C266" s="17"/>
      <c r="D266" s="157"/>
      <c r="E266" s="157"/>
      <c r="F266" s="15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17"/>
      <c r="CD266" s="17"/>
      <c r="CE266" s="18"/>
    </row>
    <row r="267" spans="1:83" s="9" customFormat="1" ht="12" customHeight="1" x14ac:dyDescent="0.15">
      <c r="A267" s="16"/>
      <c r="B267" s="8"/>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17"/>
      <c r="CD267" s="17"/>
      <c r="CE267" s="18"/>
    </row>
    <row r="268" spans="1:83" s="9" customFormat="1" ht="12" customHeight="1" x14ac:dyDescent="0.15">
      <c r="A268" s="16"/>
      <c r="B268" s="8"/>
      <c r="C268" s="17"/>
      <c r="D268" s="534" t="s">
        <v>137</v>
      </c>
      <c r="E268" s="534"/>
      <c r="F268" s="534"/>
      <c r="G268" s="534"/>
      <c r="H268" s="534"/>
      <c r="I268" s="534"/>
      <c r="J268" s="534"/>
      <c r="K268" s="534"/>
      <c r="L268" s="534"/>
      <c r="M268" s="534"/>
      <c r="N268" s="534"/>
      <c r="O268" s="534"/>
      <c r="P268" s="534"/>
      <c r="Q268" s="534"/>
      <c r="R268" s="534"/>
      <c r="S268" s="534"/>
      <c r="T268" s="534"/>
      <c r="U268" s="534"/>
      <c r="V268" s="534"/>
      <c r="W268" s="534"/>
      <c r="X268" s="534"/>
      <c r="Y268" s="534"/>
      <c r="Z268" s="534"/>
      <c r="AA268" s="534"/>
      <c r="AB268" s="534"/>
      <c r="AC268" s="534"/>
      <c r="AD268" s="534"/>
      <c r="AE268" s="534"/>
      <c r="AF268" s="534"/>
      <c r="AG268" s="534"/>
      <c r="AH268" s="534"/>
      <c r="AI268" s="534"/>
      <c r="AJ268" s="534"/>
      <c r="AK268" s="534"/>
      <c r="AL268" s="534"/>
      <c r="AM268" s="534"/>
      <c r="AN268" s="534"/>
      <c r="AO268" s="534"/>
      <c r="AP268" s="534"/>
      <c r="AQ268" s="534"/>
      <c r="AR268" s="534"/>
      <c r="AS268" s="534"/>
      <c r="AT268" s="534"/>
      <c r="AU268" s="534"/>
      <c r="AV268" s="534"/>
      <c r="AW268" s="534"/>
      <c r="AX268" s="534"/>
      <c r="AY268" s="534"/>
      <c r="AZ268" s="534"/>
      <c r="BA268" s="534"/>
      <c r="BB268" s="534"/>
      <c r="BC268" s="534"/>
      <c r="BD268" s="534"/>
      <c r="BE268" s="534"/>
      <c r="BF268" s="534"/>
      <c r="BG268" s="534"/>
      <c r="BH268" s="534"/>
      <c r="BI268" s="534"/>
      <c r="BJ268" s="534"/>
      <c r="BK268" s="534"/>
      <c r="BL268" s="534"/>
      <c r="BM268" s="534"/>
      <c r="BN268" s="534"/>
      <c r="BO268" s="534"/>
      <c r="BP268" s="534"/>
      <c r="BQ268" s="534"/>
      <c r="BR268" s="534"/>
      <c r="BS268" s="534"/>
      <c r="BT268" s="534"/>
      <c r="BU268" s="534"/>
      <c r="BV268" s="534"/>
      <c r="BW268" s="534"/>
      <c r="BX268" s="534"/>
      <c r="BY268" s="534"/>
      <c r="BZ268" s="534"/>
      <c r="CA268" s="534"/>
      <c r="CB268" s="534"/>
      <c r="CC268" s="17"/>
      <c r="CD268" s="17"/>
      <c r="CE268" s="18"/>
    </row>
    <row r="269" spans="1:83" ht="12.75" customHeight="1" x14ac:dyDescent="0.15">
      <c r="A269" s="98"/>
      <c r="B269" s="99"/>
      <c r="C269" s="3"/>
      <c r="D269" s="535" t="s">
        <v>403</v>
      </c>
      <c r="E269" s="536"/>
      <c r="F269" s="536"/>
      <c r="G269" s="536"/>
      <c r="H269" s="537"/>
      <c r="I269" s="538" t="s">
        <v>598</v>
      </c>
      <c r="J269" s="539"/>
      <c r="K269" s="539"/>
      <c r="L269" s="539"/>
      <c r="M269" s="539"/>
      <c r="N269" s="539"/>
      <c r="O269" s="539"/>
      <c r="P269" s="539"/>
      <c r="Q269" s="539"/>
      <c r="R269" s="539"/>
      <c r="S269" s="539"/>
      <c r="T269" s="539"/>
      <c r="U269" s="539"/>
      <c r="V269" s="539"/>
      <c r="W269" s="539"/>
      <c r="X269" s="539"/>
      <c r="Y269" s="539"/>
      <c r="Z269" s="540"/>
      <c r="AA269" s="538" t="s">
        <v>405</v>
      </c>
      <c r="AB269" s="539"/>
      <c r="AC269" s="539"/>
      <c r="AD269" s="539"/>
      <c r="AE269" s="539"/>
      <c r="AF269" s="539"/>
      <c r="AG269" s="539"/>
      <c r="AH269" s="539"/>
      <c r="AI269" s="539"/>
      <c r="AJ269" s="539"/>
      <c r="AK269" s="539"/>
      <c r="AL269" s="539"/>
      <c r="AM269" s="539"/>
      <c r="AN269" s="539"/>
      <c r="AO269" s="539"/>
      <c r="AP269" s="539"/>
      <c r="AQ269" s="539"/>
      <c r="AR269" s="539"/>
      <c r="AS269" s="539"/>
      <c r="AT269" s="539"/>
      <c r="AU269" s="539"/>
      <c r="AV269" s="539"/>
      <c r="AW269" s="539"/>
      <c r="AX269" s="539"/>
      <c r="AY269" s="539"/>
      <c r="AZ269" s="539"/>
      <c r="BA269" s="539"/>
      <c r="BB269" s="539"/>
      <c r="BC269" s="539"/>
      <c r="BD269" s="539"/>
      <c r="BE269" s="539"/>
      <c r="BF269" s="539"/>
      <c r="BG269" s="539"/>
      <c r="BH269" s="539"/>
      <c r="BI269" s="539"/>
      <c r="BJ269" s="539"/>
      <c r="BK269" s="539"/>
      <c r="BL269" s="539"/>
      <c r="BM269" s="539"/>
      <c r="BN269" s="539"/>
      <c r="BO269" s="539"/>
      <c r="BP269" s="539"/>
      <c r="BQ269" s="539"/>
      <c r="BR269" s="539"/>
      <c r="BS269" s="539"/>
      <c r="BT269" s="539"/>
      <c r="BU269" s="539"/>
      <c r="BV269" s="539"/>
      <c r="BW269" s="539"/>
      <c r="BX269" s="539"/>
      <c r="BY269" s="539"/>
      <c r="BZ269" s="539"/>
      <c r="CA269" s="539"/>
      <c r="CB269" s="540"/>
      <c r="CC269" s="58"/>
      <c r="CD269" s="3"/>
      <c r="CE269" s="100"/>
    </row>
    <row r="270" spans="1:83" ht="12.75" customHeight="1" x14ac:dyDescent="0.15">
      <c r="A270" s="98"/>
      <c r="B270" s="99"/>
      <c r="C270" s="3"/>
      <c r="D270" s="501" t="s">
        <v>138</v>
      </c>
      <c r="E270" s="502"/>
      <c r="F270" s="502"/>
      <c r="G270" s="502"/>
      <c r="H270" s="503"/>
      <c r="I270" s="111" t="s">
        <v>139</v>
      </c>
      <c r="J270" s="112"/>
      <c r="K270" s="112"/>
      <c r="L270" s="112"/>
      <c r="M270" s="112"/>
      <c r="N270" s="112"/>
      <c r="O270" s="112"/>
      <c r="P270" s="112"/>
      <c r="Q270" s="112"/>
      <c r="R270" s="112"/>
      <c r="S270" s="112"/>
      <c r="T270" s="112"/>
      <c r="U270" s="112"/>
      <c r="V270" s="112"/>
      <c r="W270" s="112"/>
      <c r="X270" s="112"/>
      <c r="Y270" s="112"/>
      <c r="Z270" s="112"/>
      <c r="AA270" s="834" t="s">
        <v>140</v>
      </c>
      <c r="AB270" s="835"/>
      <c r="AC270" s="835"/>
      <c r="AD270" s="835"/>
      <c r="AE270" s="835"/>
      <c r="AF270" s="835"/>
      <c r="AG270" s="835"/>
      <c r="AH270" s="835"/>
      <c r="AI270" s="835"/>
      <c r="AJ270" s="835"/>
      <c r="AK270" s="835"/>
      <c r="AL270" s="835"/>
      <c r="AM270" s="835"/>
      <c r="AN270" s="835"/>
      <c r="AO270" s="835"/>
      <c r="AP270" s="835"/>
      <c r="AQ270" s="835"/>
      <c r="AR270" s="835"/>
      <c r="AS270" s="835"/>
      <c r="AT270" s="835"/>
      <c r="AU270" s="835"/>
      <c r="AV270" s="835"/>
      <c r="AW270" s="835"/>
      <c r="AX270" s="835"/>
      <c r="AY270" s="835"/>
      <c r="AZ270" s="835"/>
      <c r="BA270" s="835"/>
      <c r="BB270" s="835"/>
      <c r="BC270" s="835"/>
      <c r="BD270" s="835"/>
      <c r="BE270" s="835"/>
      <c r="BF270" s="835"/>
      <c r="BG270" s="835"/>
      <c r="BH270" s="835"/>
      <c r="BI270" s="835"/>
      <c r="BJ270" s="835"/>
      <c r="BK270" s="835"/>
      <c r="BL270" s="835"/>
      <c r="BM270" s="835"/>
      <c r="BN270" s="835"/>
      <c r="BO270" s="835"/>
      <c r="BP270" s="835"/>
      <c r="BQ270" s="835"/>
      <c r="BR270" s="835"/>
      <c r="BS270" s="835"/>
      <c r="BT270" s="835"/>
      <c r="BU270" s="835"/>
      <c r="BV270" s="835"/>
      <c r="BW270" s="835"/>
      <c r="BX270" s="835"/>
      <c r="BY270" s="835"/>
      <c r="BZ270" s="835"/>
      <c r="CA270" s="835"/>
      <c r="CB270" s="836"/>
      <c r="CC270" s="58"/>
      <c r="CD270" s="3"/>
      <c r="CE270" s="100"/>
    </row>
    <row r="271" spans="1:83" ht="12.75" customHeight="1" x14ac:dyDescent="0.15">
      <c r="A271" s="98"/>
      <c r="B271" s="99"/>
      <c r="C271" s="3"/>
      <c r="D271" s="501" t="s">
        <v>141</v>
      </c>
      <c r="E271" s="502"/>
      <c r="F271" s="502"/>
      <c r="G271" s="502"/>
      <c r="H271" s="503"/>
      <c r="I271" s="111" t="s">
        <v>142</v>
      </c>
      <c r="J271" s="112"/>
      <c r="K271" s="112"/>
      <c r="L271" s="112"/>
      <c r="M271" s="112"/>
      <c r="N271" s="112"/>
      <c r="O271" s="112"/>
      <c r="P271" s="112"/>
      <c r="Q271" s="112"/>
      <c r="R271" s="112"/>
      <c r="S271" s="112"/>
      <c r="T271" s="112"/>
      <c r="U271" s="112"/>
      <c r="V271" s="112"/>
      <c r="W271" s="112"/>
      <c r="X271" s="112"/>
      <c r="Y271" s="112"/>
      <c r="Z271" s="112"/>
      <c r="AA271" s="834" t="s">
        <v>77</v>
      </c>
      <c r="AB271" s="835"/>
      <c r="AC271" s="835"/>
      <c r="AD271" s="835"/>
      <c r="AE271" s="835"/>
      <c r="AF271" s="835"/>
      <c r="AG271" s="835"/>
      <c r="AH271" s="835"/>
      <c r="AI271" s="835"/>
      <c r="AJ271" s="835"/>
      <c r="AK271" s="835"/>
      <c r="AL271" s="835"/>
      <c r="AM271" s="835"/>
      <c r="AN271" s="835"/>
      <c r="AO271" s="835"/>
      <c r="AP271" s="835"/>
      <c r="AQ271" s="835"/>
      <c r="AR271" s="835"/>
      <c r="AS271" s="835"/>
      <c r="AT271" s="835"/>
      <c r="AU271" s="835"/>
      <c r="AV271" s="835"/>
      <c r="AW271" s="835"/>
      <c r="AX271" s="835"/>
      <c r="AY271" s="835"/>
      <c r="AZ271" s="835"/>
      <c r="BA271" s="835"/>
      <c r="BB271" s="835"/>
      <c r="BC271" s="835"/>
      <c r="BD271" s="835"/>
      <c r="BE271" s="835"/>
      <c r="BF271" s="835"/>
      <c r="BG271" s="835"/>
      <c r="BH271" s="835"/>
      <c r="BI271" s="835"/>
      <c r="BJ271" s="835"/>
      <c r="BK271" s="835"/>
      <c r="BL271" s="835"/>
      <c r="BM271" s="835"/>
      <c r="BN271" s="835"/>
      <c r="BO271" s="835"/>
      <c r="BP271" s="835"/>
      <c r="BQ271" s="835"/>
      <c r="BR271" s="835"/>
      <c r="BS271" s="835"/>
      <c r="BT271" s="835"/>
      <c r="BU271" s="835"/>
      <c r="BV271" s="835"/>
      <c r="BW271" s="835"/>
      <c r="BX271" s="835"/>
      <c r="BY271" s="835"/>
      <c r="BZ271" s="835"/>
      <c r="CA271" s="835"/>
      <c r="CB271" s="836"/>
      <c r="CC271" s="58"/>
      <c r="CD271" s="3"/>
      <c r="CE271" s="100"/>
    </row>
    <row r="272" spans="1:83" ht="12.75" customHeight="1" x14ac:dyDescent="0.15">
      <c r="A272" s="98"/>
      <c r="B272" s="99"/>
      <c r="C272" s="3"/>
      <c r="D272" s="501" t="s">
        <v>143</v>
      </c>
      <c r="E272" s="502"/>
      <c r="F272" s="502"/>
      <c r="G272" s="502"/>
      <c r="H272" s="503"/>
      <c r="I272" s="111" t="s">
        <v>144</v>
      </c>
      <c r="J272" s="112"/>
      <c r="K272" s="112"/>
      <c r="L272" s="112"/>
      <c r="M272" s="112"/>
      <c r="N272" s="112"/>
      <c r="O272" s="112"/>
      <c r="P272" s="112"/>
      <c r="Q272" s="112"/>
      <c r="R272" s="112"/>
      <c r="S272" s="112"/>
      <c r="T272" s="112"/>
      <c r="U272" s="112"/>
      <c r="V272" s="112"/>
      <c r="W272" s="112"/>
      <c r="X272" s="112"/>
      <c r="Y272" s="112"/>
      <c r="Z272" s="112"/>
      <c r="AA272" s="834" t="s">
        <v>838</v>
      </c>
      <c r="AB272" s="835"/>
      <c r="AC272" s="835"/>
      <c r="AD272" s="835"/>
      <c r="AE272" s="835"/>
      <c r="AF272" s="835"/>
      <c r="AG272" s="835"/>
      <c r="AH272" s="835"/>
      <c r="AI272" s="835"/>
      <c r="AJ272" s="835"/>
      <c r="AK272" s="835"/>
      <c r="AL272" s="835"/>
      <c r="AM272" s="835"/>
      <c r="AN272" s="835"/>
      <c r="AO272" s="835"/>
      <c r="AP272" s="835"/>
      <c r="AQ272" s="835"/>
      <c r="AR272" s="835"/>
      <c r="AS272" s="835"/>
      <c r="AT272" s="835"/>
      <c r="AU272" s="835"/>
      <c r="AV272" s="835"/>
      <c r="AW272" s="835"/>
      <c r="AX272" s="835"/>
      <c r="AY272" s="835"/>
      <c r="AZ272" s="835"/>
      <c r="BA272" s="835"/>
      <c r="BB272" s="835"/>
      <c r="BC272" s="835"/>
      <c r="BD272" s="835"/>
      <c r="BE272" s="835"/>
      <c r="BF272" s="835"/>
      <c r="BG272" s="835"/>
      <c r="BH272" s="835"/>
      <c r="BI272" s="835"/>
      <c r="BJ272" s="835"/>
      <c r="BK272" s="835"/>
      <c r="BL272" s="835"/>
      <c r="BM272" s="835"/>
      <c r="BN272" s="835"/>
      <c r="BO272" s="835"/>
      <c r="BP272" s="835"/>
      <c r="BQ272" s="835"/>
      <c r="BR272" s="835"/>
      <c r="BS272" s="835"/>
      <c r="BT272" s="835"/>
      <c r="BU272" s="835"/>
      <c r="BV272" s="835"/>
      <c r="BW272" s="835"/>
      <c r="BX272" s="835"/>
      <c r="BY272" s="835"/>
      <c r="BZ272" s="835"/>
      <c r="CA272" s="835"/>
      <c r="CB272" s="836"/>
      <c r="CC272" s="58"/>
      <c r="CD272" s="3"/>
      <c r="CE272" s="100"/>
    </row>
    <row r="273" spans="1:83" s="9" customFormat="1" ht="12" customHeight="1" x14ac:dyDescent="0.15">
      <c r="A273" s="16"/>
      <c r="B273" s="8"/>
      <c r="C273" s="17"/>
      <c r="D273" s="492" t="s">
        <v>145</v>
      </c>
      <c r="E273" s="493"/>
      <c r="F273" s="493"/>
      <c r="G273" s="493"/>
      <c r="H273" s="494"/>
      <c r="I273" s="175" t="s">
        <v>146</v>
      </c>
      <c r="J273" s="176"/>
      <c r="K273" s="176"/>
      <c r="L273" s="176"/>
      <c r="M273" s="176"/>
      <c r="N273" s="176"/>
      <c r="O273" s="176"/>
      <c r="P273" s="176"/>
      <c r="Q273" s="176"/>
      <c r="R273" s="176"/>
      <c r="S273" s="176"/>
      <c r="T273" s="176"/>
      <c r="U273" s="176"/>
      <c r="V273" s="176"/>
      <c r="W273" s="176"/>
      <c r="X273" s="176"/>
      <c r="Y273" s="176"/>
      <c r="Z273" s="176"/>
      <c r="AA273" s="834" t="s">
        <v>600</v>
      </c>
      <c r="AB273" s="835"/>
      <c r="AC273" s="835"/>
      <c r="AD273" s="835"/>
      <c r="AE273" s="835"/>
      <c r="AF273" s="835"/>
      <c r="AG273" s="835"/>
      <c r="AH273" s="835"/>
      <c r="AI273" s="835"/>
      <c r="AJ273" s="835"/>
      <c r="AK273" s="835"/>
      <c r="AL273" s="835"/>
      <c r="AM273" s="835"/>
      <c r="AN273" s="835"/>
      <c r="AO273" s="835"/>
      <c r="AP273" s="835"/>
      <c r="AQ273" s="835"/>
      <c r="AR273" s="835"/>
      <c r="AS273" s="835"/>
      <c r="AT273" s="835"/>
      <c r="AU273" s="835"/>
      <c r="AV273" s="835"/>
      <c r="AW273" s="835"/>
      <c r="AX273" s="835"/>
      <c r="AY273" s="835"/>
      <c r="AZ273" s="835"/>
      <c r="BA273" s="835"/>
      <c r="BB273" s="835"/>
      <c r="BC273" s="835"/>
      <c r="BD273" s="835"/>
      <c r="BE273" s="835"/>
      <c r="BF273" s="835"/>
      <c r="BG273" s="835"/>
      <c r="BH273" s="835"/>
      <c r="BI273" s="835"/>
      <c r="BJ273" s="835"/>
      <c r="BK273" s="835"/>
      <c r="BL273" s="835"/>
      <c r="BM273" s="835"/>
      <c r="BN273" s="835"/>
      <c r="BO273" s="835"/>
      <c r="BP273" s="835"/>
      <c r="BQ273" s="835"/>
      <c r="BR273" s="835"/>
      <c r="BS273" s="835"/>
      <c r="BT273" s="835"/>
      <c r="BU273" s="835"/>
      <c r="BV273" s="835"/>
      <c r="BW273" s="835"/>
      <c r="BX273" s="835"/>
      <c r="BY273" s="835"/>
      <c r="BZ273" s="835"/>
      <c r="CA273" s="835"/>
      <c r="CB273" s="836"/>
      <c r="CC273" s="17"/>
      <c r="CD273" s="17"/>
      <c r="CE273" s="18"/>
    </row>
    <row r="274" spans="1:83" s="9" customFormat="1" ht="12" customHeight="1" x14ac:dyDescent="0.15">
      <c r="A274" s="16"/>
      <c r="B274" s="8"/>
      <c r="C274" s="17"/>
      <c r="D274" s="501" t="s">
        <v>109</v>
      </c>
      <c r="E274" s="502"/>
      <c r="F274" s="502"/>
      <c r="G274" s="502"/>
      <c r="H274" s="503"/>
      <c r="I274" s="862" t="s">
        <v>8</v>
      </c>
      <c r="J274" s="783"/>
      <c r="K274" s="783"/>
      <c r="L274" s="783"/>
      <c r="M274" s="783"/>
      <c r="N274" s="783"/>
      <c r="O274" s="783"/>
      <c r="P274" s="783"/>
      <c r="Q274" s="783"/>
      <c r="R274" s="783"/>
      <c r="S274" s="783"/>
      <c r="T274" s="783"/>
      <c r="U274" s="783"/>
      <c r="V274" s="783"/>
      <c r="W274" s="783"/>
      <c r="X274" s="783"/>
      <c r="Y274" s="783"/>
      <c r="Z274" s="784"/>
      <c r="AA274" s="782" t="s">
        <v>147</v>
      </c>
      <c r="AB274" s="863"/>
      <c r="AC274" s="863"/>
      <c r="AD274" s="863"/>
      <c r="AE274" s="863"/>
      <c r="AF274" s="863"/>
      <c r="AG274" s="863"/>
      <c r="AH274" s="863"/>
      <c r="AI274" s="863"/>
      <c r="AJ274" s="863"/>
      <c r="AK274" s="863"/>
      <c r="AL274" s="863"/>
      <c r="AM274" s="863"/>
      <c r="AN274" s="863"/>
      <c r="AO274" s="863"/>
      <c r="AP274" s="863"/>
      <c r="AQ274" s="863"/>
      <c r="AR274" s="863"/>
      <c r="AS274" s="863"/>
      <c r="AT274" s="863"/>
      <c r="AU274" s="863"/>
      <c r="AV274" s="863"/>
      <c r="AW274" s="863"/>
      <c r="AX274" s="863"/>
      <c r="AY274" s="863"/>
      <c r="AZ274" s="863"/>
      <c r="BA274" s="863"/>
      <c r="BB274" s="863"/>
      <c r="BC274" s="863"/>
      <c r="BD274" s="863"/>
      <c r="BE274" s="863"/>
      <c r="BF274" s="863"/>
      <c r="BG274" s="863"/>
      <c r="BH274" s="863"/>
      <c r="BI274" s="863"/>
      <c r="BJ274" s="863"/>
      <c r="BK274" s="863"/>
      <c r="BL274" s="863"/>
      <c r="BM274" s="863"/>
      <c r="BN274" s="863"/>
      <c r="BO274" s="863"/>
      <c r="BP274" s="863"/>
      <c r="BQ274" s="863"/>
      <c r="BR274" s="863"/>
      <c r="BS274" s="863"/>
      <c r="BT274" s="863"/>
      <c r="BU274" s="863"/>
      <c r="BV274" s="863"/>
      <c r="BW274" s="863"/>
      <c r="BX274" s="863"/>
      <c r="BY274" s="863"/>
      <c r="BZ274" s="863"/>
      <c r="CA274" s="863"/>
      <c r="CB274" s="864"/>
      <c r="CC274" s="17"/>
      <c r="CD274" s="17"/>
      <c r="CE274" s="18"/>
    </row>
    <row r="275" spans="1:83" s="9" customFormat="1" ht="12" customHeight="1" x14ac:dyDescent="0.15">
      <c r="A275" s="16"/>
      <c r="B275" s="8"/>
      <c r="C275" s="17"/>
      <c r="D275" s="528"/>
      <c r="E275" s="529"/>
      <c r="F275" s="529"/>
      <c r="G275" s="529"/>
      <c r="H275" s="530"/>
      <c r="I275" s="853"/>
      <c r="J275" s="854"/>
      <c r="K275" s="854"/>
      <c r="L275" s="854"/>
      <c r="M275" s="854"/>
      <c r="N275" s="854"/>
      <c r="O275" s="854"/>
      <c r="P275" s="854"/>
      <c r="Q275" s="854"/>
      <c r="R275" s="854"/>
      <c r="S275" s="854"/>
      <c r="T275" s="854"/>
      <c r="U275" s="854"/>
      <c r="V275" s="854"/>
      <c r="W275" s="854"/>
      <c r="X275" s="854"/>
      <c r="Y275" s="854"/>
      <c r="Z275" s="855"/>
      <c r="AA275" s="914"/>
      <c r="AB275" s="915"/>
      <c r="AC275" s="915"/>
      <c r="AD275" s="915"/>
      <c r="AE275" s="915"/>
      <c r="AF275" s="915"/>
      <c r="AG275" s="915"/>
      <c r="AH275" s="915"/>
      <c r="AI275" s="915"/>
      <c r="AJ275" s="915"/>
      <c r="AK275" s="915"/>
      <c r="AL275" s="915"/>
      <c r="AM275" s="915"/>
      <c r="AN275" s="915"/>
      <c r="AO275" s="915"/>
      <c r="AP275" s="915"/>
      <c r="AQ275" s="915"/>
      <c r="AR275" s="915"/>
      <c r="AS275" s="915"/>
      <c r="AT275" s="915"/>
      <c r="AU275" s="915"/>
      <c r="AV275" s="915"/>
      <c r="AW275" s="915"/>
      <c r="AX275" s="915"/>
      <c r="AY275" s="915"/>
      <c r="AZ275" s="915"/>
      <c r="BA275" s="915"/>
      <c r="BB275" s="915"/>
      <c r="BC275" s="915"/>
      <c r="BD275" s="915"/>
      <c r="BE275" s="915"/>
      <c r="BF275" s="915"/>
      <c r="BG275" s="915"/>
      <c r="BH275" s="915"/>
      <c r="BI275" s="915"/>
      <c r="BJ275" s="915"/>
      <c r="BK275" s="915"/>
      <c r="BL275" s="915"/>
      <c r="BM275" s="915"/>
      <c r="BN275" s="915"/>
      <c r="BO275" s="915"/>
      <c r="BP275" s="915"/>
      <c r="BQ275" s="915"/>
      <c r="BR275" s="915"/>
      <c r="BS275" s="915"/>
      <c r="BT275" s="915"/>
      <c r="BU275" s="915"/>
      <c r="BV275" s="915"/>
      <c r="BW275" s="915"/>
      <c r="BX275" s="915"/>
      <c r="BY275" s="915"/>
      <c r="BZ275" s="915"/>
      <c r="CA275" s="915"/>
      <c r="CB275" s="916"/>
      <c r="CC275" s="17"/>
      <c r="CD275" s="17"/>
      <c r="CE275" s="18"/>
    </row>
    <row r="276" spans="1:83" s="9" customFormat="1" ht="12" customHeight="1" x14ac:dyDescent="0.15">
      <c r="A276" s="16"/>
      <c r="B276" s="8"/>
      <c r="C276" s="17"/>
      <c r="D276" s="531"/>
      <c r="E276" s="532"/>
      <c r="F276" s="532"/>
      <c r="G276" s="532"/>
      <c r="H276" s="533"/>
      <c r="I276" s="785"/>
      <c r="J276" s="786"/>
      <c r="K276" s="786"/>
      <c r="L276" s="786"/>
      <c r="M276" s="786"/>
      <c r="N276" s="786"/>
      <c r="O276" s="786"/>
      <c r="P276" s="786"/>
      <c r="Q276" s="786"/>
      <c r="R276" s="786"/>
      <c r="S276" s="786"/>
      <c r="T276" s="786"/>
      <c r="U276" s="786"/>
      <c r="V276" s="786"/>
      <c r="W276" s="786"/>
      <c r="X276" s="786"/>
      <c r="Y276" s="786"/>
      <c r="Z276" s="787"/>
      <c r="AA276" s="917"/>
      <c r="AB276" s="918"/>
      <c r="AC276" s="918"/>
      <c r="AD276" s="918"/>
      <c r="AE276" s="918"/>
      <c r="AF276" s="918"/>
      <c r="AG276" s="918"/>
      <c r="AH276" s="918"/>
      <c r="AI276" s="918"/>
      <c r="AJ276" s="918"/>
      <c r="AK276" s="918"/>
      <c r="AL276" s="918"/>
      <c r="AM276" s="918"/>
      <c r="AN276" s="918"/>
      <c r="AO276" s="918"/>
      <c r="AP276" s="918"/>
      <c r="AQ276" s="918"/>
      <c r="AR276" s="918"/>
      <c r="AS276" s="918"/>
      <c r="AT276" s="918"/>
      <c r="AU276" s="918"/>
      <c r="AV276" s="918"/>
      <c r="AW276" s="918"/>
      <c r="AX276" s="918"/>
      <c r="AY276" s="918"/>
      <c r="AZ276" s="918"/>
      <c r="BA276" s="918"/>
      <c r="BB276" s="918"/>
      <c r="BC276" s="918"/>
      <c r="BD276" s="918"/>
      <c r="BE276" s="918"/>
      <c r="BF276" s="918"/>
      <c r="BG276" s="918"/>
      <c r="BH276" s="918"/>
      <c r="BI276" s="918"/>
      <c r="BJ276" s="918"/>
      <c r="BK276" s="918"/>
      <c r="BL276" s="918"/>
      <c r="BM276" s="918"/>
      <c r="BN276" s="918"/>
      <c r="BO276" s="918"/>
      <c r="BP276" s="918"/>
      <c r="BQ276" s="918"/>
      <c r="BR276" s="918"/>
      <c r="BS276" s="918"/>
      <c r="BT276" s="918"/>
      <c r="BU276" s="918"/>
      <c r="BV276" s="918"/>
      <c r="BW276" s="918"/>
      <c r="BX276" s="918"/>
      <c r="BY276" s="918"/>
      <c r="BZ276" s="918"/>
      <c r="CA276" s="918"/>
      <c r="CB276" s="919"/>
      <c r="CC276" s="17"/>
      <c r="CD276" s="17"/>
      <c r="CE276" s="18"/>
    </row>
    <row r="277" spans="1:83" s="9" customFormat="1" ht="12" customHeight="1" x14ac:dyDescent="0.15">
      <c r="A277" s="16"/>
      <c r="B277" s="8"/>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17"/>
      <c r="CD277" s="17"/>
      <c r="CE277" s="18"/>
    </row>
    <row r="278" spans="1:83" s="9" customFormat="1" ht="12" customHeight="1" x14ac:dyDescent="0.15">
      <c r="A278" s="16"/>
      <c r="B278" s="8"/>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17"/>
      <c r="CD278" s="17"/>
      <c r="CE278" s="18"/>
    </row>
    <row r="279" spans="1:83" s="9" customFormat="1" ht="12" customHeight="1" thickBot="1" x14ac:dyDescent="0.2">
      <c r="A279" s="25"/>
      <c r="B279" s="30"/>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7"/>
      <c r="BA279" s="27"/>
      <c r="BB279" s="27"/>
      <c r="BC279" s="27"/>
      <c r="BD279" s="27"/>
      <c r="BE279" s="27"/>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6"/>
      <c r="CD279" s="26"/>
      <c r="CE279" s="28"/>
    </row>
    <row r="280" spans="1:83" s="9" customFormat="1" ht="12" customHeight="1" x14ac:dyDescent="0.15">
      <c r="A280" s="13"/>
      <c r="B280" s="14"/>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59"/>
      <c r="AT280" s="159"/>
      <c r="AU280" s="159"/>
      <c r="AV280" s="159"/>
      <c r="AW280" s="159"/>
      <c r="AX280" s="159"/>
      <c r="AY280" s="159"/>
      <c r="AZ280" s="160"/>
      <c r="BA280" s="160"/>
      <c r="BB280" s="160"/>
      <c r="BC280" s="160"/>
      <c r="BD280" s="160"/>
      <c r="BE280" s="160"/>
      <c r="BF280" s="160"/>
      <c r="BG280" s="160"/>
      <c r="BH280" s="160"/>
      <c r="BI280" s="160"/>
      <c r="BJ280" s="160"/>
      <c r="BK280" s="160"/>
      <c r="BL280" s="160"/>
      <c r="BM280" s="160"/>
      <c r="BN280" s="160"/>
      <c r="BO280" s="160"/>
      <c r="BP280" s="160"/>
      <c r="BQ280" s="160"/>
      <c r="BR280" s="160"/>
      <c r="BS280" s="160"/>
      <c r="BT280" s="160"/>
      <c r="BU280" s="160"/>
      <c r="BV280" s="160"/>
      <c r="BW280" s="160"/>
      <c r="BX280" s="160"/>
      <c r="BY280" s="160"/>
      <c r="BZ280" s="160"/>
      <c r="CA280" s="160"/>
      <c r="CB280" s="160"/>
      <c r="CC280" s="159"/>
      <c r="CD280" s="159"/>
      <c r="CE280" s="15"/>
    </row>
    <row r="281" spans="1:83" s="9" customFormat="1" ht="12" customHeight="1" x14ac:dyDescent="0.15">
      <c r="A281" s="16"/>
      <c r="B281" s="8"/>
      <c r="C281" s="17"/>
      <c r="D281" s="17"/>
      <c r="E281" s="22" t="s">
        <v>774</v>
      </c>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17"/>
      <c r="CD281" s="17"/>
      <c r="CE281" s="18"/>
    </row>
    <row r="282" spans="1:83" s="4" customFormat="1" ht="12" customHeight="1" x14ac:dyDescent="0.15">
      <c r="A282" s="16"/>
      <c r="B282" s="5"/>
      <c r="C282" s="5"/>
      <c r="D282" s="5"/>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2"/>
      <c r="CB282" s="12"/>
      <c r="CC282" s="12"/>
      <c r="CD282" s="12"/>
      <c r="CE282" s="18"/>
    </row>
    <row r="283" spans="1:83" s="4" customFormat="1" ht="12" customHeight="1" x14ac:dyDescent="0.15">
      <c r="A283" s="16"/>
      <c r="B283" s="73"/>
      <c r="C283" s="12"/>
      <c r="D283" s="12"/>
      <c r="E283" s="17"/>
      <c r="F283" s="17"/>
      <c r="G283" s="17" t="s">
        <v>136</v>
      </c>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2"/>
      <c r="CB283" s="12"/>
      <c r="CC283" s="12"/>
      <c r="CD283" s="12"/>
      <c r="CE283" s="18"/>
    </row>
    <row r="284" spans="1:83" s="9" customFormat="1" ht="12" customHeight="1" x14ac:dyDescent="0.15">
      <c r="A284" s="16"/>
      <c r="B284" s="8"/>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17"/>
      <c r="CD284" s="17"/>
      <c r="CE284" s="18"/>
    </row>
    <row r="285" spans="1:83" s="6" customFormat="1" ht="12" customHeight="1" x14ac:dyDescent="0.15">
      <c r="A285" s="16"/>
      <c r="B285" s="5"/>
      <c r="C285" s="12"/>
      <c r="D285" s="12"/>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2"/>
      <c r="CB285" s="12"/>
      <c r="CC285" s="12"/>
      <c r="CD285" s="12"/>
      <c r="CE285" s="18"/>
    </row>
    <row r="286" spans="1:83" s="4" customFormat="1" ht="12" customHeight="1" x14ac:dyDescent="0.15">
      <c r="A286" s="16"/>
      <c r="B286" s="73"/>
      <c r="C286" s="12"/>
      <c r="D286" s="12"/>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2"/>
      <c r="CB286" s="12"/>
      <c r="CC286" s="12"/>
      <c r="CD286" s="12"/>
      <c r="CE286" s="18"/>
    </row>
    <row r="287" spans="1:83" s="4" customFormat="1" ht="12" customHeight="1" x14ac:dyDescent="0.15">
      <c r="A287" s="16"/>
      <c r="B287" s="73"/>
      <c r="C287" s="12"/>
      <c r="D287" s="12"/>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2"/>
      <c r="CB287" s="12"/>
      <c r="CC287" s="12"/>
      <c r="CD287" s="12"/>
      <c r="CE287" s="18"/>
    </row>
    <row r="288" spans="1:83" s="4" customFormat="1" ht="12" customHeight="1" x14ac:dyDescent="0.15">
      <c r="A288" s="16"/>
      <c r="B288" s="73"/>
      <c r="C288" s="12"/>
      <c r="D288" s="12"/>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2"/>
      <c r="CB288" s="12"/>
      <c r="CC288" s="12"/>
      <c r="CD288" s="12"/>
      <c r="CE288" s="18"/>
    </row>
    <row r="289" spans="1:83" s="4" customFormat="1" ht="12" customHeight="1" x14ac:dyDescent="0.15">
      <c r="A289" s="16"/>
      <c r="B289" s="73"/>
      <c r="C289" s="12"/>
      <c r="D289" s="12"/>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2"/>
      <c r="CB289" s="12"/>
      <c r="CC289" s="12"/>
      <c r="CD289" s="12"/>
      <c r="CE289" s="18"/>
    </row>
    <row r="290" spans="1:83" s="4" customFormat="1" ht="12" customHeight="1" x14ac:dyDescent="0.15">
      <c r="A290" s="16"/>
      <c r="B290" s="8"/>
      <c r="C290" s="12"/>
      <c r="D290" s="12"/>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2"/>
      <c r="CB290" s="12"/>
      <c r="CC290" s="12"/>
      <c r="CD290" s="12"/>
      <c r="CE290" s="18"/>
    </row>
    <row r="291" spans="1:83" s="4" customFormat="1" ht="12" customHeight="1" x14ac:dyDescent="0.15">
      <c r="A291" s="16"/>
      <c r="B291" s="8"/>
      <c r="C291" s="12"/>
      <c r="D291" s="12"/>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2"/>
      <c r="CB291" s="12"/>
      <c r="CC291" s="12"/>
      <c r="CD291" s="12"/>
      <c r="CE291" s="18"/>
    </row>
    <row r="292" spans="1:83" s="9" customFormat="1" ht="12" customHeight="1" x14ac:dyDescent="0.15">
      <c r="A292" s="16"/>
      <c r="B292" s="8"/>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17"/>
      <c r="CD292" s="17"/>
      <c r="CE292" s="18"/>
    </row>
    <row r="293" spans="1:83" s="9" customFormat="1" ht="12" customHeight="1" x14ac:dyDescent="0.15">
      <c r="A293" s="16"/>
      <c r="B293" s="8"/>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17"/>
      <c r="CD293" s="17"/>
      <c r="CE293" s="18"/>
    </row>
    <row r="294" spans="1:83" s="9" customFormat="1" ht="12" customHeight="1" x14ac:dyDescent="0.15">
      <c r="A294" s="16"/>
      <c r="B294" s="8"/>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17"/>
      <c r="CD294" s="17"/>
      <c r="CE294" s="18"/>
    </row>
    <row r="295" spans="1:83" s="9" customFormat="1" ht="12" customHeight="1" x14ac:dyDescent="0.15">
      <c r="A295" s="16"/>
      <c r="B295" s="8"/>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17"/>
      <c r="CD295" s="17"/>
      <c r="CE295" s="18"/>
    </row>
    <row r="296" spans="1:83" s="9" customFormat="1" ht="12" customHeight="1" x14ac:dyDescent="0.15">
      <c r="A296" s="16"/>
      <c r="B296" s="8"/>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17"/>
      <c r="CD296" s="17"/>
      <c r="CE296" s="18"/>
    </row>
    <row r="297" spans="1:83" s="9" customFormat="1" ht="12" customHeight="1" x14ac:dyDescent="0.15">
      <c r="A297" s="16"/>
      <c r="B297" s="8"/>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17"/>
      <c r="CD297" s="17"/>
      <c r="CE297" s="18"/>
    </row>
    <row r="298" spans="1:83" s="9" customFormat="1" ht="12" customHeight="1" x14ac:dyDescent="0.15">
      <c r="A298" s="16"/>
      <c r="B298" s="8"/>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17"/>
      <c r="CD298" s="17"/>
      <c r="CE298" s="18"/>
    </row>
    <row r="299" spans="1:83" s="9" customFormat="1" ht="12" customHeight="1" x14ac:dyDescent="0.15">
      <c r="A299" s="16"/>
      <c r="B299" s="8"/>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17"/>
      <c r="CD299" s="17"/>
      <c r="CE299" s="18"/>
    </row>
    <row r="300" spans="1:83" s="9" customFormat="1" ht="12" customHeight="1" x14ac:dyDescent="0.15">
      <c r="A300" s="16"/>
      <c r="B300" s="8"/>
      <c r="C300" s="17"/>
      <c r="D300" s="157"/>
      <c r="E300" s="157"/>
      <c r="F300" s="15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17"/>
      <c r="CD300" s="17"/>
      <c r="CE300" s="18"/>
    </row>
    <row r="301" spans="1:83" s="9" customFormat="1" ht="12" customHeight="1" x14ac:dyDescent="0.15">
      <c r="A301" s="16"/>
      <c r="B301" s="8"/>
      <c r="C301" s="17"/>
      <c r="D301" s="157"/>
      <c r="E301" s="157"/>
      <c r="F301" s="15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17"/>
      <c r="CD301" s="17"/>
      <c r="CE301" s="18"/>
    </row>
    <row r="302" spans="1:83" s="9" customFormat="1" ht="12" customHeight="1" x14ac:dyDescent="0.15">
      <c r="A302" s="16"/>
      <c r="B302" s="8"/>
      <c r="C302" s="17"/>
      <c r="D302" s="157"/>
      <c r="E302" s="157"/>
      <c r="F302" s="15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17"/>
      <c r="CD302" s="17"/>
      <c r="CE302" s="18"/>
    </row>
    <row r="303" spans="1:83" s="9" customFormat="1" ht="12" customHeight="1" x14ac:dyDescent="0.15">
      <c r="A303" s="16"/>
      <c r="B303" s="8"/>
      <c r="C303" s="17"/>
      <c r="D303" s="157"/>
      <c r="E303" s="157"/>
      <c r="F303" s="15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17"/>
      <c r="CD303" s="17"/>
      <c r="CE303" s="18"/>
    </row>
    <row r="304" spans="1:83" s="9" customFormat="1" ht="12" customHeight="1" x14ac:dyDescent="0.15">
      <c r="A304" s="16"/>
      <c r="B304" s="8"/>
      <c r="C304" s="17"/>
      <c r="D304" s="157"/>
      <c r="E304" s="157"/>
      <c r="F304" s="15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17"/>
      <c r="CD304" s="17"/>
      <c r="CE304" s="18"/>
    </row>
    <row r="305" spans="1:83" s="9" customFormat="1" ht="12" customHeight="1" x14ac:dyDescent="0.15">
      <c r="A305" s="16"/>
      <c r="B305" s="8"/>
      <c r="C305" s="17"/>
      <c r="D305" s="157"/>
      <c r="E305" s="157"/>
      <c r="F305" s="15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17"/>
      <c r="CD305" s="17"/>
      <c r="CE305" s="18"/>
    </row>
    <row r="306" spans="1:83" s="9" customFormat="1" ht="12" customHeight="1" x14ac:dyDescent="0.15">
      <c r="A306" s="16"/>
      <c r="B306" s="8"/>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17"/>
      <c r="CD306" s="17"/>
      <c r="CE306" s="18"/>
    </row>
    <row r="307" spans="1:83" s="9" customFormat="1" ht="12" customHeight="1" x14ac:dyDescent="0.15">
      <c r="A307" s="16"/>
      <c r="B307" s="8"/>
      <c r="C307" s="17"/>
      <c r="D307" s="534" t="s">
        <v>775</v>
      </c>
      <c r="E307" s="534"/>
      <c r="F307" s="534"/>
      <c r="G307" s="534"/>
      <c r="H307" s="534"/>
      <c r="I307" s="534"/>
      <c r="J307" s="534"/>
      <c r="K307" s="534"/>
      <c r="L307" s="534"/>
      <c r="M307" s="534"/>
      <c r="N307" s="534"/>
      <c r="O307" s="534"/>
      <c r="P307" s="534"/>
      <c r="Q307" s="534"/>
      <c r="R307" s="534"/>
      <c r="S307" s="534"/>
      <c r="T307" s="534"/>
      <c r="U307" s="534"/>
      <c r="V307" s="534"/>
      <c r="W307" s="534"/>
      <c r="X307" s="534"/>
      <c r="Y307" s="534"/>
      <c r="Z307" s="534"/>
      <c r="AA307" s="534"/>
      <c r="AB307" s="534"/>
      <c r="AC307" s="534"/>
      <c r="AD307" s="534"/>
      <c r="AE307" s="534"/>
      <c r="AF307" s="534"/>
      <c r="AG307" s="534"/>
      <c r="AH307" s="534"/>
      <c r="AI307" s="534"/>
      <c r="AJ307" s="534"/>
      <c r="AK307" s="534"/>
      <c r="AL307" s="534"/>
      <c r="AM307" s="534"/>
      <c r="AN307" s="534"/>
      <c r="AO307" s="534"/>
      <c r="AP307" s="534"/>
      <c r="AQ307" s="534"/>
      <c r="AR307" s="534"/>
      <c r="AS307" s="534"/>
      <c r="AT307" s="534"/>
      <c r="AU307" s="534"/>
      <c r="AV307" s="534"/>
      <c r="AW307" s="534"/>
      <c r="AX307" s="534"/>
      <c r="AY307" s="534"/>
      <c r="AZ307" s="534"/>
      <c r="BA307" s="534"/>
      <c r="BB307" s="534"/>
      <c r="BC307" s="534"/>
      <c r="BD307" s="534"/>
      <c r="BE307" s="534"/>
      <c r="BF307" s="534"/>
      <c r="BG307" s="534"/>
      <c r="BH307" s="534"/>
      <c r="BI307" s="534"/>
      <c r="BJ307" s="534"/>
      <c r="BK307" s="534"/>
      <c r="BL307" s="534"/>
      <c r="BM307" s="534"/>
      <c r="BN307" s="534"/>
      <c r="BO307" s="534"/>
      <c r="BP307" s="534"/>
      <c r="BQ307" s="534"/>
      <c r="BR307" s="534"/>
      <c r="BS307" s="534"/>
      <c r="BT307" s="534"/>
      <c r="BU307" s="534"/>
      <c r="BV307" s="534"/>
      <c r="BW307" s="534"/>
      <c r="BX307" s="534"/>
      <c r="BY307" s="534"/>
      <c r="BZ307" s="534"/>
      <c r="CA307" s="534"/>
      <c r="CB307" s="534"/>
      <c r="CC307" s="17"/>
      <c r="CD307" s="17"/>
      <c r="CE307" s="18"/>
    </row>
    <row r="308" spans="1:83" ht="12.75" customHeight="1" x14ac:dyDescent="0.15">
      <c r="A308" s="98"/>
      <c r="B308" s="99"/>
      <c r="C308" s="3"/>
      <c r="D308" s="535" t="s">
        <v>403</v>
      </c>
      <c r="E308" s="536"/>
      <c r="F308" s="536"/>
      <c r="G308" s="536"/>
      <c r="H308" s="537"/>
      <c r="I308" s="538" t="s">
        <v>598</v>
      </c>
      <c r="J308" s="539"/>
      <c r="K308" s="539"/>
      <c r="L308" s="539"/>
      <c r="M308" s="539"/>
      <c r="N308" s="539"/>
      <c r="O308" s="539"/>
      <c r="P308" s="539"/>
      <c r="Q308" s="539"/>
      <c r="R308" s="539"/>
      <c r="S308" s="539"/>
      <c r="T308" s="539"/>
      <c r="U308" s="539"/>
      <c r="V308" s="539"/>
      <c r="W308" s="539"/>
      <c r="X308" s="539"/>
      <c r="Y308" s="539"/>
      <c r="Z308" s="540"/>
      <c r="AA308" s="538" t="s">
        <v>405</v>
      </c>
      <c r="AB308" s="539"/>
      <c r="AC308" s="539"/>
      <c r="AD308" s="539"/>
      <c r="AE308" s="539"/>
      <c r="AF308" s="539"/>
      <c r="AG308" s="539"/>
      <c r="AH308" s="539"/>
      <c r="AI308" s="539"/>
      <c r="AJ308" s="539"/>
      <c r="AK308" s="539"/>
      <c r="AL308" s="539"/>
      <c r="AM308" s="539"/>
      <c r="AN308" s="539"/>
      <c r="AO308" s="539"/>
      <c r="AP308" s="539"/>
      <c r="AQ308" s="539"/>
      <c r="AR308" s="539"/>
      <c r="AS308" s="539"/>
      <c r="AT308" s="539"/>
      <c r="AU308" s="539"/>
      <c r="AV308" s="539"/>
      <c r="AW308" s="539"/>
      <c r="AX308" s="539"/>
      <c r="AY308" s="539"/>
      <c r="AZ308" s="539"/>
      <c r="BA308" s="539"/>
      <c r="BB308" s="539"/>
      <c r="BC308" s="539"/>
      <c r="BD308" s="539"/>
      <c r="BE308" s="539"/>
      <c r="BF308" s="539"/>
      <c r="BG308" s="539"/>
      <c r="BH308" s="539"/>
      <c r="BI308" s="539"/>
      <c r="BJ308" s="539"/>
      <c r="BK308" s="539"/>
      <c r="BL308" s="539"/>
      <c r="BM308" s="539"/>
      <c r="BN308" s="539"/>
      <c r="BO308" s="539"/>
      <c r="BP308" s="539"/>
      <c r="BQ308" s="539"/>
      <c r="BR308" s="539"/>
      <c r="BS308" s="539"/>
      <c r="BT308" s="539"/>
      <c r="BU308" s="539"/>
      <c r="BV308" s="539"/>
      <c r="BW308" s="539"/>
      <c r="BX308" s="539"/>
      <c r="BY308" s="539"/>
      <c r="BZ308" s="539"/>
      <c r="CA308" s="539"/>
      <c r="CB308" s="540"/>
      <c r="CC308" s="58"/>
      <c r="CD308" s="3"/>
      <c r="CE308" s="100"/>
    </row>
    <row r="309" spans="1:83" ht="12.75" customHeight="1" x14ac:dyDescent="0.15">
      <c r="A309" s="98"/>
      <c r="B309" s="99"/>
      <c r="C309" s="3"/>
      <c r="D309" s="501" t="s">
        <v>105</v>
      </c>
      <c r="E309" s="502"/>
      <c r="F309" s="502"/>
      <c r="G309" s="502"/>
      <c r="H309" s="503"/>
      <c r="I309" s="111" t="s">
        <v>74</v>
      </c>
      <c r="J309" s="112"/>
      <c r="K309" s="112"/>
      <c r="L309" s="112"/>
      <c r="M309" s="112"/>
      <c r="N309" s="112"/>
      <c r="O309" s="112"/>
      <c r="P309" s="112"/>
      <c r="Q309" s="112"/>
      <c r="R309" s="112"/>
      <c r="S309" s="112"/>
      <c r="T309" s="112"/>
      <c r="U309" s="112"/>
      <c r="V309" s="112"/>
      <c r="W309" s="112"/>
      <c r="X309" s="112"/>
      <c r="Y309" s="112"/>
      <c r="Z309" s="112"/>
      <c r="AA309" s="834" t="s">
        <v>739</v>
      </c>
      <c r="AB309" s="835"/>
      <c r="AC309" s="835"/>
      <c r="AD309" s="835"/>
      <c r="AE309" s="835"/>
      <c r="AF309" s="835"/>
      <c r="AG309" s="835"/>
      <c r="AH309" s="835"/>
      <c r="AI309" s="835"/>
      <c r="AJ309" s="835"/>
      <c r="AK309" s="835"/>
      <c r="AL309" s="835"/>
      <c r="AM309" s="835"/>
      <c r="AN309" s="835"/>
      <c r="AO309" s="835"/>
      <c r="AP309" s="835"/>
      <c r="AQ309" s="835"/>
      <c r="AR309" s="835"/>
      <c r="AS309" s="835"/>
      <c r="AT309" s="835"/>
      <c r="AU309" s="835"/>
      <c r="AV309" s="835"/>
      <c r="AW309" s="835"/>
      <c r="AX309" s="835"/>
      <c r="AY309" s="835"/>
      <c r="AZ309" s="835"/>
      <c r="BA309" s="835"/>
      <c r="BB309" s="835"/>
      <c r="BC309" s="835"/>
      <c r="BD309" s="835"/>
      <c r="BE309" s="835"/>
      <c r="BF309" s="835"/>
      <c r="BG309" s="835"/>
      <c r="BH309" s="835"/>
      <c r="BI309" s="835"/>
      <c r="BJ309" s="835"/>
      <c r="BK309" s="835"/>
      <c r="BL309" s="835"/>
      <c r="BM309" s="835"/>
      <c r="BN309" s="835"/>
      <c r="BO309" s="835"/>
      <c r="BP309" s="835"/>
      <c r="BQ309" s="835"/>
      <c r="BR309" s="835"/>
      <c r="BS309" s="835"/>
      <c r="BT309" s="835"/>
      <c r="BU309" s="835"/>
      <c r="BV309" s="835"/>
      <c r="BW309" s="835"/>
      <c r="BX309" s="835"/>
      <c r="BY309" s="835"/>
      <c r="BZ309" s="835"/>
      <c r="CA309" s="835"/>
      <c r="CB309" s="836"/>
      <c r="CC309" s="58"/>
      <c r="CD309" s="3"/>
      <c r="CE309" s="100"/>
    </row>
    <row r="310" spans="1:83" ht="12.75" customHeight="1" x14ac:dyDescent="0.15">
      <c r="A310" s="98"/>
      <c r="B310" s="99"/>
      <c r="C310" s="3"/>
      <c r="D310" s="501" t="s">
        <v>106</v>
      </c>
      <c r="E310" s="502"/>
      <c r="F310" s="502"/>
      <c r="G310" s="502"/>
      <c r="H310" s="503"/>
      <c r="I310" s="111" t="s">
        <v>76</v>
      </c>
      <c r="J310" s="112"/>
      <c r="K310" s="112"/>
      <c r="L310" s="112"/>
      <c r="M310" s="112"/>
      <c r="N310" s="112"/>
      <c r="O310" s="112"/>
      <c r="P310" s="112"/>
      <c r="Q310" s="112"/>
      <c r="R310" s="112"/>
      <c r="S310" s="112"/>
      <c r="T310" s="112"/>
      <c r="U310" s="112"/>
      <c r="V310" s="112"/>
      <c r="W310" s="112"/>
      <c r="X310" s="112"/>
      <c r="Y310" s="112"/>
      <c r="Z310" s="112"/>
      <c r="AA310" s="834" t="s">
        <v>77</v>
      </c>
      <c r="AB310" s="835"/>
      <c r="AC310" s="835"/>
      <c r="AD310" s="835"/>
      <c r="AE310" s="835"/>
      <c r="AF310" s="835"/>
      <c r="AG310" s="835"/>
      <c r="AH310" s="835"/>
      <c r="AI310" s="835"/>
      <c r="AJ310" s="835"/>
      <c r="AK310" s="835"/>
      <c r="AL310" s="835"/>
      <c r="AM310" s="835"/>
      <c r="AN310" s="835"/>
      <c r="AO310" s="835"/>
      <c r="AP310" s="835"/>
      <c r="AQ310" s="835"/>
      <c r="AR310" s="835"/>
      <c r="AS310" s="835"/>
      <c r="AT310" s="835"/>
      <c r="AU310" s="835"/>
      <c r="AV310" s="835"/>
      <c r="AW310" s="835"/>
      <c r="AX310" s="835"/>
      <c r="AY310" s="835"/>
      <c r="AZ310" s="835"/>
      <c r="BA310" s="835"/>
      <c r="BB310" s="835"/>
      <c r="BC310" s="835"/>
      <c r="BD310" s="835"/>
      <c r="BE310" s="835"/>
      <c r="BF310" s="835"/>
      <c r="BG310" s="835"/>
      <c r="BH310" s="835"/>
      <c r="BI310" s="835"/>
      <c r="BJ310" s="835"/>
      <c r="BK310" s="835"/>
      <c r="BL310" s="835"/>
      <c r="BM310" s="835"/>
      <c r="BN310" s="835"/>
      <c r="BO310" s="835"/>
      <c r="BP310" s="835"/>
      <c r="BQ310" s="835"/>
      <c r="BR310" s="835"/>
      <c r="BS310" s="835"/>
      <c r="BT310" s="835"/>
      <c r="BU310" s="835"/>
      <c r="BV310" s="835"/>
      <c r="BW310" s="835"/>
      <c r="BX310" s="835"/>
      <c r="BY310" s="835"/>
      <c r="BZ310" s="835"/>
      <c r="CA310" s="835"/>
      <c r="CB310" s="836"/>
      <c r="CC310" s="58"/>
      <c r="CD310" s="3"/>
      <c r="CE310" s="100"/>
    </row>
    <row r="311" spans="1:83" ht="12.75" customHeight="1" x14ac:dyDescent="0.15">
      <c r="A311" s="98"/>
      <c r="B311" s="99"/>
      <c r="C311" s="3"/>
      <c r="D311" s="501" t="s">
        <v>107</v>
      </c>
      <c r="E311" s="502"/>
      <c r="F311" s="502"/>
      <c r="G311" s="502"/>
      <c r="H311" s="503"/>
      <c r="I311" s="111" t="s">
        <v>144</v>
      </c>
      <c r="J311" s="112"/>
      <c r="K311" s="112"/>
      <c r="L311" s="112"/>
      <c r="M311" s="112"/>
      <c r="N311" s="112"/>
      <c r="O311" s="112"/>
      <c r="P311" s="112"/>
      <c r="Q311" s="112"/>
      <c r="R311" s="112"/>
      <c r="S311" s="112"/>
      <c r="T311" s="112"/>
      <c r="U311" s="112"/>
      <c r="V311" s="112"/>
      <c r="W311" s="112"/>
      <c r="X311" s="112"/>
      <c r="Y311" s="112"/>
      <c r="Z311" s="112"/>
      <c r="AA311" s="834" t="s">
        <v>839</v>
      </c>
      <c r="AB311" s="835"/>
      <c r="AC311" s="835"/>
      <c r="AD311" s="835"/>
      <c r="AE311" s="835"/>
      <c r="AF311" s="835"/>
      <c r="AG311" s="835"/>
      <c r="AH311" s="835"/>
      <c r="AI311" s="835"/>
      <c r="AJ311" s="835"/>
      <c r="AK311" s="835"/>
      <c r="AL311" s="835"/>
      <c r="AM311" s="835"/>
      <c r="AN311" s="835"/>
      <c r="AO311" s="835"/>
      <c r="AP311" s="835"/>
      <c r="AQ311" s="835"/>
      <c r="AR311" s="835"/>
      <c r="AS311" s="835"/>
      <c r="AT311" s="835"/>
      <c r="AU311" s="835"/>
      <c r="AV311" s="835"/>
      <c r="AW311" s="835"/>
      <c r="AX311" s="835"/>
      <c r="AY311" s="835"/>
      <c r="AZ311" s="835"/>
      <c r="BA311" s="835"/>
      <c r="BB311" s="835"/>
      <c r="BC311" s="835"/>
      <c r="BD311" s="835"/>
      <c r="BE311" s="835"/>
      <c r="BF311" s="835"/>
      <c r="BG311" s="835"/>
      <c r="BH311" s="835"/>
      <c r="BI311" s="835"/>
      <c r="BJ311" s="835"/>
      <c r="BK311" s="835"/>
      <c r="BL311" s="835"/>
      <c r="BM311" s="835"/>
      <c r="BN311" s="835"/>
      <c r="BO311" s="835"/>
      <c r="BP311" s="835"/>
      <c r="BQ311" s="835"/>
      <c r="BR311" s="835"/>
      <c r="BS311" s="835"/>
      <c r="BT311" s="835"/>
      <c r="BU311" s="835"/>
      <c r="BV311" s="835"/>
      <c r="BW311" s="835"/>
      <c r="BX311" s="835"/>
      <c r="BY311" s="835"/>
      <c r="BZ311" s="835"/>
      <c r="CA311" s="835"/>
      <c r="CB311" s="836"/>
      <c r="CC311" s="58"/>
      <c r="CD311" s="3"/>
      <c r="CE311" s="100"/>
    </row>
    <row r="312" spans="1:83" s="9" customFormat="1" ht="12" customHeight="1" x14ac:dyDescent="0.15">
      <c r="A312" s="16"/>
      <c r="B312" s="8"/>
      <c r="C312" s="17"/>
      <c r="D312" s="492" t="s">
        <v>22</v>
      </c>
      <c r="E312" s="493"/>
      <c r="F312" s="493"/>
      <c r="G312" s="493"/>
      <c r="H312" s="494"/>
      <c r="I312" s="175" t="s">
        <v>776</v>
      </c>
      <c r="J312" s="176"/>
      <c r="K312" s="176"/>
      <c r="L312" s="176"/>
      <c r="M312" s="176"/>
      <c r="N312" s="176"/>
      <c r="O312" s="176"/>
      <c r="P312" s="176"/>
      <c r="Q312" s="176"/>
      <c r="R312" s="176"/>
      <c r="S312" s="176"/>
      <c r="T312" s="176"/>
      <c r="U312" s="176"/>
      <c r="V312" s="176"/>
      <c r="W312" s="176"/>
      <c r="X312" s="176"/>
      <c r="Y312" s="176"/>
      <c r="Z312" s="176"/>
      <c r="AA312" s="834" t="s">
        <v>770</v>
      </c>
      <c r="AB312" s="835"/>
      <c r="AC312" s="835"/>
      <c r="AD312" s="835"/>
      <c r="AE312" s="835"/>
      <c r="AF312" s="835"/>
      <c r="AG312" s="835"/>
      <c r="AH312" s="835"/>
      <c r="AI312" s="835"/>
      <c r="AJ312" s="835"/>
      <c r="AK312" s="835"/>
      <c r="AL312" s="835"/>
      <c r="AM312" s="835"/>
      <c r="AN312" s="835"/>
      <c r="AO312" s="835"/>
      <c r="AP312" s="835"/>
      <c r="AQ312" s="835"/>
      <c r="AR312" s="835"/>
      <c r="AS312" s="835"/>
      <c r="AT312" s="835"/>
      <c r="AU312" s="835"/>
      <c r="AV312" s="835"/>
      <c r="AW312" s="835"/>
      <c r="AX312" s="835"/>
      <c r="AY312" s="835"/>
      <c r="AZ312" s="835"/>
      <c r="BA312" s="835"/>
      <c r="BB312" s="835"/>
      <c r="BC312" s="835"/>
      <c r="BD312" s="835"/>
      <c r="BE312" s="835"/>
      <c r="BF312" s="835"/>
      <c r="BG312" s="835"/>
      <c r="BH312" s="835"/>
      <c r="BI312" s="835"/>
      <c r="BJ312" s="835"/>
      <c r="BK312" s="835"/>
      <c r="BL312" s="835"/>
      <c r="BM312" s="835"/>
      <c r="BN312" s="835"/>
      <c r="BO312" s="835"/>
      <c r="BP312" s="835"/>
      <c r="BQ312" s="835"/>
      <c r="BR312" s="835"/>
      <c r="BS312" s="835"/>
      <c r="BT312" s="835"/>
      <c r="BU312" s="835"/>
      <c r="BV312" s="835"/>
      <c r="BW312" s="835"/>
      <c r="BX312" s="835"/>
      <c r="BY312" s="835"/>
      <c r="BZ312" s="835"/>
      <c r="CA312" s="835"/>
      <c r="CB312" s="836"/>
      <c r="CC312" s="17"/>
      <c r="CD312" s="17"/>
      <c r="CE312" s="18"/>
    </row>
    <row r="313" spans="1:83" s="9" customFormat="1" ht="12" customHeight="1" x14ac:dyDescent="0.15">
      <c r="A313" s="16"/>
      <c r="B313" s="8"/>
      <c r="C313" s="17"/>
      <c r="D313" s="501" t="s">
        <v>109</v>
      </c>
      <c r="E313" s="502"/>
      <c r="F313" s="502"/>
      <c r="G313" s="502"/>
      <c r="H313" s="503"/>
      <c r="I313" s="862" t="s">
        <v>8</v>
      </c>
      <c r="J313" s="783"/>
      <c r="K313" s="783"/>
      <c r="L313" s="783"/>
      <c r="M313" s="783"/>
      <c r="N313" s="783"/>
      <c r="O313" s="783"/>
      <c r="P313" s="783"/>
      <c r="Q313" s="783"/>
      <c r="R313" s="783"/>
      <c r="S313" s="783"/>
      <c r="T313" s="783"/>
      <c r="U313" s="783"/>
      <c r="V313" s="783"/>
      <c r="W313" s="783"/>
      <c r="X313" s="783"/>
      <c r="Y313" s="783"/>
      <c r="Z313" s="784"/>
      <c r="AA313" s="782" t="s">
        <v>751</v>
      </c>
      <c r="AB313" s="863"/>
      <c r="AC313" s="863"/>
      <c r="AD313" s="863"/>
      <c r="AE313" s="863"/>
      <c r="AF313" s="863"/>
      <c r="AG313" s="863"/>
      <c r="AH313" s="863"/>
      <c r="AI313" s="863"/>
      <c r="AJ313" s="863"/>
      <c r="AK313" s="863"/>
      <c r="AL313" s="863"/>
      <c r="AM313" s="863"/>
      <c r="AN313" s="863"/>
      <c r="AO313" s="863"/>
      <c r="AP313" s="863"/>
      <c r="AQ313" s="863"/>
      <c r="AR313" s="863"/>
      <c r="AS313" s="863"/>
      <c r="AT313" s="863"/>
      <c r="AU313" s="863"/>
      <c r="AV313" s="863"/>
      <c r="AW313" s="863"/>
      <c r="AX313" s="863"/>
      <c r="AY313" s="863"/>
      <c r="AZ313" s="863"/>
      <c r="BA313" s="863"/>
      <c r="BB313" s="863"/>
      <c r="BC313" s="863"/>
      <c r="BD313" s="863"/>
      <c r="BE313" s="863"/>
      <c r="BF313" s="863"/>
      <c r="BG313" s="863"/>
      <c r="BH313" s="863"/>
      <c r="BI313" s="863"/>
      <c r="BJ313" s="863"/>
      <c r="BK313" s="863"/>
      <c r="BL313" s="863"/>
      <c r="BM313" s="863"/>
      <c r="BN313" s="863"/>
      <c r="BO313" s="863"/>
      <c r="BP313" s="863"/>
      <c r="BQ313" s="863"/>
      <c r="BR313" s="863"/>
      <c r="BS313" s="863"/>
      <c r="BT313" s="863"/>
      <c r="BU313" s="863"/>
      <c r="BV313" s="863"/>
      <c r="BW313" s="863"/>
      <c r="BX313" s="863"/>
      <c r="BY313" s="863"/>
      <c r="BZ313" s="863"/>
      <c r="CA313" s="863"/>
      <c r="CB313" s="864"/>
      <c r="CC313" s="17"/>
      <c r="CD313" s="17"/>
      <c r="CE313" s="18"/>
    </row>
    <row r="314" spans="1:83" s="9" customFormat="1" ht="12" customHeight="1" x14ac:dyDescent="0.15">
      <c r="A314" s="16"/>
      <c r="B314" s="8"/>
      <c r="C314" s="17"/>
      <c r="D314" s="528"/>
      <c r="E314" s="529"/>
      <c r="F314" s="529"/>
      <c r="G314" s="529"/>
      <c r="H314" s="530"/>
      <c r="I314" s="853"/>
      <c r="J314" s="854"/>
      <c r="K314" s="854"/>
      <c r="L314" s="854"/>
      <c r="M314" s="854"/>
      <c r="N314" s="854"/>
      <c r="O314" s="854"/>
      <c r="P314" s="854"/>
      <c r="Q314" s="854"/>
      <c r="R314" s="854"/>
      <c r="S314" s="854"/>
      <c r="T314" s="854"/>
      <c r="U314" s="854"/>
      <c r="V314" s="854"/>
      <c r="W314" s="854"/>
      <c r="X314" s="854"/>
      <c r="Y314" s="854"/>
      <c r="Z314" s="855"/>
      <c r="AA314" s="865"/>
      <c r="AB314" s="866"/>
      <c r="AC314" s="866"/>
      <c r="AD314" s="866"/>
      <c r="AE314" s="866"/>
      <c r="AF314" s="866"/>
      <c r="AG314" s="866"/>
      <c r="AH314" s="866"/>
      <c r="AI314" s="866"/>
      <c r="AJ314" s="866"/>
      <c r="AK314" s="866"/>
      <c r="AL314" s="866"/>
      <c r="AM314" s="866"/>
      <c r="AN314" s="866"/>
      <c r="AO314" s="866"/>
      <c r="AP314" s="866"/>
      <c r="AQ314" s="866"/>
      <c r="AR314" s="866"/>
      <c r="AS314" s="866"/>
      <c r="AT314" s="866"/>
      <c r="AU314" s="866"/>
      <c r="AV314" s="866"/>
      <c r="AW314" s="866"/>
      <c r="AX314" s="866"/>
      <c r="AY314" s="866"/>
      <c r="AZ314" s="866"/>
      <c r="BA314" s="866"/>
      <c r="BB314" s="866"/>
      <c r="BC314" s="866"/>
      <c r="BD314" s="866"/>
      <c r="BE314" s="866"/>
      <c r="BF314" s="866"/>
      <c r="BG314" s="866"/>
      <c r="BH314" s="866"/>
      <c r="BI314" s="866"/>
      <c r="BJ314" s="866"/>
      <c r="BK314" s="866"/>
      <c r="BL314" s="866"/>
      <c r="BM314" s="866"/>
      <c r="BN314" s="866"/>
      <c r="BO314" s="866"/>
      <c r="BP314" s="866"/>
      <c r="BQ314" s="866"/>
      <c r="BR314" s="866"/>
      <c r="BS314" s="866"/>
      <c r="BT314" s="866"/>
      <c r="BU314" s="866"/>
      <c r="BV314" s="866"/>
      <c r="BW314" s="866"/>
      <c r="BX314" s="866"/>
      <c r="BY314" s="866"/>
      <c r="BZ314" s="866"/>
      <c r="CA314" s="866"/>
      <c r="CB314" s="867"/>
      <c r="CC314" s="17"/>
      <c r="CD314" s="17"/>
      <c r="CE314" s="18"/>
    </row>
    <row r="315" spans="1:83" s="9" customFormat="1" ht="12" customHeight="1" x14ac:dyDescent="0.15">
      <c r="A315" s="16"/>
      <c r="B315" s="8"/>
      <c r="C315" s="17"/>
      <c r="D315" s="531"/>
      <c r="E315" s="532"/>
      <c r="F315" s="532"/>
      <c r="G315" s="532"/>
      <c r="H315" s="533"/>
      <c r="I315" s="785"/>
      <c r="J315" s="786"/>
      <c r="K315" s="786"/>
      <c r="L315" s="786"/>
      <c r="M315" s="786"/>
      <c r="N315" s="786"/>
      <c r="O315" s="786"/>
      <c r="P315" s="786"/>
      <c r="Q315" s="786"/>
      <c r="R315" s="786"/>
      <c r="S315" s="786"/>
      <c r="T315" s="786"/>
      <c r="U315" s="786"/>
      <c r="V315" s="786"/>
      <c r="W315" s="786"/>
      <c r="X315" s="786"/>
      <c r="Y315" s="786"/>
      <c r="Z315" s="787"/>
      <c r="AA315" s="868"/>
      <c r="AB315" s="869"/>
      <c r="AC315" s="869"/>
      <c r="AD315" s="869"/>
      <c r="AE315" s="869"/>
      <c r="AF315" s="869"/>
      <c r="AG315" s="869"/>
      <c r="AH315" s="869"/>
      <c r="AI315" s="869"/>
      <c r="AJ315" s="869"/>
      <c r="AK315" s="869"/>
      <c r="AL315" s="869"/>
      <c r="AM315" s="869"/>
      <c r="AN315" s="869"/>
      <c r="AO315" s="869"/>
      <c r="AP315" s="869"/>
      <c r="AQ315" s="869"/>
      <c r="AR315" s="869"/>
      <c r="AS315" s="869"/>
      <c r="AT315" s="869"/>
      <c r="AU315" s="869"/>
      <c r="AV315" s="869"/>
      <c r="AW315" s="869"/>
      <c r="AX315" s="869"/>
      <c r="AY315" s="869"/>
      <c r="AZ315" s="869"/>
      <c r="BA315" s="869"/>
      <c r="BB315" s="869"/>
      <c r="BC315" s="869"/>
      <c r="BD315" s="869"/>
      <c r="BE315" s="869"/>
      <c r="BF315" s="869"/>
      <c r="BG315" s="869"/>
      <c r="BH315" s="869"/>
      <c r="BI315" s="869"/>
      <c r="BJ315" s="869"/>
      <c r="BK315" s="869"/>
      <c r="BL315" s="869"/>
      <c r="BM315" s="869"/>
      <c r="BN315" s="869"/>
      <c r="BO315" s="869"/>
      <c r="BP315" s="869"/>
      <c r="BQ315" s="869"/>
      <c r="BR315" s="869"/>
      <c r="BS315" s="869"/>
      <c r="BT315" s="869"/>
      <c r="BU315" s="869"/>
      <c r="BV315" s="869"/>
      <c r="BW315" s="869"/>
      <c r="BX315" s="869"/>
      <c r="BY315" s="869"/>
      <c r="BZ315" s="869"/>
      <c r="CA315" s="869"/>
      <c r="CB315" s="870"/>
      <c r="CC315" s="17"/>
      <c r="CD315" s="17"/>
      <c r="CE315" s="18"/>
    </row>
    <row r="316" spans="1:83" s="9" customFormat="1" ht="12" customHeight="1" x14ac:dyDescent="0.15">
      <c r="A316" s="16"/>
      <c r="B316" s="8"/>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17"/>
      <c r="CD316" s="17"/>
      <c r="CE316" s="18"/>
    </row>
    <row r="317" spans="1:83" s="9" customFormat="1" ht="12" customHeight="1" x14ac:dyDescent="0.15">
      <c r="A317" s="16"/>
      <c r="B317" s="8"/>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17"/>
      <c r="CD317" s="17"/>
      <c r="CE317" s="18"/>
    </row>
    <row r="318" spans="1:83" s="9" customFormat="1" ht="12" customHeight="1" thickBot="1" x14ac:dyDescent="0.2">
      <c r="A318" s="25"/>
      <c r="B318" s="30"/>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7"/>
      <c r="BA318" s="27"/>
      <c r="BB318" s="27"/>
      <c r="BC318" s="27"/>
      <c r="BD318" s="27"/>
      <c r="BE318" s="27"/>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6"/>
      <c r="CD318" s="26"/>
      <c r="CE318" s="28"/>
    </row>
    <row r="319" spans="1:83" s="9" customFormat="1" ht="12" customHeight="1" x14ac:dyDescent="0.15">
      <c r="A319" s="13"/>
      <c r="B319" s="14"/>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60"/>
      <c r="BA319" s="160"/>
      <c r="BB319" s="160"/>
      <c r="BC319" s="160"/>
      <c r="BD319" s="160"/>
      <c r="BE319" s="160"/>
      <c r="BF319" s="160"/>
      <c r="BG319" s="160"/>
      <c r="BH319" s="160"/>
      <c r="BI319" s="160"/>
      <c r="BJ319" s="160"/>
      <c r="BK319" s="160"/>
      <c r="BL319" s="160"/>
      <c r="BM319" s="160"/>
      <c r="BN319" s="160"/>
      <c r="BO319" s="160"/>
      <c r="BP319" s="160"/>
      <c r="BQ319" s="160"/>
      <c r="BR319" s="160"/>
      <c r="BS319" s="160"/>
      <c r="BT319" s="160"/>
      <c r="BU319" s="160"/>
      <c r="BV319" s="160"/>
      <c r="BW319" s="160"/>
      <c r="BX319" s="160"/>
      <c r="BY319" s="160"/>
      <c r="BZ319" s="160"/>
      <c r="CA319" s="160"/>
      <c r="CB319" s="160"/>
      <c r="CC319" s="159"/>
      <c r="CD319" s="159"/>
      <c r="CE319" s="15"/>
    </row>
    <row r="320" spans="1:83" s="4" customFormat="1" ht="12" customHeight="1" x14ac:dyDescent="0.15">
      <c r="A320" s="16"/>
      <c r="B320" s="375"/>
      <c r="C320" s="22" t="s">
        <v>148</v>
      </c>
      <c r="D320" s="23"/>
      <c r="E320" s="377"/>
      <c r="F320" s="377"/>
      <c r="G320" s="377"/>
      <c r="H320" s="377"/>
      <c r="I320" s="377"/>
      <c r="J320" s="377"/>
      <c r="K320" s="377"/>
      <c r="L320" s="377"/>
      <c r="M320" s="377"/>
      <c r="N320" s="377"/>
      <c r="O320" s="377"/>
      <c r="P320" s="377"/>
      <c r="Q320" s="377"/>
      <c r="R320" s="377"/>
      <c r="S320" s="377"/>
      <c r="T320" s="377"/>
      <c r="U320" s="377"/>
      <c r="V320" s="377"/>
      <c r="W320" s="377"/>
      <c r="X320" s="377"/>
      <c r="Y320" s="377"/>
      <c r="Z320" s="377"/>
      <c r="AA320" s="377"/>
      <c r="AB320" s="377"/>
      <c r="AC320" s="377"/>
      <c r="AD320" s="377"/>
      <c r="AE320" s="377"/>
      <c r="AF320" s="377"/>
      <c r="AG320" s="377"/>
      <c r="AH320" s="377"/>
      <c r="AI320" s="377"/>
      <c r="AJ320" s="377"/>
      <c r="AK320" s="377"/>
      <c r="AL320" s="377"/>
      <c r="AM320" s="377"/>
      <c r="AN320" s="377"/>
      <c r="AO320" s="377"/>
      <c r="AP320" s="377"/>
      <c r="AQ320" s="377"/>
      <c r="AR320" s="377"/>
      <c r="AS320" s="377"/>
      <c r="AT320" s="377"/>
      <c r="AU320" s="377"/>
      <c r="AV320" s="377"/>
      <c r="AW320" s="377"/>
      <c r="AX320" s="377"/>
      <c r="AY320" s="377"/>
      <c r="AZ320" s="377"/>
      <c r="BA320" s="377"/>
      <c r="BB320" s="377"/>
      <c r="BC320" s="377"/>
      <c r="BD320" s="377"/>
      <c r="BE320" s="377"/>
      <c r="BF320" s="377"/>
      <c r="BG320" s="377"/>
      <c r="BH320" s="377"/>
      <c r="BI320" s="377"/>
      <c r="BJ320" s="377"/>
      <c r="BK320" s="377"/>
      <c r="BL320" s="377"/>
      <c r="BM320" s="377"/>
      <c r="BN320" s="377"/>
      <c r="BO320" s="377"/>
      <c r="BP320" s="377"/>
      <c r="BQ320" s="377"/>
      <c r="BR320" s="377"/>
      <c r="BS320" s="377"/>
      <c r="BT320" s="377"/>
      <c r="BU320" s="377"/>
      <c r="BV320" s="377"/>
      <c r="BW320" s="377"/>
      <c r="BX320" s="377"/>
      <c r="BY320" s="377"/>
      <c r="BZ320" s="377"/>
      <c r="CA320" s="377"/>
      <c r="CB320" s="377"/>
      <c r="CC320" s="377"/>
      <c r="CD320" s="379"/>
      <c r="CE320" s="18"/>
    </row>
    <row r="321" spans="1:83" s="4" customFormat="1" ht="12" customHeight="1" x14ac:dyDescent="0.15">
      <c r="A321" s="16"/>
      <c r="B321" s="5"/>
      <c r="C321" s="22"/>
      <c r="D321" s="21" t="s">
        <v>149</v>
      </c>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1"/>
      <c r="CE321" s="18"/>
    </row>
    <row r="322" spans="1:83" s="4" customFormat="1" ht="12" customHeight="1" x14ac:dyDescent="0.15">
      <c r="A322" s="16"/>
      <c r="B322" s="73"/>
      <c r="C322" s="58"/>
      <c r="D322" s="378" t="s">
        <v>871</v>
      </c>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c r="BY322" s="52"/>
      <c r="BZ322" s="52"/>
      <c r="CA322" s="52"/>
      <c r="CB322" s="52"/>
      <c r="CC322" s="52"/>
      <c r="CD322" s="53"/>
      <c r="CE322" s="18"/>
    </row>
    <row r="323" spans="1:83" s="4" customFormat="1" ht="12" customHeight="1" x14ac:dyDescent="0.15">
      <c r="A323" s="16"/>
      <c r="B323" s="73"/>
      <c r="C323" s="58"/>
      <c r="D323" s="55" t="s">
        <v>518</v>
      </c>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7"/>
      <c r="CE323" s="18"/>
    </row>
    <row r="324" spans="1:83" s="9" customFormat="1" ht="12.75" customHeight="1" x14ac:dyDescent="0.15">
      <c r="A324" s="16"/>
      <c r="B324" s="8"/>
      <c r="C324" s="29"/>
      <c r="D324" s="2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8"/>
    </row>
    <row r="325" spans="1:83" s="9" customFormat="1" ht="12.75" customHeight="1" x14ac:dyDescent="0.15">
      <c r="A325" s="16"/>
      <c r="B325" s="8"/>
      <c r="C325" s="29"/>
      <c r="D325" s="21" t="s">
        <v>150</v>
      </c>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8"/>
    </row>
    <row r="326" spans="1:83" s="4" customFormat="1" ht="12" customHeight="1" x14ac:dyDescent="0.15">
      <c r="A326" s="16"/>
      <c r="B326" s="73"/>
      <c r="C326" s="58"/>
      <c r="D326" s="51" t="s">
        <v>151</v>
      </c>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3"/>
      <c r="CE326" s="18"/>
    </row>
    <row r="327" spans="1:83" s="9" customFormat="1" ht="12.75" customHeight="1" x14ac:dyDescent="0.15">
      <c r="A327" s="16"/>
      <c r="B327" s="8"/>
      <c r="C327" s="29"/>
      <c r="D327" s="59" t="s">
        <v>851</v>
      </c>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31"/>
      <c r="CE327" s="18"/>
    </row>
    <row r="328" spans="1:83" s="9" customFormat="1" ht="12.75" customHeight="1" x14ac:dyDescent="0.15">
      <c r="A328" s="16"/>
      <c r="B328" s="8"/>
      <c r="C328" s="29"/>
      <c r="D328" s="60" t="s">
        <v>152</v>
      </c>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c r="BO328" s="32"/>
      <c r="BP328" s="32"/>
      <c r="BQ328" s="32"/>
      <c r="BR328" s="32"/>
      <c r="BS328" s="32"/>
      <c r="BT328" s="32"/>
      <c r="BU328" s="32"/>
      <c r="BV328" s="32"/>
      <c r="BW328" s="32"/>
      <c r="BX328" s="32"/>
      <c r="BY328" s="32"/>
      <c r="BZ328" s="32"/>
      <c r="CA328" s="32"/>
      <c r="CB328" s="32"/>
      <c r="CC328" s="32"/>
      <c r="CD328" s="33"/>
      <c r="CE328" s="18"/>
    </row>
    <row r="329" spans="1:83" s="9" customFormat="1" ht="12.75" customHeight="1" x14ac:dyDescent="0.15">
      <c r="A329" s="16"/>
      <c r="B329" s="8"/>
      <c r="C329" s="29"/>
      <c r="D329" s="21"/>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8"/>
    </row>
    <row r="330" spans="1:83" s="4" customFormat="1" ht="12" customHeight="1" x14ac:dyDescent="0.15">
      <c r="A330" s="16"/>
      <c r="B330" s="8"/>
      <c r="C330" s="17"/>
      <c r="D330" s="248" t="s">
        <v>153</v>
      </c>
      <c r="E330" s="249"/>
      <c r="F330" s="248" t="s">
        <v>347</v>
      </c>
      <c r="G330" s="250"/>
      <c r="H330" s="250"/>
      <c r="I330" s="250"/>
      <c r="J330" s="250"/>
      <c r="K330" s="250"/>
      <c r="L330" s="250"/>
      <c r="M330" s="250"/>
      <c r="N330" s="250"/>
      <c r="O330" s="250"/>
      <c r="P330" s="250"/>
      <c r="Q330" s="249"/>
      <c r="R330" s="248" t="s">
        <v>346</v>
      </c>
      <c r="S330" s="250"/>
      <c r="T330" s="250"/>
      <c r="U330" s="250"/>
      <c r="V330" s="250"/>
      <c r="W330" s="250"/>
      <c r="X330" s="250"/>
      <c r="Y330" s="250"/>
      <c r="Z330" s="250"/>
      <c r="AA330" s="250"/>
      <c r="AB330" s="250"/>
      <c r="AC330" s="250"/>
      <c r="AD330" s="249"/>
      <c r="AE330" s="248" t="s">
        <v>345</v>
      </c>
      <c r="AF330" s="250"/>
      <c r="AG330" s="250"/>
      <c r="AH330" s="250"/>
      <c r="AI330" s="250"/>
      <c r="AJ330" s="250"/>
      <c r="AK330" s="250"/>
      <c r="AL330" s="250"/>
      <c r="AM330" s="250"/>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c r="BI330" s="250"/>
      <c r="BJ330" s="250"/>
      <c r="BK330" s="250"/>
      <c r="BL330" s="250"/>
      <c r="BM330" s="250"/>
      <c r="BN330" s="250"/>
      <c r="BO330" s="250"/>
      <c r="BP330" s="250"/>
      <c r="BQ330" s="250"/>
      <c r="BR330" s="250"/>
      <c r="BS330" s="250"/>
      <c r="BT330" s="250"/>
      <c r="BU330" s="250"/>
      <c r="BV330" s="250"/>
      <c r="BW330" s="250"/>
      <c r="BX330" s="250"/>
      <c r="BY330" s="250"/>
      <c r="BZ330" s="250"/>
      <c r="CA330" s="250"/>
      <c r="CB330" s="250"/>
      <c r="CC330" s="250"/>
      <c r="CD330" s="249"/>
      <c r="CE330" s="18"/>
    </row>
    <row r="331" spans="1:83" s="385" customFormat="1" ht="12.75" customHeight="1" x14ac:dyDescent="0.15">
      <c r="A331" s="381"/>
      <c r="B331" s="382"/>
      <c r="C331" s="392"/>
      <c r="D331" s="780" t="s">
        <v>154</v>
      </c>
      <c r="E331" s="781"/>
      <c r="F331" s="393" t="s">
        <v>155</v>
      </c>
      <c r="G331" s="394"/>
      <c r="H331" s="394"/>
      <c r="I331" s="394"/>
      <c r="J331" s="394"/>
      <c r="K331" s="394"/>
      <c r="L331" s="394"/>
      <c r="M331" s="394"/>
      <c r="N331" s="394"/>
      <c r="O331" s="394"/>
      <c r="P331" s="394"/>
      <c r="Q331" s="395"/>
      <c r="R331" s="393"/>
      <c r="S331" s="394"/>
      <c r="T331" s="394"/>
      <c r="U331" s="394"/>
      <c r="V331" s="394"/>
      <c r="W331" s="394"/>
      <c r="X331" s="394"/>
      <c r="Y331" s="394"/>
      <c r="Z331" s="394"/>
      <c r="AA331" s="394"/>
      <c r="AB331" s="394"/>
      <c r="AC331" s="394"/>
      <c r="AD331" s="395"/>
      <c r="AE331" s="396" t="s">
        <v>875</v>
      </c>
      <c r="AF331" s="394"/>
      <c r="AG331" s="394"/>
      <c r="AH331" s="394"/>
      <c r="AI331" s="394"/>
      <c r="AJ331" s="394"/>
      <c r="AK331" s="394"/>
      <c r="AL331" s="394"/>
      <c r="AM331" s="394"/>
      <c r="AN331" s="394"/>
      <c r="AO331" s="394"/>
      <c r="AP331" s="394"/>
      <c r="AQ331" s="394"/>
      <c r="AR331" s="394"/>
      <c r="AS331" s="394"/>
      <c r="AT331" s="394"/>
      <c r="AU331" s="394"/>
      <c r="AV331" s="394"/>
      <c r="AW331" s="394"/>
      <c r="AX331" s="394"/>
      <c r="AY331" s="394"/>
      <c r="AZ331" s="394"/>
      <c r="BA331" s="394"/>
      <c r="BB331" s="394"/>
      <c r="BC331" s="394"/>
      <c r="BD331" s="394"/>
      <c r="BE331" s="394"/>
      <c r="BF331" s="394"/>
      <c r="BG331" s="394"/>
      <c r="BH331" s="394"/>
      <c r="BI331" s="394"/>
      <c r="BJ331" s="394"/>
      <c r="BK331" s="394"/>
      <c r="BL331" s="394"/>
      <c r="BM331" s="394"/>
      <c r="BN331" s="394"/>
      <c r="BO331" s="394"/>
      <c r="BP331" s="394"/>
      <c r="BQ331" s="394"/>
      <c r="BR331" s="394"/>
      <c r="BS331" s="394"/>
      <c r="BT331" s="394"/>
      <c r="BU331" s="394"/>
      <c r="BV331" s="394"/>
      <c r="BW331" s="394"/>
      <c r="BX331" s="394"/>
      <c r="BY331" s="394"/>
      <c r="BZ331" s="394"/>
      <c r="CA331" s="394"/>
      <c r="CB331" s="394"/>
      <c r="CC331" s="394"/>
      <c r="CD331" s="395"/>
      <c r="CE331" s="384"/>
    </row>
    <row r="332" spans="1:83" s="6" customFormat="1" ht="12" customHeight="1" x14ac:dyDescent="0.15">
      <c r="A332" s="16"/>
      <c r="B332" s="19"/>
      <c r="C332" s="24"/>
      <c r="D332" s="602" t="s">
        <v>156</v>
      </c>
      <c r="E332" s="603"/>
      <c r="F332" s="34" t="s">
        <v>371</v>
      </c>
      <c r="G332" s="35"/>
      <c r="H332" s="35"/>
      <c r="I332" s="35"/>
      <c r="J332" s="35"/>
      <c r="K332" s="35"/>
      <c r="L332" s="35"/>
      <c r="M332" s="35"/>
      <c r="N332" s="35"/>
      <c r="O332" s="35"/>
      <c r="P332" s="35"/>
      <c r="Q332" s="36"/>
      <c r="R332" s="34" t="s">
        <v>157</v>
      </c>
      <c r="S332" s="35"/>
      <c r="T332" s="35"/>
      <c r="U332" s="35"/>
      <c r="V332" s="35"/>
      <c r="W332" s="35"/>
      <c r="X332" s="35"/>
      <c r="Y332" s="35"/>
      <c r="Z332" s="35"/>
      <c r="AA332" s="35"/>
      <c r="AB332" s="35"/>
      <c r="AC332" s="35"/>
      <c r="AD332" s="36"/>
      <c r="AE332" s="34" t="s">
        <v>383</v>
      </c>
      <c r="AF332" s="35"/>
      <c r="AG332" s="35"/>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6"/>
      <c r="CE332" s="18"/>
    </row>
    <row r="333" spans="1:83" s="4" customFormat="1" ht="12" customHeight="1" x14ac:dyDescent="0.15">
      <c r="A333" s="16"/>
      <c r="B333" s="5"/>
      <c r="C333" s="17"/>
      <c r="D333" s="602" t="s">
        <v>158</v>
      </c>
      <c r="E333" s="603"/>
      <c r="F333" s="34" t="s">
        <v>372</v>
      </c>
      <c r="G333" s="35"/>
      <c r="H333" s="35"/>
      <c r="I333" s="35"/>
      <c r="J333" s="35"/>
      <c r="K333" s="35"/>
      <c r="L333" s="35"/>
      <c r="M333" s="35"/>
      <c r="N333" s="35"/>
      <c r="O333" s="35"/>
      <c r="P333" s="35"/>
      <c r="Q333" s="36"/>
      <c r="R333" s="34" t="s">
        <v>159</v>
      </c>
      <c r="S333" s="35"/>
      <c r="T333" s="35"/>
      <c r="U333" s="35"/>
      <c r="V333" s="35"/>
      <c r="W333" s="35"/>
      <c r="X333" s="35"/>
      <c r="Y333" s="35"/>
      <c r="Z333" s="35"/>
      <c r="AA333" s="35"/>
      <c r="AB333" s="35"/>
      <c r="AC333" s="35"/>
      <c r="AD333" s="36"/>
      <c r="AE333" s="34" t="s">
        <v>384</v>
      </c>
      <c r="AF333" s="35"/>
      <c r="AG333" s="35"/>
      <c r="AH333" s="35"/>
      <c r="AI333" s="35"/>
      <c r="AJ333" s="35"/>
      <c r="AK333" s="35"/>
      <c r="AL333" s="35"/>
      <c r="AM333" s="35"/>
      <c r="AN333" s="35"/>
      <c r="AO333" s="35"/>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6"/>
      <c r="CE333" s="18"/>
    </row>
    <row r="334" spans="1:83" s="4" customFormat="1" ht="12" customHeight="1" x14ac:dyDescent="0.15">
      <c r="A334" s="16"/>
      <c r="B334" s="73"/>
      <c r="C334" s="58"/>
      <c r="D334" s="610" t="s">
        <v>160</v>
      </c>
      <c r="E334" s="611"/>
      <c r="F334" s="37" t="s">
        <v>161</v>
      </c>
      <c r="G334" s="38"/>
      <c r="H334" s="38"/>
      <c r="I334" s="38"/>
      <c r="J334" s="38"/>
      <c r="K334" s="38"/>
      <c r="L334" s="38"/>
      <c r="M334" s="38"/>
      <c r="N334" s="34" t="s">
        <v>162</v>
      </c>
      <c r="O334" s="35"/>
      <c r="P334" s="35"/>
      <c r="Q334" s="36"/>
      <c r="R334" s="34" t="s">
        <v>163</v>
      </c>
      <c r="S334" s="35"/>
      <c r="T334" s="35"/>
      <c r="U334" s="35"/>
      <c r="V334" s="35"/>
      <c r="W334" s="35"/>
      <c r="X334" s="35"/>
      <c r="Y334" s="35"/>
      <c r="Z334" s="35"/>
      <c r="AA334" s="35"/>
      <c r="AB334" s="35"/>
      <c r="AC334" s="35"/>
      <c r="AD334" s="36"/>
      <c r="AE334" s="34" t="s">
        <v>607</v>
      </c>
      <c r="AF334" s="35"/>
      <c r="AG334" s="35"/>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6"/>
      <c r="CE334" s="18"/>
    </row>
    <row r="335" spans="1:83" s="4" customFormat="1" ht="12" customHeight="1" x14ac:dyDescent="0.15">
      <c r="A335" s="16"/>
      <c r="B335" s="73"/>
      <c r="C335" s="58"/>
      <c r="D335" s="40"/>
      <c r="E335" s="33"/>
      <c r="F335" s="40"/>
      <c r="G335" s="32"/>
      <c r="H335" s="32"/>
      <c r="I335" s="32"/>
      <c r="J335" s="32"/>
      <c r="K335" s="32"/>
      <c r="L335" s="32"/>
      <c r="M335" s="32"/>
      <c r="N335" s="34" t="s">
        <v>340</v>
      </c>
      <c r="O335" s="35"/>
      <c r="P335" s="35"/>
      <c r="Q335" s="36"/>
      <c r="R335" s="34" t="s">
        <v>164</v>
      </c>
      <c r="S335" s="35"/>
      <c r="T335" s="35"/>
      <c r="U335" s="35"/>
      <c r="V335" s="35"/>
      <c r="W335" s="35"/>
      <c r="X335" s="35"/>
      <c r="Y335" s="35"/>
      <c r="Z335" s="35"/>
      <c r="AA335" s="35"/>
      <c r="AB335" s="35"/>
      <c r="AC335" s="35"/>
      <c r="AD335" s="36"/>
      <c r="AE335" s="34" t="s">
        <v>597</v>
      </c>
      <c r="AF335" s="35"/>
      <c r="AG335" s="35"/>
      <c r="AH335" s="35"/>
      <c r="AI335" s="35"/>
      <c r="AJ335" s="35"/>
      <c r="AK335" s="35"/>
      <c r="AL335" s="35"/>
      <c r="AM335" s="35"/>
      <c r="AN335" s="35"/>
      <c r="AO335" s="35"/>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6"/>
      <c r="CE335" s="18"/>
    </row>
    <row r="336" spans="1:83" s="4" customFormat="1" ht="12" customHeight="1" x14ac:dyDescent="0.15">
      <c r="A336" s="16"/>
      <c r="B336" s="73"/>
      <c r="C336" s="58"/>
      <c r="D336" s="610" t="s">
        <v>165</v>
      </c>
      <c r="E336" s="611"/>
      <c r="F336" s="37" t="s">
        <v>341</v>
      </c>
      <c r="G336" s="38"/>
      <c r="H336" s="38"/>
      <c r="I336" s="38"/>
      <c r="J336" s="38"/>
      <c r="K336" s="38"/>
      <c r="L336" s="38"/>
      <c r="M336" s="38"/>
      <c r="N336" s="38"/>
      <c r="O336" s="38"/>
      <c r="P336" s="38"/>
      <c r="Q336" s="39"/>
      <c r="R336" s="37" t="s">
        <v>342</v>
      </c>
      <c r="S336" s="38"/>
      <c r="T336" s="38"/>
      <c r="U336" s="38"/>
      <c r="V336" s="38"/>
      <c r="W336" s="38"/>
      <c r="X336" s="38"/>
      <c r="Y336" s="38"/>
      <c r="Z336" s="38"/>
      <c r="AA336" s="38"/>
      <c r="AB336" s="38"/>
      <c r="AC336" s="38"/>
      <c r="AD336" s="39"/>
      <c r="AE336" s="61" t="s">
        <v>166</v>
      </c>
      <c r="AF336" s="62"/>
      <c r="AG336" s="62"/>
      <c r="AH336" s="62"/>
      <c r="AI336" s="62"/>
      <c r="AJ336" s="62"/>
      <c r="AK336" s="62"/>
      <c r="AL336" s="62"/>
      <c r="AM336" s="62"/>
      <c r="AN336" s="62"/>
      <c r="AO336" s="62"/>
      <c r="AP336" s="62"/>
      <c r="AQ336" s="62"/>
      <c r="AR336" s="62"/>
      <c r="AS336" s="62"/>
      <c r="AT336" s="62"/>
      <c r="AU336" s="62"/>
      <c r="AV336" s="62"/>
      <c r="AW336" s="62"/>
      <c r="AX336" s="62"/>
      <c r="AY336" s="62"/>
      <c r="AZ336" s="62"/>
      <c r="BA336" s="62"/>
      <c r="BB336" s="62"/>
      <c r="BC336" s="62"/>
      <c r="BD336" s="62"/>
      <c r="BE336" s="62"/>
      <c r="BF336" s="62"/>
      <c r="BG336" s="62"/>
      <c r="BH336" s="62"/>
      <c r="BI336" s="62"/>
      <c r="BJ336" s="62"/>
      <c r="BK336" s="62"/>
      <c r="BL336" s="62"/>
      <c r="BM336" s="62"/>
      <c r="BN336" s="62"/>
      <c r="BO336" s="62"/>
      <c r="BP336" s="62"/>
      <c r="BQ336" s="62"/>
      <c r="BR336" s="62"/>
      <c r="BS336" s="62"/>
      <c r="BT336" s="62"/>
      <c r="BU336" s="62"/>
      <c r="BV336" s="62"/>
      <c r="BW336" s="62"/>
      <c r="BX336" s="62"/>
      <c r="BY336" s="62"/>
      <c r="BZ336" s="62"/>
      <c r="CA336" s="62"/>
      <c r="CB336" s="62"/>
      <c r="CC336" s="62"/>
      <c r="CD336" s="63"/>
      <c r="CE336" s="18"/>
    </row>
    <row r="337" spans="1:83" s="9" customFormat="1" ht="12.75" customHeight="1" x14ac:dyDescent="0.15">
      <c r="A337" s="16"/>
      <c r="B337" s="8"/>
      <c r="C337" s="29"/>
      <c r="D337" s="41"/>
      <c r="E337" s="31"/>
      <c r="F337" s="41"/>
      <c r="G337" s="12"/>
      <c r="H337" s="12"/>
      <c r="I337" s="12"/>
      <c r="J337" s="12"/>
      <c r="K337" s="12"/>
      <c r="L337" s="12"/>
      <c r="M337" s="12"/>
      <c r="N337" s="12"/>
      <c r="O337" s="12"/>
      <c r="P337" s="12"/>
      <c r="Q337" s="31"/>
      <c r="R337" s="41"/>
      <c r="S337" s="12"/>
      <c r="T337" s="12"/>
      <c r="U337" s="12"/>
      <c r="V337" s="12"/>
      <c r="W337" s="12"/>
      <c r="X337" s="12"/>
      <c r="Y337" s="12"/>
      <c r="Z337" s="12"/>
      <c r="AA337" s="12"/>
      <c r="AB337" s="12"/>
      <c r="AC337" s="12"/>
      <c r="AD337" s="31"/>
      <c r="AE337" s="64" t="s">
        <v>528</v>
      </c>
      <c r="AF337" s="49"/>
      <c r="AG337" s="49"/>
      <c r="AH337" s="49"/>
      <c r="AI337" s="49"/>
      <c r="AJ337" s="49"/>
      <c r="AK337" s="49"/>
      <c r="AL337" s="49"/>
      <c r="AM337" s="49"/>
      <c r="AN337" s="49"/>
      <c r="AO337" s="49"/>
      <c r="AP337" s="49"/>
      <c r="AQ337" s="49"/>
      <c r="AR337" s="49"/>
      <c r="AS337" s="49"/>
      <c r="AT337" s="49"/>
      <c r="AU337" s="49"/>
      <c r="AV337" s="49"/>
      <c r="AW337" s="49"/>
      <c r="AX337" s="49"/>
      <c r="AY337" s="49"/>
      <c r="AZ337" s="49"/>
      <c r="BA337" s="49"/>
      <c r="BB337" s="49"/>
      <c r="BC337" s="49"/>
      <c r="BD337" s="49"/>
      <c r="BE337" s="49"/>
      <c r="BF337" s="49"/>
      <c r="BG337" s="49"/>
      <c r="BH337" s="49"/>
      <c r="BI337" s="49"/>
      <c r="BJ337" s="49"/>
      <c r="BK337" s="49"/>
      <c r="BL337" s="49"/>
      <c r="BM337" s="49"/>
      <c r="BN337" s="49"/>
      <c r="BO337" s="49"/>
      <c r="BP337" s="49"/>
      <c r="BQ337" s="49"/>
      <c r="BR337" s="49"/>
      <c r="BS337" s="49"/>
      <c r="BT337" s="49"/>
      <c r="BU337" s="49"/>
      <c r="BV337" s="49"/>
      <c r="BW337" s="49"/>
      <c r="BX337" s="49"/>
      <c r="BY337" s="49"/>
      <c r="BZ337" s="49"/>
      <c r="CA337" s="49"/>
      <c r="CB337" s="49"/>
      <c r="CC337" s="49"/>
      <c r="CD337" s="65"/>
      <c r="CE337" s="18"/>
    </row>
    <row r="338" spans="1:83" s="9" customFormat="1" ht="12.75" customHeight="1" x14ac:dyDescent="0.15">
      <c r="A338" s="16"/>
      <c r="B338" s="8"/>
      <c r="C338" s="29"/>
      <c r="D338" s="602" t="s">
        <v>167</v>
      </c>
      <c r="E338" s="603"/>
      <c r="F338" s="34" t="s">
        <v>168</v>
      </c>
      <c r="G338" s="35"/>
      <c r="H338" s="35"/>
      <c r="I338" s="35"/>
      <c r="J338" s="35"/>
      <c r="K338" s="35"/>
      <c r="L338" s="35"/>
      <c r="M338" s="35"/>
      <c r="N338" s="35"/>
      <c r="O338" s="35"/>
      <c r="P338" s="35"/>
      <c r="Q338" s="36"/>
      <c r="R338" s="34" t="s">
        <v>169</v>
      </c>
      <c r="S338" s="35"/>
      <c r="T338" s="35"/>
      <c r="U338" s="35"/>
      <c r="V338" s="35"/>
      <c r="W338" s="35"/>
      <c r="X338" s="35"/>
      <c r="Y338" s="35"/>
      <c r="Z338" s="35"/>
      <c r="AA338" s="35"/>
      <c r="AB338" s="35"/>
      <c r="AC338" s="35"/>
      <c r="AD338" s="36"/>
      <c r="AE338" s="34" t="s">
        <v>358</v>
      </c>
      <c r="AF338" s="35"/>
      <c r="AG338" s="35"/>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6"/>
      <c r="CE338" s="18"/>
    </row>
    <row r="339" spans="1:83" s="9" customFormat="1" ht="12.75" customHeight="1" x14ac:dyDescent="0.15">
      <c r="A339" s="16"/>
      <c r="B339" s="8"/>
      <c r="C339" s="29"/>
      <c r="D339" s="610" t="s">
        <v>170</v>
      </c>
      <c r="E339" s="611"/>
      <c r="F339" s="37" t="s">
        <v>171</v>
      </c>
      <c r="G339" s="38"/>
      <c r="H339" s="38"/>
      <c r="I339" s="38"/>
      <c r="J339" s="38"/>
      <c r="K339" s="38"/>
      <c r="L339" s="38"/>
      <c r="M339" s="38"/>
      <c r="N339" s="38"/>
      <c r="O339" s="38"/>
      <c r="P339" s="38"/>
      <c r="Q339" s="39"/>
      <c r="R339" s="37" t="s">
        <v>359</v>
      </c>
      <c r="S339" s="38"/>
      <c r="T339" s="38"/>
      <c r="U339" s="38"/>
      <c r="V339" s="38"/>
      <c r="W339" s="38"/>
      <c r="X339" s="38"/>
      <c r="Y339" s="38"/>
      <c r="Z339" s="38"/>
      <c r="AA339" s="38"/>
      <c r="AB339" s="38"/>
      <c r="AC339" s="38"/>
      <c r="AD339" s="39"/>
      <c r="AE339" s="37" t="s">
        <v>519</v>
      </c>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c r="BC339" s="38"/>
      <c r="BD339" s="38"/>
      <c r="BE339" s="38"/>
      <c r="BF339" s="38"/>
      <c r="BG339" s="38"/>
      <c r="BH339" s="38"/>
      <c r="BI339" s="38"/>
      <c r="BJ339" s="38"/>
      <c r="BK339" s="38"/>
      <c r="BL339" s="38"/>
      <c r="BM339" s="38"/>
      <c r="BN339" s="38"/>
      <c r="BO339" s="38"/>
      <c r="BP339" s="38"/>
      <c r="BQ339" s="38"/>
      <c r="BR339" s="38"/>
      <c r="BS339" s="38"/>
      <c r="BT339" s="38"/>
      <c r="BU339" s="38"/>
      <c r="BV339" s="38"/>
      <c r="BW339" s="38"/>
      <c r="BX339" s="38"/>
      <c r="BY339" s="38"/>
      <c r="BZ339" s="38"/>
      <c r="CA339" s="38"/>
      <c r="CB339" s="38"/>
      <c r="CC339" s="38"/>
      <c r="CD339" s="39"/>
      <c r="CE339" s="18"/>
    </row>
    <row r="340" spans="1:83" s="9" customFormat="1" ht="12.75" customHeight="1" x14ac:dyDescent="0.15">
      <c r="A340" s="16"/>
      <c r="B340" s="8"/>
      <c r="C340" s="29"/>
      <c r="D340" s="130"/>
      <c r="E340" s="131"/>
      <c r="F340" s="40"/>
      <c r="G340" s="32"/>
      <c r="H340" s="32"/>
      <c r="I340" s="32"/>
      <c r="J340" s="32"/>
      <c r="K340" s="32"/>
      <c r="L340" s="32"/>
      <c r="M340" s="32"/>
      <c r="N340" s="32"/>
      <c r="O340" s="32"/>
      <c r="P340" s="32"/>
      <c r="Q340" s="33"/>
      <c r="R340" s="40"/>
      <c r="S340" s="32"/>
      <c r="T340" s="32"/>
      <c r="U340" s="32"/>
      <c r="V340" s="32"/>
      <c r="W340" s="32"/>
      <c r="X340" s="32"/>
      <c r="Y340" s="32"/>
      <c r="Z340" s="32"/>
      <c r="AA340" s="32"/>
      <c r="AB340" s="32"/>
      <c r="AC340" s="32"/>
      <c r="AD340" s="33"/>
      <c r="AE340" s="40" t="s">
        <v>520</v>
      </c>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c r="BO340" s="32"/>
      <c r="BP340" s="32"/>
      <c r="BQ340" s="32"/>
      <c r="BR340" s="32"/>
      <c r="BS340" s="32"/>
      <c r="BT340" s="32"/>
      <c r="BU340" s="32"/>
      <c r="BV340" s="32"/>
      <c r="BW340" s="32"/>
      <c r="BX340" s="32"/>
      <c r="BY340" s="32"/>
      <c r="BZ340" s="32"/>
      <c r="CA340" s="32"/>
      <c r="CB340" s="32"/>
      <c r="CC340" s="32"/>
      <c r="CD340" s="33"/>
      <c r="CE340" s="18"/>
    </row>
    <row r="341" spans="1:83" s="9" customFormat="1" ht="12.75" customHeight="1" x14ac:dyDescent="0.15">
      <c r="A341" s="16"/>
      <c r="B341" s="8"/>
      <c r="C341" s="29"/>
      <c r="D341" s="602" t="s">
        <v>172</v>
      </c>
      <c r="E341" s="603"/>
      <c r="F341" s="34" t="s">
        <v>344</v>
      </c>
      <c r="G341" s="35"/>
      <c r="H341" s="35"/>
      <c r="I341" s="35"/>
      <c r="J341" s="35"/>
      <c r="K341" s="35"/>
      <c r="L341" s="35"/>
      <c r="M341" s="35"/>
      <c r="N341" s="35"/>
      <c r="O341" s="35"/>
      <c r="P341" s="35"/>
      <c r="Q341" s="36"/>
      <c r="R341" s="34" t="s">
        <v>173</v>
      </c>
      <c r="S341" s="35"/>
      <c r="T341" s="35"/>
      <c r="U341" s="35"/>
      <c r="V341" s="35"/>
      <c r="W341" s="35"/>
      <c r="X341" s="35"/>
      <c r="Y341" s="35"/>
      <c r="Z341" s="35"/>
      <c r="AA341" s="35"/>
      <c r="AB341" s="35"/>
      <c r="AC341" s="35"/>
      <c r="AD341" s="36"/>
      <c r="AE341" s="34" t="s">
        <v>521</v>
      </c>
      <c r="AF341" s="35"/>
      <c r="AG341" s="35"/>
      <c r="AH341" s="35"/>
      <c r="AI341" s="35"/>
      <c r="AJ341" s="35"/>
      <c r="AK341" s="35"/>
      <c r="AL341" s="35"/>
      <c r="AM341" s="35"/>
      <c r="AN341" s="35"/>
      <c r="AO341" s="35"/>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6"/>
      <c r="CE341" s="18"/>
    </row>
    <row r="342" spans="1:83" s="9" customFormat="1" ht="12.75" customHeight="1" x14ac:dyDescent="0.15">
      <c r="A342" s="16"/>
      <c r="B342" s="8"/>
      <c r="C342" s="29"/>
      <c r="D342" s="602" t="s">
        <v>174</v>
      </c>
      <c r="E342" s="603"/>
      <c r="F342" s="34" t="s">
        <v>376</v>
      </c>
      <c r="G342" s="35"/>
      <c r="H342" s="35"/>
      <c r="I342" s="35"/>
      <c r="J342" s="35"/>
      <c r="K342" s="35"/>
      <c r="L342" s="35"/>
      <c r="M342" s="35"/>
      <c r="N342" s="35"/>
      <c r="O342" s="35"/>
      <c r="P342" s="35"/>
      <c r="Q342" s="36"/>
      <c r="R342" s="34" t="s">
        <v>653</v>
      </c>
      <c r="S342" s="35"/>
      <c r="T342" s="35"/>
      <c r="U342" s="35"/>
      <c r="V342" s="35"/>
      <c r="W342" s="35"/>
      <c r="X342" s="35"/>
      <c r="Y342" s="35"/>
      <c r="Z342" s="35"/>
      <c r="AA342" s="35"/>
      <c r="AB342" s="35"/>
      <c r="AC342" s="35"/>
      <c r="AD342" s="36"/>
      <c r="AE342" s="34" t="s">
        <v>654</v>
      </c>
      <c r="AF342" s="35"/>
      <c r="AG342" s="35"/>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6"/>
      <c r="CE342" s="18"/>
    </row>
    <row r="343" spans="1:83" s="9" customFormat="1" ht="12.75" customHeight="1" x14ac:dyDescent="0.15">
      <c r="A343" s="16"/>
      <c r="B343" s="8"/>
      <c r="C343" s="29"/>
      <c r="D343" s="602" t="s">
        <v>175</v>
      </c>
      <c r="E343" s="603"/>
      <c r="F343" s="34" t="s">
        <v>176</v>
      </c>
      <c r="G343" s="35"/>
      <c r="H343" s="35"/>
      <c r="I343" s="35"/>
      <c r="J343" s="35"/>
      <c r="K343" s="35"/>
      <c r="L343" s="35"/>
      <c r="M343" s="35"/>
      <c r="N343" s="35"/>
      <c r="O343" s="35"/>
      <c r="P343" s="35"/>
      <c r="Q343" s="36"/>
      <c r="R343" s="34" t="s">
        <v>177</v>
      </c>
      <c r="S343" s="35"/>
      <c r="T343" s="35"/>
      <c r="U343" s="35"/>
      <c r="V343" s="35"/>
      <c r="W343" s="35"/>
      <c r="X343" s="35"/>
      <c r="Y343" s="35"/>
      <c r="Z343" s="35"/>
      <c r="AA343" s="35"/>
      <c r="AB343" s="35"/>
      <c r="AC343" s="35"/>
      <c r="AD343" s="36"/>
      <c r="AE343" s="34" t="s">
        <v>524</v>
      </c>
      <c r="AF343" s="35"/>
      <c r="AG343" s="35"/>
      <c r="AH343" s="35"/>
      <c r="AI343" s="35"/>
      <c r="AJ343" s="35"/>
      <c r="AK343" s="35"/>
      <c r="AL343" s="35"/>
      <c r="AM343" s="35"/>
      <c r="AN343" s="35"/>
      <c r="AO343" s="35"/>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6"/>
      <c r="CE343" s="18"/>
    </row>
    <row r="344" spans="1:83" s="9" customFormat="1" ht="12.75" customHeight="1" x14ac:dyDescent="0.15">
      <c r="A344" s="16"/>
      <c r="B344" s="8"/>
      <c r="C344" s="29"/>
      <c r="D344" s="602" t="s">
        <v>178</v>
      </c>
      <c r="E344" s="603"/>
      <c r="F344" s="34" t="s">
        <v>179</v>
      </c>
      <c r="G344" s="35"/>
      <c r="H344" s="35"/>
      <c r="I344" s="35"/>
      <c r="J344" s="35"/>
      <c r="K344" s="35"/>
      <c r="L344" s="35"/>
      <c r="M344" s="35"/>
      <c r="N344" s="35"/>
      <c r="O344" s="35"/>
      <c r="P344" s="35"/>
      <c r="Q344" s="36"/>
      <c r="R344" s="34" t="s">
        <v>180</v>
      </c>
      <c r="S344" s="35"/>
      <c r="T344" s="35"/>
      <c r="U344" s="35"/>
      <c r="V344" s="35"/>
      <c r="W344" s="35"/>
      <c r="X344" s="35"/>
      <c r="Y344" s="35"/>
      <c r="Z344" s="35"/>
      <c r="AA344" s="35"/>
      <c r="AB344" s="35"/>
      <c r="AC344" s="35"/>
      <c r="AD344" s="36"/>
      <c r="AE344" s="34" t="s">
        <v>547</v>
      </c>
      <c r="AF344" s="35"/>
      <c r="AG344" s="35"/>
      <c r="AH344" s="35"/>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6"/>
      <c r="CE344" s="18"/>
    </row>
    <row r="345" spans="1:83" s="9" customFormat="1" ht="12.75" customHeight="1" x14ac:dyDescent="0.15">
      <c r="A345" s="16"/>
      <c r="B345" s="8"/>
      <c r="C345" s="29"/>
      <c r="D345" s="610" t="s">
        <v>181</v>
      </c>
      <c r="E345" s="611"/>
      <c r="F345" s="886" t="s">
        <v>182</v>
      </c>
      <c r="G345" s="887"/>
      <c r="H345" s="887"/>
      <c r="I345" s="887"/>
      <c r="J345" s="887"/>
      <c r="K345" s="887"/>
      <c r="L345" s="887"/>
      <c r="M345" s="887"/>
      <c r="N345" s="887"/>
      <c r="O345" s="887"/>
      <c r="P345" s="887"/>
      <c r="Q345" s="888"/>
      <c r="R345" s="886" t="s">
        <v>183</v>
      </c>
      <c r="S345" s="887"/>
      <c r="T345" s="887"/>
      <c r="U345" s="887"/>
      <c r="V345" s="887"/>
      <c r="W345" s="887"/>
      <c r="X345" s="887"/>
      <c r="Y345" s="887"/>
      <c r="Z345" s="887"/>
      <c r="AA345" s="887"/>
      <c r="AB345" s="887"/>
      <c r="AC345" s="887"/>
      <c r="AD345" s="888"/>
      <c r="AE345" s="874" t="s">
        <v>184</v>
      </c>
      <c r="AF345" s="875"/>
      <c r="AG345" s="875"/>
      <c r="AH345" s="875"/>
      <c r="AI345" s="875"/>
      <c r="AJ345" s="875"/>
      <c r="AK345" s="875"/>
      <c r="AL345" s="875"/>
      <c r="AM345" s="875"/>
      <c r="AN345" s="875"/>
      <c r="AO345" s="875"/>
      <c r="AP345" s="875"/>
      <c r="AQ345" s="875"/>
      <c r="AR345" s="875"/>
      <c r="AS345" s="875"/>
      <c r="AT345" s="875"/>
      <c r="AU345" s="875"/>
      <c r="AV345" s="875"/>
      <c r="AW345" s="875"/>
      <c r="AX345" s="875"/>
      <c r="AY345" s="875"/>
      <c r="AZ345" s="875"/>
      <c r="BA345" s="875"/>
      <c r="BB345" s="875"/>
      <c r="BC345" s="875"/>
      <c r="BD345" s="875"/>
      <c r="BE345" s="875"/>
      <c r="BF345" s="875"/>
      <c r="BG345" s="875"/>
      <c r="BH345" s="875"/>
      <c r="BI345" s="875"/>
      <c r="BJ345" s="875"/>
      <c r="BK345" s="875"/>
      <c r="BL345" s="875"/>
      <c r="BM345" s="875"/>
      <c r="BN345" s="875"/>
      <c r="BO345" s="875"/>
      <c r="BP345" s="875"/>
      <c r="BQ345" s="875"/>
      <c r="BR345" s="875"/>
      <c r="BS345" s="875"/>
      <c r="BT345" s="875"/>
      <c r="BU345" s="875"/>
      <c r="BV345" s="875"/>
      <c r="BW345" s="875"/>
      <c r="BX345" s="875"/>
      <c r="BY345" s="875"/>
      <c r="BZ345" s="875"/>
      <c r="CA345" s="875"/>
      <c r="CB345" s="875"/>
      <c r="CC345" s="875"/>
      <c r="CD345" s="876"/>
      <c r="CE345" s="18"/>
    </row>
    <row r="346" spans="1:83" s="9" customFormat="1" ht="12.75" customHeight="1" x14ac:dyDescent="0.15">
      <c r="A346" s="16"/>
      <c r="B346" s="8"/>
      <c r="C346" s="29"/>
      <c r="D346" s="895"/>
      <c r="E346" s="896"/>
      <c r="F346" s="889"/>
      <c r="G346" s="890"/>
      <c r="H346" s="890"/>
      <c r="I346" s="890"/>
      <c r="J346" s="890"/>
      <c r="K346" s="890"/>
      <c r="L346" s="890"/>
      <c r="M346" s="890"/>
      <c r="N346" s="890"/>
      <c r="O346" s="890"/>
      <c r="P346" s="890"/>
      <c r="Q346" s="891"/>
      <c r="R346" s="889"/>
      <c r="S346" s="890"/>
      <c r="T346" s="890"/>
      <c r="U346" s="890"/>
      <c r="V346" s="890"/>
      <c r="W346" s="890"/>
      <c r="X346" s="890"/>
      <c r="Y346" s="890"/>
      <c r="Z346" s="890"/>
      <c r="AA346" s="890"/>
      <c r="AB346" s="890"/>
      <c r="AC346" s="890"/>
      <c r="AD346" s="891"/>
      <c r="AE346" s="877"/>
      <c r="AF346" s="878"/>
      <c r="AG346" s="878"/>
      <c r="AH346" s="878"/>
      <c r="AI346" s="878"/>
      <c r="AJ346" s="878"/>
      <c r="AK346" s="878"/>
      <c r="AL346" s="878"/>
      <c r="AM346" s="878"/>
      <c r="AN346" s="878"/>
      <c r="AO346" s="878"/>
      <c r="AP346" s="878"/>
      <c r="AQ346" s="878"/>
      <c r="AR346" s="878"/>
      <c r="AS346" s="878"/>
      <c r="AT346" s="878"/>
      <c r="AU346" s="878"/>
      <c r="AV346" s="878"/>
      <c r="AW346" s="878"/>
      <c r="AX346" s="878"/>
      <c r="AY346" s="878"/>
      <c r="AZ346" s="878"/>
      <c r="BA346" s="878"/>
      <c r="BB346" s="878"/>
      <c r="BC346" s="878"/>
      <c r="BD346" s="878"/>
      <c r="BE346" s="878"/>
      <c r="BF346" s="878"/>
      <c r="BG346" s="878"/>
      <c r="BH346" s="878"/>
      <c r="BI346" s="878"/>
      <c r="BJ346" s="878"/>
      <c r="BK346" s="878"/>
      <c r="BL346" s="878"/>
      <c r="BM346" s="878"/>
      <c r="BN346" s="878"/>
      <c r="BO346" s="878"/>
      <c r="BP346" s="878"/>
      <c r="BQ346" s="878"/>
      <c r="BR346" s="878"/>
      <c r="BS346" s="878"/>
      <c r="BT346" s="878"/>
      <c r="BU346" s="878"/>
      <c r="BV346" s="878"/>
      <c r="BW346" s="878"/>
      <c r="BX346" s="878"/>
      <c r="BY346" s="878"/>
      <c r="BZ346" s="878"/>
      <c r="CA346" s="878"/>
      <c r="CB346" s="878"/>
      <c r="CC346" s="878"/>
      <c r="CD346" s="879"/>
      <c r="CE346" s="18"/>
    </row>
    <row r="347" spans="1:83" s="9" customFormat="1" ht="12.75" customHeight="1" x14ac:dyDescent="0.15">
      <c r="A347" s="16"/>
      <c r="B347" s="8"/>
      <c r="C347" s="29"/>
      <c r="D347" s="602" t="s">
        <v>610</v>
      </c>
      <c r="E347" s="603"/>
      <c r="F347" s="34" t="s">
        <v>185</v>
      </c>
      <c r="G347" s="35"/>
      <c r="H347" s="35"/>
      <c r="I347" s="35"/>
      <c r="J347" s="35"/>
      <c r="K347" s="35"/>
      <c r="L347" s="35"/>
      <c r="M347" s="35"/>
      <c r="N347" s="35"/>
      <c r="O347" s="35"/>
      <c r="P347" s="35"/>
      <c r="Q347" s="36"/>
      <c r="R347" s="34" t="s">
        <v>186</v>
      </c>
      <c r="S347" s="35"/>
      <c r="T347" s="35"/>
      <c r="U347" s="35"/>
      <c r="V347" s="35"/>
      <c r="W347" s="35"/>
      <c r="X347" s="35"/>
      <c r="Y347" s="35"/>
      <c r="Z347" s="35"/>
      <c r="AA347" s="35"/>
      <c r="AB347" s="35"/>
      <c r="AC347" s="35"/>
      <c r="AD347" s="36"/>
      <c r="AE347" s="612" t="s">
        <v>328</v>
      </c>
      <c r="AF347" s="613"/>
      <c r="AG347" s="613"/>
      <c r="AH347" s="613"/>
      <c r="AI347" s="613"/>
      <c r="AJ347" s="613"/>
      <c r="AK347" s="613"/>
      <c r="AL347" s="613"/>
      <c r="AM347" s="613"/>
      <c r="AN347" s="613"/>
      <c r="AO347" s="613"/>
      <c r="AP347" s="613"/>
      <c r="AQ347" s="613"/>
      <c r="AR347" s="613"/>
      <c r="AS347" s="613"/>
      <c r="AT347" s="613"/>
      <c r="AU347" s="613"/>
      <c r="AV347" s="613"/>
      <c r="AW347" s="613"/>
      <c r="AX347" s="613"/>
      <c r="AY347" s="613"/>
      <c r="AZ347" s="613"/>
      <c r="BA347" s="613"/>
      <c r="BB347" s="613"/>
      <c r="BC347" s="613"/>
      <c r="BD347" s="613"/>
      <c r="BE347" s="613"/>
      <c r="BF347" s="613"/>
      <c r="BG347" s="613"/>
      <c r="BH347" s="613"/>
      <c r="BI347" s="613"/>
      <c r="BJ347" s="613"/>
      <c r="BK347" s="613"/>
      <c r="BL347" s="613"/>
      <c r="BM347" s="613"/>
      <c r="BN347" s="613"/>
      <c r="BO347" s="613"/>
      <c r="BP347" s="613"/>
      <c r="BQ347" s="613"/>
      <c r="BR347" s="613"/>
      <c r="BS347" s="613"/>
      <c r="BT347" s="613"/>
      <c r="BU347" s="613"/>
      <c r="BV347" s="613"/>
      <c r="BW347" s="613"/>
      <c r="BX347" s="613"/>
      <c r="BY347" s="613"/>
      <c r="BZ347" s="613"/>
      <c r="CA347" s="613"/>
      <c r="CB347" s="613"/>
      <c r="CC347" s="613"/>
      <c r="CD347" s="614"/>
      <c r="CE347" s="18"/>
    </row>
    <row r="348" spans="1:83" s="9" customFormat="1" ht="12.75" customHeight="1" x14ac:dyDescent="0.15">
      <c r="A348" s="16"/>
      <c r="B348" s="8"/>
      <c r="C348" s="29"/>
      <c r="D348" s="602" t="s">
        <v>611</v>
      </c>
      <c r="E348" s="603"/>
      <c r="F348" s="34" t="s">
        <v>187</v>
      </c>
      <c r="G348" s="35"/>
      <c r="H348" s="35"/>
      <c r="I348" s="35"/>
      <c r="J348" s="35"/>
      <c r="K348" s="35"/>
      <c r="L348" s="35"/>
      <c r="M348" s="35"/>
      <c r="N348" s="35"/>
      <c r="O348" s="35"/>
      <c r="P348" s="35"/>
      <c r="Q348" s="36"/>
      <c r="R348" s="34" t="s">
        <v>188</v>
      </c>
      <c r="S348" s="35"/>
      <c r="T348" s="35"/>
      <c r="U348" s="35"/>
      <c r="V348" s="35"/>
      <c r="W348" s="35"/>
      <c r="X348" s="35"/>
      <c r="Y348" s="35"/>
      <c r="Z348" s="35"/>
      <c r="AA348" s="35"/>
      <c r="AB348" s="35"/>
      <c r="AC348" s="35"/>
      <c r="AD348" s="36"/>
      <c r="AE348" s="34" t="s">
        <v>546</v>
      </c>
      <c r="AF348" s="35"/>
      <c r="AG348" s="35"/>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6"/>
      <c r="CE348" s="18"/>
    </row>
    <row r="349" spans="1:83" s="9" customFormat="1" ht="12.75" customHeight="1" x14ac:dyDescent="0.15">
      <c r="A349" s="16"/>
      <c r="B349" s="8"/>
      <c r="C349" s="29"/>
      <c r="D349" s="602" t="s">
        <v>612</v>
      </c>
      <c r="E349" s="603"/>
      <c r="F349" s="34" t="s">
        <v>189</v>
      </c>
      <c r="G349" s="35"/>
      <c r="H349" s="35"/>
      <c r="I349" s="35"/>
      <c r="J349" s="35"/>
      <c r="K349" s="35"/>
      <c r="L349" s="35"/>
      <c r="M349" s="35"/>
      <c r="N349" s="35"/>
      <c r="O349" s="35"/>
      <c r="P349" s="35"/>
      <c r="Q349" s="36"/>
      <c r="R349" s="34" t="s">
        <v>190</v>
      </c>
      <c r="S349" s="35"/>
      <c r="T349" s="35"/>
      <c r="U349" s="35"/>
      <c r="V349" s="35"/>
      <c r="W349" s="35"/>
      <c r="X349" s="35"/>
      <c r="Y349" s="35"/>
      <c r="Z349" s="35"/>
      <c r="AA349" s="35"/>
      <c r="AB349" s="35"/>
      <c r="AC349" s="35"/>
      <c r="AD349" s="36"/>
      <c r="AE349" s="34" t="s">
        <v>526</v>
      </c>
      <c r="AF349" s="35"/>
      <c r="AG349" s="35"/>
      <c r="AH349" s="35"/>
      <c r="AI349" s="35"/>
      <c r="AJ349" s="35"/>
      <c r="AK349" s="35"/>
      <c r="AL349" s="35"/>
      <c r="AM349" s="35"/>
      <c r="AN349" s="35"/>
      <c r="AO349" s="35"/>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6"/>
      <c r="CE349" s="18"/>
    </row>
    <row r="350" spans="1:83" s="9" customFormat="1" ht="12.75" customHeight="1" x14ac:dyDescent="0.15">
      <c r="A350" s="16"/>
      <c r="B350" s="8"/>
      <c r="C350" s="29"/>
      <c r="D350" s="610" t="s">
        <v>191</v>
      </c>
      <c r="E350" s="611"/>
      <c r="F350" s="37" t="s">
        <v>192</v>
      </c>
      <c r="G350" s="38"/>
      <c r="H350" s="38"/>
      <c r="I350" s="38"/>
      <c r="J350" s="38"/>
      <c r="K350" s="38"/>
      <c r="L350" s="38"/>
      <c r="M350" s="38"/>
      <c r="N350" s="38"/>
      <c r="O350" s="38"/>
      <c r="P350" s="38"/>
      <c r="Q350" s="39"/>
      <c r="R350" s="37" t="s">
        <v>193</v>
      </c>
      <c r="S350" s="38"/>
      <c r="T350" s="38"/>
      <c r="U350" s="38"/>
      <c r="V350" s="38"/>
      <c r="W350" s="38"/>
      <c r="X350" s="38"/>
      <c r="Y350" s="38"/>
      <c r="Z350" s="38"/>
      <c r="AA350" s="38"/>
      <c r="AB350" s="38"/>
      <c r="AC350" s="38"/>
      <c r="AD350" s="39"/>
      <c r="AE350" s="37" t="s">
        <v>549</v>
      </c>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c r="BC350" s="38"/>
      <c r="BD350" s="38"/>
      <c r="BE350" s="38"/>
      <c r="BF350" s="38"/>
      <c r="BG350" s="38"/>
      <c r="BH350" s="38"/>
      <c r="BI350" s="38"/>
      <c r="BJ350" s="38"/>
      <c r="BK350" s="38"/>
      <c r="BL350" s="38"/>
      <c r="BM350" s="38"/>
      <c r="BN350" s="38"/>
      <c r="BO350" s="38"/>
      <c r="BP350" s="38"/>
      <c r="BQ350" s="38"/>
      <c r="BR350" s="38"/>
      <c r="BS350" s="38"/>
      <c r="BT350" s="38"/>
      <c r="BU350" s="38"/>
      <c r="BV350" s="38"/>
      <c r="BW350" s="38"/>
      <c r="BX350" s="38"/>
      <c r="BY350" s="38"/>
      <c r="BZ350" s="38"/>
      <c r="CA350" s="38"/>
      <c r="CB350" s="38"/>
      <c r="CC350" s="38"/>
      <c r="CD350" s="39"/>
      <c r="CE350" s="18"/>
    </row>
    <row r="351" spans="1:83" s="9" customFormat="1" ht="12.75" customHeight="1" x14ac:dyDescent="0.15">
      <c r="A351" s="16"/>
      <c r="B351" s="8"/>
      <c r="C351" s="29"/>
      <c r="D351" s="130"/>
      <c r="E351" s="131"/>
      <c r="F351" s="40"/>
      <c r="G351" s="32"/>
      <c r="H351" s="32"/>
      <c r="I351" s="32"/>
      <c r="J351" s="32"/>
      <c r="K351" s="32"/>
      <c r="L351" s="32"/>
      <c r="M351" s="32"/>
      <c r="N351" s="32"/>
      <c r="O351" s="32"/>
      <c r="P351" s="32"/>
      <c r="Q351" s="33"/>
      <c r="R351" s="40"/>
      <c r="S351" s="32"/>
      <c r="T351" s="32"/>
      <c r="U351" s="32"/>
      <c r="V351" s="32"/>
      <c r="W351" s="32"/>
      <c r="X351" s="32"/>
      <c r="Y351" s="32"/>
      <c r="Z351" s="32"/>
      <c r="AA351" s="32"/>
      <c r="AB351" s="32"/>
      <c r="AC351" s="32"/>
      <c r="AD351" s="33"/>
      <c r="AE351" s="40" t="s">
        <v>550</v>
      </c>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c r="BO351" s="32"/>
      <c r="BP351" s="32"/>
      <c r="BQ351" s="32"/>
      <c r="BR351" s="32"/>
      <c r="BS351" s="32"/>
      <c r="BT351" s="32"/>
      <c r="BU351" s="32"/>
      <c r="BV351" s="32"/>
      <c r="BW351" s="32"/>
      <c r="BX351" s="32"/>
      <c r="BY351" s="32"/>
      <c r="BZ351" s="32"/>
      <c r="CA351" s="32"/>
      <c r="CB351" s="32"/>
      <c r="CC351" s="32"/>
      <c r="CD351" s="33"/>
      <c r="CE351" s="18"/>
    </row>
    <row r="352" spans="1:83" s="9" customFormat="1" ht="12.75" customHeight="1" x14ac:dyDescent="0.15">
      <c r="A352" s="16"/>
      <c r="B352" s="8"/>
      <c r="C352" s="29"/>
      <c r="D352" s="610" t="s">
        <v>194</v>
      </c>
      <c r="E352" s="611"/>
      <c r="F352" s="880" t="s">
        <v>195</v>
      </c>
      <c r="G352" s="881"/>
      <c r="H352" s="881"/>
      <c r="I352" s="881"/>
      <c r="J352" s="881"/>
      <c r="K352" s="881"/>
      <c r="L352" s="881"/>
      <c r="M352" s="881"/>
      <c r="N352" s="881"/>
      <c r="O352" s="881"/>
      <c r="P352" s="881"/>
      <c r="Q352" s="882"/>
      <c r="R352" s="886" t="s">
        <v>193</v>
      </c>
      <c r="S352" s="887"/>
      <c r="T352" s="887"/>
      <c r="U352" s="887"/>
      <c r="V352" s="887"/>
      <c r="W352" s="887"/>
      <c r="X352" s="887"/>
      <c r="Y352" s="887"/>
      <c r="Z352" s="887"/>
      <c r="AA352" s="887"/>
      <c r="AB352" s="887"/>
      <c r="AC352" s="887"/>
      <c r="AD352" s="888"/>
      <c r="AE352" s="874" t="s">
        <v>196</v>
      </c>
      <c r="AF352" s="875"/>
      <c r="AG352" s="875"/>
      <c r="AH352" s="875"/>
      <c r="AI352" s="875"/>
      <c r="AJ352" s="875"/>
      <c r="AK352" s="875"/>
      <c r="AL352" s="875"/>
      <c r="AM352" s="875"/>
      <c r="AN352" s="875"/>
      <c r="AO352" s="875"/>
      <c r="AP352" s="875"/>
      <c r="AQ352" s="875"/>
      <c r="AR352" s="875"/>
      <c r="AS352" s="875"/>
      <c r="AT352" s="875"/>
      <c r="AU352" s="875"/>
      <c r="AV352" s="875"/>
      <c r="AW352" s="875"/>
      <c r="AX352" s="875"/>
      <c r="AY352" s="875"/>
      <c r="AZ352" s="875"/>
      <c r="BA352" s="875"/>
      <c r="BB352" s="875"/>
      <c r="BC352" s="875"/>
      <c r="BD352" s="875"/>
      <c r="BE352" s="875"/>
      <c r="BF352" s="875"/>
      <c r="BG352" s="875"/>
      <c r="BH352" s="875"/>
      <c r="BI352" s="875"/>
      <c r="BJ352" s="875"/>
      <c r="BK352" s="875"/>
      <c r="BL352" s="875"/>
      <c r="BM352" s="875"/>
      <c r="BN352" s="875"/>
      <c r="BO352" s="875"/>
      <c r="BP352" s="875"/>
      <c r="BQ352" s="875"/>
      <c r="BR352" s="875"/>
      <c r="BS352" s="875"/>
      <c r="BT352" s="875"/>
      <c r="BU352" s="875"/>
      <c r="BV352" s="875"/>
      <c r="BW352" s="875"/>
      <c r="BX352" s="875"/>
      <c r="BY352" s="875"/>
      <c r="BZ352" s="875"/>
      <c r="CA352" s="875"/>
      <c r="CB352" s="875"/>
      <c r="CC352" s="875"/>
      <c r="CD352" s="876"/>
      <c r="CE352" s="18"/>
    </row>
    <row r="353" spans="1:83" s="9" customFormat="1" ht="12.75" customHeight="1" x14ac:dyDescent="0.15">
      <c r="A353" s="16"/>
      <c r="B353" s="8"/>
      <c r="C353" s="29"/>
      <c r="D353" s="895"/>
      <c r="E353" s="896"/>
      <c r="F353" s="883"/>
      <c r="G353" s="884"/>
      <c r="H353" s="884"/>
      <c r="I353" s="884"/>
      <c r="J353" s="884"/>
      <c r="K353" s="884"/>
      <c r="L353" s="884"/>
      <c r="M353" s="884"/>
      <c r="N353" s="884"/>
      <c r="O353" s="884"/>
      <c r="P353" s="884"/>
      <c r="Q353" s="885"/>
      <c r="R353" s="889"/>
      <c r="S353" s="890"/>
      <c r="T353" s="890"/>
      <c r="U353" s="890"/>
      <c r="V353" s="890"/>
      <c r="W353" s="890"/>
      <c r="X353" s="890"/>
      <c r="Y353" s="890"/>
      <c r="Z353" s="890"/>
      <c r="AA353" s="890"/>
      <c r="AB353" s="890"/>
      <c r="AC353" s="890"/>
      <c r="AD353" s="891"/>
      <c r="AE353" s="877"/>
      <c r="AF353" s="878"/>
      <c r="AG353" s="878"/>
      <c r="AH353" s="878"/>
      <c r="AI353" s="878"/>
      <c r="AJ353" s="878"/>
      <c r="AK353" s="878"/>
      <c r="AL353" s="878"/>
      <c r="AM353" s="878"/>
      <c r="AN353" s="878"/>
      <c r="AO353" s="878"/>
      <c r="AP353" s="878"/>
      <c r="AQ353" s="878"/>
      <c r="AR353" s="878"/>
      <c r="AS353" s="878"/>
      <c r="AT353" s="878"/>
      <c r="AU353" s="878"/>
      <c r="AV353" s="878"/>
      <c r="AW353" s="878"/>
      <c r="AX353" s="878"/>
      <c r="AY353" s="878"/>
      <c r="AZ353" s="878"/>
      <c r="BA353" s="878"/>
      <c r="BB353" s="878"/>
      <c r="BC353" s="878"/>
      <c r="BD353" s="878"/>
      <c r="BE353" s="878"/>
      <c r="BF353" s="878"/>
      <c r="BG353" s="878"/>
      <c r="BH353" s="878"/>
      <c r="BI353" s="878"/>
      <c r="BJ353" s="878"/>
      <c r="BK353" s="878"/>
      <c r="BL353" s="878"/>
      <c r="BM353" s="878"/>
      <c r="BN353" s="878"/>
      <c r="BO353" s="878"/>
      <c r="BP353" s="878"/>
      <c r="BQ353" s="878"/>
      <c r="BR353" s="878"/>
      <c r="BS353" s="878"/>
      <c r="BT353" s="878"/>
      <c r="BU353" s="878"/>
      <c r="BV353" s="878"/>
      <c r="BW353" s="878"/>
      <c r="BX353" s="878"/>
      <c r="BY353" s="878"/>
      <c r="BZ353" s="878"/>
      <c r="CA353" s="878"/>
      <c r="CB353" s="878"/>
      <c r="CC353" s="878"/>
      <c r="CD353" s="879"/>
      <c r="CE353" s="18"/>
    </row>
    <row r="354" spans="1:83" s="9" customFormat="1" ht="12.75" customHeight="1" x14ac:dyDescent="0.15">
      <c r="A354" s="16"/>
      <c r="B354" s="8"/>
      <c r="C354" s="29"/>
      <c r="D354" s="602" t="s">
        <v>197</v>
      </c>
      <c r="E354" s="603"/>
      <c r="F354" s="34" t="s">
        <v>198</v>
      </c>
      <c r="G354" s="35"/>
      <c r="H354" s="35"/>
      <c r="I354" s="35"/>
      <c r="J354" s="35"/>
      <c r="K354" s="35"/>
      <c r="L354" s="35"/>
      <c r="M354" s="35"/>
      <c r="N354" s="35"/>
      <c r="O354" s="35"/>
      <c r="P354" s="35"/>
      <c r="Q354" s="36"/>
      <c r="R354" s="34" t="s">
        <v>199</v>
      </c>
      <c r="S354" s="35"/>
      <c r="T354" s="35"/>
      <c r="U354" s="35"/>
      <c r="V354" s="35"/>
      <c r="W354" s="35"/>
      <c r="X354" s="35"/>
      <c r="Y354" s="35"/>
      <c r="Z354" s="35"/>
      <c r="AA354" s="35"/>
      <c r="AB354" s="35"/>
      <c r="AC354" s="35"/>
      <c r="AD354" s="36"/>
      <c r="AE354" s="34" t="s">
        <v>531</v>
      </c>
      <c r="AF354" s="35"/>
      <c r="AG354" s="35"/>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6"/>
      <c r="CE354" s="18"/>
    </row>
    <row r="355" spans="1:83" s="9" customFormat="1" ht="12.75" customHeight="1" x14ac:dyDescent="0.15">
      <c r="A355" s="16"/>
      <c r="B355" s="8"/>
      <c r="C355" s="29"/>
      <c r="D355" s="602" t="s">
        <v>530</v>
      </c>
      <c r="E355" s="603"/>
      <c r="F355" s="689" t="s">
        <v>200</v>
      </c>
      <c r="G355" s="690"/>
      <c r="H355" s="690"/>
      <c r="I355" s="690"/>
      <c r="J355" s="690"/>
      <c r="K355" s="690"/>
      <c r="L355" s="690"/>
      <c r="M355" s="690"/>
      <c r="N355" s="690"/>
      <c r="O355" s="690"/>
      <c r="P355" s="690"/>
      <c r="Q355" s="691"/>
      <c r="R355" s="34"/>
      <c r="S355" s="35"/>
      <c r="T355" s="35"/>
      <c r="U355" s="35"/>
      <c r="V355" s="35"/>
      <c r="W355" s="35"/>
      <c r="X355" s="35"/>
      <c r="Y355" s="35"/>
      <c r="Z355" s="35"/>
      <c r="AA355" s="35"/>
      <c r="AB355" s="35"/>
      <c r="AC355" s="35"/>
      <c r="AD355" s="36"/>
      <c r="AE355" s="34" t="s">
        <v>201</v>
      </c>
      <c r="AF355" s="35"/>
      <c r="AG355" s="35"/>
      <c r="AH355" s="35"/>
      <c r="AI355" s="35"/>
      <c r="AJ355" s="35"/>
      <c r="AK355" s="35"/>
      <c r="AL355" s="35"/>
      <c r="AM355" s="35"/>
      <c r="AN355" s="35"/>
      <c r="AO355" s="35"/>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6"/>
      <c r="CE355" s="18"/>
    </row>
    <row r="356" spans="1:83" s="9" customFormat="1" ht="12.75" customHeight="1" x14ac:dyDescent="0.15">
      <c r="A356" s="16"/>
      <c r="B356" s="8"/>
      <c r="C356" s="29"/>
      <c r="D356" s="602" t="s">
        <v>540</v>
      </c>
      <c r="E356" s="603"/>
      <c r="F356" s="34" t="s">
        <v>202</v>
      </c>
      <c r="G356" s="35"/>
      <c r="H356" s="35"/>
      <c r="I356" s="35"/>
      <c r="J356" s="35"/>
      <c r="K356" s="35"/>
      <c r="L356" s="35"/>
      <c r="M356" s="35"/>
      <c r="N356" s="35"/>
      <c r="O356" s="35"/>
      <c r="P356" s="35"/>
      <c r="Q356" s="36"/>
      <c r="R356" s="34" t="s">
        <v>203</v>
      </c>
      <c r="S356" s="35"/>
      <c r="T356" s="35"/>
      <c r="U356" s="35"/>
      <c r="V356" s="35"/>
      <c r="W356" s="35"/>
      <c r="X356" s="35"/>
      <c r="Y356" s="35"/>
      <c r="Z356" s="35"/>
      <c r="AA356" s="35"/>
      <c r="AB356" s="35"/>
      <c r="AC356" s="35"/>
      <c r="AD356" s="36"/>
      <c r="AE356" s="34" t="s">
        <v>532</v>
      </c>
      <c r="AF356" s="35"/>
      <c r="AG356" s="35"/>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6"/>
      <c r="CE356" s="18"/>
    </row>
    <row r="357" spans="1:83" s="9" customFormat="1" ht="12.75" customHeight="1" thickBot="1" x14ac:dyDescent="0.2">
      <c r="A357" s="25"/>
      <c r="B357" s="141"/>
      <c r="C357" s="161"/>
      <c r="D357" s="906" t="s">
        <v>616</v>
      </c>
      <c r="E357" s="907"/>
      <c r="F357" s="166" t="s">
        <v>538</v>
      </c>
      <c r="G357" s="162"/>
      <c r="H357" s="162"/>
      <c r="I357" s="162"/>
      <c r="J357" s="162"/>
      <c r="K357" s="162"/>
      <c r="L357" s="162"/>
      <c r="M357" s="162"/>
      <c r="N357" s="162"/>
      <c r="O357" s="162"/>
      <c r="P357" s="162"/>
      <c r="Q357" s="163"/>
      <c r="R357" s="166" t="s">
        <v>541</v>
      </c>
      <c r="S357" s="162"/>
      <c r="T357" s="162"/>
      <c r="U357" s="162"/>
      <c r="V357" s="162"/>
      <c r="W357" s="162"/>
      <c r="X357" s="162"/>
      <c r="Y357" s="162"/>
      <c r="Z357" s="162"/>
      <c r="AA357" s="162"/>
      <c r="AB357" s="162"/>
      <c r="AC357" s="162"/>
      <c r="AD357" s="163"/>
      <c r="AE357" s="166" t="s">
        <v>539</v>
      </c>
      <c r="AF357" s="162"/>
      <c r="AG357" s="162"/>
      <c r="AH357" s="162"/>
      <c r="AI357" s="162"/>
      <c r="AJ357" s="162"/>
      <c r="AK357" s="162"/>
      <c r="AL357" s="162"/>
      <c r="AM357" s="162"/>
      <c r="AN357" s="162"/>
      <c r="AO357" s="162"/>
      <c r="AP357" s="162"/>
      <c r="AQ357" s="162"/>
      <c r="AR357" s="162"/>
      <c r="AS357" s="162"/>
      <c r="AT357" s="162"/>
      <c r="AU357" s="162"/>
      <c r="AV357" s="162"/>
      <c r="AW357" s="162"/>
      <c r="AX357" s="162"/>
      <c r="AY357" s="162"/>
      <c r="AZ357" s="162"/>
      <c r="BA357" s="162"/>
      <c r="BB357" s="162"/>
      <c r="BC357" s="162"/>
      <c r="BD357" s="162"/>
      <c r="BE357" s="162"/>
      <c r="BF357" s="162"/>
      <c r="BG357" s="162"/>
      <c r="BH357" s="162"/>
      <c r="BI357" s="162"/>
      <c r="BJ357" s="162"/>
      <c r="BK357" s="162"/>
      <c r="BL357" s="162"/>
      <c r="BM357" s="162"/>
      <c r="BN357" s="162"/>
      <c r="BO357" s="162"/>
      <c r="BP357" s="162"/>
      <c r="BQ357" s="162"/>
      <c r="BR357" s="162"/>
      <c r="BS357" s="162"/>
      <c r="BT357" s="162"/>
      <c r="BU357" s="162"/>
      <c r="BV357" s="162"/>
      <c r="BW357" s="162"/>
      <c r="BX357" s="162"/>
      <c r="BY357" s="162"/>
      <c r="BZ357" s="162"/>
      <c r="CA357" s="162"/>
      <c r="CB357" s="162"/>
      <c r="CC357" s="162"/>
      <c r="CD357" s="163"/>
      <c r="CE357" s="28"/>
    </row>
    <row r="358" spans="1:83" s="4" customFormat="1" ht="12" customHeight="1" x14ac:dyDescent="0.15">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c r="CD358" s="14"/>
      <c r="CE358" s="15"/>
    </row>
    <row r="359" spans="1:83" s="4" customFormat="1" ht="12" customHeight="1" x14ac:dyDescent="0.15">
      <c r="A359" s="16"/>
      <c r="B359" s="5"/>
      <c r="C359" s="17"/>
      <c r="D359" s="21" t="s">
        <v>204</v>
      </c>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8"/>
    </row>
    <row r="360" spans="1:83" s="4" customFormat="1" ht="12" customHeight="1" x14ac:dyDescent="0.15">
      <c r="A360" s="16"/>
      <c r="B360" s="73"/>
      <c r="C360" s="58"/>
      <c r="D360" s="51" t="s">
        <v>205</v>
      </c>
      <c r="E360" s="52"/>
      <c r="F360" s="52"/>
      <c r="G360" s="52"/>
      <c r="H360" s="52"/>
      <c r="I360" s="52"/>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c r="BT360" s="52"/>
      <c r="BU360" s="52"/>
      <c r="BV360" s="52"/>
      <c r="BW360" s="52"/>
      <c r="BX360" s="52"/>
      <c r="BY360" s="52"/>
      <c r="BZ360" s="52"/>
      <c r="CA360" s="52"/>
      <c r="CB360" s="52"/>
      <c r="CC360" s="52"/>
      <c r="CD360" s="53"/>
      <c r="CE360" s="18"/>
    </row>
    <row r="361" spans="1:83" s="386" customFormat="1" ht="12" customHeight="1" x14ac:dyDescent="0.15">
      <c r="A361" s="381"/>
      <c r="B361" s="391"/>
      <c r="C361" s="387"/>
      <c r="D361" s="388" t="s">
        <v>873</v>
      </c>
      <c r="E361" s="389"/>
      <c r="F361" s="389"/>
      <c r="G361" s="389"/>
      <c r="H361" s="389"/>
      <c r="I361" s="389"/>
      <c r="J361" s="389"/>
      <c r="K361" s="389"/>
      <c r="L361" s="389"/>
      <c r="M361" s="389"/>
      <c r="N361" s="389"/>
      <c r="O361" s="389"/>
      <c r="P361" s="389"/>
      <c r="Q361" s="389"/>
      <c r="R361" s="389"/>
      <c r="S361" s="389"/>
      <c r="T361" s="389"/>
      <c r="U361" s="389"/>
      <c r="V361" s="389"/>
      <c r="W361" s="389"/>
      <c r="X361" s="389"/>
      <c r="Y361" s="389"/>
      <c r="Z361" s="389"/>
      <c r="AA361" s="389"/>
      <c r="AB361" s="389"/>
      <c r="AC361" s="389"/>
      <c r="AD361" s="389"/>
      <c r="AE361" s="389"/>
      <c r="AF361" s="389"/>
      <c r="AG361" s="389"/>
      <c r="AH361" s="389"/>
      <c r="AI361" s="389"/>
      <c r="AJ361" s="389"/>
      <c r="AK361" s="389"/>
      <c r="AL361" s="389"/>
      <c r="AM361" s="389"/>
      <c r="AN361" s="389"/>
      <c r="AO361" s="389"/>
      <c r="AP361" s="389"/>
      <c r="AQ361" s="389"/>
      <c r="AR361" s="389"/>
      <c r="AS361" s="389"/>
      <c r="AT361" s="389"/>
      <c r="AU361" s="389"/>
      <c r="AV361" s="389"/>
      <c r="AW361" s="389"/>
      <c r="AX361" s="389"/>
      <c r="AY361" s="389"/>
      <c r="AZ361" s="389"/>
      <c r="BA361" s="389"/>
      <c r="BB361" s="389"/>
      <c r="BC361" s="389"/>
      <c r="BD361" s="389"/>
      <c r="BE361" s="389"/>
      <c r="BF361" s="389"/>
      <c r="BG361" s="389"/>
      <c r="BH361" s="389"/>
      <c r="BI361" s="389"/>
      <c r="BJ361" s="389"/>
      <c r="BK361" s="389"/>
      <c r="BL361" s="389"/>
      <c r="BM361" s="389"/>
      <c r="BN361" s="389"/>
      <c r="BO361" s="389"/>
      <c r="BP361" s="389"/>
      <c r="BQ361" s="389"/>
      <c r="BR361" s="389"/>
      <c r="BS361" s="389"/>
      <c r="BT361" s="389"/>
      <c r="BU361" s="389"/>
      <c r="BV361" s="389"/>
      <c r="BW361" s="389"/>
      <c r="BX361" s="389"/>
      <c r="BY361" s="389"/>
      <c r="BZ361" s="389"/>
      <c r="CA361" s="389"/>
      <c r="CB361" s="389"/>
      <c r="CC361" s="389"/>
      <c r="CD361" s="390"/>
      <c r="CE361" s="384"/>
    </row>
    <row r="362" spans="1:83" s="4" customFormat="1" ht="12" customHeight="1" x14ac:dyDescent="0.15">
      <c r="A362" s="16"/>
      <c r="B362" s="73"/>
      <c r="C362" s="58"/>
      <c r="D362" s="59" t="s">
        <v>545</v>
      </c>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31"/>
      <c r="CE362" s="18"/>
    </row>
    <row r="363" spans="1:83" s="4" customFormat="1" ht="12" customHeight="1" x14ac:dyDescent="0.15">
      <c r="A363" s="16"/>
      <c r="B363" s="73"/>
      <c r="C363" s="58"/>
      <c r="D363" s="59" t="s">
        <v>542</v>
      </c>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31"/>
      <c r="CE363" s="18"/>
    </row>
    <row r="364" spans="1:83" s="4" customFormat="1" ht="12" customHeight="1" x14ac:dyDescent="0.15">
      <c r="A364" s="16"/>
      <c r="B364" s="73"/>
      <c r="C364" s="58"/>
      <c r="D364" s="60" t="s">
        <v>206</v>
      </c>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c r="BO364" s="32"/>
      <c r="BP364" s="32"/>
      <c r="BQ364" s="32"/>
      <c r="BR364" s="32"/>
      <c r="BS364" s="32"/>
      <c r="BT364" s="32"/>
      <c r="BU364" s="32"/>
      <c r="BV364" s="32"/>
      <c r="BW364" s="32"/>
      <c r="BX364" s="32"/>
      <c r="BY364" s="32"/>
      <c r="BZ364" s="32"/>
      <c r="CA364" s="32"/>
      <c r="CB364" s="32"/>
      <c r="CC364" s="32"/>
      <c r="CD364" s="33"/>
      <c r="CE364" s="18"/>
    </row>
    <row r="365" spans="1:83" s="4" customFormat="1" ht="12" customHeight="1" x14ac:dyDescent="0.15">
      <c r="A365" s="16"/>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18"/>
    </row>
    <row r="366" spans="1:83" s="9" customFormat="1" ht="12" customHeight="1" x14ac:dyDescent="0.15">
      <c r="A366" s="16"/>
      <c r="B366" s="8"/>
      <c r="C366" s="8"/>
      <c r="D366" s="8"/>
      <c r="E366" s="251" t="s">
        <v>566</v>
      </c>
      <c r="F366" s="252"/>
      <c r="G366" s="252"/>
      <c r="H366" s="252"/>
      <c r="I366" s="252"/>
      <c r="J366" s="252"/>
      <c r="K366" s="252"/>
      <c r="L366" s="252"/>
      <c r="M366" s="252"/>
      <c r="N366" s="252"/>
      <c r="O366" s="252"/>
      <c r="P366" s="252"/>
      <c r="Q366" s="252"/>
      <c r="R366" s="252"/>
      <c r="S366" s="252"/>
      <c r="T366" s="252"/>
      <c r="U366" s="253"/>
      <c r="V366" s="251" t="s">
        <v>207</v>
      </c>
      <c r="W366" s="252"/>
      <c r="X366" s="252"/>
      <c r="Y366" s="252"/>
      <c r="Z366" s="252"/>
      <c r="AA366" s="252"/>
      <c r="AB366" s="253"/>
      <c r="AC366" s="251" t="s">
        <v>362</v>
      </c>
      <c r="AD366" s="252"/>
      <c r="AE366" s="252"/>
      <c r="AF366" s="252"/>
      <c r="AG366" s="252"/>
      <c r="AH366" s="252"/>
      <c r="AI366" s="252"/>
      <c r="AJ366" s="252"/>
      <c r="AK366" s="252"/>
      <c r="AL366" s="252"/>
      <c r="AM366" s="252"/>
      <c r="AN366" s="252"/>
      <c r="AO366" s="252"/>
      <c r="AP366" s="252"/>
      <c r="AQ366" s="252"/>
      <c r="AR366" s="252"/>
      <c r="AS366" s="252"/>
      <c r="AT366" s="252"/>
      <c r="AU366" s="252"/>
      <c r="AV366" s="252"/>
      <c r="AW366" s="252"/>
      <c r="AX366" s="252"/>
      <c r="AY366" s="252"/>
      <c r="AZ366" s="252"/>
      <c r="BA366" s="252"/>
      <c r="BB366" s="252"/>
      <c r="BC366" s="252"/>
      <c r="BD366" s="252"/>
      <c r="BE366" s="252"/>
      <c r="BF366" s="252"/>
      <c r="BG366" s="252"/>
      <c r="BH366" s="252"/>
      <c r="BI366" s="252"/>
      <c r="BJ366" s="252"/>
      <c r="BK366" s="252"/>
      <c r="BL366" s="252"/>
      <c r="BM366" s="252"/>
      <c r="BN366" s="252"/>
      <c r="BO366" s="252"/>
      <c r="BP366" s="252"/>
      <c r="BQ366" s="252"/>
      <c r="BR366" s="252"/>
      <c r="BS366" s="252"/>
      <c r="BT366" s="252"/>
      <c r="BU366" s="252"/>
      <c r="BV366" s="252"/>
      <c r="BW366" s="252"/>
      <c r="BX366" s="252"/>
      <c r="BY366" s="252"/>
      <c r="BZ366" s="252"/>
      <c r="CA366" s="252"/>
      <c r="CB366" s="252"/>
      <c r="CC366" s="252"/>
      <c r="CD366" s="253"/>
      <c r="CE366" s="18"/>
    </row>
    <row r="367" spans="1:83" s="9" customFormat="1" ht="12" customHeight="1" x14ac:dyDescent="0.15">
      <c r="A367" s="16"/>
      <c r="B367" s="8"/>
      <c r="E367" s="34" t="s">
        <v>208</v>
      </c>
      <c r="F367" s="35"/>
      <c r="G367" s="35"/>
      <c r="H367" s="35"/>
      <c r="I367" s="35"/>
      <c r="J367" s="35"/>
      <c r="K367" s="35"/>
      <c r="L367" s="35"/>
      <c r="M367" s="35"/>
      <c r="N367" s="35"/>
      <c r="O367" s="35"/>
      <c r="P367" s="35"/>
      <c r="Q367" s="35"/>
      <c r="R367" s="35"/>
      <c r="S367" s="35"/>
      <c r="T367" s="35"/>
      <c r="U367" s="36"/>
      <c r="V367" s="34" t="s">
        <v>209</v>
      </c>
      <c r="W367" s="35"/>
      <c r="X367" s="35"/>
      <c r="Y367" s="35"/>
      <c r="Z367" s="35"/>
      <c r="AA367" s="35"/>
      <c r="AB367" s="36"/>
      <c r="AC367" s="34" t="s">
        <v>553</v>
      </c>
      <c r="AD367" s="35"/>
      <c r="AE367" s="35"/>
      <c r="AF367" s="35"/>
      <c r="AG367" s="35"/>
      <c r="AH367" s="35"/>
      <c r="AI367" s="35"/>
      <c r="AJ367" s="35"/>
      <c r="AK367" s="35"/>
      <c r="AL367" s="35"/>
      <c r="AM367" s="35"/>
      <c r="AN367" s="35"/>
      <c r="AO367" s="35"/>
      <c r="AP367" s="35"/>
      <c r="AQ367" s="35"/>
      <c r="AR367" s="35"/>
      <c r="AS367" s="35"/>
      <c r="AT367" s="35"/>
      <c r="AU367" s="35"/>
      <c r="AV367" s="35"/>
      <c r="AW367" s="35"/>
      <c r="AX367" s="35"/>
      <c r="AY367" s="35"/>
      <c r="AZ367" s="35"/>
      <c r="BA367" s="35"/>
      <c r="BB367" s="35"/>
      <c r="BC367" s="35"/>
      <c r="BD367" s="35"/>
      <c r="BE367" s="35"/>
      <c r="BF367" s="35"/>
      <c r="BG367" s="35"/>
      <c r="BH367" s="35"/>
      <c r="BI367" s="35"/>
      <c r="BJ367" s="35"/>
      <c r="BK367" s="35"/>
      <c r="BL367" s="35"/>
      <c r="BM367" s="35"/>
      <c r="BN367" s="35"/>
      <c r="BO367" s="35"/>
      <c r="BP367" s="35"/>
      <c r="BQ367" s="35"/>
      <c r="BR367" s="35"/>
      <c r="BS367" s="35"/>
      <c r="BT367" s="35"/>
      <c r="BU367" s="35"/>
      <c r="BV367" s="35"/>
      <c r="BW367" s="35"/>
      <c r="BX367" s="35"/>
      <c r="BY367" s="35"/>
      <c r="BZ367" s="35"/>
      <c r="CA367" s="35"/>
      <c r="CB367" s="35"/>
      <c r="CC367" s="35"/>
      <c r="CD367" s="36"/>
      <c r="CE367" s="18"/>
    </row>
    <row r="368" spans="1:83" s="9" customFormat="1" ht="12" customHeight="1" x14ac:dyDescent="0.15">
      <c r="A368" s="16"/>
      <c r="B368" s="8"/>
      <c r="E368" s="34" t="s">
        <v>444</v>
      </c>
      <c r="F368" s="35"/>
      <c r="G368" s="35"/>
      <c r="H368" s="35"/>
      <c r="I368" s="35"/>
      <c r="J368" s="35"/>
      <c r="K368" s="35"/>
      <c r="L368" s="35"/>
      <c r="M368" s="35"/>
      <c r="N368" s="35"/>
      <c r="O368" s="35"/>
      <c r="P368" s="35"/>
      <c r="Q368" s="35"/>
      <c r="R368" s="35"/>
      <c r="S368" s="35"/>
      <c r="T368" s="35"/>
      <c r="U368" s="36"/>
      <c r="V368" s="34" t="s">
        <v>458</v>
      </c>
      <c r="W368" s="35"/>
      <c r="X368" s="35"/>
      <c r="Y368" s="35"/>
      <c r="Z368" s="35"/>
      <c r="AA368" s="35"/>
      <c r="AB368" s="36"/>
      <c r="AC368" s="34" t="s">
        <v>457</v>
      </c>
      <c r="AD368" s="35"/>
      <c r="AE368" s="35"/>
      <c r="AF368" s="35"/>
      <c r="AG368" s="35"/>
      <c r="AH368" s="35"/>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6"/>
      <c r="CE368" s="18"/>
    </row>
    <row r="369" spans="1:83" s="9" customFormat="1" ht="12" customHeight="1" x14ac:dyDescent="0.15">
      <c r="A369" s="16"/>
      <c r="B369" s="8"/>
      <c r="E369" s="37" t="s">
        <v>210</v>
      </c>
      <c r="F369" s="38"/>
      <c r="G369" s="38"/>
      <c r="H369" s="38"/>
      <c r="I369" s="38"/>
      <c r="J369" s="38"/>
      <c r="K369" s="38"/>
      <c r="L369" s="38"/>
      <c r="M369" s="38"/>
      <c r="N369" s="38"/>
      <c r="O369" s="38"/>
      <c r="P369" s="38"/>
      <c r="Q369" s="38"/>
      <c r="R369" s="38"/>
      <c r="S369" s="38"/>
      <c r="T369" s="38"/>
      <c r="U369" s="39"/>
      <c r="V369" s="37" t="s">
        <v>211</v>
      </c>
      <c r="W369" s="38"/>
      <c r="X369" s="38"/>
      <c r="Y369" s="38"/>
      <c r="Z369" s="38"/>
      <c r="AA369" s="38"/>
      <c r="AB369" s="39"/>
      <c r="AC369" s="874" t="s">
        <v>329</v>
      </c>
      <c r="AD369" s="887"/>
      <c r="AE369" s="887"/>
      <c r="AF369" s="887"/>
      <c r="AG369" s="887"/>
      <c r="AH369" s="887"/>
      <c r="AI369" s="887"/>
      <c r="AJ369" s="887"/>
      <c r="AK369" s="887"/>
      <c r="AL369" s="887"/>
      <c r="AM369" s="887"/>
      <c r="AN369" s="887"/>
      <c r="AO369" s="887"/>
      <c r="AP369" s="887"/>
      <c r="AQ369" s="887"/>
      <c r="AR369" s="887"/>
      <c r="AS369" s="887"/>
      <c r="AT369" s="887"/>
      <c r="AU369" s="887"/>
      <c r="AV369" s="887"/>
      <c r="AW369" s="887"/>
      <c r="AX369" s="887"/>
      <c r="AY369" s="887"/>
      <c r="AZ369" s="887"/>
      <c r="BA369" s="887"/>
      <c r="BB369" s="887"/>
      <c r="BC369" s="887"/>
      <c r="BD369" s="887"/>
      <c r="BE369" s="887"/>
      <c r="BF369" s="887"/>
      <c r="BG369" s="887"/>
      <c r="BH369" s="887"/>
      <c r="BI369" s="887"/>
      <c r="BJ369" s="887"/>
      <c r="BK369" s="887"/>
      <c r="BL369" s="887"/>
      <c r="BM369" s="887"/>
      <c r="BN369" s="887"/>
      <c r="BO369" s="887"/>
      <c r="BP369" s="887"/>
      <c r="BQ369" s="887"/>
      <c r="BR369" s="887"/>
      <c r="BS369" s="887"/>
      <c r="BT369" s="887"/>
      <c r="BU369" s="887"/>
      <c r="BV369" s="887"/>
      <c r="BW369" s="887"/>
      <c r="BX369" s="887"/>
      <c r="BY369" s="887"/>
      <c r="BZ369" s="887"/>
      <c r="CA369" s="887"/>
      <c r="CB369" s="887"/>
      <c r="CC369" s="887"/>
      <c r="CD369" s="888"/>
      <c r="CE369" s="18"/>
    </row>
    <row r="370" spans="1:83" s="9" customFormat="1" ht="12" customHeight="1" x14ac:dyDescent="0.15">
      <c r="A370" s="16"/>
      <c r="B370" s="8"/>
      <c r="E370" s="41"/>
      <c r="F370" s="12"/>
      <c r="G370" s="12"/>
      <c r="H370" s="12"/>
      <c r="I370" s="12"/>
      <c r="J370" s="12"/>
      <c r="K370" s="12"/>
      <c r="L370" s="12"/>
      <c r="M370" s="12"/>
      <c r="N370" s="12"/>
      <c r="O370" s="12"/>
      <c r="P370" s="12"/>
      <c r="Q370" s="12"/>
      <c r="R370" s="12"/>
      <c r="S370" s="12"/>
      <c r="T370" s="12"/>
      <c r="U370" s="31"/>
      <c r="V370" s="41"/>
      <c r="W370" s="12"/>
      <c r="X370" s="12"/>
      <c r="Y370" s="12"/>
      <c r="Z370" s="12"/>
      <c r="AA370" s="12"/>
      <c r="AB370" s="31"/>
      <c r="AC370" s="908"/>
      <c r="AD370" s="909"/>
      <c r="AE370" s="909"/>
      <c r="AF370" s="909"/>
      <c r="AG370" s="909"/>
      <c r="AH370" s="909"/>
      <c r="AI370" s="909"/>
      <c r="AJ370" s="909"/>
      <c r="AK370" s="909"/>
      <c r="AL370" s="909"/>
      <c r="AM370" s="909"/>
      <c r="AN370" s="909"/>
      <c r="AO370" s="909"/>
      <c r="AP370" s="909"/>
      <c r="AQ370" s="909"/>
      <c r="AR370" s="909"/>
      <c r="AS370" s="909"/>
      <c r="AT370" s="909"/>
      <c r="AU370" s="909"/>
      <c r="AV370" s="909"/>
      <c r="AW370" s="909"/>
      <c r="AX370" s="909"/>
      <c r="AY370" s="909"/>
      <c r="AZ370" s="909"/>
      <c r="BA370" s="909"/>
      <c r="BB370" s="909"/>
      <c r="BC370" s="909"/>
      <c r="BD370" s="909"/>
      <c r="BE370" s="909"/>
      <c r="BF370" s="909"/>
      <c r="BG370" s="909"/>
      <c r="BH370" s="909"/>
      <c r="BI370" s="909"/>
      <c r="BJ370" s="909"/>
      <c r="BK370" s="909"/>
      <c r="BL370" s="909"/>
      <c r="BM370" s="909"/>
      <c r="BN370" s="909"/>
      <c r="BO370" s="909"/>
      <c r="BP370" s="909"/>
      <c r="BQ370" s="909"/>
      <c r="BR370" s="909"/>
      <c r="BS370" s="909"/>
      <c r="BT370" s="909"/>
      <c r="BU370" s="909"/>
      <c r="BV370" s="909"/>
      <c r="BW370" s="909"/>
      <c r="BX370" s="909"/>
      <c r="BY370" s="909"/>
      <c r="BZ370" s="909"/>
      <c r="CA370" s="909"/>
      <c r="CB370" s="909"/>
      <c r="CC370" s="909"/>
      <c r="CD370" s="910"/>
      <c r="CE370" s="18"/>
    </row>
    <row r="371" spans="1:83" s="9" customFormat="1" ht="12" customHeight="1" x14ac:dyDescent="0.15">
      <c r="A371" s="16"/>
      <c r="B371" s="8"/>
      <c r="E371" s="41"/>
      <c r="F371" s="12"/>
      <c r="G371" s="12"/>
      <c r="H371" s="12"/>
      <c r="I371" s="12"/>
      <c r="J371" s="12"/>
      <c r="K371" s="12"/>
      <c r="L371" s="12"/>
      <c r="M371" s="12"/>
      <c r="N371" s="12"/>
      <c r="O371" s="12"/>
      <c r="P371" s="12"/>
      <c r="Q371" s="12"/>
      <c r="R371" s="12"/>
      <c r="S371" s="12"/>
      <c r="T371" s="12"/>
      <c r="U371" s="31"/>
      <c r="V371" s="41"/>
      <c r="W371" s="12"/>
      <c r="X371" s="12"/>
      <c r="Y371" s="12"/>
      <c r="Z371" s="12"/>
      <c r="AA371" s="12"/>
      <c r="AB371" s="31"/>
      <c r="AC371" s="908"/>
      <c r="AD371" s="909"/>
      <c r="AE371" s="909"/>
      <c r="AF371" s="909"/>
      <c r="AG371" s="909"/>
      <c r="AH371" s="909"/>
      <c r="AI371" s="909"/>
      <c r="AJ371" s="909"/>
      <c r="AK371" s="909"/>
      <c r="AL371" s="909"/>
      <c r="AM371" s="909"/>
      <c r="AN371" s="909"/>
      <c r="AO371" s="909"/>
      <c r="AP371" s="909"/>
      <c r="AQ371" s="909"/>
      <c r="AR371" s="909"/>
      <c r="AS371" s="909"/>
      <c r="AT371" s="909"/>
      <c r="AU371" s="909"/>
      <c r="AV371" s="909"/>
      <c r="AW371" s="909"/>
      <c r="AX371" s="909"/>
      <c r="AY371" s="909"/>
      <c r="AZ371" s="909"/>
      <c r="BA371" s="909"/>
      <c r="BB371" s="909"/>
      <c r="BC371" s="909"/>
      <c r="BD371" s="909"/>
      <c r="BE371" s="909"/>
      <c r="BF371" s="909"/>
      <c r="BG371" s="909"/>
      <c r="BH371" s="909"/>
      <c r="BI371" s="909"/>
      <c r="BJ371" s="909"/>
      <c r="BK371" s="909"/>
      <c r="BL371" s="909"/>
      <c r="BM371" s="909"/>
      <c r="BN371" s="909"/>
      <c r="BO371" s="909"/>
      <c r="BP371" s="909"/>
      <c r="BQ371" s="909"/>
      <c r="BR371" s="909"/>
      <c r="BS371" s="909"/>
      <c r="BT371" s="909"/>
      <c r="BU371" s="909"/>
      <c r="BV371" s="909"/>
      <c r="BW371" s="909"/>
      <c r="BX371" s="909"/>
      <c r="BY371" s="909"/>
      <c r="BZ371" s="909"/>
      <c r="CA371" s="909"/>
      <c r="CB371" s="909"/>
      <c r="CC371" s="909"/>
      <c r="CD371" s="910"/>
      <c r="CE371" s="18"/>
    </row>
    <row r="372" spans="1:83" s="9" customFormat="1" ht="12" customHeight="1" x14ac:dyDescent="0.15">
      <c r="A372" s="16"/>
      <c r="B372" s="8"/>
      <c r="E372" s="41"/>
      <c r="F372" s="12"/>
      <c r="G372" s="12"/>
      <c r="H372" s="12"/>
      <c r="I372" s="12"/>
      <c r="J372" s="12"/>
      <c r="K372" s="12"/>
      <c r="L372" s="12"/>
      <c r="M372" s="12"/>
      <c r="N372" s="12"/>
      <c r="O372" s="12"/>
      <c r="P372" s="12"/>
      <c r="Q372" s="12"/>
      <c r="R372" s="12"/>
      <c r="S372" s="12"/>
      <c r="T372" s="12"/>
      <c r="U372" s="31"/>
      <c r="V372" s="41"/>
      <c r="W372" s="12"/>
      <c r="X372" s="12"/>
      <c r="Y372" s="12"/>
      <c r="Z372" s="12"/>
      <c r="AA372" s="12"/>
      <c r="AB372" s="31"/>
      <c r="AC372" s="908"/>
      <c r="AD372" s="909"/>
      <c r="AE372" s="909"/>
      <c r="AF372" s="909"/>
      <c r="AG372" s="909"/>
      <c r="AH372" s="909"/>
      <c r="AI372" s="909"/>
      <c r="AJ372" s="909"/>
      <c r="AK372" s="909"/>
      <c r="AL372" s="909"/>
      <c r="AM372" s="909"/>
      <c r="AN372" s="909"/>
      <c r="AO372" s="909"/>
      <c r="AP372" s="909"/>
      <c r="AQ372" s="909"/>
      <c r="AR372" s="909"/>
      <c r="AS372" s="909"/>
      <c r="AT372" s="909"/>
      <c r="AU372" s="909"/>
      <c r="AV372" s="909"/>
      <c r="AW372" s="909"/>
      <c r="AX372" s="909"/>
      <c r="AY372" s="909"/>
      <c r="AZ372" s="909"/>
      <c r="BA372" s="909"/>
      <c r="BB372" s="909"/>
      <c r="BC372" s="909"/>
      <c r="BD372" s="909"/>
      <c r="BE372" s="909"/>
      <c r="BF372" s="909"/>
      <c r="BG372" s="909"/>
      <c r="BH372" s="909"/>
      <c r="BI372" s="909"/>
      <c r="BJ372" s="909"/>
      <c r="BK372" s="909"/>
      <c r="BL372" s="909"/>
      <c r="BM372" s="909"/>
      <c r="BN372" s="909"/>
      <c r="BO372" s="909"/>
      <c r="BP372" s="909"/>
      <c r="BQ372" s="909"/>
      <c r="BR372" s="909"/>
      <c r="BS372" s="909"/>
      <c r="BT372" s="909"/>
      <c r="BU372" s="909"/>
      <c r="BV372" s="909"/>
      <c r="BW372" s="909"/>
      <c r="BX372" s="909"/>
      <c r="BY372" s="909"/>
      <c r="BZ372" s="909"/>
      <c r="CA372" s="909"/>
      <c r="CB372" s="909"/>
      <c r="CC372" s="909"/>
      <c r="CD372" s="910"/>
      <c r="CE372" s="18"/>
    </row>
    <row r="373" spans="1:83" s="9" customFormat="1" ht="12" customHeight="1" x14ac:dyDescent="0.15">
      <c r="A373" s="16"/>
      <c r="B373" s="8"/>
      <c r="E373" s="41"/>
      <c r="F373" s="12"/>
      <c r="G373" s="12"/>
      <c r="H373" s="12"/>
      <c r="I373" s="12"/>
      <c r="J373" s="12"/>
      <c r="K373" s="12"/>
      <c r="L373" s="12"/>
      <c r="M373" s="12"/>
      <c r="N373" s="12"/>
      <c r="O373" s="12"/>
      <c r="P373" s="12"/>
      <c r="Q373" s="12"/>
      <c r="R373" s="12"/>
      <c r="S373" s="12"/>
      <c r="T373" s="12"/>
      <c r="U373" s="31"/>
      <c r="V373" s="41"/>
      <c r="W373" s="12"/>
      <c r="X373" s="12"/>
      <c r="Y373" s="12"/>
      <c r="Z373" s="12"/>
      <c r="AA373" s="12"/>
      <c r="AB373" s="31"/>
      <c r="AC373" s="908"/>
      <c r="AD373" s="909"/>
      <c r="AE373" s="909"/>
      <c r="AF373" s="909"/>
      <c r="AG373" s="909"/>
      <c r="AH373" s="909"/>
      <c r="AI373" s="909"/>
      <c r="AJ373" s="909"/>
      <c r="AK373" s="909"/>
      <c r="AL373" s="909"/>
      <c r="AM373" s="909"/>
      <c r="AN373" s="909"/>
      <c r="AO373" s="909"/>
      <c r="AP373" s="909"/>
      <c r="AQ373" s="909"/>
      <c r="AR373" s="909"/>
      <c r="AS373" s="909"/>
      <c r="AT373" s="909"/>
      <c r="AU373" s="909"/>
      <c r="AV373" s="909"/>
      <c r="AW373" s="909"/>
      <c r="AX373" s="909"/>
      <c r="AY373" s="909"/>
      <c r="AZ373" s="909"/>
      <c r="BA373" s="909"/>
      <c r="BB373" s="909"/>
      <c r="BC373" s="909"/>
      <c r="BD373" s="909"/>
      <c r="BE373" s="909"/>
      <c r="BF373" s="909"/>
      <c r="BG373" s="909"/>
      <c r="BH373" s="909"/>
      <c r="BI373" s="909"/>
      <c r="BJ373" s="909"/>
      <c r="BK373" s="909"/>
      <c r="BL373" s="909"/>
      <c r="BM373" s="909"/>
      <c r="BN373" s="909"/>
      <c r="BO373" s="909"/>
      <c r="BP373" s="909"/>
      <c r="BQ373" s="909"/>
      <c r="BR373" s="909"/>
      <c r="BS373" s="909"/>
      <c r="BT373" s="909"/>
      <c r="BU373" s="909"/>
      <c r="BV373" s="909"/>
      <c r="BW373" s="909"/>
      <c r="BX373" s="909"/>
      <c r="BY373" s="909"/>
      <c r="BZ373" s="909"/>
      <c r="CA373" s="909"/>
      <c r="CB373" s="909"/>
      <c r="CC373" s="909"/>
      <c r="CD373" s="910"/>
      <c r="CE373" s="18"/>
    </row>
    <row r="374" spans="1:83" s="9" customFormat="1" ht="12" customHeight="1" x14ac:dyDescent="0.15">
      <c r="A374" s="16"/>
      <c r="B374" s="8"/>
      <c r="E374" s="40"/>
      <c r="F374" s="32"/>
      <c r="G374" s="32"/>
      <c r="H374" s="32"/>
      <c r="I374" s="32"/>
      <c r="J374" s="32"/>
      <c r="K374" s="32"/>
      <c r="L374" s="32"/>
      <c r="M374" s="32"/>
      <c r="N374" s="32"/>
      <c r="O374" s="32"/>
      <c r="P374" s="32"/>
      <c r="Q374" s="32"/>
      <c r="R374" s="32"/>
      <c r="S374" s="32"/>
      <c r="T374" s="32"/>
      <c r="U374" s="33"/>
      <c r="V374" s="40"/>
      <c r="W374" s="32"/>
      <c r="X374" s="32"/>
      <c r="Y374" s="32"/>
      <c r="Z374" s="32"/>
      <c r="AA374" s="32"/>
      <c r="AB374" s="33"/>
      <c r="AC374" s="889"/>
      <c r="AD374" s="890"/>
      <c r="AE374" s="890"/>
      <c r="AF374" s="890"/>
      <c r="AG374" s="890"/>
      <c r="AH374" s="890"/>
      <c r="AI374" s="890"/>
      <c r="AJ374" s="890"/>
      <c r="AK374" s="890"/>
      <c r="AL374" s="890"/>
      <c r="AM374" s="890"/>
      <c r="AN374" s="890"/>
      <c r="AO374" s="890"/>
      <c r="AP374" s="890"/>
      <c r="AQ374" s="890"/>
      <c r="AR374" s="890"/>
      <c r="AS374" s="890"/>
      <c r="AT374" s="890"/>
      <c r="AU374" s="890"/>
      <c r="AV374" s="890"/>
      <c r="AW374" s="890"/>
      <c r="AX374" s="890"/>
      <c r="AY374" s="890"/>
      <c r="AZ374" s="890"/>
      <c r="BA374" s="890"/>
      <c r="BB374" s="890"/>
      <c r="BC374" s="890"/>
      <c r="BD374" s="890"/>
      <c r="BE374" s="890"/>
      <c r="BF374" s="890"/>
      <c r="BG374" s="890"/>
      <c r="BH374" s="890"/>
      <c r="BI374" s="890"/>
      <c r="BJ374" s="890"/>
      <c r="BK374" s="890"/>
      <c r="BL374" s="890"/>
      <c r="BM374" s="890"/>
      <c r="BN374" s="890"/>
      <c r="BO374" s="890"/>
      <c r="BP374" s="890"/>
      <c r="BQ374" s="890"/>
      <c r="BR374" s="890"/>
      <c r="BS374" s="890"/>
      <c r="BT374" s="890"/>
      <c r="BU374" s="890"/>
      <c r="BV374" s="890"/>
      <c r="BW374" s="890"/>
      <c r="BX374" s="890"/>
      <c r="BY374" s="890"/>
      <c r="BZ374" s="890"/>
      <c r="CA374" s="890"/>
      <c r="CB374" s="890"/>
      <c r="CC374" s="890"/>
      <c r="CD374" s="891"/>
      <c r="CE374" s="18"/>
    </row>
    <row r="375" spans="1:83" s="9" customFormat="1" ht="12" customHeight="1" x14ac:dyDescent="0.15">
      <c r="A375" s="16"/>
      <c r="B375" s="8"/>
      <c r="E375" s="37" t="s">
        <v>460</v>
      </c>
      <c r="F375" s="38"/>
      <c r="G375" s="38"/>
      <c r="H375" s="38"/>
      <c r="I375" s="38"/>
      <c r="J375" s="38"/>
      <c r="K375" s="38"/>
      <c r="L375" s="38"/>
      <c r="M375" s="38"/>
      <c r="N375" s="38"/>
      <c r="O375" s="38"/>
      <c r="P375" s="38"/>
      <c r="Q375" s="38"/>
      <c r="R375" s="38"/>
      <c r="S375" s="38"/>
      <c r="T375" s="38"/>
      <c r="U375" s="39"/>
      <c r="V375" s="37" t="s">
        <v>212</v>
      </c>
      <c r="W375" s="38"/>
      <c r="X375" s="38"/>
      <c r="Y375" s="38"/>
      <c r="Z375" s="38"/>
      <c r="AA375" s="38"/>
      <c r="AB375" s="39"/>
      <c r="AC375" s="874" t="s">
        <v>332</v>
      </c>
      <c r="AD375" s="875"/>
      <c r="AE375" s="875"/>
      <c r="AF375" s="875"/>
      <c r="AG375" s="875"/>
      <c r="AH375" s="875"/>
      <c r="AI375" s="875"/>
      <c r="AJ375" s="875"/>
      <c r="AK375" s="875"/>
      <c r="AL375" s="875"/>
      <c r="AM375" s="875"/>
      <c r="AN375" s="875"/>
      <c r="AO375" s="875"/>
      <c r="AP375" s="875"/>
      <c r="AQ375" s="875"/>
      <c r="AR375" s="875"/>
      <c r="AS375" s="875"/>
      <c r="AT375" s="875"/>
      <c r="AU375" s="875"/>
      <c r="AV375" s="875"/>
      <c r="AW375" s="875"/>
      <c r="AX375" s="875"/>
      <c r="AY375" s="875"/>
      <c r="AZ375" s="875"/>
      <c r="BA375" s="875"/>
      <c r="BB375" s="875"/>
      <c r="BC375" s="875"/>
      <c r="BD375" s="875"/>
      <c r="BE375" s="875"/>
      <c r="BF375" s="875"/>
      <c r="BG375" s="875"/>
      <c r="BH375" s="875"/>
      <c r="BI375" s="875"/>
      <c r="BJ375" s="875"/>
      <c r="BK375" s="875"/>
      <c r="BL375" s="875"/>
      <c r="BM375" s="875"/>
      <c r="BN375" s="875"/>
      <c r="BO375" s="875"/>
      <c r="BP375" s="875"/>
      <c r="BQ375" s="875"/>
      <c r="BR375" s="875"/>
      <c r="BS375" s="875"/>
      <c r="BT375" s="875"/>
      <c r="BU375" s="875"/>
      <c r="BV375" s="875"/>
      <c r="BW375" s="875"/>
      <c r="BX375" s="875"/>
      <c r="BY375" s="875"/>
      <c r="BZ375" s="875"/>
      <c r="CA375" s="875"/>
      <c r="CB375" s="875"/>
      <c r="CC375" s="875"/>
      <c r="CD375" s="876"/>
      <c r="CE375" s="18"/>
    </row>
    <row r="376" spans="1:83" s="9" customFormat="1" ht="12" customHeight="1" x14ac:dyDescent="0.15">
      <c r="A376" s="16"/>
      <c r="B376" s="8"/>
      <c r="E376" s="41"/>
      <c r="F376" s="12"/>
      <c r="G376" s="12"/>
      <c r="H376" s="12"/>
      <c r="I376" s="12"/>
      <c r="J376" s="12"/>
      <c r="K376" s="12"/>
      <c r="L376" s="12"/>
      <c r="M376" s="12"/>
      <c r="N376" s="12"/>
      <c r="O376" s="12"/>
      <c r="P376" s="12"/>
      <c r="Q376" s="12"/>
      <c r="R376" s="12"/>
      <c r="S376" s="12"/>
      <c r="T376" s="12"/>
      <c r="U376" s="31"/>
      <c r="V376" s="41"/>
      <c r="W376" s="12"/>
      <c r="X376" s="12"/>
      <c r="Y376" s="12"/>
      <c r="Z376" s="12"/>
      <c r="AA376" s="12"/>
      <c r="AB376" s="31"/>
      <c r="AC376" s="911"/>
      <c r="AD376" s="912"/>
      <c r="AE376" s="912"/>
      <c r="AF376" s="912"/>
      <c r="AG376" s="912"/>
      <c r="AH376" s="912"/>
      <c r="AI376" s="912"/>
      <c r="AJ376" s="912"/>
      <c r="AK376" s="912"/>
      <c r="AL376" s="912"/>
      <c r="AM376" s="912"/>
      <c r="AN376" s="912"/>
      <c r="AO376" s="912"/>
      <c r="AP376" s="912"/>
      <c r="AQ376" s="912"/>
      <c r="AR376" s="912"/>
      <c r="AS376" s="912"/>
      <c r="AT376" s="912"/>
      <c r="AU376" s="912"/>
      <c r="AV376" s="912"/>
      <c r="AW376" s="912"/>
      <c r="AX376" s="912"/>
      <c r="AY376" s="912"/>
      <c r="AZ376" s="912"/>
      <c r="BA376" s="912"/>
      <c r="BB376" s="912"/>
      <c r="BC376" s="912"/>
      <c r="BD376" s="912"/>
      <c r="BE376" s="912"/>
      <c r="BF376" s="912"/>
      <c r="BG376" s="912"/>
      <c r="BH376" s="912"/>
      <c r="BI376" s="912"/>
      <c r="BJ376" s="912"/>
      <c r="BK376" s="912"/>
      <c r="BL376" s="912"/>
      <c r="BM376" s="912"/>
      <c r="BN376" s="912"/>
      <c r="BO376" s="912"/>
      <c r="BP376" s="912"/>
      <c r="BQ376" s="912"/>
      <c r="BR376" s="912"/>
      <c r="BS376" s="912"/>
      <c r="BT376" s="912"/>
      <c r="BU376" s="912"/>
      <c r="BV376" s="912"/>
      <c r="BW376" s="912"/>
      <c r="BX376" s="912"/>
      <c r="BY376" s="912"/>
      <c r="BZ376" s="912"/>
      <c r="CA376" s="912"/>
      <c r="CB376" s="912"/>
      <c r="CC376" s="912"/>
      <c r="CD376" s="913"/>
      <c r="CE376" s="18"/>
    </row>
    <row r="377" spans="1:83" s="9" customFormat="1" ht="12" customHeight="1" x14ac:dyDescent="0.15">
      <c r="A377" s="16"/>
      <c r="B377" s="8"/>
      <c r="E377" s="41"/>
      <c r="F377" s="12"/>
      <c r="G377" s="12"/>
      <c r="H377" s="12"/>
      <c r="I377" s="12"/>
      <c r="J377" s="12"/>
      <c r="K377" s="12"/>
      <c r="L377" s="12"/>
      <c r="M377" s="12"/>
      <c r="N377" s="12"/>
      <c r="O377" s="12"/>
      <c r="P377" s="12"/>
      <c r="Q377" s="12"/>
      <c r="R377" s="12"/>
      <c r="S377" s="12"/>
      <c r="T377" s="12"/>
      <c r="U377" s="31"/>
      <c r="V377" s="41"/>
      <c r="W377" s="12"/>
      <c r="X377" s="12"/>
      <c r="Y377" s="12"/>
      <c r="Z377" s="12"/>
      <c r="AA377" s="12"/>
      <c r="AB377" s="31"/>
      <c r="AC377" s="911"/>
      <c r="AD377" s="912"/>
      <c r="AE377" s="912"/>
      <c r="AF377" s="912"/>
      <c r="AG377" s="912"/>
      <c r="AH377" s="912"/>
      <c r="AI377" s="912"/>
      <c r="AJ377" s="912"/>
      <c r="AK377" s="912"/>
      <c r="AL377" s="912"/>
      <c r="AM377" s="912"/>
      <c r="AN377" s="912"/>
      <c r="AO377" s="912"/>
      <c r="AP377" s="912"/>
      <c r="AQ377" s="912"/>
      <c r="AR377" s="912"/>
      <c r="AS377" s="912"/>
      <c r="AT377" s="912"/>
      <c r="AU377" s="912"/>
      <c r="AV377" s="912"/>
      <c r="AW377" s="912"/>
      <c r="AX377" s="912"/>
      <c r="AY377" s="912"/>
      <c r="AZ377" s="912"/>
      <c r="BA377" s="912"/>
      <c r="BB377" s="912"/>
      <c r="BC377" s="912"/>
      <c r="BD377" s="912"/>
      <c r="BE377" s="912"/>
      <c r="BF377" s="912"/>
      <c r="BG377" s="912"/>
      <c r="BH377" s="912"/>
      <c r="BI377" s="912"/>
      <c r="BJ377" s="912"/>
      <c r="BK377" s="912"/>
      <c r="BL377" s="912"/>
      <c r="BM377" s="912"/>
      <c r="BN377" s="912"/>
      <c r="BO377" s="912"/>
      <c r="BP377" s="912"/>
      <c r="BQ377" s="912"/>
      <c r="BR377" s="912"/>
      <c r="BS377" s="912"/>
      <c r="BT377" s="912"/>
      <c r="BU377" s="912"/>
      <c r="BV377" s="912"/>
      <c r="BW377" s="912"/>
      <c r="BX377" s="912"/>
      <c r="BY377" s="912"/>
      <c r="BZ377" s="912"/>
      <c r="CA377" s="912"/>
      <c r="CB377" s="912"/>
      <c r="CC377" s="912"/>
      <c r="CD377" s="913"/>
      <c r="CE377" s="18"/>
    </row>
    <row r="378" spans="1:83" s="9" customFormat="1" ht="12" customHeight="1" x14ac:dyDescent="0.15">
      <c r="A378" s="16"/>
      <c r="B378" s="8"/>
      <c r="E378" s="41"/>
      <c r="F378" s="12"/>
      <c r="G378" s="12"/>
      <c r="H378" s="12"/>
      <c r="I378" s="12"/>
      <c r="J378" s="12"/>
      <c r="K378" s="12"/>
      <c r="L378" s="12"/>
      <c r="M378" s="12"/>
      <c r="N378" s="12"/>
      <c r="O378" s="12"/>
      <c r="P378" s="12"/>
      <c r="Q378" s="12"/>
      <c r="R378" s="12"/>
      <c r="S378" s="12"/>
      <c r="T378" s="12"/>
      <c r="U378" s="31"/>
      <c r="V378" s="41"/>
      <c r="W378" s="12"/>
      <c r="X378" s="12"/>
      <c r="Y378" s="12"/>
      <c r="Z378" s="12"/>
      <c r="AA378" s="12"/>
      <c r="AB378" s="31"/>
      <c r="AC378" s="911"/>
      <c r="AD378" s="912"/>
      <c r="AE378" s="912"/>
      <c r="AF378" s="912"/>
      <c r="AG378" s="912"/>
      <c r="AH378" s="912"/>
      <c r="AI378" s="912"/>
      <c r="AJ378" s="912"/>
      <c r="AK378" s="912"/>
      <c r="AL378" s="912"/>
      <c r="AM378" s="912"/>
      <c r="AN378" s="912"/>
      <c r="AO378" s="912"/>
      <c r="AP378" s="912"/>
      <c r="AQ378" s="912"/>
      <c r="AR378" s="912"/>
      <c r="AS378" s="912"/>
      <c r="AT378" s="912"/>
      <c r="AU378" s="912"/>
      <c r="AV378" s="912"/>
      <c r="AW378" s="912"/>
      <c r="AX378" s="912"/>
      <c r="AY378" s="912"/>
      <c r="AZ378" s="912"/>
      <c r="BA378" s="912"/>
      <c r="BB378" s="912"/>
      <c r="BC378" s="912"/>
      <c r="BD378" s="912"/>
      <c r="BE378" s="912"/>
      <c r="BF378" s="912"/>
      <c r="BG378" s="912"/>
      <c r="BH378" s="912"/>
      <c r="BI378" s="912"/>
      <c r="BJ378" s="912"/>
      <c r="BK378" s="912"/>
      <c r="BL378" s="912"/>
      <c r="BM378" s="912"/>
      <c r="BN378" s="912"/>
      <c r="BO378" s="912"/>
      <c r="BP378" s="912"/>
      <c r="BQ378" s="912"/>
      <c r="BR378" s="912"/>
      <c r="BS378" s="912"/>
      <c r="BT378" s="912"/>
      <c r="BU378" s="912"/>
      <c r="BV378" s="912"/>
      <c r="BW378" s="912"/>
      <c r="BX378" s="912"/>
      <c r="BY378" s="912"/>
      <c r="BZ378" s="912"/>
      <c r="CA378" s="912"/>
      <c r="CB378" s="912"/>
      <c r="CC378" s="912"/>
      <c r="CD378" s="913"/>
      <c r="CE378" s="18"/>
    </row>
    <row r="379" spans="1:83" s="9" customFormat="1" ht="12" customHeight="1" x14ac:dyDescent="0.15">
      <c r="A379" s="16"/>
      <c r="B379" s="8"/>
      <c r="E379" s="41"/>
      <c r="F379" s="12"/>
      <c r="G379" s="12"/>
      <c r="H379" s="12"/>
      <c r="I379" s="12"/>
      <c r="J379" s="12"/>
      <c r="K379" s="12"/>
      <c r="L379" s="12"/>
      <c r="M379" s="12"/>
      <c r="N379" s="12"/>
      <c r="O379" s="12"/>
      <c r="P379" s="12"/>
      <c r="Q379" s="12"/>
      <c r="R379" s="12"/>
      <c r="S379" s="12"/>
      <c r="T379" s="12"/>
      <c r="U379" s="31"/>
      <c r="V379" s="41"/>
      <c r="W379" s="12"/>
      <c r="X379" s="12"/>
      <c r="Y379" s="12"/>
      <c r="Z379" s="12"/>
      <c r="AA379" s="12"/>
      <c r="AB379" s="31"/>
      <c r="AC379" s="911"/>
      <c r="AD379" s="912"/>
      <c r="AE379" s="912"/>
      <c r="AF379" s="912"/>
      <c r="AG379" s="912"/>
      <c r="AH379" s="912"/>
      <c r="AI379" s="912"/>
      <c r="AJ379" s="912"/>
      <c r="AK379" s="912"/>
      <c r="AL379" s="912"/>
      <c r="AM379" s="912"/>
      <c r="AN379" s="912"/>
      <c r="AO379" s="912"/>
      <c r="AP379" s="912"/>
      <c r="AQ379" s="912"/>
      <c r="AR379" s="912"/>
      <c r="AS379" s="912"/>
      <c r="AT379" s="912"/>
      <c r="AU379" s="912"/>
      <c r="AV379" s="912"/>
      <c r="AW379" s="912"/>
      <c r="AX379" s="912"/>
      <c r="AY379" s="912"/>
      <c r="AZ379" s="912"/>
      <c r="BA379" s="912"/>
      <c r="BB379" s="912"/>
      <c r="BC379" s="912"/>
      <c r="BD379" s="912"/>
      <c r="BE379" s="912"/>
      <c r="BF379" s="912"/>
      <c r="BG379" s="912"/>
      <c r="BH379" s="912"/>
      <c r="BI379" s="912"/>
      <c r="BJ379" s="912"/>
      <c r="BK379" s="912"/>
      <c r="BL379" s="912"/>
      <c r="BM379" s="912"/>
      <c r="BN379" s="912"/>
      <c r="BO379" s="912"/>
      <c r="BP379" s="912"/>
      <c r="BQ379" s="912"/>
      <c r="BR379" s="912"/>
      <c r="BS379" s="912"/>
      <c r="BT379" s="912"/>
      <c r="BU379" s="912"/>
      <c r="BV379" s="912"/>
      <c r="BW379" s="912"/>
      <c r="BX379" s="912"/>
      <c r="BY379" s="912"/>
      <c r="BZ379" s="912"/>
      <c r="CA379" s="912"/>
      <c r="CB379" s="912"/>
      <c r="CC379" s="912"/>
      <c r="CD379" s="913"/>
      <c r="CE379" s="18"/>
    </row>
    <row r="380" spans="1:83" s="9" customFormat="1" ht="12" customHeight="1" x14ac:dyDescent="0.15">
      <c r="A380" s="16"/>
      <c r="B380" s="8"/>
      <c r="E380" s="41"/>
      <c r="F380" s="12"/>
      <c r="G380" s="12"/>
      <c r="H380" s="12"/>
      <c r="I380" s="12"/>
      <c r="J380" s="12"/>
      <c r="K380" s="12"/>
      <c r="L380" s="12"/>
      <c r="M380" s="12"/>
      <c r="N380" s="12"/>
      <c r="O380" s="12"/>
      <c r="P380" s="12"/>
      <c r="Q380" s="12"/>
      <c r="R380" s="12"/>
      <c r="S380" s="12"/>
      <c r="T380" s="12"/>
      <c r="U380" s="31"/>
      <c r="V380" s="41"/>
      <c r="W380" s="12"/>
      <c r="X380" s="12"/>
      <c r="Y380" s="12"/>
      <c r="Z380" s="12"/>
      <c r="AA380" s="12"/>
      <c r="AB380" s="31"/>
      <c r="AC380" s="911" t="s">
        <v>333</v>
      </c>
      <c r="AD380" s="912"/>
      <c r="AE380" s="912"/>
      <c r="AF380" s="912"/>
      <c r="AG380" s="912"/>
      <c r="AH380" s="912"/>
      <c r="AI380" s="912"/>
      <c r="AJ380" s="912"/>
      <c r="AK380" s="912"/>
      <c r="AL380" s="912"/>
      <c r="AM380" s="912"/>
      <c r="AN380" s="912"/>
      <c r="AO380" s="912"/>
      <c r="AP380" s="912"/>
      <c r="AQ380" s="912"/>
      <c r="AR380" s="912"/>
      <c r="AS380" s="912"/>
      <c r="AT380" s="912"/>
      <c r="AU380" s="912"/>
      <c r="AV380" s="912"/>
      <c r="AW380" s="912"/>
      <c r="AX380" s="912"/>
      <c r="AY380" s="912"/>
      <c r="AZ380" s="912"/>
      <c r="BA380" s="912"/>
      <c r="BB380" s="912"/>
      <c r="BC380" s="912"/>
      <c r="BD380" s="912"/>
      <c r="BE380" s="912"/>
      <c r="BF380" s="912"/>
      <c r="BG380" s="912"/>
      <c r="BH380" s="912"/>
      <c r="BI380" s="912"/>
      <c r="BJ380" s="912"/>
      <c r="BK380" s="912"/>
      <c r="BL380" s="912"/>
      <c r="BM380" s="912"/>
      <c r="BN380" s="912"/>
      <c r="BO380" s="912"/>
      <c r="BP380" s="912"/>
      <c r="BQ380" s="912"/>
      <c r="BR380" s="912"/>
      <c r="BS380" s="912"/>
      <c r="BT380" s="912"/>
      <c r="BU380" s="912"/>
      <c r="BV380" s="912"/>
      <c r="BW380" s="912"/>
      <c r="BX380" s="912"/>
      <c r="BY380" s="912"/>
      <c r="BZ380" s="912"/>
      <c r="CA380" s="912"/>
      <c r="CB380" s="912"/>
      <c r="CC380" s="912"/>
      <c r="CD380" s="913"/>
      <c r="CE380" s="18"/>
    </row>
    <row r="381" spans="1:83" s="9" customFormat="1" ht="12" customHeight="1" x14ac:dyDescent="0.15">
      <c r="A381" s="16"/>
      <c r="B381" s="8"/>
      <c r="E381" s="41"/>
      <c r="F381" s="12"/>
      <c r="G381" s="12"/>
      <c r="H381" s="12"/>
      <c r="I381" s="12"/>
      <c r="J381" s="12"/>
      <c r="K381" s="12"/>
      <c r="L381" s="12"/>
      <c r="M381" s="12"/>
      <c r="N381" s="12"/>
      <c r="O381" s="12"/>
      <c r="P381" s="12"/>
      <c r="Q381" s="12"/>
      <c r="R381" s="12"/>
      <c r="S381" s="12"/>
      <c r="T381" s="12"/>
      <c r="U381" s="31"/>
      <c r="V381" s="41"/>
      <c r="W381" s="12"/>
      <c r="X381" s="12"/>
      <c r="Y381" s="12"/>
      <c r="Z381" s="12"/>
      <c r="AA381" s="12"/>
      <c r="AB381" s="31"/>
      <c r="AC381" s="911"/>
      <c r="AD381" s="912"/>
      <c r="AE381" s="912"/>
      <c r="AF381" s="912"/>
      <c r="AG381" s="912"/>
      <c r="AH381" s="912"/>
      <c r="AI381" s="912"/>
      <c r="AJ381" s="912"/>
      <c r="AK381" s="912"/>
      <c r="AL381" s="912"/>
      <c r="AM381" s="912"/>
      <c r="AN381" s="912"/>
      <c r="AO381" s="912"/>
      <c r="AP381" s="912"/>
      <c r="AQ381" s="912"/>
      <c r="AR381" s="912"/>
      <c r="AS381" s="912"/>
      <c r="AT381" s="912"/>
      <c r="AU381" s="912"/>
      <c r="AV381" s="912"/>
      <c r="AW381" s="912"/>
      <c r="AX381" s="912"/>
      <c r="AY381" s="912"/>
      <c r="AZ381" s="912"/>
      <c r="BA381" s="912"/>
      <c r="BB381" s="912"/>
      <c r="BC381" s="912"/>
      <c r="BD381" s="912"/>
      <c r="BE381" s="912"/>
      <c r="BF381" s="912"/>
      <c r="BG381" s="912"/>
      <c r="BH381" s="912"/>
      <c r="BI381" s="912"/>
      <c r="BJ381" s="912"/>
      <c r="BK381" s="912"/>
      <c r="BL381" s="912"/>
      <c r="BM381" s="912"/>
      <c r="BN381" s="912"/>
      <c r="BO381" s="912"/>
      <c r="BP381" s="912"/>
      <c r="BQ381" s="912"/>
      <c r="BR381" s="912"/>
      <c r="BS381" s="912"/>
      <c r="BT381" s="912"/>
      <c r="BU381" s="912"/>
      <c r="BV381" s="912"/>
      <c r="BW381" s="912"/>
      <c r="BX381" s="912"/>
      <c r="BY381" s="912"/>
      <c r="BZ381" s="912"/>
      <c r="CA381" s="912"/>
      <c r="CB381" s="912"/>
      <c r="CC381" s="912"/>
      <c r="CD381" s="913"/>
      <c r="CE381" s="18"/>
    </row>
    <row r="382" spans="1:83" s="9" customFormat="1" ht="12" customHeight="1" x14ac:dyDescent="0.15">
      <c r="A382" s="16"/>
      <c r="B382" s="8"/>
      <c r="E382" s="41"/>
      <c r="F382" s="12"/>
      <c r="G382" s="12"/>
      <c r="H382" s="12"/>
      <c r="I382" s="12"/>
      <c r="J382" s="12"/>
      <c r="K382" s="12"/>
      <c r="L382" s="12"/>
      <c r="M382" s="12"/>
      <c r="N382" s="12"/>
      <c r="O382" s="12"/>
      <c r="P382" s="12"/>
      <c r="Q382" s="12"/>
      <c r="R382" s="12"/>
      <c r="S382" s="12"/>
      <c r="T382" s="12"/>
      <c r="U382" s="31"/>
      <c r="V382" s="41"/>
      <c r="W382" s="12"/>
      <c r="X382" s="12"/>
      <c r="Y382" s="12"/>
      <c r="Z382" s="12"/>
      <c r="AA382" s="12"/>
      <c r="AB382" s="31"/>
      <c r="AC382" s="911"/>
      <c r="AD382" s="912"/>
      <c r="AE382" s="912"/>
      <c r="AF382" s="912"/>
      <c r="AG382" s="912"/>
      <c r="AH382" s="912"/>
      <c r="AI382" s="912"/>
      <c r="AJ382" s="912"/>
      <c r="AK382" s="912"/>
      <c r="AL382" s="912"/>
      <c r="AM382" s="912"/>
      <c r="AN382" s="912"/>
      <c r="AO382" s="912"/>
      <c r="AP382" s="912"/>
      <c r="AQ382" s="912"/>
      <c r="AR382" s="912"/>
      <c r="AS382" s="912"/>
      <c r="AT382" s="912"/>
      <c r="AU382" s="912"/>
      <c r="AV382" s="912"/>
      <c r="AW382" s="912"/>
      <c r="AX382" s="912"/>
      <c r="AY382" s="912"/>
      <c r="AZ382" s="912"/>
      <c r="BA382" s="912"/>
      <c r="BB382" s="912"/>
      <c r="BC382" s="912"/>
      <c r="BD382" s="912"/>
      <c r="BE382" s="912"/>
      <c r="BF382" s="912"/>
      <c r="BG382" s="912"/>
      <c r="BH382" s="912"/>
      <c r="BI382" s="912"/>
      <c r="BJ382" s="912"/>
      <c r="BK382" s="912"/>
      <c r="BL382" s="912"/>
      <c r="BM382" s="912"/>
      <c r="BN382" s="912"/>
      <c r="BO382" s="912"/>
      <c r="BP382" s="912"/>
      <c r="BQ382" s="912"/>
      <c r="BR382" s="912"/>
      <c r="BS382" s="912"/>
      <c r="BT382" s="912"/>
      <c r="BU382" s="912"/>
      <c r="BV382" s="912"/>
      <c r="BW382" s="912"/>
      <c r="BX382" s="912"/>
      <c r="BY382" s="912"/>
      <c r="BZ382" s="912"/>
      <c r="CA382" s="912"/>
      <c r="CB382" s="912"/>
      <c r="CC382" s="912"/>
      <c r="CD382" s="913"/>
      <c r="CE382" s="18"/>
    </row>
    <row r="383" spans="1:83" s="9" customFormat="1" ht="12" customHeight="1" x14ac:dyDescent="0.15">
      <c r="A383" s="16"/>
      <c r="B383" s="8"/>
      <c r="D383" s="22"/>
      <c r="E383" s="41"/>
      <c r="F383" s="12"/>
      <c r="G383" s="12"/>
      <c r="H383" s="12"/>
      <c r="I383" s="12"/>
      <c r="J383" s="12"/>
      <c r="K383" s="12"/>
      <c r="L383" s="12"/>
      <c r="M383" s="12"/>
      <c r="N383" s="12"/>
      <c r="O383" s="12"/>
      <c r="P383" s="12"/>
      <c r="Q383" s="12"/>
      <c r="R383" s="12"/>
      <c r="S383" s="12"/>
      <c r="T383" s="12"/>
      <c r="U383" s="31"/>
      <c r="V383" s="41"/>
      <c r="W383" s="12"/>
      <c r="X383" s="12"/>
      <c r="Y383" s="12"/>
      <c r="Z383" s="12"/>
      <c r="AA383" s="12"/>
      <c r="AB383" s="31"/>
      <c r="AC383" s="911" t="s">
        <v>334</v>
      </c>
      <c r="AD383" s="909"/>
      <c r="AE383" s="909"/>
      <c r="AF383" s="909"/>
      <c r="AG383" s="909"/>
      <c r="AH383" s="909"/>
      <c r="AI383" s="909"/>
      <c r="AJ383" s="909"/>
      <c r="AK383" s="909"/>
      <c r="AL383" s="909"/>
      <c r="AM383" s="909"/>
      <c r="AN383" s="909"/>
      <c r="AO383" s="909"/>
      <c r="AP383" s="909"/>
      <c r="AQ383" s="909"/>
      <c r="AR383" s="909"/>
      <c r="AS383" s="909"/>
      <c r="AT383" s="909"/>
      <c r="AU383" s="909"/>
      <c r="AV383" s="909"/>
      <c r="AW383" s="909"/>
      <c r="AX383" s="909"/>
      <c r="AY383" s="909"/>
      <c r="AZ383" s="909"/>
      <c r="BA383" s="909"/>
      <c r="BB383" s="909"/>
      <c r="BC383" s="909"/>
      <c r="BD383" s="909"/>
      <c r="BE383" s="909"/>
      <c r="BF383" s="909"/>
      <c r="BG383" s="909"/>
      <c r="BH383" s="909"/>
      <c r="BI383" s="909"/>
      <c r="BJ383" s="909"/>
      <c r="BK383" s="909"/>
      <c r="BL383" s="909"/>
      <c r="BM383" s="909"/>
      <c r="BN383" s="909"/>
      <c r="BO383" s="909"/>
      <c r="BP383" s="909"/>
      <c r="BQ383" s="909"/>
      <c r="BR383" s="909"/>
      <c r="BS383" s="909"/>
      <c r="BT383" s="909"/>
      <c r="BU383" s="909"/>
      <c r="BV383" s="909"/>
      <c r="BW383" s="909"/>
      <c r="BX383" s="909"/>
      <c r="BY383" s="909"/>
      <c r="BZ383" s="909"/>
      <c r="CA383" s="909"/>
      <c r="CB383" s="909"/>
      <c r="CC383" s="909"/>
      <c r="CD383" s="910"/>
      <c r="CE383" s="18"/>
    </row>
    <row r="384" spans="1:83" s="9" customFormat="1" ht="12" customHeight="1" x14ac:dyDescent="0.15">
      <c r="A384" s="16"/>
      <c r="B384" s="8"/>
      <c r="E384" s="41"/>
      <c r="F384" s="12"/>
      <c r="G384" s="12"/>
      <c r="H384" s="12"/>
      <c r="I384" s="12"/>
      <c r="J384" s="12"/>
      <c r="K384" s="12"/>
      <c r="L384" s="12"/>
      <c r="M384" s="12"/>
      <c r="N384" s="12"/>
      <c r="O384" s="12"/>
      <c r="P384" s="12"/>
      <c r="Q384" s="12"/>
      <c r="R384" s="12"/>
      <c r="S384" s="12"/>
      <c r="T384" s="12"/>
      <c r="U384" s="31"/>
      <c r="V384" s="41"/>
      <c r="W384" s="12"/>
      <c r="X384" s="12"/>
      <c r="Y384" s="12"/>
      <c r="Z384" s="12"/>
      <c r="AA384" s="12"/>
      <c r="AB384" s="31"/>
      <c r="AC384" s="908"/>
      <c r="AD384" s="909"/>
      <c r="AE384" s="909"/>
      <c r="AF384" s="909"/>
      <c r="AG384" s="909"/>
      <c r="AH384" s="909"/>
      <c r="AI384" s="909"/>
      <c r="AJ384" s="909"/>
      <c r="AK384" s="909"/>
      <c r="AL384" s="909"/>
      <c r="AM384" s="909"/>
      <c r="AN384" s="909"/>
      <c r="AO384" s="909"/>
      <c r="AP384" s="909"/>
      <c r="AQ384" s="909"/>
      <c r="AR384" s="909"/>
      <c r="AS384" s="909"/>
      <c r="AT384" s="909"/>
      <c r="AU384" s="909"/>
      <c r="AV384" s="909"/>
      <c r="AW384" s="909"/>
      <c r="AX384" s="909"/>
      <c r="AY384" s="909"/>
      <c r="AZ384" s="909"/>
      <c r="BA384" s="909"/>
      <c r="BB384" s="909"/>
      <c r="BC384" s="909"/>
      <c r="BD384" s="909"/>
      <c r="BE384" s="909"/>
      <c r="BF384" s="909"/>
      <c r="BG384" s="909"/>
      <c r="BH384" s="909"/>
      <c r="BI384" s="909"/>
      <c r="BJ384" s="909"/>
      <c r="BK384" s="909"/>
      <c r="BL384" s="909"/>
      <c r="BM384" s="909"/>
      <c r="BN384" s="909"/>
      <c r="BO384" s="909"/>
      <c r="BP384" s="909"/>
      <c r="BQ384" s="909"/>
      <c r="BR384" s="909"/>
      <c r="BS384" s="909"/>
      <c r="BT384" s="909"/>
      <c r="BU384" s="909"/>
      <c r="BV384" s="909"/>
      <c r="BW384" s="909"/>
      <c r="BX384" s="909"/>
      <c r="BY384" s="909"/>
      <c r="BZ384" s="909"/>
      <c r="CA384" s="909"/>
      <c r="CB384" s="909"/>
      <c r="CC384" s="909"/>
      <c r="CD384" s="910"/>
      <c r="CE384" s="18"/>
    </row>
    <row r="385" spans="1:83" s="9" customFormat="1" ht="12" customHeight="1" x14ac:dyDescent="0.15">
      <c r="A385" s="16"/>
      <c r="B385" s="8"/>
      <c r="E385" s="41"/>
      <c r="F385" s="12"/>
      <c r="G385" s="12"/>
      <c r="H385" s="12"/>
      <c r="I385" s="12"/>
      <c r="J385" s="12"/>
      <c r="K385" s="12"/>
      <c r="L385" s="12"/>
      <c r="M385" s="12"/>
      <c r="N385" s="12"/>
      <c r="O385" s="12"/>
      <c r="P385" s="12"/>
      <c r="Q385" s="12"/>
      <c r="R385" s="12"/>
      <c r="S385" s="12"/>
      <c r="T385" s="12"/>
      <c r="U385" s="31"/>
      <c r="V385" s="40"/>
      <c r="W385" s="32"/>
      <c r="X385" s="32"/>
      <c r="Y385" s="32"/>
      <c r="Z385" s="32"/>
      <c r="AA385" s="32"/>
      <c r="AB385" s="33"/>
      <c r="AC385" s="889"/>
      <c r="AD385" s="890"/>
      <c r="AE385" s="890"/>
      <c r="AF385" s="890"/>
      <c r="AG385" s="890"/>
      <c r="AH385" s="890"/>
      <c r="AI385" s="890"/>
      <c r="AJ385" s="890"/>
      <c r="AK385" s="890"/>
      <c r="AL385" s="890"/>
      <c r="AM385" s="890"/>
      <c r="AN385" s="890"/>
      <c r="AO385" s="890"/>
      <c r="AP385" s="890"/>
      <c r="AQ385" s="890"/>
      <c r="AR385" s="890"/>
      <c r="AS385" s="890"/>
      <c r="AT385" s="890"/>
      <c r="AU385" s="890"/>
      <c r="AV385" s="890"/>
      <c r="AW385" s="890"/>
      <c r="AX385" s="890"/>
      <c r="AY385" s="890"/>
      <c r="AZ385" s="890"/>
      <c r="BA385" s="890"/>
      <c r="BB385" s="890"/>
      <c r="BC385" s="890"/>
      <c r="BD385" s="890"/>
      <c r="BE385" s="890"/>
      <c r="BF385" s="890"/>
      <c r="BG385" s="890"/>
      <c r="BH385" s="890"/>
      <c r="BI385" s="890"/>
      <c r="BJ385" s="890"/>
      <c r="BK385" s="890"/>
      <c r="BL385" s="890"/>
      <c r="BM385" s="890"/>
      <c r="BN385" s="890"/>
      <c r="BO385" s="890"/>
      <c r="BP385" s="890"/>
      <c r="BQ385" s="890"/>
      <c r="BR385" s="890"/>
      <c r="BS385" s="890"/>
      <c r="BT385" s="890"/>
      <c r="BU385" s="890"/>
      <c r="BV385" s="890"/>
      <c r="BW385" s="890"/>
      <c r="BX385" s="890"/>
      <c r="BY385" s="890"/>
      <c r="BZ385" s="890"/>
      <c r="CA385" s="890"/>
      <c r="CB385" s="890"/>
      <c r="CC385" s="890"/>
      <c r="CD385" s="891"/>
      <c r="CE385" s="18"/>
    </row>
    <row r="386" spans="1:83" s="9" customFormat="1" ht="12.75" customHeight="1" x14ac:dyDescent="0.15">
      <c r="A386" s="16"/>
      <c r="B386" s="8"/>
      <c r="E386" s="37" t="s">
        <v>913</v>
      </c>
      <c r="F386" s="38"/>
      <c r="G386" s="38"/>
      <c r="H386" s="38"/>
      <c r="I386" s="38"/>
      <c r="J386" s="38"/>
      <c r="K386" s="38"/>
      <c r="L386" s="38"/>
      <c r="M386" s="38"/>
      <c r="N386" s="38"/>
      <c r="O386" s="38"/>
      <c r="P386" s="38"/>
      <c r="Q386" s="38"/>
      <c r="R386" s="38"/>
      <c r="S386" s="38"/>
      <c r="T386" s="38"/>
      <c r="U386" s="39"/>
      <c r="V386" s="34"/>
      <c r="W386" s="35"/>
      <c r="X386" s="35"/>
      <c r="Y386" s="35"/>
      <c r="Z386" s="35"/>
      <c r="AA386" s="35"/>
      <c r="AB386" s="36"/>
      <c r="AC386" s="34"/>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6"/>
      <c r="CE386" s="18"/>
    </row>
    <row r="387" spans="1:83" s="9" customFormat="1" ht="12.75" customHeight="1" x14ac:dyDescent="0.15">
      <c r="A387" s="16"/>
      <c r="B387" s="8"/>
      <c r="C387" s="22"/>
      <c r="D387" s="12"/>
      <c r="E387" s="41"/>
      <c r="F387" s="37" t="s">
        <v>213</v>
      </c>
      <c r="G387" s="35"/>
      <c r="H387" s="35"/>
      <c r="I387" s="35"/>
      <c r="J387" s="35"/>
      <c r="K387" s="35"/>
      <c r="L387" s="35"/>
      <c r="M387" s="35"/>
      <c r="N387" s="35"/>
      <c r="O387" s="35"/>
      <c r="P387" s="35"/>
      <c r="Q387" s="35"/>
      <c r="R387" s="35"/>
      <c r="S387" s="35"/>
      <c r="T387" s="35"/>
      <c r="U387" s="36"/>
      <c r="V387" s="34" t="s">
        <v>693</v>
      </c>
      <c r="W387" s="35"/>
      <c r="X387" s="35"/>
      <c r="Y387" s="35"/>
      <c r="Z387" s="35"/>
      <c r="AA387" s="35"/>
      <c r="AB387" s="36"/>
      <c r="AC387" s="34" t="s">
        <v>700</v>
      </c>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6"/>
      <c r="CE387" s="18"/>
    </row>
    <row r="388" spans="1:83" s="9" customFormat="1" ht="12.75" customHeight="1" x14ac:dyDescent="0.15">
      <c r="A388" s="16"/>
      <c r="B388" s="8"/>
      <c r="D388" s="22"/>
      <c r="E388" s="41"/>
      <c r="F388" s="40"/>
      <c r="G388" s="34" t="s">
        <v>636</v>
      </c>
      <c r="H388" s="35"/>
      <c r="I388" s="35"/>
      <c r="J388" s="35"/>
      <c r="K388" s="35"/>
      <c r="L388" s="35"/>
      <c r="M388" s="35"/>
      <c r="N388" s="35"/>
      <c r="O388" s="35"/>
      <c r="P388" s="35"/>
      <c r="Q388" s="35"/>
      <c r="R388" s="35"/>
      <c r="S388" s="35"/>
      <c r="T388" s="35"/>
      <c r="U388" s="36"/>
      <c r="V388" s="34" t="s">
        <v>236</v>
      </c>
      <c r="W388" s="35"/>
      <c r="X388" s="35"/>
      <c r="Y388" s="35"/>
      <c r="Z388" s="35"/>
      <c r="AA388" s="35"/>
      <c r="AB388" s="36"/>
      <c r="AC388" s="34" t="s">
        <v>634</v>
      </c>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6"/>
      <c r="CE388" s="18"/>
    </row>
    <row r="389" spans="1:83" s="9" customFormat="1" ht="12.75" customHeight="1" x14ac:dyDescent="0.15">
      <c r="A389" s="16"/>
      <c r="B389" s="8"/>
      <c r="C389" s="22"/>
      <c r="D389" s="21"/>
      <c r="E389" s="41"/>
      <c r="F389" s="34" t="s">
        <v>214</v>
      </c>
      <c r="G389" s="35"/>
      <c r="H389" s="35"/>
      <c r="I389" s="35"/>
      <c r="J389" s="35"/>
      <c r="K389" s="35"/>
      <c r="L389" s="35"/>
      <c r="M389" s="35"/>
      <c r="N389" s="35"/>
      <c r="O389" s="35"/>
      <c r="P389" s="35"/>
      <c r="Q389" s="35"/>
      <c r="R389" s="35"/>
      <c r="S389" s="35"/>
      <c r="T389" s="35"/>
      <c r="U389" s="36"/>
      <c r="V389" s="34" t="s">
        <v>694</v>
      </c>
      <c r="W389" s="35"/>
      <c r="X389" s="35"/>
      <c r="Y389" s="35"/>
      <c r="Z389" s="35"/>
      <c r="AA389" s="35"/>
      <c r="AB389" s="36"/>
      <c r="AC389" s="34" t="s">
        <v>215</v>
      </c>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6"/>
      <c r="CE389" s="18"/>
    </row>
    <row r="390" spans="1:83" s="9" customFormat="1" ht="12.75" customHeight="1" x14ac:dyDescent="0.15">
      <c r="A390" s="16"/>
      <c r="B390" s="8"/>
      <c r="D390" s="22"/>
      <c r="E390" s="41"/>
      <c r="F390" s="37" t="s">
        <v>216</v>
      </c>
      <c r="G390" s="38"/>
      <c r="H390" s="38"/>
      <c r="I390" s="38"/>
      <c r="J390" s="38"/>
      <c r="K390" s="38"/>
      <c r="L390" s="38"/>
      <c r="M390" s="38"/>
      <c r="N390" s="38"/>
      <c r="O390" s="38"/>
      <c r="P390" s="38"/>
      <c r="Q390" s="38"/>
      <c r="R390" s="38"/>
      <c r="S390" s="38"/>
      <c r="T390" s="38"/>
      <c r="U390" s="39"/>
      <c r="V390" s="37" t="s">
        <v>217</v>
      </c>
      <c r="W390" s="38"/>
      <c r="X390" s="38"/>
      <c r="Y390" s="38"/>
      <c r="Z390" s="38"/>
      <c r="AA390" s="38"/>
      <c r="AB390" s="39"/>
      <c r="AC390" s="37" t="s">
        <v>700</v>
      </c>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c r="BC390" s="38"/>
      <c r="BD390" s="38"/>
      <c r="BE390" s="38"/>
      <c r="BF390" s="38"/>
      <c r="BG390" s="38"/>
      <c r="BH390" s="38"/>
      <c r="BI390" s="38"/>
      <c r="BJ390" s="38"/>
      <c r="BK390" s="38"/>
      <c r="BL390" s="38"/>
      <c r="BM390" s="38"/>
      <c r="BN390" s="38"/>
      <c r="BO390" s="38"/>
      <c r="BP390" s="38"/>
      <c r="BQ390" s="38"/>
      <c r="BR390" s="38"/>
      <c r="BS390" s="38"/>
      <c r="BT390" s="38"/>
      <c r="BU390" s="38"/>
      <c r="BV390" s="38"/>
      <c r="BW390" s="38"/>
      <c r="BX390" s="38"/>
      <c r="BY390" s="38"/>
      <c r="BZ390" s="38"/>
      <c r="CA390" s="38"/>
      <c r="CB390" s="38"/>
      <c r="CC390" s="38"/>
      <c r="CD390" s="39"/>
      <c r="CE390" s="18"/>
    </row>
    <row r="391" spans="1:83" s="9" customFormat="1" ht="12.75" customHeight="1" x14ac:dyDescent="0.15">
      <c r="A391" s="16"/>
      <c r="B391" s="8"/>
      <c r="D391" s="22"/>
      <c r="E391" s="40"/>
      <c r="F391" s="34" t="s">
        <v>218</v>
      </c>
      <c r="G391" s="35"/>
      <c r="H391" s="35"/>
      <c r="I391" s="35"/>
      <c r="J391" s="35"/>
      <c r="K391" s="35"/>
      <c r="L391" s="35"/>
      <c r="M391" s="35"/>
      <c r="N391" s="35"/>
      <c r="O391" s="35"/>
      <c r="P391" s="35"/>
      <c r="Q391" s="35"/>
      <c r="R391" s="35"/>
      <c r="S391" s="35"/>
      <c r="T391" s="35"/>
      <c r="U391" s="36"/>
      <c r="V391" s="34" t="s">
        <v>694</v>
      </c>
      <c r="W391" s="35"/>
      <c r="X391" s="35"/>
      <c r="Y391" s="35"/>
      <c r="Z391" s="35"/>
      <c r="AA391" s="35"/>
      <c r="AB391" s="36"/>
      <c r="AC391" s="34" t="s">
        <v>699</v>
      </c>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6"/>
      <c r="CE391" s="18"/>
    </row>
    <row r="392" spans="1:83" s="9" customFormat="1" ht="12.75" customHeight="1" x14ac:dyDescent="0.15">
      <c r="A392" s="16"/>
      <c r="B392" s="8"/>
      <c r="D392" s="2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8"/>
    </row>
    <row r="393" spans="1:83" s="9" customFormat="1" ht="12.75" customHeight="1" x14ac:dyDescent="0.15">
      <c r="A393" s="16"/>
      <c r="B393" s="8"/>
      <c r="D393" s="2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8"/>
    </row>
    <row r="394" spans="1:83" s="9" customFormat="1" ht="12.75" customHeight="1" x14ac:dyDescent="0.15">
      <c r="A394" s="16"/>
      <c r="B394" s="8"/>
      <c r="D394" s="2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8"/>
    </row>
    <row r="395" spans="1:83" s="9" customFormat="1" ht="12" customHeight="1" x14ac:dyDescent="0.15">
      <c r="A395" s="16"/>
      <c r="B395" s="8"/>
      <c r="C395" s="17"/>
      <c r="D395" s="17"/>
      <c r="E395" s="17"/>
      <c r="F395" s="17"/>
      <c r="G395" s="17"/>
      <c r="H395" s="17"/>
      <c r="I395" s="17"/>
      <c r="J395" s="17"/>
      <c r="K395" s="17"/>
      <c r="L395" s="17"/>
      <c r="M395" s="17"/>
      <c r="N395" s="17"/>
      <c r="O395" s="17"/>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18"/>
    </row>
    <row r="396" spans="1:83" s="9" customFormat="1" ht="12" customHeight="1" thickBot="1" x14ac:dyDescent="0.2">
      <c r="A396" s="25"/>
      <c r="B396" s="30"/>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7"/>
      <c r="BA396" s="27"/>
      <c r="BB396" s="27"/>
      <c r="BC396" s="27"/>
      <c r="BD396" s="27"/>
      <c r="BE396" s="27"/>
      <c r="BF396" s="27"/>
      <c r="BG396" s="27"/>
      <c r="BH396" s="27"/>
      <c r="BI396" s="27"/>
      <c r="BJ396" s="27"/>
      <c r="BK396" s="27"/>
      <c r="BL396" s="27"/>
      <c r="BM396" s="27"/>
      <c r="BN396" s="27"/>
      <c r="BO396" s="27"/>
      <c r="BP396" s="27"/>
      <c r="BQ396" s="27"/>
      <c r="BR396" s="27"/>
      <c r="BS396" s="27"/>
      <c r="BT396" s="27"/>
      <c r="BU396" s="27"/>
      <c r="BV396" s="27"/>
      <c r="BW396" s="27"/>
      <c r="BX396" s="27"/>
      <c r="BY396" s="27"/>
      <c r="BZ396" s="27"/>
      <c r="CA396" s="27"/>
      <c r="CB396" s="27"/>
      <c r="CC396" s="26"/>
      <c r="CD396" s="26"/>
      <c r="CE396" s="28"/>
    </row>
    <row r="397" spans="1:83" s="9" customFormat="1" ht="12" customHeight="1" x14ac:dyDescent="0.15">
      <c r="A397" s="13"/>
      <c r="B397" s="14"/>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60"/>
      <c r="BA397" s="160"/>
      <c r="BB397" s="160"/>
      <c r="BC397" s="160"/>
      <c r="BD397" s="160"/>
      <c r="BE397" s="160"/>
      <c r="BF397" s="160"/>
      <c r="BG397" s="160"/>
      <c r="BH397" s="160"/>
      <c r="BI397" s="160"/>
      <c r="BJ397" s="160"/>
      <c r="BK397" s="160"/>
      <c r="BL397" s="160"/>
      <c r="BM397" s="160"/>
      <c r="BN397" s="160"/>
      <c r="BO397" s="160"/>
      <c r="BP397" s="160"/>
      <c r="BQ397" s="160"/>
      <c r="BR397" s="160"/>
      <c r="BS397" s="160"/>
      <c r="BT397" s="160"/>
      <c r="BU397" s="160"/>
      <c r="BV397" s="160"/>
      <c r="BW397" s="160"/>
      <c r="BX397" s="160"/>
      <c r="BY397" s="160"/>
      <c r="BZ397" s="160"/>
      <c r="CA397" s="160"/>
      <c r="CB397" s="160"/>
      <c r="CC397" s="159"/>
      <c r="CD397" s="159"/>
      <c r="CE397" s="15"/>
    </row>
    <row r="398" spans="1:83" s="9" customFormat="1" ht="12" customHeight="1" x14ac:dyDescent="0.15">
      <c r="A398" s="16"/>
      <c r="B398" s="8"/>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17"/>
      <c r="CD398" s="17"/>
      <c r="CE398" s="18"/>
    </row>
    <row r="399" spans="1:83" s="4" customFormat="1" ht="12" customHeight="1" x14ac:dyDescent="0.15">
      <c r="A399" s="16"/>
      <c r="B399" s="5"/>
      <c r="C399" s="5"/>
      <c r="D399" s="5"/>
      <c r="E399" s="12" t="s">
        <v>219</v>
      </c>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8"/>
    </row>
    <row r="400" spans="1:83" s="4" customFormat="1" ht="12" customHeight="1" x14ac:dyDescent="0.15">
      <c r="A400" s="16"/>
      <c r="B400" s="73"/>
      <c r="C400" s="12"/>
      <c r="D400" s="12"/>
      <c r="E400" s="12"/>
      <c r="F400" s="248" t="s">
        <v>454</v>
      </c>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49"/>
      <c r="AC400" s="248" t="s">
        <v>455</v>
      </c>
      <c r="AD400" s="250"/>
      <c r="AE400" s="250"/>
      <c r="AF400" s="250"/>
      <c r="AG400" s="249"/>
      <c r="AH400" s="248" t="s">
        <v>456</v>
      </c>
      <c r="AI400" s="250"/>
      <c r="AJ400" s="250"/>
      <c r="AK400" s="250"/>
      <c r="AL400" s="250"/>
      <c r="AM400" s="250"/>
      <c r="AN400" s="250"/>
      <c r="AO400" s="250"/>
      <c r="AP400" s="250"/>
      <c r="AQ400" s="250"/>
      <c r="AR400" s="250"/>
      <c r="AS400" s="250"/>
      <c r="AT400" s="250"/>
      <c r="AU400" s="250"/>
      <c r="AV400" s="250"/>
      <c r="AW400" s="250"/>
      <c r="AX400" s="250"/>
      <c r="AY400" s="250"/>
      <c r="AZ400" s="250"/>
      <c r="BA400" s="250"/>
      <c r="BB400" s="250"/>
      <c r="BC400" s="250"/>
      <c r="BD400" s="250"/>
      <c r="BE400" s="250"/>
      <c r="BF400" s="250"/>
      <c r="BG400" s="250"/>
      <c r="BH400" s="250"/>
      <c r="BI400" s="250"/>
      <c r="BJ400" s="250"/>
      <c r="BK400" s="250"/>
      <c r="BL400" s="250"/>
      <c r="BM400" s="250"/>
      <c r="BN400" s="250"/>
      <c r="BO400" s="250"/>
      <c r="BP400" s="250"/>
      <c r="BQ400" s="250"/>
      <c r="BR400" s="250"/>
      <c r="BS400" s="250"/>
      <c r="BT400" s="250"/>
      <c r="BU400" s="250"/>
      <c r="BV400" s="250"/>
      <c r="BW400" s="250"/>
      <c r="BX400" s="250"/>
      <c r="BY400" s="250"/>
      <c r="BZ400" s="249"/>
      <c r="CA400" s="12"/>
      <c r="CB400" s="12"/>
      <c r="CC400" s="12"/>
      <c r="CD400" s="12"/>
      <c r="CE400" s="18"/>
    </row>
    <row r="401" spans="1:83" s="6" customFormat="1" ht="12" customHeight="1" x14ac:dyDescent="0.15">
      <c r="A401" s="16"/>
      <c r="B401" s="5"/>
      <c r="C401" s="12"/>
      <c r="D401" s="12"/>
      <c r="E401" s="12"/>
      <c r="F401" s="34" t="s">
        <v>445</v>
      </c>
      <c r="G401" s="35"/>
      <c r="H401" s="35"/>
      <c r="I401" s="35"/>
      <c r="J401" s="35"/>
      <c r="K401" s="35"/>
      <c r="L401" s="35"/>
      <c r="M401" s="35"/>
      <c r="N401" s="35"/>
      <c r="O401" s="35"/>
      <c r="P401" s="35"/>
      <c r="Q401" s="35"/>
      <c r="R401" s="35"/>
      <c r="S401" s="35"/>
      <c r="T401" s="35"/>
      <c r="U401" s="35"/>
      <c r="V401" s="35"/>
      <c r="W401" s="35"/>
      <c r="X401" s="35"/>
      <c r="Y401" s="35"/>
      <c r="Z401" s="35"/>
      <c r="AA401" s="35"/>
      <c r="AB401" s="36"/>
      <c r="AC401" s="153" t="s">
        <v>220</v>
      </c>
      <c r="AD401" s="35"/>
      <c r="AE401" s="35"/>
      <c r="AF401" s="35"/>
      <c r="AG401" s="36"/>
      <c r="AH401" s="34" t="s">
        <v>453</v>
      </c>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6"/>
      <c r="CA401" s="12"/>
      <c r="CB401" s="12"/>
      <c r="CC401" s="12"/>
      <c r="CD401" s="12"/>
      <c r="CE401" s="18"/>
    </row>
    <row r="402" spans="1:83" s="4" customFormat="1" ht="12" customHeight="1" x14ac:dyDescent="0.15">
      <c r="A402" s="16"/>
      <c r="B402" s="73"/>
      <c r="C402" s="12"/>
      <c r="D402" s="12"/>
      <c r="E402" s="12"/>
      <c r="F402" s="34" t="s">
        <v>446</v>
      </c>
      <c r="G402" s="35"/>
      <c r="H402" s="35"/>
      <c r="I402" s="35"/>
      <c r="J402" s="35"/>
      <c r="K402" s="35"/>
      <c r="L402" s="35"/>
      <c r="M402" s="35"/>
      <c r="N402" s="35"/>
      <c r="O402" s="35"/>
      <c r="P402" s="35"/>
      <c r="Q402" s="35"/>
      <c r="R402" s="35"/>
      <c r="S402" s="35"/>
      <c r="T402" s="35"/>
      <c r="U402" s="35"/>
      <c r="V402" s="35"/>
      <c r="W402" s="35"/>
      <c r="X402" s="35"/>
      <c r="Y402" s="35"/>
      <c r="Z402" s="35"/>
      <c r="AA402" s="35"/>
      <c r="AB402" s="36"/>
      <c r="AC402" s="153" t="s">
        <v>221</v>
      </c>
      <c r="AD402" s="35"/>
      <c r="AE402" s="35"/>
      <c r="AF402" s="35"/>
      <c r="AG402" s="36"/>
      <c r="AH402" s="34" t="s">
        <v>453</v>
      </c>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6"/>
      <c r="CA402" s="12"/>
      <c r="CB402" s="12"/>
      <c r="CC402" s="12"/>
      <c r="CD402" s="12"/>
      <c r="CE402" s="18"/>
    </row>
    <row r="403" spans="1:83" s="386" customFormat="1" ht="12" customHeight="1" x14ac:dyDescent="0.15">
      <c r="A403" s="381"/>
      <c r="B403" s="391"/>
      <c r="C403" s="400"/>
      <c r="D403" s="400"/>
      <c r="E403" s="400"/>
      <c r="F403" s="393" t="s">
        <v>447</v>
      </c>
      <c r="G403" s="394"/>
      <c r="H403" s="394"/>
      <c r="I403" s="394"/>
      <c r="J403" s="394"/>
      <c r="K403" s="394"/>
      <c r="L403" s="394"/>
      <c r="M403" s="394"/>
      <c r="N403" s="394"/>
      <c r="O403" s="394"/>
      <c r="P403" s="394"/>
      <c r="Q403" s="394"/>
      <c r="R403" s="394"/>
      <c r="S403" s="394"/>
      <c r="T403" s="394"/>
      <c r="U403" s="394"/>
      <c r="V403" s="394"/>
      <c r="W403" s="394"/>
      <c r="X403" s="394"/>
      <c r="Y403" s="394"/>
      <c r="Z403" s="394"/>
      <c r="AA403" s="394"/>
      <c r="AB403" s="395"/>
      <c r="AC403" s="396" t="s">
        <v>511</v>
      </c>
      <c r="AD403" s="394"/>
      <c r="AE403" s="394"/>
      <c r="AF403" s="394"/>
      <c r="AG403" s="395"/>
      <c r="AH403" s="393" t="s">
        <v>688</v>
      </c>
      <c r="AI403" s="394"/>
      <c r="AJ403" s="394"/>
      <c r="AK403" s="394"/>
      <c r="AL403" s="394"/>
      <c r="AM403" s="394"/>
      <c r="AN403" s="394"/>
      <c r="AO403" s="394"/>
      <c r="AP403" s="394"/>
      <c r="AQ403" s="394"/>
      <c r="AR403" s="394"/>
      <c r="AS403" s="394"/>
      <c r="AT403" s="394"/>
      <c r="AU403" s="394"/>
      <c r="AV403" s="394"/>
      <c r="AW403" s="394"/>
      <c r="AX403" s="394"/>
      <c r="AY403" s="394"/>
      <c r="AZ403" s="394"/>
      <c r="BA403" s="394"/>
      <c r="BB403" s="394"/>
      <c r="BC403" s="394"/>
      <c r="BD403" s="394"/>
      <c r="BE403" s="394"/>
      <c r="BF403" s="394"/>
      <c r="BG403" s="394"/>
      <c r="BH403" s="394"/>
      <c r="BI403" s="394"/>
      <c r="BJ403" s="394"/>
      <c r="BK403" s="394"/>
      <c r="BL403" s="394"/>
      <c r="BM403" s="394"/>
      <c r="BN403" s="394"/>
      <c r="BO403" s="394"/>
      <c r="BP403" s="394"/>
      <c r="BQ403" s="394"/>
      <c r="BR403" s="394"/>
      <c r="BS403" s="394"/>
      <c r="BT403" s="394"/>
      <c r="BU403" s="394"/>
      <c r="BV403" s="394"/>
      <c r="BW403" s="394"/>
      <c r="BX403" s="394"/>
      <c r="BY403" s="394"/>
      <c r="BZ403" s="395"/>
      <c r="CA403" s="400"/>
      <c r="CB403" s="400"/>
      <c r="CC403" s="400"/>
      <c r="CD403" s="400"/>
      <c r="CE403" s="384"/>
    </row>
    <row r="404" spans="1:83" s="4" customFormat="1" ht="12" customHeight="1" x14ac:dyDescent="0.15">
      <c r="A404" s="16"/>
      <c r="B404" s="73"/>
      <c r="C404" s="12"/>
      <c r="D404" s="12"/>
      <c r="E404" s="12"/>
      <c r="F404" s="34" t="s">
        <v>900</v>
      </c>
      <c r="G404" s="35"/>
      <c r="H404" s="35"/>
      <c r="I404" s="35"/>
      <c r="J404" s="35"/>
      <c r="K404" s="35"/>
      <c r="L404" s="35"/>
      <c r="M404" s="35"/>
      <c r="N404" s="35"/>
      <c r="O404" s="35"/>
      <c r="P404" s="35"/>
      <c r="Q404" s="35"/>
      <c r="R404" s="35"/>
      <c r="S404" s="35"/>
      <c r="T404" s="35"/>
      <c r="U404" s="35"/>
      <c r="V404" s="35"/>
      <c r="W404" s="35"/>
      <c r="X404" s="35"/>
      <c r="Y404" s="35"/>
      <c r="Z404" s="35"/>
      <c r="AA404" s="35"/>
      <c r="AB404" s="36"/>
      <c r="AC404" s="153" t="s">
        <v>222</v>
      </c>
      <c r="AD404" s="35"/>
      <c r="AE404" s="35"/>
      <c r="AF404" s="35"/>
      <c r="AG404" s="36"/>
      <c r="AH404" s="34" t="s">
        <v>448</v>
      </c>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6"/>
      <c r="CA404" s="12"/>
      <c r="CB404" s="12"/>
      <c r="CC404" s="12"/>
      <c r="CD404" s="12"/>
      <c r="CE404" s="18"/>
    </row>
    <row r="405" spans="1:83" s="4" customFormat="1" ht="12" customHeight="1" x14ac:dyDescent="0.15">
      <c r="A405" s="16"/>
      <c r="B405" s="73"/>
      <c r="C405" s="12"/>
      <c r="D405" s="12"/>
      <c r="E405" s="12"/>
      <c r="F405" s="34" t="s">
        <v>449</v>
      </c>
      <c r="G405" s="35"/>
      <c r="H405" s="35"/>
      <c r="I405" s="35"/>
      <c r="J405" s="35"/>
      <c r="K405" s="35"/>
      <c r="L405" s="35"/>
      <c r="M405" s="35"/>
      <c r="N405" s="35"/>
      <c r="O405" s="35"/>
      <c r="P405" s="35"/>
      <c r="Q405" s="35"/>
      <c r="R405" s="35"/>
      <c r="S405" s="35"/>
      <c r="T405" s="35"/>
      <c r="U405" s="35"/>
      <c r="V405" s="35"/>
      <c r="W405" s="35"/>
      <c r="X405" s="35"/>
      <c r="Y405" s="35"/>
      <c r="Z405" s="35"/>
      <c r="AA405" s="35"/>
      <c r="AB405" s="36"/>
      <c r="AC405" s="153" t="s">
        <v>223</v>
      </c>
      <c r="AD405" s="35"/>
      <c r="AE405" s="35"/>
      <c r="AF405" s="35"/>
      <c r="AG405" s="36"/>
      <c r="AH405" s="34" t="s">
        <v>224</v>
      </c>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6"/>
      <c r="CA405" s="12"/>
      <c r="CB405" s="12"/>
      <c r="CC405" s="12"/>
      <c r="CD405" s="12"/>
      <c r="CE405" s="18"/>
    </row>
    <row r="406" spans="1:83" s="4" customFormat="1" ht="12" customHeight="1" x14ac:dyDescent="0.15">
      <c r="A406" s="16"/>
      <c r="B406" s="8"/>
      <c r="C406" s="12"/>
      <c r="D406" s="12"/>
      <c r="E406" s="12"/>
      <c r="F406" s="34" t="s">
        <v>450</v>
      </c>
      <c r="G406" s="35"/>
      <c r="H406" s="35"/>
      <c r="I406" s="35"/>
      <c r="J406" s="35"/>
      <c r="K406" s="35"/>
      <c r="L406" s="35"/>
      <c r="M406" s="35"/>
      <c r="N406" s="35"/>
      <c r="O406" s="35"/>
      <c r="P406" s="35"/>
      <c r="Q406" s="35"/>
      <c r="R406" s="35"/>
      <c r="S406" s="35"/>
      <c r="T406" s="35"/>
      <c r="U406" s="35"/>
      <c r="V406" s="35"/>
      <c r="W406" s="35"/>
      <c r="X406" s="35"/>
      <c r="Y406" s="35"/>
      <c r="Z406" s="35"/>
      <c r="AA406" s="35"/>
      <c r="AB406" s="36"/>
      <c r="AC406" s="153" t="s">
        <v>225</v>
      </c>
      <c r="AD406" s="35"/>
      <c r="AE406" s="35"/>
      <c r="AF406" s="35"/>
      <c r="AG406" s="36"/>
      <c r="AH406" s="396" t="s">
        <v>876</v>
      </c>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6"/>
      <c r="CA406" s="12"/>
      <c r="CB406" s="12"/>
      <c r="CC406" s="12"/>
      <c r="CD406" s="12"/>
      <c r="CE406" s="18"/>
    </row>
    <row r="407" spans="1:83" s="4" customFormat="1" ht="12" customHeight="1" x14ac:dyDescent="0.15">
      <c r="A407" s="16"/>
      <c r="B407" s="8"/>
      <c r="C407" s="12"/>
      <c r="D407" s="12"/>
      <c r="E407" s="12"/>
      <c r="F407" s="34" t="s">
        <v>451</v>
      </c>
      <c r="G407" s="35"/>
      <c r="H407" s="35"/>
      <c r="I407" s="35"/>
      <c r="J407" s="35"/>
      <c r="K407" s="35"/>
      <c r="L407" s="35"/>
      <c r="M407" s="35"/>
      <c r="N407" s="35"/>
      <c r="O407" s="35"/>
      <c r="P407" s="35"/>
      <c r="Q407" s="35"/>
      <c r="R407" s="35"/>
      <c r="S407" s="35"/>
      <c r="T407" s="35"/>
      <c r="U407" s="35"/>
      <c r="V407" s="35"/>
      <c r="W407" s="35"/>
      <c r="X407" s="35"/>
      <c r="Y407" s="35"/>
      <c r="Z407" s="35"/>
      <c r="AA407" s="35"/>
      <c r="AB407" s="36"/>
      <c r="AC407" s="153" t="s">
        <v>226</v>
      </c>
      <c r="AD407" s="35"/>
      <c r="AE407" s="35"/>
      <c r="AF407" s="35"/>
      <c r="AG407" s="36"/>
      <c r="AH407" s="34" t="s">
        <v>452</v>
      </c>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6"/>
      <c r="CA407" s="12"/>
      <c r="CB407" s="12"/>
      <c r="CC407" s="12"/>
      <c r="CD407" s="12"/>
      <c r="CE407" s="18"/>
    </row>
    <row r="408" spans="1:83" s="9" customFormat="1" ht="12" customHeight="1" x14ac:dyDescent="0.15">
      <c r="A408" s="16"/>
      <c r="B408" s="8"/>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17"/>
      <c r="CD408" s="17"/>
      <c r="CE408" s="18"/>
    </row>
    <row r="409" spans="1:83" s="9" customFormat="1" ht="12" customHeight="1" x14ac:dyDescent="0.15">
      <c r="A409" s="16"/>
      <c r="B409" s="8"/>
      <c r="C409" s="17"/>
      <c r="D409" s="17"/>
      <c r="E409" s="17" t="s">
        <v>690</v>
      </c>
      <c r="F409" s="17"/>
      <c r="G409" s="17"/>
      <c r="H409" s="17"/>
      <c r="I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17"/>
      <c r="CD409" s="17"/>
      <c r="CE409" s="18"/>
    </row>
    <row r="410" spans="1:83" s="9" customFormat="1" ht="12" customHeight="1" x14ac:dyDescent="0.15">
      <c r="A410" s="16"/>
      <c r="B410" s="8"/>
      <c r="C410" s="17"/>
      <c r="D410" s="17"/>
      <c r="F410" s="17" t="s">
        <v>685</v>
      </c>
      <c r="G410" s="17"/>
      <c r="H410" s="17"/>
      <c r="I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17"/>
      <c r="CD410" s="17"/>
      <c r="CE410" s="18"/>
    </row>
    <row r="411" spans="1:83" s="9" customFormat="1" ht="12" customHeight="1" x14ac:dyDescent="0.15">
      <c r="A411" s="16"/>
      <c r="B411" s="8"/>
      <c r="C411" s="17"/>
      <c r="D411" s="17"/>
      <c r="E411" s="17"/>
      <c r="F411" s="831" t="s">
        <v>679</v>
      </c>
      <c r="G411" s="832"/>
      <c r="H411" s="833"/>
      <c r="I411" s="831" t="s">
        <v>431</v>
      </c>
      <c r="J411" s="832"/>
      <c r="K411" s="832"/>
      <c r="L411" s="832"/>
      <c r="M411" s="832"/>
      <c r="N411" s="832"/>
      <c r="O411" s="832"/>
      <c r="P411" s="832"/>
      <c r="Q411" s="832"/>
      <c r="R411" s="832"/>
      <c r="S411" s="832"/>
      <c r="T411" s="832"/>
      <c r="U411" s="832"/>
      <c r="V411" s="832"/>
      <c r="W411" s="833"/>
      <c r="X411" s="633" t="s">
        <v>668</v>
      </c>
      <c r="Y411" s="634"/>
      <c r="Z411" s="634"/>
      <c r="AA411" s="634"/>
      <c r="AB411" s="634"/>
      <c r="AC411" s="634"/>
      <c r="AD411" s="634"/>
      <c r="AE411" s="634"/>
      <c r="AF411" s="635"/>
      <c r="AG411" s="633" t="s">
        <v>669</v>
      </c>
      <c r="AH411" s="634"/>
      <c r="AI411" s="634"/>
      <c r="AJ411" s="634"/>
      <c r="AK411" s="634"/>
      <c r="AL411" s="634"/>
      <c r="AM411" s="634"/>
      <c r="AN411" s="634"/>
      <c r="AO411" s="634"/>
      <c r="AP411" s="634"/>
      <c r="AQ411" s="634"/>
      <c r="AR411" s="634"/>
      <c r="AS411" s="634"/>
      <c r="AT411" s="634"/>
      <c r="AU411" s="634"/>
      <c r="AV411" s="634"/>
      <c r="AW411" s="634"/>
      <c r="AX411" s="634"/>
      <c r="AY411" s="634"/>
      <c r="AZ411" s="634"/>
      <c r="BA411" s="634"/>
      <c r="BB411" s="634"/>
      <c r="BC411" s="634"/>
      <c r="BD411" s="635"/>
      <c r="BE411" s="636" t="s">
        <v>686</v>
      </c>
      <c r="BF411" s="637"/>
      <c r="BG411" s="637"/>
      <c r="BH411" s="637"/>
      <c r="BI411" s="637"/>
      <c r="BJ411" s="637"/>
      <c r="BK411" s="637"/>
      <c r="BL411" s="637"/>
      <c r="BM411" s="637"/>
      <c r="BN411" s="636" t="s">
        <v>687</v>
      </c>
      <c r="BO411" s="637"/>
      <c r="BP411" s="637"/>
      <c r="BQ411" s="637"/>
      <c r="BR411" s="637"/>
      <c r="BS411" s="637"/>
      <c r="BT411" s="637"/>
      <c r="BU411" s="637"/>
      <c r="BV411" s="637"/>
      <c r="BW411" s="20"/>
      <c r="BX411" s="20"/>
      <c r="BY411" s="20"/>
      <c r="BZ411" s="20"/>
      <c r="CA411" s="20"/>
      <c r="CB411" s="20"/>
      <c r="CC411" s="17"/>
      <c r="CD411" s="17"/>
      <c r="CE411" s="18"/>
    </row>
    <row r="412" spans="1:83" s="9" customFormat="1" ht="12" customHeight="1" x14ac:dyDescent="0.15">
      <c r="A412" s="16"/>
      <c r="B412" s="8"/>
      <c r="C412" s="17"/>
      <c r="D412" s="17"/>
      <c r="E412" s="17"/>
      <c r="F412" s="813" t="s">
        <v>154</v>
      </c>
      <c r="G412" s="814"/>
      <c r="H412" s="815"/>
      <c r="I412" s="37" t="s">
        <v>508</v>
      </c>
      <c r="J412" s="42"/>
      <c r="K412" s="42"/>
      <c r="L412" s="42"/>
      <c r="M412" s="42"/>
      <c r="N412" s="42"/>
      <c r="O412" s="42"/>
      <c r="P412" s="42"/>
      <c r="Q412" s="42"/>
      <c r="R412" s="42"/>
      <c r="S412" s="42"/>
      <c r="T412" s="42"/>
      <c r="U412" s="42"/>
      <c r="V412" s="42"/>
      <c r="W412" s="43"/>
      <c r="X412" s="810" t="s">
        <v>670</v>
      </c>
      <c r="Y412" s="811"/>
      <c r="Z412" s="811"/>
      <c r="AA412" s="811"/>
      <c r="AB412" s="811"/>
      <c r="AC412" s="811"/>
      <c r="AD412" s="811"/>
      <c r="AE412" s="811"/>
      <c r="AF412" s="812"/>
      <c r="AG412" s="362" t="s">
        <v>675</v>
      </c>
      <c r="AH412" s="363"/>
      <c r="AI412" s="363"/>
      <c r="AJ412" s="363"/>
      <c r="AK412" s="363"/>
      <c r="AL412" s="363"/>
      <c r="AM412" s="363"/>
      <c r="AN412" s="363"/>
      <c r="AO412" s="363"/>
      <c r="AP412" s="363"/>
      <c r="AQ412" s="363"/>
      <c r="AR412" s="363"/>
      <c r="AS412" s="363"/>
      <c r="AT412" s="363"/>
      <c r="AU412" s="363"/>
      <c r="AV412" s="363"/>
      <c r="AW412" s="363"/>
      <c r="AX412" s="363"/>
      <c r="AY412" s="363"/>
      <c r="AZ412" s="363"/>
      <c r="BA412" s="363"/>
      <c r="BB412" s="363"/>
      <c r="BC412" s="363"/>
      <c r="BD412" s="364"/>
      <c r="BE412" s="541">
        <v>8.3469785749912262E-4</v>
      </c>
      <c r="BF412" s="542"/>
      <c r="BG412" s="542"/>
      <c r="BH412" s="542"/>
      <c r="BI412" s="542"/>
      <c r="BJ412" s="542"/>
      <c r="BK412" s="542"/>
      <c r="BL412" s="542"/>
      <c r="BM412" s="543"/>
      <c r="BN412" s="892">
        <f>BE412*1.25</f>
        <v>1.0433723218739033E-3</v>
      </c>
      <c r="BO412" s="893"/>
      <c r="BP412" s="893"/>
      <c r="BQ412" s="893"/>
      <c r="BR412" s="893"/>
      <c r="BS412" s="893"/>
      <c r="BT412" s="893"/>
      <c r="BU412" s="893"/>
      <c r="BV412" s="894"/>
      <c r="BW412" s="20"/>
      <c r="BX412" s="20"/>
      <c r="BY412" s="20"/>
      <c r="BZ412" s="20"/>
      <c r="CA412" s="20"/>
      <c r="CB412" s="20"/>
      <c r="CC412" s="17"/>
      <c r="CD412" s="17"/>
      <c r="CE412" s="18"/>
    </row>
    <row r="413" spans="1:83" s="9" customFormat="1" ht="12" customHeight="1" x14ac:dyDescent="0.15">
      <c r="A413" s="16"/>
      <c r="B413" s="8"/>
      <c r="C413" s="17"/>
      <c r="D413" s="17"/>
      <c r="E413" s="17"/>
      <c r="F413" s="813" t="s">
        <v>156</v>
      </c>
      <c r="G413" s="814"/>
      <c r="H413" s="815"/>
      <c r="I413" s="177"/>
      <c r="J413" s="20"/>
      <c r="K413" s="20"/>
      <c r="L413" s="20"/>
      <c r="M413" s="20"/>
      <c r="N413" s="20"/>
      <c r="O413" s="20"/>
      <c r="P413" s="20"/>
      <c r="Q413" s="20"/>
      <c r="R413" s="20"/>
      <c r="S413" s="20"/>
      <c r="T413" s="20"/>
      <c r="U413" s="20"/>
      <c r="V413" s="20"/>
      <c r="W413" s="357"/>
      <c r="X413" s="810" t="s">
        <v>509</v>
      </c>
      <c r="Y413" s="811"/>
      <c r="Z413" s="811"/>
      <c r="AA413" s="811"/>
      <c r="AB413" s="811"/>
      <c r="AC413" s="811"/>
      <c r="AD413" s="811"/>
      <c r="AE413" s="811"/>
      <c r="AF413" s="812"/>
      <c r="AG413" s="362" t="s">
        <v>671</v>
      </c>
      <c r="AH413" s="363"/>
      <c r="AI413" s="363"/>
      <c r="AJ413" s="363"/>
      <c r="AK413" s="363"/>
      <c r="AL413" s="363"/>
      <c r="AM413" s="363"/>
      <c r="AN413" s="363"/>
      <c r="AO413" s="363"/>
      <c r="AP413" s="363"/>
      <c r="AQ413" s="363"/>
      <c r="AR413" s="363"/>
      <c r="AS413" s="363"/>
      <c r="AT413" s="363"/>
      <c r="AU413" s="363"/>
      <c r="AV413" s="363"/>
      <c r="AW413" s="363"/>
      <c r="AX413" s="363"/>
      <c r="AY413" s="363"/>
      <c r="AZ413" s="363"/>
      <c r="BA413" s="363"/>
      <c r="BB413" s="363"/>
      <c r="BC413" s="363"/>
      <c r="BD413" s="364"/>
      <c r="BE413" s="541">
        <v>5.2135437726974487E-2</v>
      </c>
      <c r="BF413" s="542"/>
      <c r="BG413" s="542"/>
      <c r="BH413" s="542"/>
      <c r="BI413" s="542"/>
      <c r="BJ413" s="542"/>
      <c r="BK413" s="542"/>
      <c r="BL413" s="542"/>
      <c r="BM413" s="543"/>
      <c r="BN413" s="871">
        <f t="shared" ref="BN413:BN419" si="0">BE413*1.25</f>
        <v>6.5169297158718109E-2</v>
      </c>
      <c r="BO413" s="872"/>
      <c r="BP413" s="872"/>
      <c r="BQ413" s="872"/>
      <c r="BR413" s="872"/>
      <c r="BS413" s="872"/>
      <c r="BT413" s="872"/>
      <c r="BU413" s="872"/>
      <c r="BV413" s="873"/>
      <c r="BW413" s="20"/>
      <c r="BX413" s="20"/>
      <c r="BY413" s="20"/>
      <c r="BZ413" s="20"/>
      <c r="CA413" s="20"/>
      <c r="CB413" s="20"/>
      <c r="CC413" s="17"/>
      <c r="CD413" s="17"/>
      <c r="CE413" s="18"/>
    </row>
    <row r="414" spans="1:83" s="9" customFormat="1" ht="12" customHeight="1" x14ac:dyDescent="0.15">
      <c r="A414" s="16"/>
      <c r="B414" s="8"/>
      <c r="C414" s="17"/>
      <c r="D414" s="17"/>
      <c r="E414" s="17"/>
      <c r="F414" s="813" t="s">
        <v>681</v>
      </c>
      <c r="G414" s="814"/>
      <c r="H414" s="815"/>
      <c r="I414" s="177"/>
      <c r="J414" s="20"/>
      <c r="K414" s="20"/>
      <c r="L414" s="20"/>
      <c r="M414" s="20"/>
      <c r="N414" s="20"/>
      <c r="O414" s="20"/>
      <c r="P414" s="20"/>
      <c r="Q414" s="20"/>
      <c r="R414" s="20"/>
      <c r="S414" s="20"/>
      <c r="T414" s="20"/>
      <c r="U414" s="20"/>
      <c r="V414" s="20"/>
      <c r="W414" s="357"/>
      <c r="X414" s="810" t="s">
        <v>698</v>
      </c>
      <c r="Y414" s="811"/>
      <c r="Z414" s="811"/>
      <c r="AA414" s="811"/>
      <c r="AB414" s="811"/>
      <c r="AC414" s="811"/>
      <c r="AD414" s="811"/>
      <c r="AE414" s="811"/>
      <c r="AF414" s="812"/>
      <c r="AG414" s="362" t="s">
        <v>672</v>
      </c>
      <c r="AH414" s="363"/>
      <c r="AI414" s="363"/>
      <c r="AJ414" s="363"/>
      <c r="AK414" s="363"/>
      <c r="AL414" s="363"/>
      <c r="AM414" s="363"/>
      <c r="AN414" s="363"/>
      <c r="AO414" s="363"/>
      <c r="AP414" s="363"/>
      <c r="AQ414" s="363"/>
      <c r="AR414" s="363"/>
      <c r="AS414" s="363"/>
      <c r="AT414" s="363"/>
      <c r="AU414" s="363"/>
      <c r="AV414" s="363"/>
      <c r="AW414" s="363"/>
      <c r="AX414" s="363"/>
      <c r="AY414" s="363"/>
      <c r="AZ414" s="363"/>
      <c r="BA414" s="363"/>
      <c r="BB414" s="363"/>
      <c r="BC414" s="363"/>
      <c r="BD414" s="364"/>
      <c r="BE414" s="541">
        <v>3.9227306842803955</v>
      </c>
      <c r="BF414" s="542"/>
      <c r="BG414" s="542"/>
      <c r="BH414" s="542"/>
      <c r="BI414" s="542"/>
      <c r="BJ414" s="542"/>
      <c r="BK414" s="542"/>
      <c r="BL414" s="542"/>
      <c r="BM414" s="543"/>
      <c r="BN414" s="871">
        <f t="shared" si="0"/>
        <v>4.9034133553504944</v>
      </c>
      <c r="BO414" s="872"/>
      <c r="BP414" s="872"/>
      <c r="BQ414" s="872"/>
      <c r="BR414" s="872"/>
      <c r="BS414" s="872"/>
      <c r="BT414" s="872"/>
      <c r="BU414" s="872"/>
      <c r="BV414" s="873"/>
      <c r="BW414" s="20"/>
      <c r="BX414" s="20"/>
      <c r="BY414" s="20"/>
      <c r="BZ414" s="20"/>
      <c r="CA414" s="20"/>
      <c r="CB414" s="20"/>
      <c r="CC414" s="17"/>
      <c r="CD414" s="17"/>
      <c r="CE414" s="18"/>
    </row>
    <row r="415" spans="1:83" s="9" customFormat="1" ht="12" customHeight="1" x14ac:dyDescent="0.15">
      <c r="A415" s="16"/>
      <c r="B415" s="8"/>
      <c r="C415" s="17"/>
      <c r="D415" s="17"/>
      <c r="E415" s="17"/>
      <c r="F415" s="813" t="s">
        <v>565</v>
      </c>
      <c r="G415" s="814"/>
      <c r="H415" s="815"/>
      <c r="I415" s="177"/>
      <c r="J415" s="20"/>
      <c r="K415" s="20"/>
      <c r="L415" s="20"/>
      <c r="M415" s="20"/>
      <c r="N415" s="20"/>
      <c r="O415" s="20"/>
      <c r="P415" s="20"/>
      <c r="Q415" s="20"/>
      <c r="R415" s="20"/>
      <c r="S415" s="20"/>
      <c r="T415" s="20"/>
      <c r="U415" s="20"/>
      <c r="V415" s="20"/>
      <c r="W415" s="357"/>
      <c r="X415" s="810" t="s">
        <v>698</v>
      </c>
      <c r="Y415" s="811"/>
      <c r="Z415" s="811"/>
      <c r="AA415" s="811"/>
      <c r="AB415" s="811"/>
      <c r="AC415" s="811"/>
      <c r="AD415" s="811"/>
      <c r="AE415" s="811"/>
      <c r="AF415" s="812"/>
      <c r="AG415" s="362" t="s">
        <v>673</v>
      </c>
      <c r="AH415" s="363"/>
      <c r="AI415" s="363"/>
      <c r="AJ415" s="363"/>
      <c r="AK415" s="363"/>
      <c r="AL415" s="363"/>
      <c r="AM415" s="363"/>
      <c r="AN415" s="363"/>
      <c r="AO415" s="363"/>
      <c r="AP415" s="363"/>
      <c r="AQ415" s="363"/>
      <c r="AR415" s="363"/>
      <c r="AS415" s="363"/>
      <c r="AT415" s="363"/>
      <c r="AU415" s="363"/>
      <c r="AV415" s="363"/>
      <c r="AW415" s="363"/>
      <c r="AX415" s="363"/>
      <c r="AY415" s="363"/>
      <c r="AZ415" s="363"/>
      <c r="BA415" s="363"/>
      <c r="BB415" s="363"/>
      <c r="BC415" s="363"/>
      <c r="BD415" s="364"/>
      <c r="BE415" s="541">
        <v>2.1122395992279053</v>
      </c>
      <c r="BF415" s="542"/>
      <c r="BG415" s="542"/>
      <c r="BH415" s="542"/>
      <c r="BI415" s="542"/>
      <c r="BJ415" s="542"/>
      <c r="BK415" s="542"/>
      <c r="BL415" s="542"/>
      <c r="BM415" s="543"/>
      <c r="BN415" s="871">
        <f t="shared" si="0"/>
        <v>2.6402994990348816</v>
      </c>
      <c r="BO415" s="872"/>
      <c r="BP415" s="872"/>
      <c r="BQ415" s="872"/>
      <c r="BR415" s="872"/>
      <c r="BS415" s="872"/>
      <c r="BT415" s="872"/>
      <c r="BU415" s="872"/>
      <c r="BV415" s="873"/>
      <c r="BW415" s="20"/>
      <c r="BX415" s="20"/>
      <c r="BY415" s="20"/>
      <c r="BZ415" s="20"/>
      <c r="CA415" s="20"/>
      <c r="CB415" s="20"/>
      <c r="CC415" s="17"/>
      <c r="CD415" s="17"/>
      <c r="CE415" s="18"/>
    </row>
    <row r="416" spans="1:83" s="9" customFormat="1" ht="12" customHeight="1" x14ac:dyDescent="0.15">
      <c r="A416" s="16"/>
      <c r="B416" s="8"/>
      <c r="C416" s="17"/>
      <c r="D416" s="17"/>
      <c r="E416" s="17"/>
      <c r="F416" s="813" t="s">
        <v>637</v>
      </c>
      <c r="G416" s="814"/>
      <c r="H416" s="815"/>
      <c r="I416" s="177"/>
      <c r="J416" s="20"/>
      <c r="K416" s="20"/>
      <c r="L416" s="20"/>
      <c r="M416" s="20"/>
      <c r="N416" s="20"/>
      <c r="O416" s="20"/>
      <c r="P416" s="20"/>
      <c r="Q416" s="20"/>
      <c r="R416" s="20"/>
      <c r="S416" s="20"/>
      <c r="T416" s="20"/>
      <c r="U416" s="20"/>
      <c r="V416" s="20"/>
      <c r="W416" s="357"/>
      <c r="X416" s="810" t="s">
        <v>698</v>
      </c>
      <c r="Y416" s="811"/>
      <c r="Z416" s="811"/>
      <c r="AA416" s="811"/>
      <c r="AB416" s="811"/>
      <c r="AC416" s="811"/>
      <c r="AD416" s="811"/>
      <c r="AE416" s="811"/>
      <c r="AF416" s="812"/>
      <c r="AG416" s="362" t="s">
        <v>674</v>
      </c>
      <c r="AH416" s="363"/>
      <c r="AI416" s="363"/>
      <c r="AJ416" s="363"/>
      <c r="AK416" s="363"/>
      <c r="AL416" s="363"/>
      <c r="AM416" s="363"/>
      <c r="AN416" s="363"/>
      <c r="AO416" s="363"/>
      <c r="AP416" s="363"/>
      <c r="AQ416" s="363"/>
      <c r="AR416" s="363"/>
      <c r="AS416" s="363"/>
      <c r="AT416" s="363"/>
      <c r="AU416" s="363"/>
      <c r="AV416" s="363"/>
      <c r="AW416" s="363"/>
      <c r="AX416" s="363"/>
      <c r="AY416" s="363"/>
      <c r="AZ416" s="363"/>
      <c r="BA416" s="363"/>
      <c r="BB416" s="363"/>
      <c r="BC416" s="363"/>
      <c r="BD416" s="364"/>
      <c r="BE416" s="541">
        <v>1.3880431652069092</v>
      </c>
      <c r="BF416" s="542"/>
      <c r="BG416" s="542"/>
      <c r="BH416" s="542"/>
      <c r="BI416" s="542"/>
      <c r="BJ416" s="542"/>
      <c r="BK416" s="542"/>
      <c r="BL416" s="542"/>
      <c r="BM416" s="543"/>
      <c r="BN416" s="871">
        <f t="shared" si="0"/>
        <v>1.7350539565086365</v>
      </c>
      <c r="BO416" s="872"/>
      <c r="BP416" s="872"/>
      <c r="BQ416" s="872"/>
      <c r="BR416" s="872"/>
      <c r="BS416" s="872"/>
      <c r="BT416" s="872"/>
      <c r="BU416" s="872"/>
      <c r="BV416" s="873"/>
      <c r="BW416" s="20"/>
      <c r="BX416" s="20"/>
      <c r="BY416" s="20"/>
      <c r="BZ416" s="20"/>
      <c r="CA416" s="20"/>
      <c r="CB416" s="20"/>
      <c r="CC416" s="17"/>
      <c r="CD416" s="17"/>
      <c r="CE416" s="18"/>
    </row>
    <row r="417" spans="1:83" s="9" customFormat="1" ht="12" customHeight="1" x14ac:dyDescent="0.15">
      <c r="A417" s="16"/>
      <c r="B417" s="8"/>
      <c r="C417" s="17"/>
      <c r="D417" s="17"/>
      <c r="E417" s="17"/>
      <c r="F417" s="813" t="s">
        <v>682</v>
      </c>
      <c r="G417" s="814"/>
      <c r="H417" s="815"/>
      <c r="I417" s="177"/>
      <c r="J417" s="20"/>
      <c r="K417" s="20"/>
      <c r="L417" s="20"/>
      <c r="M417" s="20"/>
      <c r="N417" s="20"/>
      <c r="O417" s="20"/>
      <c r="P417" s="20"/>
      <c r="Q417" s="20"/>
      <c r="R417" s="20"/>
      <c r="S417" s="20"/>
      <c r="T417" s="20"/>
      <c r="U417" s="20"/>
      <c r="V417" s="20"/>
      <c r="W417" s="357"/>
      <c r="X417" s="810" t="s">
        <v>509</v>
      </c>
      <c r="Y417" s="811"/>
      <c r="Z417" s="811"/>
      <c r="AA417" s="811"/>
      <c r="AB417" s="811"/>
      <c r="AC417" s="811"/>
      <c r="AD417" s="811"/>
      <c r="AE417" s="811"/>
      <c r="AF417" s="812"/>
      <c r="AG417" s="362" t="s">
        <v>676</v>
      </c>
      <c r="AH417" s="363"/>
      <c r="AI417" s="363"/>
      <c r="AJ417" s="363"/>
      <c r="AK417" s="363"/>
      <c r="AL417" s="363"/>
      <c r="AM417" s="363"/>
      <c r="AN417" s="363"/>
      <c r="AO417" s="363"/>
      <c r="AP417" s="363"/>
      <c r="AQ417" s="363"/>
      <c r="AR417" s="363"/>
      <c r="AS417" s="363"/>
      <c r="AT417" s="363"/>
      <c r="AU417" s="363"/>
      <c r="AV417" s="363"/>
      <c r="AW417" s="363"/>
      <c r="AX417" s="363"/>
      <c r="AY417" s="363"/>
      <c r="AZ417" s="363"/>
      <c r="BA417" s="363"/>
      <c r="BB417" s="363"/>
      <c r="BC417" s="363"/>
      <c r="BD417" s="364"/>
      <c r="BE417" s="541">
        <v>2.0954757928848267E-5</v>
      </c>
      <c r="BF417" s="542"/>
      <c r="BG417" s="542"/>
      <c r="BH417" s="542"/>
      <c r="BI417" s="542"/>
      <c r="BJ417" s="542"/>
      <c r="BK417" s="542"/>
      <c r="BL417" s="542"/>
      <c r="BM417" s="543"/>
      <c r="BN417" s="871">
        <f t="shared" si="0"/>
        <v>2.6193447411060333E-5</v>
      </c>
      <c r="BO417" s="872"/>
      <c r="BP417" s="872"/>
      <c r="BQ417" s="872"/>
      <c r="BR417" s="872"/>
      <c r="BS417" s="872"/>
      <c r="BT417" s="872"/>
      <c r="BU417" s="872"/>
      <c r="BV417" s="873"/>
      <c r="BW417" s="20"/>
      <c r="BX417" s="20"/>
      <c r="BY417" s="20"/>
      <c r="BZ417" s="20"/>
      <c r="CA417" s="20"/>
      <c r="CB417" s="20"/>
      <c r="CC417" s="17"/>
      <c r="CD417" s="17"/>
      <c r="CE417" s="18"/>
    </row>
    <row r="418" spans="1:83" s="9" customFormat="1" ht="12" customHeight="1" x14ac:dyDescent="0.15">
      <c r="A418" s="16"/>
      <c r="B418" s="8"/>
      <c r="C418" s="17"/>
      <c r="D418" s="17"/>
      <c r="E418" s="17"/>
      <c r="F418" s="813" t="s">
        <v>683</v>
      </c>
      <c r="G418" s="814"/>
      <c r="H418" s="815"/>
      <c r="I418" s="177"/>
      <c r="J418" s="20"/>
      <c r="K418" s="20"/>
      <c r="L418" s="20"/>
      <c r="M418" s="20"/>
      <c r="N418" s="20"/>
      <c r="O418" s="20"/>
      <c r="P418" s="20"/>
      <c r="Q418" s="20"/>
      <c r="R418" s="20"/>
      <c r="S418" s="20"/>
      <c r="T418" s="20"/>
      <c r="U418" s="20"/>
      <c r="V418" s="20"/>
      <c r="W418" s="357"/>
      <c r="X418" s="810" t="s">
        <v>494</v>
      </c>
      <c r="Y418" s="811"/>
      <c r="Z418" s="811"/>
      <c r="AA418" s="811"/>
      <c r="AB418" s="811"/>
      <c r="AC418" s="811"/>
      <c r="AD418" s="811"/>
      <c r="AE418" s="811"/>
      <c r="AF418" s="812"/>
      <c r="AG418" s="362" t="s">
        <v>677</v>
      </c>
      <c r="AH418" s="363"/>
      <c r="AI418" s="363"/>
      <c r="AJ418" s="363"/>
      <c r="AK418" s="363"/>
      <c r="AL418" s="363"/>
      <c r="AM418" s="363"/>
      <c r="AN418" s="363"/>
      <c r="AO418" s="363"/>
      <c r="AP418" s="363"/>
      <c r="AQ418" s="363"/>
      <c r="AR418" s="363"/>
      <c r="AS418" s="363"/>
      <c r="AT418" s="363"/>
      <c r="AU418" s="363"/>
      <c r="AV418" s="363"/>
      <c r="AW418" s="363"/>
      <c r="AX418" s="363"/>
      <c r="AY418" s="363"/>
      <c r="AZ418" s="363"/>
      <c r="BA418" s="363"/>
      <c r="BB418" s="363"/>
      <c r="BC418" s="363"/>
      <c r="BD418" s="364"/>
      <c r="BE418" s="541">
        <v>8.2316994667053223E-2</v>
      </c>
      <c r="BF418" s="542"/>
      <c r="BG418" s="542"/>
      <c r="BH418" s="542"/>
      <c r="BI418" s="542"/>
      <c r="BJ418" s="542"/>
      <c r="BK418" s="542"/>
      <c r="BL418" s="542"/>
      <c r="BM418" s="543"/>
      <c r="BN418" s="871">
        <f t="shared" si="0"/>
        <v>0.10289624333381653</v>
      </c>
      <c r="BO418" s="872"/>
      <c r="BP418" s="872"/>
      <c r="BQ418" s="872"/>
      <c r="BR418" s="872"/>
      <c r="BS418" s="872"/>
      <c r="BT418" s="872"/>
      <c r="BU418" s="872"/>
      <c r="BV418" s="873"/>
      <c r="BW418" s="20"/>
      <c r="BX418" s="20"/>
      <c r="BY418" s="20"/>
      <c r="BZ418" s="20"/>
      <c r="CA418" s="20"/>
      <c r="CB418" s="20"/>
      <c r="CC418" s="17"/>
      <c r="CD418" s="17"/>
      <c r="CE418" s="18"/>
    </row>
    <row r="419" spans="1:83" s="9" customFormat="1" ht="12" customHeight="1" x14ac:dyDescent="0.15">
      <c r="A419" s="16"/>
      <c r="B419" s="8"/>
      <c r="C419" s="17"/>
      <c r="D419" s="17"/>
      <c r="E419" s="17"/>
      <c r="F419" s="813" t="s">
        <v>684</v>
      </c>
      <c r="G419" s="814"/>
      <c r="H419" s="815"/>
      <c r="I419" s="177"/>
      <c r="J419" s="20"/>
      <c r="K419" s="20"/>
      <c r="L419" s="20"/>
      <c r="M419" s="20"/>
      <c r="N419" s="20"/>
      <c r="O419" s="20"/>
      <c r="P419" s="20"/>
      <c r="Q419" s="20"/>
      <c r="R419" s="20"/>
      <c r="S419" s="20"/>
      <c r="T419" s="20"/>
      <c r="U419" s="20"/>
      <c r="V419" s="20"/>
      <c r="W419" s="357"/>
      <c r="X419" s="810" t="s">
        <v>494</v>
      </c>
      <c r="Y419" s="811"/>
      <c r="Z419" s="811"/>
      <c r="AA419" s="811"/>
      <c r="AB419" s="811"/>
      <c r="AC419" s="811"/>
      <c r="AD419" s="811"/>
      <c r="AE419" s="811"/>
      <c r="AF419" s="812"/>
      <c r="AG419" s="362" t="s">
        <v>678</v>
      </c>
      <c r="AH419" s="363"/>
      <c r="AI419" s="363"/>
      <c r="AJ419" s="363"/>
      <c r="AK419" s="363"/>
      <c r="AL419" s="363"/>
      <c r="AM419" s="363"/>
      <c r="AN419" s="363"/>
      <c r="AO419" s="363"/>
      <c r="AP419" s="363"/>
      <c r="AQ419" s="363"/>
      <c r="AR419" s="363"/>
      <c r="AS419" s="363"/>
      <c r="AT419" s="363"/>
      <c r="AU419" s="363"/>
      <c r="AV419" s="363"/>
      <c r="AW419" s="363"/>
      <c r="AX419" s="363"/>
      <c r="AY419" s="363"/>
      <c r="AZ419" s="363"/>
      <c r="BA419" s="363"/>
      <c r="BB419" s="363"/>
      <c r="BC419" s="363"/>
      <c r="BD419" s="364"/>
      <c r="BE419" s="541">
        <v>1.3470053672790527</v>
      </c>
      <c r="BF419" s="542"/>
      <c r="BG419" s="542"/>
      <c r="BH419" s="542"/>
      <c r="BI419" s="542"/>
      <c r="BJ419" s="542"/>
      <c r="BK419" s="542"/>
      <c r="BL419" s="542"/>
      <c r="BM419" s="543"/>
      <c r="BN419" s="871">
        <f t="shared" si="0"/>
        <v>1.6837567090988159</v>
      </c>
      <c r="BO419" s="872"/>
      <c r="BP419" s="872"/>
      <c r="BQ419" s="872"/>
      <c r="BR419" s="872"/>
      <c r="BS419" s="872"/>
      <c r="BT419" s="872"/>
      <c r="BU419" s="872"/>
      <c r="BV419" s="873"/>
      <c r="BW419" s="20"/>
      <c r="BX419" s="20"/>
      <c r="BY419" s="20"/>
      <c r="BZ419" s="20"/>
      <c r="CA419" s="20"/>
      <c r="CB419" s="20"/>
      <c r="CC419" s="17"/>
      <c r="CD419" s="17"/>
      <c r="CE419" s="18"/>
    </row>
    <row r="420" spans="1:83" s="9" customFormat="1" ht="12" customHeight="1" x14ac:dyDescent="0.15">
      <c r="A420" s="16"/>
      <c r="B420" s="8"/>
      <c r="C420" s="17"/>
      <c r="D420" s="17"/>
      <c r="E420" s="17"/>
      <c r="F420" s="813" t="s">
        <v>174</v>
      </c>
      <c r="G420" s="814"/>
      <c r="H420" s="815"/>
      <c r="I420" s="177"/>
      <c r="J420" s="20"/>
      <c r="K420" s="20"/>
      <c r="L420" s="20"/>
      <c r="M420" s="20"/>
      <c r="N420" s="20"/>
      <c r="O420" s="20"/>
      <c r="P420" s="20"/>
      <c r="Q420" s="20"/>
      <c r="R420" s="20"/>
      <c r="S420" s="20"/>
      <c r="T420" s="20"/>
      <c r="U420" s="20"/>
      <c r="V420" s="20"/>
      <c r="W420" s="357"/>
      <c r="X420" s="810" t="s">
        <v>691</v>
      </c>
      <c r="Y420" s="811"/>
      <c r="Z420" s="811"/>
      <c r="AA420" s="811"/>
      <c r="AB420" s="811"/>
      <c r="AC420" s="811"/>
      <c r="AD420" s="811"/>
      <c r="AE420" s="811"/>
      <c r="AF420" s="812"/>
      <c r="AG420" s="363" t="s">
        <v>692</v>
      </c>
      <c r="AH420" s="363"/>
      <c r="AI420" s="363"/>
      <c r="AJ420" s="363"/>
      <c r="AK420" s="363"/>
      <c r="AL420" s="363"/>
      <c r="AM420" s="363"/>
      <c r="AN420" s="363"/>
      <c r="AO420" s="363"/>
      <c r="AP420" s="363"/>
      <c r="AQ420" s="363"/>
      <c r="AR420" s="363"/>
      <c r="AS420" s="363"/>
      <c r="AT420" s="363"/>
      <c r="AU420" s="363"/>
      <c r="AV420" s="363"/>
      <c r="AW420" s="363"/>
      <c r="AX420" s="363"/>
      <c r="AY420" s="363"/>
      <c r="AZ420" s="363"/>
      <c r="BA420" s="363"/>
      <c r="BB420" s="363"/>
      <c r="BC420" s="363"/>
      <c r="BD420" s="364"/>
      <c r="BE420" s="541">
        <v>0.05</v>
      </c>
      <c r="BF420" s="542"/>
      <c r="BG420" s="542"/>
      <c r="BH420" s="542"/>
      <c r="BI420" s="542"/>
      <c r="BJ420" s="542"/>
      <c r="BK420" s="542"/>
      <c r="BL420" s="542"/>
      <c r="BM420" s="543"/>
      <c r="BN420" s="871">
        <f>BE420*1.25</f>
        <v>6.25E-2</v>
      </c>
      <c r="BO420" s="872"/>
      <c r="BP420" s="872"/>
      <c r="BQ420" s="872"/>
      <c r="BR420" s="872"/>
      <c r="BS420" s="872"/>
      <c r="BT420" s="872"/>
      <c r="BU420" s="872"/>
      <c r="BV420" s="873"/>
      <c r="BW420" s="20"/>
      <c r="BX420" s="20"/>
      <c r="BY420" s="20"/>
      <c r="BZ420" s="20"/>
      <c r="CA420" s="20"/>
      <c r="CB420" s="20"/>
      <c r="CC420" s="17"/>
      <c r="CD420" s="17"/>
      <c r="CE420" s="18"/>
    </row>
    <row r="421" spans="1:83" s="9" customFormat="1" ht="12" customHeight="1" x14ac:dyDescent="0.15">
      <c r="A421" s="16"/>
      <c r="B421" s="8"/>
      <c r="C421" s="17"/>
      <c r="D421" s="17"/>
      <c r="E421" s="17"/>
      <c r="F421" s="813"/>
      <c r="G421" s="814"/>
      <c r="H421" s="815"/>
      <c r="I421" s="358"/>
      <c r="J421" s="156"/>
      <c r="K421" s="156"/>
      <c r="L421" s="156"/>
      <c r="M421" s="156"/>
      <c r="N421" s="156"/>
      <c r="O421" s="156"/>
      <c r="P421" s="156"/>
      <c r="Q421" s="156"/>
      <c r="R421" s="156"/>
      <c r="S421" s="156"/>
      <c r="T421" s="156"/>
      <c r="U421" s="156"/>
      <c r="V421" s="156"/>
      <c r="W421" s="359"/>
      <c r="X421" s="819" t="s">
        <v>462</v>
      </c>
      <c r="Y421" s="820"/>
      <c r="Z421" s="820"/>
      <c r="AA421" s="820"/>
      <c r="AB421" s="820"/>
      <c r="AC421" s="820"/>
      <c r="AD421" s="820"/>
      <c r="AE421" s="820"/>
      <c r="AF421" s="820"/>
      <c r="AG421" s="820"/>
      <c r="AH421" s="820"/>
      <c r="AI421" s="820"/>
      <c r="AJ421" s="820"/>
      <c r="AK421" s="820"/>
      <c r="AL421" s="820"/>
      <c r="AM421" s="820"/>
      <c r="AN421" s="820"/>
      <c r="AO421" s="820"/>
      <c r="AP421" s="820"/>
      <c r="AQ421" s="820"/>
      <c r="AR421" s="820"/>
      <c r="AS421" s="820"/>
      <c r="AT421" s="820"/>
      <c r="AU421" s="820"/>
      <c r="AV421" s="820"/>
      <c r="AW421" s="820"/>
      <c r="AX421" s="820"/>
      <c r="AY421" s="820"/>
      <c r="AZ421" s="820"/>
      <c r="BA421" s="820"/>
      <c r="BB421" s="820"/>
      <c r="BC421" s="820"/>
      <c r="BD421" s="821"/>
      <c r="BE421" s="856">
        <f>SUM(BE412:BM420)</f>
        <v>8.9553269010037191</v>
      </c>
      <c r="BF421" s="857"/>
      <c r="BG421" s="857"/>
      <c r="BH421" s="857"/>
      <c r="BI421" s="857"/>
      <c r="BJ421" s="857"/>
      <c r="BK421" s="857"/>
      <c r="BL421" s="857"/>
      <c r="BM421" s="858"/>
      <c r="BN421" s="859">
        <f>BE421*1.05</f>
        <v>9.4030932460539063</v>
      </c>
      <c r="BO421" s="860"/>
      <c r="BP421" s="860"/>
      <c r="BQ421" s="860"/>
      <c r="BR421" s="860"/>
      <c r="BS421" s="860"/>
      <c r="BT421" s="860"/>
      <c r="BU421" s="860"/>
      <c r="BV421" s="861"/>
      <c r="BW421" s="20"/>
      <c r="BX421" s="20"/>
      <c r="BY421" s="20"/>
      <c r="BZ421" s="20"/>
      <c r="CA421" s="20"/>
      <c r="CB421" s="20"/>
      <c r="CC421" s="17"/>
      <c r="CD421" s="17"/>
      <c r="CE421" s="18"/>
    </row>
    <row r="422" spans="1:83" s="9" customFormat="1" ht="12" customHeight="1" x14ac:dyDescent="0.15">
      <c r="A422" s="16"/>
      <c r="B422" s="8"/>
      <c r="C422" s="17"/>
      <c r="D422" s="17"/>
      <c r="E422" s="17"/>
      <c r="F422" s="813" t="s">
        <v>154</v>
      </c>
      <c r="G422" s="814"/>
      <c r="H422" s="815"/>
      <c r="I422" s="177" t="s">
        <v>695</v>
      </c>
      <c r="J422" s="20"/>
      <c r="K422" s="20"/>
      <c r="L422" s="20"/>
      <c r="M422" s="20"/>
      <c r="N422" s="20"/>
      <c r="O422" s="20"/>
      <c r="P422" s="20"/>
      <c r="Q422" s="20"/>
      <c r="R422" s="20"/>
      <c r="S422" s="20"/>
      <c r="T422" s="20"/>
      <c r="U422" s="20"/>
      <c r="V422" s="20"/>
      <c r="W422" s="357"/>
      <c r="X422" s="810" t="s">
        <v>696</v>
      </c>
      <c r="Y422" s="811"/>
      <c r="Z422" s="811"/>
      <c r="AA422" s="811"/>
      <c r="AB422" s="811"/>
      <c r="AC422" s="811"/>
      <c r="AD422" s="811"/>
      <c r="AE422" s="811"/>
      <c r="AF422" s="812"/>
      <c r="AG422" s="363" t="s">
        <v>697</v>
      </c>
      <c r="AH422" s="363"/>
      <c r="AI422" s="363"/>
      <c r="AJ422" s="363"/>
      <c r="AK422" s="363"/>
      <c r="AL422" s="363"/>
      <c r="AM422" s="363"/>
      <c r="AN422" s="363"/>
      <c r="AO422" s="363"/>
      <c r="AP422" s="363"/>
      <c r="AQ422" s="363"/>
      <c r="AR422" s="363"/>
      <c r="AS422" s="363"/>
      <c r="AT422" s="363"/>
      <c r="AU422" s="363"/>
      <c r="AV422" s="363"/>
      <c r="AW422" s="363"/>
      <c r="AX422" s="363"/>
      <c r="AY422" s="363"/>
      <c r="AZ422" s="363"/>
      <c r="BA422" s="363"/>
      <c r="BB422" s="363"/>
      <c r="BC422" s="363"/>
      <c r="BD422" s="364"/>
      <c r="BE422" s="541">
        <v>3.9963573217391901</v>
      </c>
      <c r="BF422" s="542"/>
      <c r="BG422" s="542"/>
      <c r="BH422" s="542"/>
      <c r="BI422" s="542"/>
      <c r="BJ422" s="542"/>
      <c r="BK422" s="542"/>
      <c r="BL422" s="542"/>
      <c r="BM422" s="543"/>
      <c r="BN422" s="871">
        <f>BE422*1.25</f>
        <v>4.995446652173988</v>
      </c>
      <c r="BO422" s="872"/>
      <c r="BP422" s="872"/>
      <c r="BQ422" s="872"/>
      <c r="BR422" s="872"/>
      <c r="BS422" s="872"/>
      <c r="BT422" s="872"/>
      <c r="BU422" s="872"/>
      <c r="BV422" s="873"/>
      <c r="BW422" s="20"/>
      <c r="BX422" s="20"/>
      <c r="BY422" s="20"/>
      <c r="BZ422" s="20"/>
      <c r="CA422" s="20"/>
      <c r="CB422" s="20"/>
      <c r="CC422" s="17"/>
      <c r="CD422" s="17"/>
      <c r="CE422" s="18"/>
    </row>
    <row r="423" spans="1:83" s="9" customFormat="1" ht="12" customHeight="1" x14ac:dyDescent="0.15">
      <c r="A423" s="16"/>
      <c r="B423" s="8"/>
      <c r="C423" s="17"/>
      <c r="D423" s="17"/>
      <c r="E423" s="17"/>
      <c r="F423" s="813"/>
      <c r="G423" s="814"/>
      <c r="H423" s="815"/>
      <c r="I423" s="358"/>
      <c r="J423" s="156"/>
      <c r="K423" s="156"/>
      <c r="L423" s="156"/>
      <c r="M423" s="156"/>
      <c r="N423" s="156"/>
      <c r="O423" s="156"/>
      <c r="P423" s="156"/>
      <c r="Q423" s="156"/>
      <c r="R423" s="156"/>
      <c r="S423" s="156"/>
      <c r="T423" s="156"/>
      <c r="U423" s="156"/>
      <c r="V423" s="156"/>
      <c r="W423" s="359"/>
      <c r="X423" s="819" t="s">
        <v>462</v>
      </c>
      <c r="Y423" s="820"/>
      <c r="Z423" s="820"/>
      <c r="AA423" s="820"/>
      <c r="AB423" s="820"/>
      <c r="AC423" s="820"/>
      <c r="AD423" s="820"/>
      <c r="AE423" s="820"/>
      <c r="AF423" s="820"/>
      <c r="AG423" s="820"/>
      <c r="AH423" s="820"/>
      <c r="AI423" s="820"/>
      <c r="AJ423" s="820"/>
      <c r="AK423" s="820"/>
      <c r="AL423" s="820"/>
      <c r="AM423" s="820"/>
      <c r="AN423" s="820"/>
      <c r="AO423" s="820"/>
      <c r="AP423" s="820"/>
      <c r="AQ423" s="820"/>
      <c r="AR423" s="820"/>
      <c r="AS423" s="820"/>
      <c r="AT423" s="820"/>
      <c r="AU423" s="820"/>
      <c r="AV423" s="820"/>
      <c r="AW423" s="820"/>
      <c r="AX423" s="820"/>
      <c r="AY423" s="820"/>
      <c r="AZ423" s="820"/>
      <c r="BA423" s="820"/>
      <c r="BB423" s="820"/>
      <c r="BC423" s="820"/>
      <c r="BD423" s="821"/>
      <c r="BE423" s="856">
        <f>BE422</f>
        <v>3.9963573217391901</v>
      </c>
      <c r="BF423" s="857"/>
      <c r="BG423" s="857"/>
      <c r="BH423" s="857"/>
      <c r="BI423" s="857"/>
      <c r="BJ423" s="857"/>
      <c r="BK423" s="857"/>
      <c r="BL423" s="857"/>
      <c r="BM423" s="858"/>
      <c r="BN423" s="859">
        <f>BE423*1.05</f>
        <v>4.1961751878261495</v>
      </c>
      <c r="BO423" s="860"/>
      <c r="BP423" s="860"/>
      <c r="BQ423" s="860"/>
      <c r="BR423" s="860"/>
      <c r="BS423" s="860"/>
      <c r="BT423" s="860"/>
      <c r="BU423" s="860"/>
      <c r="BV423" s="861"/>
      <c r="BW423" s="20"/>
      <c r="BX423" s="20"/>
      <c r="BY423" s="20"/>
      <c r="BZ423" s="20"/>
      <c r="CA423" s="20"/>
      <c r="CB423" s="20"/>
      <c r="CC423" s="17"/>
      <c r="CD423" s="17"/>
      <c r="CE423" s="18"/>
    </row>
    <row r="424" spans="1:83" s="9" customFormat="1" ht="12" customHeight="1" x14ac:dyDescent="0.15">
      <c r="A424" s="16"/>
      <c r="B424" s="8"/>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17"/>
      <c r="CD424" s="17"/>
      <c r="CE424" s="18"/>
    </row>
    <row r="425" spans="1:83" s="9" customFormat="1" ht="12" customHeight="1" x14ac:dyDescent="0.15">
      <c r="A425" s="16"/>
      <c r="B425" s="8"/>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20"/>
      <c r="BA425" s="20"/>
      <c r="BB425" s="20"/>
      <c r="BC425" s="20"/>
      <c r="BD425" s="20"/>
      <c r="BE425" s="20"/>
      <c r="BF425" s="20"/>
      <c r="BG425" s="20"/>
      <c r="BH425" s="20"/>
      <c r="BI425" s="365"/>
      <c r="BJ425" s="20"/>
      <c r="BK425" s="20"/>
      <c r="BL425" s="20"/>
      <c r="BM425" s="20"/>
      <c r="BN425" s="20"/>
      <c r="BO425" s="20"/>
      <c r="BP425" s="20"/>
      <c r="BQ425" s="20"/>
      <c r="BR425" s="20"/>
      <c r="BS425" s="20"/>
      <c r="BT425" s="20"/>
      <c r="BU425" s="20"/>
      <c r="BV425" s="20"/>
      <c r="BW425" s="20"/>
      <c r="BX425" s="20"/>
      <c r="BY425" s="20"/>
      <c r="BZ425" s="20"/>
      <c r="CA425" s="20"/>
      <c r="CB425" s="20"/>
      <c r="CC425" s="17"/>
      <c r="CD425" s="17"/>
      <c r="CE425" s="18"/>
    </row>
    <row r="426" spans="1:83" s="9" customFormat="1" ht="12" customHeight="1" x14ac:dyDescent="0.15">
      <c r="A426" s="16"/>
      <c r="B426" s="8"/>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17"/>
      <c r="CD426" s="17"/>
      <c r="CE426" s="18"/>
    </row>
    <row r="427" spans="1:83" s="9" customFormat="1" ht="12" customHeight="1" x14ac:dyDescent="0.15">
      <c r="A427" s="16"/>
      <c r="B427" s="8"/>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17"/>
      <c r="CD427" s="17"/>
      <c r="CE427" s="18"/>
    </row>
    <row r="428" spans="1:83" s="9" customFormat="1" ht="12" customHeight="1" x14ac:dyDescent="0.15">
      <c r="A428" s="16"/>
      <c r="B428" s="8"/>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17"/>
      <c r="CD428" s="17"/>
      <c r="CE428" s="18"/>
    </row>
    <row r="429" spans="1:83" s="9" customFormat="1" ht="12" customHeight="1" x14ac:dyDescent="0.15">
      <c r="A429" s="16"/>
      <c r="B429" s="8"/>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17"/>
      <c r="CD429" s="17"/>
      <c r="CE429" s="18"/>
    </row>
    <row r="430" spans="1:83" s="9" customFormat="1" ht="12" customHeight="1" x14ac:dyDescent="0.15">
      <c r="A430" s="16"/>
      <c r="B430" s="8"/>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17"/>
      <c r="CD430" s="17"/>
      <c r="CE430" s="18"/>
    </row>
    <row r="431" spans="1:83" s="9" customFormat="1" ht="12" customHeight="1" x14ac:dyDescent="0.15">
      <c r="A431" s="16"/>
      <c r="B431" s="8"/>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c r="BW431" s="20"/>
      <c r="BX431" s="20"/>
      <c r="BY431" s="20"/>
      <c r="BZ431" s="20"/>
      <c r="CA431" s="20"/>
      <c r="CB431" s="20"/>
      <c r="CC431" s="17"/>
      <c r="CD431" s="17"/>
      <c r="CE431" s="18"/>
    </row>
    <row r="432" spans="1:83" s="9" customFormat="1" ht="12" customHeight="1" x14ac:dyDescent="0.15">
      <c r="A432" s="16"/>
      <c r="B432" s="8"/>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17"/>
      <c r="CD432" s="17"/>
      <c r="CE432" s="18"/>
    </row>
    <row r="433" spans="1:83" s="9" customFormat="1" ht="12" customHeight="1" x14ac:dyDescent="0.15">
      <c r="A433" s="16"/>
      <c r="B433" s="8"/>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17"/>
      <c r="CD433" s="17"/>
      <c r="CE433" s="18"/>
    </row>
    <row r="434" spans="1:83" s="9" customFormat="1" ht="12" customHeight="1" x14ac:dyDescent="0.15">
      <c r="A434" s="16"/>
      <c r="B434" s="8"/>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17"/>
      <c r="CD434" s="17"/>
      <c r="CE434" s="18"/>
    </row>
    <row r="435" spans="1:83" s="9" customFormat="1" ht="12" customHeight="1" thickBot="1" x14ac:dyDescent="0.2">
      <c r="A435" s="25"/>
      <c r="B435" s="30"/>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7"/>
      <c r="BA435" s="27"/>
      <c r="BB435" s="27"/>
      <c r="BC435" s="27"/>
      <c r="BD435" s="27"/>
      <c r="BE435" s="27"/>
      <c r="BF435" s="27"/>
      <c r="BG435" s="27"/>
      <c r="BH435" s="27"/>
      <c r="BI435" s="27"/>
      <c r="BJ435" s="27"/>
      <c r="BK435" s="27"/>
      <c r="BL435" s="27"/>
      <c r="BM435" s="27"/>
      <c r="BN435" s="27"/>
      <c r="BO435" s="27"/>
      <c r="BP435" s="27"/>
      <c r="BQ435" s="27"/>
      <c r="BR435" s="27"/>
      <c r="BS435" s="27"/>
      <c r="BT435" s="27"/>
      <c r="BU435" s="27"/>
      <c r="BV435" s="27"/>
      <c r="BW435" s="27"/>
      <c r="BX435" s="27"/>
      <c r="BY435" s="27"/>
      <c r="BZ435" s="27"/>
      <c r="CA435" s="27"/>
      <c r="CB435" s="27"/>
      <c r="CC435" s="26"/>
      <c r="CD435" s="26"/>
      <c r="CE435" s="28"/>
    </row>
    <row r="436" spans="1:83" s="9" customFormat="1" ht="12" customHeight="1" x14ac:dyDescent="0.15">
      <c r="A436" s="13"/>
      <c r="B436" s="14"/>
      <c r="C436" s="159"/>
      <c r="D436" s="159"/>
      <c r="E436" s="159"/>
      <c r="F436" s="159"/>
      <c r="G436" s="159"/>
      <c r="H436" s="159"/>
      <c r="I436" s="159"/>
      <c r="J436" s="159"/>
      <c r="K436" s="159"/>
      <c r="L436" s="159"/>
      <c r="M436" s="159"/>
      <c r="N436" s="159"/>
      <c r="O436" s="159"/>
      <c r="P436" s="160"/>
      <c r="Q436" s="160"/>
      <c r="R436" s="160"/>
      <c r="S436" s="160"/>
      <c r="T436" s="160"/>
      <c r="U436" s="160"/>
      <c r="V436" s="160"/>
      <c r="W436" s="160"/>
      <c r="X436" s="160"/>
      <c r="Y436" s="160"/>
      <c r="Z436" s="160"/>
      <c r="AA436" s="160"/>
      <c r="AB436" s="160"/>
      <c r="AC436" s="160"/>
      <c r="AD436" s="160"/>
      <c r="AE436" s="160"/>
      <c r="AF436" s="160"/>
      <c r="AG436" s="160"/>
      <c r="AH436" s="160"/>
      <c r="AI436" s="160"/>
      <c r="AJ436" s="160"/>
      <c r="AK436" s="160"/>
      <c r="AL436" s="160"/>
      <c r="AM436" s="160"/>
      <c r="AN436" s="160"/>
      <c r="AO436" s="160"/>
      <c r="AP436" s="160"/>
      <c r="AQ436" s="160"/>
      <c r="AR436" s="160"/>
      <c r="AS436" s="160"/>
      <c r="AT436" s="160"/>
      <c r="AU436" s="160"/>
      <c r="AV436" s="160"/>
      <c r="AW436" s="160"/>
      <c r="AX436" s="160"/>
      <c r="AY436" s="160"/>
      <c r="AZ436" s="160"/>
      <c r="BA436" s="160"/>
      <c r="BB436" s="160"/>
      <c r="BC436" s="160"/>
      <c r="BD436" s="160"/>
      <c r="BE436" s="160"/>
      <c r="BF436" s="160"/>
      <c r="BG436" s="160"/>
      <c r="BH436" s="160"/>
      <c r="BI436" s="160"/>
      <c r="BJ436" s="160"/>
      <c r="BK436" s="160"/>
      <c r="BL436" s="160"/>
      <c r="BM436" s="160"/>
      <c r="BN436" s="160"/>
      <c r="BO436" s="160"/>
      <c r="BP436" s="160"/>
      <c r="BQ436" s="160"/>
      <c r="BR436" s="160"/>
      <c r="BS436" s="160"/>
      <c r="BT436" s="160"/>
      <c r="BU436" s="160"/>
      <c r="BV436" s="160"/>
      <c r="BW436" s="160"/>
      <c r="BX436" s="160"/>
      <c r="BY436" s="160"/>
      <c r="BZ436" s="160"/>
      <c r="CA436" s="160"/>
      <c r="CB436" s="160"/>
      <c r="CC436" s="160"/>
      <c r="CD436" s="160"/>
      <c r="CE436" s="15"/>
    </row>
    <row r="437" spans="1:83" s="9" customFormat="1" ht="12.75" customHeight="1" x14ac:dyDescent="0.15">
      <c r="A437" s="16"/>
      <c r="B437" s="8"/>
      <c r="C437" s="29"/>
      <c r="D437" s="21" t="s">
        <v>227</v>
      </c>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8"/>
    </row>
    <row r="438" spans="1:83" s="385" customFormat="1" ht="12.75" customHeight="1" x14ac:dyDescent="0.15">
      <c r="A438" s="381"/>
      <c r="B438" s="382"/>
      <c r="C438" s="383"/>
      <c r="D438" s="604" t="s">
        <v>877</v>
      </c>
      <c r="E438" s="605"/>
      <c r="F438" s="605"/>
      <c r="G438" s="605"/>
      <c r="H438" s="605"/>
      <c r="I438" s="605"/>
      <c r="J438" s="605"/>
      <c r="K438" s="605"/>
      <c r="L438" s="605"/>
      <c r="M438" s="605"/>
      <c r="N438" s="605"/>
      <c r="O438" s="605"/>
      <c r="P438" s="605"/>
      <c r="Q438" s="605"/>
      <c r="R438" s="605"/>
      <c r="S438" s="605"/>
      <c r="T438" s="605"/>
      <c r="U438" s="605"/>
      <c r="V438" s="605"/>
      <c r="W438" s="605"/>
      <c r="X438" s="605"/>
      <c r="Y438" s="605"/>
      <c r="Z438" s="605"/>
      <c r="AA438" s="605"/>
      <c r="AB438" s="605"/>
      <c r="AC438" s="605"/>
      <c r="AD438" s="605"/>
      <c r="AE438" s="605"/>
      <c r="AF438" s="605"/>
      <c r="AG438" s="605"/>
      <c r="AH438" s="605"/>
      <c r="AI438" s="605"/>
      <c r="AJ438" s="605"/>
      <c r="AK438" s="605"/>
      <c r="AL438" s="605"/>
      <c r="AM438" s="605"/>
      <c r="AN438" s="605"/>
      <c r="AO438" s="605"/>
      <c r="AP438" s="605"/>
      <c r="AQ438" s="605"/>
      <c r="AR438" s="605"/>
      <c r="AS438" s="605"/>
      <c r="AT438" s="605"/>
      <c r="AU438" s="605"/>
      <c r="AV438" s="605"/>
      <c r="AW438" s="605"/>
      <c r="AX438" s="605"/>
      <c r="AY438" s="605"/>
      <c r="AZ438" s="605"/>
      <c r="BA438" s="605"/>
      <c r="BB438" s="605"/>
      <c r="BC438" s="605"/>
      <c r="BD438" s="605"/>
      <c r="BE438" s="605"/>
      <c r="BF438" s="605"/>
      <c r="BG438" s="605"/>
      <c r="BH438" s="605"/>
      <c r="BI438" s="605"/>
      <c r="BJ438" s="605"/>
      <c r="BK438" s="605"/>
      <c r="BL438" s="605"/>
      <c r="BM438" s="605"/>
      <c r="BN438" s="605"/>
      <c r="BO438" s="605"/>
      <c r="BP438" s="605"/>
      <c r="BQ438" s="605"/>
      <c r="BR438" s="605"/>
      <c r="BS438" s="605"/>
      <c r="BT438" s="605"/>
      <c r="BU438" s="605"/>
      <c r="BV438" s="605"/>
      <c r="BW438" s="605"/>
      <c r="BX438" s="605"/>
      <c r="BY438" s="605"/>
      <c r="BZ438" s="605"/>
      <c r="CA438" s="605"/>
      <c r="CB438" s="605"/>
      <c r="CC438" s="605"/>
      <c r="CD438" s="606"/>
      <c r="CE438" s="384"/>
    </row>
    <row r="439" spans="1:83" s="385" customFormat="1" ht="12.75" customHeight="1" x14ac:dyDescent="0.15">
      <c r="A439" s="381"/>
      <c r="B439" s="382"/>
      <c r="C439" s="383"/>
      <c r="D439" s="607"/>
      <c r="E439" s="608"/>
      <c r="F439" s="608"/>
      <c r="G439" s="608"/>
      <c r="H439" s="608"/>
      <c r="I439" s="608"/>
      <c r="J439" s="608"/>
      <c r="K439" s="608"/>
      <c r="L439" s="608"/>
      <c r="M439" s="608"/>
      <c r="N439" s="608"/>
      <c r="O439" s="608"/>
      <c r="P439" s="608"/>
      <c r="Q439" s="608"/>
      <c r="R439" s="608"/>
      <c r="S439" s="608"/>
      <c r="T439" s="608"/>
      <c r="U439" s="608"/>
      <c r="V439" s="608"/>
      <c r="W439" s="608"/>
      <c r="X439" s="608"/>
      <c r="Y439" s="608"/>
      <c r="Z439" s="608"/>
      <c r="AA439" s="608"/>
      <c r="AB439" s="608"/>
      <c r="AC439" s="608"/>
      <c r="AD439" s="608"/>
      <c r="AE439" s="608"/>
      <c r="AF439" s="608"/>
      <c r="AG439" s="608"/>
      <c r="AH439" s="608"/>
      <c r="AI439" s="608"/>
      <c r="AJ439" s="608"/>
      <c r="AK439" s="608"/>
      <c r="AL439" s="608"/>
      <c r="AM439" s="608"/>
      <c r="AN439" s="608"/>
      <c r="AO439" s="608"/>
      <c r="AP439" s="608"/>
      <c r="AQ439" s="608"/>
      <c r="AR439" s="608"/>
      <c r="AS439" s="608"/>
      <c r="AT439" s="608"/>
      <c r="AU439" s="608"/>
      <c r="AV439" s="608"/>
      <c r="AW439" s="608"/>
      <c r="AX439" s="608"/>
      <c r="AY439" s="608"/>
      <c r="AZ439" s="608"/>
      <c r="BA439" s="608"/>
      <c r="BB439" s="608"/>
      <c r="BC439" s="608"/>
      <c r="BD439" s="608"/>
      <c r="BE439" s="608"/>
      <c r="BF439" s="608"/>
      <c r="BG439" s="608"/>
      <c r="BH439" s="608"/>
      <c r="BI439" s="608"/>
      <c r="BJ439" s="608"/>
      <c r="BK439" s="608"/>
      <c r="BL439" s="608"/>
      <c r="BM439" s="608"/>
      <c r="BN439" s="608"/>
      <c r="BO439" s="608"/>
      <c r="BP439" s="608"/>
      <c r="BQ439" s="608"/>
      <c r="BR439" s="608"/>
      <c r="BS439" s="608"/>
      <c r="BT439" s="608"/>
      <c r="BU439" s="608"/>
      <c r="BV439" s="608"/>
      <c r="BW439" s="608"/>
      <c r="BX439" s="608"/>
      <c r="BY439" s="608"/>
      <c r="BZ439" s="608"/>
      <c r="CA439" s="608"/>
      <c r="CB439" s="608"/>
      <c r="CC439" s="608"/>
      <c r="CD439" s="609"/>
      <c r="CE439" s="384"/>
    </row>
    <row r="440" spans="1:83" s="9" customFormat="1" ht="12.75" customHeight="1" x14ac:dyDescent="0.15">
      <c r="A440" s="16"/>
      <c r="B440" s="8"/>
      <c r="C440" s="29"/>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8"/>
    </row>
    <row r="441" spans="1:83" s="9" customFormat="1" ht="12" customHeight="1" x14ac:dyDescent="0.15">
      <c r="A441" s="16"/>
      <c r="B441" s="8"/>
      <c r="C441" s="22"/>
      <c r="D441" s="254" t="s">
        <v>228</v>
      </c>
      <c r="E441" s="255"/>
      <c r="F441" s="250"/>
      <c r="G441" s="250"/>
      <c r="H441" s="250"/>
      <c r="I441" s="250"/>
      <c r="J441" s="250"/>
      <c r="K441" s="250"/>
      <c r="L441" s="250"/>
      <c r="M441" s="250"/>
      <c r="N441" s="250"/>
      <c r="O441" s="249"/>
      <c r="P441" s="248" t="s">
        <v>345</v>
      </c>
      <c r="Q441" s="250"/>
      <c r="R441" s="250"/>
      <c r="S441" s="250"/>
      <c r="T441" s="250"/>
      <c r="U441" s="250"/>
      <c r="V441" s="250"/>
      <c r="W441" s="250"/>
      <c r="X441" s="250"/>
      <c r="Y441" s="250"/>
      <c r="Z441" s="250"/>
      <c r="AA441" s="250"/>
      <c r="AB441" s="250"/>
      <c r="AC441" s="250"/>
      <c r="AD441" s="250"/>
      <c r="AE441" s="250"/>
      <c r="AF441" s="250"/>
      <c r="AG441" s="250"/>
      <c r="AH441" s="250"/>
      <c r="AI441" s="250"/>
      <c r="AJ441" s="250"/>
      <c r="AK441" s="250"/>
      <c r="AL441" s="250"/>
      <c r="AM441" s="250"/>
      <c r="AN441" s="250"/>
      <c r="AO441" s="250"/>
      <c r="AP441" s="250"/>
      <c r="AQ441" s="250"/>
      <c r="AR441" s="250"/>
      <c r="AS441" s="250"/>
      <c r="AT441" s="250"/>
      <c r="AU441" s="250"/>
      <c r="AV441" s="250"/>
      <c r="AW441" s="250"/>
      <c r="AX441" s="250"/>
      <c r="AY441" s="250"/>
      <c r="AZ441" s="250"/>
      <c r="BA441" s="250"/>
      <c r="BB441" s="250"/>
      <c r="BC441" s="250"/>
      <c r="BD441" s="250"/>
      <c r="BE441" s="250"/>
      <c r="BF441" s="250"/>
      <c r="BG441" s="250"/>
      <c r="BH441" s="250"/>
      <c r="BI441" s="250"/>
      <c r="BJ441" s="250"/>
      <c r="BK441" s="250"/>
      <c r="BL441" s="250"/>
      <c r="BM441" s="250"/>
      <c r="BN441" s="250"/>
      <c r="BO441" s="250"/>
      <c r="BP441" s="250"/>
      <c r="BQ441" s="250"/>
      <c r="BR441" s="250"/>
      <c r="BS441" s="250"/>
      <c r="BT441" s="250"/>
      <c r="BU441" s="250"/>
      <c r="BV441" s="250"/>
      <c r="BW441" s="256"/>
      <c r="BX441" s="256"/>
      <c r="BY441" s="256"/>
      <c r="BZ441" s="256"/>
      <c r="CA441" s="256"/>
      <c r="CB441" s="256"/>
      <c r="CC441" s="256"/>
      <c r="CD441" s="253"/>
      <c r="CE441" s="18"/>
    </row>
    <row r="442" spans="1:83" s="9" customFormat="1" ht="12" customHeight="1" x14ac:dyDescent="0.15">
      <c r="A442" s="16"/>
      <c r="B442" s="8"/>
      <c r="C442" s="22"/>
      <c r="D442" s="257" t="s">
        <v>229</v>
      </c>
      <c r="E442" s="66"/>
      <c r="F442" s="42"/>
      <c r="G442" s="42"/>
      <c r="H442" s="42"/>
      <c r="I442" s="42"/>
      <c r="J442" s="42"/>
      <c r="K442" s="42"/>
      <c r="L442" s="42"/>
      <c r="M442" s="42"/>
      <c r="N442" s="42"/>
      <c r="O442" s="43"/>
      <c r="P442" s="258" t="s">
        <v>230</v>
      </c>
      <c r="Q442" s="259"/>
      <c r="R442" s="259"/>
      <c r="S442" s="259"/>
      <c r="T442" s="259"/>
      <c r="U442" s="259"/>
      <c r="V442" s="259"/>
      <c r="W442" s="259"/>
      <c r="X442" s="259"/>
      <c r="Y442" s="259"/>
      <c r="Z442" s="259"/>
      <c r="AA442" s="259"/>
      <c r="AB442" s="259"/>
      <c r="AC442" s="259"/>
      <c r="AD442" s="259"/>
      <c r="AE442" s="259"/>
      <c r="AF442" s="259"/>
      <c r="AG442" s="259"/>
      <c r="AH442" s="259"/>
      <c r="AI442" s="259"/>
      <c r="AJ442" s="259"/>
      <c r="AK442" s="259"/>
      <c r="AL442" s="259"/>
      <c r="AM442" s="259"/>
      <c r="AN442" s="259"/>
      <c r="AO442" s="259"/>
      <c r="AP442" s="259"/>
      <c r="AQ442" s="259"/>
      <c r="AR442" s="259"/>
      <c r="AS442" s="259"/>
      <c r="AT442" s="259"/>
      <c r="AU442" s="259"/>
      <c r="AV442" s="259"/>
      <c r="AW442" s="259"/>
      <c r="AX442" s="259"/>
      <c r="AY442" s="259"/>
      <c r="AZ442" s="259"/>
      <c r="BA442" s="259"/>
      <c r="BB442" s="259"/>
      <c r="BC442" s="259"/>
      <c r="BD442" s="259"/>
      <c r="BE442" s="259"/>
      <c r="BF442" s="259"/>
      <c r="BG442" s="259"/>
      <c r="BH442" s="259"/>
      <c r="BI442" s="259"/>
      <c r="BJ442" s="259"/>
      <c r="BK442" s="259"/>
      <c r="BL442" s="259"/>
      <c r="BM442" s="259"/>
      <c r="BN442" s="259"/>
      <c r="BO442" s="259"/>
      <c r="BP442" s="259"/>
      <c r="BQ442" s="259"/>
      <c r="BR442" s="259"/>
      <c r="BS442" s="259"/>
      <c r="BT442" s="259"/>
      <c r="BU442" s="259"/>
      <c r="BV442" s="259"/>
      <c r="BW442" s="259"/>
      <c r="BX442" s="259"/>
      <c r="BY442" s="259"/>
      <c r="BZ442" s="259"/>
      <c r="CA442" s="259"/>
      <c r="CB442" s="259"/>
      <c r="CC442" s="259"/>
      <c r="CD442" s="260"/>
      <c r="CE442" s="18"/>
    </row>
    <row r="443" spans="1:83" s="9" customFormat="1" ht="12" customHeight="1" x14ac:dyDescent="0.15">
      <c r="A443" s="16"/>
      <c r="B443" s="8"/>
      <c r="C443" s="17"/>
      <c r="D443" s="44"/>
      <c r="E443" s="17"/>
      <c r="F443" s="17"/>
      <c r="G443" s="17"/>
      <c r="H443" s="17"/>
      <c r="I443" s="17"/>
      <c r="J443" s="17"/>
      <c r="K443" s="17"/>
      <c r="L443" s="17"/>
      <c r="M443" s="17"/>
      <c r="N443" s="17"/>
      <c r="O443" s="45"/>
      <c r="P443" s="177"/>
      <c r="Q443" s="261"/>
      <c r="R443" s="261"/>
      <c r="S443" s="261"/>
      <c r="T443" s="261"/>
      <c r="U443" s="261"/>
      <c r="V443" s="261"/>
      <c r="W443" s="261"/>
      <c r="X443" s="261"/>
      <c r="Y443" s="261"/>
      <c r="Z443" s="261"/>
      <c r="AA443" s="261"/>
      <c r="AB443" s="261"/>
      <c r="AC443" s="261"/>
      <c r="AD443" s="261"/>
      <c r="AE443" s="261"/>
      <c r="AF443" s="261"/>
      <c r="AG443" s="261"/>
      <c r="AH443" s="261"/>
      <c r="AI443" s="261"/>
      <c r="AJ443" s="261"/>
      <c r="AK443" s="261"/>
      <c r="AL443" s="261"/>
      <c r="AM443" s="261"/>
      <c r="AN443" s="261"/>
      <c r="AO443" s="261"/>
      <c r="AP443" s="261"/>
      <c r="AQ443" s="261"/>
      <c r="AR443" s="261"/>
      <c r="AS443" s="261"/>
      <c r="AT443" s="261"/>
      <c r="AU443" s="261"/>
      <c r="AV443" s="261"/>
      <c r="AW443" s="261"/>
      <c r="AX443" s="261"/>
      <c r="AY443" s="261"/>
      <c r="AZ443" s="261"/>
      <c r="BA443" s="261"/>
      <c r="BB443" s="261"/>
      <c r="BC443" s="261"/>
      <c r="BD443" s="261"/>
      <c r="BE443" s="261"/>
      <c r="BF443" s="261"/>
      <c r="BG443" s="261"/>
      <c r="BH443" s="261"/>
      <c r="BI443" s="261"/>
      <c r="BJ443" s="261"/>
      <c r="BK443" s="261"/>
      <c r="BL443" s="261"/>
      <c r="BM443" s="261"/>
      <c r="BN443" s="261"/>
      <c r="BO443" s="261"/>
      <c r="BP443" s="261"/>
      <c r="BQ443" s="261"/>
      <c r="BR443" s="261"/>
      <c r="BS443" s="261"/>
      <c r="BT443" s="261"/>
      <c r="BU443" s="261"/>
      <c r="BV443" s="261"/>
      <c r="BW443" s="261"/>
      <c r="BX443" s="261"/>
      <c r="BY443" s="261"/>
      <c r="BZ443" s="261"/>
      <c r="CA443" s="261"/>
      <c r="CB443" s="261"/>
      <c r="CC443" s="261"/>
      <c r="CD443" s="262"/>
      <c r="CE443" s="18"/>
    </row>
    <row r="444" spans="1:83" s="9" customFormat="1" ht="12" customHeight="1" x14ac:dyDescent="0.15">
      <c r="A444" s="16"/>
      <c r="B444" s="8"/>
      <c r="C444" s="17"/>
      <c r="D444" s="44"/>
      <c r="E444" s="17"/>
      <c r="F444" s="17"/>
      <c r="G444" s="17"/>
      <c r="H444" s="17"/>
      <c r="I444" s="17"/>
      <c r="J444" s="17"/>
      <c r="K444" s="17"/>
      <c r="L444" s="17"/>
      <c r="M444" s="17"/>
      <c r="N444" s="17"/>
      <c r="O444" s="45"/>
      <c r="P444" s="263"/>
      <c r="Q444" s="261"/>
      <c r="R444" s="261"/>
      <c r="S444" s="261"/>
      <c r="T444" s="261"/>
      <c r="U444" s="261"/>
      <c r="V444" s="261"/>
      <c r="W444" s="261"/>
      <c r="X444" s="261"/>
      <c r="Y444" s="261"/>
      <c r="Z444" s="261"/>
      <c r="AA444" s="261"/>
      <c r="AB444" s="261"/>
      <c r="AC444" s="261"/>
      <c r="AD444" s="261"/>
      <c r="AE444" s="261"/>
      <c r="AF444" s="261"/>
      <c r="AG444" s="261"/>
      <c r="AH444" s="261"/>
      <c r="AI444" s="261"/>
      <c r="AJ444" s="261"/>
      <c r="AK444" s="261"/>
      <c r="AL444" s="261"/>
      <c r="AM444" s="261"/>
      <c r="AN444" s="261"/>
      <c r="AO444" s="261"/>
      <c r="AP444" s="261"/>
      <c r="AQ444" s="261"/>
      <c r="AR444" s="261"/>
      <c r="AS444" s="261"/>
      <c r="AT444" s="261"/>
      <c r="AU444" s="261"/>
      <c r="AV444" s="261"/>
      <c r="AW444" s="261"/>
      <c r="AX444" s="261"/>
      <c r="AY444" s="261"/>
      <c r="AZ444" s="261"/>
      <c r="BA444" s="261"/>
      <c r="BB444" s="261"/>
      <c r="BC444" s="261"/>
      <c r="BD444" s="261"/>
      <c r="BE444" s="261"/>
      <c r="BF444" s="261"/>
      <c r="BG444" s="261"/>
      <c r="BH444" s="261"/>
      <c r="BI444" s="261"/>
      <c r="BJ444" s="261"/>
      <c r="BK444" s="261"/>
      <c r="BL444" s="261"/>
      <c r="BM444" s="261"/>
      <c r="BN444" s="261"/>
      <c r="BO444" s="261"/>
      <c r="BP444" s="261"/>
      <c r="BQ444" s="261"/>
      <c r="BR444" s="261"/>
      <c r="BS444" s="261"/>
      <c r="BT444" s="261"/>
      <c r="BU444" s="261"/>
      <c r="BV444" s="261"/>
      <c r="BW444" s="261"/>
      <c r="BX444" s="261"/>
      <c r="BY444" s="261"/>
      <c r="BZ444" s="261"/>
      <c r="CA444" s="261"/>
      <c r="CB444" s="261"/>
      <c r="CC444" s="261"/>
      <c r="CD444" s="262"/>
      <c r="CE444" s="18"/>
    </row>
    <row r="445" spans="1:83" s="9" customFormat="1" ht="12" customHeight="1" x14ac:dyDescent="0.15">
      <c r="A445" s="16"/>
      <c r="B445" s="8"/>
      <c r="C445" s="17"/>
      <c r="D445" s="44"/>
      <c r="E445" s="17"/>
      <c r="F445" s="17"/>
      <c r="G445" s="17"/>
      <c r="H445" s="17"/>
      <c r="I445" s="17"/>
      <c r="J445" s="17"/>
      <c r="K445" s="17"/>
      <c r="L445" s="17"/>
      <c r="M445" s="17"/>
      <c r="N445" s="17"/>
      <c r="O445" s="45"/>
      <c r="P445" s="263"/>
      <c r="Q445" s="261"/>
      <c r="R445" s="261"/>
      <c r="S445" s="261"/>
      <c r="T445" s="261"/>
      <c r="U445" s="261"/>
      <c r="V445" s="261"/>
      <c r="W445" s="261"/>
      <c r="X445" s="261"/>
      <c r="Y445" s="261"/>
      <c r="Z445" s="261"/>
      <c r="AA445" s="261"/>
      <c r="AB445" s="261"/>
      <c r="AC445" s="261"/>
      <c r="AD445" s="261"/>
      <c r="AE445" s="261"/>
      <c r="AF445" s="261"/>
      <c r="AG445" s="261"/>
      <c r="AH445" s="261"/>
      <c r="AI445" s="261"/>
      <c r="AJ445" s="261"/>
      <c r="AK445" s="261"/>
      <c r="AL445" s="261"/>
      <c r="AM445" s="261"/>
      <c r="AN445" s="261"/>
      <c r="AO445" s="261"/>
      <c r="AP445" s="261"/>
      <c r="AQ445" s="261"/>
      <c r="AR445" s="261"/>
      <c r="AS445" s="261"/>
      <c r="AT445" s="261"/>
      <c r="AU445" s="261"/>
      <c r="AV445" s="261"/>
      <c r="AW445" s="261"/>
      <c r="AX445" s="261"/>
      <c r="AY445" s="261"/>
      <c r="AZ445" s="261"/>
      <c r="BA445" s="261"/>
      <c r="BB445" s="261"/>
      <c r="BC445" s="261"/>
      <c r="BD445" s="261"/>
      <c r="BE445" s="261"/>
      <c r="BF445" s="261"/>
      <c r="BG445" s="261"/>
      <c r="BH445" s="261"/>
      <c r="BI445" s="261"/>
      <c r="BJ445" s="261"/>
      <c r="BK445" s="261"/>
      <c r="BL445" s="261"/>
      <c r="BM445" s="261"/>
      <c r="BN445" s="261"/>
      <c r="BO445" s="261"/>
      <c r="BP445" s="261"/>
      <c r="BQ445" s="261"/>
      <c r="BR445" s="261"/>
      <c r="BS445" s="261"/>
      <c r="BT445" s="261"/>
      <c r="BU445" s="261"/>
      <c r="BV445" s="261"/>
      <c r="BW445" s="261"/>
      <c r="BX445" s="261"/>
      <c r="BY445" s="261"/>
      <c r="BZ445" s="261"/>
      <c r="CA445" s="261"/>
      <c r="CB445" s="261"/>
      <c r="CC445" s="261"/>
      <c r="CD445" s="262"/>
      <c r="CE445" s="18"/>
    </row>
    <row r="446" spans="1:83" s="9" customFormat="1" ht="12" customHeight="1" x14ac:dyDescent="0.15">
      <c r="A446" s="16"/>
      <c r="B446" s="8"/>
      <c r="C446" s="17"/>
      <c r="D446" s="46"/>
      <c r="E446" s="47"/>
      <c r="F446" s="47"/>
      <c r="G446" s="47"/>
      <c r="H446" s="47"/>
      <c r="I446" s="47"/>
      <c r="J446" s="47"/>
      <c r="K446" s="47"/>
      <c r="L446" s="47"/>
      <c r="M446" s="47"/>
      <c r="N446" s="47"/>
      <c r="O446" s="48"/>
      <c r="P446" s="264"/>
      <c r="Q446" s="265"/>
      <c r="R446" s="265"/>
      <c r="S446" s="265"/>
      <c r="T446" s="265"/>
      <c r="U446" s="265"/>
      <c r="V446" s="265"/>
      <c r="W446" s="265"/>
      <c r="X446" s="265"/>
      <c r="Y446" s="265"/>
      <c r="Z446" s="265"/>
      <c r="AA446" s="265"/>
      <c r="AB446" s="265"/>
      <c r="AC446" s="265"/>
      <c r="AD446" s="265"/>
      <c r="AE446" s="265"/>
      <c r="AF446" s="265"/>
      <c r="AG446" s="265"/>
      <c r="AH446" s="265"/>
      <c r="AI446" s="265"/>
      <c r="AJ446" s="265"/>
      <c r="AK446" s="265"/>
      <c r="AL446" s="265"/>
      <c r="AM446" s="265"/>
      <c r="AN446" s="265"/>
      <c r="AO446" s="265"/>
      <c r="AP446" s="265"/>
      <c r="AQ446" s="265"/>
      <c r="AR446" s="265"/>
      <c r="AS446" s="265"/>
      <c r="AT446" s="265"/>
      <c r="AU446" s="265"/>
      <c r="AV446" s="265"/>
      <c r="AW446" s="265"/>
      <c r="AX446" s="265"/>
      <c r="AY446" s="265"/>
      <c r="AZ446" s="265"/>
      <c r="BA446" s="265"/>
      <c r="BB446" s="265"/>
      <c r="BC446" s="265"/>
      <c r="BD446" s="265"/>
      <c r="BE446" s="265"/>
      <c r="BF446" s="265"/>
      <c r="BG446" s="265"/>
      <c r="BH446" s="265"/>
      <c r="BI446" s="265"/>
      <c r="BJ446" s="265"/>
      <c r="BK446" s="265"/>
      <c r="BL446" s="265"/>
      <c r="BM446" s="265"/>
      <c r="BN446" s="265"/>
      <c r="BO446" s="265"/>
      <c r="BP446" s="265"/>
      <c r="BQ446" s="265"/>
      <c r="BR446" s="265"/>
      <c r="BS446" s="265"/>
      <c r="BT446" s="265"/>
      <c r="BU446" s="265"/>
      <c r="BV446" s="265"/>
      <c r="BW446" s="265"/>
      <c r="BX446" s="265"/>
      <c r="BY446" s="265"/>
      <c r="BZ446" s="265"/>
      <c r="CA446" s="265"/>
      <c r="CB446" s="265"/>
      <c r="CC446" s="265"/>
      <c r="CD446" s="266"/>
      <c r="CE446" s="18"/>
    </row>
    <row r="447" spans="1:83" s="9" customFormat="1" ht="12" customHeight="1" x14ac:dyDescent="0.15">
      <c r="A447" s="16"/>
      <c r="B447" s="8"/>
      <c r="C447" s="17"/>
      <c r="D447" s="44" t="s">
        <v>231</v>
      </c>
      <c r="E447" s="66"/>
      <c r="F447" s="42"/>
      <c r="G447" s="42"/>
      <c r="H447" s="42"/>
      <c r="I447" s="42"/>
      <c r="J447" s="42"/>
      <c r="K447" s="42"/>
      <c r="L447" s="42"/>
      <c r="M447" s="42"/>
      <c r="N447" s="42"/>
      <c r="O447" s="43"/>
      <c r="P447" s="897" t="s">
        <v>889</v>
      </c>
      <c r="Q447" s="898"/>
      <c r="R447" s="898"/>
      <c r="S447" s="898"/>
      <c r="T447" s="898"/>
      <c r="U447" s="898"/>
      <c r="V447" s="898"/>
      <c r="W447" s="898"/>
      <c r="X447" s="898"/>
      <c r="Y447" s="898"/>
      <c r="Z447" s="898"/>
      <c r="AA447" s="898"/>
      <c r="AB447" s="898"/>
      <c r="AC447" s="898"/>
      <c r="AD447" s="898"/>
      <c r="AE447" s="898"/>
      <c r="AF447" s="898"/>
      <c r="AG447" s="898"/>
      <c r="AH447" s="898"/>
      <c r="AI447" s="898"/>
      <c r="AJ447" s="898"/>
      <c r="AK447" s="898"/>
      <c r="AL447" s="898"/>
      <c r="AM447" s="898"/>
      <c r="AN447" s="898"/>
      <c r="AO447" s="898"/>
      <c r="AP447" s="898"/>
      <c r="AQ447" s="898"/>
      <c r="AR447" s="898"/>
      <c r="AS447" s="898"/>
      <c r="AT447" s="898"/>
      <c r="AU447" s="898"/>
      <c r="AV447" s="898"/>
      <c r="AW447" s="898"/>
      <c r="AX447" s="898"/>
      <c r="AY447" s="898"/>
      <c r="AZ447" s="898"/>
      <c r="BA447" s="898"/>
      <c r="BB447" s="898"/>
      <c r="BC447" s="898"/>
      <c r="BD447" s="898"/>
      <c r="BE447" s="898"/>
      <c r="BF447" s="898"/>
      <c r="BG447" s="898"/>
      <c r="BH447" s="898"/>
      <c r="BI447" s="898"/>
      <c r="BJ447" s="898"/>
      <c r="BK447" s="898"/>
      <c r="BL447" s="898"/>
      <c r="BM447" s="898"/>
      <c r="BN447" s="898"/>
      <c r="BO447" s="898"/>
      <c r="BP447" s="898"/>
      <c r="BQ447" s="898"/>
      <c r="BR447" s="898"/>
      <c r="BS447" s="898"/>
      <c r="BT447" s="898"/>
      <c r="BU447" s="898"/>
      <c r="BV447" s="898"/>
      <c r="BW447" s="898"/>
      <c r="BX447" s="898"/>
      <c r="BY447" s="898"/>
      <c r="BZ447" s="898"/>
      <c r="CA447" s="898"/>
      <c r="CB447" s="898"/>
      <c r="CC447" s="898"/>
      <c r="CD447" s="899"/>
      <c r="CE447" s="18"/>
    </row>
    <row r="448" spans="1:83" s="9" customFormat="1" ht="12.75" customHeight="1" x14ac:dyDescent="0.15">
      <c r="A448" s="16"/>
      <c r="B448" s="8"/>
      <c r="C448" s="29"/>
      <c r="D448" s="44"/>
      <c r="E448" s="17"/>
      <c r="F448" s="17"/>
      <c r="G448" s="17"/>
      <c r="H448" s="17"/>
      <c r="I448" s="17"/>
      <c r="J448" s="17"/>
      <c r="K448" s="17"/>
      <c r="L448" s="17"/>
      <c r="M448" s="17"/>
      <c r="N448" s="17"/>
      <c r="O448" s="45"/>
      <c r="P448" s="900"/>
      <c r="Q448" s="901"/>
      <c r="R448" s="901"/>
      <c r="S448" s="901"/>
      <c r="T448" s="901"/>
      <c r="U448" s="901"/>
      <c r="V448" s="901"/>
      <c r="W448" s="901"/>
      <c r="X448" s="901"/>
      <c r="Y448" s="901"/>
      <c r="Z448" s="901"/>
      <c r="AA448" s="901"/>
      <c r="AB448" s="901"/>
      <c r="AC448" s="901"/>
      <c r="AD448" s="901"/>
      <c r="AE448" s="901"/>
      <c r="AF448" s="901"/>
      <c r="AG448" s="901"/>
      <c r="AH448" s="901"/>
      <c r="AI448" s="901"/>
      <c r="AJ448" s="901"/>
      <c r="AK448" s="901"/>
      <c r="AL448" s="901"/>
      <c r="AM448" s="901"/>
      <c r="AN448" s="901"/>
      <c r="AO448" s="901"/>
      <c r="AP448" s="901"/>
      <c r="AQ448" s="901"/>
      <c r="AR448" s="901"/>
      <c r="AS448" s="901"/>
      <c r="AT448" s="901"/>
      <c r="AU448" s="901"/>
      <c r="AV448" s="901"/>
      <c r="AW448" s="901"/>
      <c r="AX448" s="901"/>
      <c r="AY448" s="901"/>
      <c r="AZ448" s="901"/>
      <c r="BA448" s="901"/>
      <c r="BB448" s="901"/>
      <c r="BC448" s="901"/>
      <c r="BD448" s="901"/>
      <c r="BE448" s="901"/>
      <c r="BF448" s="901"/>
      <c r="BG448" s="901"/>
      <c r="BH448" s="901"/>
      <c r="BI448" s="901"/>
      <c r="BJ448" s="901"/>
      <c r="BK448" s="901"/>
      <c r="BL448" s="901"/>
      <c r="BM448" s="901"/>
      <c r="BN448" s="901"/>
      <c r="BO448" s="901"/>
      <c r="BP448" s="901"/>
      <c r="BQ448" s="901"/>
      <c r="BR448" s="901"/>
      <c r="BS448" s="901"/>
      <c r="BT448" s="901"/>
      <c r="BU448" s="901"/>
      <c r="BV448" s="901"/>
      <c r="BW448" s="901"/>
      <c r="BX448" s="901"/>
      <c r="BY448" s="901"/>
      <c r="BZ448" s="901"/>
      <c r="CA448" s="901"/>
      <c r="CB448" s="901"/>
      <c r="CC448" s="901"/>
      <c r="CD448" s="902"/>
      <c r="CE448" s="18"/>
    </row>
    <row r="449" spans="1:83" s="9" customFormat="1" ht="12.75" customHeight="1" x14ac:dyDescent="0.15">
      <c r="A449" s="16"/>
      <c r="B449" s="8"/>
      <c r="C449" s="29"/>
      <c r="D449" s="44"/>
      <c r="E449" s="17"/>
      <c r="F449" s="17"/>
      <c r="G449" s="17"/>
      <c r="H449" s="17"/>
      <c r="I449" s="17"/>
      <c r="J449" s="17"/>
      <c r="K449" s="17"/>
      <c r="L449" s="17"/>
      <c r="M449" s="17"/>
      <c r="N449" s="17"/>
      <c r="O449" s="45"/>
      <c r="P449" s="900"/>
      <c r="Q449" s="901"/>
      <c r="R449" s="901"/>
      <c r="S449" s="901"/>
      <c r="T449" s="901"/>
      <c r="U449" s="901"/>
      <c r="V449" s="901"/>
      <c r="W449" s="901"/>
      <c r="X449" s="901"/>
      <c r="Y449" s="901"/>
      <c r="Z449" s="901"/>
      <c r="AA449" s="901"/>
      <c r="AB449" s="901"/>
      <c r="AC449" s="901"/>
      <c r="AD449" s="901"/>
      <c r="AE449" s="901"/>
      <c r="AF449" s="901"/>
      <c r="AG449" s="901"/>
      <c r="AH449" s="901"/>
      <c r="AI449" s="901"/>
      <c r="AJ449" s="901"/>
      <c r="AK449" s="901"/>
      <c r="AL449" s="901"/>
      <c r="AM449" s="901"/>
      <c r="AN449" s="901"/>
      <c r="AO449" s="901"/>
      <c r="AP449" s="901"/>
      <c r="AQ449" s="901"/>
      <c r="AR449" s="901"/>
      <c r="AS449" s="901"/>
      <c r="AT449" s="901"/>
      <c r="AU449" s="901"/>
      <c r="AV449" s="901"/>
      <c r="AW449" s="901"/>
      <c r="AX449" s="901"/>
      <c r="AY449" s="901"/>
      <c r="AZ449" s="901"/>
      <c r="BA449" s="901"/>
      <c r="BB449" s="901"/>
      <c r="BC449" s="901"/>
      <c r="BD449" s="901"/>
      <c r="BE449" s="901"/>
      <c r="BF449" s="901"/>
      <c r="BG449" s="901"/>
      <c r="BH449" s="901"/>
      <c r="BI449" s="901"/>
      <c r="BJ449" s="901"/>
      <c r="BK449" s="901"/>
      <c r="BL449" s="901"/>
      <c r="BM449" s="901"/>
      <c r="BN449" s="901"/>
      <c r="BO449" s="901"/>
      <c r="BP449" s="901"/>
      <c r="BQ449" s="901"/>
      <c r="BR449" s="901"/>
      <c r="BS449" s="901"/>
      <c r="BT449" s="901"/>
      <c r="BU449" s="901"/>
      <c r="BV449" s="901"/>
      <c r="BW449" s="901"/>
      <c r="BX449" s="901"/>
      <c r="BY449" s="901"/>
      <c r="BZ449" s="901"/>
      <c r="CA449" s="901"/>
      <c r="CB449" s="901"/>
      <c r="CC449" s="901"/>
      <c r="CD449" s="902"/>
      <c r="CE449" s="18"/>
    </row>
    <row r="450" spans="1:83" s="9" customFormat="1" ht="12.75" customHeight="1" x14ac:dyDescent="0.15">
      <c r="A450" s="16"/>
      <c r="B450" s="8"/>
      <c r="C450" s="29"/>
      <c r="D450" s="46"/>
      <c r="E450" s="47"/>
      <c r="F450" s="47"/>
      <c r="G450" s="47"/>
      <c r="H450" s="47"/>
      <c r="I450" s="47"/>
      <c r="J450" s="47"/>
      <c r="K450" s="47"/>
      <c r="L450" s="47"/>
      <c r="M450" s="47"/>
      <c r="N450" s="47"/>
      <c r="O450" s="48"/>
      <c r="P450" s="903"/>
      <c r="Q450" s="904"/>
      <c r="R450" s="904"/>
      <c r="S450" s="904"/>
      <c r="T450" s="904"/>
      <c r="U450" s="904"/>
      <c r="V450" s="904"/>
      <c r="W450" s="904"/>
      <c r="X450" s="904"/>
      <c r="Y450" s="904"/>
      <c r="Z450" s="904"/>
      <c r="AA450" s="904"/>
      <c r="AB450" s="904"/>
      <c r="AC450" s="904"/>
      <c r="AD450" s="904"/>
      <c r="AE450" s="904"/>
      <c r="AF450" s="904"/>
      <c r="AG450" s="904"/>
      <c r="AH450" s="904"/>
      <c r="AI450" s="904"/>
      <c r="AJ450" s="904"/>
      <c r="AK450" s="904"/>
      <c r="AL450" s="904"/>
      <c r="AM450" s="904"/>
      <c r="AN450" s="904"/>
      <c r="AO450" s="904"/>
      <c r="AP450" s="904"/>
      <c r="AQ450" s="904"/>
      <c r="AR450" s="904"/>
      <c r="AS450" s="904"/>
      <c r="AT450" s="904"/>
      <c r="AU450" s="904"/>
      <c r="AV450" s="904"/>
      <c r="AW450" s="904"/>
      <c r="AX450" s="904"/>
      <c r="AY450" s="904"/>
      <c r="AZ450" s="904"/>
      <c r="BA450" s="904"/>
      <c r="BB450" s="904"/>
      <c r="BC450" s="904"/>
      <c r="BD450" s="904"/>
      <c r="BE450" s="904"/>
      <c r="BF450" s="904"/>
      <c r="BG450" s="904"/>
      <c r="BH450" s="904"/>
      <c r="BI450" s="904"/>
      <c r="BJ450" s="904"/>
      <c r="BK450" s="904"/>
      <c r="BL450" s="904"/>
      <c r="BM450" s="904"/>
      <c r="BN450" s="904"/>
      <c r="BO450" s="904"/>
      <c r="BP450" s="904"/>
      <c r="BQ450" s="904"/>
      <c r="BR450" s="904"/>
      <c r="BS450" s="904"/>
      <c r="BT450" s="904"/>
      <c r="BU450" s="904"/>
      <c r="BV450" s="904"/>
      <c r="BW450" s="904"/>
      <c r="BX450" s="904"/>
      <c r="BY450" s="904"/>
      <c r="BZ450" s="904"/>
      <c r="CA450" s="904"/>
      <c r="CB450" s="904"/>
      <c r="CC450" s="904"/>
      <c r="CD450" s="905"/>
      <c r="CE450" s="18"/>
    </row>
    <row r="451" spans="1:83" s="9" customFormat="1" ht="12.75" customHeight="1" x14ac:dyDescent="0.15">
      <c r="A451" s="16"/>
      <c r="B451" s="8"/>
      <c r="C451" s="8"/>
      <c r="D451" s="17"/>
      <c r="E451" s="17"/>
      <c r="F451" s="17"/>
      <c r="G451" s="17"/>
      <c r="H451" s="17"/>
      <c r="I451" s="17"/>
      <c r="J451" s="17"/>
      <c r="K451" s="17"/>
      <c r="L451" s="17"/>
      <c r="M451" s="17"/>
      <c r="N451" s="17"/>
      <c r="O451" s="17"/>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0"/>
      <c r="CE451" s="18"/>
    </row>
    <row r="452" spans="1:83" s="9" customFormat="1" ht="12.75" customHeight="1" x14ac:dyDescent="0.15">
      <c r="A452" s="16"/>
      <c r="B452" s="8"/>
      <c r="D452" s="248" t="s">
        <v>232</v>
      </c>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250"/>
      <c r="AB452" s="250"/>
      <c r="AC452" s="250"/>
      <c r="AD452" s="250"/>
      <c r="AE452" s="250"/>
      <c r="AF452" s="250"/>
      <c r="AG452" s="250"/>
      <c r="AH452" s="250"/>
      <c r="AI452" s="250"/>
      <c r="AJ452" s="250"/>
      <c r="AK452" s="250"/>
      <c r="AL452" s="250"/>
      <c r="AM452" s="250"/>
      <c r="AN452" s="250"/>
      <c r="AO452" s="250"/>
      <c r="AP452" s="250"/>
      <c r="AQ452" s="250"/>
      <c r="AR452" s="250"/>
      <c r="AS452" s="250"/>
      <c r="AT452" s="250"/>
      <c r="AU452" s="250"/>
      <c r="AV452" s="250"/>
      <c r="AW452" s="250"/>
      <c r="AX452" s="250"/>
      <c r="AY452" s="250"/>
      <c r="AZ452" s="250"/>
      <c r="BA452" s="250"/>
      <c r="BB452" s="250"/>
      <c r="BC452" s="250"/>
      <c r="BD452" s="250"/>
      <c r="BE452" s="250"/>
      <c r="BF452" s="250"/>
      <c r="BG452" s="250"/>
      <c r="BH452" s="250"/>
      <c r="BI452" s="250"/>
      <c r="BJ452" s="250"/>
      <c r="BK452" s="256"/>
      <c r="BL452" s="256"/>
      <c r="BM452" s="256"/>
      <c r="BN452" s="256"/>
      <c r="BO452" s="256"/>
      <c r="BP452" s="256"/>
      <c r="BQ452" s="256"/>
      <c r="BR452" s="256"/>
      <c r="BS452" s="256"/>
      <c r="BT452" s="256"/>
      <c r="BU452" s="256"/>
      <c r="BV452" s="256"/>
      <c r="BW452" s="256"/>
      <c r="BX452" s="256"/>
      <c r="BY452" s="256"/>
      <c r="BZ452" s="256"/>
      <c r="CA452" s="256"/>
      <c r="CB452" s="256"/>
      <c r="CC452" s="256"/>
      <c r="CD452" s="253"/>
      <c r="CE452" s="18"/>
    </row>
    <row r="453" spans="1:83" s="9" customFormat="1" ht="12.75" customHeight="1" x14ac:dyDescent="0.15">
      <c r="A453" s="16"/>
      <c r="B453" s="8"/>
      <c r="D453" s="886" t="s">
        <v>462</v>
      </c>
      <c r="E453" s="887"/>
      <c r="F453" s="887"/>
      <c r="G453" s="887"/>
      <c r="H453" s="887"/>
      <c r="I453" s="887"/>
      <c r="J453" s="888"/>
      <c r="K453" s="941" t="s">
        <v>887</v>
      </c>
      <c r="L453" s="942"/>
      <c r="M453" s="942"/>
      <c r="N453" s="942"/>
      <c r="O453" s="943"/>
      <c r="P453" s="950" t="s">
        <v>888</v>
      </c>
      <c r="Q453" s="951"/>
      <c r="R453" s="951"/>
      <c r="S453" s="951"/>
      <c r="T453" s="951"/>
      <c r="U453" s="951"/>
      <c r="V453" s="951"/>
      <c r="W453" s="951"/>
      <c r="X453" s="951"/>
      <c r="Y453" s="951"/>
      <c r="Z453" s="951"/>
      <c r="AA453" s="951"/>
      <c r="AB453" s="951"/>
      <c r="AC453" s="951"/>
      <c r="AD453" s="951"/>
      <c r="AE453" s="951"/>
      <c r="AF453" s="951"/>
      <c r="AG453" s="951"/>
      <c r="AH453" s="951"/>
      <c r="AI453" s="951"/>
      <c r="AJ453" s="951"/>
      <c r="AK453" s="951"/>
      <c r="AL453" s="951"/>
      <c r="AM453" s="951"/>
      <c r="AN453" s="951"/>
      <c r="AO453" s="951"/>
      <c r="AP453" s="951"/>
      <c r="AQ453" s="951"/>
      <c r="AR453" s="951"/>
      <c r="AS453" s="951"/>
      <c r="AT453" s="951"/>
      <c r="AU453" s="951"/>
      <c r="AV453" s="951"/>
      <c r="AW453" s="951"/>
      <c r="AX453" s="951"/>
      <c r="AY453" s="951"/>
      <c r="AZ453" s="951"/>
      <c r="BA453" s="951"/>
      <c r="BB453" s="951"/>
      <c r="BC453" s="951"/>
      <c r="BD453" s="951"/>
      <c r="BE453" s="951"/>
      <c r="BF453" s="951"/>
      <c r="BG453" s="951"/>
      <c r="BH453" s="951"/>
      <c r="BI453" s="951"/>
      <c r="BJ453" s="951"/>
      <c r="BK453" s="951"/>
      <c r="BL453" s="951"/>
      <c r="BM453" s="951"/>
      <c r="BN453" s="951"/>
      <c r="BO453" s="951"/>
      <c r="BP453" s="951"/>
      <c r="BQ453" s="951"/>
      <c r="BR453" s="951"/>
      <c r="BS453" s="951"/>
      <c r="BT453" s="951"/>
      <c r="BU453" s="951"/>
      <c r="BV453" s="951"/>
      <c r="BW453" s="951"/>
      <c r="BX453" s="951"/>
      <c r="BY453" s="951"/>
      <c r="BZ453" s="951"/>
      <c r="CA453" s="951"/>
      <c r="CB453" s="951"/>
      <c r="CC453" s="951"/>
      <c r="CD453" s="952"/>
      <c r="CE453" s="18"/>
    </row>
    <row r="454" spans="1:83" s="9" customFormat="1" ht="12.75" customHeight="1" x14ac:dyDescent="0.15">
      <c r="A454" s="16"/>
      <c r="B454" s="8"/>
      <c r="D454" s="908"/>
      <c r="E454" s="909"/>
      <c r="F454" s="909"/>
      <c r="G454" s="909"/>
      <c r="H454" s="909"/>
      <c r="I454" s="909"/>
      <c r="J454" s="910"/>
      <c r="K454" s="944"/>
      <c r="L454" s="945"/>
      <c r="M454" s="945"/>
      <c r="N454" s="945"/>
      <c r="O454" s="946"/>
      <c r="P454" s="953"/>
      <c r="Q454" s="954"/>
      <c r="R454" s="954"/>
      <c r="S454" s="954"/>
      <c r="T454" s="954"/>
      <c r="U454" s="954"/>
      <c r="V454" s="954"/>
      <c r="W454" s="954"/>
      <c r="X454" s="954"/>
      <c r="Y454" s="954"/>
      <c r="Z454" s="954"/>
      <c r="AA454" s="954"/>
      <c r="AB454" s="954"/>
      <c r="AC454" s="954"/>
      <c r="AD454" s="954"/>
      <c r="AE454" s="954"/>
      <c r="AF454" s="954"/>
      <c r="AG454" s="954"/>
      <c r="AH454" s="954"/>
      <c r="AI454" s="954"/>
      <c r="AJ454" s="954"/>
      <c r="AK454" s="954"/>
      <c r="AL454" s="954"/>
      <c r="AM454" s="954"/>
      <c r="AN454" s="954"/>
      <c r="AO454" s="954"/>
      <c r="AP454" s="954"/>
      <c r="AQ454" s="954"/>
      <c r="AR454" s="954"/>
      <c r="AS454" s="954"/>
      <c r="AT454" s="954"/>
      <c r="AU454" s="954"/>
      <c r="AV454" s="954"/>
      <c r="AW454" s="954"/>
      <c r="AX454" s="954"/>
      <c r="AY454" s="954"/>
      <c r="AZ454" s="954"/>
      <c r="BA454" s="954"/>
      <c r="BB454" s="954"/>
      <c r="BC454" s="954"/>
      <c r="BD454" s="954"/>
      <c r="BE454" s="954"/>
      <c r="BF454" s="954"/>
      <c r="BG454" s="954"/>
      <c r="BH454" s="954"/>
      <c r="BI454" s="954"/>
      <c r="BJ454" s="954"/>
      <c r="BK454" s="954"/>
      <c r="BL454" s="954"/>
      <c r="BM454" s="954"/>
      <c r="BN454" s="954"/>
      <c r="BO454" s="954"/>
      <c r="BP454" s="954"/>
      <c r="BQ454" s="954"/>
      <c r="BR454" s="954"/>
      <c r="BS454" s="954"/>
      <c r="BT454" s="954"/>
      <c r="BU454" s="954"/>
      <c r="BV454" s="954"/>
      <c r="BW454" s="954"/>
      <c r="BX454" s="954"/>
      <c r="BY454" s="954"/>
      <c r="BZ454" s="954"/>
      <c r="CA454" s="954"/>
      <c r="CB454" s="954"/>
      <c r="CC454" s="954"/>
      <c r="CD454" s="955"/>
      <c r="CE454" s="18"/>
    </row>
    <row r="455" spans="1:83" s="9" customFormat="1" ht="12.75" customHeight="1" x14ac:dyDescent="0.15">
      <c r="A455" s="16"/>
      <c r="B455" s="8"/>
      <c r="D455" s="889"/>
      <c r="E455" s="890"/>
      <c r="F455" s="890"/>
      <c r="G455" s="890"/>
      <c r="H455" s="890"/>
      <c r="I455" s="890"/>
      <c r="J455" s="891"/>
      <c r="K455" s="947"/>
      <c r="L455" s="948"/>
      <c r="M455" s="948"/>
      <c r="N455" s="948"/>
      <c r="O455" s="949"/>
      <c r="P455" s="956"/>
      <c r="Q455" s="957"/>
      <c r="R455" s="957"/>
      <c r="S455" s="957"/>
      <c r="T455" s="957"/>
      <c r="U455" s="957"/>
      <c r="V455" s="957"/>
      <c r="W455" s="957"/>
      <c r="X455" s="957"/>
      <c r="Y455" s="957"/>
      <c r="Z455" s="957"/>
      <c r="AA455" s="957"/>
      <c r="AB455" s="957"/>
      <c r="AC455" s="957"/>
      <c r="AD455" s="957"/>
      <c r="AE455" s="957"/>
      <c r="AF455" s="957"/>
      <c r="AG455" s="957"/>
      <c r="AH455" s="957"/>
      <c r="AI455" s="957"/>
      <c r="AJ455" s="957"/>
      <c r="AK455" s="957"/>
      <c r="AL455" s="957"/>
      <c r="AM455" s="957"/>
      <c r="AN455" s="957"/>
      <c r="AO455" s="957"/>
      <c r="AP455" s="957"/>
      <c r="AQ455" s="957"/>
      <c r="AR455" s="957"/>
      <c r="AS455" s="957"/>
      <c r="AT455" s="957"/>
      <c r="AU455" s="957"/>
      <c r="AV455" s="957"/>
      <c r="AW455" s="957"/>
      <c r="AX455" s="957"/>
      <c r="AY455" s="957"/>
      <c r="AZ455" s="957"/>
      <c r="BA455" s="957"/>
      <c r="BB455" s="957"/>
      <c r="BC455" s="957"/>
      <c r="BD455" s="957"/>
      <c r="BE455" s="957"/>
      <c r="BF455" s="957"/>
      <c r="BG455" s="957"/>
      <c r="BH455" s="957"/>
      <c r="BI455" s="957"/>
      <c r="BJ455" s="957"/>
      <c r="BK455" s="957"/>
      <c r="BL455" s="957"/>
      <c r="BM455" s="957"/>
      <c r="BN455" s="957"/>
      <c r="BO455" s="957"/>
      <c r="BP455" s="957"/>
      <c r="BQ455" s="957"/>
      <c r="BR455" s="957"/>
      <c r="BS455" s="957"/>
      <c r="BT455" s="957"/>
      <c r="BU455" s="957"/>
      <c r="BV455" s="957"/>
      <c r="BW455" s="957"/>
      <c r="BX455" s="957"/>
      <c r="BY455" s="957"/>
      <c r="BZ455" s="957"/>
      <c r="CA455" s="957"/>
      <c r="CB455" s="957"/>
      <c r="CC455" s="957"/>
      <c r="CD455" s="958"/>
      <c r="CE455" s="18"/>
    </row>
    <row r="456" spans="1:83" s="9" customFormat="1" ht="12.75" customHeight="1" x14ac:dyDescent="0.15">
      <c r="A456" s="16"/>
      <c r="B456" s="8"/>
      <c r="D456" s="22"/>
      <c r="E456" s="402"/>
      <c r="F456" s="402"/>
      <c r="G456" s="402"/>
      <c r="H456" s="402"/>
      <c r="I456" s="402"/>
      <c r="J456" s="402"/>
      <c r="K456" s="402"/>
      <c r="L456" s="402"/>
      <c r="M456" s="402"/>
      <c r="N456" s="402"/>
      <c r="O456" s="402"/>
      <c r="P456" s="403"/>
      <c r="Q456" s="402"/>
      <c r="R456" s="402"/>
      <c r="S456" s="402"/>
      <c r="T456" s="402"/>
      <c r="U456" s="402"/>
      <c r="V456" s="402"/>
      <c r="W456" s="402"/>
      <c r="X456" s="402"/>
      <c r="Y456" s="402"/>
      <c r="Z456" s="402"/>
      <c r="AA456" s="402"/>
      <c r="AB456" s="402"/>
      <c r="AC456" s="402"/>
      <c r="AD456" s="402"/>
      <c r="AE456" s="402"/>
      <c r="AF456" s="402"/>
      <c r="AG456" s="402"/>
      <c r="AH456" s="402"/>
      <c r="AI456" s="402"/>
      <c r="AJ456" s="402"/>
      <c r="AK456" s="402"/>
      <c r="AL456" s="402"/>
      <c r="AM456" s="402"/>
      <c r="AN456" s="402"/>
      <c r="AO456" s="402"/>
      <c r="AP456" s="402"/>
      <c r="AQ456" s="402"/>
      <c r="AR456" s="402"/>
      <c r="AS456" s="402"/>
      <c r="AT456" s="402"/>
      <c r="AU456" s="402"/>
      <c r="AV456" s="402"/>
      <c r="AW456" s="402"/>
      <c r="AX456" s="402"/>
      <c r="AY456" s="402"/>
      <c r="AZ456" s="402"/>
      <c r="BA456" s="402"/>
      <c r="BB456" s="402"/>
      <c r="BC456" s="402"/>
      <c r="BD456" s="402"/>
      <c r="BE456" s="402"/>
      <c r="BF456" s="402"/>
      <c r="BG456" s="402"/>
      <c r="BH456" s="402"/>
      <c r="BI456" s="402"/>
      <c r="BJ456" s="402"/>
      <c r="BK456" s="402"/>
      <c r="BL456" s="402"/>
      <c r="BM456" s="402"/>
      <c r="BN456" s="402"/>
      <c r="BO456" s="402"/>
      <c r="BP456" s="402"/>
      <c r="BQ456" s="402"/>
      <c r="BR456" s="402"/>
      <c r="BS456" s="402"/>
      <c r="BT456" s="402"/>
      <c r="BU456" s="402"/>
      <c r="BV456" s="402"/>
      <c r="BW456" s="402"/>
      <c r="BX456" s="402"/>
      <c r="BY456" s="402"/>
      <c r="BZ456" s="402"/>
      <c r="CA456" s="402"/>
      <c r="CB456" s="402"/>
      <c r="CC456" s="402"/>
      <c r="CD456" s="402"/>
      <c r="CE456" s="18"/>
    </row>
    <row r="457" spans="1:83" s="9" customFormat="1" ht="12.75" customHeight="1" x14ac:dyDescent="0.15">
      <c r="A457" s="16"/>
      <c r="B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18"/>
    </row>
    <row r="458" spans="1:83" s="9" customFormat="1" ht="12.75" customHeight="1" x14ac:dyDescent="0.15">
      <c r="A458" s="16"/>
      <c r="B458" s="8"/>
      <c r="D458" s="248" t="s">
        <v>860</v>
      </c>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250"/>
      <c r="AH458" s="250"/>
      <c r="AI458" s="250"/>
      <c r="AJ458" s="250"/>
      <c r="AK458" s="250"/>
      <c r="AL458" s="250"/>
      <c r="AM458" s="250"/>
      <c r="AN458" s="250"/>
      <c r="AO458" s="250"/>
      <c r="AP458" s="250"/>
      <c r="AQ458" s="250"/>
      <c r="AR458" s="250"/>
      <c r="AS458" s="250"/>
      <c r="AT458" s="250"/>
      <c r="AU458" s="250"/>
      <c r="AV458" s="250"/>
      <c r="AW458" s="250"/>
      <c r="AX458" s="250"/>
      <c r="AY458" s="250"/>
      <c r="AZ458" s="250"/>
      <c r="BA458" s="250"/>
      <c r="BB458" s="250"/>
      <c r="BC458" s="250"/>
      <c r="BD458" s="250"/>
      <c r="BE458" s="250"/>
      <c r="BF458" s="250"/>
      <c r="BG458" s="250"/>
      <c r="BH458" s="250"/>
      <c r="BI458" s="250"/>
      <c r="BJ458" s="250"/>
      <c r="BK458" s="256"/>
      <c r="BL458" s="256"/>
      <c r="BM458" s="256"/>
      <c r="BN458" s="256"/>
      <c r="BO458" s="256"/>
      <c r="BP458" s="256"/>
      <c r="BQ458" s="256"/>
      <c r="BR458" s="256"/>
      <c r="BS458" s="256"/>
      <c r="BT458" s="256"/>
      <c r="BU458" s="256"/>
      <c r="BV458" s="256"/>
      <c r="BW458" s="256"/>
      <c r="BX458" s="256"/>
      <c r="BY458" s="256"/>
      <c r="BZ458" s="256"/>
      <c r="CA458" s="256"/>
      <c r="CB458" s="256"/>
      <c r="CC458" s="256"/>
      <c r="CD458" s="253"/>
      <c r="CE458" s="18"/>
    </row>
    <row r="459" spans="1:83" s="9" customFormat="1" ht="12.75" customHeight="1" x14ac:dyDescent="0.15">
      <c r="A459" s="16"/>
      <c r="B459" s="8"/>
      <c r="D459" s="165" t="s">
        <v>233</v>
      </c>
      <c r="E459" s="35"/>
      <c r="F459" s="35"/>
      <c r="G459" s="35"/>
      <c r="H459" s="35"/>
      <c r="I459" s="35"/>
      <c r="J459" s="36"/>
      <c r="K459" s="34" t="s">
        <v>234</v>
      </c>
      <c r="L459" s="35"/>
      <c r="M459" s="35"/>
      <c r="N459" s="35"/>
      <c r="O459" s="36"/>
      <c r="P459" s="34" t="s">
        <v>469</v>
      </c>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D459" s="36"/>
      <c r="CE459" s="18"/>
    </row>
    <row r="460" spans="1:83" s="9" customFormat="1" ht="12.75" customHeight="1" x14ac:dyDescent="0.15">
      <c r="A460" s="16"/>
      <c r="B460" s="8"/>
      <c r="D460" s="165" t="s">
        <v>235</v>
      </c>
      <c r="E460" s="35"/>
      <c r="F460" s="35"/>
      <c r="G460" s="35"/>
      <c r="H460" s="35"/>
      <c r="I460" s="35"/>
      <c r="J460" s="36"/>
      <c r="K460" s="34" t="s">
        <v>465</v>
      </c>
      <c r="L460" s="35"/>
      <c r="M460" s="35"/>
      <c r="N460" s="35"/>
      <c r="O460" s="36"/>
      <c r="P460" s="34" t="s">
        <v>470</v>
      </c>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D460" s="36"/>
      <c r="CE460" s="18"/>
    </row>
    <row r="461" spans="1:83" s="9" customFormat="1" ht="12.75" customHeight="1" x14ac:dyDescent="0.15">
      <c r="A461" s="16"/>
      <c r="B461" s="8"/>
      <c r="D461" s="624" t="s">
        <v>901</v>
      </c>
      <c r="E461" s="625"/>
      <c r="F461" s="625"/>
      <c r="G461" s="625"/>
      <c r="H461" s="625"/>
      <c r="I461" s="625"/>
      <c r="J461" s="626"/>
      <c r="K461" s="37" t="s">
        <v>236</v>
      </c>
      <c r="L461" s="38"/>
      <c r="M461" s="38"/>
      <c r="N461" s="38"/>
      <c r="O461" s="39"/>
      <c r="P461" s="615" t="s">
        <v>237</v>
      </c>
      <c r="Q461" s="656"/>
      <c r="R461" s="656"/>
      <c r="S461" s="656"/>
      <c r="T461" s="656"/>
      <c r="U461" s="656"/>
      <c r="V461" s="656"/>
      <c r="W461" s="656"/>
      <c r="X461" s="656"/>
      <c r="Y461" s="656"/>
      <c r="Z461" s="656"/>
      <c r="AA461" s="656"/>
      <c r="AB461" s="656"/>
      <c r="AC461" s="656"/>
      <c r="AD461" s="656"/>
      <c r="AE461" s="656"/>
      <c r="AF461" s="656"/>
      <c r="AG461" s="656"/>
      <c r="AH461" s="656"/>
      <c r="AI461" s="656"/>
      <c r="AJ461" s="656"/>
      <c r="AK461" s="656"/>
      <c r="AL461" s="656"/>
      <c r="AM461" s="656"/>
      <c r="AN461" s="656"/>
      <c r="AO461" s="656"/>
      <c r="AP461" s="656"/>
      <c r="AQ461" s="656"/>
      <c r="AR461" s="656"/>
      <c r="AS461" s="656"/>
      <c r="AT461" s="656"/>
      <c r="AU461" s="656"/>
      <c r="AV461" s="656"/>
      <c r="AW461" s="656"/>
      <c r="AX461" s="656"/>
      <c r="AY461" s="656"/>
      <c r="AZ461" s="656"/>
      <c r="BA461" s="656"/>
      <c r="BB461" s="656"/>
      <c r="BC461" s="656"/>
      <c r="BD461" s="656"/>
      <c r="BE461" s="656"/>
      <c r="BF461" s="656"/>
      <c r="BG461" s="656"/>
      <c r="BH461" s="656"/>
      <c r="BI461" s="656"/>
      <c r="BJ461" s="656"/>
      <c r="BK461" s="656"/>
      <c r="BL461" s="656"/>
      <c r="BM461" s="656"/>
      <c r="BN461" s="656"/>
      <c r="BO461" s="656"/>
      <c r="BP461" s="656"/>
      <c r="BQ461" s="656"/>
      <c r="BR461" s="656"/>
      <c r="BS461" s="656"/>
      <c r="BT461" s="656"/>
      <c r="BU461" s="656"/>
      <c r="BV461" s="656"/>
      <c r="BW461" s="656"/>
      <c r="BX461" s="656"/>
      <c r="BY461" s="656"/>
      <c r="BZ461" s="656"/>
      <c r="CA461" s="656"/>
      <c r="CB461" s="656"/>
      <c r="CC461" s="656"/>
      <c r="CD461" s="657"/>
      <c r="CE461" s="18"/>
    </row>
    <row r="462" spans="1:83" s="9" customFormat="1" ht="12.75" customHeight="1" x14ac:dyDescent="0.15">
      <c r="A462" s="16"/>
      <c r="B462" s="8"/>
      <c r="D462" s="627"/>
      <c r="E462" s="628"/>
      <c r="F462" s="628"/>
      <c r="G462" s="628"/>
      <c r="H462" s="628"/>
      <c r="I462" s="628"/>
      <c r="J462" s="629"/>
      <c r="K462" s="41"/>
      <c r="L462" s="12"/>
      <c r="M462" s="12"/>
      <c r="N462" s="12"/>
      <c r="O462" s="31"/>
      <c r="P462" s="618"/>
      <c r="Q462" s="621"/>
      <c r="R462" s="621"/>
      <c r="S462" s="621"/>
      <c r="T462" s="621"/>
      <c r="U462" s="621"/>
      <c r="V462" s="621"/>
      <c r="W462" s="621"/>
      <c r="X462" s="621"/>
      <c r="Y462" s="621"/>
      <c r="Z462" s="621"/>
      <c r="AA462" s="621"/>
      <c r="AB462" s="621"/>
      <c r="AC462" s="621"/>
      <c r="AD462" s="621"/>
      <c r="AE462" s="621"/>
      <c r="AF462" s="621"/>
      <c r="AG462" s="621"/>
      <c r="AH462" s="621"/>
      <c r="AI462" s="621"/>
      <c r="AJ462" s="621"/>
      <c r="AK462" s="621"/>
      <c r="AL462" s="621"/>
      <c r="AM462" s="621"/>
      <c r="AN462" s="621"/>
      <c r="AO462" s="621"/>
      <c r="AP462" s="621"/>
      <c r="AQ462" s="621"/>
      <c r="AR462" s="621"/>
      <c r="AS462" s="621"/>
      <c r="AT462" s="621"/>
      <c r="AU462" s="621"/>
      <c r="AV462" s="621"/>
      <c r="AW462" s="621"/>
      <c r="AX462" s="621"/>
      <c r="AY462" s="621"/>
      <c r="AZ462" s="621"/>
      <c r="BA462" s="621"/>
      <c r="BB462" s="621"/>
      <c r="BC462" s="621"/>
      <c r="BD462" s="621"/>
      <c r="BE462" s="621"/>
      <c r="BF462" s="621"/>
      <c r="BG462" s="621"/>
      <c r="BH462" s="621"/>
      <c r="BI462" s="621"/>
      <c r="BJ462" s="621"/>
      <c r="BK462" s="621"/>
      <c r="BL462" s="621"/>
      <c r="BM462" s="621"/>
      <c r="BN462" s="621"/>
      <c r="BO462" s="621"/>
      <c r="BP462" s="621"/>
      <c r="BQ462" s="621"/>
      <c r="BR462" s="621"/>
      <c r="BS462" s="621"/>
      <c r="BT462" s="621"/>
      <c r="BU462" s="621"/>
      <c r="BV462" s="621"/>
      <c r="BW462" s="621"/>
      <c r="BX462" s="621"/>
      <c r="BY462" s="621"/>
      <c r="BZ462" s="621"/>
      <c r="CA462" s="621"/>
      <c r="CB462" s="621"/>
      <c r="CC462" s="621"/>
      <c r="CD462" s="622"/>
      <c r="CE462" s="18"/>
    </row>
    <row r="463" spans="1:83" s="9" customFormat="1" ht="12.75" customHeight="1" x14ac:dyDescent="0.15">
      <c r="A463" s="16"/>
      <c r="B463" s="8"/>
      <c r="D463" s="630"/>
      <c r="E463" s="631"/>
      <c r="F463" s="631"/>
      <c r="G463" s="631"/>
      <c r="H463" s="631"/>
      <c r="I463" s="631"/>
      <c r="J463" s="632"/>
      <c r="K463" s="40"/>
      <c r="L463" s="32"/>
      <c r="M463" s="32"/>
      <c r="N463" s="32"/>
      <c r="O463" s="33"/>
      <c r="P463" s="658"/>
      <c r="Q463" s="659"/>
      <c r="R463" s="659"/>
      <c r="S463" s="659"/>
      <c r="T463" s="659"/>
      <c r="U463" s="659"/>
      <c r="V463" s="659"/>
      <c r="W463" s="659"/>
      <c r="X463" s="659"/>
      <c r="Y463" s="659"/>
      <c r="Z463" s="659"/>
      <c r="AA463" s="659"/>
      <c r="AB463" s="659"/>
      <c r="AC463" s="659"/>
      <c r="AD463" s="659"/>
      <c r="AE463" s="659"/>
      <c r="AF463" s="659"/>
      <c r="AG463" s="659"/>
      <c r="AH463" s="659"/>
      <c r="AI463" s="659"/>
      <c r="AJ463" s="659"/>
      <c r="AK463" s="659"/>
      <c r="AL463" s="659"/>
      <c r="AM463" s="659"/>
      <c r="AN463" s="659"/>
      <c r="AO463" s="659"/>
      <c r="AP463" s="659"/>
      <c r="AQ463" s="659"/>
      <c r="AR463" s="659"/>
      <c r="AS463" s="659"/>
      <c r="AT463" s="659"/>
      <c r="AU463" s="659"/>
      <c r="AV463" s="659"/>
      <c r="AW463" s="659"/>
      <c r="AX463" s="659"/>
      <c r="AY463" s="659"/>
      <c r="AZ463" s="659"/>
      <c r="BA463" s="659"/>
      <c r="BB463" s="659"/>
      <c r="BC463" s="659"/>
      <c r="BD463" s="659"/>
      <c r="BE463" s="659"/>
      <c r="BF463" s="659"/>
      <c r="BG463" s="659"/>
      <c r="BH463" s="659"/>
      <c r="BI463" s="659"/>
      <c r="BJ463" s="659"/>
      <c r="BK463" s="659"/>
      <c r="BL463" s="659"/>
      <c r="BM463" s="659"/>
      <c r="BN463" s="659"/>
      <c r="BO463" s="659"/>
      <c r="BP463" s="659"/>
      <c r="BQ463" s="659"/>
      <c r="BR463" s="659"/>
      <c r="BS463" s="659"/>
      <c r="BT463" s="659"/>
      <c r="BU463" s="659"/>
      <c r="BV463" s="659"/>
      <c r="BW463" s="659"/>
      <c r="BX463" s="659"/>
      <c r="BY463" s="659"/>
      <c r="BZ463" s="659"/>
      <c r="CA463" s="659"/>
      <c r="CB463" s="659"/>
      <c r="CC463" s="659"/>
      <c r="CD463" s="660"/>
      <c r="CE463" s="18"/>
    </row>
    <row r="464" spans="1:83" s="9" customFormat="1" ht="12.75" customHeight="1" x14ac:dyDescent="0.15">
      <c r="A464" s="16"/>
      <c r="B464" s="8"/>
      <c r="D464" s="165" t="s">
        <v>238</v>
      </c>
      <c r="E464" s="35"/>
      <c r="F464" s="35"/>
      <c r="G464" s="35"/>
      <c r="H464" s="35"/>
      <c r="I464" s="35"/>
      <c r="J464" s="36"/>
      <c r="K464" s="34" t="s">
        <v>234</v>
      </c>
      <c r="L464" s="35"/>
      <c r="M464" s="35"/>
      <c r="N464" s="35"/>
      <c r="O464" s="36"/>
      <c r="P464" s="34"/>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6"/>
      <c r="CE464" s="18"/>
    </row>
    <row r="465" spans="1:83" s="9" customFormat="1" ht="12.75" customHeight="1" x14ac:dyDescent="0.15">
      <c r="A465" s="16"/>
      <c r="B465" s="8"/>
      <c r="D465" s="165" t="s">
        <v>464</v>
      </c>
      <c r="E465" s="35"/>
      <c r="F465" s="35"/>
      <c r="G465" s="35"/>
      <c r="H465" s="35"/>
      <c r="I465" s="35"/>
      <c r="J465" s="36"/>
      <c r="K465" s="34" t="s">
        <v>468</v>
      </c>
      <c r="L465" s="35"/>
      <c r="M465" s="35"/>
      <c r="N465" s="35"/>
      <c r="O465" s="36"/>
      <c r="P465" s="34" t="s">
        <v>239</v>
      </c>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6"/>
      <c r="CE465" s="18"/>
    </row>
    <row r="466" spans="1:83" s="9" customFormat="1" ht="12.75" customHeight="1" x14ac:dyDescent="0.15">
      <c r="A466" s="16"/>
      <c r="B466" s="8"/>
      <c r="D466" s="165" t="s">
        <v>462</v>
      </c>
      <c r="E466" s="35"/>
      <c r="F466" s="35"/>
      <c r="G466" s="35"/>
      <c r="H466" s="35"/>
      <c r="I466" s="35"/>
      <c r="J466" s="36"/>
      <c r="K466" s="34" t="s">
        <v>620</v>
      </c>
      <c r="L466" s="35"/>
      <c r="M466" s="35"/>
      <c r="N466" s="35"/>
      <c r="O466" s="36"/>
      <c r="P466" s="34"/>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6"/>
      <c r="CE466" s="18"/>
    </row>
    <row r="467" spans="1:83" s="9" customFormat="1" ht="12.75" customHeight="1" x14ac:dyDescent="0.15">
      <c r="A467" s="16"/>
      <c r="B467" s="8"/>
      <c r="D467" s="2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c r="CA467" s="12"/>
      <c r="CB467" s="12"/>
      <c r="CC467" s="12"/>
      <c r="CD467" s="12"/>
      <c r="CE467" s="18"/>
    </row>
    <row r="468" spans="1:83" s="9" customFormat="1" ht="12.75" customHeight="1" x14ac:dyDescent="0.15">
      <c r="A468" s="16"/>
      <c r="B468" s="8"/>
      <c r="D468" s="22"/>
      <c r="E468" s="12"/>
      <c r="F468" s="12"/>
      <c r="G468" s="12"/>
      <c r="H468" s="12"/>
      <c r="I468" s="12"/>
      <c r="J468" s="12"/>
      <c r="K468" s="12"/>
      <c r="L468" s="12"/>
      <c r="M468" s="12"/>
      <c r="N468" s="12"/>
      <c r="O468" s="12"/>
      <c r="P468" s="403"/>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c r="CA468" s="12"/>
      <c r="CB468" s="12"/>
      <c r="CC468" s="12"/>
      <c r="CD468" s="12"/>
      <c r="CE468" s="18"/>
    </row>
    <row r="469" spans="1:83" s="9" customFormat="1" ht="12.75" customHeight="1" x14ac:dyDescent="0.15">
      <c r="A469" s="16"/>
      <c r="B469" s="8"/>
      <c r="D469" s="2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c r="CA469" s="12"/>
      <c r="CB469" s="12"/>
      <c r="CC469" s="12"/>
      <c r="CD469" s="12"/>
      <c r="CE469" s="18"/>
    </row>
    <row r="470" spans="1:83" s="9" customFormat="1" ht="12.75" customHeight="1" x14ac:dyDescent="0.15">
      <c r="A470" s="16"/>
      <c r="B470" s="8"/>
      <c r="D470" s="144"/>
      <c r="E470" s="132"/>
      <c r="F470" s="132"/>
      <c r="G470" s="132"/>
      <c r="H470" s="132"/>
      <c r="I470" s="132"/>
      <c r="J470" s="132"/>
      <c r="K470" s="132"/>
      <c r="L470" s="132"/>
      <c r="M470" s="132"/>
      <c r="N470" s="132"/>
      <c r="O470" s="132"/>
      <c r="P470" s="13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c r="CA470" s="12"/>
      <c r="CB470" s="12"/>
      <c r="CC470" s="12"/>
      <c r="CD470" s="12"/>
      <c r="CE470" s="18"/>
    </row>
    <row r="471" spans="1:83" s="9" customFormat="1" ht="12.75" customHeight="1" x14ac:dyDescent="0.15">
      <c r="A471" s="16"/>
      <c r="B471" s="8"/>
      <c r="D471" s="144"/>
      <c r="E471" s="132"/>
      <c r="F471" s="132"/>
      <c r="G471" s="132"/>
      <c r="H471" s="132"/>
      <c r="I471" s="132"/>
      <c r="J471" s="132"/>
      <c r="K471" s="132"/>
      <c r="L471" s="132"/>
      <c r="M471" s="132"/>
      <c r="N471" s="132"/>
      <c r="O471" s="132"/>
      <c r="P471" s="13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c r="CA471" s="12"/>
      <c r="CB471" s="12"/>
      <c r="CC471" s="12"/>
      <c r="CD471" s="12"/>
      <c r="CE471" s="18"/>
    </row>
    <row r="472" spans="1:83" s="9" customFormat="1" ht="12.75" customHeight="1" x14ac:dyDescent="0.15">
      <c r="A472" s="16"/>
      <c r="B472" s="8"/>
      <c r="D472" s="144"/>
      <c r="E472" s="132"/>
      <c r="F472" s="132"/>
      <c r="G472" s="132"/>
      <c r="H472" s="132"/>
      <c r="I472" s="132"/>
      <c r="J472" s="132"/>
      <c r="K472" s="132"/>
      <c r="L472" s="132"/>
      <c r="M472" s="132"/>
      <c r="N472" s="132"/>
      <c r="O472" s="132"/>
      <c r="P472" s="13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c r="CA472" s="12"/>
      <c r="CB472" s="12"/>
      <c r="CC472" s="12"/>
      <c r="CD472" s="12"/>
      <c r="CE472" s="18"/>
    </row>
    <row r="473" spans="1:83" s="9" customFormat="1" ht="12.75" customHeight="1" x14ac:dyDescent="0.15">
      <c r="A473" s="16"/>
      <c r="B473" s="8"/>
      <c r="D473" s="2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c r="CA473" s="12"/>
      <c r="CB473" s="12"/>
      <c r="CC473" s="12"/>
      <c r="CD473" s="12"/>
      <c r="CE473" s="18"/>
    </row>
    <row r="474" spans="1:83" s="9" customFormat="1" ht="12" customHeight="1" thickBot="1" x14ac:dyDescent="0.2">
      <c r="A474" s="25"/>
      <c r="B474" s="30"/>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7"/>
      <c r="BA474" s="27"/>
      <c r="BB474" s="27"/>
      <c r="BC474" s="27"/>
      <c r="BD474" s="27"/>
      <c r="BE474" s="27"/>
      <c r="BF474" s="27"/>
      <c r="BG474" s="27"/>
      <c r="BH474" s="27"/>
      <c r="BI474" s="27"/>
      <c r="BJ474" s="27"/>
      <c r="BK474" s="27"/>
      <c r="BL474" s="27"/>
      <c r="BM474" s="27"/>
      <c r="BN474" s="27"/>
      <c r="BO474" s="27"/>
      <c r="BP474" s="27"/>
      <c r="BQ474" s="27"/>
      <c r="BR474" s="27"/>
      <c r="BS474" s="27"/>
      <c r="BT474" s="27"/>
      <c r="BU474" s="27"/>
      <c r="BV474" s="27"/>
      <c r="BW474" s="27"/>
      <c r="BX474" s="27"/>
      <c r="BY474" s="27"/>
      <c r="BZ474" s="27"/>
      <c r="CA474" s="27"/>
      <c r="CB474" s="27"/>
      <c r="CC474" s="26"/>
      <c r="CD474" s="26"/>
      <c r="CE474" s="28"/>
    </row>
    <row r="475" spans="1:83" s="4" customFormat="1" ht="12" customHeight="1" x14ac:dyDescent="0.15">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14"/>
      <c r="BZ475" s="14"/>
      <c r="CA475" s="14"/>
      <c r="CB475" s="14"/>
      <c r="CC475" s="14"/>
      <c r="CD475" s="14"/>
      <c r="CE475" s="15"/>
    </row>
    <row r="476" spans="1:83" s="9" customFormat="1" ht="12.75" customHeight="1" x14ac:dyDescent="0.15">
      <c r="A476" s="16"/>
      <c r="B476" s="8"/>
      <c r="D476" s="21" t="s">
        <v>914</v>
      </c>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c r="CA476" s="12"/>
      <c r="CB476" s="12"/>
      <c r="CC476" s="12"/>
      <c r="CD476" s="12"/>
      <c r="CE476" s="18"/>
    </row>
    <row r="477" spans="1:83" s="9" customFormat="1" ht="12.75" customHeight="1" x14ac:dyDescent="0.15">
      <c r="A477" s="16"/>
      <c r="B477" s="8"/>
      <c r="C477" s="29"/>
      <c r="D477" s="647" t="s">
        <v>915</v>
      </c>
      <c r="E477" s="648"/>
      <c r="F477" s="648"/>
      <c r="G477" s="648"/>
      <c r="H477" s="648"/>
      <c r="I477" s="648"/>
      <c r="J477" s="648"/>
      <c r="K477" s="648"/>
      <c r="L477" s="648"/>
      <c r="M477" s="648"/>
      <c r="N477" s="648"/>
      <c r="O477" s="648"/>
      <c r="P477" s="648"/>
      <c r="Q477" s="648"/>
      <c r="R477" s="648"/>
      <c r="S477" s="648"/>
      <c r="T477" s="648"/>
      <c r="U477" s="648"/>
      <c r="V477" s="648"/>
      <c r="W477" s="648"/>
      <c r="X477" s="648"/>
      <c r="Y477" s="648"/>
      <c r="Z477" s="648"/>
      <c r="AA477" s="648"/>
      <c r="AB477" s="648"/>
      <c r="AC477" s="648"/>
      <c r="AD477" s="648"/>
      <c r="AE477" s="648"/>
      <c r="AF477" s="648"/>
      <c r="AG477" s="648"/>
      <c r="AH477" s="648"/>
      <c r="AI477" s="648"/>
      <c r="AJ477" s="648"/>
      <c r="AK477" s="648"/>
      <c r="AL477" s="648"/>
      <c r="AM477" s="648"/>
      <c r="AN477" s="648"/>
      <c r="AO477" s="648"/>
      <c r="AP477" s="648"/>
      <c r="AQ477" s="648"/>
      <c r="AR477" s="648"/>
      <c r="AS477" s="648"/>
      <c r="AT477" s="648"/>
      <c r="AU477" s="648"/>
      <c r="AV477" s="648"/>
      <c r="AW477" s="648"/>
      <c r="AX477" s="648"/>
      <c r="AY477" s="648"/>
      <c r="AZ477" s="648"/>
      <c r="BA477" s="648"/>
      <c r="BB477" s="648"/>
      <c r="BC477" s="648"/>
      <c r="BD477" s="648"/>
      <c r="BE477" s="648"/>
      <c r="BF477" s="648"/>
      <c r="BG477" s="648"/>
      <c r="BH477" s="648"/>
      <c r="BI477" s="648"/>
      <c r="BJ477" s="648"/>
      <c r="BK477" s="648"/>
      <c r="BL477" s="648"/>
      <c r="BM477" s="648"/>
      <c r="BN477" s="648"/>
      <c r="BO477" s="648"/>
      <c r="BP477" s="648"/>
      <c r="BQ477" s="648"/>
      <c r="BR477" s="648"/>
      <c r="BS477" s="648"/>
      <c r="BT477" s="648"/>
      <c r="BU477" s="648"/>
      <c r="BV477" s="648"/>
      <c r="BW477" s="648"/>
      <c r="BX477" s="648"/>
      <c r="BY477" s="648"/>
      <c r="BZ477" s="648"/>
      <c r="CA477" s="648"/>
      <c r="CB477" s="648"/>
      <c r="CC477" s="648"/>
      <c r="CD477" s="649"/>
      <c r="CE477" s="18"/>
    </row>
    <row r="478" spans="1:83" s="9" customFormat="1" ht="12.75" customHeight="1" x14ac:dyDescent="0.15">
      <c r="A478" s="16"/>
      <c r="B478" s="8"/>
      <c r="C478" s="29"/>
      <c r="D478" s="650"/>
      <c r="E478" s="651"/>
      <c r="F478" s="651"/>
      <c r="G478" s="651"/>
      <c r="H478" s="651"/>
      <c r="I478" s="651"/>
      <c r="J478" s="651"/>
      <c r="K478" s="651"/>
      <c r="L478" s="651"/>
      <c r="M478" s="651"/>
      <c r="N478" s="651"/>
      <c r="O478" s="651"/>
      <c r="P478" s="651"/>
      <c r="Q478" s="651"/>
      <c r="R478" s="651"/>
      <c r="S478" s="651"/>
      <c r="T478" s="651"/>
      <c r="U478" s="651"/>
      <c r="V478" s="651"/>
      <c r="W478" s="651"/>
      <c r="X478" s="651"/>
      <c r="Y478" s="651"/>
      <c r="Z478" s="651"/>
      <c r="AA478" s="651"/>
      <c r="AB478" s="651"/>
      <c r="AC478" s="651"/>
      <c r="AD478" s="651"/>
      <c r="AE478" s="651"/>
      <c r="AF478" s="651"/>
      <c r="AG478" s="651"/>
      <c r="AH478" s="651"/>
      <c r="AI478" s="651"/>
      <c r="AJ478" s="651"/>
      <c r="AK478" s="651"/>
      <c r="AL478" s="651"/>
      <c r="AM478" s="651"/>
      <c r="AN478" s="651"/>
      <c r="AO478" s="651"/>
      <c r="AP478" s="651"/>
      <c r="AQ478" s="651"/>
      <c r="AR478" s="651"/>
      <c r="AS478" s="651"/>
      <c r="AT478" s="651"/>
      <c r="AU478" s="651"/>
      <c r="AV478" s="651"/>
      <c r="AW478" s="651"/>
      <c r="AX478" s="651"/>
      <c r="AY478" s="651"/>
      <c r="AZ478" s="651"/>
      <c r="BA478" s="651"/>
      <c r="BB478" s="651"/>
      <c r="BC478" s="651"/>
      <c r="BD478" s="651"/>
      <c r="BE478" s="651"/>
      <c r="BF478" s="651"/>
      <c r="BG478" s="651"/>
      <c r="BH478" s="651"/>
      <c r="BI478" s="651"/>
      <c r="BJ478" s="651"/>
      <c r="BK478" s="651"/>
      <c r="BL478" s="651"/>
      <c r="BM478" s="651"/>
      <c r="BN478" s="651"/>
      <c r="BO478" s="651"/>
      <c r="BP478" s="651"/>
      <c r="BQ478" s="651"/>
      <c r="BR478" s="651"/>
      <c r="BS478" s="651"/>
      <c r="BT478" s="651"/>
      <c r="BU478" s="651"/>
      <c r="BV478" s="651"/>
      <c r="BW478" s="651"/>
      <c r="BX478" s="651"/>
      <c r="BY478" s="651"/>
      <c r="BZ478" s="651"/>
      <c r="CA478" s="651"/>
      <c r="CB478" s="651"/>
      <c r="CC478" s="651"/>
      <c r="CD478" s="652"/>
      <c r="CE478" s="18"/>
    </row>
    <row r="479" spans="1:83" s="9" customFormat="1" ht="12.75" customHeight="1" x14ac:dyDescent="0.15">
      <c r="A479" s="16"/>
      <c r="B479" s="8"/>
      <c r="C479" s="29"/>
      <c r="D479" s="653"/>
      <c r="E479" s="654"/>
      <c r="F479" s="654"/>
      <c r="G479" s="654"/>
      <c r="H479" s="654"/>
      <c r="I479" s="654"/>
      <c r="J479" s="654"/>
      <c r="K479" s="654"/>
      <c r="L479" s="654"/>
      <c r="M479" s="654"/>
      <c r="N479" s="654"/>
      <c r="O479" s="654"/>
      <c r="P479" s="654"/>
      <c r="Q479" s="654"/>
      <c r="R479" s="654"/>
      <c r="S479" s="654"/>
      <c r="T479" s="654"/>
      <c r="U479" s="654"/>
      <c r="V479" s="654"/>
      <c r="W479" s="654"/>
      <c r="X479" s="654"/>
      <c r="Y479" s="654"/>
      <c r="Z479" s="654"/>
      <c r="AA479" s="654"/>
      <c r="AB479" s="654"/>
      <c r="AC479" s="654"/>
      <c r="AD479" s="654"/>
      <c r="AE479" s="654"/>
      <c r="AF479" s="654"/>
      <c r="AG479" s="654"/>
      <c r="AH479" s="654"/>
      <c r="AI479" s="654"/>
      <c r="AJ479" s="654"/>
      <c r="AK479" s="654"/>
      <c r="AL479" s="654"/>
      <c r="AM479" s="654"/>
      <c r="AN479" s="654"/>
      <c r="AO479" s="654"/>
      <c r="AP479" s="654"/>
      <c r="AQ479" s="654"/>
      <c r="AR479" s="654"/>
      <c r="AS479" s="654"/>
      <c r="AT479" s="654"/>
      <c r="AU479" s="654"/>
      <c r="AV479" s="654"/>
      <c r="AW479" s="654"/>
      <c r="AX479" s="654"/>
      <c r="AY479" s="654"/>
      <c r="AZ479" s="654"/>
      <c r="BA479" s="654"/>
      <c r="BB479" s="654"/>
      <c r="BC479" s="654"/>
      <c r="BD479" s="654"/>
      <c r="BE479" s="654"/>
      <c r="BF479" s="654"/>
      <c r="BG479" s="654"/>
      <c r="BH479" s="654"/>
      <c r="BI479" s="654"/>
      <c r="BJ479" s="654"/>
      <c r="BK479" s="654"/>
      <c r="BL479" s="654"/>
      <c r="BM479" s="654"/>
      <c r="BN479" s="654"/>
      <c r="BO479" s="654"/>
      <c r="BP479" s="654"/>
      <c r="BQ479" s="654"/>
      <c r="BR479" s="654"/>
      <c r="BS479" s="654"/>
      <c r="BT479" s="654"/>
      <c r="BU479" s="654"/>
      <c r="BV479" s="654"/>
      <c r="BW479" s="654"/>
      <c r="BX479" s="654"/>
      <c r="BY479" s="654"/>
      <c r="BZ479" s="654"/>
      <c r="CA479" s="654"/>
      <c r="CB479" s="654"/>
      <c r="CC479" s="654"/>
      <c r="CD479" s="655"/>
      <c r="CE479" s="18"/>
    </row>
    <row r="480" spans="1:83" s="9" customFormat="1" ht="12.75" customHeight="1" x14ac:dyDescent="0.15">
      <c r="A480" s="16"/>
      <c r="B480" s="8"/>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c r="CA480" s="12"/>
      <c r="CB480" s="12"/>
      <c r="CC480" s="12"/>
      <c r="CD480" s="12"/>
      <c r="CE480" s="18"/>
    </row>
    <row r="481" spans="1:83" s="9" customFormat="1" ht="12.75" customHeight="1" x14ac:dyDescent="0.15">
      <c r="A481" s="16"/>
      <c r="B481" s="8"/>
      <c r="C481" s="29"/>
      <c r="D481" s="12" t="s">
        <v>262</v>
      </c>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c r="CA481" s="12"/>
      <c r="CB481" s="12"/>
      <c r="CC481" s="12"/>
      <c r="CD481" s="12"/>
      <c r="CE481" s="18"/>
    </row>
    <row r="482" spans="1:83" s="9" customFormat="1" ht="12" customHeight="1" x14ac:dyDescent="0.15">
      <c r="A482" s="16"/>
      <c r="B482" s="8"/>
      <c r="C482" s="12"/>
      <c r="D482" s="248" t="s">
        <v>240</v>
      </c>
      <c r="E482" s="249"/>
      <c r="F482" s="248" t="s">
        <v>560</v>
      </c>
      <c r="G482" s="250"/>
      <c r="H482" s="250"/>
      <c r="I482" s="250"/>
      <c r="J482" s="250"/>
      <c r="K482" s="250"/>
      <c r="L482" s="250"/>
      <c r="M482" s="250"/>
      <c r="N482" s="250"/>
      <c r="O482" s="250"/>
      <c r="P482" s="249"/>
      <c r="Q482" s="248" t="s">
        <v>566</v>
      </c>
      <c r="R482" s="250"/>
      <c r="S482" s="250"/>
      <c r="T482" s="250"/>
      <c r="U482" s="250"/>
      <c r="V482" s="250"/>
      <c r="W482" s="250"/>
      <c r="X482" s="250"/>
      <c r="Y482" s="250"/>
      <c r="Z482" s="250"/>
      <c r="AA482" s="250"/>
      <c r="AB482" s="248" t="s">
        <v>241</v>
      </c>
      <c r="AC482" s="250"/>
      <c r="AD482" s="250"/>
      <c r="AE482" s="250"/>
      <c r="AF482" s="250"/>
      <c r="AG482" s="250"/>
      <c r="AH482" s="250"/>
      <c r="AI482" s="250"/>
      <c r="AJ482" s="250"/>
      <c r="AK482" s="250"/>
      <c r="AL482" s="250"/>
      <c r="AM482" s="250"/>
      <c r="AN482" s="250"/>
      <c r="AO482" s="249"/>
      <c r="AP482" s="248" t="s">
        <v>562</v>
      </c>
      <c r="AQ482" s="250"/>
      <c r="AR482" s="250"/>
      <c r="AS482" s="250"/>
      <c r="AT482" s="250"/>
      <c r="AU482" s="250"/>
      <c r="AV482" s="250"/>
      <c r="AW482" s="250"/>
      <c r="AX482" s="250"/>
      <c r="AY482" s="250"/>
      <c r="AZ482" s="249"/>
      <c r="BA482" s="250" t="s">
        <v>567</v>
      </c>
      <c r="BB482" s="250"/>
      <c r="BC482" s="250"/>
      <c r="BD482" s="250"/>
      <c r="BE482" s="250"/>
      <c r="BF482" s="250"/>
      <c r="BG482" s="250"/>
      <c r="BH482" s="250"/>
      <c r="BI482" s="250"/>
      <c r="BJ482" s="250"/>
      <c r="BK482" s="250"/>
      <c r="BL482" s="250"/>
      <c r="BM482" s="250"/>
      <c r="BN482" s="250"/>
      <c r="BO482" s="250"/>
      <c r="BP482" s="250"/>
      <c r="BQ482" s="250"/>
      <c r="BR482" s="250"/>
      <c r="BS482" s="250"/>
      <c r="BT482" s="250"/>
      <c r="BU482" s="250"/>
      <c r="BV482" s="250"/>
      <c r="BW482" s="250"/>
      <c r="BX482" s="250"/>
      <c r="BY482" s="250"/>
      <c r="BZ482" s="250"/>
      <c r="CA482" s="250"/>
      <c r="CB482" s="250"/>
      <c r="CC482" s="250"/>
      <c r="CD482" s="249"/>
      <c r="CE482" s="18"/>
    </row>
    <row r="483" spans="1:83" s="9" customFormat="1" ht="12" customHeight="1" x14ac:dyDescent="0.15">
      <c r="A483" s="16"/>
      <c r="B483" s="8"/>
      <c r="C483" s="12"/>
      <c r="D483" s="602" t="s">
        <v>242</v>
      </c>
      <c r="E483" s="603"/>
      <c r="F483" s="34" t="s">
        <v>642</v>
      </c>
      <c r="G483" s="35"/>
      <c r="H483" s="35"/>
      <c r="I483" s="35"/>
      <c r="J483" s="35"/>
      <c r="K483" s="35"/>
      <c r="L483" s="35"/>
      <c r="M483" s="35"/>
      <c r="N483" s="35"/>
      <c r="O483" s="35"/>
      <c r="P483" s="36"/>
      <c r="Q483" s="34" t="s">
        <v>904</v>
      </c>
      <c r="R483" s="35"/>
      <c r="S483" s="35"/>
      <c r="T483" s="35"/>
      <c r="U483" s="35"/>
      <c r="V483" s="35"/>
      <c r="W483" s="35"/>
      <c r="X483" s="35"/>
      <c r="Y483" s="35"/>
      <c r="Z483" s="35"/>
      <c r="AA483" s="35"/>
      <c r="AB483" s="34" t="s">
        <v>564</v>
      </c>
      <c r="AC483" s="35"/>
      <c r="AD483" s="35"/>
      <c r="AE483" s="35"/>
      <c r="AF483" s="35"/>
      <c r="AG483" s="35"/>
      <c r="AH483" s="35"/>
      <c r="AI483" s="35"/>
      <c r="AJ483" s="35"/>
      <c r="AK483" s="35"/>
      <c r="AL483" s="35"/>
      <c r="AM483" s="35"/>
      <c r="AN483" s="35"/>
      <c r="AO483" s="36"/>
      <c r="AP483" s="34" t="s">
        <v>563</v>
      </c>
      <c r="AQ483" s="35"/>
      <c r="AR483" s="35"/>
      <c r="AS483" s="35"/>
      <c r="AT483" s="35"/>
      <c r="AU483" s="35"/>
      <c r="AV483" s="35"/>
      <c r="AW483" s="35"/>
      <c r="AX483" s="35"/>
      <c r="AY483" s="35"/>
      <c r="AZ483" s="36"/>
      <c r="BA483" s="35" t="s">
        <v>568</v>
      </c>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6"/>
      <c r="CE483" s="18"/>
    </row>
    <row r="484" spans="1:83" s="9" customFormat="1" ht="12" customHeight="1" x14ac:dyDescent="0.15">
      <c r="A484" s="16"/>
      <c r="B484" s="8"/>
      <c r="C484" s="12"/>
      <c r="D484" s="602" t="s">
        <v>226</v>
      </c>
      <c r="E484" s="603"/>
      <c r="F484" s="34" t="s">
        <v>643</v>
      </c>
      <c r="G484" s="35"/>
      <c r="H484" s="35"/>
      <c r="I484" s="35"/>
      <c r="J484" s="35"/>
      <c r="K484" s="35"/>
      <c r="L484" s="35"/>
      <c r="M484" s="35"/>
      <c r="N484" s="35"/>
      <c r="O484" s="35"/>
      <c r="P484" s="36"/>
      <c r="Q484" s="34" t="s">
        <v>916</v>
      </c>
      <c r="R484" s="35"/>
      <c r="S484" s="35"/>
      <c r="T484" s="35"/>
      <c r="U484" s="35"/>
      <c r="V484" s="35"/>
      <c r="W484" s="35"/>
      <c r="X484" s="35"/>
      <c r="Y484" s="35"/>
      <c r="Z484" s="35"/>
      <c r="AA484" s="35"/>
      <c r="AB484" s="34" t="s">
        <v>564</v>
      </c>
      <c r="AC484" s="35"/>
      <c r="AD484" s="35"/>
      <c r="AE484" s="35"/>
      <c r="AF484" s="35"/>
      <c r="AG484" s="35"/>
      <c r="AH484" s="35"/>
      <c r="AI484" s="35"/>
      <c r="AJ484" s="35"/>
      <c r="AK484" s="35"/>
      <c r="AL484" s="35"/>
      <c r="AM484" s="35"/>
      <c r="AN484" s="35"/>
      <c r="AO484" s="36"/>
      <c r="AP484" s="34" t="s">
        <v>563</v>
      </c>
      <c r="AQ484" s="35"/>
      <c r="AR484" s="35"/>
      <c r="AS484" s="35"/>
      <c r="AT484" s="35"/>
      <c r="AU484" s="35"/>
      <c r="AV484" s="35"/>
      <c r="AW484" s="35"/>
      <c r="AX484" s="35"/>
      <c r="AY484" s="35"/>
      <c r="AZ484" s="36"/>
      <c r="BA484" s="35" t="s">
        <v>569</v>
      </c>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6"/>
      <c r="CE484" s="18"/>
    </row>
    <row r="485" spans="1:83" s="9" customFormat="1" ht="12" customHeight="1" x14ac:dyDescent="0.15">
      <c r="A485" s="16"/>
      <c r="B485" s="8"/>
      <c r="C485" s="12"/>
      <c r="D485" s="602" t="s">
        <v>245</v>
      </c>
      <c r="E485" s="603"/>
      <c r="F485" s="34" t="s">
        <v>644</v>
      </c>
      <c r="G485" s="35"/>
      <c r="H485" s="35"/>
      <c r="I485" s="35"/>
      <c r="J485" s="35"/>
      <c r="K485" s="35"/>
      <c r="L485" s="35"/>
      <c r="M485" s="35"/>
      <c r="N485" s="35"/>
      <c r="O485" s="35"/>
      <c r="P485" s="36"/>
      <c r="Q485" s="34" t="s">
        <v>906</v>
      </c>
      <c r="R485" s="35"/>
      <c r="S485" s="35"/>
      <c r="T485" s="35"/>
      <c r="U485" s="35"/>
      <c r="V485" s="35"/>
      <c r="W485" s="35"/>
      <c r="X485" s="35"/>
      <c r="Y485" s="35"/>
      <c r="Z485" s="35"/>
      <c r="AA485" s="35"/>
      <c r="AB485" s="34" t="s">
        <v>564</v>
      </c>
      <c r="AC485" s="35"/>
      <c r="AD485" s="35"/>
      <c r="AE485" s="35"/>
      <c r="AF485" s="35"/>
      <c r="AG485" s="35"/>
      <c r="AH485" s="35"/>
      <c r="AI485" s="35"/>
      <c r="AJ485" s="35"/>
      <c r="AK485" s="35"/>
      <c r="AL485" s="35"/>
      <c r="AM485" s="35"/>
      <c r="AN485" s="35"/>
      <c r="AO485" s="36"/>
      <c r="AP485" s="34" t="s">
        <v>563</v>
      </c>
      <c r="AQ485" s="35"/>
      <c r="AR485" s="35"/>
      <c r="AS485" s="35"/>
      <c r="AT485" s="35"/>
      <c r="AU485" s="35"/>
      <c r="AV485" s="35"/>
      <c r="AW485" s="35"/>
      <c r="AX485" s="35"/>
      <c r="AY485" s="35"/>
      <c r="AZ485" s="36"/>
      <c r="BA485" s="35" t="s">
        <v>907</v>
      </c>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6"/>
      <c r="CE485" s="18"/>
    </row>
    <row r="486" spans="1:83" s="9" customFormat="1" ht="12" customHeight="1" x14ac:dyDescent="0.15">
      <c r="A486" s="16"/>
      <c r="B486" s="8"/>
      <c r="C486" s="12"/>
      <c r="D486" s="602" t="s">
        <v>565</v>
      </c>
      <c r="E486" s="603"/>
      <c r="F486" s="34" t="s">
        <v>645</v>
      </c>
      <c r="G486" s="35"/>
      <c r="H486" s="35"/>
      <c r="I486" s="35"/>
      <c r="J486" s="35"/>
      <c r="K486" s="35"/>
      <c r="L486" s="35"/>
      <c r="M486" s="35"/>
      <c r="N486" s="35"/>
      <c r="O486" s="35"/>
      <c r="P486" s="36"/>
      <c r="Q486" s="34" t="s">
        <v>908</v>
      </c>
      <c r="R486" s="35"/>
      <c r="S486" s="35"/>
      <c r="T486" s="35"/>
      <c r="U486" s="35"/>
      <c r="V486" s="35"/>
      <c r="W486" s="35"/>
      <c r="X486" s="35"/>
      <c r="Y486" s="35"/>
      <c r="Z486" s="35"/>
      <c r="AA486" s="35"/>
      <c r="AB486" s="34" t="s">
        <v>564</v>
      </c>
      <c r="AC486" s="35"/>
      <c r="AD486" s="35"/>
      <c r="AE486" s="35"/>
      <c r="AF486" s="35"/>
      <c r="AG486" s="35"/>
      <c r="AH486" s="35"/>
      <c r="AI486" s="35"/>
      <c r="AJ486" s="35"/>
      <c r="AK486" s="35"/>
      <c r="AL486" s="35"/>
      <c r="AM486" s="35"/>
      <c r="AN486" s="35"/>
      <c r="AO486" s="36"/>
      <c r="AP486" s="34" t="s">
        <v>563</v>
      </c>
      <c r="AQ486" s="35"/>
      <c r="AR486" s="35"/>
      <c r="AS486" s="35"/>
      <c r="AT486" s="35"/>
      <c r="AU486" s="35"/>
      <c r="AV486" s="35"/>
      <c r="AW486" s="35"/>
      <c r="AX486" s="35"/>
      <c r="AY486" s="35"/>
      <c r="AZ486" s="36"/>
      <c r="BA486" s="35" t="s">
        <v>909</v>
      </c>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6"/>
      <c r="CE486" s="18"/>
    </row>
    <row r="487" spans="1:83" s="9" customFormat="1" ht="12.75" customHeight="1" x14ac:dyDescent="0.15">
      <c r="A487" s="16"/>
      <c r="B487" s="8"/>
      <c r="D487" s="602" t="s">
        <v>637</v>
      </c>
      <c r="E487" s="603"/>
      <c r="F487" s="34" t="s">
        <v>646</v>
      </c>
      <c r="G487" s="35"/>
      <c r="H487" s="35"/>
      <c r="I487" s="35"/>
      <c r="J487" s="35"/>
      <c r="K487" s="35"/>
      <c r="L487" s="35"/>
      <c r="M487" s="35"/>
      <c r="N487" s="35"/>
      <c r="O487" s="35"/>
      <c r="P487" s="36"/>
      <c r="Q487" s="34" t="s">
        <v>917</v>
      </c>
      <c r="R487" s="35"/>
      <c r="S487" s="35"/>
      <c r="T487" s="35"/>
      <c r="U487" s="35"/>
      <c r="V487" s="35"/>
      <c r="W487" s="35"/>
      <c r="X487" s="35"/>
      <c r="Y487" s="35"/>
      <c r="Z487" s="35"/>
      <c r="AA487" s="35"/>
      <c r="AB487" s="34" t="s">
        <v>635</v>
      </c>
      <c r="AC487" s="35"/>
      <c r="AD487" s="35"/>
      <c r="AE487" s="35"/>
      <c r="AF487" s="35"/>
      <c r="AG487" s="35"/>
      <c r="AH487" s="35"/>
      <c r="AI487" s="35"/>
      <c r="AJ487" s="35"/>
      <c r="AK487" s="35"/>
      <c r="AL487" s="35"/>
      <c r="AM487" s="35"/>
      <c r="AN487" s="35"/>
      <c r="AO487" s="36"/>
      <c r="AP487" s="34" t="s">
        <v>563</v>
      </c>
      <c r="AQ487" s="35"/>
      <c r="AR487" s="35"/>
      <c r="AS487" s="35"/>
      <c r="AT487" s="35"/>
      <c r="AU487" s="35"/>
      <c r="AV487" s="35"/>
      <c r="AW487" s="35"/>
      <c r="AX487" s="35"/>
      <c r="AY487" s="35"/>
      <c r="AZ487" s="36"/>
      <c r="BA487" s="35" t="s">
        <v>918</v>
      </c>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6"/>
      <c r="CE487" s="18"/>
    </row>
    <row r="488" spans="1:83" s="9" customFormat="1" ht="12" customHeight="1" x14ac:dyDescent="0.15">
      <c r="A488" s="16"/>
      <c r="B488" s="8"/>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c r="CA488" s="12"/>
      <c r="CB488" s="12"/>
      <c r="CC488" s="12"/>
      <c r="CD488" s="12"/>
      <c r="CE488" s="18"/>
    </row>
    <row r="489" spans="1:83" s="9" customFormat="1" ht="12.75" customHeight="1" x14ac:dyDescent="0.15">
      <c r="A489" s="16"/>
      <c r="B489" s="8"/>
      <c r="C489" s="12"/>
      <c r="D489" s="12" t="s">
        <v>263</v>
      </c>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c r="CA489" s="12"/>
      <c r="CB489" s="12"/>
      <c r="CC489" s="12"/>
      <c r="CD489" s="12"/>
      <c r="CE489" s="18"/>
    </row>
    <row r="490" spans="1:83" s="9" customFormat="1" ht="12.75" customHeight="1" x14ac:dyDescent="0.15">
      <c r="A490" s="16"/>
      <c r="B490" s="8"/>
      <c r="C490" s="12"/>
      <c r="D490" s="248" t="s">
        <v>240</v>
      </c>
      <c r="E490" s="249"/>
      <c r="F490" s="248" t="s">
        <v>566</v>
      </c>
      <c r="G490" s="250"/>
      <c r="H490" s="250"/>
      <c r="I490" s="250"/>
      <c r="J490" s="250"/>
      <c r="K490" s="250"/>
      <c r="L490" s="250"/>
      <c r="M490" s="250"/>
      <c r="N490" s="250"/>
      <c r="O490" s="250"/>
      <c r="P490" s="249"/>
      <c r="Q490" s="248" t="s">
        <v>571</v>
      </c>
      <c r="R490" s="250"/>
      <c r="S490" s="250"/>
      <c r="T490" s="250"/>
      <c r="U490" s="250"/>
      <c r="V490" s="250"/>
      <c r="W490" s="250"/>
      <c r="X490" s="250"/>
      <c r="Y490" s="250"/>
      <c r="Z490" s="250"/>
      <c r="AA490" s="250"/>
      <c r="AB490" s="250"/>
      <c r="AC490" s="250"/>
      <c r="AD490" s="250"/>
      <c r="AE490" s="250"/>
      <c r="AF490" s="250"/>
      <c r="AG490" s="250"/>
      <c r="AH490" s="250"/>
      <c r="AI490" s="250"/>
      <c r="AJ490" s="250"/>
      <c r="AK490" s="250"/>
      <c r="AL490" s="250"/>
      <c r="AM490" s="250"/>
      <c r="AN490" s="250"/>
      <c r="AO490" s="250"/>
      <c r="AP490" s="250"/>
      <c r="AQ490" s="250"/>
      <c r="AR490" s="250"/>
      <c r="AS490" s="250"/>
      <c r="AT490" s="250"/>
      <c r="AU490" s="250"/>
      <c r="AV490" s="250"/>
      <c r="AW490" s="250"/>
      <c r="AX490" s="250"/>
      <c r="AY490" s="250"/>
      <c r="AZ490" s="250"/>
      <c r="BA490" s="250"/>
      <c r="BB490" s="250"/>
      <c r="BC490" s="250"/>
      <c r="BD490" s="250"/>
      <c r="BE490" s="250"/>
      <c r="BF490" s="250"/>
      <c r="BG490" s="250"/>
      <c r="BH490" s="250"/>
      <c r="BI490" s="250"/>
      <c r="BJ490" s="250"/>
      <c r="BK490" s="250"/>
      <c r="BL490" s="250"/>
      <c r="BM490" s="250"/>
      <c r="BN490" s="250"/>
      <c r="BO490" s="250"/>
      <c r="BP490" s="250"/>
      <c r="BQ490" s="250"/>
      <c r="BR490" s="250"/>
      <c r="BS490" s="250"/>
      <c r="BT490" s="250"/>
      <c r="BU490" s="250"/>
      <c r="BV490" s="250"/>
      <c r="BW490" s="250"/>
      <c r="BX490" s="250"/>
      <c r="BY490" s="250"/>
      <c r="BZ490" s="250"/>
      <c r="CA490" s="250"/>
      <c r="CB490" s="250"/>
      <c r="CC490" s="250"/>
      <c r="CD490" s="249"/>
      <c r="CE490" s="18"/>
    </row>
    <row r="491" spans="1:83" s="9" customFormat="1" ht="12.75" customHeight="1" x14ac:dyDescent="0.15">
      <c r="A491" s="16"/>
      <c r="B491" s="8"/>
      <c r="C491" s="12"/>
      <c r="D491" s="602" t="s">
        <v>242</v>
      </c>
      <c r="E491" s="603"/>
      <c r="F491" s="34" t="s">
        <v>904</v>
      </c>
      <c r="G491" s="35"/>
      <c r="H491" s="35"/>
      <c r="I491" s="35"/>
      <c r="J491" s="35"/>
      <c r="K491" s="35"/>
      <c r="L491" s="35"/>
      <c r="M491" s="35"/>
      <c r="N491" s="35"/>
      <c r="O491" s="35"/>
      <c r="P491" s="36"/>
      <c r="Q491" s="34" t="s">
        <v>910</v>
      </c>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6"/>
      <c r="CE491" s="18"/>
    </row>
    <row r="492" spans="1:83" s="9" customFormat="1" ht="12.75" customHeight="1" x14ac:dyDescent="0.15">
      <c r="A492" s="16"/>
      <c r="B492" s="8"/>
      <c r="C492" s="12"/>
      <c r="D492" s="602" t="s">
        <v>226</v>
      </c>
      <c r="E492" s="603"/>
      <c r="F492" s="34" t="s">
        <v>905</v>
      </c>
      <c r="G492" s="35"/>
      <c r="H492" s="35"/>
      <c r="I492" s="35"/>
      <c r="J492" s="35"/>
      <c r="K492" s="35"/>
      <c r="L492" s="35"/>
      <c r="M492" s="35"/>
      <c r="N492" s="35"/>
      <c r="O492" s="35"/>
      <c r="P492" s="36"/>
      <c r="Q492" s="34" t="s">
        <v>572</v>
      </c>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6"/>
      <c r="CE492" s="18"/>
    </row>
    <row r="493" spans="1:83" s="9" customFormat="1" ht="12.75" customHeight="1" x14ac:dyDescent="0.15">
      <c r="A493" s="16"/>
      <c r="B493" s="8"/>
      <c r="C493" s="12"/>
      <c r="D493" s="602" t="s">
        <v>245</v>
      </c>
      <c r="E493" s="603"/>
      <c r="F493" s="34" t="s">
        <v>906</v>
      </c>
      <c r="G493" s="35"/>
      <c r="H493" s="35"/>
      <c r="I493" s="35"/>
      <c r="J493" s="35"/>
      <c r="K493" s="35"/>
      <c r="L493" s="35"/>
      <c r="M493" s="35"/>
      <c r="N493" s="35"/>
      <c r="O493" s="35"/>
      <c r="P493" s="36"/>
      <c r="Q493" s="34" t="s">
        <v>667</v>
      </c>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6"/>
      <c r="CE493" s="18"/>
    </row>
    <row r="494" spans="1:83" s="9" customFormat="1" ht="12.75" customHeight="1" x14ac:dyDescent="0.15">
      <c r="A494" s="16"/>
      <c r="B494" s="8"/>
      <c r="C494" s="12"/>
      <c r="D494" s="602" t="s">
        <v>565</v>
      </c>
      <c r="E494" s="603"/>
      <c r="F494" s="34" t="s">
        <v>908</v>
      </c>
      <c r="G494" s="35"/>
      <c r="H494" s="35"/>
      <c r="I494" s="35"/>
      <c r="J494" s="35"/>
      <c r="K494" s="35"/>
      <c r="L494" s="35"/>
      <c r="M494" s="35"/>
      <c r="N494" s="35"/>
      <c r="O494" s="35"/>
      <c r="P494" s="36"/>
      <c r="Q494" s="34" t="s">
        <v>666</v>
      </c>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6"/>
      <c r="CE494" s="18"/>
    </row>
    <row r="495" spans="1:83" s="9" customFormat="1" ht="12.75" customHeight="1" x14ac:dyDescent="0.15">
      <c r="A495" s="16"/>
      <c r="B495" s="8"/>
      <c r="C495" s="12"/>
      <c r="D495" s="602" t="s">
        <v>637</v>
      </c>
      <c r="E495" s="603"/>
      <c r="F495" s="34" t="s">
        <v>917</v>
      </c>
      <c r="G495" s="35"/>
      <c r="H495" s="35"/>
      <c r="I495" s="35"/>
      <c r="J495" s="35"/>
      <c r="K495" s="35"/>
      <c r="L495" s="35"/>
      <c r="M495" s="35"/>
      <c r="N495" s="35"/>
      <c r="O495" s="35"/>
      <c r="P495" s="36"/>
      <c r="Q495" s="34" t="s">
        <v>647</v>
      </c>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6"/>
      <c r="CE495" s="18"/>
    </row>
    <row r="496" spans="1:83" s="9" customFormat="1" ht="12.75" customHeight="1" x14ac:dyDescent="0.15">
      <c r="A496" s="16"/>
      <c r="B496" s="8"/>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c r="CA496" s="12"/>
      <c r="CB496" s="12"/>
      <c r="CC496" s="12"/>
      <c r="CD496" s="12"/>
      <c r="CE496" s="18"/>
    </row>
    <row r="497" spans="1:83" s="9" customFormat="1" ht="12.75" customHeight="1" x14ac:dyDescent="0.15">
      <c r="A497" s="16"/>
      <c r="B497" s="8"/>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c r="CA497" s="12"/>
      <c r="CB497" s="12"/>
      <c r="CC497" s="12"/>
      <c r="CD497" s="12"/>
      <c r="CE497" s="18"/>
    </row>
    <row r="498" spans="1:83" s="9" customFormat="1" ht="12.75" customHeight="1" x14ac:dyDescent="0.15">
      <c r="A498" s="16"/>
      <c r="B498" s="8"/>
      <c r="D498" s="21" t="s">
        <v>264</v>
      </c>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c r="CA498" s="12"/>
      <c r="CB498" s="12"/>
      <c r="CC498" s="12"/>
      <c r="CD498" s="12"/>
      <c r="CE498" s="18"/>
    </row>
    <row r="499" spans="1:83" s="9" customFormat="1" ht="12.75" customHeight="1" x14ac:dyDescent="0.15">
      <c r="A499" s="16"/>
      <c r="B499" s="8"/>
      <c r="C499" s="29"/>
      <c r="D499" s="647" t="s">
        <v>248</v>
      </c>
      <c r="E499" s="648"/>
      <c r="F499" s="648"/>
      <c r="G499" s="648"/>
      <c r="H499" s="648"/>
      <c r="I499" s="648"/>
      <c r="J499" s="648"/>
      <c r="K499" s="648"/>
      <c r="L499" s="648"/>
      <c r="M499" s="648"/>
      <c r="N499" s="648"/>
      <c r="O499" s="648"/>
      <c r="P499" s="648"/>
      <c r="Q499" s="648"/>
      <c r="R499" s="648"/>
      <c r="S499" s="648"/>
      <c r="T499" s="648"/>
      <c r="U499" s="648"/>
      <c r="V499" s="648"/>
      <c r="W499" s="648"/>
      <c r="X499" s="648"/>
      <c r="Y499" s="648"/>
      <c r="Z499" s="648"/>
      <c r="AA499" s="648"/>
      <c r="AB499" s="648"/>
      <c r="AC499" s="648"/>
      <c r="AD499" s="648"/>
      <c r="AE499" s="648"/>
      <c r="AF499" s="648"/>
      <c r="AG499" s="648"/>
      <c r="AH499" s="648"/>
      <c r="AI499" s="648"/>
      <c r="AJ499" s="648"/>
      <c r="AK499" s="648"/>
      <c r="AL499" s="648"/>
      <c r="AM499" s="648"/>
      <c r="AN499" s="648"/>
      <c r="AO499" s="648"/>
      <c r="AP499" s="648"/>
      <c r="AQ499" s="648"/>
      <c r="AR499" s="648"/>
      <c r="AS499" s="648"/>
      <c r="AT499" s="648"/>
      <c r="AU499" s="648"/>
      <c r="AV499" s="648"/>
      <c r="AW499" s="648"/>
      <c r="AX499" s="648"/>
      <c r="AY499" s="648"/>
      <c r="AZ499" s="648"/>
      <c r="BA499" s="648"/>
      <c r="BB499" s="648"/>
      <c r="BC499" s="648"/>
      <c r="BD499" s="648"/>
      <c r="BE499" s="648"/>
      <c r="BF499" s="648"/>
      <c r="BG499" s="648"/>
      <c r="BH499" s="648"/>
      <c r="BI499" s="648"/>
      <c r="BJ499" s="648"/>
      <c r="BK499" s="648"/>
      <c r="BL499" s="648"/>
      <c r="BM499" s="648"/>
      <c r="BN499" s="648"/>
      <c r="BO499" s="648"/>
      <c r="BP499" s="648"/>
      <c r="BQ499" s="648"/>
      <c r="BR499" s="648"/>
      <c r="BS499" s="648"/>
      <c r="BT499" s="648"/>
      <c r="BU499" s="648"/>
      <c r="BV499" s="648"/>
      <c r="BW499" s="648"/>
      <c r="BX499" s="648"/>
      <c r="BY499" s="648"/>
      <c r="BZ499" s="648"/>
      <c r="CA499" s="648"/>
      <c r="CB499" s="648"/>
      <c r="CC499" s="648"/>
      <c r="CD499" s="649"/>
      <c r="CE499" s="18"/>
    </row>
    <row r="500" spans="1:83" s="9" customFormat="1" ht="12.75" customHeight="1" x14ac:dyDescent="0.15">
      <c r="A500" s="16"/>
      <c r="B500" s="8"/>
      <c r="C500" s="29"/>
      <c r="D500" s="650"/>
      <c r="E500" s="651"/>
      <c r="F500" s="651"/>
      <c r="G500" s="651"/>
      <c r="H500" s="651"/>
      <c r="I500" s="651"/>
      <c r="J500" s="651"/>
      <c r="K500" s="651"/>
      <c r="L500" s="651"/>
      <c r="M500" s="651"/>
      <c r="N500" s="651"/>
      <c r="O500" s="651"/>
      <c r="P500" s="651"/>
      <c r="Q500" s="651"/>
      <c r="R500" s="651"/>
      <c r="S500" s="651"/>
      <c r="T500" s="651"/>
      <c r="U500" s="651"/>
      <c r="V500" s="651"/>
      <c r="W500" s="651"/>
      <c r="X500" s="651"/>
      <c r="Y500" s="651"/>
      <c r="Z500" s="651"/>
      <c r="AA500" s="651"/>
      <c r="AB500" s="651"/>
      <c r="AC500" s="651"/>
      <c r="AD500" s="651"/>
      <c r="AE500" s="651"/>
      <c r="AF500" s="651"/>
      <c r="AG500" s="651"/>
      <c r="AH500" s="651"/>
      <c r="AI500" s="651"/>
      <c r="AJ500" s="651"/>
      <c r="AK500" s="651"/>
      <c r="AL500" s="651"/>
      <c r="AM500" s="651"/>
      <c r="AN500" s="651"/>
      <c r="AO500" s="651"/>
      <c r="AP500" s="651"/>
      <c r="AQ500" s="651"/>
      <c r="AR500" s="651"/>
      <c r="AS500" s="651"/>
      <c r="AT500" s="651"/>
      <c r="AU500" s="651"/>
      <c r="AV500" s="651"/>
      <c r="AW500" s="651"/>
      <c r="AX500" s="651"/>
      <c r="AY500" s="651"/>
      <c r="AZ500" s="651"/>
      <c r="BA500" s="651"/>
      <c r="BB500" s="651"/>
      <c r="BC500" s="651"/>
      <c r="BD500" s="651"/>
      <c r="BE500" s="651"/>
      <c r="BF500" s="651"/>
      <c r="BG500" s="651"/>
      <c r="BH500" s="651"/>
      <c r="BI500" s="651"/>
      <c r="BJ500" s="651"/>
      <c r="BK500" s="651"/>
      <c r="BL500" s="651"/>
      <c r="BM500" s="651"/>
      <c r="BN500" s="651"/>
      <c r="BO500" s="651"/>
      <c r="BP500" s="651"/>
      <c r="BQ500" s="651"/>
      <c r="BR500" s="651"/>
      <c r="BS500" s="651"/>
      <c r="BT500" s="651"/>
      <c r="BU500" s="651"/>
      <c r="BV500" s="651"/>
      <c r="BW500" s="651"/>
      <c r="BX500" s="651"/>
      <c r="BY500" s="651"/>
      <c r="BZ500" s="651"/>
      <c r="CA500" s="651"/>
      <c r="CB500" s="651"/>
      <c r="CC500" s="651"/>
      <c r="CD500" s="652"/>
      <c r="CE500" s="18"/>
    </row>
    <row r="501" spans="1:83" s="9" customFormat="1" ht="12.75" customHeight="1" x14ac:dyDescent="0.15">
      <c r="A501" s="16"/>
      <c r="B501" s="8"/>
      <c r="C501" s="29"/>
      <c r="D501" s="653"/>
      <c r="E501" s="654"/>
      <c r="F501" s="654"/>
      <c r="G501" s="654"/>
      <c r="H501" s="654"/>
      <c r="I501" s="654"/>
      <c r="J501" s="654"/>
      <c r="K501" s="654"/>
      <c r="L501" s="654"/>
      <c r="M501" s="654"/>
      <c r="N501" s="654"/>
      <c r="O501" s="654"/>
      <c r="P501" s="654"/>
      <c r="Q501" s="654"/>
      <c r="R501" s="654"/>
      <c r="S501" s="654"/>
      <c r="T501" s="654"/>
      <c r="U501" s="654"/>
      <c r="V501" s="654"/>
      <c r="W501" s="654"/>
      <c r="X501" s="654"/>
      <c r="Y501" s="654"/>
      <c r="Z501" s="654"/>
      <c r="AA501" s="654"/>
      <c r="AB501" s="654"/>
      <c r="AC501" s="654"/>
      <c r="AD501" s="654"/>
      <c r="AE501" s="654"/>
      <c r="AF501" s="654"/>
      <c r="AG501" s="654"/>
      <c r="AH501" s="654"/>
      <c r="AI501" s="654"/>
      <c r="AJ501" s="654"/>
      <c r="AK501" s="654"/>
      <c r="AL501" s="654"/>
      <c r="AM501" s="654"/>
      <c r="AN501" s="654"/>
      <c r="AO501" s="654"/>
      <c r="AP501" s="654"/>
      <c r="AQ501" s="654"/>
      <c r="AR501" s="654"/>
      <c r="AS501" s="654"/>
      <c r="AT501" s="654"/>
      <c r="AU501" s="654"/>
      <c r="AV501" s="654"/>
      <c r="AW501" s="654"/>
      <c r="AX501" s="654"/>
      <c r="AY501" s="654"/>
      <c r="AZ501" s="654"/>
      <c r="BA501" s="654"/>
      <c r="BB501" s="654"/>
      <c r="BC501" s="654"/>
      <c r="BD501" s="654"/>
      <c r="BE501" s="654"/>
      <c r="BF501" s="654"/>
      <c r="BG501" s="654"/>
      <c r="BH501" s="654"/>
      <c r="BI501" s="654"/>
      <c r="BJ501" s="654"/>
      <c r="BK501" s="654"/>
      <c r="BL501" s="654"/>
      <c r="BM501" s="654"/>
      <c r="BN501" s="654"/>
      <c r="BO501" s="654"/>
      <c r="BP501" s="654"/>
      <c r="BQ501" s="654"/>
      <c r="BR501" s="654"/>
      <c r="BS501" s="654"/>
      <c r="BT501" s="654"/>
      <c r="BU501" s="654"/>
      <c r="BV501" s="654"/>
      <c r="BW501" s="654"/>
      <c r="BX501" s="654"/>
      <c r="BY501" s="654"/>
      <c r="BZ501" s="654"/>
      <c r="CA501" s="654"/>
      <c r="CB501" s="654"/>
      <c r="CC501" s="654"/>
      <c r="CD501" s="655"/>
      <c r="CE501" s="18"/>
    </row>
    <row r="502" spans="1:83" s="9" customFormat="1" ht="12.75" customHeight="1" x14ac:dyDescent="0.15">
      <c r="A502" s="16"/>
      <c r="B502" s="8"/>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c r="CA502" s="12"/>
      <c r="CB502" s="12"/>
      <c r="CC502" s="12"/>
      <c r="CD502" s="12"/>
      <c r="CE502" s="18"/>
    </row>
    <row r="503" spans="1:83" s="9" customFormat="1" ht="12.75" customHeight="1" x14ac:dyDescent="0.15">
      <c r="A503" s="16"/>
      <c r="B503" s="8"/>
      <c r="D503" s="12" t="s">
        <v>265</v>
      </c>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c r="CA503" s="12"/>
      <c r="CB503" s="12"/>
      <c r="CC503" s="12"/>
      <c r="CD503" s="12"/>
      <c r="CE503" s="18"/>
    </row>
    <row r="504" spans="1:83" s="9" customFormat="1" ht="12.75" customHeight="1" x14ac:dyDescent="0.15">
      <c r="A504" s="16"/>
      <c r="B504" s="8"/>
      <c r="D504" s="248" t="s">
        <v>249</v>
      </c>
      <c r="E504" s="249"/>
      <c r="F504" s="248" t="s">
        <v>577</v>
      </c>
      <c r="G504" s="250"/>
      <c r="H504" s="250"/>
      <c r="I504" s="250"/>
      <c r="J504" s="250"/>
      <c r="K504" s="250"/>
      <c r="L504" s="250"/>
      <c r="M504" s="250"/>
      <c r="N504" s="250"/>
      <c r="O504" s="250"/>
      <c r="P504" s="248" t="s">
        <v>3</v>
      </c>
      <c r="Q504" s="250"/>
      <c r="R504" s="250"/>
      <c r="S504" s="249"/>
      <c r="T504" s="248" t="s">
        <v>250</v>
      </c>
      <c r="U504" s="250"/>
      <c r="V504" s="250"/>
      <c r="W504" s="250"/>
      <c r="X504" s="250"/>
      <c r="Y504" s="250"/>
      <c r="Z504" s="250"/>
      <c r="AA504" s="250"/>
      <c r="AB504" s="248" t="s">
        <v>251</v>
      </c>
      <c r="AC504" s="250"/>
      <c r="AD504" s="250"/>
      <c r="AE504" s="250"/>
      <c r="AF504" s="250"/>
      <c r="AG504" s="250"/>
      <c r="AH504" s="250"/>
      <c r="AI504" s="250"/>
      <c r="AJ504" s="250"/>
      <c r="AK504" s="250"/>
      <c r="AL504" s="250"/>
      <c r="AM504" s="250"/>
      <c r="AN504" s="250"/>
      <c r="AO504" s="250"/>
      <c r="AP504" s="250"/>
      <c r="AQ504" s="250"/>
      <c r="AR504" s="250"/>
      <c r="AS504" s="250"/>
      <c r="AT504" s="250"/>
      <c r="AU504" s="250"/>
      <c r="AV504" s="250"/>
      <c r="AW504" s="250"/>
      <c r="AX504" s="250"/>
      <c r="AY504" s="250"/>
      <c r="AZ504" s="250"/>
      <c r="BA504" s="250"/>
      <c r="BB504" s="250"/>
      <c r="BC504" s="250"/>
      <c r="BD504" s="250"/>
      <c r="BE504" s="250"/>
      <c r="BF504" s="250"/>
      <c r="BG504" s="250"/>
      <c r="BH504" s="250"/>
      <c r="BI504" s="250"/>
      <c r="BJ504" s="250"/>
      <c r="BK504" s="250"/>
      <c r="BL504" s="250"/>
      <c r="BM504" s="250"/>
      <c r="BN504" s="250"/>
      <c r="BO504" s="250"/>
      <c r="BP504" s="250"/>
      <c r="BQ504" s="250"/>
      <c r="BR504" s="250"/>
      <c r="BS504" s="250"/>
      <c r="BT504" s="250"/>
      <c r="BU504" s="250"/>
      <c r="BV504" s="250"/>
      <c r="BW504" s="250"/>
      <c r="BX504" s="250"/>
      <c r="BY504" s="250"/>
      <c r="BZ504" s="250"/>
      <c r="CA504" s="250"/>
      <c r="CB504" s="250"/>
      <c r="CC504" s="250"/>
      <c r="CD504" s="249"/>
      <c r="CE504" s="18"/>
    </row>
    <row r="505" spans="1:83" s="9" customFormat="1" ht="12.75" customHeight="1" x14ac:dyDescent="0.15">
      <c r="A505" s="16"/>
      <c r="B505" s="8"/>
      <c r="D505" s="602" t="s">
        <v>252</v>
      </c>
      <c r="E505" s="603"/>
      <c r="F505" s="34" t="s">
        <v>253</v>
      </c>
      <c r="G505" s="35"/>
      <c r="H505" s="35"/>
      <c r="I505" s="35"/>
      <c r="J505" s="35"/>
      <c r="K505" s="35"/>
      <c r="L505" s="35"/>
      <c r="M505" s="35"/>
      <c r="N505" s="35"/>
      <c r="O505" s="35"/>
      <c r="P505" s="34" t="s">
        <v>4</v>
      </c>
      <c r="Q505" s="35"/>
      <c r="R505" s="35"/>
      <c r="S505" s="36"/>
      <c r="T505" s="34" t="s">
        <v>254</v>
      </c>
      <c r="U505" s="35"/>
      <c r="V505" s="35"/>
      <c r="W505" s="35"/>
      <c r="X505" s="35"/>
      <c r="Y505" s="35"/>
      <c r="Z505" s="35"/>
      <c r="AA505" s="35"/>
      <c r="AB505" s="34" t="s">
        <v>1</v>
      </c>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6"/>
      <c r="CE505" s="18"/>
    </row>
    <row r="506" spans="1:83" s="9" customFormat="1" ht="12.75" customHeight="1" x14ac:dyDescent="0.15">
      <c r="A506" s="16"/>
      <c r="B506" s="8"/>
      <c r="D506" s="602" t="s">
        <v>2</v>
      </c>
      <c r="E506" s="603"/>
      <c r="F506" s="34" t="s">
        <v>255</v>
      </c>
      <c r="G506" s="35"/>
      <c r="H506" s="35"/>
      <c r="I506" s="35"/>
      <c r="J506" s="35"/>
      <c r="K506" s="35"/>
      <c r="L506" s="35"/>
      <c r="M506" s="35"/>
      <c r="N506" s="35"/>
      <c r="O506" s="35"/>
      <c r="P506" s="34" t="s">
        <v>5</v>
      </c>
      <c r="Q506" s="35"/>
      <c r="R506" s="35"/>
      <c r="S506" s="36"/>
      <c r="T506" s="34" t="s">
        <v>254</v>
      </c>
      <c r="U506" s="35"/>
      <c r="V506" s="35"/>
      <c r="W506" s="35"/>
      <c r="X506" s="35"/>
      <c r="Y506" s="35"/>
      <c r="Z506" s="35"/>
      <c r="AA506" s="35"/>
      <c r="AB506" s="34" t="s">
        <v>6</v>
      </c>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6"/>
      <c r="CE506" s="18"/>
    </row>
    <row r="507" spans="1:83" s="385" customFormat="1" ht="12.75" customHeight="1" x14ac:dyDescent="0.15">
      <c r="A507" s="381"/>
      <c r="B507" s="382"/>
      <c r="D507" s="398"/>
      <c r="E507" s="399"/>
      <c r="F507" s="389"/>
      <c r="G507" s="389"/>
      <c r="H507" s="389"/>
      <c r="I507" s="389"/>
      <c r="J507" s="389"/>
      <c r="K507" s="389"/>
      <c r="L507" s="389"/>
      <c r="M507" s="389"/>
      <c r="N507" s="389"/>
      <c r="O507" s="389"/>
      <c r="P507" s="389"/>
      <c r="Q507" s="389"/>
      <c r="R507" s="389"/>
      <c r="S507" s="389"/>
      <c r="T507" s="389"/>
      <c r="U507" s="389"/>
      <c r="V507" s="389"/>
      <c r="W507" s="389"/>
      <c r="X507" s="389"/>
      <c r="Y507" s="389"/>
      <c r="Z507" s="389"/>
      <c r="AA507" s="389"/>
      <c r="AB507" s="389"/>
      <c r="AC507" s="389"/>
      <c r="AD507" s="389"/>
      <c r="AE507" s="389"/>
      <c r="AF507" s="389"/>
      <c r="AG507" s="389"/>
      <c r="AH507" s="389"/>
      <c r="AI507" s="389"/>
      <c r="AJ507" s="389"/>
      <c r="AK507" s="389"/>
      <c r="AL507" s="389"/>
      <c r="AM507" s="389"/>
      <c r="AN507" s="389"/>
      <c r="AO507" s="389"/>
      <c r="AP507" s="389"/>
      <c r="AQ507" s="389"/>
      <c r="AR507" s="389"/>
      <c r="AS507" s="389"/>
      <c r="AT507" s="389"/>
      <c r="AU507" s="389"/>
      <c r="AV507" s="389"/>
      <c r="AW507" s="389"/>
      <c r="AX507" s="389"/>
      <c r="AY507" s="389"/>
      <c r="AZ507" s="389"/>
      <c r="BA507" s="389"/>
      <c r="BB507" s="389"/>
      <c r="BC507" s="389"/>
      <c r="BD507" s="389"/>
      <c r="BE507" s="389"/>
      <c r="BF507" s="389"/>
      <c r="BG507" s="389"/>
      <c r="BH507" s="389"/>
      <c r="BI507" s="389"/>
      <c r="BJ507" s="389"/>
      <c r="BK507" s="389"/>
      <c r="BL507" s="389"/>
      <c r="BM507" s="389"/>
      <c r="BN507" s="389"/>
      <c r="BO507" s="389"/>
      <c r="BP507" s="389"/>
      <c r="BQ507" s="389"/>
      <c r="BR507" s="389"/>
      <c r="BS507" s="389"/>
      <c r="BT507" s="389"/>
      <c r="BU507" s="389"/>
      <c r="BV507" s="389"/>
      <c r="BW507" s="389"/>
      <c r="BX507" s="389"/>
      <c r="BY507" s="389"/>
      <c r="BZ507" s="389"/>
      <c r="CA507" s="389"/>
      <c r="CB507" s="389"/>
      <c r="CC507" s="389"/>
      <c r="CD507" s="389"/>
      <c r="CE507" s="384"/>
    </row>
    <row r="508" spans="1:83" s="9" customFormat="1" ht="12.75" customHeight="1" x14ac:dyDescent="0.15">
      <c r="A508" s="16"/>
      <c r="B508" s="8"/>
      <c r="D508" s="144"/>
      <c r="E508" s="132"/>
      <c r="F508" s="132"/>
      <c r="G508" s="132"/>
      <c r="H508" s="132"/>
      <c r="I508" s="132"/>
      <c r="J508" s="132"/>
      <c r="K508" s="132"/>
      <c r="L508" s="132"/>
      <c r="M508" s="132"/>
      <c r="N508" s="132"/>
      <c r="O508" s="132"/>
      <c r="P508" s="13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c r="CA508" s="12"/>
      <c r="CB508" s="12"/>
      <c r="CC508" s="12"/>
      <c r="CD508" s="12"/>
      <c r="CE508" s="18"/>
    </row>
    <row r="509" spans="1:83" s="9" customFormat="1" ht="12.75" customHeight="1" x14ac:dyDescent="0.15">
      <c r="A509" s="16"/>
      <c r="B509" s="8"/>
      <c r="D509" s="2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c r="CA509" s="12"/>
      <c r="CB509" s="12"/>
      <c r="CC509" s="12"/>
      <c r="CD509" s="12"/>
      <c r="CE509" s="18"/>
    </row>
    <row r="510" spans="1:83" s="9" customFormat="1" ht="12.75" customHeight="1" x14ac:dyDescent="0.15">
      <c r="A510" s="16"/>
      <c r="B510" s="8"/>
      <c r="D510" s="2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c r="CA510" s="12"/>
      <c r="CB510" s="12"/>
      <c r="CC510" s="12"/>
      <c r="CD510" s="12"/>
      <c r="CE510" s="18"/>
    </row>
    <row r="511" spans="1:83" s="9" customFormat="1" ht="12" customHeight="1" thickBot="1" x14ac:dyDescent="0.2">
      <c r="A511" s="25"/>
      <c r="B511" s="30"/>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7"/>
      <c r="BA511" s="27"/>
      <c r="BB511" s="27"/>
      <c r="BC511" s="27"/>
      <c r="BD511" s="27"/>
      <c r="BE511" s="27"/>
      <c r="BF511" s="27"/>
      <c r="BG511" s="27"/>
      <c r="BH511" s="27"/>
      <c r="BI511" s="27"/>
      <c r="BJ511" s="27"/>
      <c r="BK511" s="27"/>
      <c r="BL511" s="27"/>
      <c r="BM511" s="27"/>
      <c r="BN511" s="27"/>
      <c r="BO511" s="27"/>
      <c r="BP511" s="27"/>
      <c r="BQ511" s="27"/>
      <c r="BR511" s="27"/>
      <c r="BS511" s="27"/>
      <c r="BT511" s="27"/>
      <c r="BU511" s="27"/>
      <c r="BV511" s="27"/>
      <c r="BW511" s="27"/>
      <c r="BX511" s="27"/>
      <c r="BY511" s="27"/>
      <c r="BZ511" s="27"/>
      <c r="CA511" s="27"/>
      <c r="CB511" s="27"/>
      <c r="CC511" s="26"/>
      <c r="CD511" s="26"/>
      <c r="CE511" s="28"/>
    </row>
    <row r="512" spans="1:83" s="9" customFormat="1" ht="12" customHeight="1" x14ac:dyDescent="0.15">
      <c r="A512" s="13"/>
      <c r="B512" s="14"/>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60"/>
      <c r="BA512" s="160"/>
      <c r="BB512" s="160"/>
      <c r="BC512" s="160"/>
      <c r="BD512" s="160"/>
      <c r="BE512" s="160"/>
      <c r="BF512" s="160"/>
      <c r="BG512" s="160"/>
      <c r="BH512" s="160"/>
      <c r="BI512" s="160"/>
      <c r="BJ512" s="160"/>
      <c r="BK512" s="160"/>
      <c r="BL512" s="160"/>
      <c r="BM512" s="160"/>
      <c r="BN512" s="160"/>
      <c r="BO512" s="160"/>
      <c r="BP512" s="160"/>
      <c r="BQ512" s="160"/>
      <c r="BR512" s="160"/>
      <c r="BS512" s="160"/>
      <c r="BT512" s="160"/>
      <c r="BU512" s="160"/>
      <c r="BV512" s="160"/>
      <c r="BW512" s="160"/>
      <c r="BX512" s="160"/>
      <c r="BY512" s="160"/>
      <c r="BZ512" s="160"/>
      <c r="CA512" s="160"/>
      <c r="CB512" s="160"/>
      <c r="CC512" s="159"/>
      <c r="CD512" s="159"/>
      <c r="CE512" s="15"/>
    </row>
    <row r="513" spans="1:83" s="9" customFormat="1" ht="12" customHeight="1" x14ac:dyDescent="0.15">
      <c r="A513" s="16"/>
      <c r="B513" s="8"/>
      <c r="C513" s="17"/>
      <c r="D513" s="21" t="s">
        <v>266</v>
      </c>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17"/>
      <c r="CD513" s="17"/>
      <c r="CE513" s="18"/>
    </row>
    <row r="514" spans="1:83" s="4" customFormat="1" ht="12" customHeight="1" x14ac:dyDescent="0.15">
      <c r="A514" s="16"/>
      <c r="B514" s="5"/>
      <c r="C514" s="5"/>
      <c r="D514" s="5"/>
      <c r="E514" s="17" t="s">
        <v>586</v>
      </c>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2"/>
      <c r="CD514" s="12"/>
      <c r="CE514" s="18"/>
    </row>
    <row r="515" spans="1:83" s="4" customFormat="1" ht="12" customHeight="1" x14ac:dyDescent="0.15">
      <c r="A515" s="16"/>
      <c r="B515" s="73"/>
      <c r="C515" s="12"/>
      <c r="D515" s="12"/>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2"/>
      <c r="CD515" s="12"/>
      <c r="CE515" s="18"/>
    </row>
    <row r="516" spans="1:83" s="6" customFormat="1" ht="12" customHeight="1" x14ac:dyDescent="0.15">
      <c r="A516" s="16"/>
      <c r="B516" s="5"/>
      <c r="C516" s="12"/>
      <c r="D516" s="12"/>
      <c r="E516" s="21" t="s">
        <v>267</v>
      </c>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2"/>
      <c r="CD516" s="12"/>
      <c r="CE516" s="18"/>
    </row>
    <row r="517" spans="1:83" s="4" customFormat="1" ht="12" customHeight="1" x14ac:dyDescent="0.15">
      <c r="A517" s="16"/>
      <c r="B517" s="73"/>
      <c r="C517" s="12"/>
      <c r="D517" s="12"/>
      <c r="E517" s="17"/>
      <c r="F517" s="17"/>
      <c r="G517" s="248" t="s">
        <v>269</v>
      </c>
      <c r="H517" s="250"/>
      <c r="I517" s="250"/>
      <c r="J517" s="250"/>
      <c r="K517" s="250"/>
      <c r="L517" s="250"/>
      <c r="M517" s="250"/>
      <c r="N517" s="250"/>
      <c r="O517" s="250"/>
      <c r="P517" s="250"/>
      <c r="Q517" s="250"/>
      <c r="R517" s="250"/>
      <c r="S517" s="250"/>
      <c r="T517" s="250"/>
      <c r="U517" s="250"/>
      <c r="V517" s="250"/>
      <c r="W517" s="250"/>
      <c r="X517" s="250"/>
      <c r="Y517" s="250"/>
      <c r="Z517" s="250"/>
      <c r="AA517" s="250"/>
      <c r="AB517" s="250"/>
      <c r="AC517" s="250"/>
      <c r="AD517" s="250"/>
      <c r="AE517" s="250"/>
      <c r="AF517" s="250"/>
      <c r="AG517" s="250"/>
      <c r="AH517" s="250"/>
      <c r="AI517" s="250"/>
      <c r="AJ517" s="250"/>
      <c r="AK517" s="250"/>
      <c r="AL517" s="250"/>
      <c r="AM517" s="250"/>
      <c r="AN517" s="250"/>
      <c r="AO517" s="250"/>
      <c r="AP517" s="250"/>
      <c r="AQ517" s="250"/>
      <c r="AR517" s="250"/>
      <c r="AS517" s="250"/>
      <c r="AT517" s="250"/>
      <c r="AU517" s="250"/>
      <c r="AV517" s="250"/>
      <c r="AW517" s="250"/>
      <c r="AX517" s="250"/>
      <c r="AY517" s="250"/>
      <c r="AZ517" s="250"/>
      <c r="BA517" s="250"/>
      <c r="BB517" s="250"/>
      <c r="BC517" s="250"/>
      <c r="BD517" s="250"/>
      <c r="BE517" s="250"/>
      <c r="BF517" s="250"/>
      <c r="BG517" s="250"/>
      <c r="BH517" s="250"/>
      <c r="BI517" s="250"/>
      <c r="BJ517" s="250"/>
      <c r="BK517" s="250"/>
      <c r="BL517" s="250"/>
      <c r="BM517" s="250"/>
      <c r="BN517" s="250"/>
      <c r="BO517" s="250"/>
      <c r="BP517" s="250"/>
      <c r="BQ517" s="250"/>
      <c r="BR517" s="250"/>
      <c r="BS517" s="250"/>
      <c r="BT517" s="250"/>
      <c r="BU517" s="250"/>
      <c r="BV517" s="250"/>
      <c r="BW517" s="250"/>
      <c r="BX517" s="250"/>
      <c r="BY517" s="250"/>
      <c r="BZ517" s="250"/>
      <c r="CA517" s="250"/>
      <c r="CB517" s="250"/>
      <c r="CC517" s="249"/>
      <c r="CD517" s="12"/>
      <c r="CE517" s="18"/>
    </row>
    <row r="518" spans="1:83" s="4" customFormat="1" ht="12" customHeight="1" x14ac:dyDescent="0.15">
      <c r="A518" s="16"/>
      <c r="B518" s="73"/>
      <c r="C518" s="12"/>
      <c r="D518" s="12"/>
      <c r="E518" s="17"/>
      <c r="F518" s="17"/>
      <c r="G518" s="154" t="s">
        <v>270</v>
      </c>
      <c r="H518" s="155"/>
      <c r="I518" s="155"/>
      <c r="J518" s="155"/>
      <c r="K518" s="155"/>
      <c r="L518" s="155"/>
      <c r="M518" s="155"/>
      <c r="N518" s="155"/>
      <c r="O518" s="155"/>
      <c r="P518" s="155"/>
      <c r="Q518" s="155"/>
      <c r="R518" s="155"/>
      <c r="S518" s="155"/>
      <c r="T518" s="155"/>
      <c r="U518" s="155"/>
      <c r="V518" s="155"/>
      <c r="W518" s="155"/>
      <c r="X518" s="155"/>
      <c r="Y518" s="155"/>
      <c r="Z518" s="155"/>
      <c r="AA518" s="155"/>
      <c r="AB518" s="155"/>
      <c r="AC518" s="155"/>
      <c r="AD518" s="155"/>
      <c r="AE518" s="155"/>
      <c r="AF518" s="155"/>
      <c r="AG518" s="155"/>
      <c r="AH518" s="155"/>
      <c r="AI518" s="155"/>
      <c r="AJ518" s="155"/>
      <c r="AK518" s="155"/>
      <c r="AL518" s="155"/>
      <c r="AM518" s="155"/>
      <c r="AN518" s="155"/>
      <c r="AO518" s="155"/>
      <c r="AP518" s="155"/>
      <c r="AQ518" s="155"/>
      <c r="AR518" s="155"/>
      <c r="AS518" s="155"/>
      <c r="AT518" s="155"/>
      <c r="AU518" s="155"/>
      <c r="AV518" s="155"/>
      <c r="AW518" s="155"/>
      <c r="AX518" s="155"/>
      <c r="AY518" s="155"/>
      <c r="AZ518" s="155"/>
      <c r="BA518" s="155"/>
      <c r="BB518" s="155"/>
      <c r="BC518" s="155"/>
      <c r="BD518" s="155"/>
      <c r="BE518" s="155"/>
      <c r="BF518" s="155"/>
      <c r="BG518" s="155"/>
      <c r="BH518" s="155"/>
      <c r="BI518" s="155"/>
      <c r="BJ518" s="155"/>
      <c r="BK518" s="155"/>
      <c r="BL518" s="155"/>
      <c r="BM518" s="155"/>
      <c r="BN518" s="155"/>
      <c r="BO518" s="155"/>
      <c r="BP518" s="155"/>
      <c r="BQ518" s="155"/>
      <c r="BR518" s="155"/>
      <c r="BS518" s="155"/>
      <c r="BT518" s="155"/>
      <c r="BU518" s="155"/>
      <c r="BV518" s="155"/>
      <c r="BW518" s="155"/>
      <c r="BX518" s="155"/>
      <c r="BY518" s="155"/>
      <c r="BZ518" s="155"/>
      <c r="CA518" s="155"/>
      <c r="CB518" s="155"/>
      <c r="CC518" s="39"/>
      <c r="CD518" s="12"/>
      <c r="CE518" s="18"/>
    </row>
    <row r="519" spans="1:83" s="4" customFormat="1" ht="12" customHeight="1" x14ac:dyDescent="0.15">
      <c r="A519" s="16"/>
      <c r="B519" s="73"/>
      <c r="C519" s="12"/>
      <c r="D519" s="12"/>
      <c r="E519" s="17"/>
      <c r="F519" s="17"/>
      <c r="G519" s="44" t="s">
        <v>271</v>
      </c>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31"/>
      <c r="CD519" s="12"/>
      <c r="CE519" s="18"/>
    </row>
    <row r="520" spans="1:83" s="4" customFormat="1" ht="12" customHeight="1" x14ac:dyDescent="0.15">
      <c r="A520" s="16"/>
      <c r="B520" s="73"/>
      <c r="C520" s="12"/>
      <c r="D520" s="12"/>
      <c r="E520" s="17"/>
      <c r="F520" s="17"/>
      <c r="G520" s="26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33"/>
      <c r="CD520" s="12"/>
      <c r="CE520" s="18"/>
    </row>
    <row r="521" spans="1:83" s="9" customFormat="1" ht="12" customHeight="1" x14ac:dyDescent="0.15">
      <c r="A521" s="16"/>
      <c r="B521" s="8"/>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17"/>
      <c r="CD521" s="17"/>
      <c r="CE521" s="18"/>
    </row>
    <row r="522" spans="1:83" s="4" customFormat="1" ht="12" customHeight="1" x14ac:dyDescent="0.15">
      <c r="A522" s="16"/>
      <c r="B522" s="8"/>
      <c r="C522" s="12"/>
      <c r="D522" s="12"/>
      <c r="E522" s="17"/>
      <c r="F522" s="17"/>
      <c r="G522" s="248" t="s">
        <v>272</v>
      </c>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250"/>
      <c r="AH522" s="250"/>
      <c r="AI522" s="250"/>
      <c r="AJ522" s="250"/>
      <c r="AK522" s="250"/>
      <c r="AL522" s="250"/>
      <c r="AM522" s="250"/>
      <c r="AN522" s="250"/>
      <c r="AO522" s="250"/>
      <c r="AP522" s="250"/>
      <c r="AQ522" s="250"/>
      <c r="AR522" s="250"/>
      <c r="AS522" s="250"/>
      <c r="AT522" s="250"/>
      <c r="AU522" s="250"/>
      <c r="AV522" s="250"/>
      <c r="AW522" s="250"/>
      <c r="AX522" s="250"/>
      <c r="AY522" s="250"/>
      <c r="AZ522" s="250"/>
      <c r="BA522" s="250"/>
      <c r="BB522" s="250"/>
      <c r="BC522" s="250"/>
      <c r="BD522" s="250"/>
      <c r="BE522" s="250"/>
      <c r="BF522" s="250"/>
      <c r="BG522" s="250"/>
      <c r="BH522" s="250"/>
      <c r="BI522" s="250"/>
      <c r="BJ522" s="250"/>
      <c r="BK522" s="250"/>
      <c r="BL522" s="250"/>
      <c r="BM522" s="250"/>
      <c r="BN522" s="250"/>
      <c r="BO522" s="250"/>
      <c r="BP522" s="250"/>
      <c r="BQ522" s="250"/>
      <c r="BR522" s="250"/>
      <c r="BS522" s="250"/>
      <c r="BT522" s="250"/>
      <c r="BU522" s="250"/>
      <c r="BV522" s="250"/>
      <c r="BW522" s="250"/>
      <c r="BX522" s="250"/>
      <c r="BY522" s="250"/>
      <c r="BZ522" s="250"/>
      <c r="CA522" s="250"/>
      <c r="CB522" s="250"/>
      <c r="CC522" s="249"/>
      <c r="CD522" s="12"/>
      <c r="CE522" s="18"/>
    </row>
    <row r="523" spans="1:83" s="4" customFormat="1" ht="12" customHeight="1" x14ac:dyDescent="0.15">
      <c r="A523" s="16"/>
      <c r="B523" s="8"/>
      <c r="C523" s="12"/>
      <c r="D523" s="12"/>
      <c r="E523" s="17"/>
      <c r="F523" s="17"/>
      <c r="G523" s="154" t="s">
        <v>270</v>
      </c>
      <c r="H523" s="155"/>
      <c r="I523" s="155"/>
      <c r="J523" s="155"/>
      <c r="K523" s="155"/>
      <c r="L523" s="155"/>
      <c r="M523" s="155"/>
      <c r="N523" s="155"/>
      <c r="O523" s="155"/>
      <c r="P523" s="155"/>
      <c r="Q523" s="155"/>
      <c r="R523" s="155"/>
      <c r="S523" s="155"/>
      <c r="T523" s="155"/>
      <c r="U523" s="155"/>
      <c r="V523" s="155"/>
      <c r="W523" s="155"/>
      <c r="X523" s="155"/>
      <c r="Y523" s="155"/>
      <c r="Z523" s="155"/>
      <c r="AA523" s="155"/>
      <c r="AB523" s="155"/>
      <c r="AC523" s="155"/>
      <c r="AD523" s="155"/>
      <c r="AE523" s="155"/>
      <c r="AF523" s="155"/>
      <c r="AG523" s="155"/>
      <c r="AH523" s="155"/>
      <c r="AI523" s="155"/>
      <c r="AJ523" s="155"/>
      <c r="AK523" s="155"/>
      <c r="AL523" s="155"/>
      <c r="AM523" s="155"/>
      <c r="AN523" s="155"/>
      <c r="AO523" s="155"/>
      <c r="AP523" s="155"/>
      <c r="AQ523" s="155"/>
      <c r="AR523" s="155"/>
      <c r="AS523" s="155"/>
      <c r="AT523" s="155"/>
      <c r="AU523" s="155"/>
      <c r="AV523" s="155"/>
      <c r="AW523" s="155"/>
      <c r="AX523" s="155"/>
      <c r="AY523" s="155"/>
      <c r="AZ523" s="155"/>
      <c r="BA523" s="155"/>
      <c r="BB523" s="155"/>
      <c r="BC523" s="155"/>
      <c r="BD523" s="155"/>
      <c r="BE523" s="155"/>
      <c r="BF523" s="155"/>
      <c r="BG523" s="155"/>
      <c r="BH523" s="155"/>
      <c r="BI523" s="155"/>
      <c r="BJ523" s="155"/>
      <c r="BK523" s="155"/>
      <c r="BL523" s="155"/>
      <c r="BM523" s="155"/>
      <c r="BN523" s="155"/>
      <c r="BO523" s="155"/>
      <c r="BP523" s="155"/>
      <c r="BQ523" s="155"/>
      <c r="BR523" s="155"/>
      <c r="BS523" s="155"/>
      <c r="BT523" s="155"/>
      <c r="BU523" s="155"/>
      <c r="BV523" s="155"/>
      <c r="BW523" s="155"/>
      <c r="BX523" s="155"/>
      <c r="BY523" s="155"/>
      <c r="BZ523" s="155"/>
      <c r="CA523" s="155"/>
      <c r="CB523" s="155"/>
      <c r="CC523" s="39"/>
      <c r="CD523" s="12"/>
      <c r="CE523" s="18"/>
    </row>
    <row r="524" spans="1:83" s="9" customFormat="1" ht="12" customHeight="1" x14ac:dyDescent="0.15">
      <c r="A524" s="16"/>
      <c r="B524" s="8"/>
      <c r="C524" s="17"/>
      <c r="D524" s="17"/>
      <c r="E524" s="17"/>
      <c r="F524" s="17"/>
      <c r="G524" s="44" t="s">
        <v>273</v>
      </c>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45"/>
      <c r="CD524" s="17"/>
      <c r="CE524" s="18"/>
    </row>
    <row r="525" spans="1:83" s="9" customFormat="1" ht="12" customHeight="1" x14ac:dyDescent="0.15">
      <c r="A525" s="16"/>
      <c r="B525" s="8"/>
      <c r="C525" s="17"/>
      <c r="D525" s="17"/>
      <c r="E525" s="17"/>
      <c r="F525" s="17"/>
      <c r="G525" s="268"/>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45"/>
      <c r="CD525" s="17"/>
      <c r="CE525" s="18"/>
    </row>
    <row r="526" spans="1:83" s="9" customFormat="1" ht="12" customHeight="1" x14ac:dyDescent="0.15">
      <c r="A526" s="16"/>
      <c r="B526" s="8"/>
      <c r="C526" s="17"/>
      <c r="D526" s="17"/>
      <c r="E526" s="17"/>
      <c r="F526" s="17"/>
      <c r="G526" s="26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47"/>
      <c r="AZ526" s="156"/>
      <c r="BA526" s="156"/>
      <c r="BB526" s="156"/>
      <c r="BC526" s="156"/>
      <c r="BD526" s="156"/>
      <c r="BE526" s="156"/>
      <c r="BF526" s="156"/>
      <c r="BG526" s="156"/>
      <c r="BH526" s="156"/>
      <c r="BI526" s="156"/>
      <c r="BJ526" s="156"/>
      <c r="BK526" s="156"/>
      <c r="BL526" s="156"/>
      <c r="BM526" s="156"/>
      <c r="BN526" s="156"/>
      <c r="BO526" s="156"/>
      <c r="BP526" s="156"/>
      <c r="BQ526" s="156"/>
      <c r="BR526" s="156"/>
      <c r="BS526" s="156"/>
      <c r="BT526" s="156"/>
      <c r="BU526" s="156"/>
      <c r="BV526" s="156"/>
      <c r="BW526" s="156"/>
      <c r="BX526" s="156"/>
      <c r="BY526" s="156"/>
      <c r="BZ526" s="156"/>
      <c r="CA526" s="156"/>
      <c r="CB526" s="156"/>
      <c r="CC526" s="48"/>
      <c r="CD526" s="17"/>
      <c r="CE526" s="18"/>
    </row>
    <row r="527" spans="1:83" s="9" customFormat="1" ht="12" customHeight="1" x14ac:dyDescent="0.15">
      <c r="A527" s="16"/>
      <c r="B527" s="8"/>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17"/>
      <c r="CD527" s="17"/>
      <c r="CE527" s="18"/>
    </row>
    <row r="528" spans="1:83" s="9" customFormat="1" ht="12" customHeight="1" x14ac:dyDescent="0.15">
      <c r="A528" s="16"/>
      <c r="B528" s="8"/>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17"/>
      <c r="CD528" s="17"/>
      <c r="CE528" s="18"/>
    </row>
    <row r="529" spans="1:83" s="9" customFormat="1" ht="12" customHeight="1" x14ac:dyDescent="0.15">
      <c r="A529" s="16"/>
      <c r="B529" s="8"/>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17"/>
      <c r="CD529" s="17"/>
      <c r="CE529" s="18"/>
    </row>
    <row r="530" spans="1:83" s="9" customFormat="1" ht="12" customHeight="1" x14ac:dyDescent="0.15">
      <c r="A530" s="16"/>
      <c r="B530" s="8"/>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17"/>
      <c r="CD530" s="17"/>
      <c r="CE530" s="18"/>
    </row>
    <row r="531" spans="1:83" s="9" customFormat="1" ht="12" customHeight="1" x14ac:dyDescent="0.15">
      <c r="A531" s="16"/>
      <c r="B531" s="8"/>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17"/>
      <c r="CD531" s="17"/>
      <c r="CE531" s="18"/>
    </row>
    <row r="532" spans="1:83" s="9" customFormat="1" ht="12" customHeight="1" x14ac:dyDescent="0.15">
      <c r="A532" s="16"/>
      <c r="B532" s="8"/>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17"/>
      <c r="CD532" s="17"/>
      <c r="CE532" s="18"/>
    </row>
    <row r="533" spans="1:83" s="9" customFormat="1" ht="12" customHeight="1" x14ac:dyDescent="0.15">
      <c r="A533" s="16"/>
      <c r="B533" s="8"/>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17"/>
      <c r="CD533" s="17"/>
      <c r="CE533" s="18"/>
    </row>
    <row r="534" spans="1:83" s="9" customFormat="1" ht="12" customHeight="1" x14ac:dyDescent="0.15">
      <c r="A534" s="16"/>
      <c r="B534" s="8"/>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17"/>
      <c r="CD534" s="17"/>
      <c r="CE534" s="18"/>
    </row>
    <row r="535" spans="1:83" s="9" customFormat="1" ht="12" customHeight="1" x14ac:dyDescent="0.15">
      <c r="A535" s="16"/>
      <c r="B535" s="8"/>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17"/>
      <c r="CD535" s="17"/>
      <c r="CE535" s="18"/>
    </row>
    <row r="536" spans="1:83" s="9" customFormat="1" ht="12" customHeight="1" x14ac:dyDescent="0.15">
      <c r="A536" s="16"/>
      <c r="B536" s="8"/>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17"/>
      <c r="CD536" s="17"/>
      <c r="CE536" s="18"/>
    </row>
    <row r="537" spans="1:83" s="9" customFormat="1" ht="12" customHeight="1" x14ac:dyDescent="0.15">
      <c r="A537" s="16"/>
      <c r="B537" s="8"/>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17"/>
      <c r="CD537" s="17"/>
      <c r="CE537" s="18"/>
    </row>
    <row r="538" spans="1:83" s="9" customFormat="1" ht="12" customHeight="1" x14ac:dyDescent="0.15">
      <c r="A538" s="16"/>
      <c r="B538" s="8"/>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17"/>
      <c r="CD538" s="17"/>
      <c r="CE538" s="18"/>
    </row>
    <row r="539" spans="1:83" s="9" customFormat="1" ht="12" customHeight="1" x14ac:dyDescent="0.15">
      <c r="A539" s="16"/>
      <c r="B539" s="8"/>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17"/>
      <c r="CD539" s="17"/>
      <c r="CE539" s="18"/>
    </row>
    <row r="540" spans="1:83" s="9" customFormat="1" ht="12" customHeight="1" x14ac:dyDescent="0.15">
      <c r="A540" s="16"/>
      <c r="B540" s="8"/>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17"/>
      <c r="CD540" s="17"/>
      <c r="CE540" s="18"/>
    </row>
    <row r="541" spans="1:83" s="9" customFormat="1" ht="12" customHeight="1" x14ac:dyDescent="0.15">
      <c r="A541" s="16"/>
      <c r="B541" s="8"/>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c r="BW541" s="20"/>
      <c r="BX541" s="20"/>
      <c r="BY541" s="20"/>
      <c r="BZ541" s="20"/>
      <c r="CA541" s="20"/>
      <c r="CB541" s="20"/>
      <c r="CC541" s="17"/>
      <c r="CD541" s="17"/>
      <c r="CE541" s="18"/>
    </row>
    <row r="542" spans="1:83" s="9" customFormat="1" ht="12" customHeight="1" x14ac:dyDescent="0.15">
      <c r="A542" s="16"/>
      <c r="B542" s="8"/>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17"/>
      <c r="CD542" s="17"/>
      <c r="CE542" s="18"/>
    </row>
    <row r="543" spans="1:83" s="9" customFormat="1" ht="12" customHeight="1" x14ac:dyDescent="0.15">
      <c r="A543" s="16"/>
      <c r="B543" s="8"/>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c r="BW543" s="20"/>
      <c r="BX543" s="20"/>
      <c r="BY543" s="20"/>
      <c r="BZ543" s="20"/>
      <c r="CA543" s="20"/>
      <c r="CB543" s="20"/>
      <c r="CC543" s="17"/>
      <c r="CD543" s="17"/>
      <c r="CE543" s="18"/>
    </row>
    <row r="544" spans="1:83" s="9" customFormat="1" ht="12" customHeight="1" x14ac:dyDescent="0.15">
      <c r="A544" s="16"/>
      <c r="B544" s="8"/>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17"/>
      <c r="CD544" s="17"/>
      <c r="CE544" s="18"/>
    </row>
    <row r="545" spans="1:83" s="9" customFormat="1" ht="12" customHeight="1" x14ac:dyDescent="0.15">
      <c r="A545" s="16"/>
      <c r="B545" s="8"/>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17"/>
      <c r="CD545" s="17"/>
      <c r="CE545" s="18"/>
    </row>
    <row r="546" spans="1:83" s="9" customFormat="1" ht="12" customHeight="1" x14ac:dyDescent="0.15">
      <c r="A546" s="16"/>
      <c r="B546" s="8"/>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17"/>
      <c r="CD546" s="17"/>
      <c r="CE546" s="18"/>
    </row>
    <row r="547" spans="1:83" s="9" customFormat="1" ht="12" customHeight="1" x14ac:dyDescent="0.15">
      <c r="A547" s="16"/>
      <c r="B547" s="8"/>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17"/>
      <c r="CD547" s="17"/>
      <c r="CE547" s="18"/>
    </row>
    <row r="548" spans="1:83" s="9" customFormat="1" ht="12" customHeight="1" x14ac:dyDescent="0.15">
      <c r="A548" s="16"/>
      <c r="B548" s="8"/>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17"/>
      <c r="CD548" s="17"/>
      <c r="CE548" s="18"/>
    </row>
    <row r="549" spans="1:83" s="9" customFormat="1" ht="12" customHeight="1" x14ac:dyDescent="0.15">
      <c r="A549" s="16"/>
      <c r="B549" s="8"/>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17"/>
      <c r="CD549" s="17"/>
      <c r="CE549" s="18"/>
    </row>
    <row r="550" spans="1:83" s="9" customFormat="1" ht="12" customHeight="1" thickBot="1" x14ac:dyDescent="0.2">
      <c r="A550" s="25"/>
      <c r="B550" s="30"/>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7"/>
      <c r="BA550" s="27"/>
      <c r="BB550" s="27"/>
      <c r="BC550" s="27"/>
      <c r="BD550" s="27"/>
      <c r="BE550" s="27"/>
      <c r="BF550" s="27"/>
      <c r="BG550" s="27"/>
      <c r="BH550" s="27"/>
      <c r="BI550" s="27"/>
      <c r="BJ550" s="27"/>
      <c r="BK550" s="27"/>
      <c r="BL550" s="27"/>
      <c r="BM550" s="27"/>
      <c r="BN550" s="27"/>
      <c r="BO550" s="27"/>
      <c r="BP550" s="27"/>
      <c r="BQ550" s="27"/>
      <c r="BR550" s="27"/>
      <c r="BS550" s="27"/>
      <c r="BT550" s="27"/>
      <c r="BU550" s="27"/>
      <c r="BV550" s="27"/>
      <c r="BW550" s="27"/>
      <c r="BX550" s="27"/>
      <c r="BY550" s="27"/>
      <c r="BZ550" s="27"/>
      <c r="CA550" s="27"/>
      <c r="CB550" s="27"/>
      <c r="CC550" s="26"/>
      <c r="CD550" s="26"/>
      <c r="CE550" s="28"/>
    </row>
    <row r="551" spans="1:83" s="4" customFormat="1" ht="12" customHeight="1" x14ac:dyDescent="0.15">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c r="BY551" s="14"/>
      <c r="BZ551" s="14"/>
      <c r="CA551" s="14"/>
      <c r="CB551" s="14"/>
      <c r="CC551" s="14"/>
      <c r="CD551" s="14"/>
      <c r="CE551" s="15"/>
    </row>
    <row r="552" spans="1:83" s="6" customFormat="1" ht="12" customHeight="1" x14ac:dyDescent="0.15">
      <c r="A552" s="16"/>
      <c r="B552" s="19"/>
      <c r="C552" s="24"/>
      <c r="D552" s="21" t="s">
        <v>268</v>
      </c>
      <c r="E552" s="17"/>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19"/>
      <c r="CD552" s="5"/>
      <c r="CE552" s="18"/>
    </row>
    <row r="553" spans="1:83" s="4" customFormat="1" ht="12" customHeight="1" x14ac:dyDescent="0.15">
      <c r="A553" s="16"/>
      <c r="B553" s="5"/>
      <c r="C553" s="17"/>
      <c r="D553" s="21"/>
      <c r="E553" s="12"/>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73"/>
      <c r="AZ553" s="73"/>
      <c r="BA553" s="73"/>
      <c r="BB553" s="73"/>
      <c r="BC553" s="73"/>
      <c r="BD553" s="73"/>
      <c r="BE553" s="73"/>
      <c r="BF553" s="73"/>
      <c r="BG553" s="73"/>
      <c r="BH553" s="73"/>
      <c r="BI553" s="21"/>
      <c r="BJ553" s="21"/>
      <c r="BK553" s="21"/>
      <c r="BL553" s="21"/>
      <c r="BM553" s="21"/>
      <c r="BN553" s="21"/>
      <c r="BO553" s="21"/>
      <c r="BP553" s="21"/>
      <c r="BQ553" s="21"/>
      <c r="BR553" s="21"/>
      <c r="BS553" s="21"/>
      <c r="BT553" s="21"/>
      <c r="BU553" s="21"/>
      <c r="BV553" s="21"/>
      <c r="BW553" s="21"/>
      <c r="BX553" s="21"/>
      <c r="BY553" s="21"/>
      <c r="BZ553" s="21"/>
      <c r="CA553" s="21"/>
      <c r="CB553" s="21"/>
      <c r="CC553" s="21"/>
      <c r="CD553" s="10"/>
      <c r="CE553" s="18"/>
    </row>
    <row r="554" spans="1:83" s="4" customFormat="1" ht="12" customHeight="1" x14ac:dyDescent="0.15">
      <c r="A554" s="16"/>
      <c r="B554" s="73"/>
      <c r="C554" s="58"/>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t="s">
        <v>854</v>
      </c>
      <c r="AW554" s="54"/>
      <c r="AX554" s="54"/>
      <c r="AY554" s="73"/>
      <c r="AZ554" s="73"/>
      <c r="BA554" s="73"/>
      <c r="BB554" s="73"/>
      <c r="BC554" s="73"/>
      <c r="BD554" s="73"/>
      <c r="BE554" s="73"/>
      <c r="BF554" s="73"/>
      <c r="BG554" s="73"/>
      <c r="BH554" s="73"/>
      <c r="BI554" s="54"/>
      <c r="BJ554" s="54"/>
      <c r="BK554" s="54"/>
      <c r="BL554" s="54"/>
      <c r="BM554" s="54"/>
      <c r="BN554" s="54"/>
      <c r="BO554" s="54"/>
      <c r="BP554" s="54"/>
      <c r="BQ554" s="54"/>
      <c r="BR554" s="54"/>
      <c r="BS554" s="54"/>
      <c r="BT554" s="54"/>
      <c r="BU554" s="54"/>
      <c r="BV554" s="54"/>
      <c r="BW554" s="54"/>
      <c r="BX554" s="54"/>
      <c r="BY554" s="54"/>
      <c r="BZ554" s="54"/>
      <c r="CA554" s="54"/>
      <c r="CB554" s="54"/>
      <c r="CC554" s="54"/>
      <c r="CD554" s="54"/>
      <c r="CE554" s="18"/>
    </row>
    <row r="555" spans="1:83" s="4" customFormat="1" ht="12" customHeight="1" x14ac:dyDescent="0.15">
      <c r="A555" s="16"/>
      <c r="B555" s="73"/>
      <c r="C555" s="58"/>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t="s">
        <v>274</v>
      </c>
      <c r="AW555" s="54"/>
      <c r="AX555" s="54"/>
      <c r="AY555" s="73"/>
      <c r="AZ555" s="73"/>
      <c r="BA555" s="73"/>
      <c r="BB555" s="73"/>
      <c r="BC555" s="73"/>
      <c r="BD555" s="73"/>
      <c r="BE555" s="73"/>
      <c r="BF555" s="73"/>
      <c r="BG555" s="73"/>
      <c r="BH555" s="73"/>
      <c r="BI555" s="54"/>
      <c r="BJ555" s="54"/>
      <c r="BK555" s="54"/>
      <c r="BL555" s="54"/>
      <c r="BM555" s="54"/>
      <c r="BN555" s="54"/>
      <c r="BO555" s="54"/>
      <c r="BP555" s="54"/>
      <c r="BQ555" s="54"/>
      <c r="BR555" s="54"/>
      <c r="BS555" s="54"/>
      <c r="BT555" s="54"/>
      <c r="BU555" s="54"/>
      <c r="BV555" s="54"/>
      <c r="BW555" s="54"/>
      <c r="BX555" s="54"/>
      <c r="BY555" s="54"/>
      <c r="BZ555" s="54"/>
      <c r="CA555" s="54"/>
      <c r="CB555" s="54"/>
      <c r="CC555" s="54"/>
      <c r="CD555" s="54"/>
      <c r="CE555" s="18"/>
    </row>
    <row r="556" spans="1:83" s="4" customFormat="1" ht="12" customHeight="1" x14ac:dyDescent="0.15">
      <c r="A556" s="16"/>
      <c r="B556" s="73"/>
      <c r="C556" s="58"/>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c r="AL556" s="54"/>
      <c r="AM556" s="54"/>
      <c r="AN556" s="54"/>
      <c r="AO556" s="54"/>
      <c r="AP556" s="54"/>
      <c r="AQ556" s="54"/>
      <c r="AR556" s="54"/>
      <c r="AS556" s="54"/>
      <c r="AT556" s="54"/>
      <c r="AU556" s="54"/>
      <c r="AV556" s="54" t="s">
        <v>855</v>
      </c>
      <c r="AW556" s="54"/>
      <c r="AX556" s="54"/>
      <c r="AY556" s="73"/>
      <c r="AZ556" s="73"/>
      <c r="BA556" s="73"/>
      <c r="BB556" s="73"/>
      <c r="BC556" s="73"/>
      <c r="BD556" s="73"/>
      <c r="BE556" s="73"/>
      <c r="BF556" s="73"/>
      <c r="BG556" s="73"/>
      <c r="BH556" s="73"/>
      <c r="BI556" s="54"/>
      <c r="BJ556" s="54"/>
      <c r="BK556" s="54"/>
      <c r="BL556" s="54"/>
      <c r="BM556" s="54"/>
      <c r="BN556" s="54"/>
      <c r="BO556" s="54"/>
      <c r="BP556" s="54"/>
      <c r="BQ556" s="54"/>
      <c r="BR556" s="54"/>
      <c r="BS556" s="54"/>
      <c r="BT556" s="54"/>
      <c r="BU556" s="54"/>
      <c r="BV556" s="54"/>
      <c r="BW556" s="54"/>
      <c r="BX556" s="54"/>
      <c r="BY556" s="54"/>
      <c r="BZ556" s="54"/>
      <c r="CA556" s="54"/>
      <c r="CB556" s="54"/>
      <c r="CC556" s="54"/>
      <c r="CD556" s="54"/>
      <c r="CE556" s="18"/>
    </row>
    <row r="557" spans="1:83" s="4" customFormat="1" ht="12" customHeight="1" x14ac:dyDescent="0.15">
      <c r="A557" s="16"/>
      <c r="B557" s="73"/>
      <c r="C557" s="58"/>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c r="AL557" s="54"/>
      <c r="AM557" s="54"/>
      <c r="AN557" s="54"/>
      <c r="AO557" s="54"/>
      <c r="AP557" s="54"/>
      <c r="AQ557" s="54"/>
      <c r="AR557" s="54"/>
      <c r="AS557" s="54"/>
      <c r="AT557" s="54"/>
      <c r="AU557" s="54"/>
      <c r="AV557" s="54" t="s">
        <v>856</v>
      </c>
      <c r="AW557" s="54"/>
      <c r="AX557" s="54"/>
      <c r="AY557" s="73"/>
      <c r="AZ557" s="73"/>
      <c r="BA557" s="73"/>
      <c r="BB557" s="73"/>
      <c r="BC557" s="73"/>
      <c r="BD557" s="73"/>
      <c r="BE557" s="73"/>
      <c r="BF557" s="73"/>
      <c r="BG557" s="73"/>
      <c r="BH557" s="73"/>
      <c r="BI557" s="54"/>
      <c r="BJ557" s="54"/>
      <c r="BK557" s="54"/>
      <c r="BL557" s="54"/>
      <c r="BM557" s="54"/>
      <c r="BN557" s="54"/>
      <c r="BO557" s="54"/>
      <c r="BP557" s="54"/>
      <c r="BQ557" s="54"/>
      <c r="BR557" s="54"/>
      <c r="BS557" s="54"/>
      <c r="BT557" s="54"/>
      <c r="BU557" s="54"/>
      <c r="BV557" s="54"/>
      <c r="BW557" s="54"/>
      <c r="BX557" s="54"/>
      <c r="BY557" s="54"/>
      <c r="BZ557" s="54"/>
      <c r="CA557" s="54"/>
      <c r="CB557" s="54"/>
      <c r="CC557" s="54"/>
      <c r="CD557" s="54"/>
      <c r="CE557" s="18"/>
    </row>
    <row r="558" spans="1:83" s="4" customFormat="1" ht="12" customHeight="1" x14ac:dyDescent="0.15">
      <c r="A558" s="16"/>
      <c r="B558" s="73"/>
      <c r="C558" s="5"/>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t="s">
        <v>330</v>
      </c>
      <c r="AW558" s="54"/>
      <c r="AX558" s="54"/>
      <c r="AY558" s="73"/>
      <c r="AZ558" s="73"/>
      <c r="BA558" s="73"/>
      <c r="BB558" s="73"/>
      <c r="BC558" s="73"/>
      <c r="BD558" s="73"/>
      <c r="BE558" s="73"/>
      <c r="BF558" s="73"/>
      <c r="BG558" s="73"/>
      <c r="BH558" s="73"/>
      <c r="BI558" s="54"/>
      <c r="BJ558" s="54"/>
      <c r="BK558" s="54"/>
      <c r="BL558" s="54"/>
      <c r="BM558" s="54"/>
      <c r="BN558" s="54"/>
      <c r="BO558" s="54"/>
      <c r="BP558" s="54"/>
      <c r="BQ558" s="54"/>
      <c r="BR558" s="54"/>
      <c r="BS558" s="54"/>
      <c r="BT558" s="54"/>
      <c r="BU558" s="54"/>
      <c r="BV558" s="54"/>
      <c r="BW558" s="54"/>
      <c r="BX558" s="54"/>
      <c r="BY558" s="54"/>
      <c r="BZ558" s="54"/>
      <c r="CA558" s="54"/>
      <c r="CB558" s="54"/>
      <c r="CC558" s="54"/>
      <c r="CD558" s="54"/>
      <c r="CE558" s="18"/>
    </row>
    <row r="559" spans="1:83" s="4" customFormat="1" ht="12" customHeight="1" x14ac:dyDescent="0.15">
      <c r="A559" s="16"/>
      <c r="B559" s="5"/>
      <c r="C559" s="5"/>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4" t="s">
        <v>934</v>
      </c>
      <c r="AW559" s="8"/>
      <c r="AX559" s="8"/>
      <c r="AY559" s="73"/>
      <c r="AZ559" s="73"/>
      <c r="BA559" s="73"/>
      <c r="BB559" s="73"/>
      <c r="BC559" s="73"/>
      <c r="BD559" s="73"/>
      <c r="BE559" s="73"/>
      <c r="BF559" s="73"/>
      <c r="BG559" s="73"/>
      <c r="BH559" s="73"/>
      <c r="BI559" s="8"/>
      <c r="BJ559" s="8"/>
      <c r="BK559" s="8"/>
      <c r="BL559" s="8"/>
      <c r="BM559" s="8"/>
      <c r="BN559" s="8"/>
      <c r="BO559" s="8"/>
      <c r="BP559" s="8"/>
      <c r="BQ559" s="8"/>
      <c r="BR559" s="8"/>
      <c r="BS559" s="8"/>
      <c r="BT559" s="8"/>
      <c r="BU559" s="8"/>
      <c r="BV559" s="8"/>
      <c r="BW559" s="8"/>
      <c r="BX559" s="8"/>
      <c r="BY559" s="8"/>
      <c r="BZ559" s="8"/>
      <c r="CA559" s="8"/>
      <c r="CB559" s="8"/>
      <c r="CC559" s="8"/>
      <c r="CD559" s="8"/>
      <c r="CE559" s="18"/>
    </row>
    <row r="560" spans="1:83" s="4" customFormat="1" ht="12" customHeight="1" x14ac:dyDescent="0.15">
      <c r="A560" s="16"/>
      <c r="B560" s="5"/>
      <c r="C560" s="22"/>
      <c r="D560" s="2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54" t="s">
        <v>857</v>
      </c>
      <c r="AW560" s="12"/>
      <c r="AX560" s="12"/>
      <c r="AY560" s="73"/>
      <c r="AZ560" s="73"/>
      <c r="BA560" s="73"/>
      <c r="BB560" s="73"/>
      <c r="BC560" s="73"/>
      <c r="BD560" s="73"/>
      <c r="BE560" s="73"/>
      <c r="BF560" s="73"/>
      <c r="BG560" s="73"/>
      <c r="BH560" s="73"/>
      <c r="BI560" s="12"/>
      <c r="BJ560" s="12"/>
      <c r="BK560" s="12"/>
      <c r="BL560" s="12"/>
      <c r="BM560" s="12"/>
      <c r="BN560" s="12"/>
      <c r="BO560" s="12"/>
      <c r="BP560" s="12"/>
      <c r="BQ560" s="12"/>
      <c r="BR560" s="12"/>
      <c r="BS560" s="12"/>
      <c r="BT560" s="12"/>
      <c r="BU560" s="12"/>
      <c r="BV560" s="12"/>
      <c r="BW560" s="12"/>
      <c r="BX560" s="12"/>
      <c r="BY560" s="12"/>
      <c r="BZ560" s="12"/>
      <c r="CA560" s="12"/>
      <c r="CB560" s="12"/>
      <c r="CC560" s="12"/>
      <c r="CD560" s="49"/>
      <c r="CE560" s="18"/>
    </row>
    <row r="561" spans="1:83" s="4" customFormat="1" ht="12" customHeight="1" x14ac:dyDescent="0.15">
      <c r="A561" s="16"/>
      <c r="B561" s="5"/>
      <c r="C561" s="22"/>
      <c r="D561" s="21"/>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54" t="s">
        <v>275</v>
      </c>
      <c r="AW561" s="12"/>
      <c r="AX561" s="12"/>
      <c r="AY561" s="73"/>
      <c r="AZ561" s="73"/>
      <c r="BA561" s="73"/>
      <c r="BB561" s="73"/>
      <c r="BC561" s="73"/>
      <c r="BD561" s="73"/>
      <c r="BE561" s="73"/>
      <c r="BF561" s="73"/>
      <c r="BG561" s="73"/>
      <c r="BH561" s="73"/>
      <c r="BI561" s="12"/>
      <c r="BJ561" s="12"/>
      <c r="BK561" s="12"/>
      <c r="BL561" s="12"/>
      <c r="BM561" s="12"/>
      <c r="BN561" s="12"/>
      <c r="BO561" s="12"/>
      <c r="BP561" s="12"/>
      <c r="BQ561" s="12"/>
      <c r="BR561" s="12"/>
      <c r="BS561" s="12"/>
      <c r="BT561" s="12"/>
      <c r="BU561" s="12"/>
      <c r="BV561" s="12"/>
      <c r="BW561" s="12"/>
      <c r="BX561" s="12"/>
      <c r="BY561" s="12"/>
      <c r="BZ561" s="12"/>
      <c r="CA561" s="12"/>
      <c r="CB561" s="12"/>
      <c r="CC561" s="12"/>
      <c r="CD561" s="12"/>
      <c r="CE561" s="18"/>
    </row>
    <row r="562" spans="1:83" s="4" customFormat="1" ht="12" customHeight="1" x14ac:dyDescent="0.15">
      <c r="A562" s="16"/>
      <c r="B562" s="73"/>
      <c r="C562" s="58"/>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c r="AL562" s="54"/>
      <c r="AM562" s="54"/>
      <c r="AN562" s="54"/>
      <c r="AO562" s="54"/>
      <c r="AP562" s="54"/>
      <c r="AQ562" s="54"/>
      <c r="AR562" s="54"/>
      <c r="AS562" s="54"/>
      <c r="AT562" s="54"/>
      <c r="AU562" s="54"/>
      <c r="AV562" s="54" t="s">
        <v>858</v>
      </c>
      <c r="AW562" s="54"/>
      <c r="AX562" s="54"/>
      <c r="AY562" s="73"/>
      <c r="AZ562" s="73"/>
      <c r="BA562" s="73"/>
      <c r="BB562" s="73"/>
      <c r="BC562" s="73"/>
      <c r="BD562" s="73"/>
      <c r="BE562" s="73"/>
      <c r="BF562" s="73"/>
      <c r="BG562" s="73"/>
      <c r="BH562" s="73"/>
      <c r="BI562" s="54"/>
      <c r="BJ562" s="54"/>
      <c r="BK562" s="54"/>
      <c r="BL562" s="54"/>
      <c r="BM562" s="54"/>
      <c r="BN562" s="54"/>
      <c r="BO562" s="54"/>
      <c r="BP562" s="54"/>
      <c r="BQ562" s="54"/>
      <c r="BR562" s="54"/>
      <c r="BS562" s="54"/>
      <c r="BT562" s="54"/>
      <c r="BU562" s="54"/>
      <c r="BV562" s="54"/>
      <c r="BW562" s="54"/>
      <c r="BX562" s="54"/>
      <c r="BY562" s="54"/>
      <c r="BZ562" s="54"/>
      <c r="CA562" s="54"/>
      <c r="CB562" s="54"/>
      <c r="CC562" s="54"/>
      <c r="CD562" s="54"/>
      <c r="CE562" s="18"/>
    </row>
    <row r="563" spans="1:83" s="4" customFormat="1" ht="12" customHeight="1" x14ac:dyDescent="0.15">
      <c r="A563" s="16"/>
      <c r="B563" s="73"/>
      <c r="C563" s="58"/>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c r="AL563" s="54"/>
      <c r="AM563" s="54"/>
      <c r="AN563" s="54"/>
      <c r="AO563" s="54"/>
      <c r="AP563" s="54"/>
      <c r="AQ563" s="54"/>
      <c r="AR563" s="54"/>
      <c r="AS563" s="54"/>
      <c r="AT563" s="54"/>
      <c r="AU563" s="54"/>
      <c r="AV563" s="54" t="s">
        <v>276</v>
      </c>
      <c r="AW563" s="54"/>
      <c r="AX563" s="54"/>
      <c r="AY563" s="73"/>
      <c r="AZ563" s="73"/>
      <c r="BA563" s="73"/>
      <c r="BB563" s="73"/>
      <c r="BC563" s="73"/>
      <c r="BD563" s="73"/>
      <c r="BE563" s="73"/>
      <c r="BF563" s="73"/>
      <c r="BG563" s="73"/>
      <c r="BH563" s="73"/>
      <c r="BI563" s="54"/>
      <c r="BJ563" s="54"/>
      <c r="BK563" s="54"/>
      <c r="BL563" s="54"/>
      <c r="BM563" s="54"/>
      <c r="BN563" s="54"/>
      <c r="BO563" s="54"/>
      <c r="BP563" s="54"/>
      <c r="BQ563" s="54"/>
      <c r="BR563" s="54"/>
      <c r="BS563" s="54"/>
      <c r="BT563" s="54"/>
      <c r="BU563" s="54"/>
      <c r="BV563" s="54"/>
      <c r="BW563" s="54"/>
      <c r="BX563" s="54"/>
      <c r="BY563" s="54"/>
      <c r="BZ563" s="54"/>
      <c r="CA563" s="54"/>
      <c r="CB563" s="54"/>
      <c r="CC563" s="54"/>
      <c r="CD563" s="54"/>
      <c r="CE563" s="18"/>
    </row>
    <row r="564" spans="1:83" s="4" customFormat="1" ht="12" customHeight="1" x14ac:dyDescent="0.15">
      <c r="A564" s="16"/>
      <c r="B564" s="73"/>
      <c r="C564" s="58"/>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t="s">
        <v>277</v>
      </c>
      <c r="AW564" s="54"/>
      <c r="AX564" s="54"/>
      <c r="AY564" s="73"/>
      <c r="AZ564" s="73"/>
      <c r="BA564" s="73"/>
      <c r="BB564" s="73"/>
      <c r="BC564" s="73"/>
      <c r="BD564" s="73"/>
      <c r="BE564" s="73"/>
      <c r="BF564" s="73"/>
      <c r="BG564" s="73"/>
      <c r="BH564" s="73"/>
      <c r="BI564" s="54"/>
      <c r="BJ564" s="54"/>
      <c r="BK564" s="54"/>
      <c r="BL564" s="54"/>
      <c r="BM564" s="54"/>
      <c r="BN564" s="54"/>
      <c r="BO564" s="54"/>
      <c r="BP564" s="54"/>
      <c r="BQ564" s="54"/>
      <c r="BR564" s="54"/>
      <c r="BS564" s="54"/>
      <c r="BT564" s="54"/>
      <c r="BU564" s="54"/>
      <c r="BV564" s="54"/>
      <c r="BW564" s="54"/>
      <c r="BX564" s="54"/>
      <c r="BY564" s="54"/>
      <c r="BZ564" s="54"/>
      <c r="CA564" s="54"/>
      <c r="CB564" s="54"/>
      <c r="CC564" s="54"/>
      <c r="CD564" s="54"/>
      <c r="CE564" s="18"/>
    </row>
    <row r="565" spans="1:83" s="4" customFormat="1" ht="12" customHeight="1" x14ac:dyDescent="0.15">
      <c r="A565" s="16"/>
      <c r="B565" s="73"/>
      <c r="C565" s="5"/>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73"/>
      <c r="AZ565" s="73"/>
      <c r="BA565" s="73"/>
      <c r="BB565" s="73"/>
      <c r="BC565" s="73"/>
      <c r="BD565" s="73"/>
      <c r="BE565" s="73"/>
      <c r="BF565" s="73"/>
      <c r="BG565" s="73"/>
      <c r="BH565" s="73"/>
      <c r="BI565" s="54"/>
      <c r="BJ565" s="54"/>
      <c r="BK565" s="54"/>
      <c r="BL565" s="54"/>
      <c r="BM565" s="54"/>
      <c r="BN565" s="54"/>
      <c r="BO565" s="54"/>
      <c r="BP565" s="54"/>
      <c r="BQ565" s="54"/>
      <c r="BR565" s="54"/>
      <c r="BS565" s="54"/>
      <c r="BT565" s="54"/>
      <c r="BU565" s="54"/>
      <c r="BV565" s="54"/>
      <c r="BW565" s="54"/>
      <c r="BX565" s="54"/>
      <c r="BY565" s="54"/>
      <c r="BZ565" s="54"/>
      <c r="CA565" s="54"/>
      <c r="CB565" s="54"/>
      <c r="CC565" s="54"/>
      <c r="CD565" s="54"/>
      <c r="CE565" s="18"/>
    </row>
    <row r="566" spans="1:83" s="9" customFormat="1" ht="12.75" customHeight="1" x14ac:dyDescent="0.15">
      <c r="A566" s="16"/>
      <c r="B566" s="8"/>
      <c r="C566" s="29"/>
      <c r="D566" s="2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29"/>
      <c r="AZ566" s="29"/>
      <c r="BA566" s="29"/>
      <c r="BB566" s="29"/>
      <c r="BC566" s="29"/>
      <c r="BD566" s="29"/>
      <c r="BE566" s="29"/>
      <c r="BF566" s="29"/>
      <c r="BG566" s="29"/>
      <c r="BH566" s="29"/>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8"/>
    </row>
    <row r="567" spans="1:83" s="9" customFormat="1" ht="12.75" customHeight="1" x14ac:dyDescent="0.15">
      <c r="A567" s="16"/>
      <c r="B567" s="8"/>
      <c r="C567" s="29"/>
      <c r="D567" s="21"/>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29"/>
      <c r="AZ567" s="29"/>
      <c r="BA567" s="29"/>
      <c r="BB567" s="29"/>
      <c r="BC567" s="29"/>
      <c r="BD567" s="29"/>
      <c r="BE567" s="29"/>
      <c r="BF567" s="29"/>
      <c r="BG567" s="29"/>
      <c r="BH567" s="29"/>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8"/>
    </row>
    <row r="568" spans="1:83" s="4" customFormat="1" ht="12" customHeight="1" x14ac:dyDescent="0.15">
      <c r="A568" s="16"/>
      <c r="B568" s="73"/>
      <c r="C568" s="58"/>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73"/>
      <c r="AZ568" s="73"/>
      <c r="BA568" s="73"/>
      <c r="BB568" s="73"/>
      <c r="BC568" s="73"/>
      <c r="BD568" s="73"/>
      <c r="BE568" s="73"/>
      <c r="BF568" s="73"/>
      <c r="BG568" s="73"/>
      <c r="BH568" s="73"/>
      <c r="BI568" s="54"/>
      <c r="BJ568" s="54"/>
      <c r="BK568" s="54"/>
      <c r="BL568" s="54"/>
      <c r="BM568" s="54"/>
      <c r="BN568" s="54"/>
      <c r="BO568" s="54"/>
      <c r="BP568" s="54"/>
      <c r="BQ568" s="54"/>
      <c r="BR568" s="54"/>
      <c r="BS568" s="54"/>
      <c r="BT568" s="54"/>
      <c r="BU568" s="54"/>
      <c r="BV568" s="54"/>
      <c r="BW568" s="54"/>
      <c r="BX568" s="54"/>
      <c r="BY568" s="54"/>
      <c r="BZ568" s="54"/>
      <c r="CA568" s="54"/>
      <c r="CB568" s="54"/>
      <c r="CC568" s="54"/>
      <c r="CD568" s="54"/>
      <c r="CE568" s="18"/>
    </row>
    <row r="569" spans="1:83" s="9" customFormat="1" ht="12.75" customHeight="1" x14ac:dyDescent="0.15">
      <c r="A569" s="16"/>
      <c r="B569" s="8"/>
      <c r="C569" s="29"/>
      <c r="D569" s="21"/>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29"/>
      <c r="AZ569" s="29"/>
      <c r="BA569" s="29"/>
      <c r="BB569" s="29"/>
      <c r="BC569" s="29"/>
      <c r="BD569" s="29"/>
      <c r="BE569" s="29"/>
      <c r="BF569" s="29"/>
      <c r="BG569" s="29"/>
      <c r="BH569" s="29"/>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8"/>
    </row>
    <row r="570" spans="1:83" s="9" customFormat="1" ht="12.75" customHeight="1" x14ac:dyDescent="0.15">
      <c r="A570" s="16"/>
      <c r="B570" s="8"/>
      <c r="C570" s="29"/>
      <c r="D570" s="21"/>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29"/>
      <c r="AZ570" s="29"/>
      <c r="BA570" s="29"/>
      <c r="BB570" s="29"/>
      <c r="BC570" s="29"/>
      <c r="BD570" s="29"/>
      <c r="BE570" s="29"/>
      <c r="BF570" s="29"/>
      <c r="BG570" s="29"/>
      <c r="BH570" s="29"/>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8"/>
    </row>
    <row r="571" spans="1:83" s="9" customFormat="1" ht="12.75" customHeight="1" x14ac:dyDescent="0.15">
      <c r="A571" s="16"/>
      <c r="B571" s="8"/>
      <c r="C571" s="29"/>
      <c r="D571" s="21"/>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8" t="s">
        <v>859</v>
      </c>
      <c r="AW571" s="12"/>
      <c r="AX571" s="12"/>
      <c r="AY571" s="29"/>
      <c r="AZ571" s="29"/>
      <c r="BA571" s="29"/>
      <c r="BB571" s="29"/>
      <c r="BC571" s="29"/>
      <c r="BD571" s="29"/>
      <c r="BE571" s="29"/>
      <c r="BF571" s="29"/>
      <c r="BG571" s="29"/>
      <c r="BH571" s="29"/>
      <c r="BI571" s="12"/>
      <c r="BJ571" s="12"/>
      <c r="BK571" s="12"/>
      <c r="BL571" s="12"/>
      <c r="BM571" s="12"/>
      <c r="BN571" s="12"/>
      <c r="BO571" s="12"/>
      <c r="BP571" s="12"/>
      <c r="BQ571" s="12"/>
      <c r="BR571" s="12"/>
      <c r="BS571" s="12"/>
      <c r="BT571" s="12"/>
      <c r="BU571" s="12"/>
      <c r="BV571" s="12"/>
      <c r="BW571" s="12"/>
      <c r="BX571" s="12"/>
      <c r="BY571" s="12"/>
      <c r="BZ571" s="12"/>
      <c r="CA571" s="12"/>
      <c r="CB571" s="12"/>
      <c r="CC571" s="12"/>
      <c r="CD571" s="12"/>
      <c r="CE571" s="18"/>
    </row>
    <row r="572" spans="1:83" s="9" customFormat="1" ht="12.75" customHeight="1" x14ac:dyDescent="0.15">
      <c r="A572" s="16"/>
      <c r="B572" s="8"/>
      <c r="C572" s="29"/>
      <c r="D572" s="21"/>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29"/>
      <c r="AZ572" s="29"/>
      <c r="BA572" s="29"/>
      <c r="BB572" s="29"/>
      <c r="BC572" s="29"/>
      <c r="BD572" s="29"/>
      <c r="BE572" s="29"/>
      <c r="BF572" s="29"/>
      <c r="BG572" s="29"/>
      <c r="BH572" s="29"/>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8"/>
    </row>
    <row r="573" spans="1:83" s="9" customFormat="1" ht="12.75" customHeight="1" x14ac:dyDescent="0.15">
      <c r="A573" s="16"/>
      <c r="B573" s="8"/>
      <c r="C573" s="29"/>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29"/>
      <c r="AZ573" s="29"/>
      <c r="BA573" s="29"/>
      <c r="BB573" s="29"/>
      <c r="BC573" s="29"/>
      <c r="BD573" s="29"/>
      <c r="BE573" s="29"/>
      <c r="BF573" s="29"/>
      <c r="BG573" s="29"/>
      <c r="BH573" s="29"/>
      <c r="BI573" s="12"/>
      <c r="BJ573" s="12"/>
      <c r="BK573" s="12"/>
      <c r="BL573" s="12"/>
      <c r="BM573" s="12"/>
      <c r="BN573" s="12"/>
      <c r="BO573" s="12"/>
      <c r="BP573" s="12"/>
      <c r="BQ573" s="12"/>
      <c r="BR573" s="12"/>
      <c r="BS573" s="12"/>
      <c r="BT573" s="12"/>
      <c r="BU573" s="12"/>
      <c r="BV573" s="12"/>
      <c r="BW573" s="12"/>
      <c r="BX573" s="12"/>
      <c r="BY573" s="12"/>
      <c r="BZ573" s="12"/>
      <c r="CA573" s="12"/>
      <c r="CB573" s="12"/>
      <c r="CC573" s="12"/>
      <c r="CD573" s="12"/>
      <c r="CE573" s="18"/>
    </row>
    <row r="574" spans="1:83" s="9" customFormat="1" ht="12.75" customHeight="1" x14ac:dyDescent="0.15">
      <c r="A574" s="16"/>
      <c r="B574" s="8"/>
      <c r="C574" s="29"/>
      <c r="D574" s="50"/>
      <c r="E574" s="50"/>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29"/>
      <c r="AZ574" s="29"/>
      <c r="BA574" s="29"/>
      <c r="BB574" s="29"/>
      <c r="BC574" s="29"/>
      <c r="BD574" s="29"/>
      <c r="BE574" s="29"/>
      <c r="BF574" s="29"/>
      <c r="BG574" s="29"/>
      <c r="BH574" s="29"/>
      <c r="BI574" s="12"/>
      <c r="BJ574" s="12"/>
      <c r="BK574" s="12"/>
      <c r="BL574" s="12"/>
      <c r="BM574" s="12"/>
      <c r="BN574" s="12"/>
      <c r="BO574" s="12"/>
      <c r="BP574" s="12"/>
      <c r="BQ574" s="12"/>
      <c r="BR574" s="12"/>
      <c r="BS574" s="12"/>
      <c r="BT574" s="12"/>
      <c r="BU574" s="12"/>
      <c r="BV574" s="12"/>
      <c r="BW574" s="12"/>
      <c r="BX574" s="12"/>
      <c r="BY574" s="12"/>
      <c r="BZ574" s="12"/>
      <c r="CA574" s="12"/>
      <c r="CB574" s="12"/>
      <c r="CC574" s="12"/>
      <c r="CD574" s="12"/>
      <c r="CE574" s="18"/>
    </row>
    <row r="575" spans="1:83" s="9" customFormat="1" ht="12.75" customHeight="1" x14ac:dyDescent="0.15">
      <c r="A575" s="16"/>
      <c r="B575" s="8"/>
      <c r="C575" s="29"/>
      <c r="D575" s="50"/>
      <c r="E575" s="50"/>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389"/>
      <c r="AU575" s="389"/>
      <c r="AV575" s="389"/>
      <c r="AW575" s="389"/>
      <c r="AX575" s="389"/>
      <c r="AY575" s="383"/>
      <c r="AZ575" s="383"/>
      <c r="BA575" s="383"/>
      <c r="BB575" s="383"/>
      <c r="BC575" s="383"/>
      <c r="BD575" s="383"/>
      <c r="BE575" s="383"/>
      <c r="BF575" s="383"/>
      <c r="BG575" s="383"/>
      <c r="BH575" s="383"/>
      <c r="BI575" s="389"/>
      <c r="BJ575" s="389"/>
      <c r="BK575" s="389"/>
      <c r="BL575" s="389"/>
      <c r="BM575" s="389"/>
      <c r="BN575" s="389"/>
      <c r="BO575" s="389"/>
      <c r="BP575" s="389"/>
      <c r="BQ575" s="389"/>
      <c r="BR575" s="389"/>
      <c r="BS575" s="389"/>
      <c r="BT575" s="389"/>
      <c r="BU575" s="12"/>
      <c r="BV575" s="12"/>
      <c r="BW575" s="12"/>
      <c r="BX575" s="12"/>
      <c r="BY575" s="12"/>
      <c r="BZ575" s="12"/>
      <c r="CA575" s="12"/>
      <c r="CB575" s="12"/>
      <c r="CC575" s="12"/>
      <c r="CD575" s="12"/>
      <c r="CE575" s="18"/>
    </row>
    <row r="576" spans="1:83" s="9" customFormat="1" ht="12.75" customHeight="1" x14ac:dyDescent="0.15">
      <c r="A576" s="16"/>
      <c r="B576" s="8"/>
      <c r="C576" s="29"/>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29"/>
      <c r="AZ576" s="29"/>
      <c r="BA576" s="29"/>
      <c r="BB576" s="29"/>
      <c r="BC576" s="29"/>
      <c r="BD576" s="29"/>
      <c r="BE576" s="29"/>
      <c r="BF576" s="29"/>
      <c r="BG576" s="29"/>
      <c r="BH576" s="29"/>
      <c r="BI576" s="12"/>
      <c r="BJ576" s="12"/>
      <c r="BK576" s="12"/>
      <c r="BL576" s="12"/>
      <c r="BM576" s="12"/>
      <c r="BN576" s="12"/>
      <c r="BO576" s="12"/>
      <c r="BP576" s="12"/>
      <c r="BQ576" s="12"/>
      <c r="BR576" s="12"/>
      <c r="BS576" s="12"/>
      <c r="BT576" s="12"/>
      <c r="BU576" s="12"/>
      <c r="BV576" s="12"/>
      <c r="BW576" s="12"/>
      <c r="BX576" s="12"/>
      <c r="BY576" s="12"/>
      <c r="BZ576" s="12"/>
      <c r="CA576" s="12"/>
      <c r="CB576" s="12"/>
      <c r="CC576" s="12"/>
      <c r="CD576" s="12"/>
      <c r="CE576" s="18"/>
    </row>
    <row r="577" spans="1:83" s="9" customFormat="1" ht="12.75" customHeight="1" x14ac:dyDescent="0.15">
      <c r="A577" s="16"/>
      <c r="B577" s="8"/>
      <c r="C577" s="22"/>
      <c r="D577" s="50"/>
      <c r="E577" s="50"/>
      <c r="F577" s="12"/>
      <c r="G577" s="12"/>
      <c r="H577" s="12"/>
      <c r="I577" s="12"/>
      <c r="J577" s="12"/>
      <c r="K577" s="12"/>
      <c r="L577" s="12"/>
      <c r="M577" s="12"/>
      <c r="N577" s="12"/>
      <c r="O577" s="12"/>
      <c r="P577" s="12"/>
      <c r="Q577" s="12"/>
      <c r="R577" s="12"/>
      <c r="S577" s="12"/>
      <c r="T577" s="12"/>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353"/>
      <c r="AU577" s="49"/>
      <c r="AV577" s="49"/>
      <c r="AW577" s="49"/>
      <c r="AX577" s="49"/>
      <c r="AY577" s="29"/>
      <c r="AZ577" s="29"/>
      <c r="BA577" s="29"/>
      <c r="BB577" s="29"/>
      <c r="BC577" s="29"/>
      <c r="BD577" s="29"/>
      <c r="BE577" s="29"/>
      <c r="BF577" s="29"/>
      <c r="BG577" s="29"/>
      <c r="BH577" s="29"/>
      <c r="BI577" s="49"/>
      <c r="BJ577" s="49"/>
      <c r="BK577" s="49"/>
      <c r="BL577" s="49"/>
      <c r="BM577" s="49"/>
      <c r="BN577" s="49"/>
      <c r="BO577" s="49"/>
      <c r="BP577" s="49"/>
      <c r="BQ577" s="49"/>
      <c r="BR577" s="49"/>
      <c r="BS577" s="49"/>
      <c r="BT577" s="49"/>
      <c r="BU577" s="49"/>
      <c r="BV577" s="49"/>
      <c r="BW577" s="49"/>
      <c r="BX577" s="49"/>
      <c r="BY577" s="49"/>
      <c r="BZ577" s="49"/>
      <c r="CA577" s="49"/>
      <c r="CB577" s="49"/>
      <c r="CC577" s="49"/>
      <c r="CD577" s="49"/>
      <c r="CE577" s="18"/>
    </row>
    <row r="578" spans="1:83" s="9" customFormat="1" ht="12.75" customHeight="1" x14ac:dyDescent="0.15">
      <c r="A578" s="16"/>
      <c r="B578" s="8"/>
      <c r="C578" s="22"/>
      <c r="D578" s="12"/>
      <c r="E578" s="12"/>
      <c r="F578" s="12"/>
      <c r="G578" s="12"/>
      <c r="H578" s="12"/>
      <c r="I578" s="12"/>
      <c r="J578" s="12"/>
      <c r="K578" s="12"/>
      <c r="L578" s="12"/>
      <c r="M578" s="12"/>
      <c r="N578" s="12"/>
      <c r="O578" s="12"/>
      <c r="P578" s="12"/>
      <c r="Q578" s="12"/>
      <c r="R578" s="12"/>
      <c r="S578" s="12"/>
      <c r="T578" s="12"/>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354"/>
      <c r="AU578" s="49"/>
      <c r="AV578" s="49"/>
      <c r="AW578" s="49"/>
      <c r="AX578" s="49"/>
      <c r="AY578" s="29"/>
      <c r="AZ578" s="29"/>
      <c r="BA578" s="29"/>
      <c r="BB578" s="29"/>
      <c r="BC578" s="29"/>
      <c r="BD578" s="29"/>
      <c r="BE578" s="29"/>
      <c r="BF578" s="29"/>
      <c r="BG578" s="29"/>
      <c r="BH578" s="29"/>
      <c r="BI578" s="49"/>
      <c r="BJ578" s="49"/>
      <c r="BK578" s="49"/>
      <c r="BL578" s="49"/>
      <c r="BM578" s="49"/>
      <c r="BN578" s="49"/>
      <c r="BO578" s="49"/>
      <c r="BP578" s="49"/>
      <c r="BQ578" s="49"/>
      <c r="BR578" s="49"/>
      <c r="BS578" s="49"/>
      <c r="BT578" s="49"/>
      <c r="BU578" s="49"/>
      <c r="BV578" s="49"/>
      <c r="BW578" s="49"/>
      <c r="BX578" s="49"/>
      <c r="BY578" s="49"/>
      <c r="BZ578" s="49"/>
      <c r="CA578" s="49"/>
      <c r="CB578" s="49"/>
      <c r="CC578" s="49"/>
      <c r="CD578" s="49"/>
      <c r="CE578" s="18"/>
    </row>
    <row r="579" spans="1:83" s="9" customFormat="1" ht="12.75" customHeight="1" x14ac:dyDescent="0.15">
      <c r="A579" s="16"/>
      <c r="B579" s="8"/>
      <c r="C579" s="22"/>
      <c r="D579" s="12"/>
      <c r="E579" s="12"/>
      <c r="F579" s="12"/>
      <c r="G579" s="12"/>
      <c r="H579" s="12"/>
      <c r="I579" s="12"/>
      <c r="J579" s="12"/>
      <c r="K579" s="12"/>
      <c r="L579" s="12"/>
      <c r="M579" s="12"/>
      <c r="N579" s="12"/>
      <c r="O579" s="12"/>
      <c r="P579" s="12"/>
      <c r="Q579" s="12"/>
      <c r="R579" s="12"/>
      <c r="S579" s="12"/>
      <c r="T579" s="12"/>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353"/>
      <c r="AU579" s="49"/>
      <c r="AV579" s="49"/>
      <c r="AW579" s="49"/>
      <c r="AX579" s="49"/>
      <c r="AY579" s="29"/>
      <c r="AZ579" s="29"/>
      <c r="BA579" s="29"/>
      <c r="BB579" s="29"/>
      <c r="BC579" s="29"/>
      <c r="BD579" s="29"/>
      <c r="BE579" s="29"/>
      <c r="BF579" s="29"/>
      <c r="BG579" s="29"/>
      <c r="BH579" s="29"/>
      <c r="BI579" s="49"/>
      <c r="BJ579" s="49"/>
      <c r="BK579" s="49"/>
      <c r="BL579" s="49"/>
      <c r="BM579" s="49"/>
      <c r="BN579" s="49"/>
      <c r="BO579" s="49"/>
      <c r="BP579" s="49"/>
      <c r="BQ579" s="49"/>
      <c r="BR579" s="49"/>
      <c r="BS579" s="49"/>
      <c r="BT579" s="49"/>
      <c r="BU579" s="49"/>
      <c r="BV579" s="49"/>
      <c r="BW579" s="49"/>
      <c r="BX579" s="49"/>
      <c r="BY579" s="49"/>
      <c r="BZ579" s="49"/>
      <c r="CA579" s="49"/>
      <c r="CB579" s="49"/>
      <c r="CC579" s="49"/>
      <c r="CD579" s="49"/>
      <c r="CE579" s="18"/>
    </row>
    <row r="580" spans="1:83" s="9" customFormat="1" ht="12.75" customHeight="1" x14ac:dyDescent="0.15">
      <c r="A580" s="16"/>
      <c r="B580" s="8"/>
      <c r="C580" s="22"/>
      <c r="D580" s="12"/>
      <c r="E580" s="12"/>
      <c r="F580" s="12"/>
      <c r="G580" s="12"/>
      <c r="H580" s="12"/>
      <c r="I580" s="12"/>
      <c r="J580" s="12"/>
      <c r="K580" s="12"/>
      <c r="L580" s="12"/>
      <c r="M580" s="12"/>
      <c r="N580" s="12"/>
      <c r="O580" s="12"/>
      <c r="P580" s="12"/>
      <c r="Q580" s="12"/>
      <c r="R580" s="12"/>
      <c r="S580" s="12"/>
      <c r="T580" s="12"/>
      <c r="U580" s="49"/>
      <c r="V580" s="49"/>
      <c r="W580" s="49"/>
      <c r="X580" s="49"/>
      <c r="Y580" s="49"/>
      <c r="Z580" s="49"/>
      <c r="AA580" s="49"/>
      <c r="AB580" s="49"/>
      <c r="AC580" s="49"/>
      <c r="AD580" s="49"/>
      <c r="AE580" s="49"/>
      <c r="AF580" s="49"/>
      <c r="AG580" s="49"/>
      <c r="AH580" s="49"/>
      <c r="AI580" s="49"/>
      <c r="AJ580" s="49"/>
      <c r="AK580" s="49"/>
      <c r="AL580" s="49"/>
      <c r="AM580" s="49"/>
      <c r="AN580" s="49"/>
      <c r="AO580" s="49"/>
      <c r="AP580" s="49"/>
      <c r="AQ580" s="49"/>
      <c r="AR580" s="49"/>
      <c r="AS580" s="49"/>
      <c r="AT580" s="354"/>
      <c r="AU580" s="49"/>
      <c r="AV580" s="49"/>
      <c r="AW580" s="49"/>
      <c r="AX580" s="49"/>
      <c r="AY580" s="29"/>
      <c r="AZ580" s="29"/>
      <c r="BA580" s="29"/>
      <c r="BB580" s="29"/>
      <c r="BC580" s="29"/>
      <c r="BD580" s="29"/>
      <c r="BE580" s="29"/>
      <c r="BF580" s="29"/>
      <c r="BG580" s="29"/>
      <c r="BH580" s="29"/>
      <c r="BI580" s="49"/>
      <c r="BJ580" s="49"/>
      <c r="BK580" s="49"/>
      <c r="BL580" s="49"/>
      <c r="BM580" s="49"/>
      <c r="BN580" s="49"/>
      <c r="BO580" s="49"/>
      <c r="BP580" s="49"/>
      <c r="BQ580" s="49"/>
      <c r="BR580" s="49"/>
      <c r="BS580" s="49"/>
      <c r="BT580" s="49"/>
      <c r="BU580" s="49"/>
      <c r="BV580" s="49"/>
      <c r="BW580" s="49"/>
      <c r="BX580" s="49"/>
      <c r="BY580" s="49"/>
      <c r="BZ580" s="49"/>
      <c r="CA580" s="49"/>
      <c r="CB580" s="49"/>
      <c r="CC580" s="49"/>
      <c r="CD580" s="49"/>
      <c r="CE580" s="18"/>
    </row>
    <row r="581" spans="1:83" s="9" customFormat="1" ht="12.75" customHeight="1" x14ac:dyDescent="0.15">
      <c r="A581" s="16"/>
      <c r="B581" s="8"/>
      <c r="C581" s="22"/>
      <c r="D581" s="12"/>
      <c r="E581" s="12"/>
      <c r="F581" s="12"/>
      <c r="G581" s="12"/>
      <c r="H581" s="12"/>
      <c r="I581" s="12"/>
      <c r="J581" s="12"/>
      <c r="K581" s="12"/>
      <c r="L581" s="12"/>
      <c r="M581" s="12"/>
      <c r="N581" s="12"/>
      <c r="O581" s="12"/>
      <c r="P581" s="12"/>
      <c r="Q581" s="12"/>
      <c r="R581" s="12"/>
      <c r="S581" s="12"/>
      <c r="T581" s="12"/>
      <c r="U581" s="49"/>
      <c r="V581" s="49"/>
      <c r="W581" s="49"/>
      <c r="X581" s="49"/>
      <c r="Y581" s="49"/>
      <c r="Z581" s="49"/>
      <c r="AA581" s="49"/>
      <c r="AB581" s="49"/>
      <c r="AC581" s="49"/>
      <c r="AD581" s="49"/>
      <c r="AE581" s="49"/>
      <c r="AF581" s="49"/>
      <c r="AG581" s="49"/>
      <c r="AH581" s="49"/>
      <c r="AI581" s="49"/>
      <c r="AJ581" s="49"/>
      <c r="AK581" s="49"/>
      <c r="AL581" s="49"/>
      <c r="AM581" s="49"/>
      <c r="AN581" s="49"/>
      <c r="AO581" s="49"/>
      <c r="AP581" s="49"/>
      <c r="AQ581" s="49"/>
      <c r="AR581" s="49"/>
      <c r="AS581" s="49"/>
      <c r="AT581" s="353"/>
      <c r="AU581" s="49"/>
      <c r="AV581" s="49"/>
      <c r="AW581" s="49"/>
      <c r="AX581" s="49"/>
      <c r="AY581" s="29"/>
      <c r="AZ581" s="29"/>
      <c r="BA581" s="29"/>
      <c r="BB581" s="29"/>
      <c r="BC581" s="29"/>
      <c r="BD581" s="29"/>
      <c r="BE581" s="29"/>
      <c r="BF581" s="29"/>
      <c r="BG581" s="29"/>
      <c r="BH581" s="29"/>
      <c r="BI581" s="49"/>
      <c r="BJ581" s="49"/>
      <c r="BK581" s="49"/>
      <c r="BL581" s="49"/>
      <c r="BM581" s="49"/>
      <c r="BN581" s="49"/>
      <c r="BO581" s="49"/>
      <c r="BP581" s="49"/>
      <c r="BQ581" s="49"/>
      <c r="BR581" s="49"/>
      <c r="BS581" s="49"/>
      <c r="BT581" s="49"/>
      <c r="BU581" s="49"/>
      <c r="BV581" s="49"/>
      <c r="BW581" s="49"/>
      <c r="BX581" s="49"/>
      <c r="BY581" s="49"/>
      <c r="BZ581" s="49"/>
      <c r="CA581" s="49"/>
      <c r="CB581" s="49"/>
      <c r="CC581" s="49"/>
      <c r="CD581" s="49"/>
      <c r="CE581" s="18"/>
    </row>
    <row r="582" spans="1:83" s="9" customFormat="1" ht="12.75" customHeight="1" x14ac:dyDescent="0.15">
      <c r="A582" s="16"/>
      <c r="B582" s="8"/>
      <c r="C582" s="29"/>
      <c r="D582" s="50"/>
      <c r="E582" s="50"/>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353"/>
      <c r="AU582" s="12"/>
      <c r="AV582" s="12"/>
      <c r="AW582" s="12"/>
      <c r="AX582" s="12"/>
      <c r="AY582" s="29"/>
      <c r="AZ582" s="29"/>
      <c r="BA582" s="29"/>
      <c r="BB582" s="29"/>
      <c r="BC582" s="29"/>
      <c r="BD582" s="29"/>
      <c r="BE582" s="29"/>
      <c r="BF582" s="29"/>
      <c r="BG582" s="29"/>
      <c r="BH582" s="29"/>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8"/>
    </row>
    <row r="583" spans="1:83" s="9" customFormat="1" ht="12.75" customHeight="1" x14ac:dyDescent="0.15">
      <c r="A583" s="16"/>
      <c r="B583" s="8"/>
      <c r="C583" s="29"/>
      <c r="D583" s="50"/>
      <c r="E583" s="50"/>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29"/>
      <c r="AZ583" s="29"/>
      <c r="BA583" s="29"/>
      <c r="BB583" s="29"/>
      <c r="BC583" s="29"/>
      <c r="BD583" s="29"/>
      <c r="BE583" s="29"/>
      <c r="BF583" s="29"/>
      <c r="BG583" s="29"/>
      <c r="BH583" s="29"/>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8"/>
    </row>
    <row r="584" spans="1:83" s="9" customFormat="1" ht="12.75" customHeight="1" x14ac:dyDescent="0.15">
      <c r="A584" s="16"/>
      <c r="B584" s="8"/>
      <c r="C584" s="22"/>
      <c r="D584" s="50"/>
      <c r="E584" s="50"/>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29"/>
      <c r="AZ584" s="29"/>
      <c r="BA584" s="29"/>
      <c r="BB584" s="29"/>
      <c r="BC584" s="29"/>
      <c r="BD584" s="29"/>
      <c r="BE584" s="29"/>
      <c r="BF584" s="29"/>
      <c r="BG584" s="29"/>
      <c r="BH584" s="29"/>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8"/>
    </row>
    <row r="585" spans="1:83" s="9" customFormat="1" ht="12.75" customHeight="1" x14ac:dyDescent="0.15">
      <c r="A585" s="16"/>
      <c r="B585" s="8"/>
      <c r="C585" s="29"/>
      <c r="D585" s="2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29"/>
      <c r="AZ585" s="29"/>
      <c r="BA585" s="29"/>
      <c r="BB585" s="29"/>
      <c r="BC585" s="29"/>
      <c r="BD585" s="29"/>
      <c r="BE585" s="29"/>
      <c r="BF585" s="29"/>
      <c r="BG585" s="29"/>
      <c r="BH585" s="29"/>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8"/>
    </row>
    <row r="586" spans="1:83" s="9" customFormat="1" ht="12.75" customHeight="1" x14ac:dyDescent="0.15">
      <c r="A586" s="16"/>
      <c r="B586" s="8"/>
      <c r="C586" s="29"/>
      <c r="D586" s="2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29"/>
      <c r="AZ586" s="29"/>
      <c r="BA586" s="29"/>
      <c r="BB586" s="29"/>
      <c r="BC586" s="29"/>
      <c r="BD586" s="29"/>
      <c r="BE586" s="29"/>
      <c r="BF586" s="29"/>
      <c r="BG586" s="29"/>
      <c r="BH586" s="29"/>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8"/>
    </row>
    <row r="587" spans="1:83" s="9" customFormat="1" ht="12.75" customHeight="1" x14ac:dyDescent="0.15">
      <c r="A587" s="16"/>
      <c r="B587" s="8"/>
      <c r="C587" s="29"/>
      <c r="D587" s="2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29"/>
      <c r="AZ587" s="29"/>
      <c r="BA587" s="29"/>
      <c r="BB587" s="29"/>
      <c r="BC587" s="29"/>
      <c r="BD587" s="29"/>
      <c r="BE587" s="29"/>
      <c r="BF587" s="29"/>
      <c r="BG587" s="29"/>
      <c r="BH587" s="29"/>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8"/>
    </row>
    <row r="588" spans="1:83" s="9" customFormat="1" ht="12.75" customHeight="1" x14ac:dyDescent="0.15">
      <c r="A588" s="16"/>
      <c r="B588" s="8"/>
      <c r="C588" s="29"/>
      <c r="D588" s="2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29"/>
      <c r="AZ588" s="29"/>
      <c r="BA588" s="29"/>
      <c r="BB588" s="29"/>
      <c r="BC588" s="29"/>
      <c r="BD588" s="29"/>
      <c r="BE588" s="29"/>
      <c r="BF588" s="29"/>
      <c r="BG588" s="29"/>
      <c r="BH588" s="29"/>
      <c r="BI588" s="12"/>
      <c r="BJ588" s="12"/>
      <c r="BK588" s="12"/>
      <c r="BL588" s="12"/>
      <c r="BM588" s="12"/>
      <c r="BN588" s="12"/>
      <c r="BO588" s="12"/>
      <c r="BP588" s="12"/>
      <c r="BQ588" s="12"/>
      <c r="BR588" s="12"/>
      <c r="BS588" s="12"/>
      <c r="BT588" s="12"/>
      <c r="BU588" s="12"/>
      <c r="BV588" s="12"/>
      <c r="BW588" s="12"/>
      <c r="BX588" s="12"/>
      <c r="BY588" s="12"/>
      <c r="BZ588" s="12"/>
      <c r="CA588" s="12"/>
      <c r="CB588" s="12"/>
      <c r="CC588" s="12"/>
      <c r="CD588" s="12"/>
      <c r="CE588" s="18"/>
    </row>
    <row r="589" spans="1:83" s="9" customFormat="1" ht="12" customHeight="1" thickBot="1" x14ac:dyDescent="0.2">
      <c r="A589" s="25"/>
      <c r="B589" s="30"/>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7"/>
      <c r="BA589" s="27"/>
      <c r="BB589" s="27"/>
      <c r="BC589" s="27"/>
      <c r="BD589" s="27"/>
      <c r="BE589" s="27"/>
      <c r="BF589" s="27"/>
      <c r="BG589" s="27"/>
      <c r="BH589" s="27"/>
      <c r="BI589" s="27"/>
      <c r="BJ589" s="27"/>
      <c r="BK589" s="27"/>
      <c r="BL589" s="27"/>
      <c r="BM589" s="27"/>
      <c r="BN589" s="27"/>
      <c r="BO589" s="27"/>
      <c r="BP589" s="27"/>
      <c r="BQ589" s="27"/>
      <c r="BR589" s="27"/>
      <c r="BS589" s="27"/>
      <c r="BT589" s="27"/>
      <c r="BU589" s="27"/>
      <c r="BV589" s="27"/>
      <c r="BW589" s="27"/>
      <c r="BX589" s="27"/>
      <c r="BY589" s="27"/>
      <c r="BZ589" s="27"/>
      <c r="CA589" s="27"/>
      <c r="CB589" s="27"/>
      <c r="CC589" s="26"/>
      <c r="CD589" s="26"/>
      <c r="CE589" s="28"/>
    </row>
  </sheetData>
  <mergeCells count="473">
    <mergeCell ref="D453:J455"/>
    <mergeCell ref="K453:O455"/>
    <mergeCell ref="P453:CD455"/>
    <mergeCell ref="D438:CD439"/>
    <mergeCell ref="A1:CE1"/>
    <mergeCell ref="A3:H3"/>
    <mergeCell ref="I3:AC3"/>
    <mergeCell ref="AD3:AL3"/>
    <mergeCell ref="AM3:BQ3"/>
    <mergeCell ref="BR3:BS5"/>
    <mergeCell ref="BD5:BJ5"/>
    <mergeCell ref="BK5:BM5"/>
    <mergeCell ref="BN5:BQ5"/>
    <mergeCell ref="BT3:BX5"/>
    <mergeCell ref="BY3:BZ5"/>
    <mergeCell ref="CA3:CE5"/>
    <mergeCell ref="A4:H5"/>
    <mergeCell ref="I4:AC5"/>
    <mergeCell ref="AD4:AL4"/>
    <mergeCell ref="AM4:BQ4"/>
    <mergeCell ref="AD5:AG5"/>
    <mergeCell ref="D29:F33"/>
    <mergeCell ref="G29:L33"/>
    <mergeCell ref="M29:AD33"/>
    <mergeCell ref="AE29:CB33"/>
    <mergeCell ref="AF50:CB51"/>
    <mergeCell ref="D17:F18"/>
    <mergeCell ref="G17:L18"/>
    <mergeCell ref="AE17:CB18"/>
    <mergeCell ref="D19:F24"/>
    <mergeCell ref="G19:L24"/>
    <mergeCell ref="M19:AD24"/>
    <mergeCell ref="AE19:CB24"/>
    <mergeCell ref="AH5:AN5"/>
    <mergeCell ref="AO5:AR5"/>
    <mergeCell ref="AS5:AY5"/>
    <mergeCell ref="M17:AD18"/>
    <mergeCell ref="AZ5:BC5"/>
    <mergeCell ref="D25:F28"/>
    <mergeCell ref="G25:L28"/>
    <mergeCell ref="M25:AD28"/>
    <mergeCell ref="AE25:CB28"/>
    <mergeCell ref="D90:H91"/>
    <mergeCell ref="I90:AG91"/>
    <mergeCell ref="AH90:CB91"/>
    <mergeCell ref="D88:H89"/>
    <mergeCell ref="I88:AG89"/>
    <mergeCell ref="AH88:CB89"/>
    <mergeCell ref="D34:F38"/>
    <mergeCell ref="G34:L38"/>
    <mergeCell ref="M34:AD38"/>
    <mergeCell ref="AE34:CB38"/>
    <mergeCell ref="D50:F51"/>
    <mergeCell ref="G50:M51"/>
    <mergeCell ref="N50:Q51"/>
    <mergeCell ref="R50:X51"/>
    <mergeCell ref="Y50:AE51"/>
    <mergeCell ref="D52:F83"/>
    <mergeCell ref="D86:CB86"/>
    <mergeCell ref="D87:H87"/>
    <mergeCell ref="I87:AG87"/>
    <mergeCell ref="AH87:CB87"/>
    <mergeCell ref="D92:H93"/>
    <mergeCell ref="I92:AG93"/>
    <mergeCell ref="AH92:CB93"/>
    <mergeCell ref="D94:H96"/>
    <mergeCell ref="I94:AG96"/>
    <mergeCell ref="AH94:CB96"/>
    <mergeCell ref="D205:H208"/>
    <mergeCell ref="I205:AG208"/>
    <mergeCell ref="AH205:CB208"/>
    <mergeCell ref="D203:CB203"/>
    <mergeCell ref="D204:H204"/>
    <mergeCell ref="I204:AG204"/>
    <mergeCell ref="AH204:CB204"/>
    <mergeCell ref="AF167:CB168"/>
    <mergeCell ref="D97:H98"/>
    <mergeCell ref="I97:AG98"/>
    <mergeCell ref="AH97:CB98"/>
    <mergeCell ref="D99:H100"/>
    <mergeCell ref="I99:AG100"/>
    <mergeCell ref="AH99:CB100"/>
    <mergeCell ref="D125:CB125"/>
    <mergeCell ref="AJ126:CB126"/>
    <mergeCell ref="D127:F127"/>
    <mergeCell ref="D107:CB107"/>
    <mergeCell ref="D112:CB112"/>
    <mergeCell ref="BS128:BW128"/>
    <mergeCell ref="BX128:CB128"/>
    <mergeCell ref="D129:F129"/>
    <mergeCell ref="AD129:AI129"/>
    <mergeCell ref="AJ129:AN129"/>
    <mergeCell ref="I210:AG212"/>
    <mergeCell ref="AH210:CB212"/>
    <mergeCell ref="D217:H220"/>
    <mergeCell ref="I217:AG220"/>
    <mergeCell ref="AH217:CB220"/>
    <mergeCell ref="D169:F200"/>
    <mergeCell ref="D167:F168"/>
    <mergeCell ref="G167:M168"/>
    <mergeCell ref="N167:Q168"/>
    <mergeCell ref="R167:X168"/>
    <mergeCell ref="Y167:AE168"/>
    <mergeCell ref="BX129:CB129"/>
    <mergeCell ref="D130:F130"/>
    <mergeCell ref="AD130:AI130"/>
    <mergeCell ref="AJ130:AN130"/>
    <mergeCell ref="AO130:AS130"/>
    <mergeCell ref="AT130:AX130"/>
    <mergeCell ref="AY130:BC130"/>
    <mergeCell ref="D226:CB226"/>
    <mergeCell ref="D209:H209"/>
    <mergeCell ref="I209:AG209"/>
    <mergeCell ref="AH209:CB209"/>
    <mergeCell ref="AA269:CB269"/>
    <mergeCell ref="D232:H232"/>
    <mergeCell ref="I232:AG232"/>
    <mergeCell ref="AH232:CB232"/>
    <mergeCell ref="D233:H235"/>
    <mergeCell ref="S233:AG233"/>
    <mergeCell ref="AH233:CB233"/>
    <mergeCell ref="D228:H231"/>
    <mergeCell ref="I228:AG231"/>
    <mergeCell ref="AH228:CB231"/>
    <mergeCell ref="D213:H216"/>
    <mergeCell ref="S213:AG213"/>
    <mergeCell ref="AH213:CB213"/>
    <mergeCell ref="AH214:CB216"/>
    <mergeCell ref="D227:H227"/>
    <mergeCell ref="I227:AG227"/>
    <mergeCell ref="AH227:CB227"/>
    <mergeCell ref="D210:H212"/>
    <mergeCell ref="D336:E336"/>
    <mergeCell ref="D338:E338"/>
    <mergeCell ref="D273:H273"/>
    <mergeCell ref="AA273:CB273"/>
    <mergeCell ref="D274:H274"/>
    <mergeCell ref="I274:Z274"/>
    <mergeCell ref="AA274:CB276"/>
    <mergeCell ref="D275:H275"/>
    <mergeCell ref="D350:E350"/>
    <mergeCell ref="D339:E339"/>
    <mergeCell ref="D341:E341"/>
    <mergeCell ref="D342:E342"/>
    <mergeCell ref="D343:E343"/>
    <mergeCell ref="D348:E348"/>
    <mergeCell ref="D349:E349"/>
    <mergeCell ref="D331:E331"/>
    <mergeCell ref="D332:E332"/>
    <mergeCell ref="D344:E344"/>
    <mergeCell ref="D345:E346"/>
    <mergeCell ref="D347:E347"/>
    <mergeCell ref="D333:E333"/>
    <mergeCell ref="D334:E334"/>
    <mergeCell ref="F345:Q346"/>
    <mergeCell ref="R345:AD346"/>
    <mergeCell ref="D505:E505"/>
    <mergeCell ref="D506:E506"/>
    <mergeCell ref="D485:E485"/>
    <mergeCell ref="D486:E486"/>
    <mergeCell ref="D491:E491"/>
    <mergeCell ref="D492:E492"/>
    <mergeCell ref="D493:E493"/>
    <mergeCell ref="D494:E494"/>
    <mergeCell ref="D499:CD501"/>
    <mergeCell ref="D487:E487"/>
    <mergeCell ref="D495:E495"/>
    <mergeCell ref="D484:E484"/>
    <mergeCell ref="D356:E356"/>
    <mergeCell ref="D352:E353"/>
    <mergeCell ref="P447:CD450"/>
    <mergeCell ref="D461:J463"/>
    <mergeCell ref="P461:CD463"/>
    <mergeCell ref="D477:CD479"/>
    <mergeCell ref="D357:E357"/>
    <mergeCell ref="AC369:CD374"/>
    <mergeCell ref="D355:E355"/>
    <mergeCell ref="F355:Q355"/>
    <mergeCell ref="D483:E483"/>
    <mergeCell ref="AC375:CD379"/>
    <mergeCell ref="AC383:CD385"/>
    <mergeCell ref="AC380:CD382"/>
    <mergeCell ref="I411:W411"/>
    <mergeCell ref="X411:AF411"/>
    <mergeCell ref="AE352:CD353"/>
    <mergeCell ref="D354:E354"/>
    <mergeCell ref="F413:H413"/>
    <mergeCell ref="X413:AF413"/>
    <mergeCell ref="BE413:BM413"/>
    <mergeCell ref="BN413:BV413"/>
    <mergeCell ref="F414:H414"/>
    <mergeCell ref="AE347:CD347"/>
    <mergeCell ref="AE345:CD346"/>
    <mergeCell ref="F352:Q353"/>
    <mergeCell ref="R352:AD353"/>
    <mergeCell ref="F411:H411"/>
    <mergeCell ref="AG411:BD411"/>
    <mergeCell ref="BE411:BM411"/>
    <mergeCell ref="BN411:BV411"/>
    <mergeCell ref="F412:H412"/>
    <mergeCell ref="X412:AF412"/>
    <mergeCell ref="BE412:BM412"/>
    <mergeCell ref="BN412:BV412"/>
    <mergeCell ref="X414:AF414"/>
    <mergeCell ref="BE414:BM414"/>
    <mergeCell ref="BN414:BV414"/>
    <mergeCell ref="F415:H415"/>
    <mergeCell ref="X415:AF415"/>
    <mergeCell ref="BE415:BM415"/>
    <mergeCell ref="BN415:BV415"/>
    <mergeCell ref="F416:H416"/>
    <mergeCell ref="X416:AF416"/>
    <mergeCell ref="BE416:BM416"/>
    <mergeCell ref="BN416:BV416"/>
    <mergeCell ref="X417:AF417"/>
    <mergeCell ref="BE417:BM417"/>
    <mergeCell ref="BN417:BV417"/>
    <mergeCell ref="F418:H418"/>
    <mergeCell ref="X418:AF418"/>
    <mergeCell ref="BE418:BM418"/>
    <mergeCell ref="BN418:BV418"/>
    <mergeCell ref="F419:H419"/>
    <mergeCell ref="X419:AF419"/>
    <mergeCell ref="BE419:BM419"/>
    <mergeCell ref="BN419:BV419"/>
    <mergeCell ref="F423:H423"/>
    <mergeCell ref="X423:BD423"/>
    <mergeCell ref="BE423:BM423"/>
    <mergeCell ref="BN423:BV423"/>
    <mergeCell ref="D313:H313"/>
    <mergeCell ref="I313:Z313"/>
    <mergeCell ref="AA313:CB315"/>
    <mergeCell ref="D314:H314"/>
    <mergeCell ref="I314:Z314"/>
    <mergeCell ref="D315:H315"/>
    <mergeCell ref="I315:Z315"/>
    <mergeCell ref="F421:H421"/>
    <mergeCell ref="X421:BD421"/>
    <mergeCell ref="BE421:BM421"/>
    <mergeCell ref="BN421:BV421"/>
    <mergeCell ref="X420:AF420"/>
    <mergeCell ref="BE420:BM420"/>
    <mergeCell ref="BN420:BV420"/>
    <mergeCell ref="F420:H420"/>
    <mergeCell ref="F422:H422"/>
    <mergeCell ref="X422:AF422"/>
    <mergeCell ref="BE422:BM422"/>
    <mergeCell ref="BN422:BV422"/>
    <mergeCell ref="F417:H417"/>
    <mergeCell ref="D310:H310"/>
    <mergeCell ref="AA310:CB310"/>
    <mergeCell ref="D311:H311"/>
    <mergeCell ref="AA311:CB311"/>
    <mergeCell ref="D312:H312"/>
    <mergeCell ref="AA312:CB312"/>
    <mergeCell ref="AJ127:AN127"/>
    <mergeCell ref="AO127:AS127"/>
    <mergeCell ref="AT127:AX127"/>
    <mergeCell ref="AY127:BC127"/>
    <mergeCell ref="BD127:BH127"/>
    <mergeCell ref="BI127:BM127"/>
    <mergeCell ref="BN127:BR127"/>
    <mergeCell ref="BS127:BW127"/>
    <mergeCell ref="BX127:CB127"/>
    <mergeCell ref="D128:F128"/>
    <mergeCell ref="AD128:AI128"/>
    <mergeCell ref="AJ128:AN128"/>
    <mergeCell ref="AO128:AS128"/>
    <mergeCell ref="AT128:AX128"/>
    <mergeCell ref="AY128:BC128"/>
    <mergeCell ref="BD128:BH128"/>
    <mergeCell ref="BI128:BM128"/>
    <mergeCell ref="BN128:BR128"/>
    <mergeCell ref="BD130:BH130"/>
    <mergeCell ref="BI130:BM130"/>
    <mergeCell ref="BN130:BR130"/>
    <mergeCell ref="BS130:BW130"/>
    <mergeCell ref="BX130:CB130"/>
    <mergeCell ref="AO129:AS129"/>
    <mergeCell ref="AT129:AX129"/>
    <mergeCell ref="AY129:BC129"/>
    <mergeCell ref="BD129:BH129"/>
    <mergeCell ref="BI129:BM129"/>
    <mergeCell ref="BN129:BR129"/>
    <mergeCell ref="BS129:BW129"/>
    <mergeCell ref="BS131:BW131"/>
    <mergeCell ref="BX131:CB131"/>
    <mergeCell ref="D132:F132"/>
    <mergeCell ref="AD132:AI132"/>
    <mergeCell ref="AJ132:AN132"/>
    <mergeCell ref="AO132:AS132"/>
    <mergeCell ref="AT132:AX132"/>
    <mergeCell ref="AY132:BC132"/>
    <mergeCell ref="BD132:BH132"/>
    <mergeCell ref="BI132:BM132"/>
    <mergeCell ref="BN132:BR132"/>
    <mergeCell ref="BS132:BW132"/>
    <mergeCell ref="BX132:CB132"/>
    <mergeCell ref="D131:F131"/>
    <mergeCell ref="AD131:AI131"/>
    <mergeCell ref="AJ131:AN131"/>
    <mergeCell ref="AO131:AS131"/>
    <mergeCell ref="AT131:AX131"/>
    <mergeCell ref="AY131:BC131"/>
    <mergeCell ref="BD131:BH131"/>
    <mergeCell ref="BI131:BM131"/>
    <mergeCell ref="BN131:BR131"/>
    <mergeCell ref="BS133:BW133"/>
    <mergeCell ref="BX133:CB133"/>
    <mergeCell ref="D134:F134"/>
    <mergeCell ref="AD134:AI134"/>
    <mergeCell ref="AJ134:AN134"/>
    <mergeCell ref="AO134:AS134"/>
    <mergeCell ref="AT134:AX134"/>
    <mergeCell ref="AY134:BC134"/>
    <mergeCell ref="BD134:BH134"/>
    <mergeCell ref="BI134:BM134"/>
    <mergeCell ref="BN134:BR134"/>
    <mergeCell ref="BS134:BW134"/>
    <mergeCell ref="BX134:CB134"/>
    <mergeCell ref="D133:F133"/>
    <mergeCell ref="AD133:AI133"/>
    <mergeCell ref="AJ133:AN133"/>
    <mergeCell ref="AO133:AS133"/>
    <mergeCell ref="AT133:AX133"/>
    <mergeCell ref="AY133:BC133"/>
    <mergeCell ref="BD133:BH133"/>
    <mergeCell ref="BI133:BM133"/>
    <mergeCell ref="BN133:BR133"/>
    <mergeCell ref="BS135:BW135"/>
    <mergeCell ref="BX135:CB135"/>
    <mergeCell ref="D136:F136"/>
    <mergeCell ref="AD136:AI136"/>
    <mergeCell ref="AJ136:AN136"/>
    <mergeCell ref="AO136:AS136"/>
    <mergeCell ref="AT136:AX136"/>
    <mergeCell ref="AY136:BC136"/>
    <mergeCell ref="BD136:BH136"/>
    <mergeCell ref="BI136:BM136"/>
    <mergeCell ref="BN136:BR136"/>
    <mergeCell ref="BS136:BW136"/>
    <mergeCell ref="BX136:CB136"/>
    <mergeCell ref="D135:F135"/>
    <mergeCell ref="AD135:AI135"/>
    <mergeCell ref="AJ135:AN135"/>
    <mergeCell ref="AO135:AS135"/>
    <mergeCell ref="AT135:AX135"/>
    <mergeCell ref="AY135:BC135"/>
    <mergeCell ref="BD135:BH135"/>
    <mergeCell ref="BI135:BM135"/>
    <mergeCell ref="BN135:BR135"/>
    <mergeCell ref="BS137:BW137"/>
    <mergeCell ref="BX137:CB137"/>
    <mergeCell ref="D138:F138"/>
    <mergeCell ref="AD138:AI138"/>
    <mergeCell ref="AJ138:AN138"/>
    <mergeCell ref="AO138:AS138"/>
    <mergeCell ref="AT138:AX138"/>
    <mergeCell ref="AY138:BC138"/>
    <mergeCell ref="BD138:BH138"/>
    <mergeCell ref="BI138:BM138"/>
    <mergeCell ref="BN138:BR138"/>
    <mergeCell ref="BS138:BW138"/>
    <mergeCell ref="BX138:CB138"/>
    <mergeCell ref="D137:F137"/>
    <mergeCell ref="AD137:AI137"/>
    <mergeCell ref="AJ137:AN137"/>
    <mergeCell ref="AO137:AS137"/>
    <mergeCell ref="AT137:AX137"/>
    <mergeCell ref="AY137:BC137"/>
    <mergeCell ref="BD137:BH137"/>
    <mergeCell ref="BI137:BM137"/>
    <mergeCell ref="BN137:BR137"/>
    <mergeCell ref="BS139:BW139"/>
    <mergeCell ref="BX139:CB139"/>
    <mergeCell ref="D140:F140"/>
    <mergeCell ref="AD140:AI140"/>
    <mergeCell ref="AJ140:AN140"/>
    <mergeCell ref="AO140:AS140"/>
    <mergeCell ref="AT140:AX140"/>
    <mergeCell ref="AY140:BC140"/>
    <mergeCell ref="BD140:BH140"/>
    <mergeCell ref="BI140:BM140"/>
    <mergeCell ref="BN140:BR140"/>
    <mergeCell ref="BS140:BW140"/>
    <mergeCell ref="BX140:CB140"/>
    <mergeCell ref="D139:F139"/>
    <mergeCell ref="AD139:AI139"/>
    <mergeCell ref="AJ139:AN139"/>
    <mergeCell ref="AO139:AS139"/>
    <mergeCell ref="AT139:AX139"/>
    <mergeCell ref="AY139:BC139"/>
    <mergeCell ref="BD139:BH139"/>
    <mergeCell ref="BI139:BM139"/>
    <mergeCell ref="BN139:BR139"/>
    <mergeCell ref="BX141:CB141"/>
    <mergeCell ref="D142:F142"/>
    <mergeCell ref="AD142:AI142"/>
    <mergeCell ref="AJ142:AN142"/>
    <mergeCell ref="AO142:AS142"/>
    <mergeCell ref="AT142:AX142"/>
    <mergeCell ref="AY142:BC142"/>
    <mergeCell ref="BD142:BH142"/>
    <mergeCell ref="BI142:BM142"/>
    <mergeCell ref="BN142:BR142"/>
    <mergeCell ref="BS142:BW142"/>
    <mergeCell ref="BX142:CB142"/>
    <mergeCell ref="D141:F141"/>
    <mergeCell ref="AD141:AI141"/>
    <mergeCell ref="AJ141:AN141"/>
    <mergeCell ref="AO141:AS141"/>
    <mergeCell ref="AT141:AX141"/>
    <mergeCell ref="AY141:BC141"/>
    <mergeCell ref="BD141:BH141"/>
    <mergeCell ref="BI141:BM141"/>
    <mergeCell ref="BN141:BR141"/>
    <mergeCell ref="AD143:AI143"/>
    <mergeCell ref="AJ143:AN143"/>
    <mergeCell ref="AO143:AS143"/>
    <mergeCell ref="AT143:AX143"/>
    <mergeCell ref="AY143:BC143"/>
    <mergeCell ref="BD143:BH143"/>
    <mergeCell ref="BI143:BM143"/>
    <mergeCell ref="BN143:BR143"/>
    <mergeCell ref="BS141:BW141"/>
    <mergeCell ref="D101:H102"/>
    <mergeCell ref="I101:AG102"/>
    <mergeCell ref="AH101:CB102"/>
    <mergeCell ref="D103:H105"/>
    <mergeCell ref="I103:AG105"/>
    <mergeCell ref="AH103:CB105"/>
    <mergeCell ref="D307:CB307"/>
    <mergeCell ref="D308:H308"/>
    <mergeCell ref="I308:Z308"/>
    <mergeCell ref="AA308:CB308"/>
    <mergeCell ref="BS143:BW143"/>
    <mergeCell ref="BX143:CB143"/>
    <mergeCell ref="D144:F144"/>
    <mergeCell ref="AD144:AI144"/>
    <mergeCell ref="AJ144:AN144"/>
    <mergeCell ref="AO144:AS144"/>
    <mergeCell ref="AT144:AX144"/>
    <mergeCell ref="AY144:BC144"/>
    <mergeCell ref="BD144:BH144"/>
    <mergeCell ref="BI144:BM144"/>
    <mergeCell ref="BN144:BR144"/>
    <mergeCell ref="BS144:BW144"/>
    <mergeCell ref="BX144:CB144"/>
    <mergeCell ref="D143:F143"/>
    <mergeCell ref="D309:H309"/>
    <mergeCell ref="AA309:CB309"/>
    <mergeCell ref="D221:H223"/>
    <mergeCell ref="I221:AG223"/>
    <mergeCell ref="AH221:CB223"/>
    <mergeCell ref="D239:H239"/>
    <mergeCell ref="I239:AG239"/>
    <mergeCell ref="AH239:CB239"/>
    <mergeCell ref="AH234:CB235"/>
    <mergeCell ref="D236:H238"/>
    <mergeCell ref="I236:AG238"/>
    <mergeCell ref="AH236:CB238"/>
    <mergeCell ref="I276:Z276"/>
    <mergeCell ref="D270:H270"/>
    <mergeCell ref="AA270:CB270"/>
    <mergeCell ref="D271:H271"/>
    <mergeCell ref="AA271:CB271"/>
    <mergeCell ref="D272:H272"/>
    <mergeCell ref="I275:Z275"/>
    <mergeCell ref="D276:H276"/>
    <mergeCell ref="D268:CB268"/>
    <mergeCell ref="AA272:CB272"/>
    <mergeCell ref="D269:H269"/>
    <mergeCell ref="I269:Z269"/>
  </mergeCells>
  <phoneticPr fontId="5"/>
  <pageMargins left="0.59055118110236227" right="0.59055118110236227" top="0.59055118110236227" bottom="0" header="0.43307086614173229" footer="0"/>
  <pageSetup paperSize="9" fitToHeight="0" orientation="landscape" r:id="rId1"/>
  <headerFooter alignWithMargins="0">
    <oddHeader>&amp;R
（&amp;P　／　&amp;N）　　　　　　　　　</oddHeader>
    <oddFooter>&amp;L&amp;9Copyright c 2014 The Japan Research Institute, Limited.</oddFooter>
  </headerFooter>
  <rowBreaks count="14" manualBreakCount="14">
    <brk id="45" max="82" man="1"/>
    <brk id="84" max="82" man="1"/>
    <brk id="123" max="82" man="1"/>
    <brk id="162" max="82" man="1"/>
    <brk id="201" max="82" man="1"/>
    <brk id="240" max="82" man="1"/>
    <brk id="279" max="82" man="1"/>
    <brk id="318" max="82" man="1"/>
    <brk id="357" max="82" man="1"/>
    <brk id="396" max="82" man="1"/>
    <brk id="435" max="82" man="1"/>
    <brk id="474" max="82" man="1"/>
    <brk id="511" max="82" man="1"/>
    <brk id="550" max="8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CH585"/>
  <sheetViews>
    <sheetView showGridLines="0" view="pageBreakPreview" zoomScaleNormal="85" zoomScaleSheetLayoutView="100" workbookViewId="0">
      <selection activeCell="AB11" sqref="AB11"/>
    </sheetView>
  </sheetViews>
  <sheetFormatPr defaultColWidth="1.625" defaultRowHeight="12" x14ac:dyDescent="0.15"/>
  <cols>
    <col min="1" max="82" width="1.625" style="2"/>
    <col min="83" max="83" width="1.625" style="2" customWidth="1"/>
    <col min="84" max="16384" width="1.625" style="2"/>
  </cols>
  <sheetData>
    <row r="1" spans="1:86" s="1" customFormat="1" ht="18" customHeight="1" x14ac:dyDescent="0.15">
      <c r="A1" s="735" t="s">
        <v>794</v>
      </c>
      <c r="B1" s="735"/>
      <c r="C1" s="735"/>
      <c r="D1" s="735"/>
      <c r="E1" s="735"/>
      <c r="F1" s="735"/>
      <c r="G1" s="735"/>
      <c r="H1" s="735"/>
      <c r="I1" s="735"/>
      <c r="J1" s="735"/>
      <c r="K1" s="735"/>
      <c r="L1" s="735"/>
      <c r="M1" s="735"/>
      <c r="N1" s="735"/>
      <c r="O1" s="735"/>
      <c r="P1" s="735"/>
      <c r="Q1" s="735"/>
      <c r="R1" s="735"/>
      <c r="S1" s="735"/>
      <c r="T1" s="735"/>
      <c r="U1" s="735"/>
      <c r="V1" s="735"/>
      <c r="W1" s="735"/>
      <c r="X1" s="735"/>
      <c r="Y1" s="735"/>
      <c r="Z1" s="735"/>
      <c r="AA1" s="735"/>
      <c r="AB1" s="735"/>
      <c r="AC1" s="735"/>
      <c r="AD1" s="735"/>
      <c r="AE1" s="735"/>
      <c r="AF1" s="735"/>
      <c r="AG1" s="735"/>
      <c r="AH1" s="735"/>
      <c r="AI1" s="735"/>
      <c r="AJ1" s="735"/>
      <c r="AK1" s="735"/>
      <c r="AL1" s="735"/>
      <c r="AM1" s="735"/>
      <c r="AN1" s="735"/>
      <c r="AO1" s="735"/>
      <c r="AP1" s="735"/>
      <c r="AQ1" s="735"/>
      <c r="AR1" s="735"/>
      <c r="AS1" s="735"/>
      <c r="AT1" s="735"/>
      <c r="AU1" s="735"/>
      <c r="AV1" s="735"/>
      <c r="AW1" s="735"/>
      <c r="AX1" s="735"/>
      <c r="AY1" s="735"/>
      <c r="AZ1" s="735"/>
      <c r="BA1" s="735"/>
      <c r="BB1" s="735"/>
      <c r="BC1" s="735"/>
      <c r="BD1" s="735"/>
      <c r="BE1" s="735"/>
      <c r="BF1" s="735"/>
      <c r="BG1" s="735"/>
      <c r="BH1" s="735"/>
      <c r="BI1" s="735"/>
      <c r="BJ1" s="735"/>
      <c r="BK1" s="735"/>
      <c r="BL1" s="735"/>
      <c r="BM1" s="735"/>
      <c r="BN1" s="735"/>
      <c r="BO1" s="735"/>
      <c r="BP1" s="735"/>
      <c r="BQ1" s="735"/>
      <c r="BR1" s="735"/>
      <c r="BS1" s="735"/>
      <c r="BT1" s="735"/>
      <c r="BU1" s="735"/>
      <c r="BV1" s="735"/>
      <c r="BW1" s="735"/>
      <c r="BX1" s="735"/>
      <c r="BY1" s="735"/>
      <c r="BZ1" s="735"/>
      <c r="CA1" s="735"/>
      <c r="CB1" s="735"/>
      <c r="CC1" s="735"/>
      <c r="CD1" s="735"/>
      <c r="CE1" s="735"/>
    </row>
    <row r="2" spans="1:86" ht="4.5" customHeight="1" x14ac:dyDescent="0.15">
      <c r="BN2" s="3"/>
      <c r="BO2" s="3"/>
      <c r="BP2" s="3"/>
      <c r="BQ2" s="3"/>
      <c r="BR2" s="3"/>
      <c r="BS2" s="3"/>
      <c r="BT2" s="3"/>
      <c r="BU2" s="3"/>
      <c r="BV2" s="3"/>
    </row>
    <row r="3" spans="1:86" ht="12.95" customHeight="1" x14ac:dyDescent="0.15">
      <c r="A3" s="440" t="s">
        <v>78</v>
      </c>
      <c r="B3" s="441"/>
      <c r="C3" s="441"/>
      <c r="D3" s="441"/>
      <c r="E3" s="441"/>
      <c r="F3" s="441"/>
      <c r="G3" s="441"/>
      <c r="H3" s="442"/>
      <c r="I3" s="440" t="s">
        <v>193</v>
      </c>
      <c r="J3" s="441"/>
      <c r="K3" s="441"/>
      <c r="L3" s="441"/>
      <c r="M3" s="441"/>
      <c r="N3" s="441"/>
      <c r="O3" s="441"/>
      <c r="P3" s="441"/>
      <c r="Q3" s="441"/>
      <c r="R3" s="441"/>
      <c r="S3" s="441"/>
      <c r="T3" s="441"/>
      <c r="U3" s="441"/>
      <c r="V3" s="441"/>
      <c r="W3" s="441"/>
      <c r="X3" s="441"/>
      <c r="Y3" s="441"/>
      <c r="Z3" s="441"/>
      <c r="AA3" s="441"/>
      <c r="AB3" s="441"/>
      <c r="AC3" s="442"/>
      <c r="AD3" s="440" t="s">
        <v>79</v>
      </c>
      <c r="AE3" s="441"/>
      <c r="AF3" s="441"/>
      <c r="AG3" s="441"/>
      <c r="AH3" s="441"/>
      <c r="AI3" s="441"/>
      <c r="AJ3" s="441"/>
      <c r="AK3" s="441"/>
      <c r="AL3" s="442"/>
      <c r="AM3" s="440" t="s">
        <v>788</v>
      </c>
      <c r="AN3" s="441"/>
      <c r="AO3" s="441"/>
      <c r="AP3" s="441"/>
      <c r="AQ3" s="441"/>
      <c r="AR3" s="441"/>
      <c r="AS3" s="441"/>
      <c r="AT3" s="441"/>
      <c r="AU3" s="441"/>
      <c r="AV3" s="441"/>
      <c r="AW3" s="441"/>
      <c r="AX3" s="441"/>
      <c r="AY3" s="441"/>
      <c r="AZ3" s="441"/>
      <c r="BA3" s="441"/>
      <c r="BB3" s="441"/>
      <c r="BC3" s="441"/>
      <c r="BD3" s="441"/>
      <c r="BE3" s="441"/>
      <c r="BF3" s="441"/>
      <c r="BG3" s="441"/>
      <c r="BH3" s="441"/>
      <c r="BI3" s="441"/>
      <c r="BJ3" s="441"/>
      <c r="BK3" s="441"/>
      <c r="BL3" s="441"/>
      <c r="BM3" s="441"/>
      <c r="BN3" s="441"/>
      <c r="BO3" s="441"/>
      <c r="BP3" s="441"/>
      <c r="BQ3" s="442"/>
      <c r="BR3" s="468" t="s">
        <v>80</v>
      </c>
      <c r="BS3" s="469"/>
      <c r="BT3" s="459" t="s">
        <v>943</v>
      </c>
      <c r="BU3" s="460"/>
      <c r="BV3" s="460"/>
      <c r="BW3" s="460"/>
      <c r="BX3" s="461"/>
      <c r="BY3" s="468" t="s">
        <v>81</v>
      </c>
      <c r="BZ3" s="469"/>
      <c r="CA3" s="459" t="s">
        <v>944</v>
      </c>
      <c r="CB3" s="460"/>
      <c r="CC3" s="460"/>
      <c r="CD3" s="460"/>
      <c r="CE3" s="461"/>
      <c r="CF3" s="3"/>
      <c r="CG3" s="3"/>
    </row>
    <row r="4" spans="1:86" ht="12.95" customHeight="1" x14ac:dyDescent="0.15">
      <c r="A4" s="452" t="s">
        <v>82</v>
      </c>
      <c r="B4" s="453"/>
      <c r="C4" s="453"/>
      <c r="D4" s="453"/>
      <c r="E4" s="453"/>
      <c r="F4" s="453"/>
      <c r="G4" s="453"/>
      <c r="H4" s="454"/>
      <c r="I4" s="434" t="s">
        <v>786</v>
      </c>
      <c r="J4" s="435"/>
      <c r="K4" s="435"/>
      <c r="L4" s="435"/>
      <c r="M4" s="435"/>
      <c r="N4" s="435"/>
      <c r="O4" s="435"/>
      <c r="P4" s="435"/>
      <c r="Q4" s="435"/>
      <c r="R4" s="435"/>
      <c r="S4" s="435"/>
      <c r="T4" s="435"/>
      <c r="U4" s="435"/>
      <c r="V4" s="435"/>
      <c r="W4" s="435"/>
      <c r="X4" s="435"/>
      <c r="Y4" s="435"/>
      <c r="Z4" s="435"/>
      <c r="AA4" s="435"/>
      <c r="AB4" s="435"/>
      <c r="AC4" s="436"/>
      <c r="AD4" s="440" t="s">
        <v>83</v>
      </c>
      <c r="AE4" s="441"/>
      <c r="AF4" s="441"/>
      <c r="AG4" s="441"/>
      <c r="AH4" s="441"/>
      <c r="AI4" s="441"/>
      <c r="AJ4" s="441"/>
      <c r="AK4" s="441"/>
      <c r="AL4" s="442"/>
      <c r="AM4" s="440" t="s">
        <v>441</v>
      </c>
      <c r="AN4" s="441"/>
      <c r="AO4" s="441"/>
      <c r="AP4" s="441"/>
      <c r="AQ4" s="441"/>
      <c r="AR4" s="441"/>
      <c r="AS4" s="441"/>
      <c r="AT4" s="441"/>
      <c r="AU4" s="441"/>
      <c r="AV4" s="441"/>
      <c r="AW4" s="441"/>
      <c r="AX4" s="441"/>
      <c r="AY4" s="441"/>
      <c r="AZ4" s="441"/>
      <c r="BA4" s="441"/>
      <c r="BB4" s="441"/>
      <c r="BC4" s="441"/>
      <c r="BD4" s="441"/>
      <c r="BE4" s="441"/>
      <c r="BF4" s="441"/>
      <c r="BG4" s="441"/>
      <c r="BH4" s="441"/>
      <c r="BI4" s="441"/>
      <c r="BJ4" s="441"/>
      <c r="BK4" s="441"/>
      <c r="BL4" s="441"/>
      <c r="BM4" s="441"/>
      <c r="BN4" s="441"/>
      <c r="BO4" s="441"/>
      <c r="BP4" s="441"/>
      <c r="BQ4" s="442"/>
      <c r="BR4" s="470"/>
      <c r="BS4" s="471"/>
      <c r="BT4" s="462"/>
      <c r="BU4" s="463"/>
      <c r="BV4" s="463"/>
      <c r="BW4" s="463"/>
      <c r="BX4" s="464"/>
      <c r="BY4" s="470"/>
      <c r="BZ4" s="471"/>
      <c r="CA4" s="462"/>
      <c r="CB4" s="463"/>
      <c r="CC4" s="463"/>
      <c r="CD4" s="463"/>
      <c r="CE4" s="464"/>
      <c r="CF4" s="3"/>
      <c r="CG4" s="3"/>
    </row>
    <row r="5" spans="1:86" ht="12.95" customHeight="1" x14ac:dyDescent="0.15">
      <c r="A5" s="455"/>
      <c r="B5" s="456"/>
      <c r="C5" s="456"/>
      <c r="D5" s="456"/>
      <c r="E5" s="456"/>
      <c r="F5" s="456"/>
      <c r="G5" s="456"/>
      <c r="H5" s="457"/>
      <c r="I5" s="437"/>
      <c r="J5" s="438"/>
      <c r="K5" s="438"/>
      <c r="L5" s="438"/>
      <c r="M5" s="438"/>
      <c r="N5" s="438"/>
      <c r="O5" s="438"/>
      <c r="P5" s="438"/>
      <c r="Q5" s="438"/>
      <c r="R5" s="438"/>
      <c r="S5" s="438"/>
      <c r="T5" s="438"/>
      <c r="U5" s="438"/>
      <c r="V5" s="438"/>
      <c r="W5" s="438"/>
      <c r="X5" s="438"/>
      <c r="Y5" s="438"/>
      <c r="Z5" s="438"/>
      <c r="AA5" s="438"/>
      <c r="AB5" s="438"/>
      <c r="AC5" s="439"/>
      <c r="AD5" s="440" t="s">
        <v>84</v>
      </c>
      <c r="AE5" s="441"/>
      <c r="AF5" s="441"/>
      <c r="AG5" s="442"/>
      <c r="AH5" s="443">
        <v>43476</v>
      </c>
      <c r="AI5" s="444"/>
      <c r="AJ5" s="445"/>
      <c r="AK5" s="445"/>
      <c r="AL5" s="445"/>
      <c r="AM5" s="445"/>
      <c r="AN5" s="446"/>
      <c r="AO5" s="440" t="s">
        <v>85</v>
      </c>
      <c r="AP5" s="441"/>
      <c r="AQ5" s="441"/>
      <c r="AR5" s="442"/>
      <c r="AS5" s="443">
        <v>43567</v>
      </c>
      <c r="AT5" s="444"/>
      <c r="AU5" s="445"/>
      <c r="AV5" s="445"/>
      <c r="AW5" s="445"/>
      <c r="AX5" s="445"/>
      <c r="AY5" s="446"/>
      <c r="AZ5" s="451" t="s">
        <v>86</v>
      </c>
      <c r="BA5" s="449"/>
      <c r="BB5" s="449"/>
      <c r="BC5" s="450"/>
      <c r="BD5" s="443">
        <v>43567</v>
      </c>
      <c r="BE5" s="444"/>
      <c r="BF5" s="445"/>
      <c r="BG5" s="445"/>
      <c r="BH5" s="445"/>
      <c r="BI5" s="445"/>
      <c r="BJ5" s="446"/>
      <c r="BK5" s="440" t="s">
        <v>87</v>
      </c>
      <c r="BL5" s="441"/>
      <c r="BM5" s="442"/>
      <c r="BN5" s="489">
        <v>1.3</v>
      </c>
      <c r="BO5" s="490"/>
      <c r="BP5" s="490"/>
      <c r="BQ5" s="491"/>
      <c r="BR5" s="472"/>
      <c r="BS5" s="473"/>
      <c r="BT5" s="465"/>
      <c r="BU5" s="466"/>
      <c r="BV5" s="466"/>
      <c r="BW5" s="466"/>
      <c r="BX5" s="467"/>
      <c r="BY5" s="472"/>
      <c r="BZ5" s="473"/>
      <c r="CA5" s="465"/>
      <c r="CB5" s="466"/>
      <c r="CC5" s="466"/>
      <c r="CD5" s="466"/>
      <c r="CE5" s="467"/>
      <c r="CF5" s="3"/>
      <c r="CG5" s="3"/>
    </row>
    <row r="6" spans="1:86"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6"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s="4" customFormat="1" ht="12" customHeight="1" x14ac:dyDescent="0.15">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5"/>
    </row>
    <row r="9" spans="1:86" s="4" customFormat="1" ht="12" customHeight="1" x14ac:dyDescent="0.15">
      <c r="A9" s="16"/>
      <c r="B9" s="8" t="s">
        <v>879</v>
      </c>
      <c r="C9" s="1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17"/>
      <c r="CD9" s="8"/>
      <c r="CE9" s="18"/>
    </row>
    <row r="10" spans="1:86" s="6" customFormat="1" ht="12" customHeight="1" x14ac:dyDescent="0.15">
      <c r="A10" s="16"/>
      <c r="B10" s="19"/>
      <c r="C10" s="24"/>
      <c r="D10" s="17"/>
      <c r="E10" s="17"/>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19"/>
      <c r="CD10" s="5"/>
      <c r="CE10" s="18"/>
    </row>
    <row r="11" spans="1:86" s="4" customFormat="1" ht="12" customHeight="1" x14ac:dyDescent="0.15">
      <c r="A11" s="16"/>
      <c r="B11" s="5"/>
      <c r="C11" s="17" t="s">
        <v>278</v>
      </c>
      <c r="D11" s="21"/>
      <c r="E11" s="12"/>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10"/>
      <c r="CE11" s="18"/>
    </row>
    <row r="12" spans="1:86" s="4" customFormat="1" ht="12" customHeight="1" x14ac:dyDescent="0.15">
      <c r="A12" s="16"/>
      <c r="B12" s="5"/>
      <c r="C12" s="73"/>
      <c r="D12" s="21" t="s">
        <v>279</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10"/>
      <c r="CE12" s="18"/>
    </row>
    <row r="13" spans="1:86" s="4" customFormat="1" ht="12" customHeight="1" x14ac:dyDescent="0.15">
      <c r="A13" s="16"/>
      <c r="B13" s="5"/>
      <c r="C13" s="21"/>
      <c r="E13" s="73" t="s">
        <v>835</v>
      </c>
      <c r="F13" s="21"/>
      <c r="G13" s="21"/>
      <c r="H13" s="21"/>
      <c r="I13" s="21"/>
      <c r="J13" s="21"/>
      <c r="K13" s="21"/>
      <c r="L13" s="21"/>
      <c r="M13" s="21"/>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0"/>
      <c r="CE13" s="18"/>
    </row>
    <row r="14" spans="1:86" s="4" customFormat="1" ht="12" customHeight="1" x14ac:dyDescent="0.15">
      <c r="A14" s="16"/>
      <c r="B14" s="5"/>
      <c r="C14" s="73"/>
      <c r="D14" s="12"/>
      <c r="E14" s="12"/>
      <c r="F14" s="12"/>
      <c r="G14" s="12"/>
      <c r="H14" s="12"/>
      <c r="I14" s="12"/>
      <c r="J14" s="12"/>
      <c r="K14" s="12"/>
      <c r="L14" s="12"/>
      <c r="M14" s="12"/>
      <c r="N14" s="12"/>
      <c r="O14" s="11"/>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0"/>
      <c r="CE14" s="18"/>
    </row>
    <row r="15" spans="1:86" s="4" customFormat="1" ht="12" customHeight="1" x14ac:dyDescent="0.15">
      <c r="A15" s="16"/>
      <c r="B15" s="5"/>
      <c r="C15" s="73"/>
      <c r="D15" s="22" t="s">
        <v>280</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0"/>
      <c r="CE15" s="18"/>
    </row>
    <row r="16" spans="1:86" s="4" customFormat="1" ht="12" customHeight="1" x14ac:dyDescent="0.15">
      <c r="A16" s="16"/>
      <c r="B16" s="5"/>
      <c r="C16" s="73"/>
      <c r="E16" s="22" t="s">
        <v>836</v>
      </c>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0"/>
      <c r="CE16" s="18"/>
    </row>
    <row r="17" spans="1:84" s="4" customFormat="1" ht="12" customHeight="1" x14ac:dyDescent="0.15">
      <c r="A17" s="16"/>
      <c r="B17" s="5"/>
      <c r="C17" s="73"/>
      <c r="D17" s="752" t="s">
        <v>281</v>
      </c>
      <c r="E17" s="752"/>
      <c r="F17" s="766"/>
      <c r="G17" s="752" t="s">
        <v>391</v>
      </c>
      <c r="H17" s="752"/>
      <c r="I17" s="752"/>
      <c r="J17" s="752"/>
      <c r="K17" s="752"/>
      <c r="L17" s="752"/>
      <c r="M17" s="752" t="s">
        <v>392</v>
      </c>
      <c r="N17" s="752"/>
      <c r="O17" s="752"/>
      <c r="P17" s="752"/>
      <c r="Q17" s="752"/>
      <c r="R17" s="752"/>
      <c r="S17" s="752"/>
      <c r="T17" s="752"/>
      <c r="U17" s="752"/>
      <c r="V17" s="752"/>
      <c r="W17" s="752"/>
      <c r="X17" s="752"/>
      <c r="Y17" s="752"/>
      <c r="Z17" s="752"/>
      <c r="AA17" s="752"/>
      <c r="AB17" s="752"/>
      <c r="AC17" s="752"/>
      <c r="AD17" s="752"/>
      <c r="AE17" s="586" t="s">
        <v>393</v>
      </c>
      <c r="AF17" s="703"/>
      <c r="AG17" s="703"/>
      <c r="AH17" s="703"/>
      <c r="AI17" s="703"/>
      <c r="AJ17" s="703"/>
      <c r="AK17" s="703"/>
      <c r="AL17" s="703"/>
      <c r="AM17" s="703"/>
      <c r="AN17" s="703"/>
      <c r="AO17" s="703"/>
      <c r="AP17" s="703"/>
      <c r="AQ17" s="703"/>
      <c r="AR17" s="703"/>
      <c r="AS17" s="703"/>
      <c r="AT17" s="703"/>
      <c r="AU17" s="703"/>
      <c r="AV17" s="703"/>
      <c r="AW17" s="703"/>
      <c r="AX17" s="703"/>
      <c r="AY17" s="703"/>
      <c r="AZ17" s="703"/>
      <c r="BA17" s="703"/>
      <c r="BB17" s="703"/>
      <c r="BC17" s="703"/>
      <c r="BD17" s="703"/>
      <c r="BE17" s="703"/>
      <c r="BF17" s="703"/>
      <c r="BG17" s="703"/>
      <c r="BH17" s="703"/>
      <c r="BI17" s="703"/>
      <c r="BJ17" s="703"/>
      <c r="BK17" s="703"/>
      <c r="BL17" s="703"/>
      <c r="BM17" s="703"/>
      <c r="BN17" s="703"/>
      <c r="BO17" s="703"/>
      <c r="BP17" s="703"/>
      <c r="BQ17" s="703"/>
      <c r="BR17" s="703"/>
      <c r="BS17" s="703"/>
      <c r="BT17" s="703"/>
      <c r="BU17" s="703"/>
      <c r="BV17" s="703"/>
      <c r="BW17" s="703"/>
      <c r="BX17" s="703"/>
      <c r="BY17" s="703"/>
      <c r="BZ17" s="703"/>
      <c r="CA17" s="703"/>
      <c r="CB17" s="704"/>
      <c r="CC17" s="75"/>
      <c r="CD17" s="58"/>
      <c r="CE17" s="76"/>
      <c r="CF17" s="58"/>
    </row>
    <row r="18" spans="1:84" s="4" customFormat="1" ht="12" customHeight="1" x14ac:dyDescent="0.15">
      <c r="A18" s="16"/>
      <c r="B18" s="5"/>
      <c r="C18" s="73"/>
      <c r="D18" s="752"/>
      <c r="E18" s="752"/>
      <c r="F18" s="766"/>
      <c r="G18" s="752"/>
      <c r="H18" s="752"/>
      <c r="I18" s="752"/>
      <c r="J18" s="752"/>
      <c r="K18" s="752"/>
      <c r="L18" s="752"/>
      <c r="M18" s="752"/>
      <c r="N18" s="752"/>
      <c r="O18" s="752"/>
      <c r="P18" s="752"/>
      <c r="Q18" s="752"/>
      <c r="R18" s="752"/>
      <c r="S18" s="752"/>
      <c r="T18" s="752"/>
      <c r="U18" s="752"/>
      <c r="V18" s="752"/>
      <c r="W18" s="752"/>
      <c r="X18" s="752"/>
      <c r="Y18" s="752"/>
      <c r="Z18" s="752"/>
      <c r="AA18" s="752"/>
      <c r="AB18" s="752"/>
      <c r="AC18" s="752"/>
      <c r="AD18" s="752"/>
      <c r="AE18" s="707"/>
      <c r="AF18" s="708"/>
      <c r="AG18" s="708"/>
      <c r="AH18" s="708"/>
      <c r="AI18" s="708"/>
      <c r="AJ18" s="708"/>
      <c r="AK18" s="708"/>
      <c r="AL18" s="708"/>
      <c r="AM18" s="708"/>
      <c r="AN18" s="708"/>
      <c r="AO18" s="708"/>
      <c r="AP18" s="708"/>
      <c r="AQ18" s="708"/>
      <c r="AR18" s="708"/>
      <c r="AS18" s="708"/>
      <c r="AT18" s="708"/>
      <c r="AU18" s="708"/>
      <c r="AV18" s="708"/>
      <c r="AW18" s="708"/>
      <c r="AX18" s="708"/>
      <c r="AY18" s="708"/>
      <c r="AZ18" s="708"/>
      <c r="BA18" s="708"/>
      <c r="BB18" s="708"/>
      <c r="BC18" s="708"/>
      <c r="BD18" s="708"/>
      <c r="BE18" s="708"/>
      <c r="BF18" s="708"/>
      <c r="BG18" s="708"/>
      <c r="BH18" s="708"/>
      <c r="BI18" s="708"/>
      <c r="BJ18" s="708"/>
      <c r="BK18" s="708"/>
      <c r="BL18" s="708"/>
      <c r="BM18" s="708"/>
      <c r="BN18" s="708"/>
      <c r="BO18" s="708"/>
      <c r="BP18" s="708"/>
      <c r="BQ18" s="708"/>
      <c r="BR18" s="708"/>
      <c r="BS18" s="708"/>
      <c r="BT18" s="708"/>
      <c r="BU18" s="708"/>
      <c r="BV18" s="708"/>
      <c r="BW18" s="708"/>
      <c r="BX18" s="708"/>
      <c r="BY18" s="708"/>
      <c r="BZ18" s="708"/>
      <c r="CA18" s="708"/>
      <c r="CB18" s="709"/>
      <c r="CC18" s="75"/>
      <c r="CD18" s="58"/>
      <c r="CE18" s="76"/>
      <c r="CF18" s="58"/>
    </row>
    <row r="19" spans="1:84" s="4" customFormat="1" ht="12.75" customHeight="1" x14ac:dyDescent="0.15">
      <c r="A19" s="16"/>
      <c r="B19" s="5"/>
      <c r="C19" s="73"/>
      <c r="D19" s="586">
        <v>1</v>
      </c>
      <c r="E19" s="703"/>
      <c r="F19" s="704"/>
      <c r="G19" s="710" t="s">
        <v>394</v>
      </c>
      <c r="H19" s="711"/>
      <c r="I19" s="711"/>
      <c r="J19" s="711"/>
      <c r="K19" s="711"/>
      <c r="L19" s="712"/>
      <c r="M19" s="647" t="s">
        <v>282</v>
      </c>
      <c r="N19" s="648"/>
      <c r="O19" s="648"/>
      <c r="P19" s="648"/>
      <c r="Q19" s="648"/>
      <c r="R19" s="648"/>
      <c r="S19" s="648"/>
      <c r="T19" s="648"/>
      <c r="U19" s="648"/>
      <c r="V19" s="648"/>
      <c r="W19" s="648"/>
      <c r="X19" s="648"/>
      <c r="Y19" s="648"/>
      <c r="Z19" s="648"/>
      <c r="AA19" s="648"/>
      <c r="AB19" s="648"/>
      <c r="AC19" s="648"/>
      <c r="AD19" s="649"/>
      <c r="AE19" s="719" t="s">
        <v>798</v>
      </c>
      <c r="AF19" s="720"/>
      <c r="AG19" s="720"/>
      <c r="AH19" s="720"/>
      <c r="AI19" s="720"/>
      <c r="AJ19" s="720"/>
      <c r="AK19" s="720"/>
      <c r="AL19" s="720"/>
      <c r="AM19" s="720"/>
      <c r="AN19" s="720"/>
      <c r="AO19" s="720"/>
      <c r="AP19" s="720"/>
      <c r="AQ19" s="720"/>
      <c r="AR19" s="720"/>
      <c r="AS19" s="720"/>
      <c r="AT19" s="720"/>
      <c r="AU19" s="720"/>
      <c r="AV19" s="720"/>
      <c r="AW19" s="720"/>
      <c r="AX19" s="720"/>
      <c r="AY19" s="720"/>
      <c r="AZ19" s="720"/>
      <c r="BA19" s="720"/>
      <c r="BB19" s="720"/>
      <c r="BC19" s="720"/>
      <c r="BD19" s="720"/>
      <c r="BE19" s="720"/>
      <c r="BF19" s="720"/>
      <c r="BG19" s="720"/>
      <c r="BH19" s="720"/>
      <c r="BI19" s="720"/>
      <c r="BJ19" s="720"/>
      <c r="BK19" s="720"/>
      <c r="BL19" s="720"/>
      <c r="BM19" s="720"/>
      <c r="BN19" s="720"/>
      <c r="BO19" s="720"/>
      <c r="BP19" s="720"/>
      <c r="BQ19" s="720"/>
      <c r="BR19" s="720"/>
      <c r="BS19" s="720"/>
      <c r="BT19" s="720"/>
      <c r="BU19" s="720"/>
      <c r="BV19" s="720"/>
      <c r="BW19" s="720"/>
      <c r="BX19" s="720"/>
      <c r="BY19" s="720"/>
      <c r="BZ19" s="720"/>
      <c r="CA19" s="720"/>
      <c r="CB19" s="721"/>
      <c r="CC19" s="75"/>
      <c r="CD19" s="58"/>
      <c r="CE19" s="76"/>
      <c r="CF19" s="58"/>
    </row>
    <row r="20" spans="1:84" s="4" customFormat="1" ht="12.75" customHeight="1" x14ac:dyDescent="0.15">
      <c r="A20" s="16"/>
      <c r="B20" s="5"/>
      <c r="C20" s="73"/>
      <c r="D20" s="589"/>
      <c r="E20" s="705"/>
      <c r="F20" s="706"/>
      <c r="G20" s="713"/>
      <c r="H20" s="714"/>
      <c r="I20" s="714"/>
      <c r="J20" s="714"/>
      <c r="K20" s="714"/>
      <c r="L20" s="715"/>
      <c r="M20" s="650"/>
      <c r="N20" s="651"/>
      <c r="O20" s="651"/>
      <c r="P20" s="651"/>
      <c r="Q20" s="651"/>
      <c r="R20" s="651"/>
      <c r="S20" s="651"/>
      <c r="T20" s="651"/>
      <c r="U20" s="651"/>
      <c r="V20" s="651"/>
      <c r="W20" s="651"/>
      <c r="X20" s="651"/>
      <c r="Y20" s="651"/>
      <c r="Z20" s="651"/>
      <c r="AA20" s="651"/>
      <c r="AB20" s="651"/>
      <c r="AC20" s="651"/>
      <c r="AD20" s="652"/>
      <c r="AE20" s="722"/>
      <c r="AF20" s="723"/>
      <c r="AG20" s="723"/>
      <c r="AH20" s="723"/>
      <c r="AI20" s="723"/>
      <c r="AJ20" s="723"/>
      <c r="AK20" s="723"/>
      <c r="AL20" s="723"/>
      <c r="AM20" s="723"/>
      <c r="AN20" s="723"/>
      <c r="AO20" s="723"/>
      <c r="AP20" s="723"/>
      <c r="AQ20" s="723"/>
      <c r="AR20" s="723"/>
      <c r="AS20" s="723"/>
      <c r="AT20" s="723"/>
      <c r="AU20" s="723"/>
      <c r="AV20" s="723"/>
      <c r="AW20" s="723"/>
      <c r="AX20" s="723"/>
      <c r="AY20" s="723"/>
      <c r="AZ20" s="723"/>
      <c r="BA20" s="723"/>
      <c r="BB20" s="723"/>
      <c r="BC20" s="723"/>
      <c r="BD20" s="723"/>
      <c r="BE20" s="723"/>
      <c r="BF20" s="723"/>
      <c r="BG20" s="723"/>
      <c r="BH20" s="723"/>
      <c r="BI20" s="723"/>
      <c r="BJ20" s="723"/>
      <c r="BK20" s="723"/>
      <c r="BL20" s="723"/>
      <c r="BM20" s="723"/>
      <c r="BN20" s="723"/>
      <c r="BO20" s="723"/>
      <c r="BP20" s="723"/>
      <c r="BQ20" s="723"/>
      <c r="BR20" s="723"/>
      <c r="BS20" s="723"/>
      <c r="BT20" s="723"/>
      <c r="BU20" s="723"/>
      <c r="BV20" s="723"/>
      <c r="BW20" s="723"/>
      <c r="BX20" s="723"/>
      <c r="BY20" s="723"/>
      <c r="BZ20" s="723"/>
      <c r="CA20" s="723"/>
      <c r="CB20" s="724"/>
      <c r="CC20" s="75"/>
      <c r="CD20" s="58"/>
      <c r="CE20" s="76"/>
      <c r="CF20" s="58"/>
    </row>
    <row r="21" spans="1:84" s="4" customFormat="1" ht="12.75" customHeight="1" x14ac:dyDescent="0.15">
      <c r="A21" s="16"/>
      <c r="B21" s="5"/>
      <c r="C21" s="73"/>
      <c r="D21" s="589"/>
      <c r="E21" s="705"/>
      <c r="F21" s="706"/>
      <c r="G21" s="713"/>
      <c r="H21" s="714"/>
      <c r="I21" s="714"/>
      <c r="J21" s="714"/>
      <c r="K21" s="714"/>
      <c r="L21" s="715"/>
      <c r="M21" s="650"/>
      <c r="N21" s="651"/>
      <c r="O21" s="651"/>
      <c r="P21" s="651"/>
      <c r="Q21" s="651"/>
      <c r="R21" s="651"/>
      <c r="S21" s="651"/>
      <c r="T21" s="651"/>
      <c r="U21" s="651"/>
      <c r="V21" s="651"/>
      <c r="W21" s="651"/>
      <c r="X21" s="651"/>
      <c r="Y21" s="651"/>
      <c r="Z21" s="651"/>
      <c r="AA21" s="651"/>
      <c r="AB21" s="651"/>
      <c r="AC21" s="651"/>
      <c r="AD21" s="652"/>
      <c r="AE21" s="722"/>
      <c r="AF21" s="723"/>
      <c r="AG21" s="723"/>
      <c r="AH21" s="723"/>
      <c r="AI21" s="723"/>
      <c r="AJ21" s="723"/>
      <c r="AK21" s="723"/>
      <c r="AL21" s="723"/>
      <c r="AM21" s="723"/>
      <c r="AN21" s="723"/>
      <c r="AO21" s="723"/>
      <c r="AP21" s="723"/>
      <c r="AQ21" s="723"/>
      <c r="AR21" s="723"/>
      <c r="AS21" s="723"/>
      <c r="AT21" s="723"/>
      <c r="AU21" s="723"/>
      <c r="AV21" s="723"/>
      <c r="AW21" s="723"/>
      <c r="AX21" s="723"/>
      <c r="AY21" s="723"/>
      <c r="AZ21" s="723"/>
      <c r="BA21" s="723"/>
      <c r="BB21" s="723"/>
      <c r="BC21" s="723"/>
      <c r="BD21" s="723"/>
      <c r="BE21" s="723"/>
      <c r="BF21" s="723"/>
      <c r="BG21" s="723"/>
      <c r="BH21" s="723"/>
      <c r="BI21" s="723"/>
      <c r="BJ21" s="723"/>
      <c r="BK21" s="723"/>
      <c r="BL21" s="723"/>
      <c r="BM21" s="723"/>
      <c r="BN21" s="723"/>
      <c r="BO21" s="723"/>
      <c r="BP21" s="723"/>
      <c r="BQ21" s="723"/>
      <c r="BR21" s="723"/>
      <c r="BS21" s="723"/>
      <c r="BT21" s="723"/>
      <c r="BU21" s="723"/>
      <c r="BV21" s="723"/>
      <c r="BW21" s="723"/>
      <c r="BX21" s="723"/>
      <c r="BY21" s="723"/>
      <c r="BZ21" s="723"/>
      <c r="CA21" s="723"/>
      <c r="CB21" s="724"/>
      <c r="CC21" s="75"/>
      <c r="CD21" s="58"/>
      <c r="CE21" s="76"/>
      <c r="CF21" s="58"/>
    </row>
    <row r="22" spans="1:84" s="4" customFormat="1" ht="12.75" customHeight="1" x14ac:dyDescent="0.15">
      <c r="A22" s="16"/>
      <c r="B22" s="5"/>
      <c r="C22" s="73"/>
      <c r="D22" s="589"/>
      <c r="E22" s="705"/>
      <c r="F22" s="706"/>
      <c r="G22" s="713"/>
      <c r="H22" s="714"/>
      <c r="I22" s="714"/>
      <c r="J22" s="714"/>
      <c r="K22" s="714"/>
      <c r="L22" s="715"/>
      <c r="M22" s="650"/>
      <c r="N22" s="651"/>
      <c r="O22" s="651"/>
      <c r="P22" s="651"/>
      <c r="Q22" s="651"/>
      <c r="R22" s="651"/>
      <c r="S22" s="651"/>
      <c r="T22" s="651"/>
      <c r="U22" s="651"/>
      <c r="V22" s="651"/>
      <c r="W22" s="651"/>
      <c r="X22" s="651"/>
      <c r="Y22" s="651"/>
      <c r="Z22" s="651"/>
      <c r="AA22" s="651"/>
      <c r="AB22" s="651"/>
      <c r="AC22" s="651"/>
      <c r="AD22" s="652"/>
      <c r="AE22" s="722"/>
      <c r="AF22" s="723"/>
      <c r="AG22" s="723"/>
      <c r="AH22" s="723"/>
      <c r="AI22" s="723"/>
      <c r="AJ22" s="723"/>
      <c r="AK22" s="723"/>
      <c r="AL22" s="723"/>
      <c r="AM22" s="723"/>
      <c r="AN22" s="723"/>
      <c r="AO22" s="723"/>
      <c r="AP22" s="723"/>
      <c r="AQ22" s="723"/>
      <c r="AR22" s="723"/>
      <c r="AS22" s="723"/>
      <c r="AT22" s="723"/>
      <c r="AU22" s="723"/>
      <c r="AV22" s="723"/>
      <c r="AW22" s="723"/>
      <c r="AX22" s="723"/>
      <c r="AY22" s="723"/>
      <c r="AZ22" s="723"/>
      <c r="BA22" s="723"/>
      <c r="BB22" s="723"/>
      <c r="BC22" s="723"/>
      <c r="BD22" s="723"/>
      <c r="BE22" s="723"/>
      <c r="BF22" s="723"/>
      <c r="BG22" s="723"/>
      <c r="BH22" s="723"/>
      <c r="BI22" s="723"/>
      <c r="BJ22" s="723"/>
      <c r="BK22" s="723"/>
      <c r="BL22" s="723"/>
      <c r="BM22" s="723"/>
      <c r="BN22" s="723"/>
      <c r="BO22" s="723"/>
      <c r="BP22" s="723"/>
      <c r="BQ22" s="723"/>
      <c r="BR22" s="723"/>
      <c r="BS22" s="723"/>
      <c r="BT22" s="723"/>
      <c r="BU22" s="723"/>
      <c r="BV22" s="723"/>
      <c r="BW22" s="723"/>
      <c r="BX22" s="723"/>
      <c r="BY22" s="723"/>
      <c r="BZ22" s="723"/>
      <c r="CA22" s="723"/>
      <c r="CB22" s="724"/>
      <c r="CC22" s="75"/>
      <c r="CD22" s="58"/>
      <c r="CE22" s="76"/>
      <c r="CF22" s="58"/>
    </row>
    <row r="23" spans="1:84" s="4" customFormat="1" ht="12.75" customHeight="1" x14ac:dyDescent="0.15">
      <c r="A23" s="16"/>
      <c r="B23" s="5"/>
      <c r="C23" s="73"/>
      <c r="D23" s="589"/>
      <c r="E23" s="705"/>
      <c r="F23" s="706"/>
      <c r="G23" s="713"/>
      <c r="H23" s="714"/>
      <c r="I23" s="714"/>
      <c r="J23" s="714"/>
      <c r="K23" s="714"/>
      <c r="L23" s="715"/>
      <c r="M23" s="650"/>
      <c r="N23" s="651"/>
      <c r="O23" s="651"/>
      <c r="P23" s="651"/>
      <c r="Q23" s="651"/>
      <c r="R23" s="651"/>
      <c r="S23" s="651"/>
      <c r="T23" s="651"/>
      <c r="U23" s="651"/>
      <c r="V23" s="651"/>
      <c r="W23" s="651"/>
      <c r="X23" s="651"/>
      <c r="Y23" s="651"/>
      <c r="Z23" s="651"/>
      <c r="AA23" s="651"/>
      <c r="AB23" s="651"/>
      <c r="AC23" s="651"/>
      <c r="AD23" s="652"/>
      <c r="AE23" s="722"/>
      <c r="AF23" s="723"/>
      <c r="AG23" s="723"/>
      <c r="AH23" s="723"/>
      <c r="AI23" s="723"/>
      <c r="AJ23" s="723"/>
      <c r="AK23" s="723"/>
      <c r="AL23" s="723"/>
      <c r="AM23" s="723"/>
      <c r="AN23" s="723"/>
      <c r="AO23" s="723"/>
      <c r="AP23" s="723"/>
      <c r="AQ23" s="723"/>
      <c r="AR23" s="723"/>
      <c r="AS23" s="723"/>
      <c r="AT23" s="723"/>
      <c r="AU23" s="723"/>
      <c r="AV23" s="723"/>
      <c r="AW23" s="723"/>
      <c r="AX23" s="723"/>
      <c r="AY23" s="723"/>
      <c r="AZ23" s="723"/>
      <c r="BA23" s="723"/>
      <c r="BB23" s="723"/>
      <c r="BC23" s="723"/>
      <c r="BD23" s="723"/>
      <c r="BE23" s="723"/>
      <c r="BF23" s="723"/>
      <c r="BG23" s="723"/>
      <c r="BH23" s="723"/>
      <c r="BI23" s="723"/>
      <c r="BJ23" s="723"/>
      <c r="BK23" s="723"/>
      <c r="BL23" s="723"/>
      <c r="BM23" s="723"/>
      <c r="BN23" s="723"/>
      <c r="BO23" s="723"/>
      <c r="BP23" s="723"/>
      <c r="BQ23" s="723"/>
      <c r="BR23" s="723"/>
      <c r="BS23" s="723"/>
      <c r="BT23" s="723"/>
      <c r="BU23" s="723"/>
      <c r="BV23" s="723"/>
      <c r="BW23" s="723"/>
      <c r="BX23" s="723"/>
      <c r="BY23" s="723"/>
      <c r="BZ23" s="723"/>
      <c r="CA23" s="723"/>
      <c r="CB23" s="724"/>
      <c r="CC23" s="75"/>
      <c r="CD23" s="58"/>
      <c r="CE23" s="76"/>
      <c r="CF23" s="58"/>
    </row>
    <row r="24" spans="1:84" s="4" customFormat="1" ht="12.75" customHeight="1" x14ac:dyDescent="0.15">
      <c r="A24" s="16"/>
      <c r="B24" s="5"/>
      <c r="C24" s="73"/>
      <c r="D24" s="707"/>
      <c r="E24" s="708"/>
      <c r="F24" s="709"/>
      <c r="G24" s="716"/>
      <c r="H24" s="717"/>
      <c r="I24" s="717"/>
      <c r="J24" s="717"/>
      <c r="K24" s="717"/>
      <c r="L24" s="718"/>
      <c r="M24" s="653"/>
      <c r="N24" s="654"/>
      <c r="O24" s="654"/>
      <c r="P24" s="654"/>
      <c r="Q24" s="654"/>
      <c r="R24" s="654"/>
      <c r="S24" s="654"/>
      <c r="T24" s="654"/>
      <c r="U24" s="654"/>
      <c r="V24" s="654"/>
      <c r="W24" s="654"/>
      <c r="X24" s="654"/>
      <c r="Y24" s="654"/>
      <c r="Z24" s="654"/>
      <c r="AA24" s="654"/>
      <c r="AB24" s="654"/>
      <c r="AC24" s="654"/>
      <c r="AD24" s="655"/>
      <c r="AE24" s="725"/>
      <c r="AF24" s="726"/>
      <c r="AG24" s="726"/>
      <c r="AH24" s="726"/>
      <c r="AI24" s="726"/>
      <c r="AJ24" s="726"/>
      <c r="AK24" s="726"/>
      <c r="AL24" s="726"/>
      <c r="AM24" s="726"/>
      <c r="AN24" s="726"/>
      <c r="AO24" s="726"/>
      <c r="AP24" s="726"/>
      <c r="AQ24" s="726"/>
      <c r="AR24" s="726"/>
      <c r="AS24" s="726"/>
      <c r="AT24" s="726"/>
      <c r="AU24" s="726"/>
      <c r="AV24" s="726"/>
      <c r="AW24" s="726"/>
      <c r="AX24" s="726"/>
      <c r="AY24" s="726"/>
      <c r="AZ24" s="726"/>
      <c r="BA24" s="726"/>
      <c r="BB24" s="726"/>
      <c r="BC24" s="726"/>
      <c r="BD24" s="726"/>
      <c r="BE24" s="726"/>
      <c r="BF24" s="726"/>
      <c r="BG24" s="726"/>
      <c r="BH24" s="726"/>
      <c r="BI24" s="726"/>
      <c r="BJ24" s="726"/>
      <c r="BK24" s="726"/>
      <c r="BL24" s="726"/>
      <c r="BM24" s="726"/>
      <c r="BN24" s="726"/>
      <c r="BO24" s="726"/>
      <c r="BP24" s="726"/>
      <c r="BQ24" s="726"/>
      <c r="BR24" s="726"/>
      <c r="BS24" s="726"/>
      <c r="BT24" s="726"/>
      <c r="BU24" s="726"/>
      <c r="BV24" s="726"/>
      <c r="BW24" s="726"/>
      <c r="BX24" s="726"/>
      <c r="BY24" s="726"/>
      <c r="BZ24" s="726"/>
      <c r="CA24" s="726"/>
      <c r="CB24" s="727"/>
      <c r="CC24" s="75"/>
      <c r="CD24" s="58"/>
      <c r="CE24" s="76"/>
      <c r="CF24" s="58"/>
    </row>
    <row r="25" spans="1:84" s="4" customFormat="1" ht="12.75" customHeight="1" x14ac:dyDescent="0.15">
      <c r="A25" s="16"/>
      <c r="B25" s="5"/>
      <c r="C25" s="73"/>
      <c r="D25" s="586">
        <v>2</v>
      </c>
      <c r="E25" s="703"/>
      <c r="F25" s="704"/>
      <c r="G25" s="762" t="s">
        <v>395</v>
      </c>
      <c r="H25" s="763"/>
      <c r="I25" s="763"/>
      <c r="J25" s="763"/>
      <c r="K25" s="763"/>
      <c r="L25" s="764"/>
      <c r="M25" s="647" t="s">
        <v>284</v>
      </c>
      <c r="N25" s="648"/>
      <c r="O25" s="648"/>
      <c r="P25" s="648"/>
      <c r="Q25" s="648"/>
      <c r="R25" s="648"/>
      <c r="S25" s="648"/>
      <c r="T25" s="648"/>
      <c r="U25" s="648"/>
      <c r="V25" s="648"/>
      <c r="W25" s="648"/>
      <c r="X25" s="648"/>
      <c r="Y25" s="648"/>
      <c r="Z25" s="648"/>
      <c r="AA25" s="648"/>
      <c r="AB25" s="648"/>
      <c r="AC25" s="648"/>
      <c r="AD25" s="649"/>
      <c r="AE25" s="729" t="s">
        <v>283</v>
      </c>
      <c r="AF25" s="730"/>
      <c r="AG25" s="730"/>
      <c r="AH25" s="730"/>
      <c r="AI25" s="730"/>
      <c r="AJ25" s="730"/>
      <c r="AK25" s="730"/>
      <c r="AL25" s="730"/>
      <c r="AM25" s="730"/>
      <c r="AN25" s="730"/>
      <c r="AO25" s="730"/>
      <c r="AP25" s="730"/>
      <c r="AQ25" s="730"/>
      <c r="AR25" s="730"/>
      <c r="AS25" s="730"/>
      <c r="AT25" s="730"/>
      <c r="AU25" s="730"/>
      <c r="AV25" s="730"/>
      <c r="AW25" s="730"/>
      <c r="AX25" s="730"/>
      <c r="AY25" s="730"/>
      <c r="AZ25" s="730"/>
      <c r="BA25" s="730"/>
      <c r="BB25" s="730"/>
      <c r="BC25" s="730"/>
      <c r="BD25" s="730"/>
      <c r="BE25" s="730"/>
      <c r="BF25" s="730"/>
      <c r="BG25" s="730"/>
      <c r="BH25" s="730"/>
      <c r="BI25" s="730"/>
      <c r="BJ25" s="730"/>
      <c r="BK25" s="730"/>
      <c r="BL25" s="730"/>
      <c r="BM25" s="730"/>
      <c r="BN25" s="730"/>
      <c r="BO25" s="730"/>
      <c r="BP25" s="730"/>
      <c r="BQ25" s="730"/>
      <c r="BR25" s="730"/>
      <c r="BS25" s="730"/>
      <c r="BT25" s="730"/>
      <c r="BU25" s="730"/>
      <c r="BV25" s="730"/>
      <c r="BW25" s="730"/>
      <c r="BX25" s="730"/>
      <c r="BY25" s="730"/>
      <c r="BZ25" s="730"/>
      <c r="CA25" s="730"/>
      <c r="CB25" s="731"/>
      <c r="CC25" s="75"/>
      <c r="CD25" s="58"/>
      <c r="CE25" s="76"/>
      <c r="CF25" s="58"/>
    </row>
    <row r="26" spans="1:84" s="4" customFormat="1" ht="12.75" customHeight="1" x14ac:dyDescent="0.15">
      <c r="A26" s="16"/>
      <c r="B26" s="5"/>
      <c r="C26" s="73"/>
      <c r="D26" s="589"/>
      <c r="E26" s="705"/>
      <c r="F26" s="706"/>
      <c r="G26" s="743"/>
      <c r="H26" s="765"/>
      <c r="I26" s="765"/>
      <c r="J26" s="765"/>
      <c r="K26" s="765"/>
      <c r="L26" s="745"/>
      <c r="M26" s="650"/>
      <c r="N26" s="651"/>
      <c r="O26" s="651"/>
      <c r="P26" s="651"/>
      <c r="Q26" s="651"/>
      <c r="R26" s="651"/>
      <c r="S26" s="651"/>
      <c r="T26" s="651"/>
      <c r="U26" s="651"/>
      <c r="V26" s="651"/>
      <c r="W26" s="651"/>
      <c r="X26" s="651"/>
      <c r="Y26" s="651"/>
      <c r="Z26" s="651"/>
      <c r="AA26" s="651"/>
      <c r="AB26" s="651"/>
      <c r="AC26" s="651"/>
      <c r="AD26" s="652"/>
      <c r="AE26" s="938"/>
      <c r="AF26" s="939"/>
      <c r="AG26" s="939"/>
      <c r="AH26" s="939"/>
      <c r="AI26" s="939"/>
      <c r="AJ26" s="939"/>
      <c r="AK26" s="939"/>
      <c r="AL26" s="939"/>
      <c r="AM26" s="939"/>
      <c r="AN26" s="939"/>
      <c r="AO26" s="939"/>
      <c r="AP26" s="939"/>
      <c r="AQ26" s="939"/>
      <c r="AR26" s="939"/>
      <c r="AS26" s="939"/>
      <c r="AT26" s="939"/>
      <c r="AU26" s="939"/>
      <c r="AV26" s="939"/>
      <c r="AW26" s="939"/>
      <c r="AX26" s="939"/>
      <c r="AY26" s="939"/>
      <c r="AZ26" s="939"/>
      <c r="BA26" s="939"/>
      <c r="BB26" s="939"/>
      <c r="BC26" s="939"/>
      <c r="BD26" s="939"/>
      <c r="BE26" s="939"/>
      <c r="BF26" s="939"/>
      <c r="BG26" s="939"/>
      <c r="BH26" s="939"/>
      <c r="BI26" s="939"/>
      <c r="BJ26" s="939"/>
      <c r="BK26" s="939"/>
      <c r="BL26" s="939"/>
      <c r="BM26" s="939"/>
      <c r="BN26" s="939"/>
      <c r="BO26" s="939"/>
      <c r="BP26" s="939"/>
      <c r="BQ26" s="939"/>
      <c r="BR26" s="939"/>
      <c r="BS26" s="939"/>
      <c r="BT26" s="939"/>
      <c r="BU26" s="939"/>
      <c r="BV26" s="939"/>
      <c r="BW26" s="939"/>
      <c r="BX26" s="939"/>
      <c r="BY26" s="939"/>
      <c r="BZ26" s="939"/>
      <c r="CA26" s="939"/>
      <c r="CB26" s="940"/>
      <c r="CC26" s="75"/>
      <c r="CD26" s="58"/>
      <c r="CE26" s="76"/>
      <c r="CF26" s="58"/>
    </row>
    <row r="27" spans="1:84" s="4" customFormat="1" ht="12.75" customHeight="1" x14ac:dyDescent="0.15">
      <c r="A27" s="16"/>
      <c r="B27" s="5"/>
      <c r="C27" s="73"/>
      <c r="D27" s="589"/>
      <c r="E27" s="705"/>
      <c r="F27" s="706"/>
      <c r="G27" s="743"/>
      <c r="H27" s="765"/>
      <c r="I27" s="765"/>
      <c r="J27" s="765"/>
      <c r="K27" s="765"/>
      <c r="L27" s="745"/>
      <c r="M27" s="650"/>
      <c r="N27" s="651"/>
      <c r="O27" s="651"/>
      <c r="P27" s="651"/>
      <c r="Q27" s="651"/>
      <c r="R27" s="651"/>
      <c r="S27" s="651"/>
      <c r="T27" s="651"/>
      <c r="U27" s="651"/>
      <c r="V27" s="651"/>
      <c r="W27" s="651"/>
      <c r="X27" s="651"/>
      <c r="Y27" s="651"/>
      <c r="Z27" s="651"/>
      <c r="AA27" s="651"/>
      <c r="AB27" s="651"/>
      <c r="AC27" s="651"/>
      <c r="AD27" s="652"/>
      <c r="AE27" s="938"/>
      <c r="AF27" s="939"/>
      <c r="AG27" s="939"/>
      <c r="AH27" s="939"/>
      <c r="AI27" s="939"/>
      <c r="AJ27" s="939"/>
      <c r="AK27" s="939"/>
      <c r="AL27" s="939"/>
      <c r="AM27" s="939"/>
      <c r="AN27" s="939"/>
      <c r="AO27" s="939"/>
      <c r="AP27" s="939"/>
      <c r="AQ27" s="939"/>
      <c r="AR27" s="939"/>
      <c r="AS27" s="939"/>
      <c r="AT27" s="939"/>
      <c r="AU27" s="939"/>
      <c r="AV27" s="939"/>
      <c r="AW27" s="939"/>
      <c r="AX27" s="939"/>
      <c r="AY27" s="939"/>
      <c r="AZ27" s="939"/>
      <c r="BA27" s="939"/>
      <c r="BB27" s="939"/>
      <c r="BC27" s="939"/>
      <c r="BD27" s="939"/>
      <c r="BE27" s="939"/>
      <c r="BF27" s="939"/>
      <c r="BG27" s="939"/>
      <c r="BH27" s="939"/>
      <c r="BI27" s="939"/>
      <c r="BJ27" s="939"/>
      <c r="BK27" s="939"/>
      <c r="BL27" s="939"/>
      <c r="BM27" s="939"/>
      <c r="BN27" s="939"/>
      <c r="BO27" s="939"/>
      <c r="BP27" s="939"/>
      <c r="BQ27" s="939"/>
      <c r="BR27" s="939"/>
      <c r="BS27" s="939"/>
      <c r="BT27" s="939"/>
      <c r="BU27" s="939"/>
      <c r="BV27" s="939"/>
      <c r="BW27" s="939"/>
      <c r="BX27" s="939"/>
      <c r="BY27" s="939"/>
      <c r="BZ27" s="939"/>
      <c r="CA27" s="939"/>
      <c r="CB27" s="940"/>
      <c r="CC27" s="75"/>
      <c r="CD27" s="58"/>
      <c r="CE27" s="76"/>
      <c r="CF27" s="58"/>
    </row>
    <row r="28" spans="1:84" s="4" customFormat="1" ht="12.75" customHeight="1" x14ac:dyDescent="0.15">
      <c r="A28" s="16"/>
      <c r="B28" s="5"/>
      <c r="C28" s="73"/>
      <c r="D28" s="707"/>
      <c r="E28" s="708"/>
      <c r="F28" s="709"/>
      <c r="G28" s="746"/>
      <c r="H28" s="747"/>
      <c r="I28" s="747"/>
      <c r="J28" s="747"/>
      <c r="K28" s="747"/>
      <c r="L28" s="748"/>
      <c r="M28" s="650"/>
      <c r="N28" s="651"/>
      <c r="O28" s="651"/>
      <c r="P28" s="651"/>
      <c r="Q28" s="651"/>
      <c r="R28" s="651"/>
      <c r="S28" s="651"/>
      <c r="T28" s="651"/>
      <c r="U28" s="651"/>
      <c r="V28" s="651"/>
      <c r="W28" s="651"/>
      <c r="X28" s="651"/>
      <c r="Y28" s="651"/>
      <c r="Z28" s="651"/>
      <c r="AA28" s="651"/>
      <c r="AB28" s="651"/>
      <c r="AC28" s="651"/>
      <c r="AD28" s="652"/>
      <c r="AE28" s="732"/>
      <c r="AF28" s="733"/>
      <c r="AG28" s="733"/>
      <c r="AH28" s="733"/>
      <c r="AI28" s="733"/>
      <c r="AJ28" s="733"/>
      <c r="AK28" s="733"/>
      <c r="AL28" s="733"/>
      <c r="AM28" s="733"/>
      <c r="AN28" s="733"/>
      <c r="AO28" s="733"/>
      <c r="AP28" s="733"/>
      <c r="AQ28" s="733"/>
      <c r="AR28" s="733"/>
      <c r="AS28" s="733"/>
      <c r="AT28" s="733"/>
      <c r="AU28" s="733"/>
      <c r="AV28" s="733"/>
      <c r="AW28" s="733"/>
      <c r="AX28" s="733"/>
      <c r="AY28" s="733"/>
      <c r="AZ28" s="733"/>
      <c r="BA28" s="733"/>
      <c r="BB28" s="733"/>
      <c r="BC28" s="733"/>
      <c r="BD28" s="733"/>
      <c r="BE28" s="733"/>
      <c r="BF28" s="733"/>
      <c r="BG28" s="733"/>
      <c r="BH28" s="733"/>
      <c r="BI28" s="733"/>
      <c r="BJ28" s="733"/>
      <c r="BK28" s="733"/>
      <c r="BL28" s="733"/>
      <c r="BM28" s="733"/>
      <c r="BN28" s="733"/>
      <c r="BO28" s="733"/>
      <c r="BP28" s="733"/>
      <c r="BQ28" s="733"/>
      <c r="BR28" s="733"/>
      <c r="BS28" s="733"/>
      <c r="BT28" s="733"/>
      <c r="BU28" s="733"/>
      <c r="BV28" s="733"/>
      <c r="BW28" s="733"/>
      <c r="BX28" s="733"/>
      <c r="BY28" s="733"/>
      <c r="BZ28" s="733"/>
      <c r="CA28" s="733"/>
      <c r="CB28" s="734"/>
      <c r="CC28" s="75"/>
      <c r="CD28" s="58"/>
      <c r="CE28" s="76"/>
      <c r="CF28" s="58"/>
    </row>
    <row r="29" spans="1:84" s="4" customFormat="1" ht="12.75" customHeight="1" x14ac:dyDescent="0.15">
      <c r="A29" s="16"/>
      <c r="B29" s="5"/>
      <c r="C29" s="73"/>
      <c r="D29" s="586">
        <v>3</v>
      </c>
      <c r="E29" s="703"/>
      <c r="F29" s="704"/>
      <c r="G29" s="767" t="s">
        <v>396</v>
      </c>
      <c r="H29" s="767"/>
      <c r="I29" s="767"/>
      <c r="J29" s="767"/>
      <c r="K29" s="767"/>
      <c r="L29" s="767"/>
      <c r="M29" s="768" t="s">
        <v>285</v>
      </c>
      <c r="N29" s="768"/>
      <c r="O29" s="768"/>
      <c r="P29" s="768"/>
      <c r="Q29" s="768"/>
      <c r="R29" s="768"/>
      <c r="S29" s="768"/>
      <c r="T29" s="768"/>
      <c r="U29" s="768"/>
      <c r="V29" s="768"/>
      <c r="W29" s="768"/>
      <c r="X29" s="768"/>
      <c r="Y29" s="768"/>
      <c r="Z29" s="768"/>
      <c r="AA29" s="768"/>
      <c r="AB29" s="768"/>
      <c r="AC29" s="768"/>
      <c r="AD29" s="768"/>
      <c r="AE29" s="729" t="s">
        <v>283</v>
      </c>
      <c r="AF29" s="730"/>
      <c r="AG29" s="730"/>
      <c r="AH29" s="730"/>
      <c r="AI29" s="730"/>
      <c r="AJ29" s="730"/>
      <c r="AK29" s="730"/>
      <c r="AL29" s="730"/>
      <c r="AM29" s="730"/>
      <c r="AN29" s="730"/>
      <c r="AO29" s="730"/>
      <c r="AP29" s="730"/>
      <c r="AQ29" s="730"/>
      <c r="AR29" s="730"/>
      <c r="AS29" s="730"/>
      <c r="AT29" s="730"/>
      <c r="AU29" s="730"/>
      <c r="AV29" s="730"/>
      <c r="AW29" s="730"/>
      <c r="AX29" s="730"/>
      <c r="AY29" s="730"/>
      <c r="AZ29" s="730"/>
      <c r="BA29" s="730"/>
      <c r="BB29" s="730"/>
      <c r="BC29" s="730"/>
      <c r="BD29" s="730"/>
      <c r="BE29" s="730"/>
      <c r="BF29" s="730"/>
      <c r="BG29" s="730"/>
      <c r="BH29" s="730"/>
      <c r="BI29" s="730"/>
      <c r="BJ29" s="730"/>
      <c r="BK29" s="730"/>
      <c r="BL29" s="730"/>
      <c r="BM29" s="730"/>
      <c r="BN29" s="730"/>
      <c r="BO29" s="730"/>
      <c r="BP29" s="730"/>
      <c r="BQ29" s="730"/>
      <c r="BR29" s="730"/>
      <c r="BS29" s="730"/>
      <c r="BT29" s="730"/>
      <c r="BU29" s="730"/>
      <c r="BV29" s="730"/>
      <c r="BW29" s="730"/>
      <c r="BX29" s="730"/>
      <c r="BY29" s="730"/>
      <c r="BZ29" s="730"/>
      <c r="CA29" s="730"/>
      <c r="CB29" s="731"/>
      <c r="CC29" s="75"/>
      <c r="CD29" s="58"/>
      <c r="CE29" s="76"/>
      <c r="CF29" s="58"/>
    </row>
    <row r="30" spans="1:84" s="4" customFormat="1" ht="12.75" customHeight="1" x14ac:dyDescent="0.15">
      <c r="A30" s="16"/>
      <c r="B30" s="5"/>
      <c r="C30" s="73"/>
      <c r="D30" s="589"/>
      <c r="E30" s="705"/>
      <c r="F30" s="706"/>
      <c r="G30" s="767"/>
      <c r="H30" s="767"/>
      <c r="I30" s="767"/>
      <c r="J30" s="767"/>
      <c r="K30" s="767"/>
      <c r="L30" s="767"/>
      <c r="M30" s="768"/>
      <c r="N30" s="768"/>
      <c r="O30" s="768"/>
      <c r="P30" s="768"/>
      <c r="Q30" s="768"/>
      <c r="R30" s="768"/>
      <c r="S30" s="768"/>
      <c r="T30" s="768"/>
      <c r="U30" s="768"/>
      <c r="V30" s="768"/>
      <c r="W30" s="768"/>
      <c r="X30" s="768"/>
      <c r="Y30" s="768"/>
      <c r="Z30" s="768"/>
      <c r="AA30" s="768"/>
      <c r="AB30" s="768"/>
      <c r="AC30" s="768"/>
      <c r="AD30" s="768"/>
      <c r="AE30" s="938"/>
      <c r="AF30" s="939"/>
      <c r="AG30" s="939"/>
      <c r="AH30" s="939"/>
      <c r="AI30" s="939"/>
      <c r="AJ30" s="939"/>
      <c r="AK30" s="939"/>
      <c r="AL30" s="939"/>
      <c r="AM30" s="939"/>
      <c r="AN30" s="939"/>
      <c r="AO30" s="939"/>
      <c r="AP30" s="939"/>
      <c r="AQ30" s="939"/>
      <c r="AR30" s="939"/>
      <c r="AS30" s="939"/>
      <c r="AT30" s="939"/>
      <c r="AU30" s="939"/>
      <c r="AV30" s="939"/>
      <c r="AW30" s="939"/>
      <c r="AX30" s="939"/>
      <c r="AY30" s="939"/>
      <c r="AZ30" s="939"/>
      <c r="BA30" s="939"/>
      <c r="BB30" s="939"/>
      <c r="BC30" s="939"/>
      <c r="BD30" s="939"/>
      <c r="BE30" s="939"/>
      <c r="BF30" s="939"/>
      <c r="BG30" s="939"/>
      <c r="BH30" s="939"/>
      <c r="BI30" s="939"/>
      <c r="BJ30" s="939"/>
      <c r="BK30" s="939"/>
      <c r="BL30" s="939"/>
      <c r="BM30" s="939"/>
      <c r="BN30" s="939"/>
      <c r="BO30" s="939"/>
      <c r="BP30" s="939"/>
      <c r="BQ30" s="939"/>
      <c r="BR30" s="939"/>
      <c r="BS30" s="939"/>
      <c r="BT30" s="939"/>
      <c r="BU30" s="939"/>
      <c r="BV30" s="939"/>
      <c r="BW30" s="939"/>
      <c r="BX30" s="939"/>
      <c r="BY30" s="939"/>
      <c r="BZ30" s="939"/>
      <c r="CA30" s="939"/>
      <c r="CB30" s="940"/>
      <c r="CC30" s="75"/>
      <c r="CD30" s="58"/>
      <c r="CE30" s="76"/>
      <c r="CF30" s="58"/>
    </row>
    <row r="31" spans="1:84" s="4" customFormat="1" ht="12.75" customHeight="1" x14ac:dyDescent="0.15">
      <c r="A31" s="16"/>
      <c r="B31" s="5"/>
      <c r="C31" s="73"/>
      <c r="D31" s="589"/>
      <c r="E31" s="705"/>
      <c r="F31" s="706"/>
      <c r="G31" s="767"/>
      <c r="H31" s="767"/>
      <c r="I31" s="767"/>
      <c r="J31" s="767"/>
      <c r="K31" s="767"/>
      <c r="L31" s="767"/>
      <c r="M31" s="768"/>
      <c r="N31" s="768"/>
      <c r="O31" s="768"/>
      <c r="P31" s="768"/>
      <c r="Q31" s="768"/>
      <c r="R31" s="768"/>
      <c r="S31" s="768"/>
      <c r="T31" s="768"/>
      <c r="U31" s="768"/>
      <c r="V31" s="768"/>
      <c r="W31" s="768"/>
      <c r="X31" s="768"/>
      <c r="Y31" s="768"/>
      <c r="Z31" s="768"/>
      <c r="AA31" s="768"/>
      <c r="AB31" s="768"/>
      <c r="AC31" s="768"/>
      <c r="AD31" s="768"/>
      <c r="AE31" s="938"/>
      <c r="AF31" s="939"/>
      <c r="AG31" s="939"/>
      <c r="AH31" s="939"/>
      <c r="AI31" s="939"/>
      <c r="AJ31" s="939"/>
      <c r="AK31" s="939"/>
      <c r="AL31" s="939"/>
      <c r="AM31" s="939"/>
      <c r="AN31" s="939"/>
      <c r="AO31" s="939"/>
      <c r="AP31" s="939"/>
      <c r="AQ31" s="939"/>
      <c r="AR31" s="939"/>
      <c r="AS31" s="939"/>
      <c r="AT31" s="939"/>
      <c r="AU31" s="939"/>
      <c r="AV31" s="939"/>
      <c r="AW31" s="939"/>
      <c r="AX31" s="939"/>
      <c r="AY31" s="939"/>
      <c r="AZ31" s="939"/>
      <c r="BA31" s="939"/>
      <c r="BB31" s="939"/>
      <c r="BC31" s="939"/>
      <c r="BD31" s="939"/>
      <c r="BE31" s="939"/>
      <c r="BF31" s="939"/>
      <c r="BG31" s="939"/>
      <c r="BH31" s="939"/>
      <c r="BI31" s="939"/>
      <c r="BJ31" s="939"/>
      <c r="BK31" s="939"/>
      <c r="BL31" s="939"/>
      <c r="BM31" s="939"/>
      <c r="BN31" s="939"/>
      <c r="BO31" s="939"/>
      <c r="BP31" s="939"/>
      <c r="BQ31" s="939"/>
      <c r="BR31" s="939"/>
      <c r="BS31" s="939"/>
      <c r="BT31" s="939"/>
      <c r="BU31" s="939"/>
      <c r="BV31" s="939"/>
      <c r="BW31" s="939"/>
      <c r="BX31" s="939"/>
      <c r="BY31" s="939"/>
      <c r="BZ31" s="939"/>
      <c r="CA31" s="939"/>
      <c r="CB31" s="940"/>
      <c r="CC31" s="75"/>
      <c r="CD31" s="58"/>
      <c r="CE31" s="76"/>
      <c r="CF31" s="58"/>
    </row>
    <row r="32" spans="1:84" s="4" customFormat="1" ht="12.75" customHeight="1" x14ac:dyDescent="0.15">
      <c r="A32" s="16"/>
      <c r="B32" s="5"/>
      <c r="C32" s="73"/>
      <c r="D32" s="589"/>
      <c r="E32" s="705"/>
      <c r="F32" s="706"/>
      <c r="G32" s="767"/>
      <c r="H32" s="767"/>
      <c r="I32" s="767"/>
      <c r="J32" s="767"/>
      <c r="K32" s="767"/>
      <c r="L32" s="767"/>
      <c r="M32" s="768"/>
      <c r="N32" s="768"/>
      <c r="O32" s="768"/>
      <c r="P32" s="768"/>
      <c r="Q32" s="768"/>
      <c r="R32" s="768"/>
      <c r="S32" s="768"/>
      <c r="T32" s="768"/>
      <c r="U32" s="768"/>
      <c r="V32" s="768"/>
      <c r="W32" s="768"/>
      <c r="X32" s="768"/>
      <c r="Y32" s="768"/>
      <c r="Z32" s="768"/>
      <c r="AA32" s="768"/>
      <c r="AB32" s="768"/>
      <c r="AC32" s="768"/>
      <c r="AD32" s="768"/>
      <c r="AE32" s="938"/>
      <c r="AF32" s="939"/>
      <c r="AG32" s="939"/>
      <c r="AH32" s="939"/>
      <c r="AI32" s="939"/>
      <c r="AJ32" s="939"/>
      <c r="AK32" s="939"/>
      <c r="AL32" s="939"/>
      <c r="AM32" s="939"/>
      <c r="AN32" s="939"/>
      <c r="AO32" s="939"/>
      <c r="AP32" s="939"/>
      <c r="AQ32" s="939"/>
      <c r="AR32" s="939"/>
      <c r="AS32" s="939"/>
      <c r="AT32" s="939"/>
      <c r="AU32" s="939"/>
      <c r="AV32" s="939"/>
      <c r="AW32" s="939"/>
      <c r="AX32" s="939"/>
      <c r="AY32" s="939"/>
      <c r="AZ32" s="939"/>
      <c r="BA32" s="939"/>
      <c r="BB32" s="939"/>
      <c r="BC32" s="939"/>
      <c r="BD32" s="939"/>
      <c r="BE32" s="939"/>
      <c r="BF32" s="939"/>
      <c r="BG32" s="939"/>
      <c r="BH32" s="939"/>
      <c r="BI32" s="939"/>
      <c r="BJ32" s="939"/>
      <c r="BK32" s="939"/>
      <c r="BL32" s="939"/>
      <c r="BM32" s="939"/>
      <c r="BN32" s="939"/>
      <c r="BO32" s="939"/>
      <c r="BP32" s="939"/>
      <c r="BQ32" s="939"/>
      <c r="BR32" s="939"/>
      <c r="BS32" s="939"/>
      <c r="BT32" s="939"/>
      <c r="BU32" s="939"/>
      <c r="BV32" s="939"/>
      <c r="BW32" s="939"/>
      <c r="BX32" s="939"/>
      <c r="BY32" s="939"/>
      <c r="BZ32" s="939"/>
      <c r="CA32" s="939"/>
      <c r="CB32" s="940"/>
      <c r="CC32" s="75"/>
      <c r="CD32" s="58"/>
      <c r="CE32" s="76"/>
      <c r="CF32" s="58"/>
    </row>
    <row r="33" spans="1:84" s="4" customFormat="1" ht="12.75" customHeight="1" x14ac:dyDescent="0.15">
      <c r="A33" s="16"/>
      <c r="B33" s="5"/>
      <c r="C33" s="73"/>
      <c r="D33" s="707"/>
      <c r="E33" s="708"/>
      <c r="F33" s="709"/>
      <c r="G33" s="767"/>
      <c r="H33" s="767"/>
      <c r="I33" s="767"/>
      <c r="J33" s="767"/>
      <c r="K33" s="767"/>
      <c r="L33" s="767"/>
      <c r="M33" s="768"/>
      <c r="N33" s="768"/>
      <c r="O33" s="768"/>
      <c r="P33" s="768"/>
      <c r="Q33" s="768"/>
      <c r="R33" s="768"/>
      <c r="S33" s="768"/>
      <c r="T33" s="768"/>
      <c r="U33" s="768"/>
      <c r="V33" s="768"/>
      <c r="W33" s="768"/>
      <c r="X33" s="768"/>
      <c r="Y33" s="768"/>
      <c r="Z33" s="768"/>
      <c r="AA33" s="768"/>
      <c r="AB33" s="768"/>
      <c r="AC33" s="768"/>
      <c r="AD33" s="768"/>
      <c r="AE33" s="732"/>
      <c r="AF33" s="733"/>
      <c r="AG33" s="733"/>
      <c r="AH33" s="733"/>
      <c r="AI33" s="733"/>
      <c r="AJ33" s="733"/>
      <c r="AK33" s="733"/>
      <c r="AL33" s="733"/>
      <c r="AM33" s="733"/>
      <c r="AN33" s="733"/>
      <c r="AO33" s="733"/>
      <c r="AP33" s="733"/>
      <c r="AQ33" s="733"/>
      <c r="AR33" s="733"/>
      <c r="AS33" s="733"/>
      <c r="AT33" s="733"/>
      <c r="AU33" s="733"/>
      <c r="AV33" s="733"/>
      <c r="AW33" s="733"/>
      <c r="AX33" s="733"/>
      <c r="AY33" s="733"/>
      <c r="AZ33" s="733"/>
      <c r="BA33" s="733"/>
      <c r="BB33" s="733"/>
      <c r="BC33" s="733"/>
      <c r="BD33" s="733"/>
      <c r="BE33" s="733"/>
      <c r="BF33" s="733"/>
      <c r="BG33" s="733"/>
      <c r="BH33" s="733"/>
      <c r="BI33" s="733"/>
      <c r="BJ33" s="733"/>
      <c r="BK33" s="733"/>
      <c r="BL33" s="733"/>
      <c r="BM33" s="733"/>
      <c r="BN33" s="733"/>
      <c r="BO33" s="733"/>
      <c r="BP33" s="733"/>
      <c r="BQ33" s="733"/>
      <c r="BR33" s="733"/>
      <c r="BS33" s="733"/>
      <c r="BT33" s="733"/>
      <c r="BU33" s="733"/>
      <c r="BV33" s="733"/>
      <c r="BW33" s="733"/>
      <c r="BX33" s="733"/>
      <c r="BY33" s="733"/>
      <c r="BZ33" s="733"/>
      <c r="CA33" s="733"/>
      <c r="CB33" s="734"/>
      <c r="CC33" s="75"/>
      <c r="CD33" s="58"/>
      <c r="CE33" s="76"/>
      <c r="CF33" s="58"/>
    </row>
    <row r="34" spans="1:84" s="4" customFormat="1" ht="12.75" customHeight="1" x14ac:dyDescent="0.15">
      <c r="A34" s="16"/>
      <c r="B34" s="5"/>
      <c r="C34" s="73"/>
      <c r="D34" s="586">
        <v>4</v>
      </c>
      <c r="E34" s="703"/>
      <c r="F34" s="704"/>
      <c r="G34" s="710" t="s">
        <v>398</v>
      </c>
      <c r="H34" s="711"/>
      <c r="I34" s="711"/>
      <c r="J34" s="711"/>
      <c r="K34" s="711"/>
      <c r="L34" s="712"/>
      <c r="M34" s="719" t="s">
        <v>890</v>
      </c>
      <c r="N34" s="720"/>
      <c r="O34" s="720"/>
      <c r="P34" s="720"/>
      <c r="Q34" s="720"/>
      <c r="R34" s="720"/>
      <c r="S34" s="720"/>
      <c r="T34" s="720"/>
      <c r="U34" s="720"/>
      <c r="V34" s="720"/>
      <c r="W34" s="720"/>
      <c r="X34" s="720"/>
      <c r="Y34" s="720"/>
      <c r="Z34" s="720"/>
      <c r="AA34" s="720"/>
      <c r="AB34" s="720"/>
      <c r="AC34" s="720"/>
      <c r="AD34" s="721"/>
      <c r="AE34" s="729" t="s">
        <v>283</v>
      </c>
      <c r="AF34" s="730"/>
      <c r="AG34" s="730"/>
      <c r="AH34" s="730"/>
      <c r="AI34" s="730"/>
      <c r="AJ34" s="730"/>
      <c r="AK34" s="730"/>
      <c r="AL34" s="730"/>
      <c r="AM34" s="730"/>
      <c r="AN34" s="730"/>
      <c r="AO34" s="730"/>
      <c r="AP34" s="730"/>
      <c r="AQ34" s="730"/>
      <c r="AR34" s="730"/>
      <c r="AS34" s="730"/>
      <c r="AT34" s="730"/>
      <c r="AU34" s="730"/>
      <c r="AV34" s="730"/>
      <c r="AW34" s="730"/>
      <c r="AX34" s="730"/>
      <c r="AY34" s="730"/>
      <c r="AZ34" s="730"/>
      <c r="BA34" s="730"/>
      <c r="BB34" s="730"/>
      <c r="BC34" s="730"/>
      <c r="BD34" s="730"/>
      <c r="BE34" s="730"/>
      <c r="BF34" s="730"/>
      <c r="BG34" s="730"/>
      <c r="BH34" s="730"/>
      <c r="BI34" s="730"/>
      <c r="BJ34" s="730"/>
      <c r="BK34" s="730"/>
      <c r="BL34" s="730"/>
      <c r="BM34" s="730"/>
      <c r="BN34" s="730"/>
      <c r="BO34" s="730"/>
      <c r="BP34" s="730"/>
      <c r="BQ34" s="730"/>
      <c r="BR34" s="730"/>
      <c r="BS34" s="730"/>
      <c r="BT34" s="730"/>
      <c r="BU34" s="730"/>
      <c r="BV34" s="730"/>
      <c r="BW34" s="730"/>
      <c r="BX34" s="730"/>
      <c r="BY34" s="730"/>
      <c r="BZ34" s="730"/>
      <c r="CA34" s="730"/>
      <c r="CB34" s="731"/>
      <c r="CC34" s="75"/>
      <c r="CD34" s="58"/>
      <c r="CE34" s="76"/>
      <c r="CF34" s="58"/>
    </row>
    <row r="35" spans="1:84" s="4" customFormat="1" ht="12.75" customHeight="1" x14ac:dyDescent="0.15">
      <c r="A35" s="16"/>
      <c r="B35" s="5"/>
      <c r="C35" s="73"/>
      <c r="D35" s="589"/>
      <c r="E35" s="705"/>
      <c r="F35" s="706"/>
      <c r="G35" s="713"/>
      <c r="H35" s="714"/>
      <c r="I35" s="714"/>
      <c r="J35" s="714"/>
      <c r="K35" s="714"/>
      <c r="L35" s="715"/>
      <c r="M35" s="722"/>
      <c r="N35" s="723"/>
      <c r="O35" s="723"/>
      <c r="P35" s="723"/>
      <c r="Q35" s="723"/>
      <c r="R35" s="723"/>
      <c r="S35" s="723"/>
      <c r="T35" s="723"/>
      <c r="U35" s="723"/>
      <c r="V35" s="723"/>
      <c r="W35" s="723"/>
      <c r="X35" s="723"/>
      <c r="Y35" s="723"/>
      <c r="Z35" s="723"/>
      <c r="AA35" s="723"/>
      <c r="AB35" s="723"/>
      <c r="AC35" s="723"/>
      <c r="AD35" s="724"/>
      <c r="AE35" s="938"/>
      <c r="AF35" s="939"/>
      <c r="AG35" s="939"/>
      <c r="AH35" s="939"/>
      <c r="AI35" s="939"/>
      <c r="AJ35" s="939"/>
      <c r="AK35" s="939"/>
      <c r="AL35" s="939"/>
      <c r="AM35" s="939"/>
      <c r="AN35" s="939"/>
      <c r="AO35" s="939"/>
      <c r="AP35" s="939"/>
      <c r="AQ35" s="939"/>
      <c r="AR35" s="939"/>
      <c r="AS35" s="939"/>
      <c r="AT35" s="939"/>
      <c r="AU35" s="939"/>
      <c r="AV35" s="939"/>
      <c r="AW35" s="939"/>
      <c r="AX35" s="939"/>
      <c r="AY35" s="939"/>
      <c r="AZ35" s="939"/>
      <c r="BA35" s="939"/>
      <c r="BB35" s="939"/>
      <c r="BC35" s="939"/>
      <c r="BD35" s="939"/>
      <c r="BE35" s="939"/>
      <c r="BF35" s="939"/>
      <c r="BG35" s="939"/>
      <c r="BH35" s="939"/>
      <c r="BI35" s="939"/>
      <c r="BJ35" s="939"/>
      <c r="BK35" s="939"/>
      <c r="BL35" s="939"/>
      <c r="BM35" s="939"/>
      <c r="BN35" s="939"/>
      <c r="BO35" s="939"/>
      <c r="BP35" s="939"/>
      <c r="BQ35" s="939"/>
      <c r="BR35" s="939"/>
      <c r="BS35" s="939"/>
      <c r="BT35" s="939"/>
      <c r="BU35" s="939"/>
      <c r="BV35" s="939"/>
      <c r="BW35" s="939"/>
      <c r="BX35" s="939"/>
      <c r="BY35" s="939"/>
      <c r="BZ35" s="939"/>
      <c r="CA35" s="939"/>
      <c r="CB35" s="940"/>
      <c r="CC35" s="75"/>
      <c r="CD35" s="58"/>
      <c r="CE35" s="76"/>
      <c r="CF35" s="58"/>
    </row>
    <row r="36" spans="1:84" s="4" customFormat="1" ht="12.75" customHeight="1" x14ac:dyDescent="0.15">
      <c r="A36" s="16"/>
      <c r="B36" s="5"/>
      <c r="C36" s="73"/>
      <c r="D36" s="589"/>
      <c r="E36" s="705"/>
      <c r="F36" s="706"/>
      <c r="G36" s="713"/>
      <c r="H36" s="714"/>
      <c r="I36" s="714"/>
      <c r="J36" s="714"/>
      <c r="K36" s="714"/>
      <c r="L36" s="715"/>
      <c r="M36" s="722"/>
      <c r="N36" s="723"/>
      <c r="O36" s="723"/>
      <c r="P36" s="723"/>
      <c r="Q36" s="723"/>
      <c r="R36" s="723"/>
      <c r="S36" s="723"/>
      <c r="T36" s="723"/>
      <c r="U36" s="723"/>
      <c r="V36" s="723"/>
      <c r="W36" s="723"/>
      <c r="X36" s="723"/>
      <c r="Y36" s="723"/>
      <c r="Z36" s="723"/>
      <c r="AA36" s="723"/>
      <c r="AB36" s="723"/>
      <c r="AC36" s="723"/>
      <c r="AD36" s="724"/>
      <c r="AE36" s="938"/>
      <c r="AF36" s="939"/>
      <c r="AG36" s="939"/>
      <c r="AH36" s="939"/>
      <c r="AI36" s="939"/>
      <c r="AJ36" s="939"/>
      <c r="AK36" s="939"/>
      <c r="AL36" s="939"/>
      <c r="AM36" s="939"/>
      <c r="AN36" s="939"/>
      <c r="AO36" s="939"/>
      <c r="AP36" s="939"/>
      <c r="AQ36" s="939"/>
      <c r="AR36" s="939"/>
      <c r="AS36" s="939"/>
      <c r="AT36" s="939"/>
      <c r="AU36" s="939"/>
      <c r="AV36" s="939"/>
      <c r="AW36" s="939"/>
      <c r="AX36" s="939"/>
      <c r="AY36" s="939"/>
      <c r="AZ36" s="939"/>
      <c r="BA36" s="939"/>
      <c r="BB36" s="939"/>
      <c r="BC36" s="939"/>
      <c r="BD36" s="939"/>
      <c r="BE36" s="939"/>
      <c r="BF36" s="939"/>
      <c r="BG36" s="939"/>
      <c r="BH36" s="939"/>
      <c r="BI36" s="939"/>
      <c r="BJ36" s="939"/>
      <c r="BK36" s="939"/>
      <c r="BL36" s="939"/>
      <c r="BM36" s="939"/>
      <c r="BN36" s="939"/>
      <c r="BO36" s="939"/>
      <c r="BP36" s="939"/>
      <c r="BQ36" s="939"/>
      <c r="BR36" s="939"/>
      <c r="BS36" s="939"/>
      <c r="BT36" s="939"/>
      <c r="BU36" s="939"/>
      <c r="BV36" s="939"/>
      <c r="BW36" s="939"/>
      <c r="BX36" s="939"/>
      <c r="BY36" s="939"/>
      <c r="BZ36" s="939"/>
      <c r="CA36" s="939"/>
      <c r="CB36" s="940"/>
      <c r="CC36" s="75"/>
      <c r="CD36" s="58"/>
      <c r="CE36" s="76"/>
      <c r="CF36" s="58"/>
    </row>
    <row r="37" spans="1:84" s="4" customFormat="1" ht="12.75" customHeight="1" x14ac:dyDescent="0.15">
      <c r="A37" s="16"/>
      <c r="B37" s="5"/>
      <c r="C37" s="73"/>
      <c r="D37" s="589"/>
      <c r="E37" s="705"/>
      <c r="F37" s="706"/>
      <c r="G37" s="713"/>
      <c r="H37" s="714"/>
      <c r="I37" s="714"/>
      <c r="J37" s="714"/>
      <c r="K37" s="714"/>
      <c r="L37" s="715"/>
      <c r="M37" s="722"/>
      <c r="N37" s="723"/>
      <c r="O37" s="723"/>
      <c r="P37" s="723"/>
      <c r="Q37" s="723"/>
      <c r="R37" s="723"/>
      <c r="S37" s="723"/>
      <c r="T37" s="723"/>
      <c r="U37" s="723"/>
      <c r="V37" s="723"/>
      <c r="W37" s="723"/>
      <c r="X37" s="723"/>
      <c r="Y37" s="723"/>
      <c r="Z37" s="723"/>
      <c r="AA37" s="723"/>
      <c r="AB37" s="723"/>
      <c r="AC37" s="723"/>
      <c r="AD37" s="724"/>
      <c r="AE37" s="938"/>
      <c r="AF37" s="939"/>
      <c r="AG37" s="939"/>
      <c r="AH37" s="939"/>
      <c r="AI37" s="939"/>
      <c r="AJ37" s="939"/>
      <c r="AK37" s="939"/>
      <c r="AL37" s="939"/>
      <c r="AM37" s="939"/>
      <c r="AN37" s="939"/>
      <c r="AO37" s="939"/>
      <c r="AP37" s="939"/>
      <c r="AQ37" s="939"/>
      <c r="AR37" s="939"/>
      <c r="AS37" s="939"/>
      <c r="AT37" s="939"/>
      <c r="AU37" s="939"/>
      <c r="AV37" s="939"/>
      <c r="AW37" s="939"/>
      <c r="AX37" s="939"/>
      <c r="AY37" s="939"/>
      <c r="AZ37" s="939"/>
      <c r="BA37" s="939"/>
      <c r="BB37" s="939"/>
      <c r="BC37" s="939"/>
      <c r="BD37" s="939"/>
      <c r="BE37" s="939"/>
      <c r="BF37" s="939"/>
      <c r="BG37" s="939"/>
      <c r="BH37" s="939"/>
      <c r="BI37" s="939"/>
      <c r="BJ37" s="939"/>
      <c r="BK37" s="939"/>
      <c r="BL37" s="939"/>
      <c r="BM37" s="939"/>
      <c r="BN37" s="939"/>
      <c r="BO37" s="939"/>
      <c r="BP37" s="939"/>
      <c r="BQ37" s="939"/>
      <c r="BR37" s="939"/>
      <c r="BS37" s="939"/>
      <c r="BT37" s="939"/>
      <c r="BU37" s="939"/>
      <c r="BV37" s="939"/>
      <c r="BW37" s="939"/>
      <c r="BX37" s="939"/>
      <c r="BY37" s="939"/>
      <c r="BZ37" s="939"/>
      <c r="CA37" s="939"/>
      <c r="CB37" s="940"/>
      <c r="CC37" s="75"/>
      <c r="CD37" s="58"/>
      <c r="CE37" s="76"/>
      <c r="CF37" s="58"/>
    </row>
    <row r="38" spans="1:84" s="4" customFormat="1" ht="12.75" customHeight="1" x14ac:dyDescent="0.15">
      <c r="A38" s="16"/>
      <c r="B38" s="5"/>
      <c r="C38" s="73"/>
      <c r="D38" s="707"/>
      <c r="E38" s="708"/>
      <c r="F38" s="709"/>
      <c r="G38" s="716"/>
      <c r="H38" s="717"/>
      <c r="I38" s="717"/>
      <c r="J38" s="717"/>
      <c r="K38" s="717"/>
      <c r="L38" s="718"/>
      <c r="M38" s="725"/>
      <c r="N38" s="726"/>
      <c r="O38" s="726"/>
      <c r="P38" s="726"/>
      <c r="Q38" s="726"/>
      <c r="R38" s="726"/>
      <c r="S38" s="726"/>
      <c r="T38" s="726"/>
      <c r="U38" s="726"/>
      <c r="V38" s="726"/>
      <c r="W38" s="726"/>
      <c r="X38" s="726"/>
      <c r="Y38" s="726"/>
      <c r="Z38" s="726"/>
      <c r="AA38" s="726"/>
      <c r="AB38" s="726"/>
      <c r="AC38" s="726"/>
      <c r="AD38" s="727"/>
      <c r="AE38" s="732"/>
      <c r="AF38" s="733"/>
      <c r="AG38" s="733"/>
      <c r="AH38" s="733"/>
      <c r="AI38" s="733"/>
      <c r="AJ38" s="733"/>
      <c r="AK38" s="733"/>
      <c r="AL38" s="733"/>
      <c r="AM38" s="733"/>
      <c r="AN38" s="733"/>
      <c r="AO38" s="733"/>
      <c r="AP38" s="733"/>
      <c r="AQ38" s="733"/>
      <c r="AR38" s="733"/>
      <c r="AS38" s="733"/>
      <c r="AT38" s="733"/>
      <c r="AU38" s="733"/>
      <c r="AV38" s="733"/>
      <c r="AW38" s="733"/>
      <c r="AX38" s="733"/>
      <c r="AY38" s="733"/>
      <c r="AZ38" s="733"/>
      <c r="BA38" s="733"/>
      <c r="BB38" s="733"/>
      <c r="BC38" s="733"/>
      <c r="BD38" s="733"/>
      <c r="BE38" s="733"/>
      <c r="BF38" s="733"/>
      <c r="BG38" s="733"/>
      <c r="BH38" s="733"/>
      <c r="BI38" s="733"/>
      <c r="BJ38" s="733"/>
      <c r="BK38" s="733"/>
      <c r="BL38" s="733"/>
      <c r="BM38" s="733"/>
      <c r="BN38" s="733"/>
      <c r="BO38" s="733"/>
      <c r="BP38" s="733"/>
      <c r="BQ38" s="733"/>
      <c r="BR38" s="733"/>
      <c r="BS38" s="733"/>
      <c r="BT38" s="733"/>
      <c r="BU38" s="733"/>
      <c r="BV38" s="733"/>
      <c r="BW38" s="733"/>
      <c r="BX38" s="733"/>
      <c r="BY38" s="733"/>
      <c r="BZ38" s="733"/>
      <c r="CA38" s="733"/>
      <c r="CB38" s="734"/>
      <c r="CC38" s="75"/>
      <c r="CD38" s="58"/>
      <c r="CE38" s="76"/>
      <c r="CF38" s="58"/>
    </row>
    <row r="39" spans="1:84" s="4" customFormat="1" ht="12.75" customHeight="1" x14ac:dyDescent="0.15">
      <c r="A39" s="16"/>
      <c r="B39" s="5"/>
      <c r="C39" s="73"/>
      <c r="D39" s="79"/>
      <c r="E39" s="79"/>
      <c r="F39" s="79"/>
      <c r="G39" s="77"/>
      <c r="H39" s="77"/>
      <c r="I39" s="77"/>
      <c r="J39" s="77"/>
      <c r="K39" s="77"/>
      <c r="L39" s="77"/>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58"/>
      <c r="CD39" s="58"/>
      <c r="CE39" s="76"/>
      <c r="CF39" s="58"/>
    </row>
    <row r="40" spans="1:84" s="4" customFormat="1" ht="12.75" customHeight="1" x14ac:dyDescent="0.15">
      <c r="A40" s="16"/>
      <c r="B40" s="5"/>
      <c r="C40" s="73"/>
      <c r="D40" s="22" t="s">
        <v>286</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8"/>
      <c r="CE40" s="76"/>
      <c r="CF40" s="58"/>
    </row>
    <row r="41" spans="1:84" s="4" customFormat="1" ht="12" customHeight="1" x14ac:dyDescent="0.15">
      <c r="A41" s="16"/>
      <c r="C41" s="58"/>
      <c r="D41" s="51" t="s">
        <v>100</v>
      </c>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3"/>
      <c r="CE41" s="18"/>
    </row>
    <row r="42" spans="1:84" s="4" customFormat="1" ht="12" customHeight="1" x14ac:dyDescent="0.15">
      <c r="A42" s="16"/>
      <c r="C42" s="58"/>
      <c r="D42" s="192"/>
      <c r="E42" s="54" t="s">
        <v>287</v>
      </c>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193"/>
      <c r="CE42" s="18"/>
    </row>
    <row r="43" spans="1:84" s="4" customFormat="1" ht="12" customHeight="1" x14ac:dyDescent="0.15">
      <c r="A43" s="16"/>
      <c r="C43" s="58"/>
      <c r="D43" s="192"/>
      <c r="E43" s="54" t="s">
        <v>919</v>
      </c>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193"/>
      <c r="CE43" s="18"/>
    </row>
    <row r="44" spans="1:84" s="4" customFormat="1" ht="12" customHeight="1" x14ac:dyDescent="0.15">
      <c r="A44" s="16"/>
      <c r="C44" s="5"/>
      <c r="D44" s="55"/>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7"/>
      <c r="CE44" s="18"/>
    </row>
    <row r="45" spans="1:84" s="4" customFormat="1" ht="12.75" customHeight="1" thickBot="1" x14ac:dyDescent="0.2">
      <c r="A45" s="25"/>
      <c r="B45" s="141"/>
      <c r="C45" s="142"/>
      <c r="D45" s="194"/>
      <c r="E45" s="194"/>
      <c r="F45" s="194"/>
      <c r="G45" s="195"/>
      <c r="H45" s="195"/>
      <c r="I45" s="195"/>
      <c r="J45" s="195"/>
      <c r="K45" s="195"/>
      <c r="L45" s="195"/>
      <c r="M45" s="196"/>
      <c r="N45" s="196"/>
      <c r="O45" s="196"/>
      <c r="P45" s="196"/>
      <c r="Q45" s="196"/>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6"/>
      <c r="BB45" s="196"/>
      <c r="BC45" s="196"/>
      <c r="BD45" s="196"/>
      <c r="BE45" s="196"/>
      <c r="BF45" s="196"/>
      <c r="BG45" s="196"/>
      <c r="BH45" s="196"/>
      <c r="BI45" s="196"/>
      <c r="BJ45" s="196"/>
      <c r="BK45" s="196"/>
      <c r="BL45" s="196"/>
      <c r="BM45" s="196"/>
      <c r="BN45" s="196"/>
      <c r="BO45" s="196"/>
      <c r="BP45" s="196"/>
      <c r="BQ45" s="196"/>
      <c r="BR45" s="196"/>
      <c r="BS45" s="196"/>
      <c r="BT45" s="196"/>
      <c r="BU45" s="196"/>
      <c r="BV45" s="196"/>
      <c r="BW45" s="196"/>
      <c r="BX45" s="196"/>
      <c r="BY45" s="196"/>
      <c r="BZ45" s="196"/>
      <c r="CA45" s="196"/>
      <c r="CB45" s="196"/>
      <c r="CC45" s="104"/>
      <c r="CD45" s="104"/>
      <c r="CE45" s="143"/>
      <c r="CF45" s="58"/>
    </row>
    <row r="46" spans="1:84" s="4" customFormat="1" ht="12.75" customHeight="1" x14ac:dyDescent="0.15">
      <c r="A46" s="13"/>
      <c r="B46" s="85"/>
      <c r="C46" s="86"/>
      <c r="D46" s="87"/>
      <c r="E46" s="88"/>
      <c r="F46" s="88"/>
      <c r="G46" s="88"/>
      <c r="H46" s="88"/>
      <c r="I46" s="88"/>
      <c r="J46" s="88"/>
      <c r="K46" s="88"/>
      <c r="L46" s="88"/>
      <c r="M46" s="88"/>
      <c r="N46" s="88"/>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89"/>
      <c r="AT46" s="89"/>
      <c r="AU46" s="89"/>
      <c r="AV46" s="89"/>
      <c r="AW46" s="89"/>
      <c r="AX46" s="89"/>
      <c r="AY46" s="89"/>
      <c r="AZ46" s="89"/>
      <c r="BA46" s="89"/>
      <c r="BB46" s="89"/>
      <c r="BC46" s="89"/>
      <c r="BD46" s="89"/>
      <c r="BE46" s="89"/>
      <c r="BF46" s="89"/>
      <c r="BG46" s="89"/>
      <c r="BH46" s="89"/>
      <c r="BI46" s="89"/>
      <c r="BJ46" s="89"/>
      <c r="BK46" s="89"/>
      <c r="BL46" s="89"/>
      <c r="BM46" s="89"/>
      <c r="BN46" s="89"/>
      <c r="BO46" s="89"/>
      <c r="BP46" s="89"/>
      <c r="BQ46" s="89"/>
      <c r="BR46" s="89"/>
      <c r="BS46" s="89"/>
      <c r="BT46" s="89"/>
      <c r="BU46" s="89"/>
      <c r="BV46" s="89"/>
      <c r="BW46" s="89"/>
      <c r="BX46" s="89"/>
      <c r="BY46" s="89"/>
      <c r="BZ46" s="89"/>
      <c r="CA46" s="89"/>
      <c r="CB46" s="89"/>
      <c r="CC46" s="89"/>
      <c r="CD46" s="88"/>
      <c r="CE46" s="15"/>
    </row>
    <row r="47" spans="1:84" s="274" customFormat="1" ht="12.75" customHeight="1" x14ac:dyDescent="0.15">
      <c r="A47" s="269"/>
      <c r="B47" s="270"/>
      <c r="C47" s="22" t="s">
        <v>762</v>
      </c>
      <c r="D47" s="22"/>
      <c r="E47" s="11"/>
      <c r="F47" s="11"/>
      <c r="G47" s="271"/>
      <c r="H47" s="271"/>
      <c r="I47" s="271"/>
      <c r="J47" s="271"/>
      <c r="K47" s="271"/>
      <c r="L47" s="271"/>
      <c r="M47" s="271"/>
      <c r="N47" s="271"/>
      <c r="O47" s="272"/>
      <c r="P47" s="272"/>
      <c r="Q47" s="272"/>
      <c r="R47" s="272"/>
      <c r="S47" s="272"/>
      <c r="T47" s="272"/>
      <c r="U47" s="272"/>
      <c r="V47" s="272"/>
      <c r="W47" s="272"/>
      <c r="X47" s="272"/>
      <c r="Y47" s="272"/>
      <c r="Z47" s="272"/>
      <c r="AA47" s="272"/>
      <c r="AB47" s="272"/>
      <c r="AC47" s="272"/>
      <c r="AD47" s="272"/>
      <c r="AE47" s="272"/>
      <c r="AF47" s="272"/>
      <c r="AG47" s="272"/>
      <c r="AH47" s="272"/>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c r="BL47" s="272"/>
      <c r="BM47" s="272"/>
      <c r="BN47" s="272"/>
      <c r="BO47" s="272"/>
      <c r="BP47" s="272"/>
      <c r="BQ47" s="272"/>
      <c r="BR47" s="272"/>
      <c r="BS47" s="272"/>
      <c r="BT47" s="272"/>
      <c r="BU47" s="272"/>
      <c r="BV47" s="272"/>
      <c r="BW47" s="272"/>
      <c r="BX47" s="272"/>
      <c r="BY47" s="272"/>
      <c r="BZ47" s="272"/>
      <c r="CA47" s="272"/>
      <c r="CB47" s="272"/>
      <c r="CC47" s="272"/>
      <c r="CD47" s="271"/>
      <c r="CE47" s="273"/>
    </row>
    <row r="48" spans="1:84" s="274" customFormat="1" ht="12.75" customHeight="1" x14ac:dyDescent="0.15">
      <c r="A48" s="269"/>
      <c r="B48" s="270"/>
      <c r="C48" s="22"/>
      <c r="D48" s="22" t="s">
        <v>289</v>
      </c>
      <c r="E48" s="11"/>
      <c r="F48" s="11"/>
      <c r="G48" s="271"/>
      <c r="H48" s="271"/>
      <c r="I48" s="271"/>
      <c r="J48" s="271"/>
      <c r="K48" s="271"/>
      <c r="L48" s="271"/>
      <c r="M48" s="271"/>
      <c r="N48" s="271"/>
      <c r="O48" s="272"/>
      <c r="P48" s="272"/>
      <c r="Q48" s="272"/>
      <c r="R48" s="272"/>
      <c r="S48" s="272"/>
      <c r="T48" s="272"/>
      <c r="U48" s="272"/>
      <c r="V48" s="272"/>
      <c r="W48" s="272"/>
      <c r="X48" s="272"/>
      <c r="Y48" s="272"/>
      <c r="Z48" s="272"/>
      <c r="AA48" s="272"/>
      <c r="AB48" s="272"/>
      <c r="AC48" s="272"/>
      <c r="AD48" s="272"/>
      <c r="AE48" s="272"/>
      <c r="AF48" s="272"/>
      <c r="AG48" s="272"/>
      <c r="AH48" s="272"/>
      <c r="AI48" s="272"/>
      <c r="AJ48" s="272"/>
      <c r="AK48" s="272"/>
      <c r="AL48" s="272"/>
      <c r="AM48" s="272"/>
      <c r="AN48" s="272"/>
      <c r="AO48" s="272"/>
      <c r="AP48" s="272"/>
      <c r="AQ48" s="272"/>
      <c r="AR48" s="272"/>
      <c r="AS48" s="272"/>
      <c r="AT48" s="272"/>
      <c r="AU48" s="272"/>
      <c r="AV48" s="272"/>
      <c r="AW48" s="272"/>
      <c r="AX48" s="272"/>
      <c r="AY48" s="272"/>
      <c r="AZ48" s="272"/>
      <c r="BA48" s="272"/>
      <c r="BB48" s="272"/>
      <c r="BC48" s="272"/>
      <c r="BD48" s="272"/>
      <c r="BE48" s="272"/>
      <c r="BF48" s="272"/>
      <c r="BG48" s="272"/>
      <c r="BH48" s="272"/>
      <c r="BI48" s="272"/>
      <c r="BJ48" s="272"/>
      <c r="BK48" s="272"/>
      <c r="BL48" s="272"/>
      <c r="BM48" s="272"/>
      <c r="BN48" s="272"/>
      <c r="BO48" s="272"/>
      <c r="BP48" s="272"/>
      <c r="BQ48" s="272"/>
      <c r="BR48" s="272"/>
      <c r="BS48" s="272"/>
      <c r="BT48" s="272"/>
      <c r="BU48" s="272"/>
      <c r="BV48" s="272"/>
      <c r="BW48" s="272"/>
      <c r="BX48" s="272"/>
      <c r="BY48" s="272"/>
      <c r="BZ48" s="272"/>
      <c r="CA48" s="272"/>
      <c r="CB48" s="272"/>
      <c r="CC48" s="272"/>
      <c r="CD48" s="271"/>
      <c r="CE48" s="273"/>
    </row>
    <row r="49" spans="1:83" s="274" customFormat="1" ht="12.75" customHeight="1" x14ac:dyDescent="0.15">
      <c r="A49" s="269"/>
      <c r="B49" s="270"/>
      <c r="C49" s="22"/>
      <c r="D49" s="22"/>
      <c r="E49" s="12" t="s">
        <v>406</v>
      </c>
      <c r="F49" s="11"/>
      <c r="G49" s="271"/>
      <c r="H49" s="271"/>
      <c r="I49" s="271"/>
      <c r="J49" s="271"/>
      <c r="K49" s="271"/>
      <c r="L49" s="271"/>
      <c r="M49" s="271"/>
      <c r="N49" s="271"/>
      <c r="O49" s="272"/>
      <c r="P49" s="272"/>
      <c r="Q49" s="272"/>
      <c r="R49" s="272"/>
      <c r="S49" s="272"/>
      <c r="T49" s="272"/>
      <c r="U49" s="272"/>
      <c r="V49" s="272"/>
      <c r="W49" s="272"/>
      <c r="X49" s="272"/>
      <c r="Y49" s="272"/>
      <c r="Z49" s="272"/>
      <c r="AA49" s="272"/>
      <c r="AB49" s="272"/>
      <c r="AC49" s="272"/>
      <c r="AD49" s="272"/>
      <c r="AE49" s="272"/>
      <c r="AF49" s="272"/>
      <c r="AG49" s="272"/>
      <c r="AH49" s="272"/>
      <c r="AI49" s="272"/>
      <c r="AJ49" s="272"/>
      <c r="AK49" s="272"/>
      <c r="AL49" s="272"/>
      <c r="AM49" s="272"/>
      <c r="AN49" s="272"/>
      <c r="AO49" s="272"/>
      <c r="AP49" s="272"/>
      <c r="AQ49" s="272"/>
      <c r="AR49" s="272"/>
      <c r="AS49" s="272"/>
      <c r="AT49" s="272"/>
      <c r="AU49" s="272"/>
      <c r="AV49" s="272"/>
      <c r="AW49" s="272"/>
      <c r="AX49" s="272"/>
      <c r="AY49" s="272"/>
      <c r="AZ49" s="272"/>
      <c r="BA49" s="272"/>
      <c r="BB49" s="272"/>
      <c r="BC49" s="272"/>
      <c r="BD49" s="272"/>
      <c r="BE49" s="272"/>
      <c r="BF49" s="272"/>
      <c r="BG49" s="272"/>
      <c r="BH49" s="272"/>
      <c r="BI49" s="272"/>
      <c r="BJ49" s="272"/>
      <c r="BK49" s="272"/>
      <c r="BL49" s="272"/>
      <c r="BM49" s="272"/>
      <c r="BN49" s="272"/>
      <c r="BO49" s="272"/>
      <c r="BP49" s="272"/>
      <c r="BQ49" s="272"/>
      <c r="BR49" s="272"/>
      <c r="BS49" s="272"/>
      <c r="BT49" s="272"/>
      <c r="BU49" s="272"/>
      <c r="BV49" s="272"/>
      <c r="BW49" s="272"/>
      <c r="BX49" s="272"/>
      <c r="BY49" s="272"/>
      <c r="BZ49" s="272"/>
      <c r="CA49" s="272"/>
      <c r="CB49" s="272"/>
      <c r="CC49" s="272"/>
      <c r="CD49" s="271"/>
      <c r="CE49" s="273"/>
    </row>
    <row r="50" spans="1:83" s="274" customFormat="1" ht="12.75" customHeight="1" x14ac:dyDescent="0.15">
      <c r="A50" s="269"/>
      <c r="B50" s="270"/>
      <c r="C50" s="275"/>
      <c r="D50" s="961" t="s">
        <v>391</v>
      </c>
      <c r="E50" s="1020"/>
      <c r="F50" s="1021"/>
      <c r="G50" s="729" t="s">
        <v>400</v>
      </c>
      <c r="H50" s="730"/>
      <c r="I50" s="730"/>
      <c r="J50" s="730"/>
      <c r="K50" s="730"/>
      <c r="L50" s="730"/>
      <c r="M50" s="731"/>
      <c r="N50" s="961" t="s">
        <v>281</v>
      </c>
      <c r="O50" s="1020"/>
      <c r="P50" s="1020"/>
      <c r="Q50" s="1021"/>
      <c r="R50" s="729">
        <v>1</v>
      </c>
      <c r="S50" s="730"/>
      <c r="T50" s="730"/>
      <c r="U50" s="730"/>
      <c r="V50" s="730"/>
      <c r="W50" s="730"/>
      <c r="X50" s="731"/>
      <c r="Y50" s="961" t="s">
        <v>401</v>
      </c>
      <c r="Z50" s="1020"/>
      <c r="AA50" s="1020"/>
      <c r="AB50" s="1020"/>
      <c r="AC50" s="1020"/>
      <c r="AD50" s="1020"/>
      <c r="AE50" s="1021"/>
      <c r="AF50" s="736" t="s">
        <v>407</v>
      </c>
      <c r="AG50" s="737"/>
      <c r="AH50" s="737"/>
      <c r="AI50" s="737"/>
      <c r="AJ50" s="737"/>
      <c r="AK50" s="737"/>
      <c r="AL50" s="737"/>
      <c r="AM50" s="737"/>
      <c r="AN50" s="737"/>
      <c r="AO50" s="737"/>
      <c r="AP50" s="737"/>
      <c r="AQ50" s="737"/>
      <c r="AR50" s="737"/>
      <c r="AS50" s="737"/>
      <c r="AT50" s="737"/>
      <c r="AU50" s="737"/>
      <c r="AV50" s="737"/>
      <c r="AW50" s="737"/>
      <c r="AX50" s="737"/>
      <c r="AY50" s="737"/>
      <c r="AZ50" s="737"/>
      <c r="BA50" s="737"/>
      <c r="BB50" s="737"/>
      <c r="BC50" s="737"/>
      <c r="BD50" s="737"/>
      <c r="BE50" s="737"/>
      <c r="BF50" s="737"/>
      <c r="BG50" s="737"/>
      <c r="BH50" s="737"/>
      <c r="BI50" s="737"/>
      <c r="BJ50" s="737"/>
      <c r="BK50" s="737"/>
      <c r="BL50" s="737"/>
      <c r="BM50" s="737"/>
      <c r="BN50" s="737"/>
      <c r="BO50" s="737"/>
      <c r="BP50" s="737"/>
      <c r="BQ50" s="737"/>
      <c r="BR50" s="737"/>
      <c r="BS50" s="737"/>
      <c r="BT50" s="737"/>
      <c r="BU50" s="737"/>
      <c r="BV50" s="737"/>
      <c r="BW50" s="737"/>
      <c r="BX50" s="737"/>
      <c r="BY50" s="737"/>
      <c r="BZ50" s="737"/>
      <c r="CA50" s="737"/>
      <c r="CB50" s="738"/>
      <c r="CC50" s="276"/>
      <c r="CD50" s="275"/>
      <c r="CE50" s="277"/>
    </row>
    <row r="51" spans="1:83" s="274" customFormat="1" ht="12.75" customHeight="1" x14ac:dyDescent="0.15">
      <c r="A51" s="269"/>
      <c r="B51" s="270"/>
      <c r="C51" s="275"/>
      <c r="D51" s="1022"/>
      <c r="E51" s="1023"/>
      <c r="F51" s="1024"/>
      <c r="G51" s="732"/>
      <c r="H51" s="733"/>
      <c r="I51" s="733"/>
      <c r="J51" s="733"/>
      <c r="K51" s="733"/>
      <c r="L51" s="733"/>
      <c r="M51" s="734"/>
      <c r="N51" s="1022"/>
      <c r="O51" s="1023"/>
      <c r="P51" s="1023"/>
      <c r="Q51" s="1024"/>
      <c r="R51" s="732"/>
      <c r="S51" s="733"/>
      <c r="T51" s="733"/>
      <c r="U51" s="733"/>
      <c r="V51" s="733"/>
      <c r="W51" s="733"/>
      <c r="X51" s="734"/>
      <c r="Y51" s="1022"/>
      <c r="Z51" s="1023"/>
      <c r="AA51" s="1023"/>
      <c r="AB51" s="1023"/>
      <c r="AC51" s="1023"/>
      <c r="AD51" s="1023"/>
      <c r="AE51" s="1024"/>
      <c r="AF51" s="739"/>
      <c r="AG51" s="740"/>
      <c r="AH51" s="740"/>
      <c r="AI51" s="740"/>
      <c r="AJ51" s="740"/>
      <c r="AK51" s="740"/>
      <c r="AL51" s="740"/>
      <c r="AM51" s="740"/>
      <c r="AN51" s="740"/>
      <c r="AO51" s="740"/>
      <c r="AP51" s="740"/>
      <c r="AQ51" s="740"/>
      <c r="AR51" s="740"/>
      <c r="AS51" s="740"/>
      <c r="AT51" s="740"/>
      <c r="AU51" s="740"/>
      <c r="AV51" s="740"/>
      <c r="AW51" s="740"/>
      <c r="AX51" s="740"/>
      <c r="AY51" s="740"/>
      <c r="AZ51" s="740"/>
      <c r="BA51" s="740"/>
      <c r="BB51" s="740"/>
      <c r="BC51" s="740"/>
      <c r="BD51" s="740"/>
      <c r="BE51" s="740"/>
      <c r="BF51" s="740"/>
      <c r="BG51" s="740"/>
      <c r="BH51" s="740"/>
      <c r="BI51" s="740"/>
      <c r="BJ51" s="740"/>
      <c r="BK51" s="740"/>
      <c r="BL51" s="740"/>
      <c r="BM51" s="740"/>
      <c r="BN51" s="740"/>
      <c r="BO51" s="740"/>
      <c r="BP51" s="740"/>
      <c r="BQ51" s="740"/>
      <c r="BR51" s="740"/>
      <c r="BS51" s="740"/>
      <c r="BT51" s="740"/>
      <c r="BU51" s="740"/>
      <c r="BV51" s="740"/>
      <c r="BW51" s="740"/>
      <c r="BX51" s="740"/>
      <c r="BY51" s="740"/>
      <c r="BZ51" s="740"/>
      <c r="CA51" s="740"/>
      <c r="CB51" s="741"/>
      <c r="CC51" s="278"/>
      <c r="CD51" s="275"/>
      <c r="CE51" s="277"/>
    </row>
    <row r="52" spans="1:83" s="274" customFormat="1" ht="12.75" customHeight="1" x14ac:dyDescent="0.15">
      <c r="A52" s="269"/>
      <c r="B52" s="270"/>
      <c r="C52" s="275"/>
      <c r="D52" s="1025" t="s">
        <v>402</v>
      </c>
      <c r="E52" s="1026"/>
      <c r="F52" s="1027"/>
      <c r="G52" s="279"/>
      <c r="H52" s="279"/>
      <c r="I52" s="279"/>
      <c r="J52" s="279"/>
      <c r="K52" s="279"/>
      <c r="L52" s="279"/>
      <c r="M52" s="279"/>
      <c r="N52" s="279"/>
      <c r="O52" s="279"/>
      <c r="P52" s="279"/>
      <c r="Q52" s="279"/>
      <c r="R52" s="279"/>
      <c r="S52" s="279"/>
      <c r="T52" s="279"/>
      <c r="U52" s="279"/>
      <c r="V52" s="279"/>
      <c r="W52" s="279"/>
      <c r="X52" s="279"/>
      <c r="Y52" s="279"/>
      <c r="Z52" s="279"/>
      <c r="AA52" s="279"/>
      <c r="AB52" s="279"/>
      <c r="AC52" s="279"/>
      <c r="AD52" s="279"/>
      <c r="AE52" s="279"/>
      <c r="AF52" s="279"/>
      <c r="AG52" s="279"/>
      <c r="AH52" s="279"/>
      <c r="AI52" s="279"/>
      <c r="AJ52" s="279"/>
      <c r="AK52" s="279"/>
      <c r="AL52" s="279"/>
      <c r="AM52" s="279"/>
      <c r="AN52" s="279"/>
      <c r="AO52" s="279"/>
      <c r="AP52" s="279"/>
      <c r="AQ52" s="279"/>
      <c r="AR52" s="279"/>
      <c r="AS52" s="279"/>
      <c r="AT52" s="279"/>
      <c r="AU52" s="279"/>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c r="BR52" s="279"/>
      <c r="BS52" s="279"/>
      <c r="BT52" s="279"/>
      <c r="BU52" s="279"/>
      <c r="BV52" s="279"/>
      <c r="BW52" s="279"/>
      <c r="BX52" s="279"/>
      <c r="BY52" s="279"/>
      <c r="BZ52" s="279"/>
      <c r="CA52" s="279"/>
      <c r="CB52" s="280"/>
      <c r="CC52" s="278"/>
      <c r="CD52" s="275"/>
      <c r="CE52" s="277"/>
    </row>
    <row r="53" spans="1:83" s="286" customFormat="1" ht="12.75" customHeight="1" x14ac:dyDescent="0.15">
      <c r="A53" s="281"/>
      <c r="B53" s="270"/>
      <c r="C53" s="282"/>
      <c r="D53" s="1028"/>
      <c r="E53" s="1029"/>
      <c r="F53" s="1030"/>
      <c r="G53" s="278"/>
      <c r="H53" s="278"/>
      <c r="I53" s="278"/>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c r="AG53" s="278"/>
      <c r="AH53" s="278"/>
      <c r="AI53" s="278"/>
      <c r="AJ53" s="278"/>
      <c r="AK53" s="278"/>
      <c r="AL53" s="278"/>
      <c r="AM53" s="278"/>
      <c r="AN53" s="278"/>
      <c r="AO53" s="278"/>
      <c r="AP53" s="278"/>
      <c r="AQ53" s="278"/>
      <c r="AR53" s="278"/>
      <c r="AS53" s="278"/>
      <c r="AT53" s="278"/>
      <c r="AU53" s="278"/>
      <c r="AV53" s="278"/>
      <c r="AW53" s="278"/>
      <c r="AX53" s="278"/>
      <c r="AY53" s="278"/>
      <c r="AZ53" s="278"/>
      <c r="BA53" s="278"/>
      <c r="BB53" s="278"/>
      <c r="BC53" s="278"/>
      <c r="BD53" s="278"/>
      <c r="BE53" s="278"/>
      <c r="BF53" s="278"/>
      <c r="BG53" s="278"/>
      <c r="BH53" s="282"/>
      <c r="BI53" s="278"/>
      <c r="BJ53" s="278"/>
      <c r="BK53" s="278"/>
      <c r="BL53" s="283"/>
      <c r="BM53" s="278"/>
      <c r="BN53" s="278"/>
      <c r="BO53" s="278"/>
      <c r="BP53" s="278"/>
      <c r="BQ53" s="278"/>
      <c r="BR53" s="282"/>
      <c r="BS53" s="278"/>
      <c r="BT53" s="278"/>
      <c r="BU53" s="278"/>
      <c r="BV53" s="278"/>
      <c r="BW53" s="278"/>
      <c r="BX53" s="278"/>
      <c r="BY53" s="278"/>
      <c r="BZ53" s="278"/>
      <c r="CA53" s="278"/>
      <c r="CB53" s="284"/>
      <c r="CC53" s="278"/>
      <c r="CD53" s="282"/>
      <c r="CE53" s="285"/>
    </row>
    <row r="54" spans="1:83" s="286" customFormat="1" ht="12.75" customHeight="1" x14ac:dyDescent="0.15">
      <c r="A54" s="281"/>
      <c r="B54" s="270"/>
      <c r="C54" s="282"/>
      <c r="D54" s="1028"/>
      <c r="E54" s="1029"/>
      <c r="F54" s="1030"/>
      <c r="G54" s="278"/>
      <c r="H54" s="278"/>
      <c r="I54" s="278"/>
      <c r="J54" s="278"/>
      <c r="K54" s="278"/>
      <c r="L54" s="278"/>
      <c r="M54" s="278"/>
      <c r="N54" s="278"/>
      <c r="O54" s="278"/>
      <c r="P54" s="278"/>
      <c r="Q54" s="278"/>
      <c r="R54" s="278"/>
      <c r="S54" s="278"/>
      <c r="T54" s="278"/>
      <c r="U54" s="278"/>
      <c r="V54" s="278"/>
      <c r="W54" s="278"/>
      <c r="X54" s="278"/>
      <c r="Y54" s="278"/>
      <c r="Z54" s="278"/>
      <c r="AA54" s="278"/>
      <c r="AB54" s="278"/>
      <c r="AC54" s="278"/>
      <c r="AD54" s="278"/>
      <c r="AE54" s="278"/>
      <c r="AF54" s="278"/>
      <c r="AG54" s="278"/>
      <c r="AH54" s="278"/>
      <c r="AI54" s="278"/>
      <c r="AJ54" s="278"/>
      <c r="AK54" s="278"/>
      <c r="AL54" s="278"/>
      <c r="AM54" s="278"/>
      <c r="AN54" s="278"/>
      <c r="AO54" s="278"/>
      <c r="AP54" s="278"/>
      <c r="AQ54" s="278"/>
      <c r="AR54" s="278"/>
      <c r="AS54" s="278"/>
      <c r="AT54" s="278"/>
      <c r="AU54" s="278"/>
      <c r="AV54" s="278"/>
      <c r="AW54" s="278"/>
      <c r="AX54" s="278"/>
      <c r="AY54" s="278"/>
      <c r="AZ54" s="278"/>
      <c r="BA54" s="278"/>
      <c r="BB54" s="278"/>
      <c r="BC54" s="278"/>
      <c r="BD54" s="278"/>
      <c r="BE54" s="278"/>
      <c r="BF54" s="278"/>
      <c r="BG54" s="278"/>
      <c r="BH54" s="283"/>
      <c r="BI54" s="278"/>
      <c r="BJ54" s="278"/>
      <c r="BK54" s="278"/>
      <c r="BL54" s="278"/>
      <c r="BM54" s="278"/>
      <c r="BN54" s="278"/>
      <c r="BO54" s="278"/>
      <c r="BP54" s="278"/>
      <c r="BQ54" s="278"/>
      <c r="BR54" s="278"/>
      <c r="BS54" s="278"/>
      <c r="BT54" s="278"/>
      <c r="BU54" s="278"/>
      <c r="BV54" s="278"/>
      <c r="BW54" s="278"/>
      <c r="BX54" s="278"/>
      <c r="BY54" s="278"/>
      <c r="BZ54" s="278"/>
      <c r="CA54" s="278"/>
      <c r="CB54" s="284"/>
      <c r="CC54" s="278"/>
      <c r="CD54" s="282"/>
      <c r="CE54" s="285"/>
    </row>
    <row r="55" spans="1:83" s="286" customFormat="1" ht="12.75" customHeight="1" x14ac:dyDescent="0.15">
      <c r="A55" s="281"/>
      <c r="B55" s="270"/>
      <c r="C55" s="282"/>
      <c r="D55" s="1028"/>
      <c r="E55" s="1029"/>
      <c r="F55" s="1030"/>
      <c r="G55" s="278"/>
      <c r="H55" s="278"/>
      <c r="I55" s="278"/>
      <c r="J55" s="278"/>
      <c r="K55" s="278"/>
      <c r="L55" s="278"/>
      <c r="M55" s="278"/>
      <c r="N55" s="278"/>
      <c r="O55" s="278"/>
      <c r="P55" s="278"/>
      <c r="Q55" s="278"/>
      <c r="R55" s="278"/>
      <c r="S55" s="278"/>
      <c r="T55" s="278"/>
      <c r="U55" s="278"/>
      <c r="V55" s="278"/>
      <c r="W55" s="278"/>
      <c r="X55" s="278"/>
      <c r="Y55" s="278"/>
      <c r="Z55" s="278"/>
      <c r="AA55" s="278"/>
      <c r="AB55" s="278"/>
      <c r="AC55" s="278"/>
      <c r="AD55" s="278"/>
      <c r="AE55" s="278"/>
      <c r="AF55" s="278"/>
      <c r="AG55" s="278"/>
      <c r="AH55" s="278"/>
      <c r="AI55" s="278"/>
      <c r="AJ55" s="278"/>
      <c r="AK55" s="278"/>
      <c r="AL55" s="278"/>
      <c r="AM55" s="278"/>
      <c r="AN55" s="278"/>
      <c r="AO55" s="278"/>
      <c r="AP55" s="278"/>
      <c r="AQ55" s="278"/>
      <c r="AR55" s="278"/>
      <c r="AS55" s="278"/>
      <c r="AT55" s="278"/>
      <c r="AU55" s="278"/>
      <c r="AV55" s="278"/>
      <c r="AW55" s="278"/>
      <c r="AX55" s="278"/>
      <c r="AY55" s="278"/>
      <c r="AZ55" s="278"/>
      <c r="BA55" s="278"/>
      <c r="BB55" s="278"/>
      <c r="BC55" s="278"/>
      <c r="BD55" s="278"/>
      <c r="BE55" s="278"/>
      <c r="BF55" s="278"/>
      <c r="BG55" s="278"/>
      <c r="BH55" s="278"/>
      <c r="BI55" s="278"/>
      <c r="BJ55" s="278"/>
      <c r="BK55" s="278"/>
      <c r="BL55" s="278"/>
      <c r="BM55" s="278"/>
      <c r="BN55" s="278"/>
      <c r="BO55" s="278"/>
      <c r="BP55" s="278"/>
      <c r="BQ55" s="278"/>
      <c r="BR55" s="278"/>
      <c r="BS55" s="278"/>
      <c r="BT55" s="278"/>
      <c r="BU55" s="278"/>
      <c r="BV55" s="278"/>
      <c r="BW55" s="278"/>
      <c r="BX55" s="278"/>
      <c r="BY55" s="278"/>
      <c r="BZ55" s="278"/>
      <c r="CA55" s="278"/>
      <c r="CB55" s="284"/>
      <c r="CC55" s="278"/>
      <c r="CD55" s="282"/>
      <c r="CE55" s="285"/>
    </row>
    <row r="56" spans="1:83" s="286" customFormat="1" ht="12.75" customHeight="1" x14ac:dyDescent="0.15">
      <c r="A56" s="281"/>
      <c r="B56" s="270"/>
      <c r="C56" s="282"/>
      <c r="D56" s="1028"/>
      <c r="E56" s="1029"/>
      <c r="F56" s="1030"/>
      <c r="G56" s="278"/>
      <c r="H56" s="278"/>
      <c r="I56" s="278"/>
      <c r="J56" s="278"/>
      <c r="K56" s="278"/>
      <c r="L56" s="278"/>
      <c r="M56" s="278"/>
      <c r="N56" s="278"/>
      <c r="O56" s="278"/>
      <c r="P56" s="278"/>
      <c r="Q56" s="278"/>
      <c r="R56" s="278"/>
      <c r="S56" s="278"/>
      <c r="T56" s="278"/>
      <c r="U56" s="278"/>
      <c r="V56" s="278"/>
      <c r="W56" s="278"/>
      <c r="X56" s="278"/>
      <c r="Y56" s="278"/>
      <c r="Z56" s="278"/>
      <c r="AA56" s="278"/>
      <c r="AB56" s="278"/>
      <c r="AC56" s="278"/>
      <c r="AD56" s="278"/>
      <c r="AE56" s="278"/>
      <c r="AF56" s="278"/>
      <c r="AG56" s="278"/>
      <c r="AH56" s="278"/>
      <c r="AI56" s="278"/>
      <c r="AJ56" s="278"/>
      <c r="AK56" s="278"/>
      <c r="AL56" s="278"/>
      <c r="AM56" s="278"/>
      <c r="AN56" s="278"/>
      <c r="AO56" s="278"/>
      <c r="AP56" s="278"/>
      <c r="AQ56" s="278"/>
      <c r="AR56" s="278"/>
      <c r="AS56" s="278"/>
      <c r="AT56" s="278"/>
      <c r="AU56" s="278"/>
      <c r="AV56" s="278"/>
      <c r="AW56" s="278"/>
      <c r="AX56" s="278"/>
      <c r="AY56" s="278"/>
      <c r="AZ56" s="278"/>
      <c r="BA56" s="278"/>
      <c r="BB56" s="278"/>
      <c r="BC56" s="278"/>
      <c r="BD56" s="278"/>
      <c r="BE56" s="278"/>
      <c r="BF56" s="278"/>
      <c r="BG56" s="278"/>
      <c r="BH56" s="278"/>
      <c r="BI56" s="278"/>
      <c r="BJ56" s="278"/>
      <c r="BK56" s="278"/>
      <c r="BL56" s="278"/>
      <c r="BM56" s="278"/>
      <c r="BN56" s="278"/>
      <c r="BO56" s="278"/>
      <c r="BP56" s="278"/>
      <c r="BQ56" s="278"/>
      <c r="BR56" s="278"/>
      <c r="BS56" s="278"/>
      <c r="BT56" s="278"/>
      <c r="BU56" s="278"/>
      <c r="BV56" s="278"/>
      <c r="BW56" s="278"/>
      <c r="BX56" s="278"/>
      <c r="BY56" s="278"/>
      <c r="BZ56" s="278"/>
      <c r="CA56" s="278"/>
      <c r="CB56" s="284"/>
      <c r="CC56" s="278"/>
      <c r="CD56" s="282"/>
      <c r="CE56" s="285"/>
    </row>
    <row r="57" spans="1:83" s="286" customFormat="1" ht="12.75" customHeight="1" x14ac:dyDescent="0.15">
      <c r="A57" s="281"/>
      <c r="B57" s="270"/>
      <c r="C57" s="282"/>
      <c r="D57" s="1028"/>
      <c r="E57" s="1029"/>
      <c r="F57" s="1030"/>
      <c r="G57" s="278"/>
      <c r="H57" s="278"/>
      <c r="I57" s="278"/>
      <c r="J57" s="278"/>
      <c r="K57" s="278"/>
      <c r="L57" s="278"/>
      <c r="M57" s="278"/>
      <c r="N57" s="278"/>
      <c r="O57" s="278"/>
      <c r="P57" s="278"/>
      <c r="Q57" s="278"/>
      <c r="R57" s="278"/>
      <c r="S57" s="278"/>
      <c r="T57" s="278"/>
      <c r="U57" s="278"/>
      <c r="V57" s="278"/>
      <c r="W57" s="278"/>
      <c r="X57" s="278"/>
      <c r="Y57" s="278"/>
      <c r="Z57" s="278"/>
      <c r="AA57" s="278"/>
      <c r="AB57" s="278"/>
      <c r="AC57" s="278"/>
      <c r="AD57" s="278"/>
      <c r="AE57" s="278"/>
      <c r="AF57" s="278"/>
      <c r="AG57" s="278"/>
      <c r="AH57" s="278"/>
      <c r="AI57" s="278"/>
      <c r="AJ57" s="278"/>
      <c r="AK57" s="278"/>
      <c r="AL57" s="278"/>
      <c r="AM57" s="278"/>
      <c r="AN57" s="278"/>
      <c r="AO57" s="278"/>
      <c r="AP57" s="278"/>
      <c r="AQ57" s="278"/>
      <c r="AR57" s="278"/>
      <c r="AS57" s="278"/>
      <c r="AT57" s="278"/>
      <c r="AU57" s="278"/>
      <c r="AV57" s="278"/>
      <c r="AW57" s="278"/>
      <c r="AX57" s="278"/>
      <c r="AY57" s="278"/>
      <c r="AZ57" s="278"/>
      <c r="BA57" s="278"/>
      <c r="BB57" s="278"/>
      <c r="BC57" s="278"/>
      <c r="BD57" s="278"/>
      <c r="BE57" s="278"/>
      <c r="BF57" s="278"/>
      <c r="BG57" s="278"/>
      <c r="BH57" s="278"/>
      <c r="BI57" s="278"/>
      <c r="BJ57" s="278"/>
      <c r="BK57" s="278"/>
      <c r="BL57" s="278"/>
      <c r="BM57" s="278"/>
      <c r="BN57" s="278"/>
      <c r="BO57" s="278"/>
      <c r="BP57" s="278"/>
      <c r="BQ57" s="278"/>
      <c r="BR57" s="278"/>
      <c r="BS57" s="278"/>
      <c r="BT57" s="278"/>
      <c r="BU57" s="278"/>
      <c r="BV57" s="278"/>
      <c r="BW57" s="278"/>
      <c r="BX57" s="278"/>
      <c r="BY57" s="278"/>
      <c r="BZ57" s="278"/>
      <c r="CA57" s="278"/>
      <c r="CB57" s="284"/>
      <c r="CC57" s="278"/>
      <c r="CD57" s="282"/>
      <c r="CE57" s="285"/>
    </row>
    <row r="58" spans="1:83" s="286" customFormat="1" ht="12.75" customHeight="1" x14ac:dyDescent="0.15">
      <c r="A58" s="281"/>
      <c r="B58" s="270"/>
      <c r="C58" s="282"/>
      <c r="D58" s="1028"/>
      <c r="E58" s="1029"/>
      <c r="F58" s="1030"/>
      <c r="G58" s="278"/>
      <c r="H58" s="278"/>
      <c r="I58" s="278"/>
      <c r="J58" s="278"/>
      <c r="K58" s="278"/>
      <c r="L58" s="278"/>
      <c r="M58" s="278"/>
      <c r="N58" s="278"/>
      <c r="O58" s="278"/>
      <c r="P58" s="278"/>
      <c r="Q58" s="278"/>
      <c r="R58" s="278"/>
      <c r="S58" s="278"/>
      <c r="T58" s="278"/>
      <c r="U58" s="278"/>
      <c r="V58" s="278"/>
      <c r="W58" s="278"/>
      <c r="X58" s="278"/>
      <c r="Y58" s="278"/>
      <c r="Z58" s="278"/>
      <c r="AA58" s="278"/>
      <c r="AB58" s="278"/>
      <c r="AC58" s="278"/>
      <c r="AD58" s="278"/>
      <c r="AE58" s="278"/>
      <c r="AF58" s="278"/>
      <c r="AG58" s="278"/>
      <c r="AH58" s="278"/>
      <c r="AI58" s="278"/>
      <c r="AJ58" s="278"/>
      <c r="AK58" s="278"/>
      <c r="AL58" s="278"/>
      <c r="AM58" s="278"/>
      <c r="AN58" s="278"/>
      <c r="AO58" s="278"/>
      <c r="AP58" s="278"/>
      <c r="AQ58" s="278"/>
      <c r="AR58" s="278"/>
      <c r="AS58" s="278"/>
      <c r="AT58" s="278"/>
      <c r="AU58" s="278"/>
      <c r="AV58" s="278"/>
      <c r="AW58" s="278"/>
      <c r="AX58" s="278"/>
      <c r="AY58" s="278"/>
      <c r="AZ58" s="278"/>
      <c r="BA58" s="278"/>
      <c r="BB58" s="278"/>
      <c r="BC58" s="278"/>
      <c r="BD58" s="278"/>
      <c r="BE58" s="278"/>
      <c r="BF58" s="278"/>
      <c r="BG58" s="278"/>
      <c r="BH58" s="278"/>
      <c r="BI58" s="278"/>
      <c r="BJ58" s="278"/>
      <c r="BK58" s="278"/>
      <c r="BL58" s="278"/>
      <c r="BM58" s="278"/>
      <c r="BN58" s="278"/>
      <c r="BO58" s="278"/>
      <c r="BP58" s="278"/>
      <c r="BQ58" s="278"/>
      <c r="BR58" s="278"/>
      <c r="BS58" s="278"/>
      <c r="BT58" s="278"/>
      <c r="BU58" s="278"/>
      <c r="BV58" s="278"/>
      <c r="BW58" s="278"/>
      <c r="BX58" s="278"/>
      <c r="BY58" s="278"/>
      <c r="BZ58" s="278"/>
      <c r="CA58" s="278"/>
      <c r="CB58" s="284"/>
      <c r="CC58" s="278"/>
      <c r="CD58" s="282"/>
      <c r="CE58" s="285"/>
    </row>
    <row r="59" spans="1:83" s="286" customFormat="1" ht="12.75" customHeight="1" x14ac:dyDescent="0.15">
      <c r="A59" s="281"/>
      <c r="B59" s="270"/>
      <c r="C59" s="282"/>
      <c r="D59" s="1028"/>
      <c r="E59" s="1029"/>
      <c r="F59" s="1030"/>
      <c r="G59" s="278"/>
      <c r="H59" s="278"/>
      <c r="I59" s="278"/>
      <c r="J59" s="278"/>
      <c r="K59" s="278"/>
      <c r="L59" s="278"/>
      <c r="M59" s="278"/>
      <c r="N59" s="278"/>
      <c r="O59" s="278"/>
      <c r="P59" s="278"/>
      <c r="Q59" s="278"/>
      <c r="R59" s="278"/>
      <c r="S59" s="278"/>
      <c r="T59" s="278"/>
      <c r="U59" s="278"/>
      <c r="V59" s="278"/>
      <c r="W59" s="278"/>
      <c r="X59" s="278"/>
      <c r="Y59" s="278"/>
      <c r="Z59" s="278"/>
      <c r="AA59" s="278"/>
      <c r="AB59" s="278"/>
      <c r="AC59" s="278"/>
      <c r="AD59" s="278"/>
      <c r="AE59" s="278"/>
      <c r="AF59" s="278"/>
      <c r="AG59" s="278"/>
      <c r="AH59" s="278"/>
      <c r="AI59" s="278"/>
      <c r="AJ59" s="278"/>
      <c r="AK59" s="278"/>
      <c r="AL59" s="278"/>
      <c r="AM59" s="278"/>
      <c r="AN59" s="278"/>
      <c r="AO59" s="278"/>
      <c r="AP59" s="278"/>
      <c r="AQ59" s="278"/>
      <c r="AR59" s="278"/>
      <c r="AS59" s="278"/>
      <c r="AT59" s="278"/>
      <c r="AU59" s="278"/>
      <c r="AV59" s="278"/>
      <c r="AW59" s="278"/>
      <c r="AX59" s="278"/>
      <c r="AY59" s="278"/>
      <c r="AZ59" s="278"/>
      <c r="BA59" s="278"/>
      <c r="BB59" s="278"/>
      <c r="BC59" s="278"/>
      <c r="BD59" s="278"/>
      <c r="BE59" s="278"/>
      <c r="BF59" s="278"/>
      <c r="BG59" s="278"/>
      <c r="BH59" s="278"/>
      <c r="BI59" s="278"/>
      <c r="BJ59" s="278"/>
      <c r="BK59" s="278"/>
      <c r="BL59" s="278"/>
      <c r="BM59" s="278"/>
      <c r="BN59" s="278"/>
      <c r="BO59" s="278"/>
      <c r="BP59" s="278"/>
      <c r="BQ59" s="278"/>
      <c r="BR59" s="278"/>
      <c r="BS59" s="278"/>
      <c r="BT59" s="278"/>
      <c r="BU59" s="278"/>
      <c r="BV59" s="278"/>
      <c r="BW59" s="278"/>
      <c r="BX59" s="278"/>
      <c r="BY59" s="278"/>
      <c r="BZ59" s="278"/>
      <c r="CA59" s="278"/>
      <c r="CB59" s="284"/>
      <c r="CC59" s="278"/>
      <c r="CD59" s="282"/>
      <c r="CE59" s="285"/>
    </row>
    <row r="60" spans="1:83" s="286" customFormat="1" ht="12.75" customHeight="1" x14ac:dyDescent="0.15">
      <c r="A60" s="281"/>
      <c r="B60" s="270"/>
      <c r="C60" s="282"/>
      <c r="D60" s="1028"/>
      <c r="E60" s="1029"/>
      <c r="F60" s="1030"/>
      <c r="G60" s="278"/>
      <c r="H60" s="278"/>
      <c r="I60" s="278"/>
      <c r="J60" s="278"/>
      <c r="K60" s="278"/>
      <c r="L60" s="278"/>
      <c r="M60" s="278"/>
      <c r="N60" s="278"/>
      <c r="O60" s="278"/>
      <c r="P60" s="278"/>
      <c r="Q60" s="278"/>
      <c r="R60" s="278"/>
      <c r="S60" s="278"/>
      <c r="T60" s="278"/>
      <c r="U60" s="278"/>
      <c r="V60" s="278"/>
      <c r="W60" s="278"/>
      <c r="X60" s="278"/>
      <c r="Y60" s="278"/>
      <c r="Z60" s="278"/>
      <c r="AA60" s="278"/>
      <c r="AB60" s="278"/>
      <c r="AC60" s="278"/>
      <c r="AD60" s="278"/>
      <c r="AE60" s="278"/>
      <c r="AF60" s="278"/>
      <c r="AG60" s="278"/>
      <c r="AH60" s="278"/>
      <c r="AI60" s="278"/>
      <c r="AJ60" s="278"/>
      <c r="AK60" s="278"/>
      <c r="AL60" s="278"/>
      <c r="AM60" s="278"/>
      <c r="AN60" s="278"/>
      <c r="AO60" s="278"/>
      <c r="AP60" s="278"/>
      <c r="AQ60" s="278"/>
      <c r="AR60" s="278"/>
      <c r="AS60" s="278"/>
      <c r="AT60" s="278"/>
      <c r="AU60" s="278"/>
      <c r="AV60" s="278"/>
      <c r="AW60" s="278"/>
      <c r="AX60" s="278"/>
      <c r="AY60" s="278"/>
      <c r="AZ60" s="278"/>
      <c r="BA60" s="278"/>
      <c r="BB60" s="278"/>
      <c r="BC60" s="278"/>
      <c r="BD60" s="278"/>
      <c r="BE60" s="278"/>
      <c r="BF60" s="278"/>
      <c r="BG60" s="278"/>
      <c r="BH60" s="278"/>
      <c r="BI60" s="278"/>
      <c r="BJ60" s="278"/>
      <c r="BK60" s="278"/>
      <c r="BL60" s="278"/>
      <c r="BM60" s="278"/>
      <c r="BN60" s="278"/>
      <c r="BO60" s="278"/>
      <c r="BP60" s="278"/>
      <c r="BQ60" s="278"/>
      <c r="BR60" s="278"/>
      <c r="BS60" s="278"/>
      <c r="BT60" s="278"/>
      <c r="BU60" s="278"/>
      <c r="BV60" s="278"/>
      <c r="BW60" s="278"/>
      <c r="BX60" s="278"/>
      <c r="BY60" s="278"/>
      <c r="BZ60" s="278"/>
      <c r="CA60" s="278"/>
      <c r="CB60" s="284"/>
      <c r="CC60" s="278"/>
      <c r="CD60" s="282"/>
      <c r="CE60" s="285"/>
    </row>
    <row r="61" spans="1:83" s="286" customFormat="1" ht="12.75" customHeight="1" x14ac:dyDescent="0.15">
      <c r="A61" s="281"/>
      <c r="B61" s="270"/>
      <c r="C61" s="282"/>
      <c r="D61" s="1028"/>
      <c r="E61" s="1029"/>
      <c r="F61" s="1030"/>
      <c r="G61" s="278"/>
      <c r="H61" s="278"/>
      <c r="I61" s="278"/>
      <c r="J61" s="278"/>
      <c r="K61" s="278"/>
      <c r="L61" s="278"/>
      <c r="M61" s="278"/>
      <c r="N61" s="278"/>
      <c r="O61" s="278"/>
      <c r="P61" s="278"/>
      <c r="Q61" s="278"/>
      <c r="R61" s="278"/>
      <c r="S61" s="278"/>
      <c r="T61" s="278"/>
      <c r="U61" s="278"/>
      <c r="V61" s="278"/>
      <c r="W61" s="278"/>
      <c r="X61" s="278"/>
      <c r="Y61" s="278"/>
      <c r="Z61" s="278"/>
      <c r="AA61" s="278"/>
      <c r="AB61" s="278"/>
      <c r="AC61" s="278"/>
      <c r="AD61" s="278"/>
      <c r="AE61" s="278"/>
      <c r="AF61" s="278"/>
      <c r="AG61" s="278"/>
      <c r="AH61" s="278"/>
      <c r="AI61" s="278"/>
      <c r="AJ61" s="278"/>
      <c r="AK61" s="278"/>
      <c r="AL61" s="278"/>
      <c r="AM61" s="278"/>
      <c r="AN61" s="278"/>
      <c r="AO61" s="278"/>
      <c r="AP61" s="278"/>
      <c r="AQ61" s="278"/>
      <c r="AR61" s="278"/>
      <c r="AS61" s="278"/>
      <c r="AT61" s="278"/>
      <c r="AU61" s="278"/>
      <c r="AV61" s="278"/>
      <c r="AW61" s="278"/>
      <c r="AX61" s="278"/>
      <c r="AY61" s="278"/>
      <c r="AZ61" s="278"/>
      <c r="BA61" s="278"/>
      <c r="BB61" s="278"/>
      <c r="BC61" s="278"/>
      <c r="BD61" s="278"/>
      <c r="BE61" s="278"/>
      <c r="BF61" s="278"/>
      <c r="BG61" s="278"/>
      <c r="BH61" s="278"/>
      <c r="BI61" s="278"/>
      <c r="BJ61" s="278"/>
      <c r="BK61" s="278"/>
      <c r="BL61" s="278"/>
      <c r="BM61" s="278"/>
      <c r="BN61" s="278"/>
      <c r="BO61" s="278"/>
      <c r="BP61" s="278"/>
      <c r="BQ61" s="278"/>
      <c r="BR61" s="278"/>
      <c r="BS61" s="278"/>
      <c r="BT61" s="278"/>
      <c r="BU61" s="278"/>
      <c r="BV61" s="278"/>
      <c r="BW61" s="278"/>
      <c r="BX61" s="278"/>
      <c r="BY61" s="278"/>
      <c r="BZ61" s="278"/>
      <c r="CA61" s="278"/>
      <c r="CB61" s="284"/>
      <c r="CC61" s="278"/>
      <c r="CD61" s="282"/>
      <c r="CE61" s="285"/>
    </row>
    <row r="62" spans="1:83" s="286" customFormat="1" ht="12.75" customHeight="1" x14ac:dyDescent="0.15">
      <c r="A62" s="281"/>
      <c r="B62" s="270"/>
      <c r="C62" s="282"/>
      <c r="D62" s="1028"/>
      <c r="E62" s="1029"/>
      <c r="F62" s="1030"/>
      <c r="G62" s="278"/>
      <c r="H62" s="278"/>
      <c r="I62" s="278"/>
      <c r="J62" s="278"/>
      <c r="K62" s="278"/>
      <c r="L62" s="278"/>
      <c r="M62" s="278"/>
      <c r="N62" s="278"/>
      <c r="O62" s="278"/>
      <c r="P62" s="278"/>
      <c r="Q62" s="278"/>
      <c r="R62" s="278"/>
      <c r="S62" s="278"/>
      <c r="T62" s="278"/>
      <c r="U62" s="278"/>
      <c r="V62" s="278"/>
      <c r="W62" s="278"/>
      <c r="X62" s="278"/>
      <c r="Y62" s="278"/>
      <c r="Z62" s="278"/>
      <c r="AA62" s="278"/>
      <c r="AB62" s="278"/>
      <c r="AC62" s="278"/>
      <c r="AD62" s="278"/>
      <c r="AE62" s="278"/>
      <c r="AF62" s="278"/>
      <c r="AG62" s="278"/>
      <c r="AH62" s="278"/>
      <c r="AI62" s="278"/>
      <c r="AJ62" s="278"/>
      <c r="AK62" s="278"/>
      <c r="AL62" s="278"/>
      <c r="AM62" s="278"/>
      <c r="AN62" s="278"/>
      <c r="AO62" s="278"/>
      <c r="AP62" s="278"/>
      <c r="AQ62" s="278"/>
      <c r="AR62" s="278"/>
      <c r="AS62" s="278"/>
      <c r="AT62" s="278"/>
      <c r="AU62" s="278"/>
      <c r="AV62" s="278"/>
      <c r="AW62" s="278"/>
      <c r="AX62" s="278"/>
      <c r="AY62" s="278"/>
      <c r="AZ62" s="278"/>
      <c r="BA62" s="278"/>
      <c r="BB62" s="278"/>
      <c r="BC62" s="278"/>
      <c r="BD62" s="278"/>
      <c r="BE62" s="278"/>
      <c r="BF62" s="278"/>
      <c r="BG62" s="278"/>
      <c r="BH62" s="278"/>
      <c r="BI62" s="278"/>
      <c r="BJ62" s="278"/>
      <c r="BK62" s="278"/>
      <c r="BL62" s="278"/>
      <c r="BM62" s="278"/>
      <c r="BN62" s="278"/>
      <c r="BO62" s="278"/>
      <c r="BP62" s="278"/>
      <c r="BQ62" s="278"/>
      <c r="BR62" s="278"/>
      <c r="BS62" s="278"/>
      <c r="BT62" s="278"/>
      <c r="BU62" s="278"/>
      <c r="BV62" s="278"/>
      <c r="BW62" s="278"/>
      <c r="BX62" s="278"/>
      <c r="BY62" s="278"/>
      <c r="BZ62" s="278"/>
      <c r="CA62" s="278"/>
      <c r="CB62" s="284"/>
      <c r="CC62" s="278"/>
      <c r="CD62" s="282"/>
      <c r="CE62" s="285"/>
    </row>
    <row r="63" spans="1:83" s="289" customFormat="1" ht="12.75" customHeight="1" x14ac:dyDescent="0.15">
      <c r="A63" s="269"/>
      <c r="B63" s="276"/>
      <c r="C63" s="287"/>
      <c r="D63" s="1028"/>
      <c r="E63" s="1029"/>
      <c r="F63" s="1030"/>
      <c r="G63" s="278"/>
      <c r="H63" s="278"/>
      <c r="I63" s="278"/>
      <c r="J63" s="278"/>
      <c r="K63" s="278"/>
      <c r="L63" s="278"/>
      <c r="M63" s="278"/>
      <c r="N63" s="278"/>
      <c r="O63" s="278"/>
      <c r="P63" s="278"/>
      <c r="Q63" s="278"/>
      <c r="R63" s="278"/>
      <c r="S63" s="278"/>
      <c r="T63" s="278"/>
      <c r="U63" s="278"/>
      <c r="V63" s="278"/>
      <c r="W63" s="278"/>
      <c r="X63" s="278"/>
      <c r="Y63" s="278"/>
      <c r="Z63" s="278"/>
      <c r="AA63" s="278"/>
      <c r="AB63" s="278"/>
      <c r="AC63" s="278"/>
      <c r="AD63" s="278"/>
      <c r="AE63" s="278"/>
      <c r="AF63" s="278"/>
      <c r="AG63" s="278"/>
      <c r="AH63" s="278"/>
      <c r="AI63" s="278"/>
      <c r="AJ63" s="278"/>
      <c r="AK63" s="278"/>
      <c r="AL63" s="278"/>
      <c r="AM63" s="278"/>
      <c r="AN63" s="278"/>
      <c r="AO63" s="278"/>
      <c r="AP63" s="278"/>
      <c r="AQ63" s="278"/>
      <c r="AR63" s="278"/>
      <c r="AS63" s="278"/>
      <c r="AT63" s="278"/>
      <c r="AU63" s="278"/>
      <c r="AV63" s="278"/>
      <c r="AW63" s="278"/>
      <c r="AX63" s="278"/>
      <c r="AY63" s="278"/>
      <c r="AZ63" s="278"/>
      <c r="BA63" s="278"/>
      <c r="BB63" s="278"/>
      <c r="BC63" s="278"/>
      <c r="BD63" s="278"/>
      <c r="BE63" s="278"/>
      <c r="BF63" s="278"/>
      <c r="BG63" s="278"/>
      <c r="BH63" s="278"/>
      <c r="BI63" s="278"/>
      <c r="BJ63" s="278"/>
      <c r="BK63" s="278"/>
      <c r="BL63" s="278"/>
      <c r="BM63" s="278"/>
      <c r="BN63" s="278"/>
      <c r="BO63" s="278"/>
      <c r="BP63" s="278"/>
      <c r="BQ63" s="278"/>
      <c r="BR63" s="278"/>
      <c r="BS63" s="278"/>
      <c r="BT63" s="278"/>
      <c r="BU63" s="278"/>
      <c r="BV63" s="278"/>
      <c r="BW63" s="278"/>
      <c r="BX63" s="278"/>
      <c r="BY63" s="278"/>
      <c r="BZ63" s="278"/>
      <c r="CA63" s="278"/>
      <c r="CB63" s="284"/>
      <c r="CC63" s="278"/>
      <c r="CD63" s="287"/>
      <c r="CE63" s="288"/>
    </row>
    <row r="64" spans="1:83" s="274" customFormat="1" ht="12.75" customHeight="1" x14ac:dyDescent="0.15">
      <c r="A64" s="269"/>
      <c r="B64" s="270"/>
      <c r="C64" s="275"/>
      <c r="D64" s="1028"/>
      <c r="E64" s="1029"/>
      <c r="F64" s="1030"/>
      <c r="G64" s="278"/>
      <c r="H64" s="278"/>
      <c r="I64" s="278"/>
      <c r="J64" s="278"/>
      <c r="K64" s="278"/>
      <c r="L64" s="278"/>
      <c r="M64" s="278"/>
      <c r="N64" s="278"/>
      <c r="O64" s="278"/>
      <c r="P64" s="278"/>
      <c r="Q64" s="278"/>
      <c r="R64" s="278"/>
      <c r="S64" s="278"/>
      <c r="T64" s="278"/>
      <c r="U64" s="278"/>
      <c r="V64" s="278"/>
      <c r="W64" s="278"/>
      <c r="X64" s="278"/>
      <c r="Y64" s="278"/>
      <c r="Z64" s="278"/>
      <c r="AA64" s="278"/>
      <c r="AB64" s="278"/>
      <c r="AC64" s="278"/>
      <c r="AD64" s="278"/>
      <c r="AE64" s="278"/>
      <c r="AF64" s="278"/>
      <c r="AG64" s="278"/>
      <c r="AH64" s="278"/>
      <c r="AI64" s="278"/>
      <c r="AJ64" s="278"/>
      <c r="AK64" s="278"/>
      <c r="AL64" s="278"/>
      <c r="AM64" s="278"/>
      <c r="AN64" s="278"/>
      <c r="AO64" s="278"/>
      <c r="AP64" s="278"/>
      <c r="AQ64" s="278"/>
      <c r="AR64" s="278"/>
      <c r="AS64" s="278"/>
      <c r="AT64" s="278"/>
      <c r="AU64" s="278"/>
      <c r="AV64" s="278"/>
      <c r="AW64" s="278"/>
      <c r="AX64" s="278"/>
      <c r="AY64" s="278"/>
      <c r="AZ64" s="278"/>
      <c r="BA64" s="278"/>
      <c r="BB64" s="278"/>
      <c r="BC64" s="278"/>
      <c r="BD64" s="278"/>
      <c r="BE64" s="278"/>
      <c r="BF64" s="278"/>
      <c r="BG64" s="278"/>
      <c r="BH64" s="278"/>
      <c r="BI64" s="278"/>
      <c r="BJ64" s="278"/>
      <c r="BK64" s="278"/>
      <c r="BL64" s="278"/>
      <c r="BM64" s="278"/>
      <c r="BN64" s="278"/>
      <c r="BO64" s="278"/>
      <c r="BP64" s="278"/>
      <c r="BQ64" s="278"/>
      <c r="BR64" s="278"/>
      <c r="BS64" s="278"/>
      <c r="BT64" s="278"/>
      <c r="BU64" s="278"/>
      <c r="BV64" s="278"/>
      <c r="BW64" s="278"/>
      <c r="BX64" s="278"/>
      <c r="BY64" s="278"/>
      <c r="BZ64" s="278"/>
      <c r="CA64" s="278"/>
      <c r="CB64" s="284"/>
      <c r="CC64" s="278"/>
      <c r="CD64" s="275"/>
      <c r="CE64" s="277"/>
    </row>
    <row r="65" spans="1:83" s="274" customFormat="1" ht="12.75" customHeight="1" x14ac:dyDescent="0.15">
      <c r="A65" s="269"/>
      <c r="B65" s="290"/>
      <c r="C65" s="275"/>
      <c r="D65" s="1028"/>
      <c r="E65" s="1029"/>
      <c r="F65" s="1030"/>
      <c r="G65" s="278"/>
      <c r="H65" s="278"/>
      <c r="I65" s="278"/>
      <c r="J65" s="278"/>
      <c r="K65" s="278"/>
      <c r="L65" s="278"/>
      <c r="M65" s="278"/>
      <c r="N65" s="278"/>
      <c r="O65" s="278"/>
      <c r="P65" s="278"/>
      <c r="Q65" s="278"/>
      <c r="R65" s="278"/>
      <c r="S65" s="278"/>
      <c r="T65" s="278"/>
      <c r="U65" s="278"/>
      <c r="V65" s="278"/>
      <c r="W65" s="278"/>
      <c r="X65" s="278"/>
      <c r="Y65" s="278"/>
      <c r="Z65" s="278"/>
      <c r="AA65" s="278"/>
      <c r="AB65" s="278"/>
      <c r="AC65" s="278"/>
      <c r="AD65" s="278"/>
      <c r="AE65" s="278"/>
      <c r="AF65" s="278"/>
      <c r="AG65" s="278"/>
      <c r="AH65" s="278"/>
      <c r="AI65" s="278"/>
      <c r="AJ65" s="278"/>
      <c r="AK65" s="278"/>
      <c r="AL65" s="278"/>
      <c r="AM65" s="278"/>
      <c r="AN65" s="278"/>
      <c r="AO65" s="278"/>
      <c r="AP65" s="278"/>
      <c r="AQ65" s="278"/>
      <c r="AR65" s="278"/>
      <c r="AS65" s="278"/>
      <c r="AT65" s="278"/>
      <c r="AU65" s="278"/>
      <c r="AV65" s="278"/>
      <c r="AW65" s="278"/>
      <c r="AX65" s="278"/>
      <c r="AY65" s="278"/>
      <c r="AZ65" s="278"/>
      <c r="BA65" s="278"/>
      <c r="BB65" s="278"/>
      <c r="BC65" s="278"/>
      <c r="BD65" s="278"/>
      <c r="BE65" s="278"/>
      <c r="BF65" s="278"/>
      <c r="BG65" s="278"/>
      <c r="BH65" s="278"/>
      <c r="BI65" s="278"/>
      <c r="BJ65" s="278"/>
      <c r="BK65" s="278"/>
      <c r="BL65" s="278"/>
      <c r="BM65" s="278"/>
      <c r="BN65" s="278"/>
      <c r="BO65" s="278"/>
      <c r="BP65" s="278"/>
      <c r="BQ65" s="278"/>
      <c r="BR65" s="278"/>
      <c r="BS65" s="278"/>
      <c r="BT65" s="278"/>
      <c r="BU65" s="278"/>
      <c r="BV65" s="278"/>
      <c r="BW65" s="278"/>
      <c r="BX65" s="278"/>
      <c r="BY65" s="278"/>
      <c r="BZ65" s="278"/>
      <c r="CA65" s="278"/>
      <c r="CB65" s="284"/>
      <c r="CC65" s="278"/>
      <c r="CD65" s="275"/>
      <c r="CE65" s="277"/>
    </row>
    <row r="66" spans="1:83" s="274" customFormat="1" ht="12.75" customHeight="1" x14ac:dyDescent="0.15">
      <c r="A66" s="269"/>
      <c r="B66" s="290"/>
      <c r="C66" s="275"/>
      <c r="D66" s="1028"/>
      <c r="E66" s="1029"/>
      <c r="F66" s="1030"/>
      <c r="G66" s="278"/>
      <c r="H66" s="278"/>
      <c r="I66" s="278"/>
      <c r="J66" s="278"/>
      <c r="K66" s="278"/>
      <c r="L66" s="278"/>
      <c r="M66" s="278"/>
      <c r="N66" s="278"/>
      <c r="O66" s="278"/>
      <c r="P66" s="278"/>
      <c r="Q66" s="278"/>
      <c r="R66" s="278"/>
      <c r="S66" s="278"/>
      <c r="T66" s="278"/>
      <c r="U66" s="278"/>
      <c r="V66" s="278"/>
      <c r="W66" s="278"/>
      <c r="X66" s="278"/>
      <c r="Y66" s="278"/>
      <c r="Z66" s="278"/>
      <c r="AA66" s="278"/>
      <c r="AB66" s="278"/>
      <c r="AC66" s="278"/>
      <c r="AD66" s="278"/>
      <c r="AE66" s="278"/>
      <c r="AF66" s="278"/>
      <c r="AG66" s="278"/>
      <c r="AH66" s="278"/>
      <c r="AI66" s="278"/>
      <c r="AJ66" s="278"/>
      <c r="AK66" s="278"/>
      <c r="AL66" s="278"/>
      <c r="AM66" s="278"/>
      <c r="AN66" s="278"/>
      <c r="AO66" s="278"/>
      <c r="AP66" s="278"/>
      <c r="AQ66" s="278"/>
      <c r="AR66" s="278"/>
      <c r="AS66" s="278"/>
      <c r="AT66" s="278"/>
      <c r="AU66" s="278"/>
      <c r="AV66" s="278"/>
      <c r="AW66" s="278"/>
      <c r="AX66" s="278"/>
      <c r="AY66" s="278"/>
      <c r="AZ66" s="278"/>
      <c r="BA66" s="278"/>
      <c r="BB66" s="278"/>
      <c r="BC66" s="278"/>
      <c r="BD66" s="278"/>
      <c r="BE66" s="278"/>
      <c r="BF66" s="278"/>
      <c r="BG66" s="278"/>
      <c r="BH66" s="278"/>
      <c r="BI66" s="278"/>
      <c r="BJ66" s="278"/>
      <c r="BK66" s="278"/>
      <c r="BL66" s="278"/>
      <c r="BM66" s="278"/>
      <c r="BN66" s="278"/>
      <c r="BO66" s="278"/>
      <c r="BP66" s="278"/>
      <c r="BQ66" s="278"/>
      <c r="BR66" s="278"/>
      <c r="BS66" s="278"/>
      <c r="BT66" s="278"/>
      <c r="BU66" s="278"/>
      <c r="BV66" s="278"/>
      <c r="BW66" s="278"/>
      <c r="BX66" s="278"/>
      <c r="BY66" s="278"/>
      <c r="BZ66" s="278"/>
      <c r="CA66" s="278"/>
      <c r="CB66" s="284"/>
      <c r="CC66" s="278"/>
      <c r="CD66" s="275"/>
      <c r="CE66" s="277"/>
    </row>
    <row r="67" spans="1:83" s="274" customFormat="1" ht="12.75" customHeight="1" x14ac:dyDescent="0.15">
      <c r="A67" s="269"/>
      <c r="B67" s="270"/>
      <c r="C67" s="275"/>
      <c r="D67" s="1028"/>
      <c r="E67" s="1029"/>
      <c r="F67" s="1030"/>
      <c r="G67" s="278"/>
      <c r="H67" s="278"/>
      <c r="I67" s="278"/>
      <c r="J67" s="278"/>
      <c r="K67" s="278"/>
      <c r="L67" s="278"/>
      <c r="M67" s="278"/>
      <c r="N67" s="278"/>
      <c r="O67" s="278"/>
      <c r="P67" s="278"/>
      <c r="Q67" s="278"/>
      <c r="R67" s="278"/>
      <c r="S67" s="278"/>
      <c r="T67" s="278"/>
      <c r="U67" s="278"/>
      <c r="V67" s="278"/>
      <c r="W67" s="278"/>
      <c r="X67" s="278"/>
      <c r="Y67" s="278"/>
      <c r="Z67" s="278"/>
      <c r="AA67" s="278"/>
      <c r="AB67" s="278"/>
      <c r="AC67" s="278"/>
      <c r="AD67" s="278"/>
      <c r="AE67" s="278"/>
      <c r="AF67" s="278"/>
      <c r="AG67" s="278"/>
      <c r="AH67" s="278"/>
      <c r="AI67" s="278"/>
      <c r="AJ67" s="278"/>
      <c r="AK67" s="278"/>
      <c r="AL67" s="278"/>
      <c r="AM67" s="278"/>
      <c r="AN67" s="278"/>
      <c r="AO67" s="278"/>
      <c r="AP67" s="278"/>
      <c r="AQ67" s="278"/>
      <c r="AR67" s="278"/>
      <c r="AS67" s="278"/>
      <c r="AT67" s="278"/>
      <c r="AU67" s="278"/>
      <c r="AV67" s="278"/>
      <c r="AW67" s="278"/>
      <c r="AX67" s="278"/>
      <c r="AY67" s="278"/>
      <c r="AZ67" s="278"/>
      <c r="BA67" s="278"/>
      <c r="BB67" s="278"/>
      <c r="BC67" s="278"/>
      <c r="BD67" s="278"/>
      <c r="BE67" s="278"/>
      <c r="BF67" s="278"/>
      <c r="BG67" s="278"/>
      <c r="BH67" s="278"/>
      <c r="BI67" s="278"/>
      <c r="BJ67" s="278"/>
      <c r="BK67" s="278"/>
      <c r="BL67" s="278"/>
      <c r="BM67" s="278"/>
      <c r="BN67" s="278"/>
      <c r="BO67" s="278"/>
      <c r="BP67" s="278"/>
      <c r="BQ67" s="278"/>
      <c r="BR67" s="278"/>
      <c r="BS67" s="278"/>
      <c r="BT67" s="278"/>
      <c r="BU67" s="278"/>
      <c r="BV67" s="278"/>
      <c r="BW67" s="278"/>
      <c r="BX67" s="278"/>
      <c r="BY67" s="278"/>
      <c r="BZ67" s="278"/>
      <c r="CA67" s="278"/>
      <c r="CB67" s="284"/>
      <c r="CC67" s="278"/>
      <c r="CD67" s="275"/>
      <c r="CE67" s="277"/>
    </row>
    <row r="68" spans="1:83" s="274" customFormat="1" ht="12.75" customHeight="1" x14ac:dyDescent="0.15">
      <c r="A68" s="269"/>
      <c r="B68" s="270"/>
      <c r="C68" s="275"/>
      <c r="D68" s="1028"/>
      <c r="E68" s="1029"/>
      <c r="F68" s="1030"/>
      <c r="G68" s="278"/>
      <c r="H68" s="278"/>
      <c r="I68" s="278"/>
      <c r="J68" s="278"/>
      <c r="K68" s="278"/>
      <c r="L68" s="278"/>
      <c r="M68" s="278"/>
      <c r="N68" s="278"/>
      <c r="O68" s="278"/>
      <c r="P68" s="278"/>
      <c r="Q68" s="278"/>
      <c r="R68" s="278"/>
      <c r="S68" s="278"/>
      <c r="T68" s="278"/>
      <c r="U68" s="278"/>
      <c r="V68" s="278"/>
      <c r="W68" s="278"/>
      <c r="X68" s="278"/>
      <c r="Y68" s="278"/>
      <c r="Z68" s="278"/>
      <c r="AA68" s="278"/>
      <c r="AB68" s="278"/>
      <c r="AC68" s="278"/>
      <c r="AD68" s="278"/>
      <c r="AE68" s="278"/>
      <c r="AF68" s="278"/>
      <c r="AG68" s="278"/>
      <c r="AH68" s="278"/>
      <c r="AI68" s="278"/>
      <c r="AJ68" s="278"/>
      <c r="AK68" s="278"/>
      <c r="AL68" s="278"/>
      <c r="AM68" s="278"/>
      <c r="AN68" s="278"/>
      <c r="AO68" s="278"/>
      <c r="AP68" s="278"/>
      <c r="AQ68" s="278"/>
      <c r="AR68" s="278"/>
      <c r="AS68" s="278"/>
      <c r="AT68" s="278"/>
      <c r="AU68" s="278"/>
      <c r="AV68" s="278"/>
      <c r="AW68" s="278"/>
      <c r="AX68" s="278"/>
      <c r="AY68" s="278"/>
      <c r="AZ68" s="278"/>
      <c r="BA68" s="278"/>
      <c r="BB68" s="278"/>
      <c r="BC68" s="278"/>
      <c r="BD68" s="278"/>
      <c r="BE68" s="278"/>
      <c r="BF68" s="278"/>
      <c r="BG68" s="278"/>
      <c r="BH68" s="278"/>
      <c r="BI68" s="278"/>
      <c r="BJ68" s="278"/>
      <c r="BK68" s="278"/>
      <c r="BL68" s="278"/>
      <c r="BM68" s="278"/>
      <c r="BN68" s="278"/>
      <c r="BO68" s="278"/>
      <c r="BP68" s="278"/>
      <c r="BQ68" s="278"/>
      <c r="BR68" s="278"/>
      <c r="BS68" s="278"/>
      <c r="BT68" s="278"/>
      <c r="BU68" s="278"/>
      <c r="BV68" s="278"/>
      <c r="BW68" s="278"/>
      <c r="BX68" s="278"/>
      <c r="BY68" s="278"/>
      <c r="BZ68" s="278"/>
      <c r="CA68" s="278"/>
      <c r="CB68" s="284"/>
      <c r="CC68" s="278"/>
      <c r="CD68" s="275"/>
      <c r="CE68" s="277"/>
    </row>
    <row r="69" spans="1:83" s="274" customFormat="1" ht="12.75" customHeight="1" x14ac:dyDescent="0.15">
      <c r="A69" s="269"/>
      <c r="B69" s="276"/>
      <c r="C69" s="275"/>
      <c r="D69" s="1028"/>
      <c r="E69" s="1029"/>
      <c r="F69" s="1030"/>
      <c r="G69" s="278"/>
      <c r="H69" s="278"/>
      <c r="I69" s="278"/>
      <c r="J69" s="278"/>
      <c r="K69" s="278"/>
      <c r="L69" s="278"/>
      <c r="M69" s="278"/>
      <c r="N69" s="278"/>
      <c r="O69" s="278"/>
      <c r="P69" s="278"/>
      <c r="Q69" s="278"/>
      <c r="R69" s="278"/>
      <c r="S69" s="278"/>
      <c r="T69" s="278"/>
      <c r="U69" s="278"/>
      <c r="V69" s="278"/>
      <c r="W69" s="278"/>
      <c r="X69" s="278"/>
      <c r="Y69" s="278"/>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278"/>
      <c r="AX69" s="278"/>
      <c r="AY69" s="278"/>
      <c r="AZ69" s="278"/>
      <c r="BA69" s="278"/>
      <c r="BB69" s="278"/>
      <c r="BC69" s="278"/>
      <c r="BD69" s="278"/>
      <c r="BE69" s="278"/>
      <c r="BF69" s="278"/>
      <c r="BG69" s="278"/>
      <c r="BH69" s="278"/>
      <c r="BI69" s="278"/>
      <c r="BJ69" s="278"/>
      <c r="BK69" s="278"/>
      <c r="BL69" s="278"/>
      <c r="BM69" s="278"/>
      <c r="BN69" s="278"/>
      <c r="BO69" s="278"/>
      <c r="BP69" s="278"/>
      <c r="BQ69" s="278"/>
      <c r="BR69" s="278"/>
      <c r="BS69" s="278"/>
      <c r="BT69" s="278"/>
      <c r="BU69" s="278"/>
      <c r="BV69" s="278"/>
      <c r="BW69" s="278"/>
      <c r="BX69" s="278"/>
      <c r="BY69" s="278"/>
      <c r="BZ69" s="278"/>
      <c r="CA69" s="278"/>
      <c r="CB69" s="284"/>
      <c r="CC69" s="278"/>
      <c r="CD69" s="275"/>
      <c r="CE69" s="277"/>
    </row>
    <row r="70" spans="1:83" s="274" customFormat="1" ht="12.75" customHeight="1" x14ac:dyDescent="0.15">
      <c r="A70" s="269"/>
      <c r="B70" s="270"/>
      <c r="C70" s="275"/>
      <c r="D70" s="1028"/>
      <c r="E70" s="1029"/>
      <c r="F70" s="1030"/>
      <c r="G70" s="278"/>
      <c r="H70" s="278"/>
      <c r="I70" s="278"/>
      <c r="J70" s="278"/>
      <c r="K70" s="278"/>
      <c r="L70" s="278"/>
      <c r="M70" s="278"/>
      <c r="N70" s="278"/>
      <c r="O70" s="278"/>
      <c r="P70" s="278"/>
      <c r="Q70" s="278"/>
      <c r="R70" s="278"/>
      <c r="S70" s="278"/>
      <c r="T70" s="278"/>
      <c r="U70" s="278"/>
      <c r="V70" s="278"/>
      <c r="W70" s="278"/>
      <c r="X70" s="278"/>
      <c r="Y70" s="278"/>
      <c r="Z70" s="278"/>
      <c r="AA70" s="278"/>
      <c r="AB70" s="278"/>
      <c r="AC70" s="278"/>
      <c r="AD70" s="278"/>
      <c r="AE70" s="278"/>
      <c r="AF70" s="278"/>
      <c r="AG70" s="278"/>
      <c r="AH70" s="278"/>
      <c r="AI70" s="278"/>
      <c r="AJ70" s="278"/>
      <c r="AK70" s="278"/>
      <c r="AL70" s="278"/>
      <c r="AM70" s="278"/>
      <c r="AN70" s="278"/>
      <c r="AO70" s="278"/>
      <c r="AP70" s="278"/>
      <c r="AQ70" s="278"/>
      <c r="AR70" s="278"/>
      <c r="AS70" s="278"/>
      <c r="AT70" s="278"/>
      <c r="AU70" s="278"/>
      <c r="AV70" s="278"/>
      <c r="AW70" s="278"/>
      <c r="AX70" s="278"/>
      <c r="AY70" s="278"/>
      <c r="AZ70" s="278"/>
      <c r="BA70" s="278"/>
      <c r="BB70" s="278"/>
      <c r="BC70" s="278"/>
      <c r="BD70" s="278"/>
      <c r="BE70" s="278"/>
      <c r="BF70" s="278"/>
      <c r="BG70" s="278"/>
      <c r="BH70" s="278"/>
      <c r="BI70" s="278"/>
      <c r="BJ70" s="278"/>
      <c r="BK70" s="278"/>
      <c r="BL70" s="278"/>
      <c r="BM70" s="278"/>
      <c r="BN70" s="278"/>
      <c r="BO70" s="278"/>
      <c r="BP70" s="278"/>
      <c r="BQ70" s="278"/>
      <c r="BR70" s="278"/>
      <c r="BS70" s="278"/>
      <c r="BT70" s="278"/>
      <c r="BU70" s="278"/>
      <c r="BV70" s="278"/>
      <c r="BW70" s="278"/>
      <c r="BX70" s="278"/>
      <c r="BY70" s="278"/>
      <c r="BZ70" s="278"/>
      <c r="CA70" s="278"/>
      <c r="CB70" s="284"/>
      <c r="CC70" s="278"/>
      <c r="CD70" s="275"/>
      <c r="CE70" s="277"/>
    </row>
    <row r="71" spans="1:83" s="274" customFormat="1" ht="12.75" customHeight="1" x14ac:dyDescent="0.15">
      <c r="A71" s="269"/>
      <c r="B71" s="270"/>
      <c r="C71" s="275"/>
      <c r="D71" s="1028"/>
      <c r="E71" s="1029"/>
      <c r="F71" s="1030"/>
      <c r="G71" s="278"/>
      <c r="H71" s="278"/>
      <c r="I71" s="278"/>
      <c r="J71" s="278"/>
      <c r="K71" s="278"/>
      <c r="L71" s="278"/>
      <c r="M71" s="278"/>
      <c r="N71" s="278"/>
      <c r="O71" s="278"/>
      <c r="P71" s="278"/>
      <c r="Q71" s="278"/>
      <c r="R71" s="278"/>
      <c r="S71" s="278"/>
      <c r="T71" s="278"/>
      <c r="U71" s="278"/>
      <c r="V71" s="278"/>
      <c r="W71" s="278"/>
      <c r="X71" s="278"/>
      <c r="Y71" s="278"/>
      <c r="Z71" s="278"/>
      <c r="AA71" s="278"/>
      <c r="AB71" s="278"/>
      <c r="AC71" s="278"/>
      <c r="AD71" s="278"/>
      <c r="AE71" s="278"/>
      <c r="AF71" s="278"/>
      <c r="AG71" s="278"/>
      <c r="AH71" s="278"/>
      <c r="AI71" s="278"/>
      <c r="AJ71" s="278"/>
      <c r="AK71" s="278"/>
      <c r="AL71" s="278"/>
      <c r="AM71" s="278"/>
      <c r="AN71" s="278"/>
      <c r="AO71" s="278"/>
      <c r="AP71" s="278"/>
      <c r="AQ71" s="278"/>
      <c r="AR71" s="278"/>
      <c r="AS71" s="278"/>
      <c r="AT71" s="278"/>
      <c r="AU71" s="278"/>
      <c r="AV71" s="278"/>
      <c r="AW71" s="278"/>
      <c r="AX71" s="278"/>
      <c r="AY71" s="278"/>
      <c r="AZ71" s="278"/>
      <c r="BA71" s="278"/>
      <c r="BB71" s="278"/>
      <c r="BC71" s="278"/>
      <c r="BD71" s="278"/>
      <c r="BE71" s="278"/>
      <c r="BF71" s="278"/>
      <c r="BG71" s="278"/>
      <c r="BH71" s="278"/>
      <c r="BI71" s="278"/>
      <c r="BJ71" s="278"/>
      <c r="BK71" s="278"/>
      <c r="BL71" s="278"/>
      <c r="BM71" s="278"/>
      <c r="BN71" s="278"/>
      <c r="BO71" s="278"/>
      <c r="BP71" s="278"/>
      <c r="BQ71" s="278"/>
      <c r="BR71" s="278"/>
      <c r="BS71" s="278"/>
      <c r="BT71" s="278"/>
      <c r="BU71" s="278"/>
      <c r="BV71" s="278"/>
      <c r="BW71" s="278"/>
      <c r="BX71" s="278"/>
      <c r="BY71" s="278"/>
      <c r="BZ71" s="278"/>
      <c r="CA71" s="278"/>
      <c r="CB71" s="284"/>
      <c r="CC71" s="278"/>
      <c r="CD71" s="275"/>
      <c r="CE71" s="277"/>
    </row>
    <row r="72" spans="1:83" s="274" customFormat="1" ht="12.75" customHeight="1" x14ac:dyDescent="0.15">
      <c r="A72" s="291"/>
      <c r="B72" s="292"/>
      <c r="C72" s="275"/>
      <c r="D72" s="1028"/>
      <c r="E72" s="1029"/>
      <c r="F72" s="1030"/>
      <c r="G72" s="278"/>
      <c r="H72" s="278"/>
      <c r="I72" s="278"/>
      <c r="J72" s="278"/>
      <c r="K72" s="278"/>
      <c r="L72" s="278"/>
      <c r="M72" s="278"/>
      <c r="N72" s="278"/>
      <c r="O72" s="278"/>
      <c r="P72" s="278"/>
      <c r="Q72" s="278"/>
      <c r="R72" s="278"/>
      <c r="S72" s="278"/>
      <c r="T72" s="278"/>
      <c r="U72" s="278"/>
      <c r="V72" s="278"/>
      <c r="W72" s="278"/>
      <c r="X72" s="278"/>
      <c r="Y72" s="278"/>
      <c r="Z72" s="278"/>
      <c r="AA72" s="278"/>
      <c r="AB72" s="278"/>
      <c r="AC72" s="278"/>
      <c r="AD72" s="278"/>
      <c r="AE72" s="278"/>
      <c r="AF72" s="278"/>
      <c r="AG72" s="278"/>
      <c r="AH72" s="278"/>
      <c r="AI72" s="278"/>
      <c r="AJ72" s="278"/>
      <c r="AK72" s="278"/>
      <c r="AL72" s="278"/>
      <c r="AM72" s="278"/>
      <c r="AN72" s="278"/>
      <c r="AO72" s="278"/>
      <c r="AP72" s="278"/>
      <c r="AQ72" s="278"/>
      <c r="AR72" s="278"/>
      <c r="AS72" s="278"/>
      <c r="AT72" s="278"/>
      <c r="AU72" s="278"/>
      <c r="AV72" s="278"/>
      <c r="AW72" s="278"/>
      <c r="AX72" s="278"/>
      <c r="AY72" s="278"/>
      <c r="AZ72" s="278"/>
      <c r="BA72" s="278"/>
      <c r="BB72" s="278"/>
      <c r="BC72" s="278"/>
      <c r="BD72" s="278"/>
      <c r="BE72" s="278"/>
      <c r="BF72" s="278"/>
      <c r="BG72" s="278"/>
      <c r="BH72" s="278"/>
      <c r="BI72" s="278"/>
      <c r="BJ72" s="278"/>
      <c r="BK72" s="278"/>
      <c r="BL72" s="278"/>
      <c r="BM72" s="278"/>
      <c r="BN72" s="278"/>
      <c r="BO72" s="278"/>
      <c r="BP72" s="278"/>
      <c r="BQ72" s="278"/>
      <c r="BR72" s="278"/>
      <c r="BS72" s="278"/>
      <c r="BT72" s="278"/>
      <c r="BU72" s="278"/>
      <c r="BV72" s="278"/>
      <c r="BW72" s="278"/>
      <c r="BX72" s="278"/>
      <c r="BY72" s="278"/>
      <c r="BZ72" s="278"/>
      <c r="CA72" s="278"/>
      <c r="CB72" s="284"/>
      <c r="CC72" s="278"/>
      <c r="CD72" s="275"/>
      <c r="CE72" s="277"/>
    </row>
    <row r="73" spans="1:83" s="297" customFormat="1" ht="12.75" customHeight="1" x14ac:dyDescent="0.15">
      <c r="A73" s="293"/>
      <c r="B73" s="294"/>
      <c r="C73" s="295"/>
      <c r="D73" s="1028"/>
      <c r="E73" s="1029"/>
      <c r="F73" s="1030"/>
      <c r="G73" s="278"/>
      <c r="H73" s="278"/>
      <c r="I73" s="278"/>
      <c r="J73" s="278"/>
      <c r="K73" s="278"/>
      <c r="L73" s="278"/>
      <c r="M73" s="278"/>
      <c r="N73" s="278"/>
      <c r="O73" s="278"/>
      <c r="P73" s="278"/>
      <c r="Q73" s="278"/>
      <c r="R73" s="278"/>
      <c r="S73" s="278"/>
      <c r="T73" s="278"/>
      <c r="U73" s="278"/>
      <c r="V73" s="278"/>
      <c r="W73" s="278"/>
      <c r="X73" s="278"/>
      <c r="Y73" s="278"/>
      <c r="Z73" s="278"/>
      <c r="AA73" s="278"/>
      <c r="AB73" s="278"/>
      <c r="AC73" s="278"/>
      <c r="AD73" s="278"/>
      <c r="AE73" s="278"/>
      <c r="AF73" s="278"/>
      <c r="AG73" s="278"/>
      <c r="AH73" s="278"/>
      <c r="AI73" s="278"/>
      <c r="AJ73" s="278"/>
      <c r="AK73" s="278"/>
      <c r="AL73" s="278"/>
      <c r="AM73" s="278"/>
      <c r="AN73" s="278"/>
      <c r="AO73" s="278"/>
      <c r="AP73" s="278"/>
      <c r="AQ73" s="278"/>
      <c r="AR73" s="278"/>
      <c r="AS73" s="278"/>
      <c r="AT73" s="278"/>
      <c r="AU73" s="278"/>
      <c r="AV73" s="278"/>
      <c r="AW73" s="278"/>
      <c r="AX73" s="278"/>
      <c r="AY73" s="278"/>
      <c r="AZ73" s="278"/>
      <c r="BA73" s="278"/>
      <c r="BB73" s="278"/>
      <c r="BC73" s="278"/>
      <c r="BD73" s="278"/>
      <c r="BE73" s="278"/>
      <c r="BF73" s="278"/>
      <c r="BG73" s="278"/>
      <c r="BH73" s="278"/>
      <c r="BI73" s="278"/>
      <c r="BJ73" s="278"/>
      <c r="BK73" s="278"/>
      <c r="BL73" s="278"/>
      <c r="BM73" s="278"/>
      <c r="BN73" s="278"/>
      <c r="BO73" s="278"/>
      <c r="BP73" s="278"/>
      <c r="BQ73" s="278"/>
      <c r="BR73" s="278"/>
      <c r="BS73" s="278"/>
      <c r="BT73" s="278"/>
      <c r="BU73" s="278"/>
      <c r="BV73" s="278"/>
      <c r="BW73" s="278"/>
      <c r="BX73" s="278"/>
      <c r="BY73" s="278"/>
      <c r="BZ73" s="278"/>
      <c r="CA73" s="278"/>
      <c r="CB73" s="284"/>
      <c r="CC73" s="278"/>
      <c r="CD73" s="295"/>
      <c r="CE73" s="296"/>
    </row>
    <row r="74" spans="1:83" s="297" customFormat="1" ht="12.75" customHeight="1" x14ac:dyDescent="0.15">
      <c r="A74" s="293"/>
      <c r="B74" s="294"/>
      <c r="C74" s="295"/>
      <c r="D74" s="1028"/>
      <c r="E74" s="1029"/>
      <c r="F74" s="1030"/>
      <c r="G74" s="278"/>
      <c r="H74" s="278"/>
      <c r="I74" s="278"/>
      <c r="J74" s="278"/>
      <c r="K74" s="278"/>
      <c r="L74" s="278"/>
      <c r="M74" s="278"/>
      <c r="N74" s="278"/>
      <c r="O74" s="278"/>
      <c r="P74" s="278"/>
      <c r="Q74" s="278"/>
      <c r="R74" s="278"/>
      <c r="S74" s="278"/>
      <c r="T74" s="278"/>
      <c r="U74" s="278"/>
      <c r="V74" s="278"/>
      <c r="W74" s="278"/>
      <c r="X74" s="278"/>
      <c r="Y74" s="278"/>
      <c r="Z74" s="278"/>
      <c r="AA74" s="278"/>
      <c r="AB74" s="278"/>
      <c r="AC74" s="278"/>
      <c r="AD74" s="278"/>
      <c r="AE74" s="278"/>
      <c r="AF74" s="278"/>
      <c r="AG74" s="278"/>
      <c r="AH74" s="278"/>
      <c r="AI74" s="278"/>
      <c r="AJ74" s="278"/>
      <c r="AK74" s="278"/>
      <c r="AL74" s="278"/>
      <c r="AM74" s="278"/>
      <c r="AN74" s="278"/>
      <c r="AO74" s="278"/>
      <c r="AP74" s="278"/>
      <c r="AQ74" s="278"/>
      <c r="AR74" s="278"/>
      <c r="AS74" s="278"/>
      <c r="AT74" s="278"/>
      <c r="AU74" s="278"/>
      <c r="AV74" s="278"/>
      <c r="AW74" s="278"/>
      <c r="AX74" s="278"/>
      <c r="AY74" s="278"/>
      <c r="AZ74" s="278"/>
      <c r="BA74" s="278"/>
      <c r="BB74" s="278"/>
      <c r="BC74" s="278"/>
      <c r="BD74" s="278"/>
      <c r="BE74" s="278"/>
      <c r="BF74" s="278"/>
      <c r="BG74" s="278"/>
      <c r="BH74" s="278"/>
      <c r="BI74" s="278"/>
      <c r="BJ74" s="278"/>
      <c r="BK74" s="278"/>
      <c r="BL74" s="278"/>
      <c r="BM74" s="278"/>
      <c r="BN74" s="278"/>
      <c r="BO74" s="278"/>
      <c r="BP74" s="278"/>
      <c r="BQ74" s="278"/>
      <c r="BR74" s="278"/>
      <c r="BS74" s="278"/>
      <c r="BT74" s="278"/>
      <c r="BU74" s="278"/>
      <c r="BV74" s="278"/>
      <c r="BW74" s="278"/>
      <c r="BX74" s="278"/>
      <c r="BY74" s="278"/>
      <c r="BZ74" s="278"/>
      <c r="CA74" s="278"/>
      <c r="CB74" s="284"/>
      <c r="CC74" s="278"/>
      <c r="CD74" s="295"/>
      <c r="CE74" s="296"/>
    </row>
    <row r="75" spans="1:83" s="297" customFormat="1" ht="12.75" customHeight="1" x14ac:dyDescent="0.15">
      <c r="A75" s="293"/>
      <c r="B75" s="294"/>
      <c r="C75" s="295"/>
      <c r="D75" s="1028"/>
      <c r="E75" s="1029"/>
      <c r="F75" s="1030"/>
      <c r="G75" s="278"/>
      <c r="H75" s="278"/>
      <c r="I75" s="278"/>
      <c r="J75" s="278"/>
      <c r="K75" s="278"/>
      <c r="L75" s="278"/>
      <c r="M75" s="278"/>
      <c r="N75" s="278"/>
      <c r="O75" s="278"/>
      <c r="P75" s="278"/>
      <c r="Q75" s="278"/>
      <c r="R75" s="278"/>
      <c r="S75" s="278"/>
      <c r="T75" s="278"/>
      <c r="U75" s="278"/>
      <c r="V75" s="278"/>
      <c r="W75" s="278"/>
      <c r="X75" s="278"/>
      <c r="Y75" s="278"/>
      <c r="Z75" s="278"/>
      <c r="AA75" s="278"/>
      <c r="AB75" s="278"/>
      <c r="AC75" s="278"/>
      <c r="AD75" s="278"/>
      <c r="AE75" s="278"/>
      <c r="AF75" s="278"/>
      <c r="AG75" s="278"/>
      <c r="AH75" s="278"/>
      <c r="AI75" s="278"/>
      <c r="AJ75" s="278"/>
      <c r="AK75" s="278"/>
      <c r="AL75" s="278"/>
      <c r="AM75" s="278"/>
      <c r="AN75" s="278"/>
      <c r="AO75" s="278"/>
      <c r="AP75" s="278"/>
      <c r="AQ75" s="278"/>
      <c r="AR75" s="278"/>
      <c r="AS75" s="278"/>
      <c r="AT75" s="278"/>
      <c r="AU75" s="278"/>
      <c r="AV75" s="278"/>
      <c r="AW75" s="278"/>
      <c r="AX75" s="278"/>
      <c r="AY75" s="278"/>
      <c r="AZ75" s="278"/>
      <c r="BA75" s="278"/>
      <c r="BB75" s="278"/>
      <c r="BC75" s="278"/>
      <c r="BD75" s="278"/>
      <c r="BE75" s="278"/>
      <c r="BF75" s="278"/>
      <c r="BG75" s="278"/>
      <c r="BH75" s="278"/>
      <c r="BI75" s="278"/>
      <c r="BJ75" s="278"/>
      <c r="BK75" s="278"/>
      <c r="BL75" s="278"/>
      <c r="BM75" s="278"/>
      <c r="BN75" s="278"/>
      <c r="BO75" s="278"/>
      <c r="BP75" s="278"/>
      <c r="BQ75" s="278"/>
      <c r="BR75" s="278"/>
      <c r="BS75" s="278"/>
      <c r="BT75" s="278"/>
      <c r="BU75" s="278"/>
      <c r="BV75" s="278"/>
      <c r="BW75" s="278"/>
      <c r="BX75" s="278"/>
      <c r="BY75" s="278"/>
      <c r="BZ75" s="278"/>
      <c r="CA75" s="278"/>
      <c r="CB75" s="284"/>
      <c r="CC75" s="278"/>
      <c r="CD75" s="295"/>
      <c r="CE75" s="296"/>
    </row>
    <row r="76" spans="1:83" s="297" customFormat="1" ht="12.75" customHeight="1" x14ac:dyDescent="0.15">
      <c r="A76" s="293"/>
      <c r="B76" s="294"/>
      <c r="C76" s="295"/>
      <c r="D76" s="1028"/>
      <c r="E76" s="1029"/>
      <c r="F76" s="1030"/>
      <c r="G76" s="278"/>
      <c r="H76" s="278"/>
      <c r="I76" s="278"/>
      <c r="J76" s="278"/>
      <c r="K76" s="278"/>
      <c r="L76" s="278"/>
      <c r="M76" s="278"/>
      <c r="N76" s="278"/>
      <c r="O76" s="278"/>
      <c r="P76" s="278"/>
      <c r="Q76" s="278"/>
      <c r="R76" s="278"/>
      <c r="S76" s="278"/>
      <c r="T76" s="278"/>
      <c r="U76" s="278"/>
      <c r="V76" s="278"/>
      <c r="W76" s="278"/>
      <c r="X76" s="278"/>
      <c r="Y76" s="278"/>
      <c r="Z76" s="278"/>
      <c r="AA76" s="278"/>
      <c r="AB76" s="278"/>
      <c r="AC76" s="278"/>
      <c r="AD76" s="278"/>
      <c r="AE76" s="278"/>
      <c r="AF76" s="278"/>
      <c r="AG76" s="278"/>
      <c r="AH76" s="278"/>
      <c r="AI76" s="278"/>
      <c r="AJ76" s="278"/>
      <c r="AK76" s="278"/>
      <c r="AL76" s="278"/>
      <c r="AM76" s="278"/>
      <c r="AN76" s="278"/>
      <c r="AO76" s="278"/>
      <c r="AP76" s="278"/>
      <c r="AQ76" s="278"/>
      <c r="AR76" s="278"/>
      <c r="AS76" s="278"/>
      <c r="AT76" s="278"/>
      <c r="AU76" s="278"/>
      <c r="AV76" s="278"/>
      <c r="AW76" s="278"/>
      <c r="AX76" s="278"/>
      <c r="AY76" s="278"/>
      <c r="AZ76" s="278"/>
      <c r="BA76" s="278"/>
      <c r="BB76" s="278"/>
      <c r="BC76" s="278"/>
      <c r="BD76" s="278"/>
      <c r="BE76" s="278"/>
      <c r="BF76" s="278"/>
      <c r="BG76" s="278"/>
      <c r="BH76" s="278"/>
      <c r="BI76" s="278"/>
      <c r="BJ76" s="278"/>
      <c r="BK76" s="278"/>
      <c r="BL76" s="278"/>
      <c r="BM76" s="278"/>
      <c r="BN76" s="278"/>
      <c r="BO76" s="278"/>
      <c r="BP76" s="278"/>
      <c r="BQ76" s="278"/>
      <c r="BR76" s="278"/>
      <c r="BS76" s="278"/>
      <c r="BT76" s="278"/>
      <c r="BU76" s="278"/>
      <c r="BV76" s="278"/>
      <c r="BW76" s="278"/>
      <c r="BX76" s="278"/>
      <c r="BY76" s="278"/>
      <c r="BZ76" s="278"/>
      <c r="CA76" s="278"/>
      <c r="CB76" s="284"/>
      <c r="CC76" s="278"/>
      <c r="CD76" s="295"/>
      <c r="CE76" s="296"/>
    </row>
    <row r="77" spans="1:83" s="297" customFormat="1" ht="12.75" customHeight="1" x14ac:dyDescent="0.15">
      <c r="A77" s="293"/>
      <c r="B77" s="294"/>
      <c r="C77" s="295"/>
      <c r="D77" s="1028"/>
      <c r="E77" s="1029"/>
      <c r="F77" s="1030"/>
      <c r="G77" s="278"/>
      <c r="H77" s="278"/>
      <c r="I77" s="278"/>
      <c r="J77" s="278"/>
      <c r="K77" s="278"/>
      <c r="L77" s="278"/>
      <c r="M77" s="278"/>
      <c r="N77" s="278"/>
      <c r="O77" s="278"/>
      <c r="P77" s="278"/>
      <c r="Q77" s="278"/>
      <c r="R77" s="278"/>
      <c r="S77" s="278"/>
      <c r="T77" s="278"/>
      <c r="U77" s="278"/>
      <c r="V77" s="278"/>
      <c r="W77" s="278"/>
      <c r="X77" s="278"/>
      <c r="Y77" s="278"/>
      <c r="Z77" s="278"/>
      <c r="AA77" s="278"/>
      <c r="AB77" s="278"/>
      <c r="AC77" s="278"/>
      <c r="AD77" s="278"/>
      <c r="AE77" s="278"/>
      <c r="AF77" s="278"/>
      <c r="AG77" s="278"/>
      <c r="AH77" s="278"/>
      <c r="AI77" s="278"/>
      <c r="AJ77" s="278"/>
      <c r="AK77" s="278"/>
      <c r="AL77" s="278"/>
      <c r="AM77" s="278"/>
      <c r="AN77" s="278"/>
      <c r="AO77" s="278"/>
      <c r="AP77" s="278"/>
      <c r="AQ77" s="278"/>
      <c r="AR77" s="278"/>
      <c r="AS77" s="278"/>
      <c r="AT77" s="278"/>
      <c r="AU77" s="278"/>
      <c r="AV77" s="278"/>
      <c r="AW77" s="278"/>
      <c r="AX77" s="278"/>
      <c r="AY77" s="278"/>
      <c r="AZ77" s="278"/>
      <c r="BA77" s="278"/>
      <c r="BB77" s="278"/>
      <c r="BC77" s="278"/>
      <c r="BD77" s="278"/>
      <c r="BE77" s="278"/>
      <c r="BF77" s="278"/>
      <c r="BG77" s="278"/>
      <c r="BH77" s="278"/>
      <c r="BI77" s="278"/>
      <c r="BJ77" s="278"/>
      <c r="BK77" s="278"/>
      <c r="BL77" s="278"/>
      <c r="BM77" s="278"/>
      <c r="BN77" s="278"/>
      <c r="BO77" s="278"/>
      <c r="BP77" s="278"/>
      <c r="BQ77" s="278"/>
      <c r="BR77" s="278"/>
      <c r="BS77" s="278"/>
      <c r="BT77" s="278"/>
      <c r="BU77" s="278"/>
      <c r="BV77" s="278"/>
      <c r="BW77" s="278"/>
      <c r="BX77" s="278"/>
      <c r="BY77" s="278"/>
      <c r="BZ77" s="278"/>
      <c r="CA77" s="278"/>
      <c r="CB77" s="284"/>
      <c r="CC77" s="278"/>
      <c r="CD77" s="295"/>
      <c r="CE77" s="296"/>
    </row>
    <row r="78" spans="1:83" s="297" customFormat="1" ht="12.75" customHeight="1" x14ac:dyDescent="0.15">
      <c r="A78" s="293"/>
      <c r="B78" s="294"/>
      <c r="C78" s="295"/>
      <c r="D78" s="1028"/>
      <c r="E78" s="1029"/>
      <c r="F78" s="1030"/>
      <c r="G78" s="295"/>
      <c r="H78" s="295"/>
      <c r="I78" s="295"/>
      <c r="J78" s="295"/>
      <c r="K78" s="295"/>
      <c r="L78" s="295"/>
      <c r="M78" s="295"/>
      <c r="N78" s="295"/>
      <c r="O78" s="295"/>
      <c r="P78" s="295"/>
      <c r="Q78" s="295"/>
      <c r="R78" s="295"/>
      <c r="S78" s="295"/>
      <c r="T78" s="295"/>
      <c r="U78" s="295"/>
      <c r="V78" s="295"/>
      <c r="W78" s="295"/>
      <c r="X78" s="295"/>
      <c r="Y78" s="295"/>
      <c r="Z78" s="295"/>
      <c r="AA78" s="295"/>
      <c r="AB78" s="295"/>
      <c r="AC78" s="295"/>
      <c r="AD78" s="295"/>
      <c r="AE78" s="295"/>
      <c r="AF78" s="295"/>
      <c r="AG78" s="295"/>
      <c r="AH78" s="295"/>
      <c r="AI78" s="295"/>
      <c r="AJ78" s="295"/>
      <c r="AK78" s="295"/>
      <c r="AL78" s="295"/>
      <c r="AM78" s="295"/>
      <c r="AN78" s="295"/>
      <c r="AO78" s="295"/>
      <c r="AP78" s="295"/>
      <c r="AQ78" s="295"/>
      <c r="AR78" s="295"/>
      <c r="AS78" s="295"/>
      <c r="AT78" s="295"/>
      <c r="AU78" s="295"/>
      <c r="AV78" s="295"/>
      <c r="AW78" s="295"/>
      <c r="AX78" s="295"/>
      <c r="AY78" s="295"/>
      <c r="AZ78" s="295"/>
      <c r="BA78" s="295"/>
      <c r="BB78" s="295"/>
      <c r="BC78" s="295"/>
      <c r="BD78" s="295"/>
      <c r="BE78" s="295"/>
      <c r="BF78" s="295"/>
      <c r="BG78" s="295"/>
      <c r="BH78" s="295"/>
      <c r="BI78" s="295"/>
      <c r="BJ78" s="295"/>
      <c r="BK78" s="295"/>
      <c r="BL78" s="295"/>
      <c r="BM78" s="295"/>
      <c r="BN78" s="295"/>
      <c r="BO78" s="295"/>
      <c r="BP78" s="295"/>
      <c r="BQ78" s="295"/>
      <c r="BR78" s="295"/>
      <c r="BS78" s="295"/>
      <c r="BT78" s="295"/>
      <c r="BU78" s="295"/>
      <c r="BV78" s="295"/>
      <c r="BW78" s="295"/>
      <c r="BX78" s="295"/>
      <c r="BY78" s="295"/>
      <c r="BZ78" s="295"/>
      <c r="CA78" s="295"/>
      <c r="CB78" s="284"/>
      <c r="CC78" s="278"/>
      <c r="CD78" s="295"/>
      <c r="CE78" s="296"/>
    </row>
    <row r="79" spans="1:83" s="297" customFormat="1" x14ac:dyDescent="0.15">
      <c r="A79" s="298"/>
      <c r="B79" s="295"/>
      <c r="C79" s="295"/>
      <c r="D79" s="1028"/>
      <c r="E79" s="1029"/>
      <c r="F79" s="1030"/>
      <c r="G79" s="295"/>
      <c r="H79" s="295"/>
      <c r="I79" s="295"/>
      <c r="J79" s="295"/>
      <c r="K79" s="295"/>
      <c r="L79" s="295"/>
      <c r="M79" s="295"/>
      <c r="N79" s="295"/>
      <c r="O79" s="295"/>
      <c r="P79" s="295"/>
      <c r="Q79" s="295"/>
      <c r="R79" s="295"/>
      <c r="S79" s="295"/>
      <c r="T79" s="295"/>
      <c r="U79" s="295"/>
      <c r="V79" s="295"/>
      <c r="W79" s="295"/>
      <c r="X79" s="295"/>
      <c r="Y79" s="295"/>
      <c r="Z79" s="295"/>
      <c r="AA79" s="295"/>
      <c r="AB79" s="295"/>
      <c r="AC79" s="295"/>
      <c r="AD79" s="295"/>
      <c r="AE79" s="295"/>
      <c r="AF79" s="295"/>
      <c r="AG79" s="295"/>
      <c r="AH79" s="295"/>
      <c r="AI79" s="295"/>
      <c r="AJ79" s="295"/>
      <c r="AK79" s="295"/>
      <c r="AL79" s="295"/>
      <c r="AM79" s="295"/>
      <c r="AN79" s="295"/>
      <c r="AO79" s="295"/>
      <c r="AP79" s="295"/>
      <c r="AQ79" s="295"/>
      <c r="AR79" s="295"/>
      <c r="AS79" s="295"/>
      <c r="AT79" s="295"/>
      <c r="AU79" s="295"/>
      <c r="AV79" s="295"/>
      <c r="AW79" s="295"/>
      <c r="AX79" s="295"/>
      <c r="AY79" s="295"/>
      <c r="AZ79" s="295"/>
      <c r="BA79" s="295"/>
      <c r="BB79" s="295"/>
      <c r="BC79" s="295"/>
      <c r="BD79" s="295"/>
      <c r="BE79" s="295"/>
      <c r="BF79" s="295"/>
      <c r="BG79" s="295"/>
      <c r="BH79" s="295"/>
      <c r="BI79" s="295"/>
      <c r="BJ79" s="295"/>
      <c r="BK79" s="295"/>
      <c r="BL79" s="295"/>
      <c r="BM79" s="295"/>
      <c r="BN79" s="295"/>
      <c r="BO79" s="295"/>
      <c r="BP79" s="295"/>
      <c r="BQ79" s="295"/>
      <c r="BR79" s="295"/>
      <c r="BS79" s="295"/>
      <c r="BT79" s="295"/>
      <c r="BU79" s="295"/>
      <c r="BV79" s="295"/>
      <c r="BW79" s="295"/>
      <c r="BX79" s="295"/>
      <c r="BY79" s="295"/>
      <c r="BZ79" s="295"/>
      <c r="CA79" s="295"/>
      <c r="CB79" s="284"/>
      <c r="CC79" s="278"/>
      <c r="CD79" s="295"/>
      <c r="CE79" s="296"/>
    </row>
    <row r="80" spans="1:83" s="297" customFormat="1" x14ac:dyDescent="0.15">
      <c r="A80" s="298"/>
      <c r="B80" s="295"/>
      <c r="C80" s="295"/>
      <c r="D80" s="1028"/>
      <c r="E80" s="1029"/>
      <c r="F80" s="1030"/>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5"/>
      <c r="AH80" s="295"/>
      <c r="AI80" s="295"/>
      <c r="AJ80" s="295"/>
      <c r="AK80" s="295"/>
      <c r="AL80" s="295"/>
      <c r="AM80" s="295"/>
      <c r="AN80" s="295"/>
      <c r="AO80" s="295"/>
      <c r="AP80" s="295"/>
      <c r="AQ80" s="295"/>
      <c r="AR80" s="295"/>
      <c r="AS80" s="295"/>
      <c r="AT80" s="295"/>
      <c r="AU80" s="295"/>
      <c r="AV80" s="295"/>
      <c r="AW80" s="295"/>
      <c r="AX80" s="295"/>
      <c r="AY80" s="295"/>
      <c r="AZ80" s="295"/>
      <c r="BA80" s="295"/>
      <c r="BB80" s="295"/>
      <c r="BC80" s="295"/>
      <c r="BD80" s="295"/>
      <c r="BE80" s="295"/>
      <c r="BF80" s="295"/>
      <c r="BG80" s="295"/>
      <c r="BH80" s="295"/>
      <c r="BI80" s="295"/>
      <c r="BJ80" s="295"/>
      <c r="BK80" s="295"/>
      <c r="BL80" s="295"/>
      <c r="BM80" s="295"/>
      <c r="BN80" s="295"/>
      <c r="BO80" s="295"/>
      <c r="BP80" s="295"/>
      <c r="BQ80" s="295"/>
      <c r="BR80" s="295"/>
      <c r="BS80" s="295"/>
      <c r="BT80" s="295"/>
      <c r="BU80" s="295"/>
      <c r="BV80" s="295"/>
      <c r="BW80" s="295"/>
      <c r="BX80" s="295"/>
      <c r="BY80" s="295"/>
      <c r="BZ80" s="295"/>
      <c r="CA80" s="295"/>
      <c r="CB80" s="284"/>
      <c r="CC80" s="278"/>
      <c r="CD80" s="295"/>
      <c r="CE80" s="296"/>
    </row>
    <row r="81" spans="1:83" s="297" customFormat="1" x14ac:dyDescent="0.15">
      <c r="A81" s="298"/>
      <c r="B81" s="295"/>
      <c r="C81" s="295"/>
      <c r="D81" s="1028"/>
      <c r="E81" s="1029"/>
      <c r="F81" s="1030"/>
      <c r="G81" s="295"/>
      <c r="H81" s="295"/>
      <c r="I81" s="295"/>
      <c r="J81" s="295"/>
      <c r="K81" s="295"/>
      <c r="L81" s="295"/>
      <c r="M81" s="295"/>
      <c r="N81" s="295"/>
      <c r="O81" s="295"/>
      <c r="P81" s="295"/>
      <c r="Q81" s="295"/>
      <c r="R81" s="295"/>
      <c r="S81" s="295"/>
      <c r="T81" s="295"/>
      <c r="U81" s="295"/>
      <c r="V81" s="295"/>
      <c r="W81" s="295"/>
      <c r="X81" s="295"/>
      <c r="Y81" s="295"/>
      <c r="Z81" s="295"/>
      <c r="AA81" s="295"/>
      <c r="AB81" s="295"/>
      <c r="AC81" s="295"/>
      <c r="AD81" s="295"/>
      <c r="AE81" s="295"/>
      <c r="AF81" s="295"/>
      <c r="AG81" s="295"/>
      <c r="AH81" s="295"/>
      <c r="AI81" s="295"/>
      <c r="AJ81" s="295"/>
      <c r="AK81" s="295"/>
      <c r="AL81" s="295"/>
      <c r="AM81" s="295"/>
      <c r="AN81" s="295"/>
      <c r="AO81" s="295"/>
      <c r="AP81" s="295"/>
      <c r="AQ81" s="295"/>
      <c r="AR81" s="295"/>
      <c r="AS81" s="295"/>
      <c r="AT81" s="295"/>
      <c r="AU81" s="295"/>
      <c r="AV81" s="295"/>
      <c r="AW81" s="295"/>
      <c r="AX81" s="295"/>
      <c r="AY81" s="295"/>
      <c r="AZ81" s="295"/>
      <c r="BA81" s="295"/>
      <c r="BB81" s="295"/>
      <c r="BC81" s="295"/>
      <c r="BD81" s="295"/>
      <c r="BE81" s="295"/>
      <c r="BF81" s="295"/>
      <c r="BG81" s="295"/>
      <c r="BH81" s="295"/>
      <c r="BI81" s="295"/>
      <c r="BJ81" s="295"/>
      <c r="BK81" s="295"/>
      <c r="BL81" s="295"/>
      <c r="BM81" s="295"/>
      <c r="BN81" s="295"/>
      <c r="BO81" s="295"/>
      <c r="BP81" s="295"/>
      <c r="BQ81" s="295"/>
      <c r="BR81" s="295"/>
      <c r="BS81" s="295"/>
      <c r="BT81" s="295"/>
      <c r="BU81" s="295"/>
      <c r="BV81" s="295"/>
      <c r="BW81" s="295"/>
      <c r="BX81" s="295"/>
      <c r="BY81" s="295"/>
      <c r="BZ81" s="295"/>
      <c r="CA81" s="295"/>
      <c r="CB81" s="284"/>
      <c r="CC81" s="278"/>
      <c r="CD81" s="295"/>
      <c r="CE81" s="296"/>
    </row>
    <row r="82" spans="1:83" s="297" customFormat="1" x14ac:dyDescent="0.15">
      <c r="A82" s="298"/>
      <c r="B82" s="295"/>
      <c r="C82" s="295"/>
      <c r="D82" s="1028"/>
      <c r="E82" s="1029"/>
      <c r="F82" s="1030"/>
      <c r="G82" s="295"/>
      <c r="H82" s="295"/>
      <c r="I82" s="295"/>
      <c r="J82" s="295"/>
      <c r="K82" s="295"/>
      <c r="L82" s="295"/>
      <c r="M82" s="295"/>
      <c r="N82" s="295"/>
      <c r="O82" s="295"/>
      <c r="P82" s="295"/>
      <c r="Q82" s="295"/>
      <c r="R82" s="295"/>
      <c r="S82" s="295"/>
      <c r="T82" s="295"/>
      <c r="U82" s="295"/>
      <c r="V82" s="295"/>
      <c r="W82" s="295"/>
      <c r="X82" s="295"/>
      <c r="Y82" s="295"/>
      <c r="Z82" s="295"/>
      <c r="AA82" s="295"/>
      <c r="AB82" s="295"/>
      <c r="AC82" s="295"/>
      <c r="AD82" s="295"/>
      <c r="AE82" s="295"/>
      <c r="AF82" s="295"/>
      <c r="AG82" s="295"/>
      <c r="AH82" s="295"/>
      <c r="AI82" s="295"/>
      <c r="AJ82" s="295"/>
      <c r="AK82" s="295"/>
      <c r="AL82" s="295"/>
      <c r="AM82" s="295"/>
      <c r="AN82" s="295"/>
      <c r="AO82" s="295"/>
      <c r="AP82" s="295"/>
      <c r="AQ82" s="295"/>
      <c r="AR82" s="295"/>
      <c r="AS82" s="295"/>
      <c r="AT82" s="295"/>
      <c r="AU82" s="295"/>
      <c r="AV82" s="295"/>
      <c r="AW82" s="295"/>
      <c r="AX82" s="295"/>
      <c r="AY82" s="295"/>
      <c r="AZ82" s="295"/>
      <c r="BA82" s="295"/>
      <c r="BB82" s="295"/>
      <c r="BC82" s="295"/>
      <c r="BD82" s="295"/>
      <c r="BE82" s="295"/>
      <c r="BF82" s="295"/>
      <c r="BG82" s="295"/>
      <c r="BH82" s="295"/>
      <c r="BI82" s="295"/>
      <c r="BJ82" s="295"/>
      <c r="BK82" s="295"/>
      <c r="BL82" s="295"/>
      <c r="BM82" s="295"/>
      <c r="BN82" s="295"/>
      <c r="BO82" s="295"/>
      <c r="BP82" s="295"/>
      <c r="BQ82" s="295"/>
      <c r="BR82" s="295"/>
      <c r="BS82" s="295"/>
      <c r="BT82" s="295"/>
      <c r="BU82" s="295"/>
      <c r="BV82" s="295"/>
      <c r="BW82" s="295"/>
      <c r="BX82" s="295"/>
      <c r="BY82" s="295"/>
      <c r="BZ82" s="295"/>
      <c r="CA82" s="295"/>
      <c r="CB82" s="284"/>
      <c r="CC82" s="278"/>
      <c r="CD82" s="295"/>
      <c r="CE82" s="296"/>
    </row>
    <row r="83" spans="1:83" s="297" customFormat="1" ht="12.75" customHeight="1" x14ac:dyDescent="0.15">
      <c r="A83" s="293"/>
      <c r="B83" s="294"/>
      <c r="C83" s="295"/>
      <c r="D83" s="1031"/>
      <c r="E83" s="1032"/>
      <c r="F83" s="1033"/>
      <c r="G83" s="299"/>
      <c r="H83" s="299"/>
      <c r="I83" s="299"/>
      <c r="J83" s="299"/>
      <c r="K83" s="299"/>
      <c r="L83" s="299"/>
      <c r="M83" s="299"/>
      <c r="N83" s="299"/>
      <c r="O83" s="299"/>
      <c r="P83" s="299"/>
      <c r="Q83" s="299"/>
      <c r="R83" s="299"/>
      <c r="S83" s="299"/>
      <c r="T83" s="299"/>
      <c r="U83" s="299"/>
      <c r="V83" s="299"/>
      <c r="W83" s="299"/>
      <c r="X83" s="299"/>
      <c r="Y83" s="299"/>
      <c r="Z83" s="299"/>
      <c r="AA83" s="299"/>
      <c r="AB83" s="299"/>
      <c r="AC83" s="299"/>
      <c r="AD83" s="299"/>
      <c r="AE83" s="299"/>
      <c r="AF83" s="299"/>
      <c r="AG83" s="299"/>
      <c r="AH83" s="299"/>
      <c r="AI83" s="299"/>
      <c r="AJ83" s="299"/>
      <c r="AK83" s="299"/>
      <c r="AL83" s="299"/>
      <c r="AM83" s="299"/>
      <c r="AN83" s="299"/>
      <c r="AO83" s="299"/>
      <c r="AP83" s="299"/>
      <c r="AQ83" s="299"/>
      <c r="AR83" s="299"/>
      <c r="AS83" s="299"/>
      <c r="AT83" s="299"/>
      <c r="AU83" s="299"/>
      <c r="AV83" s="299"/>
      <c r="AW83" s="299"/>
      <c r="AX83" s="299"/>
      <c r="AY83" s="299"/>
      <c r="AZ83" s="299"/>
      <c r="BA83" s="299"/>
      <c r="BB83" s="299"/>
      <c r="BC83" s="299"/>
      <c r="BD83" s="299"/>
      <c r="BE83" s="299"/>
      <c r="BF83" s="299"/>
      <c r="BG83" s="299"/>
      <c r="BH83" s="299"/>
      <c r="BI83" s="299"/>
      <c r="BJ83" s="299"/>
      <c r="BK83" s="299"/>
      <c r="BL83" s="299"/>
      <c r="BM83" s="299"/>
      <c r="BN83" s="299"/>
      <c r="BO83" s="299"/>
      <c r="BP83" s="299"/>
      <c r="BQ83" s="299"/>
      <c r="BR83" s="299"/>
      <c r="BS83" s="299"/>
      <c r="BT83" s="299"/>
      <c r="BU83" s="299"/>
      <c r="BV83" s="299"/>
      <c r="BW83" s="299"/>
      <c r="BX83" s="299"/>
      <c r="BY83" s="299"/>
      <c r="BZ83" s="299"/>
      <c r="CA83" s="299"/>
      <c r="CB83" s="300"/>
      <c r="CC83" s="278"/>
      <c r="CD83" s="295"/>
      <c r="CE83" s="296"/>
    </row>
    <row r="84" spans="1:83" s="297" customFormat="1" ht="12.75" customHeight="1" thickBot="1" x14ac:dyDescent="0.2">
      <c r="A84" s="301"/>
      <c r="B84" s="302"/>
      <c r="C84" s="303"/>
      <c r="D84" s="304"/>
      <c r="E84" s="304"/>
      <c r="F84" s="304"/>
      <c r="G84" s="305"/>
      <c r="H84" s="305"/>
      <c r="I84" s="305"/>
      <c r="J84" s="305"/>
      <c r="K84" s="305"/>
      <c r="L84" s="305"/>
      <c r="M84" s="305"/>
      <c r="N84" s="305"/>
      <c r="O84" s="305"/>
      <c r="P84" s="305"/>
      <c r="Q84" s="305"/>
      <c r="R84" s="305"/>
      <c r="S84" s="305"/>
      <c r="T84" s="305"/>
      <c r="U84" s="305"/>
      <c r="V84" s="305"/>
      <c r="W84" s="305"/>
      <c r="X84" s="305"/>
      <c r="Y84" s="305"/>
      <c r="Z84" s="305"/>
      <c r="AA84" s="305"/>
      <c r="AB84" s="305"/>
      <c r="AC84" s="305"/>
      <c r="AD84" s="305"/>
      <c r="AE84" s="305"/>
      <c r="AF84" s="305"/>
      <c r="AG84" s="305"/>
      <c r="AH84" s="305"/>
      <c r="AI84" s="305"/>
      <c r="AJ84" s="305"/>
      <c r="AK84" s="305"/>
      <c r="AL84" s="305"/>
      <c r="AM84" s="305"/>
      <c r="AN84" s="305"/>
      <c r="AO84" s="305"/>
      <c r="AP84" s="305"/>
      <c r="AQ84" s="305"/>
      <c r="AR84" s="305"/>
      <c r="AS84" s="305"/>
      <c r="AT84" s="305"/>
      <c r="AU84" s="305"/>
      <c r="AV84" s="305"/>
      <c r="AW84" s="305"/>
      <c r="AX84" s="305"/>
      <c r="AY84" s="305"/>
      <c r="AZ84" s="305"/>
      <c r="BA84" s="305"/>
      <c r="BB84" s="305"/>
      <c r="BC84" s="305"/>
      <c r="BD84" s="305"/>
      <c r="BE84" s="305"/>
      <c r="BF84" s="305"/>
      <c r="BG84" s="305"/>
      <c r="BH84" s="305"/>
      <c r="BI84" s="305"/>
      <c r="BJ84" s="305"/>
      <c r="BK84" s="305"/>
      <c r="BL84" s="305"/>
      <c r="BM84" s="305"/>
      <c r="BN84" s="305"/>
      <c r="BO84" s="305"/>
      <c r="BP84" s="305"/>
      <c r="BQ84" s="305"/>
      <c r="BR84" s="305"/>
      <c r="BS84" s="305"/>
      <c r="BT84" s="305"/>
      <c r="BU84" s="305"/>
      <c r="BV84" s="305"/>
      <c r="BW84" s="305"/>
      <c r="BX84" s="305"/>
      <c r="BY84" s="305"/>
      <c r="BZ84" s="305"/>
      <c r="CA84" s="305"/>
      <c r="CB84" s="305"/>
      <c r="CC84" s="306"/>
      <c r="CD84" s="303"/>
      <c r="CE84" s="307"/>
    </row>
    <row r="85" spans="1:83" s="297" customFormat="1" ht="12.75" customHeight="1" x14ac:dyDescent="0.15">
      <c r="A85" s="308"/>
      <c r="B85" s="309"/>
      <c r="C85" s="309"/>
      <c r="D85" s="309"/>
      <c r="E85" s="309"/>
      <c r="F85" s="309"/>
      <c r="G85" s="309"/>
      <c r="H85" s="309"/>
      <c r="I85" s="309"/>
      <c r="J85" s="309"/>
      <c r="K85" s="309"/>
      <c r="L85" s="309"/>
      <c r="M85" s="309"/>
      <c r="N85" s="309"/>
      <c r="O85" s="309"/>
      <c r="P85" s="309"/>
      <c r="Q85" s="309"/>
      <c r="R85" s="309"/>
      <c r="S85" s="309"/>
      <c r="T85" s="309"/>
      <c r="U85" s="309"/>
      <c r="V85" s="309"/>
      <c r="W85" s="309"/>
      <c r="X85" s="309"/>
      <c r="Y85" s="309"/>
      <c r="Z85" s="309"/>
      <c r="AA85" s="309"/>
      <c r="AB85" s="309"/>
      <c r="AC85" s="309"/>
      <c r="AD85" s="309"/>
      <c r="AE85" s="309"/>
      <c r="AF85" s="309"/>
      <c r="AG85" s="309"/>
      <c r="AH85" s="309"/>
      <c r="AI85" s="309"/>
      <c r="AJ85" s="309"/>
      <c r="AK85" s="309"/>
      <c r="AL85" s="309"/>
      <c r="AM85" s="309"/>
      <c r="AN85" s="309"/>
      <c r="AO85" s="309"/>
      <c r="AP85" s="309"/>
      <c r="AQ85" s="309"/>
      <c r="AR85" s="309"/>
      <c r="AS85" s="309"/>
      <c r="AT85" s="309"/>
      <c r="AU85" s="309"/>
      <c r="AV85" s="309"/>
      <c r="AW85" s="309"/>
      <c r="AX85" s="309"/>
      <c r="AY85" s="309"/>
      <c r="AZ85" s="309"/>
      <c r="BA85" s="309"/>
      <c r="BB85" s="309"/>
      <c r="BC85" s="309"/>
      <c r="BD85" s="309"/>
      <c r="BE85" s="309"/>
      <c r="BF85" s="309"/>
      <c r="BG85" s="309"/>
      <c r="BH85" s="309"/>
      <c r="BI85" s="309"/>
      <c r="BJ85" s="309"/>
      <c r="BK85" s="309"/>
      <c r="BL85" s="309"/>
      <c r="BM85" s="309"/>
      <c r="BN85" s="309"/>
      <c r="BO85" s="309"/>
      <c r="BP85" s="309"/>
      <c r="BQ85" s="309"/>
      <c r="BR85" s="309"/>
      <c r="BS85" s="309"/>
      <c r="BT85" s="309"/>
      <c r="BU85" s="309"/>
      <c r="BV85" s="309"/>
      <c r="BW85" s="309"/>
      <c r="BX85" s="309"/>
      <c r="BY85" s="309"/>
      <c r="BZ85" s="309"/>
      <c r="CA85" s="309"/>
      <c r="CB85" s="309"/>
      <c r="CC85" s="309"/>
      <c r="CD85" s="309"/>
      <c r="CE85" s="310"/>
    </row>
    <row r="86" spans="1:83" s="297" customFormat="1" ht="12.75" customHeight="1" x14ac:dyDescent="0.15">
      <c r="A86" s="293"/>
      <c r="B86" s="294"/>
      <c r="C86" s="295"/>
      <c r="D86" s="534" t="s">
        <v>290</v>
      </c>
      <c r="E86" s="534"/>
      <c r="F86" s="534"/>
      <c r="G86" s="534"/>
      <c r="H86" s="534"/>
      <c r="I86" s="534"/>
      <c r="J86" s="534"/>
      <c r="K86" s="534"/>
      <c r="L86" s="534"/>
      <c r="M86" s="534"/>
      <c r="N86" s="534"/>
      <c r="O86" s="534"/>
      <c r="P86" s="534"/>
      <c r="Q86" s="534"/>
      <c r="R86" s="534"/>
      <c r="S86" s="534"/>
      <c r="T86" s="534"/>
      <c r="U86" s="534"/>
      <c r="V86" s="534"/>
      <c r="W86" s="534"/>
      <c r="X86" s="534"/>
      <c r="Y86" s="534"/>
      <c r="Z86" s="534"/>
      <c r="AA86" s="534"/>
      <c r="AB86" s="534"/>
      <c r="AC86" s="534"/>
      <c r="AD86" s="534"/>
      <c r="AE86" s="534"/>
      <c r="AF86" s="534"/>
      <c r="AG86" s="534"/>
      <c r="AH86" s="534"/>
      <c r="AI86" s="534"/>
      <c r="AJ86" s="534"/>
      <c r="AK86" s="534"/>
      <c r="AL86" s="534"/>
      <c r="AM86" s="534"/>
      <c r="AN86" s="534"/>
      <c r="AO86" s="534"/>
      <c r="AP86" s="534"/>
      <c r="AQ86" s="534"/>
      <c r="AR86" s="534"/>
      <c r="AS86" s="534"/>
      <c r="AT86" s="534"/>
      <c r="AU86" s="534"/>
      <c r="AV86" s="534"/>
      <c r="AW86" s="534"/>
      <c r="AX86" s="534"/>
      <c r="AY86" s="534"/>
      <c r="AZ86" s="534"/>
      <c r="BA86" s="534"/>
      <c r="BB86" s="534"/>
      <c r="BC86" s="534"/>
      <c r="BD86" s="534"/>
      <c r="BE86" s="534"/>
      <c r="BF86" s="534"/>
      <c r="BG86" s="534"/>
      <c r="BH86" s="534"/>
      <c r="BI86" s="534"/>
      <c r="BJ86" s="534"/>
      <c r="BK86" s="534"/>
      <c r="BL86" s="534"/>
      <c r="BM86" s="534"/>
      <c r="BN86" s="534"/>
      <c r="BO86" s="534"/>
      <c r="BP86" s="534"/>
      <c r="BQ86" s="534"/>
      <c r="BR86" s="534"/>
      <c r="BS86" s="534"/>
      <c r="BT86" s="534"/>
      <c r="BU86" s="534"/>
      <c r="BV86" s="534"/>
      <c r="BW86" s="534"/>
      <c r="BX86" s="534"/>
      <c r="BY86" s="534"/>
      <c r="BZ86" s="534"/>
      <c r="CA86" s="534"/>
      <c r="CB86" s="534"/>
      <c r="CC86" s="278"/>
      <c r="CD86" s="295"/>
      <c r="CE86" s="296"/>
    </row>
    <row r="87" spans="1:83" s="297" customFormat="1" ht="12.75" customHeight="1" x14ac:dyDescent="0.15">
      <c r="A87" s="293"/>
      <c r="B87" s="294"/>
      <c r="C87" s="295"/>
      <c r="D87" s="974" t="s">
        <v>403</v>
      </c>
      <c r="E87" s="975"/>
      <c r="F87" s="975"/>
      <c r="G87" s="975"/>
      <c r="H87" s="976"/>
      <c r="I87" s="1009" t="s">
        <v>404</v>
      </c>
      <c r="J87" s="1010"/>
      <c r="K87" s="1010"/>
      <c r="L87" s="1010"/>
      <c r="M87" s="1010"/>
      <c r="N87" s="1010"/>
      <c r="O87" s="1010"/>
      <c r="P87" s="1010"/>
      <c r="Q87" s="1010"/>
      <c r="R87" s="1010"/>
      <c r="S87" s="1010"/>
      <c r="T87" s="1010"/>
      <c r="U87" s="1010"/>
      <c r="V87" s="1010"/>
      <c r="W87" s="1010"/>
      <c r="X87" s="1010"/>
      <c r="Y87" s="1010"/>
      <c r="Z87" s="1010"/>
      <c r="AA87" s="1010"/>
      <c r="AB87" s="1010"/>
      <c r="AC87" s="1010"/>
      <c r="AD87" s="1010"/>
      <c r="AE87" s="1010"/>
      <c r="AF87" s="1010"/>
      <c r="AG87" s="1011"/>
      <c r="AH87" s="1009" t="s">
        <v>405</v>
      </c>
      <c r="AI87" s="1010"/>
      <c r="AJ87" s="1010"/>
      <c r="AK87" s="1010"/>
      <c r="AL87" s="1010"/>
      <c r="AM87" s="1010"/>
      <c r="AN87" s="1010"/>
      <c r="AO87" s="1010"/>
      <c r="AP87" s="1010"/>
      <c r="AQ87" s="1010"/>
      <c r="AR87" s="1010"/>
      <c r="AS87" s="1010"/>
      <c r="AT87" s="1010"/>
      <c r="AU87" s="1010"/>
      <c r="AV87" s="1010"/>
      <c r="AW87" s="1010"/>
      <c r="AX87" s="1010"/>
      <c r="AY87" s="1010"/>
      <c r="AZ87" s="1010"/>
      <c r="BA87" s="1010"/>
      <c r="BB87" s="1010"/>
      <c r="BC87" s="1010"/>
      <c r="BD87" s="1010"/>
      <c r="BE87" s="1010"/>
      <c r="BF87" s="1010"/>
      <c r="BG87" s="1010"/>
      <c r="BH87" s="1010"/>
      <c r="BI87" s="1010"/>
      <c r="BJ87" s="1010"/>
      <c r="BK87" s="1010"/>
      <c r="BL87" s="1010"/>
      <c r="BM87" s="1010"/>
      <c r="BN87" s="1010"/>
      <c r="BO87" s="1010"/>
      <c r="BP87" s="1010"/>
      <c r="BQ87" s="1010"/>
      <c r="BR87" s="1010"/>
      <c r="BS87" s="1010"/>
      <c r="BT87" s="1010"/>
      <c r="BU87" s="1010"/>
      <c r="BV87" s="1010"/>
      <c r="BW87" s="1010"/>
      <c r="BX87" s="1010"/>
      <c r="BY87" s="1010"/>
      <c r="BZ87" s="1010"/>
      <c r="CA87" s="1010"/>
      <c r="CB87" s="1011"/>
      <c r="CC87" s="278"/>
      <c r="CD87" s="295"/>
      <c r="CE87" s="296"/>
    </row>
    <row r="88" spans="1:83" s="297" customFormat="1" ht="12.75" customHeight="1" x14ac:dyDescent="0.15">
      <c r="A88" s="293"/>
      <c r="B88" s="294"/>
      <c r="C88" s="295"/>
      <c r="D88" s="992" t="s">
        <v>291</v>
      </c>
      <c r="E88" s="993"/>
      <c r="F88" s="993"/>
      <c r="G88" s="993"/>
      <c r="H88" s="994"/>
      <c r="I88" s="510" t="s">
        <v>752</v>
      </c>
      <c r="J88" s="511"/>
      <c r="K88" s="511"/>
      <c r="L88" s="511"/>
      <c r="M88" s="511"/>
      <c r="N88" s="511"/>
      <c r="O88" s="511"/>
      <c r="P88" s="511"/>
      <c r="Q88" s="511"/>
      <c r="R88" s="511"/>
      <c r="S88" s="511"/>
      <c r="T88" s="511"/>
      <c r="U88" s="511"/>
      <c r="V88" s="511"/>
      <c r="W88" s="511"/>
      <c r="X88" s="511"/>
      <c r="Y88" s="511"/>
      <c r="Z88" s="511"/>
      <c r="AA88" s="511"/>
      <c r="AB88" s="511"/>
      <c r="AC88" s="511"/>
      <c r="AD88" s="511"/>
      <c r="AE88" s="511"/>
      <c r="AF88" s="511"/>
      <c r="AG88" s="512"/>
      <c r="AH88" s="519" t="s">
        <v>754</v>
      </c>
      <c r="AI88" s="520"/>
      <c r="AJ88" s="520"/>
      <c r="AK88" s="520"/>
      <c r="AL88" s="520"/>
      <c r="AM88" s="520"/>
      <c r="AN88" s="520"/>
      <c r="AO88" s="520"/>
      <c r="AP88" s="520"/>
      <c r="AQ88" s="520"/>
      <c r="AR88" s="520"/>
      <c r="AS88" s="520"/>
      <c r="AT88" s="520"/>
      <c r="AU88" s="520"/>
      <c r="AV88" s="520"/>
      <c r="AW88" s="520"/>
      <c r="AX88" s="520"/>
      <c r="AY88" s="520"/>
      <c r="AZ88" s="520"/>
      <c r="BA88" s="520"/>
      <c r="BB88" s="520"/>
      <c r="BC88" s="520"/>
      <c r="BD88" s="520"/>
      <c r="BE88" s="520"/>
      <c r="BF88" s="520"/>
      <c r="BG88" s="520"/>
      <c r="BH88" s="520"/>
      <c r="BI88" s="520"/>
      <c r="BJ88" s="520"/>
      <c r="BK88" s="520"/>
      <c r="BL88" s="520"/>
      <c r="BM88" s="520"/>
      <c r="BN88" s="520"/>
      <c r="BO88" s="520"/>
      <c r="BP88" s="520"/>
      <c r="BQ88" s="520"/>
      <c r="BR88" s="520"/>
      <c r="BS88" s="520"/>
      <c r="BT88" s="520"/>
      <c r="BU88" s="520"/>
      <c r="BV88" s="520"/>
      <c r="BW88" s="520"/>
      <c r="BX88" s="520"/>
      <c r="BY88" s="520"/>
      <c r="BZ88" s="520"/>
      <c r="CA88" s="520"/>
      <c r="CB88" s="521"/>
      <c r="CC88" s="278"/>
      <c r="CD88" s="295"/>
      <c r="CE88" s="296"/>
    </row>
    <row r="89" spans="1:83" s="297" customFormat="1" ht="12.75" customHeight="1" x14ac:dyDescent="0.15">
      <c r="A89" s="293"/>
      <c r="B89" s="294"/>
      <c r="C89" s="295"/>
      <c r="D89" s="983"/>
      <c r="E89" s="984"/>
      <c r="F89" s="984"/>
      <c r="G89" s="984"/>
      <c r="H89" s="985"/>
      <c r="I89" s="547"/>
      <c r="J89" s="548"/>
      <c r="K89" s="548"/>
      <c r="L89" s="548"/>
      <c r="M89" s="548"/>
      <c r="N89" s="548"/>
      <c r="O89" s="548"/>
      <c r="P89" s="548"/>
      <c r="Q89" s="548"/>
      <c r="R89" s="548"/>
      <c r="S89" s="548"/>
      <c r="T89" s="548"/>
      <c r="U89" s="548"/>
      <c r="V89" s="548"/>
      <c r="W89" s="548"/>
      <c r="X89" s="548"/>
      <c r="Y89" s="548"/>
      <c r="Z89" s="548"/>
      <c r="AA89" s="548"/>
      <c r="AB89" s="548"/>
      <c r="AC89" s="548"/>
      <c r="AD89" s="548"/>
      <c r="AE89" s="548"/>
      <c r="AF89" s="548"/>
      <c r="AG89" s="549"/>
      <c r="AH89" s="550"/>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2"/>
      <c r="CC89" s="278"/>
      <c r="CD89" s="295"/>
      <c r="CE89" s="296"/>
    </row>
    <row r="90" spans="1:83" s="297" customFormat="1" ht="12.75" customHeight="1" x14ac:dyDescent="0.15">
      <c r="A90" s="293"/>
      <c r="B90" s="294"/>
      <c r="C90" s="295"/>
      <c r="D90" s="992" t="s">
        <v>292</v>
      </c>
      <c r="E90" s="993"/>
      <c r="F90" s="993"/>
      <c r="G90" s="993"/>
      <c r="H90" s="994"/>
      <c r="I90" s="510" t="s">
        <v>753</v>
      </c>
      <c r="J90" s="511"/>
      <c r="K90" s="511"/>
      <c r="L90" s="511"/>
      <c r="M90" s="511"/>
      <c r="N90" s="511"/>
      <c r="O90" s="511"/>
      <c r="P90" s="511"/>
      <c r="Q90" s="511"/>
      <c r="R90" s="511"/>
      <c r="S90" s="511"/>
      <c r="T90" s="511"/>
      <c r="U90" s="511"/>
      <c r="V90" s="511"/>
      <c r="W90" s="511"/>
      <c r="X90" s="511"/>
      <c r="Y90" s="511"/>
      <c r="Z90" s="511"/>
      <c r="AA90" s="511"/>
      <c r="AB90" s="511"/>
      <c r="AC90" s="511"/>
      <c r="AD90" s="511"/>
      <c r="AE90" s="511"/>
      <c r="AF90" s="511"/>
      <c r="AG90" s="512"/>
      <c r="AH90" s="519" t="s">
        <v>755</v>
      </c>
      <c r="AI90" s="520"/>
      <c r="AJ90" s="520"/>
      <c r="AK90" s="520"/>
      <c r="AL90" s="520"/>
      <c r="AM90" s="520"/>
      <c r="AN90" s="520"/>
      <c r="AO90" s="520"/>
      <c r="AP90" s="520"/>
      <c r="AQ90" s="520"/>
      <c r="AR90" s="520"/>
      <c r="AS90" s="520"/>
      <c r="AT90" s="520"/>
      <c r="AU90" s="520"/>
      <c r="AV90" s="520"/>
      <c r="AW90" s="520"/>
      <c r="AX90" s="520"/>
      <c r="AY90" s="520"/>
      <c r="AZ90" s="520"/>
      <c r="BA90" s="520"/>
      <c r="BB90" s="520"/>
      <c r="BC90" s="520"/>
      <c r="BD90" s="520"/>
      <c r="BE90" s="520"/>
      <c r="BF90" s="520"/>
      <c r="BG90" s="520"/>
      <c r="BH90" s="520"/>
      <c r="BI90" s="520"/>
      <c r="BJ90" s="520"/>
      <c r="BK90" s="520"/>
      <c r="BL90" s="520"/>
      <c r="BM90" s="520"/>
      <c r="BN90" s="520"/>
      <c r="BO90" s="520"/>
      <c r="BP90" s="520"/>
      <c r="BQ90" s="520"/>
      <c r="BR90" s="520"/>
      <c r="BS90" s="520"/>
      <c r="BT90" s="520"/>
      <c r="BU90" s="520"/>
      <c r="BV90" s="520"/>
      <c r="BW90" s="520"/>
      <c r="BX90" s="520"/>
      <c r="BY90" s="520"/>
      <c r="BZ90" s="520"/>
      <c r="CA90" s="520"/>
      <c r="CB90" s="521"/>
      <c r="CC90" s="278"/>
      <c r="CD90" s="295"/>
      <c r="CE90" s="296"/>
    </row>
    <row r="91" spans="1:83" s="297" customFormat="1" ht="12.75" customHeight="1" x14ac:dyDescent="0.15">
      <c r="A91" s="293"/>
      <c r="B91" s="294"/>
      <c r="C91" s="295"/>
      <c r="D91" s="983"/>
      <c r="E91" s="984"/>
      <c r="F91" s="984"/>
      <c r="G91" s="984"/>
      <c r="H91" s="985"/>
      <c r="I91" s="547"/>
      <c r="J91" s="548"/>
      <c r="K91" s="548"/>
      <c r="L91" s="548"/>
      <c r="M91" s="548"/>
      <c r="N91" s="548"/>
      <c r="O91" s="548"/>
      <c r="P91" s="548"/>
      <c r="Q91" s="548"/>
      <c r="R91" s="548"/>
      <c r="S91" s="548"/>
      <c r="T91" s="548"/>
      <c r="U91" s="548"/>
      <c r="V91" s="548"/>
      <c r="W91" s="548"/>
      <c r="X91" s="548"/>
      <c r="Y91" s="548"/>
      <c r="Z91" s="548"/>
      <c r="AA91" s="548"/>
      <c r="AB91" s="548"/>
      <c r="AC91" s="548"/>
      <c r="AD91" s="548"/>
      <c r="AE91" s="548"/>
      <c r="AF91" s="548"/>
      <c r="AG91" s="549"/>
      <c r="AH91" s="550"/>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2"/>
      <c r="CC91" s="278"/>
      <c r="CD91" s="295"/>
      <c r="CE91" s="296"/>
    </row>
    <row r="92" spans="1:83" s="297" customFormat="1" ht="12.75" customHeight="1" x14ac:dyDescent="0.15">
      <c r="A92" s="293"/>
      <c r="B92" s="294"/>
      <c r="C92" s="295"/>
      <c r="D92" s="992" t="s">
        <v>293</v>
      </c>
      <c r="E92" s="993"/>
      <c r="F92" s="993"/>
      <c r="G92" s="993"/>
      <c r="H92" s="994"/>
      <c r="I92" s="510" t="s">
        <v>814</v>
      </c>
      <c r="J92" s="511"/>
      <c r="K92" s="511"/>
      <c r="L92" s="511"/>
      <c r="M92" s="511"/>
      <c r="N92" s="511"/>
      <c r="O92" s="511"/>
      <c r="P92" s="511"/>
      <c r="Q92" s="511"/>
      <c r="R92" s="511"/>
      <c r="S92" s="511"/>
      <c r="T92" s="511"/>
      <c r="U92" s="511"/>
      <c r="V92" s="511"/>
      <c r="W92" s="511"/>
      <c r="X92" s="511"/>
      <c r="Y92" s="511"/>
      <c r="Z92" s="511"/>
      <c r="AA92" s="511"/>
      <c r="AB92" s="511"/>
      <c r="AC92" s="511"/>
      <c r="AD92" s="511"/>
      <c r="AE92" s="511"/>
      <c r="AF92" s="511"/>
      <c r="AG92" s="512"/>
      <c r="AH92" s="519" t="s">
        <v>818</v>
      </c>
      <c r="AI92" s="520"/>
      <c r="AJ92" s="520"/>
      <c r="AK92" s="520"/>
      <c r="AL92" s="520"/>
      <c r="AM92" s="520"/>
      <c r="AN92" s="520"/>
      <c r="AO92" s="520"/>
      <c r="AP92" s="520"/>
      <c r="AQ92" s="520"/>
      <c r="AR92" s="520"/>
      <c r="AS92" s="520"/>
      <c r="AT92" s="520"/>
      <c r="AU92" s="520"/>
      <c r="AV92" s="520"/>
      <c r="AW92" s="520"/>
      <c r="AX92" s="520"/>
      <c r="AY92" s="520"/>
      <c r="AZ92" s="520"/>
      <c r="BA92" s="520"/>
      <c r="BB92" s="520"/>
      <c r="BC92" s="520"/>
      <c r="BD92" s="520"/>
      <c r="BE92" s="520"/>
      <c r="BF92" s="520"/>
      <c r="BG92" s="520"/>
      <c r="BH92" s="520"/>
      <c r="BI92" s="520"/>
      <c r="BJ92" s="520"/>
      <c r="BK92" s="520"/>
      <c r="BL92" s="520"/>
      <c r="BM92" s="520"/>
      <c r="BN92" s="520"/>
      <c r="BO92" s="520"/>
      <c r="BP92" s="520"/>
      <c r="BQ92" s="520"/>
      <c r="BR92" s="520"/>
      <c r="BS92" s="520"/>
      <c r="BT92" s="520"/>
      <c r="BU92" s="520"/>
      <c r="BV92" s="520"/>
      <c r="BW92" s="520"/>
      <c r="BX92" s="520"/>
      <c r="BY92" s="520"/>
      <c r="BZ92" s="520"/>
      <c r="CA92" s="520"/>
      <c r="CB92" s="521"/>
      <c r="CC92" s="278"/>
      <c r="CD92" s="295"/>
      <c r="CE92" s="296"/>
    </row>
    <row r="93" spans="1:83" s="297" customFormat="1" ht="12.75" customHeight="1" x14ac:dyDescent="0.15">
      <c r="A93" s="293"/>
      <c r="B93" s="294"/>
      <c r="C93" s="295"/>
      <c r="D93" s="983"/>
      <c r="E93" s="984"/>
      <c r="F93" s="984"/>
      <c r="G93" s="984"/>
      <c r="H93" s="985"/>
      <c r="I93" s="794"/>
      <c r="J93" s="795"/>
      <c r="K93" s="795"/>
      <c r="L93" s="795"/>
      <c r="M93" s="795"/>
      <c r="N93" s="795"/>
      <c r="O93" s="795"/>
      <c r="P93" s="795"/>
      <c r="Q93" s="795"/>
      <c r="R93" s="795"/>
      <c r="S93" s="795"/>
      <c r="T93" s="795"/>
      <c r="U93" s="795"/>
      <c r="V93" s="795"/>
      <c r="W93" s="795"/>
      <c r="X93" s="795"/>
      <c r="Y93" s="795"/>
      <c r="Z93" s="795"/>
      <c r="AA93" s="795"/>
      <c r="AB93" s="795"/>
      <c r="AC93" s="795"/>
      <c r="AD93" s="795"/>
      <c r="AE93" s="795"/>
      <c r="AF93" s="795"/>
      <c r="AG93" s="796"/>
      <c r="AH93" s="1017"/>
      <c r="AI93" s="1018"/>
      <c r="AJ93" s="1018"/>
      <c r="AK93" s="1018"/>
      <c r="AL93" s="1018"/>
      <c r="AM93" s="1018"/>
      <c r="AN93" s="1018"/>
      <c r="AO93" s="1018"/>
      <c r="AP93" s="1018"/>
      <c r="AQ93" s="1018"/>
      <c r="AR93" s="1018"/>
      <c r="AS93" s="1018"/>
      <c r="AT93" s="1018"/>
      <c r="AU93" s="1018"/>
      <c r="AV93" s="1018"/>
      <c r="AW93" s="1018"/>
      <c r="AX93" s="1018"/>
      <c r="AY93" s="1018"/>
      <c r="AZ93" s="1018"/>
      <c r="BA93" s="1018"/>
      <c r="BB93" s="1018"/>
      <c r="BC93" s="1018"/>
      <c r="BD93" s="1018"/>
      <c r="BE93" s="1018"/>
      <c r="BF93" s="1018"/>
      <c r="BG93" s="1018"/>
      <c r="BH93" s="1018"/>
      <c r="BI93" s="1018"/>
      <c r="BJ93" s="1018"/>
      <c r="BK93" s="1018"/>
      <c r="BL93" s="1018"/>
      <c r="BM93" s="1018"/>
      <c r="BN93" s="1018"/>
      <c r="BO93" s="1018"/>
      <c r="BP93" s="1018"/>
      <c r="BQ93" s="1018"/>
      <c r="BR93" s="1018"/>
      <c r="BS93" s="1018"/>
      <c r="BT93" s="1018"/>
      <c r="BU93" s="1018"/>
      <c r="BV93" s="1018"/>
      <c r="BW93" s="1018"/>
      <c r="BX93" s="1018"/>
      <c r="BY93" s="1018"/>
      <c r="BZ93" s="1018"/>
      <c r="CA93" s="1018"/>
      <c r="CB93" s="1019"/>
      <c r="CC93" s="278"/>
      <c r="CD93" s="295"/>
      <c r="CE93" s="296"/>
    </row>
    <row r="94" spans="1:83" s="297" customFormat="1" ht="12.75" customHeight="1" x14ac:dyDescent="0.15">
      <c r="A94" s="293"/>
      <c r="B94" s="294"/>
      <c r="C94" s="295"/>
      <c r="D94" s="992" t="s">
        <v>294</v>
      </c>
      <c r="E94" s="993"/>
      <c r="F94" s="993"/>
      <c r="G94" s="993"/>
      <c r="H94" s="994"/>
      <c r="I94" s="510" t="s">
        <v>815</v>
      </c>
      <c r="J94" s="511"/>
      <c r="K94" s="511"/>
      <c r="L94" s="511"/>
      <c r="M94" s="511"/>
      <c r="N94" s="511"/>
      <c r="O94" s="511"/>
      <c r="P94" s="511"/>
      <c r="Q94" s="511"/>
      <c r="R94" s="511"/>
      <c r="S94" s="511"/>
      <c r="T94" s="511"/>
      <c r="U94" s="511"/>
      <c r="V94" s="511"/>
      <c r="W94" s="511"/>
      <c r="X94" s="511"/>
      <c r="Y94" s="511"/>
      <c r="Z94" s="511"/>
      <c r="AA94" s="511"/>
      <c r="AB94" s="511"/>
      <c r="AC94" s="511"/>
      <c r="AD94" s="511"/>
      <c r="AE94" s="511"/>
      <c r="AF94" s="511"/>
      <c r="AG94" s="512"/>
      <c r="AH94" s="519" t="s">
        <v>819</v>
      </c>
      <c r="AI94" s="520"/>
      <c r="AJ94" s="520"/>
      <c r="AK94" s="520"/>
      <c r="AL94" s="520"/>
      <c r="AM94" s="520"/>
      <c r="AN94" s="520"/>
      <c r="AO94" s="520"/>
      <c r="AP94" s="520"/>
      <c r="AQ94" s="520"/>
      <c r="AR94" s="520"/>
      <c r="AS94" s="520"/>
      <c r="AT94" s="520"/>
      <c r="AU94" s="520"/>
      <c r="AV94" s="520"/>
      <c r="AW94" s="520"/>
      <c r="AX94" s="520"/>
      <c r="AY94" s="520"/>
      <c r="AZ94" s="520"/>
      <c r="BA94" s="520"/>
      <c r="BB94" s="520"/>
      <c r="BC94" s="520"/>
      <c r="BD94" s="520"/>
      <c r="BE94" s="520"/>
      <c r="BF94" s="520"/>
      <c r="BG94" s="520"/>
      <c r="BH94" s="520"/>
      <c r="BI94" s="520"/>
      <c r="BJ94" s="520"/>
      <c r="BK94" s="520"/>
      <c r="BL94" s="520"/>
      <c r="BM94" s="520"/>
      <c r="BN94" s="520"/>
      <c r="BO94" s="520"/>
      <c r="BP94" s="520"/>
      <c r="BQ94" s="520"/>
      <c r="BR94" s="520"/>
      <c r="BS94" s="520"/>
      <c r="BT94" s="520"/>
      <c r="BU94" s="520"/>
      <c r="BV94" s="520"/>
      <c r="BW94" s="520"/>
      <c r="BX94" s="520"/>
      <c r="BY94" s="520"/>
      <c r="BZ94" s="520"/>
      <c r="CA94" s="520"/>
      <c r="CB94" s="521"/>
      <c r="CC94" s="278"/>
      <c r="CD94" s="295"/>
      <c r="CE94" s="296"/>
    </row>
    <row r="95" spans="1:83" s="297" customFormat="1" ht="12.75" customHeight="1" x14ac:dyDescent="0.15">
      <c r="A95" s="293"/>
      <c r="B95" s="294"/>
      <c r="C95" s="295"/>
      <c r="D95" s="1043"/>
      <c r="E95" s="1044"/>
      <c r="F95" s="1044"/>
      <c r="G95" s="1044"/>
      <c r="H95" s="1045"/>
      <c r="I95" s="513"/>
      <c r="J95" s="514"/>
      <c r="K95" s="514"/>
      <c r="L95" s="514"/>
      <c r="M95" s="514"/>
      <c r="N95" s="514"/>
      <c r="O95" s="514"/>
      <c r="P95" s="514"/>
      <c r="Q95" s="514"/>
      <c r="R95" s="514"/>
      <c r="S95" s="514"/>
      <c r="T95" s="514"/>
      <c r="U95" s="514"/>
      <c r="V95" s="514"/>
      <c r="W95" s="514"/>
      <c r="X95" s="514"/>
      <c r="Y95" s="514"/>
      <c r="Z95" s="514"/>
      <c r="AA95" s="514"/>
      <c r="AB95" s="514"/>
      <c r="AC95" s="514"/>
      <c r="AD95" s="514"/>
      <c r="AE95" s="514"/>
      <c r="AF95" s="514"/>
      <c r="AG95" s="515"/>
      <c r="AH95" s="522"/>
      <c r="AI95" s="523"/>
      <c r="AJ95" s="523"/>
      <c r="AK95" s="523"/>
      <c r="AL95" s="523"/>
      <c r="AM95" s="523"/>
      <c r="AN95" s="523"/>
      <c r="AO95" s="523"/>
      <c r="AP95" s="523"/>
      <c r="AQ95" s="523"/>
      <c r="AR95" s="523"/>
      <c r="AS95" s="523"/>
      <c r="AT95" s="523"/>
      <c r="AU95" s="523"/>
      <c r="AV95" s="523"/>
      <c r="AW95" s="523"/>
      <c r="AX95" s="523"/>
      <c r="AY95" s="523"/>
      <c r="AZ95" s="523"/>
      <c r="BA95" s="523"/>
      <c r="BB95" s="523"/>
      <c r="BC95" s="523"/>
      <c r="BD95" s="523"/>
      <c r="BE95" s="523"/>
      <c r="BF95" s="523"/>
      <c r="BG95" s="523"/>
      <c r="BH95" s="523"/>
      <c r="BI95" s="523"/>
      <c r="BJ95" s="523"/>
      <c r="BK95" s="523"/>
      <c r="BL95" s="523"/>
      <c r="BM95" s="523"/>
      <c r="BN95" s="523"/>
      <c r="BO95" s="523"/>
      <c r="BP95" s="523"/>
      <c r="BQ95" s="523"/>
      <c r="BR95" s="523"/>
      <c r="BS95" s="523"/>
      <c r="BT95" s="523"/>
      <c r="BU95" s="523"/>
      <c r="BV95" s="523"/>
      <c r="BW95" s="523"/>
      <c r="BX95" s="523"/>
      <c r="BY95" s="523"/>
      <c r="BZ95" s="523"/>
      <c r="CA95" s="523"/>
      <c r="CB95" s="524"/>
      <c r="CC95" s="278"/>
      <c r="CD95" s="295"/>
      <c r="CE95" s="296"/>
    </row>
    <row r="96" spans="1:83" s="297" customFormat="1" ht="12.75" customHeight="1" x14ac:dyDescent="0.15">
      <c r="A96" s="293"/>
      <c r="B96" s="294"/>
      <c r="C96" s="295"/>
      <c r="D96" s="983"/>
      <c r="E96" s="984"/>
      <c r="F96" s="984"/>
      <c r="G96" s="984"/>
      <c r="H96" s="985"/>
      <c r="I96" s="794"/>
      <c r="J96" s="795"/>
      <c r="K96" s="795"/>
      <c r="L96" s="795"/>
      <c r="M96" s="795"/>
      <c r="N96" s="795"/>
      <c r="O96" s="795"/>
      <c r="P96" s="795"/>
      <c r="Q96" s="795"/>
      <c r="R96" s="795"/>
      <c r="S96" s="795"/>
      <c r="T96" s="795"/>
      <c r="U96" s="795"/>
      <c r="V96" s="795"/>
      <c r="W96" s="795"/>
      <c r="X96" s="795"/>
      <c r="Y96" s="795"/>
      <c r="Z96" s="795"/>
      <c r="AA96" s="795"/>
      <c r="AB96" s="795"/>
      <c r="AC96" s="795"/>
      <c r="AD96" s="795"/>
      <c r="AE96" s="795"/>
      <c r="AF96" s="795"/>
      <c r="AG96" s="796"/>
      <c r="AH96" s="1017"/>
      <c r="AI96" s="1018"/>
      <c r="AJ96" s="1018"/>
      <c r="AK96" s="1018"/>
      <c r="AL96" s="1018"/>
      <c r="AM96" s="1018"/>
      <c r="AN96" s="1018"/>
      <c r="AO96" s="1018"/>
      <c r="AP96" s="1018"/>
      <c r="AQ96" s="1018"/>
      <c r="AR96" s="1018"/>
      <c r="AS96" s="1018"/>
      <c r="AT96" s="1018"/>
      <c r="AU96" s="1018"/>
      <c r="AV96" s="1018"/>
      <c r="AW96" s="1018"/>
      <c r="AX96" s="1018"/>
      <c r="AY96" s="1018"/>
      <c r="AZ96" s="1018"/>
      <c r="BA96" s="1018"/>
      <c r="BB96" s="1018"/>
      <c r="BC96" s="1018"/>
      <c r="BD96" s="1018"/>
      <c r="BE96" s="1018"/>
      <c r="BF96" s="1018"/>
      <c r="BG96" s="1018"/>
      <c r="BH96" s="1018"/>
      <c r="BI96" s="1018"/>
      <c r="BJ96" s="1018"/>
      <c r="BK96" s="1018"/>
      <c r="BL96" s="1018"/>
      <c r="BM96" s="1018"/>
      <c r="BN96" s="1018"/>
      <c r="BO96" s="1018"/>
      <c r="BP96" s="1018"/>
      <c r="BQ96" s="1018"/>
      <c r="BR96" s="1018"/>
      <c r="BS96" s="1018"/>
      <c r="BT96" s="1018"/>
      <c r="BU96" s="1018"/>
      <c r="BV96" s="1018"/>
      <c r="BW96" s="1018"/>
      <c r="BX96" s="1018"/>
      <c r="BY96" s="1018"/>
      <c r="BZ96" s="1018"/>
      <c r="CA96" s="1018"/>
      <c r="CB96" s="1019"/>
      <c r="CC96" s="278"/>
      <c r="CD96" s="295"/>
      <c r="CE96" s="296"/>
    </row>
    <row r="97" spans="1:83" s="297" customFormat="1" ht="12.75" customHeight="1" x14ac:dyDescent="0.15">
      <c r="A97" s="293"/>
      <c r="B97" s="294"/>
      <c r="C97" s="295"/>
      <c r="D97" s="992" t="s">
        <v>295</v>
      </c>
      <c r="E97" s="993"/>
      <c r="F97" s="993"/>
      <c r="G97" s="993"/>
      <c r="H97" s="994"/>
      <c r="I97" s="519" t="s">
        <v>822</v>
      </c>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2"/>
      <c r="AH97" s="519" t="s">
        <v>430</v>
      </c>
      <c r="AI97" s="511"/>
      <c r="AJ97" s="511"/>
      <c r="AK97" s="511"/>
      <c r="AL97" s="511"/>
      <c r="AM97" s="511"/>
      <c r="AN97" s="511"/>
      <c r="AO97" s="511"/>
      <c r="AP97" s="511"/>
      <c r="AQ97" s="511"/>
      <c r="AR97" s="511"/>
      <c r="AS97" s="511"/>
      <c r="AT97" s="511"/>
      <c r="AU97" s="511"/>
      <c r="AV97" s="511"/>
      <c r="AW97" s="511"/>
      <c r="AX97" s="511"/>
      <c r="AY97" s="511"/>
      <c r="AZ97" s="511"/>
      <c r="BA97" s="511"/>
      <c r="BB97" s="511"/>
      <c r="BC97" s="511"/>
      <c r="BD97" s="511"/>
      <c r="BE97" s="511"/>
      <c r="BF97" s="511"/>
      <c r="BG97" s="511"/>
      <c r="BH97" s="511"/>
      <c r="BI97" s="511"/>
      <c r="BJ97" s="511"/>
      <c r="BK97" s="511"/>
      <c r="BL97" s="511"/>
      <c r="BM97" s="511"/>
      <c r="BN97" s="511"/>
      <c r="BO97" s="511"/>
      <c r="BP97" s="511"/>
      <c r="BQ97" s="511"/>
      <c r="BR97" s="511"/>
      <c r="BS97" s="511"/>
      <c r="BT97" s="511"/>
      <c r="BU97" s="511"/>
      <c r="BV97" s="511"/>
      <c r="BW97" s="511"/>
      <c r="BX97" s="511"/>
      <c r="BY97" s="511"/>
      <c r="BZ97" s="511"/>
      <c r="CA97" s="511"/>
      <c r="CB97" s="512"/>
      <c r="CC97" s="278"/>
      <c r="CD97" s="295"/>
      <c r="CE97" s="296"/>
    </row>
    <row r="98" spans="1:83" s="297" customFormat="1" ht="12.75" customHeight="1" x14ac:dyDescent="0.15">
      <c r="A98" s="293"/>
      <c r="B98" s="294"/>
      <c r="C98" s="295"/>
      <c r="D98" s="983"/>
      <c r="E98" s="984"/>
      <c r="F98" s="984"/>
      <c r="G98" s="984"/>
      <c r="H98" s="985"/>
      <c r="I98" s="791"/>
      <c r="J98" s="792"/>
      <c r="K98" s="792"/>
      <c r="L98" s="792"/>
      <c r="M98" s="792"/>
      <c r="N98" s="792"/>
      <c r="O98" s="792"/>
      <c r="P98" s="792"/>
      <c r="Q98" s="792"/>
      <c r="R98" s="792"/>
      <c r="S98" s="792"/>
      <c r="T98" s="792"/>
      <c r="U98" s="792"/>
      <c r="V98" s="792"/>
      <c r="W98" s="792"/>
      <c r="X98" s="792"/>
      <c r="Y98" s="792"/>
      <c r="Z98" s="792"/>
      <c r="AA98" s="792"/>
      <c r="AB98" s="792"/>
      <c r="AC98" s="792"/>
      <c r="AD98" s="792"/>
      <c r="AE98" s="792"/>
      <c r="AF98" s="792"/>
      <c r="AG98" s="793"/>
      <c r="AH98" s="794"/>
      <c r="AI98" s="795"/>
      <c r="AJ98" s="795"/>
      <c r="AK98" s="795"/>
      <c r="AL98" s="795"/>
      <c r="AM98" s="795"/>
      <c r="AN98" s="795"/>
      <c r="AO98" s="795"/>
      <c r="AP98" s="795"/>
      <c r="AQ98" s="795"/>
      <c r="AR98" s="795"/>
      <c r="AS98" s="795"/>
      <c r="AT98" s="795"/>
      <c r="AU98" s="795"/>
      <c r="AV98" s="795"/>
      <c r="AW98" s="795"/>
      <c r="AX98" s="795"/>
      <c r="AY98" s="795"/>
      <c r="AZ98" s="795"/>
      <c r="BA98" s="795"/>
      <c r="BB98" s="795"/>
      <c r="BC98" s="795"/>
      <c r="BD98" s="795"/>
      <c r="BE98" s="795"/>
      <c r="BF98" s="795"/>
      <c r="BG98" s="795"/>
      <c r="BH98" s="795"/>
      <c r="BI98" s="795"/>
      <c r="BJ98" s="795"/>
      <c r="BK98" s="795"/>
      <c r="BL98" s="795"/>
      <c r="BM98" s="795"/>
      <c r="BN98" s="795"/>
      <c r="BO98" s="795"/>
      <c r="BP98" s="795"/>
      <c r="BQ98" s="795"/>
      <c r="BR98" s="795"/>
      <c r="BS98" s="795"/>
      <c r="BT98" s="795"/>
      <c r="BU98" s="795"/>
      <c r="BV98" s="795"/>
      <c r="BW98" s="795"/>
      <c r="BX98" s="795"/>
      <c r="BY98" s="795"/>
      <c r="BZ98" s="795"/>
      <c r="CA98" s="795"/>
      <c r="CB98" s="796"/>
      <c r="CC98" s="278"/>
      <c r="CD98" s="295"/>
      <c r="CE98" s="296"/>
    </row>
    <row r="99" spans="1:83" ht="12.75" customHeight="1" x14ac:dyDescent="0.15">
      <c r="A99" s="98"/>
      <c r="B99" s="99"/>
      <c r="C99" s="3"/>
      <c r="D99" s="501" t="s">
        <v>730</v>
      </c>
      <c r="E99" s="502"/>
      <c r="F99" s="502"/>
      <c r="G99" s="502"/>
      <c r="H99" s="503"/>
      <c r="I99" s="510" t="s">
        <v>816</v>
      </c>
      <c r="J99" s="511"/>
      <c r="K99" s="511"/>
      <c r="L99" s="511"/>
      <c r="M99" s="511"/>
      <c r="N99" s="511"/>
      <c r="O99" s="511"/>
      <c r="P99" s="511"/>
      <c r="Q99" s="511"/>
      <c r="R99" s="511"/>
      <c r="S99" s="511"/>
      <c r="T99" s="511"/>
      <c r="U99" s="511"/>
      <c r="V99" s="511"/>
      <c r="W99" s="511"/>
      <c r="X99" s="511"/>
      <c r="Y99" s="511"/>
      <c r="Z99" s="511"/>
      <c r="AA99" s="511"/>
      <c r="AB99" s="511"/>
      <c r="AC99" s="511"/>
      <c r="AD99" s="511"/>
      <c r="AE99" s="511"/>
      <c r="AF99" s="511"/>
      <c r="AG99" s="512"/>
      <c r="AH99" s="519" t="s">
        <v>820</v>
      </c>
      <c r="AI99" s="520"/>
      <c r="AJ99" s="520"/>
      <c r="AK99" s="520"/>
      <c r="AL99" s="520"/>
      <c r="AM99" s="520"/>
      <c r="AN99" s="520"/>
      <c r="AO99" s="520"/>
      <c r="AP99" s="520"/>
      <c r="AQ99" s="520"/>
      <c r="AR99" s="520"/>
      <c r="AS99" s="520"/>
      <c r="AT99" s="520"/>
      <c r="AU99" s="520"/>
      <c r="AV99" s="520"/>
      <c r="AW99" s="520"/>
      <c r="AX99" s="520"/>
      <c r="AY99" s="520"/>
      <c r="AZ99" s="520"/>
      <c r="BA99" s="520"/>
      <c r="BB99" s="520"/>
      <c r="BC99" s="520"/>
      <c r="BD99" s="520"/>
      <c r="BE99" s="520"/>
      <c r="BF99" s="520"/>
      <c r="BG99" s="520"/>
      <c r="BH99" s="520"/>
      <c r="BI99" s="520"/>
      <c r="BJ99" s="520"/>
      <c r="BK99" s="520"/>
      <c r="BL99" s="520"/>
      <c r="BM99" s="520"/>
      <c r="BN99" s="520"/>
      <c r="BO99" s="520"/>
      <c r="BP99" s="520"/>
      <c r="BQ99" s="520"/>
      <c r="BR99" s="520"/>
      <c r="BS99" s="520"/>
      <c r="BT99" s="520"/>
      <c r="BU99" s="520"/>
      <c r="BV99" s="520"/>
      <c r="BW99" s="520"/>
      <c r="BX99" s="520"/>
      <c r="BY99" s="520"/>
      <c r="BZ99" s="520"/>
      <c r="CA99" s="520"/>
      <c r="CB99" s="521"/>
      <c r="CC99" s="58"/>
      <c r="CD99" s="3"/>
      <c r="CE99" s="100"/>
    </row>
    <row r="100" spans="1:83" ht="12.75" customHeight="1" x14ac:dyDescent="0.15">
      <c r="A100" s="98"/>
      <c r="B100" s="99"/>
      <c r="C100" s="3"/>
      <c r="D100" s="544"/>
      <c r="E100" s="545"/>
      <c r="F100" s="545"/>
      <c r="G100" s="545"/>
      <c r="H100" s="546"/>
      <c r="I100" s="547"/>
      <c r="J100" s="548"/>
      <c r="K100" s="548"/>
      <c r="L100" s="548"/>
      <c r="M100" s="548"/>
      <c r="N100" s="548"/>
      <c r="O100" s="548"/>
      <c r="P100" s="548"/>
      <c r="Q100" s="548"/>
      <c r="R100" s="548"/>
      <c r="S100" s="548"/>
      <c r="T100" s="548"/>
      <c r="U100" s="548"/>
      <c r="V100" s="548"/>
      <c r="W100" s="548"/>
      <c r="X100" s="548"/>
      <c r="Y100" s="548"/>
      <c r="Z100" s="548"/>
      <c r="AA100" s="548"/>
      <c r="AB100" s="548"/>
      <c r="AC100" s="548"/>
      <c r="AD100" s="548"/>
      <c r="AE100" s="548"/>
      <c r="AF100" s="548"/>
      <c r="AG100" s="549"/>
      <c r="AH100" s="550"/>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2"/>
      <c r="CC100" s="58"/>
      <c r="CD100" s="3"/>
      <c r="CE100" s="100"/>
    </row>
    <row r="101" spans="1:83" ht="12.75" customHeight="1" x14ac:dyDescent="0.15">
      <c r="A101" s="98"/>
      <c r="B101" s="99"/>
      <c r="C101" s="3"/>
      <c r="D101" s="501" t="s">
        <v>731</v>
      </c>
      <c r="E101" s="502"/>
      <c r="F101" s="502"/>
      <c r="G101" s="502"/>
      <c r="H101" s="503"/>
      <c r="I101" s="510" t="s">
        <v>817</v>
      </c>
      <c r="J101" s="511"/>
      <c r="K101" s="511"/>
      <c r="L101" s="511"/>
      <c r="M101" s="511"/>
      <c r="N101" s="511"/>
      <c r="O101" s="511"/>
      <c r="P101" s="511"/>
      <c r="Q101" s="511"/>
      <c r="R101" s="511"/>
      <c r="S101" s="511"/>
      <c r="T101" s="511"/>
      <c r="U101" s="511"/>
      <c r="V101" s="511"/>
      <c r="W101" s="511"/>
      <c r="X101" s="511"/>
      <c r="Y101" s="511"/>
      <c r="Z101" s="511"/>
      <c r="AA101" s="511"/>
      <c r="AB101" s="511"/>
      <c r="AC101" s="511"/>
      <c r="AD101" s="511"/>
      <c r="AE101" s="511"/>
      <c r="AF101" s="511"/>
      <c r="AG101" s="512"/>
      <c r="AH101" s="519" t="s">
        <v>821</v>
      </c>
      <c r="AI101" s="520"/>
      <c r="AJ101" s="520"/>
      <c r="AK101" s="520"/>
      <c r="AL101" s="520"/>
      <c r="AM101" s="520"/>
      <c r="AN101" s="520"/>
      <c r="AO101" s="520"/>
      <c r="AP101" s="520"/>
      <c r="AQ101" s="520"/>
      <c r="AR101" s="520"/>
      <c r="AS101" s="520"/>
      <c r="AT101" s="520"/>
      <c r="AU101" s="520"/>
      <c r="AV101" s="520"/>
      <c r="AW101" s="520"/>
      <c r="AX101" s="520"/>
      <c r="AY101" s="520"/>
      <c r="AZ101" s="520"/>
      <c r="BA101" s="520"/>
      <c r="BB101" s="520"/>
      <c r="BC101" s="520"/>
      <c r="BD101" s="520"/>
      <c r="BE101" s="520"/>
      <c r="BF101" s="520"/>
      <c r="BG101" s="520"/>
      <c r="BH101" s="520"/>
      <c r="BI101" s="520"/>
      <c r="BJ101" s="520"/>
      <c r="BK101" s="520"/>
      <c r="BL101" s="520"/>
      <c r="BM101" s="520"/>
      <c r="BN101" s="520"/>
      <c r="BO101" s="520"/>
      <c r="BP101" s="520"/>
      <c r="BQ101" s="520"/>
      <c r="BR101" s="520"/>
      <c r="BS101" s="520"/>
      <c r="BT101" s="520"/>
      <c r="BU101" s="520"/>
      <c r="BV101" s="520"/>
      <c r="BW101" s="520"/>
      <c r="BX101" s="520"/>
      <c r="BY101" s="520"/>
      <c r="BZ101" s="520"/>
      <c r="CA101" s="520"/>
      <c r="CB101" s="521"/>
      <c r="CC101" s="58"/>
      <c r="CD101" s="3"/>
      <c r="CE101" s="100"/>
    </row>
    <row r="102" spans="1:83" ht="12.75" customHeight="1" x14ac:dyDescent="0.15">
      <c r="A102" s="98"/>
      <c r="B102" s="99"/>
      <c r="C102" s="3"/>
      <c r="D102" s="528"/>
      <c r="E102" s="529"/>
      <c r="F102" s="529"/>
      <c r="G102" s="529"/>
      <c r="H102" s="530"/>
      <c r="I102" s="513"/>
      <c r="J102" s="514"/>
      <c r="K102" s="514"/>
      <c r="L102" s="514"/>
      <c r="M102" s="514"/>
      <c r="N102" s="514"/>
      <c r="O102" s="514"/>
      <c r="P102" s="514"/>
      <c r="Q102" s="514"/>
      <c r="R102" s="514"/>
      <c r="S102" s="514"/>
      <c r="T102" s="514"/>
      <c r="U102" s="514"/>
      <c r="V102" s="514"/>
      <c r="W102" s="514"/>
      <c r="X102" s="514"/>
      <c r="Y102" s="514"/>
      <c r="Z102" s="514"/>
      <c r="AA102" s="514"/>
      <c r="AB102" s="514"/>
      <c r="AC102" s="514"/>
      <c r="AD102" s="514"/>
      <c r="AE102" s="514"/>
      <c r="AF102" s="514"/>
      <c r="AG102" s="515"/>
      <c r="AH102" s="522"/>
      <c r="AI102" s="523"/>
      <c r="AJ102" s="523"/>
      <c r="AK102" s="523"/>
      <c r="AL102" s="523"/>
      <c r="AM102" s="523"/>
      <c r="AN102" s="523"/>
      <c r="AO102" s="523"/>
      <c r="AP102" s="523"/>
      <c r="AQ102" s="523"/>
      <c r="AR102" s="523"/>
      <c r="AS102" s="523"/>
      <c r="AT102" s="523"/>
      <c r="AU102" s="523"/>
      <c r="AV102" s="523"/>
      <c r="AW102" s="523"/>
      <c r="AX102" s="523"/>
      <c r="AY102" s="523"/>
      <c r="AZ102" s="523"/>
      <c r="BA102" s="523"/>
      <c r="BB102" s="523"/>
      <c r="BC102" s="523"/>
      <c r="BD102" s="523"/>
      <c r="BE102" s="523"/>
      <c r="BF102" s="523"/>
      <c r="BG102" s="523"/>
      <c r="BH102" s="523"/>
      <c r="BI102" s="523"/>
      <c r="BJ102" s="523"/>
      <c r="BK102" s="523"/>
      <c r="BL102" s="523"/>
      <c r="BM102" s="523"/>
      <c r="BN102" s="523"/>
      <c r="BO102" s="523"/>
      <c r="BP102" s="523"/>
      <c r="BQ102" s="523"/>
      <c r="BR102" s="523"/>
      <c r="BS102" s="523"/>
      <c r="BT102" s="523"/>
      <c r="BU102" s="523"/>
      <c r="BV102" s="523"/>
      <c r="BW102" s="523"/>
      <c r="BX102" s="523"/>
      <c r="BY102" s="523"/>
      <c r="BZ102" s="523"/>
      <c r="CA102" s="523"/>
      <c r="CB102" s="524"/>
      <c r="CC102" s="58"/>
      <c r="CD102" s="3"/>
      <c r="CE102" s="100"/>
    </row>
    <row r="103" spans="1:83" ht="12.75" customHeight="1" x14ac:dyDescent="0.15">
      <c r="A103" s="98"/>
      <c r="B103" s="99"/>
      <c r="C103" s="3"/>
      <c r="D103" s="544"/>
      <c r="E103" s="545"/>
      <c r="F103" s="545"/>
      <c r="G103" s="545"/>
      <c r="H103" s="546"/>
      <c r="I103" s="547"/>
      <c r="J103" s="548"/>
      <c r="K103" s="548"/>
      <c r="L103" s="548"/>
      <c r="M103" s="548"/>
      <c r="N103" s="548"/>
      <c r="O103" s="548"/>
      <c r="P103" s="548"/>
      <c r="Q103" s="548"/>
      <c r="R103" s="548"/>
      <c r="S103" s="548"/>
      <c r="T103" s="548"/>
      <c r="U103" s="548"/>
      <c r="V103" s="548"/>
      <c r="W103" s="548"/>
      <c r="X103" s="548"/>
      <c r="Y103" s="548"/>
      <c r="Z103" s="548"/>
      <c r="AA103" s="548"/>
      <c r="AB103" s="548"/>
      <c r="AC103" s="548"/>
      <c r="AD103" s="548"/>
      <c r="AE103" s="548"/>
      <c r="AF103" s="548"/>
      <c r="AG103" s="549"/>
      <c r="AH103" s="550"/>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2"/>
      <c r="CC103" s="58"/>
      <c r="CD103" s="3"/>
      <c r="CE103" s="100"/>
    </row>
    <row r="104" spans="1:83" s="297" customFormat="1" x14ac:dyDescent="0.15">
      <c r="A104" s="298"/>
      <c r="B104" s="295"/>
      <c r="C104" s="295"/>
      <c r="D104" s="295"/>
      <c r="E104" s="295"/>
      <c r="F104" s="295"/>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5"/>
      <c r="AL104" s="295"/>
      <c r="AM104" s="295"/>
      <c r="AN104" s="295"/>
      <c r="AO104" s="295"/>
      <c r="AP104" s="295"/>
      <c r="AQ104" s="295"/>
      <c r="AR104" s="295"/>
      <c r="AS104" s="295"/>
      <c r="AT104" s="295"/>
      <c r="AU104" s="295"/>
      <c r="AV104" s="295"/>
      <c r="AW104" s="295"/>
      <c r="AX104" s="295"/>
      <c r="AY104" s="295"/>
      <c r="AZ104" s="295"/>
      <c r="BA104" s="295"/>
      <c r="BB104" s="295"/>
      <c r="BC104" s="295"/>
      <c r="BD104" s="295"/>
      <c r="BE104" s="295"/>
      <c r="BF104" s="295"/>
      <c r="BG104" s="295"/>
      <c r="BH104" s="295"/>
      <c r="BI104" s="295"/>
      <c r="BJ104" s="295"/>
      <c r="BK104" s="295"/>
      <c r="BL104" s="295"/>
      <c r="BM104" s="295"/>
      <c r="BN104" s="295"/>
      <c r="BO104" s="295"/>
      <c r="BP104" s="295"/>
      <c r="BQ104" s="295"/>
      <c r="BR104" s="295"/>
      <c r="BS104" s="295"/>
      <c r="BT104" s="295"/>
      <c r="BU104" s="295"/>
      <c r="BV104" s="295"/>
      <c r="BW104" s="295"/>
      <c r="BX104" s="295"/>
      <c r="BY104" s="295"/>
      <c r="BZ104" s="295"/>
      <c r="CA104" s="295"/>
      <c r="CB104" s="295"/>
      <c r="CC104" s="295"/>
      <c r="CD104" s="295"/>
      <c r="CE104" s="296"/>
    </row>
    <row r="105" spans="1:83" s="297" customFormat="1" x14ac:dyDescent="0.15">
      <c r="A105" s="298"/>
      <c r="B105" s="295"/>
      <c r="C105" s="295"/>
      <c r="D105" s="534" t="s">
        <v>296</v>
      </c>
      <c r="E105" s="534"/>
      <c r="F105" s="534"/>
      <c r="G105" s="534"/>
      <c r="H105" s="534"/>
      <c r="I105" s="534"/>
      <c r="J105" s="534"/>
      <c r="K105" s="534"/>
      <c r="L105" s="534"/>
      <c r="M105" s="534"/>
      <c r="N105" s="534"/>
      <c r="O105" s="534"/>
      <c r="P105" s="534"/>
      <c r="Q105" s="534"/>
      <c r="R105" s="534"/>
      <c r="S105" s="534"/>
      <c r="T105" s="534"/>
      <c r="U105" s="534"/>
      <c r="V105" s="534"/>
      <c r="W105" s="534"/>
      <c r="X105" s="534"/>
      <c r="Y105" s="534"/>
      <c r="Z105" s="534"/>
      <c r="AA105" s="534"/>
      <c r="AB105" s="534"/>
      <c r="AC105" s="534"/>
      <c r="AD105" s="534"/>
      <c r="AE105" s="534"/>
      <c r="AF105" s="534"/>
      <c r="AG105" s="534"/>
      <c r="AH105" s="534"/>
      <c r="AI105" s="534"/>
      <c r="AJ105" s="534"/>
      <c r="AK105" s="534"/>
      <c r="AL105" s="534"/>
      <c r="AM105" s="534"/>
      <c r="AN105" s="534"/>
      <c r="AO105" s="534"/>
      <c r="AP105" s="534"/>
      <c r="AQ105" s="534"/>
      <c r="AR105" s="534"/>
      <c r="AS105" s="534"/>
      <c r="AT105" s="534"/>
      <c r="AU105" s="534"/>
      <c r="AV105" s="534"/>
      <c r="AW105" s="534"/>
      <c r="AX105" s="534"/>
      <c r="AY105" s="534"/>
      <c r="AZ105" s="534"/>
      <c r="BA105" s="534"/>
      <c r="BB105" s="534"/>
      <c r="BC105" s="534"/>
      <c r="BD105" s="534"/>
      <c r="BE105" s="534"/>
      <c r="BF105" s="534"/>
      <c r="BG105" s="534"/>
      <c r="BH105" s="534"/>
      <c r="BI105" s="534"/>
      <c r="BJ105" s="534"/>
      <c r="BK105" s="534"/>
      <c r="BL105" s="534"/>
      <c r="BM105" s="534"/>
      <c r="BN105" s="534"/>
      <c r="BO105" s="534"/>
      <c r="BP105" s="534"/>
      <c r="BQ105" s="534"/>
      <c r="BR105" s="534"/>
      <c r="BS105" s="534"/>
      <c r="BT105" s="534"/>
      <c r="BU105" s="534"/>
      <c r="BV105" s="534"/>
      <c r="BW105" s="534"/>
      <c r="BX105" s="534"/>
      <c r="BY105" s="534"/>
      <c r="BZ105" s="534"/>
      <c r="CA105" s="534"/>
      <c r="CB105" s="534"/>
      <c r="CC105" s="295"/>
      <c r="CD105" s="295"/>
      <c r="CE105" s="296"/>
    </row>
    <row r="106" spans="1:83" s="297" customFormat="1" x14ac:dyDescent="0.15">
      <c r="A106" s="298"/>
      <c r="B106" s="295"/>
      <c r="C106" s="295"/>
      <c r="D106" s="311"/>
      <c r="E106" s="312"/>
      <c r="F106" s="312"/>
      <c r="G106" s="312"/>
      <c r="H106" s="312"/>
      <c r="I106" s="312"/>
      <c r="J106" s="313"/>
      <c r="K106" s="313"/>
      <c r="L106" s="313"/>
      <c r="M106" s="313"/>
      <c r="N106" s="313"/>
      <c r="O106" s="313"/>
      <c r="P106" s="313"/>
      <c r="Q106" s="313"/>
      <c r="R106" s="313"/>
      <c r="S106" s="313"/>
      <c r="T106" s="312"/>
      <c r="U106" s="312"/>
      <c r="V106" s="312"/>
      <c r="W106" s="312"/>
      <c r="X106" s="314"/>
      <c r="Y106" s="314"/>
      <c r="Z106" s="314"/>
      <c r="AA106" s="314"/>
      <c r="AB106" s="313"/>
      <c r="AC106" s="313"/>
      <c r="AD106" s="313"/>
      <c r="AE106" s="313"/>
      <c r="AF106" s="315"/>
      <c r="AG106" s="1038" t="s">
        <v>431</v>
      </c>
      <c r="AH106" s="1039"/>
      <c r="AI106" s="1039"/>
      <c r="AJ106" s="1039"/>
      <c r="AK106" s="1039"/>
      <c r="AL106" s="1039"/>
      <c r="AM106" s="1039"/>
      <c r="AN106" s="1039"/>
      <c r="AO106" s="1039"/>
      <c r="AP106" s="1039"/>
      <c r="AQ106" s="1039"/>
      <c r="AR106" s="1039"/>
      <c r="AS106" s="1039"/>
      <c r="AT106" s="1039"/>
      <c r="AU106" s="1039"/>
      <c r="AV106" s="1039"/>
      <c r="AW106" s="1039"/>
      <c r="AX106" s="1039"/>
      <c r="AY106" s="1039"/>
      <c r="AZ106" s="1039"/>
      <c r="BA106" s="1039"/>
      <c r="BB106" s="1039"/>
      <c r="BC106" s="1039"/>
      <c r="BD106" s="1039"/>
      <c r="BE106" s="978"/>
      <c r="BF106" s="978"/>
      <c r="BG106" s="978"/>
      <c r="BH106" s="978"/>
      <c r="BI106" s="978"/>
      <c r="BJ106" s="978"/>
      <c r="BK106" s="978"/>
      <c r="BL106" s="978"/>
      <c r="BM106" s="978"/>
      <c r="BN106" s="978"/>
      <c r="BO106" s="978"/>
      <c r="BP106" s="978"/>
      <c r="BQ106" s="978"/>
      <c r="BR106" s="978"/>
      <c r="BS106" s="978"/>
      <c r="BT106" s="978"/>
      <c r="BU106" s="978"/>
      <c r="BV106" s="978"/>
      <c r="BW106" s="978"/>
      <c r="BX106" s="978"/>
      <c r="BY106" s="978"/>
      <c r="BZ106" s="978"/>
      <c r="CA106" s="978"/>
      <c r="CB106" s="979"/>
      <c r="CC106" s="295"/>
      <c r="CD106" s="295"/>
      <c r="CE106" s="296"/>
    </row>
    <row r="107" spans="1:83" s="297" customFormat="1" ht="13.5" x14ac:dyDescent="0.15">
      <c r="A107" s="298"/>
      <c r="B107" s="295"/>
      <c r="C107" s="295"/>
      <c r="D107" s="1038" t="s">
        <v>281</v>
      </c>
      <c r="E107" s="1039"/>
      <c r="F107" s="1040"/>
      <c r="G107" s="311" t="s">
        <v>487</v>
      </c>
      <c r="H107" s="312"/>
      <c r="I107" s="312"/>
      <c r="J107" s="313"/>
      <c r="K107" s="313"/>
      <c r="L107" s="313"/>
      <c r="M107" s="313"/>
      <c r="N107" s="313"/>
      <c r="O107" s="313"/>
      <c r="P107" s="313"/>
      <c r="Q107" s="313"/>
      <c r="R107" s="313"/>
      <c r="S107" s="313"/>
      <c r="T107" s="312"/>
      <c r="U107" s="312"/>
      <c r="V107" s="312"/>
      <c r="W107" s="312"/>
      <c r="X107" s="313"/>
      <c r="Y107" s="313"/>
      <c r="Z107" s="313"/>
      <c r="AA107" s="316" t="s">
        <v>503</v>
      </c>
      <c r="AB107" s="313"/>
      <c r="AC107" s="313"/>
      <c r="AD107" s="313"/>
      <c r="AE107" s="313"/>
      <c r="AF107" s="315"/>
      <c r="AG107" s="562" t="s">
        <v>891</v>
      </c>
      <c r="AH107" s="1041"/>
      <c r="AI107" s="1041"/>
      <c r="AJ107" s="1041"/>
      <c r="AK107" s="1041"/>
      <c r="AL107" s="1041"/>
      <c r="AM107" s="1041"/>
      <c r="AN107" s="1041"/>
      <c r="AO107" s="1041"/>
      <c r="AP107" s="1041"/>
      <c r="AQ107" s="1041"/>
      <c r="AR107" s="1042"/>
      <c r="AS107" s="562" t="s">
        <v>892</v>
      </c>
      <c r="AT107" s="1041"/>
      <c r="AU107" s="1041"/>
      <c r="AV107" s="1041"/>
      <c r="AW107" s="1041"/>
      <c r="AX107" s="1041"/>
      <c r="AY107" s="1041"/>
      <c r="AZ107" s="1041"/>
      <c r="BA107" s="1041"/>
      <c r="BB107" s="1041"/>
      <c r="BC107" s="1041"/>
      <c r="BD107" s="1042"/>
      <c r="BE107" s="562" t="s">
        <v>893</v>
      </c>
      <c r="BF107" s="1041"/>
      <c r="BG107" s="1041"/>
      <c r="BH107" s="1041"/>
      <c r="BI107" s="1041"/>
      <c r="BJ107" s="1041"/>
      <c r="BK107" s="1041"/>
      <c r="BL107" s="1041"/>
      <c r="BM107" s="1041"/>
      <c r="BN107" s="1041"/>
      <c r="BO107" s="1041"/>
      <c r="BP107" s="1042"/>
      <c r="BQ107" s="562" t="s">
        <v>894</v>
      </c>
      <c r="BR107" s="1041"/>
      <c r="BS107" s="1041"/>
      <c r="BT107" s="1041"/>
      <c r="BU107" s="1041"/>
      <c r="BV107" s="1041"/>
      <c r="BW107" s="1041"/>
      <c r="BX107" s="1041"/>
      <c r="BY107" s="1041"/>
      <c r="BZ107" s="1041"/>
      <c r="CA107" s="1041"/>
      <c r="CB107" s="1041"/>
      <c r="CC107" s="295"/>
      <c r="CD107" s="295"/>
      <c r="CE107" s="296"/>
    </row>
    <row r="108" spans="1:83" s="297" customFormat="1" ht="13.5" x14ac:dyDescent="0.15">
      <c r="A108" s="298"/>
      <c r="B108" s="295"/>
      <c r="C108" s="295"/>
      <c r="D108" s="1038">
        <v>1</v>
      </c>
      <c r="E108" s="1039"/>
      <c r="F108" s="1040"/>
      <c r="G108" s="147" t="s">
        <v>478</v>
      </c>
      <c r="H108" s="124"/>
      <c r="I108" s="124"/>
      <c r="J108" s="124"/>
      <c r="K108" s="124"/>
      <c r="L108" s="124"/>
      <c r="M108" s="124"/>
      <c r="N108" s="124"/>
      <c r="O108" s="124"/>
      <c r="P108" s="124"/>
      <c r="Q108" s="124"/>
      <c r="R108" s="124"/>
      <c r="S108" s="124"/>
      <c r="T108" s="124"/>
      <c r="U108" s="124"/>
      <c r="V108" s="124"/>
      <c r="W108" s="124"/>
      <c r="X108" s="124"/>
      <c r="Y108" s="124"/>
      <c r="Z108" s="124"/>
      <c r="AA108" s="686" t="s">
        <v>297</v>
      </c>
      <c r="AB108" s="687"/>
      <c r="AC108" s="687"/>
      <c r="AD108" s="687"/>
      <c r="AE108" s="687"/>
      <c r="AF108" s="688"/>
      <c r="AG108" s="686"/>
      <c r="AH108" s="1036"/>
      <c r="AI108" s="1036"/>
      <c r="AJ108" s="1036"/>
      <c r="AK108" s="1036"/>
      <c r="AL108" s="1036"/>
      <c r="AM108" s="1036"/>
      <c r="AN108" s="1036"/>
      <c r="AO108" s="1036"/>
      <c r="AP108" s="1036"/>
      <c r="AQ108" s="1036"/>
      <c r="AR108" s="1037"/>
      <c r="AS108" s="686" t="s">
        <v>298</v>
      </c>
      <c r="AT108" s="1036"/>
      <c r="AU108" s="1036"/>
      <c r="AV108" s="1036"/>
      <c r="AW108" s="1036"/>
      <c r="AX108" s="1036"/>
      <c r="AY108" s="1036"/>
      <c r="AZ108" s="1036"/>
      <c r="BA108" s="1036"/>
      <c r="BB108" s="1036"/>
      <c r="BC108" s="1036"/>
      <c r="BD108" s="1037"/>
      <c r="BE108" s="686"/>
      <c r="BF108" s="1036"/>
      <c r="BG108" s="1036"/>
      <c r="BH108" s="1036"/>
      <c r="BI108" s="1036"/>
      <c r="BJ108" s="1036"/>
      <c r="BK108" s="1036"/>
      <c r="BL108" s="1036"/>
      <c r="BM108" s="1036"/>
      <c r="BN108" s="1036"/>
      <c r="BO108" s="1036"/>
      <c r="BP108" s="1037"/>
      <c r="BQ108" s="686"/>
      <c r="BR108" s="1036"/>
      <c r="BS108" s="1036"/>
      <c r="BT108" s="1036"/>
      <c r="BU108" s="1036"/>
      <c r="BV108" s="1036"/>
      <c r="BW108" s="1036"/>
      <c r="BX108" s="1036"/>
      <c r="BY108" s="1036"/>
      <c r="BZ108" s="1036"/>
      <c r="CA108" s="1036"/>
      <c r="CB108" s="1037"/>
      <c r="CC108" s="295"/>
      <c r="CD108" s="295"/>
      <c r="CE108" s="296"/>
    </row>
    <row r="109" spans="1:83" s="297" customFormat="1" ht="13.5" x14ac:dyDescent="0.15">
      <c r="A109" s="298"/>
      <c r="B109" s="295"/>
      <c r="C109" s="295"/>
      <c r="D109" s="1038">
        <v>2</v>
      </c>
      <c r="E109" s="1039"/>
      <c r="F109" s="1040"/>
      <c r="G109" s="147" t="s">
        <v>479</v>
      </c>
      <c r="H109" s="124"/>
      <c r="I109" s="124"/>
      <c r="J109" s="124"/>
      <c r="K109" s="124"/>
      <c r="L109" s="124"/>
      <c r="M109" s="124"/>
      <c r="N109" s="124"/>
      <c r="O109" s="124"/>
      <c r="P109" s="124"/>
      <c r="Q109" s="124"/>
      <c r="R109" s="124"/>
      <c r="S109" s="124"/>
      <c r="T109" s="124"/>
      <c r="U109" s="124"/>
      <c r="V109" s="124"/>
      <c r="W109" s="124"/>
      <c r="X109" s="124"/>
      <c r="Y109" s="124"/>
      <c r="Z109" s="124"/>
      <c r="AA109" s="686" t="s">
        <v>297</v>
      </c>
      <c r="AB109" s="687"/>
      <c r="AC109" s="687"/>
      <c r="AD109" s="687"/>
      <c r="AE109" s="687"/>
      <c r="AF109" s="688"/>
      <c r="AG109" s="686" t="s">
        <v>298</v>
      </c>
      <c r="AH109" s="1036"/>
      <c r="AI109" s="1036"/>
      <c r="AJ109" s="1036"/>
      <c r="AK109" s="1036"/>
      <c r="AL109" s="1036"/>
      <c r="AM109" s="1036"/>
      <c r="AN109" s="1036"/>
      <c r="AO109" s="1036"/>
      <c r="AP109" s="1036"/>
      <c r="AQ109" s="1036"/>
      <c r="AR109" s="1037"/>
      <c r="AS109" s="686"/>
      <c r="AT109" s="1036"/>
      <c r="AU109" s="1036"/>
      <c r="AV109" s="1036"/>
      <c r="AW109" s="1036"/>
      <c r="AX109" s="1036"/>
      <c r="AY109" s="1036"/>
      <c r="AZ109" s="1036"/>
      <c r="BA109" s="1036"/>
      <c r="BB109" s="1036"/>
      <c r="BC109" s="1036"/>
      <c r="BD109" s="1037"/>
      <c r="BE109" s="686"/>
      <c r="BF109" s="1036"/>
      <c r="BG109" s="1036"/>
      <c r="BH109" s="1036"/>
      <c r="BI109" s="1036"/>
      <c r="BJ109" s="1036"/>
      <c r="BK109" s="1036"/>
      <c r="BL109" s="1036"/>
      <c r="BM109" s="1036"/>
      <c r="BN109" s="1036"/>
      <c r="BO109" s="1036"/>
      <c r="BP109" s="1037"/>
      <c r="BQ109" s="686"/>
      <c r="BR109" s="1036"/>
      <c r="BS109" s="1036"/>
      <c r="BT109" s="1036"/>
      <c r="BU109" s="1036"/>
      <c r="BV109" s="1036"/>
      <c r="BW109" s="1036"/>
      <c r="BX109" s="1036"/>
      <c r="BY109" s="1036"/>
      <c r="BZ109" s="1036"/>
      <c r="CA109" s="1036"/>
      <c r="CB109" s="1037"/>
      <c r="CC109" s="295"/>
      <c r="CD109" s="295"/>
      <c r="CE109" s="296"/>
    </row>
    <row r="110" spans="1:83" s="297" customFormat="1" ht="13.5" x14ac:dyDescent="0.15">
      <c r="A110" s="298"/>
      <c r="B110" s="295"/>
      <c r="C110" s="295"/>
      <c r="D110" s="1038">
        <v>3</v>
      </c>
      <c r="E110" s="1039"/>
      <c r="F110" s="1040"/>
      <c r="G110" s="147" t="s">
        <v>480</v>
      </c>
      <c r="H110" s="124"/>
      <c r="I110" s="124"/>
      <c r="J110" s="124"/>
      <c r="K110" s="124"/>
      <c r="L110" s="124"/>
      <c r="M110" s="124"/>
      <c r="N110" s="124"/>
      <c r="O110" s="124"/>
      <c r="P110" s="124"/>
      <c r="Q110" s="124"/>
      <c r="R110" s="124"/>
      <c r="S110" s="124"/>
      <c r="T110" s="124"/>
      <c r="U110" s="124"/>
      <c r="V110" s="124"/>
      <c r="W110" s="124"/>
      <c r="X110" s="124"/>
      <c r="Y110" s="124"/>
      <c r="Z110" s="124"/>
      <c r="AA110" s="686" t="s">
        <v>297</v>
      </c>
      <c r="AB110" s="687"/>
      <c r="AC110" s="687"/>
      <c r="AD110" s="687"/>
      <c r="AE110" s="687"/>
      <c r="AF110" s="688"/>
      <c r="AG110" s="686" t="s">
        <v>298</v>
      </c>
      <c r="AH110" s="1036"/>
      <c r="AI110" s="1036"/>
      <c r="AJ110" s="1036"/>
      <c r="AK110" s="1036"/>
      <c r="AL110" s="1036"/>
      <c r="AM110" s="1036"/>
      <c r="AN110" s="1036"/>
      <c r="AO110" s="1036"/>
      <c r="AP110" s="1036"/>
      <c r="AQ110" s="1036"/>
      <c r="AR110" s="1037"/>
      <c r="AS110" s="686"/>
      <c r="AT110" s="1036"/>
      <c r="AU110" s="1036"/>
      <c r="AV110" s="1036"/>
      <c r="AW110" s="1036"/>
      <c r="AX110" s="1036"/>
      <c r="AY110" s="1036"/>
      <c r="AZ110" s="1036"/>
      <c r="BA110" s="1036"/>
      <c r="BB110" s="1036"/>
      <c r="BC110" s="1036"/>
      <c r="BD110" s="1037"/>
      <c r="BE110" s="686"/>
      <c r="BF110" s="1036"/>
      <c r="BG110" s="1036"/>
      <c r="BH110" s="1036"/>
      <c r="BI110" s="1036"/>
      <c r="BJ110" s="1036"/>
      <c r="BK110" s="1036"/>
      <c r="BL110" s="1036"/>
      <c r="BM110" s="1036"/>
      <c r="BN110" s="1036"/>
      <c r="BO110" s="1036"/>
      <c r="BP110" s="1037"/>
      <c r="BQ110" s="686"/>
      <c r="BR110" s="1036"/>
      <c r="BS110" s="1036"/>
      <c r="BT110" s="1036"/>
      <c r="BU110" s="1036"/>
      <c r="BV110" s="1036"/>
      <c r="BW110" s="1036"/>
      <c r="BX110" s="1036"/>
      <c r="BY110" s="1036"/>
      <c r="BZ110" s="1036"/>
      <c r="CA110" s="1036"/>
      <c r="CB110" s="1037"/>
      <c r="CC110" s="295"/>
      <c r="CD110" s="295"/>
      <c r="CE110" s="296"/>
    </row>
    <row r="111" spans="1:83" s="297" customFormat="1" ht="13.5" x14ac:dyDescent="0.15">
      <c r="A111" s="298"/>
      <c r="B111" s="295"/>
      <c r="C111" s="295"/>
      <c r="D111" s="1038">
        <v>4</v>
      </c>
      <c r="E111" s="1039"/>
      <c r="F111" s="1040"/>
      <c r="G111" s="147" t="s">
        <v>481</v>
      </c>
      <c r="H111" s="124"/>
      <c r="I111" s="124"/>
      <c r="J111" s="124"/>
      <c r="K111" s="124"/>
      <c r="L111" s="124"/>
      <c r="M111" s="124"/>
      <c r="N111" s="124"/>
      <c r="O111" s="124"/>
      <c r="P111" s="124"/>
      <c r="Q111" s="124"/>
      <c r="R111" s="124"/>
      <c r="S111" s="124"/>
      <c r="T111" s="124"/>
      <c r="U111" s="124"/>
      <c r="V111" s="124"/>
      <c r="W111" s="124"/>
      <c r="X111" s="124"/>
      <c r="Y111" s="124"/>
      <c r="Z111" s="124"/>
      <c r="AA111" s="686" t="s">
        <v>297</v>
      </c>
      <c r="AB111" s="687"/>
      <c r="AC111" s="687"/>
      <c r="AD111" s="687"/>
      <c r="AE111" s="687"/>
      <c r="AF111" s="688"/>
      <c r="AG111" s="686" t="s">
        <v>298</v>
      </c>
      <c r="AH111" s="1036"/>
      <c r="AI111" s="1036"/>
      <c r="AJ111" s="1036"/>
      <c r="AK111" s="1036"/>
      <c r="AL111" s="1036"/>
      <c r="AM111" s="1036"/>
      <c r="AN111" s="1036"/>
      <c r="AO111" s="1036"/>
      <c r="AP111" s="1036"/>
      <c r="AQ111" s="1036"/>
      <c r="AR111" s="1037"/>
      <c r="AS111" s="686"/>
      <c r="AT111" s="1036"/>
      <c r="AU111" s="1036"/>
      <c r="AV111" s="1036"/>
      <c r="AW111" s="1036"/>
      <c r="AX111" s="1036"/>
      <c r="AY111" s="1036"/>
      <c r="AZ111" s="1036"/>
      <c r="BA111" s="1036"/>
      <c r="BB111" s="1036"/>
      <c r="BC111" s="1036"/>
      <c r="BD111" s="1037"/>
      <c r="BE111" s="686"/>
      <c r="BF111" s="1036"/>
      <c r="BG111" s="1036"/>
      <c r="BH111" s="1036"/>
      <c r="BI111" s="1036"/>
      <c r="BJ111" s="1036"/>
      <c r="BK111" s="1036"/>
      <c r="BL111" s="1036"/>
      <c r="BM111" s="1036"/>
      <c r="BN111" s="1036"/>
      <c r="BO111" s="1036"/>
      <c r="BP111" s="1037"/>
      <c r="BQ111" s="686"/>
      <c r="BR111" s="1036"/>
      <c r="BS111" s="1036"/>
      <c r="BT111" s="1036"/>
      <c r="BU111" s="1036"/>
      <c r="BV111" s="1036"/>
      <c r="BW111" s="1036"/>
      <c r="BX111" s="1036"/>
      <c r="BY111" s="1036"/>
      <c r="BZ111" s="1036"/>
      <c r="CA111" s="1036"/>
      <c r="CB111" s="1037"/>
      <c r="CC111" s="295"/>
      <c r="CD111" s="295"/>
      <c r="CE111" s="296"/>
    </row>
    <row r="112" spans="1:83" s="297" customFormat="1" ht="13.5" x14ac:dyDescent="0.15">
      <c r="A112" s="298"/>
      <c r="B112" s="295"/>
      <c r="C112" s="295"/>
      <c r="D112" s="1038">
        <v>5</v>
      </c>
      <c r="E112" s="1039"/>
      <c r="F112" s="1040"/>
      <c r="G112" s="147" t="s">
        <v>482</v>
      </c>
      <c r="H112" s="124"/>
      <c r="I112" s="124"/>
      <c r="J112" s="124"/>
      <c r="K112" s="124"/>
      <c r="L112" s="124"/>
      <c r="M112" s="124"/>
      <c r="N112" s="124"/>
      <c r="O112" s="124"/>
      <c r="P112" s="124"/>
      <c r="Q112" s="124"/>
      <c r="R112" s="124"/>
      <c r="S112" s="124"/>
      <c r="T112" s="124"/>
      <c r="U112" s="124"/>
      <c r="V112" s="124"/>
      <c r="W112" s="124"/>
      <c r="X112" s="124"/>
      <c r="Y112" s="124"/>
      <c r="Z112" s="124"/>
      <c r="AA112" s="686" t="s">
        <v>297</v>
      </c>
      <c r="AB112" s="687"/>
      <c r="AC112" s="687"/>
      <c r="AD112" s="687"/>
      <c r="AE112" s="687"/>
      <c r="AF112" s="688"/>
      <c r="AG112" s="686" t="s">
        <v>298</v>
      </c>
      <c r="AH112" s="1036"/>
      <c r="AI112" s="1036"/>
      <c r="AJ112" s="1036"/>
      <c r="AK112" s="1036"/>
      <c r="AL112" s="1036"/>
      <c r="AM112" s="1036"/>
      <c r="AN112" s="1036"/>
      <c r="AO112" s="1036"/>
      <c r="AP112" s="1036"/>
      <c r="AQ112" s="1036"/>
      <c r="AR112" s="1037"/>
      <c r="AS112" s="686"/>
      <c r="AT112" s="1036"/>
      <c r="AU112" s="1036"/>
      <c r="AV112" s="1036"/>
      <c r="AW112" s="1036"/>
      <c r="AX112" s="1036"/>
      <c r="AY112" s="1036"/>
      <c r="AZ112" s="1036"/>
      <c r="BA112" s="1036"/>
      <c r="BB112" s="1036"/>
      <c r="BC112" s="1036"/>
      <c r="BD112" s="1037"/>
      <c r="BE112" s="686"/>
      <c r="BF112" s="1036"/>
      <c r="BG112" s="1036"/>
      <c r="BH112" s="1036"/>
      <c r="BI112" s="1036"/>
      <c r="BJ112" s="1036"/>
      <c r="BK112" s="1036"/>
      <c r="BL112" s="1036"/>
      <c r="BM112" s="1036"/>
      <c r="BN112" s="1036"/>
      <c r="BO112" s="1036"/>
      <c r="BP112" s="1037"/>
      <c r="BQ112" s="686"/>
      <c r="BR112" s="1036"/>
      <c r="BS112" s="1036"/>
      <c r="BT112" s="1036"/>
      <c r="BU112" s="1036"/>
      <c r="BV112" s="1036"/>
      <c r="BW112" s="1036"/>
      <c r="BX112" s="1036"/>
      <c r="BY112" s="1036"/>
      <c r="BZ112" s="1036"/>
      <c r="CA112" s="1036"/>
      <c r="CB112" s="1037"/>
      <c r="CC112" s="295"/>
      <c r="CD112" s="295"/>
      <c r="CE112" s="296"/>
    </row>
    <row r="113" spans="1:83" s="297" customFormat="1" ht="13.5" x14ac:dyDescent="0.15">
      <c r="A113" s="298"/>
      <c r="B113" s="295"/>
      <c r="C113" s="295"/>
      <c r="D113" s="1038">
        <v>6</v>
      </c>
      <c r="E113" s="1039"/>
      <c r="F113" s="1040"/>
      <c r="G113" s="147" t="s">
        <v>483</v>
      </c>
      <c r="H113" s="124"/>
      <c r="I113" s="124"/>
      <c r="J113" s="124"/>
      <c r="K113" s="124"/>
      <c r="L113" s="124"/>
      <c r="M113" s="124"/>
      <c r="N113" s="124"/>
      <c r="O113" s="124"/>
      <c r="P113" s="124"/>
      <c r="Q113" s="124"/>
      <c r="R113" s="124"/>
      <c r="S113" s="124"/>
      <c r="T113" s="124"/>
      <c r="U113" s="124"/>
      <c r="V113" s="124"/>
      <c r="W113" s="124"/>
      <c r="X113" s="124"/>
      <c r="Y113" s="124"/>
      <c r="Z113" s="124"/>
      <c r="AA113" s="686" t="s">
        <v>297</v>
      </c>
      <c r="AB113" s="687"/>
      <c r="AC113" s="687"/>
      <c r="AD113" s="687"/>
      <c r="AE113" s="687"/>
      <c r="AF113" s="688"/>
      <c r="AG113" s="686"/>
      <c r="AH113" s="1036"/>
      <c r="AI113" s="1036"/>
      <c r="AJ113" s="1036"/>
      <c r="AK113" s="1036"/>
      <c r="AL113" s="1036"/>
      <c r="AM113" s="1036"/>
      <c r="AN113" s="1036"/>
      <c r="AO113" s="1036"/>
      <c r="AP113" s="1036"/>
      <c r="AQ113" s="1036"/>
      <c r="AR113" s="1037"/>
      <c r="AS113" s="686" t="s">
        <v>298</v>
      </c>
      <c r="AT113" s="1036"/>
      <c r="AU113" s="1036"/>
      <c r="AV113" s="1036"/>
      <c r="AW113" s="1036"/>
      <c r="AX113" s="1036"/>
      <c r="AY113" s="1036"/>
      <c r="AZ113" s="1036"/>
      <c r="BA113" s="1036"/>
      <c r="BB113" s="1036"/>
      <c r="BC113" s="1036"/>
      <c r="BD113" s="1037"/>
      <c r="BE113" s="686"/>
      <c r="BF113" s="1036"/>
      <c r="BG113" s="1036"/>
      <c r="BH113" s="1036"/>
      <c r="BI113" s="1036"/>
      <c r="BJ113" s="1036"/>
      <c r="BK113" s="1036"/>
      <c r="BL113" s="1036"/>
      <c r="BM113" s="1036"/>
      <c r="BN113" s="1036"/>
      <c r="BO113" s="1036"/>
      <c r="BP113" s="1037"/>
      <c r="BQ113" s="686"/>
      <c r="BR113" s="1036"/>
      <c r="BS113" s="1036"/>
      <c r="BT113" s="1036"/>
      <c r="BU113" s="1036"/>
      <c r="BV113" s="1036"/>
      <c r="BW113" s="1036"/>
      <c r="BX113" s="1036"/>
      <c r="BY113" s="1036"/>
      <c r="BZ113" s="1036"/>
      <c r="CA113" s="1036"/>
      <c r="CB113" s="1037"/>
      <c r="CC113" s="295"/>
      <c r="CD113" s="295"/>
      <c r="CE113" s="296"/>
    </row>
    <row r="114" spans="1:83" s="297" customFormat="1" ht="13.5" x14ac:dyDescent="0.15">
      <c r="A114" s="298"/>
      <c r="B114" s="295"/>
      <c r="C114" s="295"/>
      <c r="D114" s="1038">
        <v>7</v>
      </c>
      <c r="E114" s="1039"/>
      <c r="F114" s="1040"/>
      <c r="G114" s="147" t="s">
        <v>484</v>
      </c>
      <c r="H114" s="124"/>
      <c r="I114" s="124"/>
      <c r="J114" s="124"/>
      <c r="K114" s="124"/>
      <c r="L114" s="124"/>
      <c r="M114" s="124"/>
      <c r="N114" s="124"/>
      <c r="O114" s="124"/>
      <c r="P114" s="124"/>
      <c r="Q114" s="124"/>
      <c r="R114" s="124"/>
      <c r="S114" s="124"/>
      <c r="T114" s="124"/>
      <c r="U114" s="124"/>
      <c r="V114" s="124"/>
      <c r="W114" s="124"/>
      <c r="X114" s="124"/>
      <c r="Y114" s="124"/>
      <c r="Z114" s="124"/>
      <c r="AA114" s="686" t="s">
        <v>297</v>
      </c>
      <c r="AB114" s="687"/>
      <c r="AC114" s="687"/>
      <c r="AD114" s="687"/>
      <c r="AE114" s="687"/>
      <c r="AF114" s="688"/>
      <c r="AG114" s="686"/>
      <c r="AH114" s="1036"/>
      <c r="AI114" s="1036"/>
      <c r="AJ114" s="1036"/>
      <c r="AK114" s="1036"/>
      <c r="AL114" s="1036"/>
      <c r="AM114" s="1036"/>
      <c r="AN114" s="1036"/>
      <c r="AO114" s="1036"/>
      <c r="AP114" s="1036"/>
      <c r="AQ114" s="1036"/>
      <c r="AR114" s="1037"/>
      <c r="AS114" s="686" t="s">
        <v>298</v>
      </c>
      <c r="AT114" s="1036"/>
      <c r="AU114" s="1036"/>
      <c r="AV114" s="1036"/>
      <c r="AW114" s="1036"/>
      <c r="AX114" s="1036"/>
      <c r="AY114" s="1036"/>
      <c r="AZ114" s="1036"/>
      <c r="BA114" s="1036"/>
      <c r="BB114" s="1036"/>
      <c r="BC114" s="1036"/>
      <c r="BD114" s="1037"/>
      <c r="BE114" s="686"/>
      <c r="BF114" s="1036"/>
      <c r="BG114" s="1036"/>
      <c r="BH114" s="1036"/>
      <c r="BI114" s="1036"/>
      <c r="BJ114" s="1036"/>
      <c r="BK114" s="1036"/>
      <c r="BL114" s="1036"/>
      <c r="BM114" s="1036"/>
      <c r="BN114" s="1036"/>
      <c r="BO114" s="1036"/>
      <c r="BP114" s="1037"/>
      <c r="BQ114" s="686"/>
      <c r="BR114" s="1036"/>
      <c r="BS114" s="1036"/>
      <c r="BT114" s="1036"/>
      <c r="BU114" s="1036"/>
      <c r="BV114" s="1036"/>
      <c r="BW114" s="1036"/>
      <c r="BX114" s="1036"/>
      <c r="BY114" s="1036"/>
      <c r="BZ114" s="1036"/>
      <c r="CA114" s="1036"/>
      <c r="CB114" s="1037"/>
      <c r="CC114" s="295"/>
      <c r="CD114" s="295"/>
      <c r="CE114" s="296"/>
    </row>
    <row r="115" spans="1:83" s="297" customFormat="1" ht="13.5" x14ac:dyDescent="0.15">
      <c r="A115" s="298"/>
      <c r="B115" s="295"/>
      <c r="C115" s="295"/>
      <c r="D115" s="1038">
        <v>8</v>
      </c>
      <c r="E115" s="1039"/>
      <c r="F115" s="1040"/>
      <c r="G115" s="147" t="s">
        <v>478</v>
      </c>
      <c r="H115" s="124"/>
      <c r="I115" s="124"/>
      <c r="J115" s="124"/>
      <c r="K115" s="124"/>
      <c r="L115" s="124"/>
      <c r="M115" s="124"/>
      <c r="N115" s="124"/>
      <c r="O115" s="124"/>
      <c r="P115" s="124"/>
      <c r="Q115" s="124"/>
      <c r="R115" s="124"/>
      <c r="S115" s="124"/>
      <c r="T115" s="124"/>
      <c r="U115" s="124"/>
      <c r="V115" s="124"/>
      <c r="W115" s="124"/>
      <c r="X115" s="124"/>
      <c r="Y115" s="124"/>
      <c r="Z115" s="124"/>
      <c r="AA115" s="695" t="s">
        <v>299</v>
      </c>
      <c r="AB115" s="696"/>
      <c r="AC115" s="696"/>
      <c r="AD115" s="696"/>
      <c r="AE115" s="696"/>
      <c r="AF115" s="697"/>
      <c r="AG115" s="686"/>
      <c r="AH115" s="1036"/>
      <c r="AI115" s="1036"/>
      <c r="AJ115" s="1036"/>
      <c r="AK115" s="1036"/>
      <c r="AL115" s="1036"/>
      <c r="AM115" s="1036"/>
      <c r="AN115" s="1036"/>
      <c r="AO115" s="1036"/>
      <c r="AP115" s="1036"/>
      <c r="AQ115" s="1036"/>
      <c r="AR115" s="1037"/>
      <c r="AS115" s="686"/>
      <c r="AT115" s="1036"/>
      <c r="AU115" s="1036"/>
      <c r="AV115" s="1036"/>
      <c r="AW115" s="1036"/>
      <c r="AX115" s="1036"/>
      <c r="AY115" s="1036"/>
      <c r="AZ115" s="1036"/>
      <c r="BA115" s="1036"/>
      <c r="BB115" s="1036"/>
      <c r="BC115" s="1036"/>
      <c r="BD115" s="1037"/>
      <c r="BE115" s="686"/>
      <c r="BF115" s="1036"/>
      <c r="BG115" s="1036"/>
      <c r="BH115" s="1036"/>
      <c r="BI115" s="1036"/>
      <c r="BJ115" s="1036"/>
      <c r="BK115" s="1036"/>
      <c r="BL115" s="1036"/>
      <c r="BM115" s="1036"/>
      <c r="BN115" s="1036"/>
      <c r="BO115" s="1036"/>
      <c r="BP115" s="1037"/>
      <c r="BQ115" s="686" t="s">
        <v>298</v>
      </c>
      <c r="BR115" s="1036"/>
      <c r="BS115" s="1036"/>
      <c r="BT115" s="1036"/>
      <c r="BU115" s="1036"/>
      <c r="BV115" s="1036"/>
      <c r="BW115" s="1036"/>
      <c r="BX115" s="1036"/>
      <c r="BY115" s="1036"/>
      <c r="BZ115" s="1036"/>
      <c r="CA115" s="1036"/>
      <c r="CB115" s="1037"/>
      <c r="CC115" s="295"/>
      <c r="CD115" s="295"/>
      <c r="CE115" s="296"/>
    </row>
    <row r="116" spans="1:83" s="297" customFormat="1" ht="13.5" x14ac:dyDescent="0.15">
      <c r="A116" s="298"/>
      <c r="B116" s="295"/>
      <c r="C116" s="295"/>
      <c r="D116" s="1038">
        <v>9</v>
      </c>
      <c r="E116" s="1039"/>
      <c r="F116" s="1040"/>
      <c r="G116" s="147" t="s">
        <v>479</v>
      </c>
      <c r="H116" s="124"/>
      <c r="I116" s="124"/>
      <c r="J116" s="124"/>
      <c r="K116" s="124"/>
      <c r="L116" s="124"/>
      <c r="M116" s="124"/>
      <c r="N116" s="124"/>
      <c r="O116" s="124"/>
      <c r="P116" s="124"/>
      <c r="Q116" s="124"/>
      <c r="R116" s="124"/>
      <c r="S116" s="124"/>
      <c r="T116" s="124"/>
      <c r="U116" s="124"/>
      <c r="V116" s="124"/>
      <c r="W116" s="124"/>
      <c r="X116" s="124"/>
      <c r="Y116" s="124"/>
      <c r="Z116" s="124"/>
      <c r="AA116" s="695" t="s">
        <v>299</v>
      </c>
      <c r="AB116" s="696"/>
      <c r="AC116" s="696"/>
      <c r="AD116" s="696"/>
      <c r="AE116" s="696"/>
      <c r="AF116" s="697"/>
      <c r="AG116" s="686"/>
      <c r="AH116" s="1036"/>
      <c r="AI116" s="1036"/>
      <c r="AJ116" s="1036"/>
      <c r="AK116" s="1036"/>
      <c r="AL116" s="1036"/>
      <c r="AM116" s="1036"/>
      <c r="AN116" s="1036"/>
      <c r="AO116" s="1036"/>
      <c r="AP116" s="1036"/>
      <c r="AQ116" s="1036"/>
      <c r="AR116" s="1037"/>
      <c r="AS116" s="686"/>
      <c r="AT116" s="1036"/>
      <c r="AU116" s="1036"/>
      <c r="AV116" s="1036"/>
      <c r="AW116" s="1036"/>
      <c r="AX116" s="1036"/>
      <c r="AY116" s="1036"/>
      <c r="AZ116" s="1036"/>
      <c r="BA116" s="1036"/>
      <c r="BB116" s="1036"/>
      <c r="BC116" s="1036"/>
      <c r="BD116" s="1037"/>
      <c r="BE116" s="686" t="s">
        <v>298</v>
      </c>
      <c r="BF116" s="1036"/>
      <c r="BG116" s="1036"/>
      <c r="BH116" s="1036"/>
      <c r="BI116" s="1036"/>
      <c r="BJ116" s="1036"/>
      <c r="BK116" s="1036"/>
      <c r="BL116" s="1036"/>
      <c r="BM116" s="1036"/>
      <c r="BN116" s="1036"/>
      <c r="BO116" s="1036"/>
      <c r="BP116" s="1037"/>
      <c r="BQ116" s="686"/>
      <c r="BR116" s="1036"/>
      <c r="BS116" s="1036"/>
      <c r="BT116" s="1036"/>
      <c r="BU116" s="1036"/>
      <c r="BV116" s="1036"/>
      <c r="BW116" s="1036"/>
      <c r="BX116" s="1036"/>
      <c r="BY116" s="1036"/>
      <c r="BZ116" s="1036"/>
      <c r="CA116" s="1036"/>
      <c r="CB116" s="1037"/>
      <c r="CC116" s="295"/>
      <c r="CD116" s="295"/>
      <c r="CE116" s="296"/>
    </row>
    <row r="117" spans="1:83" s="297" customFormat="1" ht="13.5" x14ac:dyDescent="0.15">
      <c r="A117" s="298"/>
      <c r="B117" s="295"/>
      <c r="C117" s="295"/>
      <c r="D117" s="1038">
        <v>10</v>
      </c>
      <c r="E117" s="1039"/>
      <c r="F117" s="1040"/>
      <c r="G117" s="147" t="s">
        <v>480</v>
      </c>
      <c r="H117" s="124"/>
      <c r="I117" s="124"/>
      <c r="J117" s="124"/>
      <c r="K117" s="124"/>
      <c r="L117" s="124"/>
      <c r="M117" s="124"/>
      <c r="N117" s="124"/>
      <c r="O117" s="124"/>
      <c r="P117" s="124"/>
      <c r="Q117" s="124"/>
      <c r="R117" s="124"/>
      <c r="S117" s="124"/>
      <c r="T117" s="124"/>
      <c r="U117" s="124"/>
      <c r="V117" s="124"/>
      <c r="W117" s="124"/>
      <c r="X117" s="124"/>
      <c r="Y117" s="124"/>
      <c r="Z117" s="124"/>
      <c r="AA117" s="695" t="s">
        <v>299</v>
      </c>
      <c r="AB117" s="696"/>
      <c r="AC117" s="696"/>
      <c r="AD117" s="696"/>
      <c r="AE117" s="696"/>
      <c r="AF117" s="697"/>
      <c r="AG117" s="686"/>
      <c r="AH117" s="1036"/>
      <c r="AI117" s="1036"/>
      <c r="AJ117" s="1036"/>
      <c r="AK117" s="1036"/>
      <c r="AL117" s="1036"/>
      <c r="AM117" s="1036"/>
      <c r="AN117" s="1036"/>
      <c r="AO117" s="1036"/>
      <c r="AP117" s="1036"/>
      <c r="AQ117" s="1036"/>
      <c r="AR117" s="1037"/>
      <c r="AS117" s="686"/>
      <c r="AT117" s="1036"/>
      <c r="AU117" s="1036"/>
      <c r="AV117" s="1036"/>
      <c r="AW117" s="1036"/>
      <c r="AX117" s="1036"/>
      <c r="AY117" s="1036"/>
      <c r="AZ117" s="1036"/>
      <c r="BA117" s="1036"/>
      <c r="BB117" s="1036"/>
      <c r="BC117" s="1036"/>
      <c r="BD117" s="1037"/>
      <c r="BE117" s="686" t="s">
        <v>298</v>
      </c>
      <c r="BF117" s="1036"/>
      <c r="BG117" s="1036"/>
      <c r="BH117" s="1036"/>
      <c r="BI117" s="1036"/>
      <c r="BJ117" s="1036"/>
      <c r="BK117" s="1036"/>
      <c r="BL117" s="1036"/>
      <c r="BM117" s="1036"/>
      <c r="BN117" s="1036"/>
      <c r="BO117" s="1036"/>
      <c r="BP117" s="1037"/>
      <c r="BQ117" s="686"/>
      <c r="BR117" s="1036"/>
      <c r="BS117" s="1036"/>
      <c r="BT117" s="1036"/>
      <c r="BU117" s="1036"/>
      <c r="BV117" s="1036"/>
      <c r="BW117" s="1036"/>
      <c r="BX117" s="1036"/>
      <c r="BY117" s="1036"/>
      <c r="BZ117" s="1036"/>
      <c r="CA117" s="1036"/>
      <c r="CB117" s="1037"/>
      <c r="CC117" s="295"/>
      <c r="CD117" s="295"/>
      <c r="CE117" s="296"/>
    </row>
    <row r="118" spans="1:83" s="297" customFormat="1" ht="13.5" x14ac:dyDescent="0.15">
      <c r="A118" s="298"/>
      <c r="B118" s="295"/>
      <c r="C118" s="295"/>
      <c r="D118" s="1038">
        <v>11</v>
      </c>
      <c r="E118" s="1039"/>
      <c r="F118" s="1040"/>
      <c r="G118" s="147" t="s">
        <v>481</v>
      </c>
      <c r="H118" s="124"/>
      <c r="I118" s="124"/>
      <c r="J118" s="124"/>
      <c r="K118" s="124"/>
      <c r="L118" s="124"/>
      <c r="M118" s="124"/>
      <c r="N118" s="124"/>
      <c r="O118" s="124"/>
      <c r="P118" s="124"/>
      <c r="Q118" s="124"/>
      <c r="R118" s="124"/>
      <c r="S118" s="124"/>
      <c r="T118" s="124"/>
      <c r="U118" s="124"/>
      <c r="V118" s="124"/>
      <c r="W118" s="124"/>
      <c r="X118" s="124"/>
      <c r="Y118" s="124"/>
      <c r="Z118" s="124"/>
      <c r="AA118" s="695" t="s">
        <v>299</v>
      </c>
      <c r="AB118" s="696"/>
      <c r="AC118" s="696"/>
      <c r="AD118" s="696"/>
      <c r="AE118" s="696"/>
      <c r="AF118" s="697"/>
      <c r="AG118" s="686"/>
      <c r="AH118" s="1036"/>
      <c r="AI118" s="1036"/>
      <c r="AJ118" s="1036"/>
      <c r="AK118" s="1036"/>
      <c r="AL118" s="1036"/>
      <c r="AM118" s="1036"/>
      <c r="AN118" s="1036"/>
      <c r="AO118" s="1036"/>
      <c r="AP118" s="1036"/>
      <c r="AQ118" s="1036"/>
      <c r="AR118" s="1037"/>
      <c r="AS118" s="686"/>
      <c r="AT118" s="1036"/>
      <c r="AU118" s="1036"/>
      <c r="AV118" s="1036"/>
      <c r="AW118" s="1036"/>
      <c r="AX118" s="1036"/>
      <c r="AY118" s="1036"/>
      <c r="AZ118" s="1036"/>
      <c r="BA118" s="1036"/>
      <c r="BB118" s="1036"/>
      <c r="BC118" s="1036"/>
      <c r="BD118" s="1037"/>
      <c r="BE118" s="686" t="s">
        <v>298</v>
      </c>
      <c r="BF118" s="1036"/>
      <c r="BG118" s="1036"/>
      <c r="BH118" s="1036"/>
      <c r="BI118" s="1036"/>
      <c r="BJ118" s="1036"/>
      <c r="BK118" s="1036"/>
      <c r="BL118" s="1036"/>
      <c r="BM118" s="1036"/>
      <c r="BN118" s="1036"/>
      <c r="BO118" s="1036"/>
      <c r="BP118" s="1037"/>
      <c r="BQ118" s="686"/>
      <c r="BR118" s="1036"/>
      <c r="BS118" s="1036"/>
      <c r="BT118" s="1036"/>
      <c r="BU118" s="1036"/>
      <c r="BV118" s="1036"/>
      <c r="BW118" s="1036"/>
      <c r="BX118" s="1036"/>
      <c r="BY118" s="1036"/>
      <c r="BZ118" s="1036"/>
      <c r="CA118" s="1036"/>
      <c r="CB118" s="1037"/>
      <c r="CC118" s="295"/>
      <c r="CD118" s="295"/>
      <c r="CE118" s="296"/>
    </row>
    <row r="119" spans="1:83" s="297" customFormat="1" ht="13.5" x14ac:dyDescent="0.15">
      <c r="A119" s="298"/>
      <c r="B119" s="295"/>
      <c r="C119" s="295"/>
      <c r="D119" s="1038">
        <v>12</v>
      </c>
      <c r="E119" s="1039"/>
      <c r="F119" s="1040"/>
      <c r="G119" s="147" t="s">
        <v>482</v>
      </c>
      <c r="H119" s="124"/>
      <c r="I119" s="124"/>
      <c r="J119" s="124"/>
      <c r="K119" s="124"/>
      <c r="L119" s="124"/>
      <c r="M119" s="124"/>
      <c r="N119" s="124"/>
      <c r="O119" s="124"/>
      <c r="P119" s="124"/>
      <c r="Q119" s="124"/>
      <c r="R119" s="124"/>
      <c r="S119" s="124"/>
      <c r="T119" s="124"/>
      <c r="U119" s="124"/>
      <c r="V119" s="124"/>
      <c r="W119" s="124"/>
      <c r="X119" s="124"/>
      <c r="Y119" s="124"/>
      <c r="Z119" s="124"/>
      <c r="AA119" s="695" t="s">
        <v>299</v>
      </c>
      <c r="AB119" s="696"/>
      <c r="AC119" s="696"/>
      <c r="AD119" s="696"/>
      <c r="AE119" s="696"/>
      <c r="AF119" s="697"/>
      <c r="AG119" s="686"/>
      <c r="AH119" s="1036"/>
      <c r="AI119" s="1036"/>
      <c r="AJ119" s="1036"/>
      <c r="AK119" s="1036"/>
      <c r="AL119" s="1036"/>
      <c r="AM119" s="1036"/>
      <c r="AN119" s="1036"/>
      <c r="AO119" s="1036"/>
      <c r="AP119" s="1036"/>
      <c r="AQ119" s="1036"/>
      <c r="AR119" s="1037"/>
      <c r="AS119" s="686"/>
      <c r="AT119" s="1036"/>
      <c r="AU119" s="1036"/>
      <c r="AV119" s="1036"/>
      <c r="AW119" s="1036"/>
      <c r="AX119" s="1036"/>
      <c r="AY119" s="1036"/>
      <c r="AZ119" s="1036"/>
      <c r="BA119" s="1036"/>
      <c r="BB119" s="1036"/>
      <c r="BC119" s="1036"/>
      <c r="BD119" s="1037"/>
      <c r="BE119" s="686" t="s">
        <v>298</v>
      </c>
      <c r="BF119" s="1036"/>
      <c r="BG119" s="1036"/>
      <c r="BH119" s="1036"/>
      <c r="BI119" s="1036"/>
      <c r="BJ119" s="1036"/>
      <c r="BK119" s="1036"/>
      <c r="BL119" s="1036"/>
      <c r="BM119" s="1036"/>
      <c r="BN119" s="1036"/>
      <c r="BO119" s="1036"/>
      <c r="BP119" s="1037"/>
      <c r="BQ119" s="686"/>
      <c r="BR119" s="1036"/>
      <c r="BS119" s="1036"/>
      <c r="BT119" s="1036"/>
      <c r="BU119" s="1036"/>
      <c r="BV119" s="1036"/>
      <c r="BW119" s="1036"/>
      <c r="BX119" s="1036"/>
      <c r="BY119" s="1036"/>
      <c r="BZ119" s="1036"/>
      <c r="CA119" s="1036"/>
      <c r="CB119" s="1037"/>
      <c r="CC119" s="295"/>
      <c r="CD119" s="295"/>
      <c r="CE119" s="296"/>
    </row>
    <row r="120" spans="1:83" s="297" customFormat="1" ht="13.5" x14ac:dyDescent="0.15">
      <c r="A120" s="298"/>
      <c r="B120" s="295"/>
      <c r="C120" s="295"/>
      <c r="D120" s="1038">
        <v>13</v>
      </c>
      <c r="E120" s="1039"/>
      <c r="F120" s="1040"/>
      <c r="G120" s="147" t="s">
        <v>483</v>
      </c>
      <c r="H120" s="124"/>
      <c r="I120" s="124"/>
      <c r="J120" s="124"/>
      <c r="K120" s="124"/>
      <c r="L120" s="124"/>
      <c r="M120" s="124"/>
      <c r="N120" s="124"/>
      <c r="O120" s="124"/>
      <c r="P120" s="124"/>
      <c r="Q120" s="124"/>
      <c r="R120" s="124"/>
      <c r="S120" s="124"/>
      <c r="T120" s="124"/>
      <c r="U120" s="124"/>
      <c r="V120" s="124"/>
      <c r="W120" s="124"/>
      <c r="X120" s="124"/>
      <c r="Y120" s="124"/>
      <c r="Z120" s="124"/>
      <c r="AA120" s="695" t="s">
        <v>299</v>
      </c>
      <c r="AB120" s="696"/>
      <c r="AC120" s="696"/>
      <c r="AD120" s="696"/>
      <c r="AE120" s="696"/>
      <c r="AF120" s="697"/>
      <c r="AG120" s="686"/>
      <c r="AH120" s="1036"/>
      <c r="AI120" s="1036"/>
      <c r="AJ120" s="1036"/>
      <c r="AK120" s="1036"/>
      <c r="AL120" s="1036"/>
      <c r="AM120" s="1036"/>
      <c r="AN120" s="1036"/>
      <c r="AO120" s="1036"/>
      <c r="AP120" s="1036"/>
      <c r="AQ120" s="1036"/>
      <c r="AR120" s="1037"/>
      <c r="AS120" s="686"/>
      <c r="AT120" s="1036"/>
      <c r="AU120" s="1036"/>
      <c r="AV120" s="1036"/>
      <c r="AW120" s="1036"/>
      <c r="AX120" s="1036"/>
      <c r="AY120" s="1036"/>
      <c r="AZ120" s="1036"/>
      <c r="BA120" s="1036"/>
      <c r="BB120" s="1036"/>
      <c r="BC120" s="1036"/>
      <c r="BD120" s="1037"/>
      <c r="BE120" s="686"/>
      <c r="BF120" s="1036"/>
      <c r="BG120" s="1036"/>
      <c r="BH120" s="1036"/>
      <c r="BI120" s="1036"/>
      <c r="BJ120" s="1036"/>
      <c r="BK120" s="1036"/>
      <c r="BL120" s="1036"/>
      <c r="BM120" s="1036"/>
      <c r="BN120" s="1036"/>
      <c r="BO120" s="1036"/>
      <c r="BP120" s="1037"/>
      <c r="BQ120" s="686" t="s">
        <v>298</v>
      </c>
      <c r="BR120" s="1036"/>
      <c r="BS120" s="1036"/>
      <c r="BT120" s="1036"/>
      <c r="BU120" s="1036"/>
      <c r="BV120" s="1036"/>
      <c r="BW120" s="1036"/>
      <c r="BX120" s="1036"/>
      <c r="BY120" s="1036"/>
      <c r="BZ120" s="1036"/>
      <c r="CA120" s="1036"/>
      <c r="CB120" s="1037"/>
      <c r="CC120" s="295"/>
      <c r="CD120" s="295"/>
      <c r="CE120" s="296"/>
    </row>
    <row r="121" spans="1:83" s="297" customFormat="1" ht="13.5" x14ac:dyDescent="0.15">
      <c r="A121" s="298"/>
      <c r="B121" s="295"/>
      <c r="C121" s="295"/>
      <c r="D121" s="1038">
        <v>14</v>
      </c>
      <c r="E121" s="1039"/>
      <c r="F121" s="1040"/>
      <c r="G121" s="147" t="s">
        <v>484</v>
      </c>
      <c r="H121" s="124"/>
      <c r="I121" s="124"/>
      <c r="J121" s="124"/>
      <c r="K121" s="124"/>
      <c r="L121" s="124"/>
      <c r="M121" s="124"/>
      <c r="N121" s="124"/>
      <c r="O121" s="124"/>
      <c r="P121" s="124"/>
      <c r="Q121" s="124"/>
      <c r="R121" s="124"/>
      <c r="S121" s="124"/>
      <c r="T121" s="124"/>
      <c r="U121" s="124"/>
      <c r="V121" s="124"/>
      <c r="W121" s="124"/>
      <c r="X121" s="124"/>
      <c r="Y121" s="124"/>
      <c r="Z121" s="124"/>
      <c r="AA121" s="695" t="s">
        <v>299</v>
      </c>
      <c r="AB121" s="696"/>
      <c r="AC121" s="696"/>
      <c r="AD121" s="696"/>
      <c r="AE121" s="696"/>
      <c r="AF121" s="697"/>
      <c r="AG121" s="686"/>
      <c r="AH121" s="1036"/>
      <c r="AI121" s="1036"/>
      <c r="AJ121" s="1036"/>
      <c r="AK121" s="1036"/>
      <c r="AL121" s="1036"/>
      <c r="AM121" s="1036"/>
      <c r="AN121" s="1036"/>
      <c r="AO121" s="1036"/>
      <c r="AP121" s="1036"/>
      <c r="AQ121" s="1036"/>
      <c r="AR121" s="1037"/>
      <c r="AS121" s="686"/>
      <c r="AT121" s="1036"/>
      <c r="AU121" s="1036"/>
      <c r="AV121" s="1036"/>
      <c r="AW121" s="1036"/>
      <c r="AX121" s="1036"/>
      <c r="AY121" s="1036"/>
      <c r="AZ121" s="1036"/>
      <c r="BA121" s="1036"/>
      <c r="BB121" s="1036"/>
      <c r="BC121" s="1036"/>
      <c r="BD121" s="1037"/>
      <c r="BE121" s="686"/>
      <c r="BF121" s="1036"/>
      <c r="BG121" s="1036"/>
      <c r="BH121" s="1036"/>
      <c r="BI121" s="1036"/>
      <c r="BJ121" s="1036"/>
      <c r="BK121" s="1036"/>
      <c r="BL121" s="1036"/>
      <c r="BM121" s="1036"/>
      <c r="BN121" s="1036"/>
      <c r="BO121" s="1036"/>
      <c r="BP121" s="1037"/>
      <c r="BQ121" s="686" t="s">
        <v>298</v>
      </c>
      <c r="BR121" s="1036"/>
      <c r="BS121" s="1036"/>
      <c r="BT121" s="1036"/>
      <c r="BU121" s="1036"/>
      <c r="BV121" s="1036"/>
      <c r="BW121" s="1036"/>
      <c r="BX121" s="1036"/>
      <c r="BY121" s="1036"/>
      <c r="BZ121" s="1036"/>
      <c r="CA121" s="1036"/>
      <c r="CB121" s="1037"/>
      <c r="CC121" s="295"/>
      <c r="CD121" s="295"/>
      <c r="CE121" s="296"/>
    </row>
    <row r="122" spans="1:83" s="297" customFormat="1" ht="12.75" thickBot="1" x14ac:dyDescent="0.2">
      <c r="A122" s="317"/>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c r="AA122" s="303"/>
      <c r="AB122" s="303"/>
      <c r="AC122" s="303"/>
      <c r="AD122" s="303"/>
      <c r="AE122" s="303"/>
      <c r="AF122" s="303"/>
      <c r="AG122" s="303"/>
      <c r="AH122" s="303"/>
      <c r="AI122" s="303"/>
      <c r="AJ122" s="303"/>
      <c r="AK122" s="303"/>
      <c r="AL122" s="303"/>
      <c r="AM122" s="303"/>
      <c r="AN122" s="303"/>
      <c r="AO122" s="303"/>
      <c r="AP122" s="303"/>
      <c r="AQ122" s="303"/>
      <c r="AR122" s="303"/>
      <c r="AS122" s="303"/>
      <c r="AT122" s="303"/>
      <c r="AU122" s="303"/>
      <c r="AV122" s="303"/>
      <c r="AW122" s="303"/>
      <c r="AX122" s="303"/>
      <c r="AY122" s="303"/>
      <c r="AZ122" s="303"/>
      <c r="BA122" s="303"/>
      <c r="BB122" s="303"/>
      <c r="BC122" s="303"/>
      <c r="BD122" s="303"/>
      <c r="BE122" s="303"/>
      <c r="BF122" s="303"/>
      <c r="BG122" s="303"/>
      <c r="BH122" s="303"/>
      <c r="BI122" s="303"/>
      <c r="BJ122" s="303"/>
      <c r="BK122" s="303"/>
      <c r="BL122" s="303"/>
      <c r="BM122" s="303"/>
      <c r="BN122" s="303"/>
      <c r="BO122" s="303"/>
      <c r="BP122" s="303"/>
      <c r="BQ122" s="303"/>
      <c r="BR122" s="303"/>
      <c r="BS122" s="303"/>
      <c r="BT122" s="303"/>
      <c r="BU122" s="303"/>
      <c r="BV122" s="303"/>
      <c r="BW122" s="303"/>
      <c r="BX122" s="303"/>
      <c r="BY122" s="303"/>
      <c r="BZ122" s="303"/>
      <c r="CA122" s="303"/>
      <c r="CB122" s="303"/>
      <c r="CC122" s="303"/>
      <c r="CD122" s="303"/>
      <c r="CE122" s="307"/>
    </row>
    <row r="123" spans="1:83" s="274" customFormat="1" ht="12.75" customHeight="1" x14ac:dyDescent="0.15">
      <c r="A123" s="318"/>
      <c r="B123" s="319"/>
      <c r="C123" s="320"/>
      <c r="D123" s="321"/>
      <c r="E123" s="322"/>
      <c r="F123" s="322"/>
      <c r="G123" s="322"/>
      <c r="H123" s="322"/>
      <c r="I123" s="322"/>
      <c r="J123" s="322"/>
      <c r="K123" s="322"/>
      <c r="L123" s="322"/>
      <c r="M123" s="322"/>
      <c r="N123" s="322"/>
      <c r="O123" s="323"/>
      <c r="P123" s="323"/>
      <c r="Q123" s="323"/>
      <c r="R123" s="323"/>
      <c r="S123" s="323"/>
      <c r="T123" s="323"/>
      <c r="U123" s="323"/>
      <c r="V123" s="323"/>
      <c r="W123" s="323"/>
      <c r="X123" s="323"/>
      <c r="Y123" s="323"/>
      <c r="Z123" s="323"/>
      <c r="AA123" s="323"/>
      <c r="AB123" s="323"/>
      <c r="AC123" s="323"/>
      <c r="AD123" s="323"/>
      <c r="AE123" s="323"/>
      <c r="AF123" s="323"/>
      <c r="AG123" s="323"/>
      <c r="AH123" s="323"/>
      <c r="AI123" s="323"/>
      <c r="AJ123" s="323"/>
      <c r="AK123" s="323"/>
      <c r="AL123" s="323"/>
      <c r="AM123" s="323"/>
      <c r="AN123" s="323"/>
      <c r="AO123" s="323"/>
      <c r="AP123" s="323"/>
      <c r="AQ123" s="323"/>
      <c r="AR123" s="323"/>
      <c r="AS123" s="323"/>
      <c r="AT123" s="323"/>
      <c r="AU123" s="323"/>
      <c r="AV123" s="323"/>
      <c r="AW123" s="323"/>
      <c r="AX123" s="323"/>
      <c r="AY123" s="323"/>
      <c r="AZ123" s="323"/>
      <c r="BA123" s="323"/>
      <c r="BB123" s="323"/>
      <c r="BC123" s="323"/>
      <c r="BD123" s="323"/>
      <c r="BE123" s="323"/>
      <c r="BF123" s="323"/>
      <c r="BG123" s="323"/>
      <c r="BH123" s="323"/>
      <c r="BI123" s="323"/>
      <c r="BJ123" s="323"/>
      <c r="BK123" s="323"/>
      <c r="BL123" s="323"/>
      <c r="BM123" s="323"/>
      <c r="BN123" s="323"/>
      <c r="BO123" s="323"/>
      <c r="BP123" s="323"/>
      <c r="BQ123" s="323"/>
      <c r="BR123" s="323"/>
      <c r="BS123" s="323"/>
      <c r="BT123" s="323"/>
      <c r="BU123" s="323"/>
      <c r="BV123" s="323"/>
      <c r="BW123" s="323"/>
      <c r="BX123" s="323"/>
      <c r="BY123" s="323"/>
      <c r="BZ123" s="323"/>
      <c r="CA123" s="323"/>
      <c r="CB123" s="323"/>
      <c r="CC123" s="323"/>
      <c r="CD123" s="322"/>
      <c r="CE123" s="324"/>
    </row>
    <row r="124" spans="1:83" s="274" customFormat="1" ht="12.75" customHeight="1" x14ac:dyDescent="0.15">
      <c r="A124" s="269"/>
      <c r="B124" s="270"/>
      <c r="C124" s="325"/>
      <c r="D124" s="325"/>
      <c r="E124" s="271"/>
      <c r="F124" s="271"/>
      <c r="G124" s="271"/>
      <c r="H124" s="271"/>
      <c r="I124" s="271"/>
      <c r="J124" s="271"/>
      <c r="K124" s="271"/>
      <c r="L124" s="271"/>
      <c r="M124" s="271"/>
      <c r="N124" s="271"/>
      <c r="O124" s="272"/>
      <c r="P124" s="272"/>
      <c r="Q124" s="272"/>
      <c r="R124" s="272"/>
      <c r="S124" s="272"/>
      <c r="T124" s="272"/>
      <c r="U124" s="272"/>
      <c r="V124" s="272"/>
      <c r="W124" s="272"/>
      <c r="X124" s="272"/>
      <c r="Y124" s="272"/>
      <c r="Z124" s="272"/>
      <c r="AA124" s="272"/>
      <c r="AB124" s="272"/>
      <c r="AC124" s="272"/>
      <c r="AD124" s="272"/>
      <c r="AE124" s="272"/>
      <c r="AF124" s="272"/>
      <c r="AG124" s="272"/>
      <c r="AH124" s="272"/>
      <c r="AI124" s="272"/>
      <c r="AJ124" s="272"/>
      <c r="AK124" s="272"/>
      <c r="AL124" s="272"/>
      <c r="AM124" s="272"/>
      <c r="AN124" s="272"/>
      <c r="AO124" s="272"/>
      <c r="AP124" s="272"/>
      <c r="AQ124" s="272"/>
      <c r="AR124" s="272"/>
      <c r="AS124" s="272"/>
      <c r="AT124" s="272"/>
      <c r="AU124" s="272"/>
      <c r="AV124" s="272"/>
      <c r="AW124" s="272"/>
      <c r="AX124" s="272"/>
      <c r="AY124" s="272"/>
      <c r="AZ124" s="272"/>
      <c r="BA124" s="272"/>
      <c r="BB124" s="272"/>
      <c r="BC124" s="272"/>
      <c r="BD124" s="272"/>
      <c r="BE124" s="272"/>
      <c r="BF124" s="272"/>
      <c r="BG124" s="272"/>
      <c r="BH124" s="272"/>
      <c r="BI124" s="272"/>
      <c r="BJ124" s="272"/>
      <c r="BK124" s="272"/>
      <c r="BL124" s="272"/>
      <c r="BM124" s="272"/>
      <c r="BN124" s="272"/>
      <c r="BO124" s="272"/>
      <c r="BP124" s="272"/>
      <c r="BQ124" s="272"/>
      <c r="BR124" s="272"/>
      <c r="BS124" s="272"/>
      <c r="BT124" s="272"/>
      <c r="BU124" s="272"/>
      <c r="BV124" s="272"/>
      <c r="BW124" s="272"/>
      <c r="BX124" s="272"/>
      <c r="BY124" s="272"/>
      <c r="BZ124" s="272"/>
      <c r="CA124" s="272"/>
      <c r="CB124" s="272"/>
      <c r="CC124" s="272"/>
      <c r="CD124" s="271"/>
      <c r="CE124" s="273"/>
    </row>
    <row r="125" spans="1:83" s="274" customFormat="1" ht="12.75" customHeight="1" x14ac:dyDescent="0.15">
      <c r="A125" s="269"/>
      <c r="B125" s="270"/>
      <c r="C125" s="325"/>
      <c r="D125" s="22" t="s">
        <v>300</v>
      </c>
      <c r="E125" s="11"/>
      <c r="F125" s="271"/>
      <c r="G125" s="271"/>
      <c r="H125" s="271"/>
      <c r="I125" s="271"/>
      <c r="J125" s="271"/>
      <c r="K125" s="271"/>
      <c r="L125" s="271"/>
      <c r="M125" s="271"/>
      <c r="N125" s="271"/>
      <c r="O125" s="272"/>
      <c r="P125" s="272"/>
      <c r="Q125" s="272"/>
      <c r="R125" s="272"/>
      <c r="S125" s="272"/>
      <c r="T125" s="272"/>
      <c r="U125" s="272"/>
      <c r="V125" s="272"/>
      <c r="W125" s="272"/>
      <c r="X125" s="272"/>
      <c r="Y125" s="272"/>
      <c r="Z125" s="272"/>
      <c r="AA125" s="272"/>
      <c r="AB125" s="272"/>
      <c r="AC125" s="272"/>
      <c r="AD125" s="272"/>
      <c r="AE125" s="272"/>
      <c r="AF125" s="272"/>
      <c r="AG125" s="272"/>
      <c r="AH125" s="272"/>
      <c r="AI125" s="272"/>
      <c r="AJ125" s="272"/>
      <c r="AK125" s="272"/>
      <c r="AL125" s="272"/>
      <c r="AM125" s="272"/>
      <c r="AN125" s="272"/>
      <c r="AO125" s="272"/>
      <c r="AP125" s="272"/>
      <c r="AQ125" s="272"/>
      <c r="AR125" s="272"/>
      <c r="AS125" s="272"/>
      <c r="AT125" s="272"/>
      <c r="AU125" s="272"/>
      <c r="AV125" s="272"/>
      <c r="AW125" s="272"/>
      <c r="AX125" s="272"/>
      <c r="AY125" s="272"/>
      <c r="AZ125" s="272"/>
      <c r="BA125" s="272"/>
      <c r="BB125" s="272"/>
      <c r="BC125" s="272"/>
      <c r="BD125" s="272"/>
      <c r="BE125" s="272"/>
      <c r="BF125" s="272"/>
      <c r="BG125" s="272"/>
      <c r="BH125" s="272"/>
      <c r="BI125" s="272"/>
      <c r="BJ125" s="272"/>
      <c r="BK125" s="272"/>
      <c r="BL125" s="272"/>
      <c r="BM125" s="272"/>
      <c r="BN125" s="272"/>
      <c r="BO125" s="272"/>
      <c r="BP125" s="272"/>
      <c r="BQ125" s="272"/>
      <c r="BR125" s="272"/>
      <c r="BS125" s="272"/>
      <c r="BT125" s="272"/>
      <c r="BU125" s="272"/>
      <c r="BV125" s="272"/>
      <c r="BW125" s="272"/>
      <c r="BX125" s="272"/>
      <c r="BY125" s="272"/>
      <c r="BZ125" s="272"/>
      <c r="CA125" s="272"/>
      <c r="CB125" s="272"/>
      <c r="CC125" s="272"/>
      <c r="CD125" s="271"/>
      <c r="CE125" s="273"/>
    </row>
    <row r="126" spans="1:83" s="274" customFormat="1" ht="12.75" customHeight="1" x14ac:dyDescent="0.15">
      <c r="A126" s="269"/>
      <c r="B126" s="270"/>
      <c r="C126" s="325"/>
      <c r="D126" s="22"/>
      <c r="E126" s="12" t="s">
        <v>419</v>
      </c>
      <c r="F126" s="271"/>
      <c r="G126" s="271"/>
      <c r="H126" s="271"/>
      <c r="I126" s="271"/>
      <c r="J126" s="271"/>
      <c r="K126" s="271"/>
      <c r="L126" s="271"/>
      <c r="M126" s="271"/>
      <c r="N126" s="271"/>
      <c r="O126" s="272"/>
      <c r="P126" s="272"/>
      <c r="Q126" s="272"/>
      <c r="R126" s="272"/>
      <c r="S126" s="272"/>
      <c r="T126" s="272"/>
      <c r="U126" s="272"/>
      <c r="V126" s="272"/>
      <c r="W126" s="272"/>
      <c r="X126" s="272"/>
      <c r="Y126" s="272"/>
      <c r="Z126" s="272"/>
      <c r="AA126" s="272"/>
      <c r="AB126" s="272"/>
      <c r="AC126" s="272"/>
      <c r="AD126" s="272"/>
      <c r="AE126" s="272"/>
      <c r="AF126" s="272"/>
      <c r="AG126" s="272"/>
      <c r="AH126" s="272"/>
      <c r="AI126" s="272"/>
      <c r="AJ126" s="272"/>
      <c r="AK126" s="272"/>
      <c r="AL126" s="272"/>
      <c r="AM126" s="272"/>
      <c r="AN126" s="272"/>
      <c r="AO126" s="272"/>
      <c r="AP126" s="272"/>
      <c r="AQ126" s="272"/>
      <c r="AR126" s="272"/>
      <c r="AS126" s="272"/>
      <c r="AT126" s="272"/>
      <c r="AU126" s="272"/>
      <c r="AV126" s="272"/>
      <c r="AW126" s="272"/>
      <c r="AX126" s="272"/>
      <c r="AY126" s="272"/>
      <c r="AZ126" s="272"/>
      <c r="BA126" s="272"/>
      <c r="BB126" s="272"/>
      <c r="BC126" s="272"/>
      <c r="BD126" s="272"/>
      <c r="BE126" s="272"/>
      <c r="BF126" s="272"/>
      <c r="BG126" s="272"/>
      <c r="BH126" s="272"/>
      <c r="BI126" s="272"/>
      <c r="BJ126" s="272"/>
      <c r="BK126" s="272"/>
      <c r="BL126" s="272"/>
      <c r="BM126" s="272"/>
      <c r="BN126" s="272"/>
      <c r="BO126" s="272"/>
      <c r="BP126" s="272"/>
      <c r="BQ126" s="272"/>
      <c r="BR126" s="272"/>
      <c r="BS126" s="272"/>
      <c r="BT126" s="272"/>
      <c r="BU126" s="272"/>
      <c r="BV126" s="272"/>
      <c r="BW126" s="272"/>
      <c r="BX126" s="272"/>
      <c r="BY126" s="272"/>
      <c r="BZ126" s="272"/>
      <c r="CA126" s="272"/>
      <c r="CB126" s="272"/>
      <c r="CC126" s="272"/>
      <c r="CD126" s="271"/>
      <c r="CE126" s="273"/>
    </row>
    <row r="127" spans="1:83" s="274" customFormat="1" ht="12.75" customHeight="1" x14ac:dyDescent="0.15">
      <c r="A127" s="269"/>
      <c r="B127" s="270"/>
      <c r="C127" s="275"/>
      <c r="D127" s="961" t="s">
        <v>391</v>
      </c>
      <c r="E127" s="1020"/>
      <c r="F127" s="1021"/>
      <c r="G127" s="729" t="s">
        <v>417</v>
      </c>
      <c r="H127" s="730"/>
      <c r="I127" s="730"/>
      <c r="J127" s="730"/>
      <c r="K127" s="730"/>
      <c r="L127" s="730"/>
      <c r="M127" s="731"/>
      <c r="N127" s="961" t="s">
        <v>281</v>
      </c>
      <c r="O127" s="1020"/>
      <c r="P127" s="1020"/>
      <c r="Q127" s="1021"/>
      <c r="R127" s="729">
        <v>2</v>
      </c>
      <c r="S127" s="730"/>
      <c r="T127" s="730"/>
      <c r="U127" s="730"/>
      <c r="V127" s="730"/>
      <c r="W127" s="730"/>
      <c r="X127" s="731"/>
      <c r="Y127" s="961" t="s">
        <v>401</v>
      </c>
      <c r="Z127" s="1020"/>
      <c r="AA127" s="1020"/>
      <c r="AB127" s="1020"/>
      <c r="AC127" s="1020"/>
      <c r="AD127" s="1020"/>
      <c r="AE127" s="1021"/>
      <c r="AF127" s="736" t="s">
        <v>418</v>
      </c>
      <c r="AG127" s="737"/>
      <c r="AH127" s="737"/>
      <c r="AI127" s="737"/>
      <c r="AJ127" s="737"/>
      <c r="AK127" s="737"/>
      <c r="AL127" s="737"/>
      <c r="AM127" s="737"/>
      <c r="AN127" s="737"/>
      <c r="AO127" s="737"/>
      <c r="AP127" s="737"/>
      <c r="AQ127" s="737"/>
      <c r="AR127" s="737"/>
      <c r="AS127" s="737"/>
      <c r="AT127" s="737"/>
      <c r="AU127" s="737"/>
      <c r="AV127" s="737"/>
      <c r="AW127" s="737"/>
      <c r="AX127" s="737"/>
      <c r="AY127" s="737"/>
      <c r="AZ127" s="737"/>
      <c r="BA127" s="737"/>
      <c r="BB127" s="737"/>
      <c r="BC127" s="737"/>
      <c r="BD127" s="737"/>
      <c r="BE127" s="737"/>
      <c r="BF127" s="737"/>
      <c r="BG127" s="737"/>
      <c r="BH127" s="737"/>
      <c r="BI127" s="737"/>
      <c r="BJ127" s="737"/>
      <c r="BK127" s="737"/>
      <c r="BL127" s="737"/>
      <c r="BM127" s="737"/>
      <c r="BN127" s="737"/>
      <c r="BO127" s="737"/>
      <c r="BP127" s="737"/>
      <c r="BQ127" s="737"/>
      <c r="BR127" s="737"/>
      <c r="BS127" s="737"/>
      <c r="BT127" s="737"/>
      <c r="BU127" s="737"/>
      <c r="BV127" s="737"/>
      <c r="BW127" s="737"/>
      <c r="BX127" s="737"/>
      <c r="BY127" s="737"/>
      <c r="BZ127" s="737"/>
      <c r="CA127" s="737"/>
      <c r="CB127" s="738"/>
      <c r="CC127" s="276"/>
      <c r="CD127" s="275"/>
      <c r="CE127" s="277"/>
    </row>
    <row r="128" spans="1:83" s="274" customFormat="1" ht="12.75" customHeight="1" x14ac:dyDescent="0.15">
      <c r="A128" s="269"/>
      <c r="B128" s="270"/>
      <c r="C128" s="275"/>
      <c r="D128" s="1022"/>
      <c r="E128" s="1023"/>
      <c r="F128" s="1024"/>
      <c r="G128" s="732"/>
      <c r="H128" s="733"/>
      <c r="I128" s="733"/>
      <c r="J128" s="733"/>
      <c r="K128" s="733"/>
      <c r="L128" s="733"/>
      <c r="M128" s="734"/>
      <c r="N128" s="1022"/>
      <c r="O128" s="1023"/>
      <c r="P128" s="1023"/>
      <c r="Q128" s="1024"/>
      <c r="R128" s="732"/>
      <c r="S128" s="733"/>
      <c r="T128" s="733"/>
      <c r="U128" s="733"/>
      <c r="V128" s="733"/>
      <c r="W128" s="733"/>
      <c r="X128" s="734"/>
      <c r="Y128" s="1022"/>
      <c r="Z128" s="1023"/>
      <c r="AA128" s="1023"/>
      <c r="AB128" s="1023"/>
      <c r="AC128" s="1023"/>
      <c r="AD128" s="1023"/>
      <c r="AE128" s="1024"/>
      <c r="AF128" s="739"/>
      <c r="AG128" s="740"/>
      <c r="AH128" s="740"/>
      <c r="AI128" s="740"/>
      <c r="AJ128" s="740"/>
      <c r="AK128" s="740"/>
      <c r="AL128" s="740"/>
      <c r="AM128" s="740"/>
      <c r="AN128" s="740"/>
      <c r="AO128" s="740"/>
      <c r="AP128" s="740"/>
      <c r="AQ128" s="740"/>
      <c r="AR128" s="740"/>
      <c r="AS128" s="740"/>
      <c r="AT128" s="740"/>
      <c r="AU128" s="740"/>
      <c r="AV128" s="740"/>
      <c r="AW128" s="740"/>
      <c r="AX128" s="740"/>
      <c r="AY128" s="740"/>
      <c r="AZ128" s="740"/>
      <c r="BA128" s="740"/>
      <c r="BB128" s="740"/>
      <c r="BC128" s="740"/>
      <c r="BD128" s="740"/>
      <c r="BE128" s="740"/>
      <c r="BF128" s="740"/>
      <c r="BG128" s="740"/>
      <c r="BH128" s="740"/>
      <c r="BI128" s="740"/>
      <c r="BJ128" s="740"/>
      <c r="BK128" s="740"/>
      <c r="BL128" s="740"/>
      <c r="BM128" s="740"/>
      <c r="BN128" s="740"/>
      <c r="BO128" s="740"/>
      <c r="BP128" s="740"/>
      <c r="BQ128" s="740"/>
      <c r="BR128" s="740"/>
      <c r="BS128" s="740"/>
      <c r="BT128" s="740"/>
      <c r="BU128" s="740"/>
      <c r="BV128" s="740"/>
      <c r="BW128" s="740"/>
      <c r="BX128" s="740"/>
      <c r="BY128" s="740"/>
      <c r="BZ128" s="740"/>
      <c r="CA128" s="740"/>
      <c r="CB128" s="741"/>
      <c r="CC128" s="278"/>
      <c r="CD128" s="275"/>
      <c r="CE128" s="277"/>
    </row>
    <row r="129" spans="1:83" s="274" customFormat="1" ht="12.75" customHeight="1" x14ac:dyDescent="0.15">
      <c r="A129" s="269"/>
      <c r="B129" s="270"/>
      <c r="C129" s="275"/>
      <c r="D129" s="1025" t="s">
        <v>402</v>
      </c>
      <c r="E129" s="1026"/>
      <c r="F129" s="1027"/>
      <c r="G129" s="279"/>
      <c r="H129" s="279"/>
      <c r="I129" s="279"/>
      <c r="J129" s="279"/>
      <c r="K129" s="279"/>
      <c r="L129" s="279"/>
      <c r="M129" s="279"/>
      <c r="N129" s="279"/>
      <c r="O129" s="279"/>
      <c r="P129" s="279"/>
      <c r="Q129" s="279"/>
      <c r="R129" s="279"/>
      <c r="S129" s="279"/>
      <c r="T129" s="279"/>
      <c r="U129" s="279"/>
      <c r="V129" s="279"/>
      <c r="W129" s="279"/>
      <c r="X129" s="279"/>
      <c r="Y129" s="279"/>
      <c r="Z129" s="279"/>
      <c r="AA129" s="279"/>
      <c r="AB129" s="279"/>
      <c r="AC129" s="279"/>
      <c r="AD129" s="279"/>
      <c r="AE129" s="279"/>
      <c r="AF129" s="279"/>
      <c r="AG129" s="279"/>
      <c r="AH129" s="279"/>
      <c r="AI129" s="279"/>
      <c r="AJ129" s="279"/>
      <c r="AK129" s="279"/>
      <c r="AL129" s="279"/>
      <c r="AM129" s="279"/>
      <c r="AN129" s="279"/>
      <c r="AO129" s="279"/>
      <c r="AP129" s="279"/>
      <c r="AQ129" s="279"/>
      <c r="AR129" s="279"/>
      <c r="AS129" s="279"/>
      <c r="AT129" s="279"/>
      <c r="AU129" s="279"/>
      <c r="AV129" s="279"/>
      <c r="AW129" s="279"/>
      <c r="AX129" s="279"/>
      <c r="AY129" s="279"/>
      <c r="AZ129" s="279"/>
      <c r="BA129" s="279"/>
      <c r="BB129" s="279"/>
      <c r="BC129" s="279"/>
      <c r="BD129" s="279"/>
      <c r="BE129" s="279"/>
      <c r="BF129" s="279"/>
      <c r="BG129" s="279"/>
      <c r="BH129" s="279"/>
      <c r="BI129" s="279"/>
      <c r="BJ129" s="279"/>
      <c r="BK129" s="279"/>
      <c r="BL129" s="279"/>
      <c r="BM129" s="279"/>
      <c r="BN129" s="279"/>
      <c r="BO129" s="279"/>
      <c r="BP129" s="279"/>
      <c r="BQ129" s="279"/>
      <c r="BR129" s="279"/>
      <c r="BS129" s="279"/>
      <c r="BT129" s="279"/>
      <c r="BU129" s="279"/>
      <c r="BV129" s="279"/>
      <c r="BW129" s="279"/>
      <c r="BX129" s="279"/>
      <c r="BY129" s="279"/>
      <c r="BZ129" s="279"/>
      <c r="CA129" s="279"/>
      <c r="CB129" s="280"/>
      <c r="CC129" s="278"/>
      <c r="CD129" s="275"/>
      <c r="CE129" s="277"/>
    </row>
    <row r="130" spans="1:83" s="286" customFormat="1" ht="12.75" customHeight="1" x14ac:dyDescent="0.15">
      <c r="A130" s="281"/>
      <c r="B130" s="270"/>
      <c r="C130" s="282"/>
      <c r="D130" s="1028"/>
      <c r="E130" s="1029"/>
      <c r="F130" s="1030"/>
      <c r="G130" s="278"/>
      <c r="H130" s="278"/>
      <c r="I130" s="278"/>
      <c r="J130" s="278"/>
      <c r="K130" s="278"/>
      <c r="L130" s="278"/>
      <c r="M130" s="278"/>
      <c r="N130" s="278"/>
      <c r="O130" s="278"/>
      <c r="P130" s="278"/>
      <c r="Q130" s="278"/>
      <c r="R130" s="278"/>
      <c r="S130" s="278"/>
      <c r="T130" s="278"/>
      <c r="U130" s="278"/>
      <c r="V130" s="278"/>
      <c r="W130" s="278"/>
      <c r="X130" s="278"/>
      <c r="Y130" s="278"/>
      <c r="Z130" s="278"/>
      <c r="AA130" s="278"/>
      <c r="AB130" s="278"/>
      <c r="AC130" s="278"/>
      <c r="AD130" s="278"/>
      <c r="AE130" s="278"/>
      <c r="AF130" s="278"/>
      <c r="AG130" s="278"/>
      <c r="AH130" s="278"/>
      <c r="AI130" s="278"/>
      <c r="AJ130" s="278"/>
      <c r="AK130" s="278"/>
      <c r="AL130" s="278"/>
      <c r="AM130" s="278"/>
      <c r="AN130" s="278"/>
      <c r="AO130" s="278"/>
      <c r="AP130" s="278"/>
      <c r="AQ130" s="278"/>
      <c r="AR130" s="278"/>
      <c r="AS130" s="278"/>
      <c r="AT130" s="278"/>
      <c r="AU130" s="278"/>
      <c r="AV130" s="278"/>
      <c r="AW130" s="278"/>
      <c r="AX130" s="278"/>
      <c r="AY130" s="278"/>
      <c r="AZ130" s="278"/>
      <c r="BA130" s="278"/>
      <c r="BB130" s="278"/>
      <c r="BC130" s="278"/>
      <c r="BD130" s="278"/>
      <c r="BE130" s="278"/>
      <c r="BF130" s="278"/>
      <c r="BG130" s="278"/>
      <c r="BH130" s="282"/>
      <c r="BI130" s="278"/>
      <c r="BJ130" s="278"/>
      <c r="BK130" s="278"/>
      <c r="BL130" s="283"/>
      <c r="BM130" s="278"/>
      <c r="BN130" s="278"/>
      <c r="BO130" s="278"/>
      <c r="BP130" s="278"/>
      <c r="BQ130" s="278"/>
      <c r="BR130" s="282"/>
      <c r="BS130" s="278"/>
      <c r="BT130" s="278"/>
      <c r="BU130" s="278"/>
      <c r="BV130" s="278"/>
      <c r="BW130" s="278"/>
      <c r="BX130" s="278"/>
      <c r="BY130" s="278"/>
      <c r="BZ130" s="278"/>
      <c r="CA130" s="278"/>
      <c r="CB130" s="284"/>
      <c r="CC130" s="278"/>
      <c r="CD130" s="282"/>
      <c r="CE130" s="285"/>
    </row>
    <row r="131" spans="1:83" s="286" customFormat="1" ht="12.75" customHeight="1" x14ac:dyDescent="0.15">
      <c r="A131" s="281"/>
      <c r="B131" s="270"/>
      <c r="C131" s="282"/>
      <c r="D131" s="1028"/>
      <c r="E131" s="1029"/>
      <c r="F131" s="1030"/>
      <c r="G131" s="278"/>
      <c r="H131" s="278"/>
      <c r="I131" s="278"/>
      <c r="J131" s="278"/>
      <c r="K131" s="278"/>
      <c r="L131" s="278"/>
      <c r="M131" s="278"/>
      <c r="N131" s="278"/>
      <c r="O131" s="278"/>
      <c r="P131" s="278"/>
      <c r="Q131" s="278"/>
      <c r="R131" s="278"/>
      <c r="S131" s="278"/>
      <c r="T131" s="278"/>
      <c r="U131" s="278"/>
      <c r="V131" s="278"/>
      <c r="W131" s="278"/>
      <c r="X131" s="278"/>
      <c r="Y131" s="278"/>
      <c r="Z131" s="278"/>
      <c r="AA131" s="278"/>
      <c r="AB131" s="278"/>
      <c r="AC131" s="278"/>
      <c r="AD131" s="278"/>
      <c r="AE131" s="278"/>
      <c r="AF131" s="278"/>
      <c r="AG131" s="278"/>
      <c r="AH131" s="278"/>
      <c r="AI131" s="278"/>
      <c r="AJ131" s="278"/>
      <c r="AK131" s="278"/>
      <c r="AL131" s="278"/>
      <c r="AM131" s="278"/>
      <c r="AN131" s="278"/>
      <c r="AO131" s="278"/>
      <c r="AP131" s="278"/>
      <c r="AQ131" s="278"/>
      <c r="AR131" s="278"/>
      <c r="AS131" s="278"/>
      <c r="AT131" s="278"/>
      <c r="AU131" s="278"/>
      <c r="AV131" s="278"/>
      <c r="AW131" s="278"/>
      <c r="AX131" s="278"/>
      <c r="AY131" s="278"/>
      <c r="AZ131" s="278"/>
      <c r="BA131" s="278"/>
      <c r="BB131" s="278"/>
      <c r="BC131" s="278"/>
      <c r="BD131" s="278"/>
      <c r="BE131" s="278"/>
      <c r="BF131" s="278"/>
      <c r="BG131" s="278"/>
      <c r="BH131" s="283"/>
      <c r="BI131" s="278"/>
      <c r="BJ131" s="278"/>
      <c r="BK131" s="278"/>
      <c r="BL131" s="278"/>
      <c r="BM131" s="278"/>
      <c r="BN131" s="278"/>
      <c r="BO131" s="278"/>
      <c r="BP131" s="278"/>
      <c r="BQ131" s="278"/>
      <c r="BR131" s="278"/>
      <c r="BS131" s="278"/>
      <c r="BT131" s="278"/>
      <c r="BU131" s="278"/>
      <c r="BV131" s="278"/>
      <c r="BW131" s="278"/>
      <c r="BX131" s="278"/>
      <c r="BY131" s="278"/>
      <c r="BZ131" s="278"/>
      <c r="CA131" s="278"/>
      <c r="CB131" s="284"/>
      <c r="CC131" s="278"/>
      <c r="CD131" s="282"/>
      <c r="CE131" s="285"/>
    </row>
    <row r="132" spans="1:83" s="286" customFormat="1" ht="12.75" customHeight="1" x14ac:dyDescent="0.15">
      <c r="A132" s="281"/>
      <c r="B132" s="270"/>
      <c r="C132" s="282"/>
      <c r="D132" s="1028"/>
      <c r="E132" s="1029"/>
      <c r="F132" s="1030"/>
      <c r="G132" s="278"/>
      <c r="H132" s="278"/>
      <c r="I132" s="278"/>
      <c r="J132" s="278"/>
      <c r="K132" s="278"/>
      <c r="L132" s="278"/>
      <c r="M132" s="278"/>
      <c r="N132" s="278"/>
      <c r="O132" s="278"/>
      <c r="P132" s="278"/>
      <c r="Q132" s="278"/>
      <c r="R132" s="278"/>
      <c r="S132" s="278"/>
      <c r="T132" s="278"/>
      <c r="U132" s="278"/>
      <c r="V132" s="278"/>
      <c r="W132" s="278"/>
      <c r="X132" s="278"/>
      <c r="Y132" s="278"/>
      <c r="Z132" s="278"/>
      <c r="AA132" s="278"/>
      <c r="AB132" s="278"/>
      <c r="AC132" s="278"/>
      <c r="AD132" s="278"/>
      <c r="AE132" s="278"/>
      <c r="AF132" s="278"/>
      <c r="AG132" s="278"/>
      <c r="AH132" s="278"/>
      <c r="AI132" s="278"/>
      <c r="AJ132" s="278"/>
      <c r="AK132" s="278"/>
      <c r="AL132" s="278"/>
      <c r="AM132" s="278"/>
      <c r="AN132" s="278"/>
      <c r="AO132" s="278"/>
      <c r="AP132" s="278"/>
      <c r="AQ132" s="278"/>
      <c r="AR132" s="278"/>
      <c r="AS132" s="278"/>
      <c r="AT132" s="278"/>
      <c r="AU132" s="278"/>
      <c r="AV132" s="278"/>
      <c r="AW132" s="278"/>
      <c r="AX132" s="278"/>
      <c r="AY132" s="278"/>
      <c r="AZ132" s="278"/>
      <c r="BA132" s="278"/>
      <c r="BB132" s="278"/>
      <c r="BC132" s="278"/>
      <c r="BD132" s="278"/>
      <c r="BE132" s="278"/>
      <c r="BF132" s="278"/>
      <c r="BG132" s="278"/>
      <c r="BH132" s="278"/>
      <c r="BI132" s="278"/>
      <c r="BJ132" s="278"/>
      <c r="BK132" s="278"/>
      <c r="BL132" s="278"/>
      <c r="BM132" s="278"/>
      <c r="BN132" s="278"/>
      <c r="BO132" s="278"/>
      <c r="BP132" s="278"/>
      <c r="BQ132" s="278"/>
      <c r="BR132" s="278"/>
      <c r="BS132" s="278"/>
      <c r="BT132" s="278"/>
      <c r="BU132" s="278"/>
      <c r="BV132" s="278"/>
      <c r="BW132" s="278"/>
      <c r="BX132" s="278"/>
      <c r="BY132" s="278"/>
      <c r="BZ132" s="278"/>
      <c r="CA132" s="278"/>
      <c r="CB132" s="284"/>
      <c r="CC132" s="278"/>
      <c r="CD132" s="282"/>
      <c r="CE132" s="285"/>
    </row>
    <row r="133" spans="1:83" s="286" customFormat="1" ht="12.75" customHeight="1" x14ac:dyDescent="0.15">
      <c r="A133" s="281"/>
      <c r="B133" s="270"/>
      <c r="C133" s="282"/>
      <c r="D133" s="1028"/>
      <c r="E133" s="1029"/>
      <c r="F133" s="1030"/>
      <c r="G133" s="278"/>
      <c r="H133" s="278"/>
      <c r="I133" s="278"/>
      <c r="J133" s="278"/>
      <c r="K133" s="278"/>
      <c r="L133" s="278"/>
      <c r="M133" s="278"/>
      <c r="N133" s="278"/>
      <c r="O133" s="278"/>
      <c r="P133" s="278"/>
      <c r="Q133" s="278"/>
      <c r="R133" s="278"/>
      <c r="S133" s="278"/>
      <c r="T133" s="278"/>
      <c r="U133" s="278"/>
      <c r="V133" s="278"/>
      <c r="W133" s="278"/>
      <c r="X133" s="278"/>
      <c r="Y133" s="278"/>
      <c r="Z133" s="278"/>
      <c r="AA133" s="278"/>
      <c r="AB133" s="278"/>
      <c r="AC133" s="278"/>
      <c r="AD133" s="278"/>
      <c r="AE133" s="278"/>
      <c r="AF133" s="278"/>
      <c r="AG133" s="278"/>
      <c r="AH133" s="278"/>
      <c r="AI133" s="278"/>
      <c r="AJ133" s="278"/>
      <c r="AK133" s="278"/>
      <c r="AL133" s="278"/>
      <c r="AM133" s="278"/>
      <c r="AN133" s="278"/>
      <c r="AO133" s="278"/>
      <c r="AP133" s="278"/>
      <c r="AQ133" s="278"/>
      <c r="AR133" s="278"/>
      <c r="AS133" s="278"/>
      <c r="AT133" s="278"/>
      <c r="AU133" s="278"/>
      <c r="AV133" s="278"/>
      <c r="AW133" s="278"/>
      <c r="AX133" s="278"/>
      <c r="AY133" s="278"/>
      <c r="AZ133" s="278"/>
      <c r="BA133" s="278"/>
      <c r="BB133" s="278"/>
      <c r="BC133" s="278"/>
      <c r="BD133" s="278"/>
      <c r="BE133" s="278"/>
      <c r="BF133" s="278"/>
      <c r="BG133" s="278"/>
      <c r="BH133" s="278"/>
      <c r="BI133" s="278"/>
      <c r="BJ133" s="278"/>
      <c r="BK133" s="278"/>
      <c r="BL133" s="278"/>
      <c r="BM133" s="278"/>
      <c r="BN133" s="278"/>
      <c r="BO133" s="278"/>
      <c r="BP133" s="278"/>
      <c r="BQ133" s="278"/>
      <c r="BR133" s="278"/>
      <c r="BS133" s="278"/>
      <c r="BT133" s="278"/>
      <c r="BU133" s="278"/>
      <c r="BV133" s="278"/>
      <c r="BW133" s="278"/>
      <c r="BX133" s="278"/>
      <c r="BY133" s="278"/>
      <c r="BZ133" s="278"/>
      <c r="CA133" s="278"/>
      <c r="CB133" s="284"/>
      <c r="CC133" s="278"/>
      <c r="CD133" s="282"/>
      <c r="CE133" s="285"/>
    </row>
    <row r="134" spans="1:83" s="286" customFormat="1" ht="12.75" customHeight="1" x14ac:dyDescent="0.15">
      <c r="A134" s="281"/>
      <c r="B134" s="270"/>
      <c r="C134" s="282"/>
      <c r="D134" s="1028"/>
      <c r="E134" s="1029"/>
      <c r="F134" s="1030"/>
      <c r="G134" s="278"/>
      <c r="H134" s="278"/>
      <c r="I134" s="278"/>
      <c r="J134" s="278"/>
      <c r="K134" s="278"/>
      <c r="L134" s="278"/>
      <c r="M134" s="278"/>
      <c r="N134" s="278"/>
      <c r="O134" s="278"/>
      <c r="P134" s="278"/>
      <c r="Q134" s="278"/>
      <c r="R134" s="278"/>
      <c r="S134" s="278"/>
      <c r="T134" s="278"/>
      <c r="U134" s="278"/>
      <c r="V134" s="278"/>
      <c r="W134" s="278"/>
      <c r="X134" s="278"/>
      <c r="Y134" s="278"/>
      <c r="Z134" s="278"/>
      <c r="AA134" s="278"/>
      <c r="AB134" s="278"/>
      <c r="AC134" s="278"/>
      <c r="AD134" s="278"/>
      <c r="AE134" s="278"/>
      <c r="AF134" s="278"/>
      <c r="AG134" s="278"/>
      <c r="AH134" s="278"/>
      <c r="AI134" s="278"/>
      <c r="AJ134" s="278"/>
      <c r="AK134" s="278"/>
      <c r="AL134" s="278"/>
      <c r="AM134" s="278"/>
      <c r="AN134" s="278"/>
      <c r="AO134" s="278"/>
      <c r="AP134" s="278"/>
      <c r="AQ134" s="278"/>
      <c r="AR134" s="278"/>
      <c r="AS134" s="278"/>
      <c r="AT134" s="278"/>
      <c r="AU134" s="278"/>
      <c r="AV134" s="278"/>
      <c r="AW134" s="278"/>
      <c r="AX134" s="278"/>
      <c r="AY134" s="278"/>
      <c r="AZ134" s="278"/>
      <c r="BA134" s="278"/>
      <c r="BB134" s="278"/>
      <c r="BC134" s="278"/>
      <c r="BD134" s="278"/>
      <c r="BE134" s="278"/>
      <c r="BF134" s="278"/>
      <c r="BG134" s="278"/>
      <c r="BH134" s="278"/>
      <c r="BI134" s="278"/>
      <c r="BJ134" s="278"/>
      <c r="BK134" s="278"/>
      <c r="BL134" s="278"/>
      <c r="BM134" s="278"/>
      <c r="BN134" s="278"/>
      <c r="BO134" s="278"/>
      <c r="BP134" s="278"/>
      <c r="BQ134" s="278"/>
      <c r="BR134" s="278"/>
      <c r="BS134" s="278"/>
      <c r="BT134" s="278"/>
      <c r="BU134" s="278"/>
      <c r="BV134" s="278"/>
      <c r="BW134" s="278"/>
      <c r="BX134" s="278"/>
      <c r="BY134" s="278"/>
      <c r="BZ134" s="278"/>
      <c r="CA134" s="278"/>
      <c r="CB134" s="284"/>
      <c r="CC134" s="278"/>
      <c r="CD134" s="282"/>
      <c r="CE134" s="285"/>
    </row>
    <row r="135" spans="1:83" s="286" customFormat="1" ht="12.75" customHeight="1" x14ac:dyDescent="0.15">
      <c r="A135" s="281"/>
      <c r="B135" s="270"/>
      <c r="C135" s="282"/>
      <c r="D135" s="1028"/>
      <c r="E135" s="1029"/>
      <c r="F135" s="1030"/>
      <c r="G135" s="278"/>
      <c r="H135" s="278"/>
      <c r="I135" s="278"/>
      <c r="J135" s="278"/>
      <c r="K135" s="278"/>
      <c r="L135" s="278"/>
      <c r="M135" s="278"/>
      <c r="N135" s="278"/>
      <c r="O135" s="278"/>
      <c r="P135" s="278"/>
      <c r="Q135" s="278"/>
      <c r="R135" s="278"/>
      <c r="S135" s="278"/>
      <c r="T135" s="278"/>
      <c r="U135" s="278"/>
      <c r="V135" s="278"/>
      <c r="W135" s="278"/>
      <c r="X135" s="278"/>
      <c r="Y135" s="278"/>
      <c r="Z135" s="278"/>
      <c r="AA135" s="278"/>
      <c r="AB135" s="278"/>
      <c r="AC135" s="278"/>
      <c r="AD135" s="278"/>
      <c r="AE135" s="278"/>
      <c r="AF135" s="278"/>
      <c r="AG135" s="278"/>
      <c r="AH135" s="278"/>
      <c r="AI135" s="278"/>
      <c r="AJ135" s="278"/>
      <c r="AK135" s="278"/>
      <c r="AL135" s="278"/>
      <c r="AM135" s="278"/>
      <c r="AN135" s="278"/>
      <c r="AO135" s="278"/>
      <c r="AP135" s="278"/>
      <c r="AQ135" s="278"/>
      <c r="AR135" s="278"/>
      <c r="AS135" s="278"/>
      <c r="AT135" s="278"/>
      <c r="AU135" s="278"/>
      <c r="AV135" s="278"/>
      <c r="AW135" s="278"/>
      <c r="AX135" s="278"/>
      <c r="AY135" s="278"/>
      <c r="AZ135" s="278"/>
      <c r="BA135" s="278"/>
      <c r="BB135" s="278"/>
      <c r="BC135" s="278"/>
      <c r="BD135" s="278"/>
      <c r="BE135" s="278"/>
      <c r="BF135" s="278"/>
      <c r="BG135" s="278"/>
      <c r="BH135" s="278"/>
      <c r="BI135" s="278"/>
      <c r="BJ135" s="278"/>
      <c r="BK135" s="278"/>
      <c r="BL135" s="278"/>
      <c r="BM135" s="278"/>
      <c r="BN135" s="278"/>
      <c r="BO135" s="278"/>
      <c r="BP135" s="278"/>
      <c r="BQ135" s="278"/>
      <c r="BR135" s="278"/>
      <c r="BS135" s="278"/>
      <c r="BT135" s="278"/>
      <c r="BU135" s="278"/>
      <c r="BV135" s="278"/>
      <c r="BW135" s="278"/>
      <c r="BX135" s="278"/>
      <c r="BY135" s="278"/>
      <c r="BZ135" s="278"/>
      <c r="CA135" s="278"/>
      <c r="CB135" s="284"/>
      <c r="CC135" s="278"/>
      <c r="CD135" s="282"/>
      <c r="CE135" s="285"/>
    </row>
    <row r="136" spans="1:83" s="286" customFormat="1" ht="12.75" customHeight="1" x14ac:dyDescent="0.15">
      <c r="A136" s="281"/>
      <c r="B136" s="270"/>
      <c r="C136" s="282"/>
      <c r="D136" s="1028"/>
      <c r="E136" s="1029"/>
      <c r="F136" s="1030"/>
      <c r="G136" s="278"/>
      <c r="H136" s="278"/>
      <c r="I136" s="278"/>
      <c r="J136" s="278"/>
      <c r="K136" s="278"/>
      <c r="L136" s="278"/>
      <c r="M136" s="278"/>
      <c r="N136" s="278"/>
      <c r="O136" s="278"/>
      <c r="P136" s="278"/>
      <c r="Q136" s="278"/>
      <c r="R136" s="278"/>
      <c r="S136" s="278"/>
      <c r="T136" s="278"/>
      <c r="U136" s="278"/>
      <c r="V136" s="278"/>
      <c r="W136" s="278"/>
      <c r="X136" s="278"/>
      <c r="Y136" s="278"/>
      <c r="Z136" s="278"/>
      <c r="AA136" s="278"/>
      <c r="AB136" s="278"/>
      <c r="AC136" s="278"/>
      <c r="AD136" s="278"/>
      <c r="AE136" s="278"/>
      <c r="AF136" s="278"/>
      <c r="AG136" s="278"/>
      <c r="AH136" s="278"/>
      <c r="AI136" s="278"/>
      <c r="AJ136" s="278"/>
      <c r="AK136" s="278"/>
      <c r="AL136" s="278"/>
      <c r="AM136" s="278"/>
      <c r="AN136" s="278"/>
      <c r="AO136" s="278"/>
      <c r="AP136" s="278"/>
      <c r="AQ136" s="278"/>
      <c r="AR136" s="278"/>
      <c r="AS136" s="278"/>
      <c r="AT136" s="278"/>
      <c r="AU136" s="278"/>
      <c r="AV136" s="278"/>
      <c r="AW136" s="278"/>
      <c r="AX136" s="278"/>
      <c r="AY136" s="278"/>
      <c r="AZ136" s="278"/>
      <c r="BA136" s="278"/>
      <c r="BB136" s="278"/>
      <c r="BC136" s="278"/>
      <c r="BD136" s="278"/>
      <c r="BE136" s="278"/>
      <c r="BF136" s="278"/>
      <c r="BG136" s="278"/>
      <c r="BH136" s="278"/>
      <c r="BI136" s="278"/>
      <c r="BJ136" s="278"/>
      <c r="BK136" s="278"/>
      <c r="BL136" s="278"/>
      <c r="BM136" s="278"/>
      <c r="BN136" s="278"/>
      <c r="BO136" s="278"/>
      <c r="BP136" s="278"/>
      <c r="BQ136" s="278"/>
      <c r="BR136" s="278"/>
      <c r="BS136" s="278"/>
      <c r="BT136" s="278"/>
      <c r="BU136" s="278"/>
      <c r="BV136" s="278"/>
      <c r="BW136" s="278"/>
      <c r="BX136" s="278"/>
      <c r="BY136" s="278"/>
      <c r="BZ136" s="278"/>
      <c r="CA136" s="278"/>
      <c r="CB136" s="284"/>
      <c r="CC136" s="278"/>
      <c r="CD136" s="282"/>
      <c r="CE136" s="285"/>
    </row>
    <row r="137" spans="1:83" s="286" customFormat="1" ht="12.75" customHeight="1" x14ac:dyDescent="0.15">
      <c r="A137" s="281"/>
      <c r="B137" s="270"/>
      <c r="C137" s="282"/>
      <c r="D137" s="1028"/>
      <c r="E137" s="1029"/>
      <c r="F137" s="1030"/>
      <c r="G137" s="278"/>
      <c r="H137" s="278"/>
      <c r="I137" s="278"/>
      <c r="J137" s="278"/>
      <c r="K137" s="278"/>
      <c r="L137" s="278"/>
      <c r="M137" s="278"/>
      <c r="N137" s="278"/>
      <c r="O137" s="278"/>
      <c r="P137" s="278"/>
      <c r="Q137" s="278"/>
      <c r="R137" s="278"/>
      <c r="S137" s="278"/>
      <c r="T137" s="278"/>
      <c r="U137" s="278"/>
      <c r="V137" s="278"/>
      <c r="W137" s="278"/>
      <c r="X137" s="278"/>
      <c r="Y137" s="278"/>
      <c r="Z137" s="278"/>
      <c r="AA137" s="278"/>
      <c r="AB137" s="278"/>
      <c r="AC137" s="278"/>
      <c r="AD137" s="278"/>
      <c r="AE137" s="278"/>
      <c r="AF137" s="278"/>
      <c r="AG137" s="278"/>
      <c r="AH137" s="278"/>
      <c r="AI137" s="278"/>
      <c r="AJ137" s="278"/>
      <c r="AK137" s="278"/>
      <c r="AL137" s="278"/>
      <c r="AM137" s="278"/>
      <c r="AN137" s="278"/>
      <c r="AO137" s="278"/>
      <c r="AP137" s="278"/>
      <c r="AQ137" s="278"/>
      <c r="AR137" s="278"/>
      <c r="AS137" s="278"/>
      <c r="AT137" s="278"/>
      <c r="AU137" s="278"/>
      <c r="AV137" s="278"/>
      <c r="AW137" s="278"/>
      <c r="AX137" s="278"/>
      <c r="AY137" s="278"/>
      <c r="AZ137" s="278"/>
      <c r="BA137" s="278"/>
      <c r="BB137" s="278"/>
      <c r="BC137" s="278"/>
      <c r="BD137" s="278"/>
      <c r="BE137" s="278"/>
      <c r="BF137" s="278"/>
      <c r="BG137" s="278"/>
      <c r="BH137" s="278"/>
      <c r="BI137" s="278"/>
      <c r="BJ137" s="278"/>
      <c r="BK137" s="278"/>
      <c r="BL137" s="278"/>
      <c r="BM137" s="278"/>
      <c r="BN137" s="278"/>
      <c r="BO137" s="278"/>
      <c r="BP137" s="278"/>
      <c r="BQ137" s="278"/>
      <c r="BR137" s="278"/>
      <c r="BS137" s="278"/>
      <c r="BT137" s="278"/>
      <c r="BU137" s="278"/>
      <c r="BV137" s="278"/>
      <c r="BW137" s="278"/>
      <c r="BX137" s="278"/>
      <c r="BY137" s="278"/>
      <c r="BZ137" s="278"/>
      <c r="CA137" s="278"/>
      <c r="CB137" s="284"/>
      <c r="CC137" s="278"/>
      <c r="CD137" s="282"/>
      <c r="CE137" s="285"/>
    </row>
    <row r="138" spans="1:83" s="286" customFormat="1" ht="12.75" customHeight="1" x14ac:dyDescent="0.15">
      <c r="A138" s="281"/>
      <c r="B138" s="270"/>
      <c r="C138" s="282"/>
      <c r="D138" s="1028"/>
      <c r="E138" s="1029"/>
      <c r="F138" s="1030"/>
      <c r="G138" s="278"/>
      <c r="H138" s="278"/>
      <c r="I138" s="278"/>
      <c r="J138" s="278"/>
      <c r="K138" s="278"/>
      <c r="L138" s="278"/>
      <c r="M138" s="278"/>
      <c r="N138" s="278"/>
      <c r="O138" s="278"/>
      <c r="P138" s="278"/>
      <c r="Q138" s="278"/>
      <c r="R138" s="278"/>
      <c r="S138" s="278"/>
      <c r="T138" s="278"/>
      <c r="U138" s="278"/>
      <c r="V138" s="278"/>
      <c r="W138" s="278"/>
      <c r="X138" s="278"/>
      <c r="Y138" s="278"/>
      <c r="Z138" s="278"/>
      <c r="AA138" s="278"/>
      <c r="AB138" s="278"/>
      <c r="AC138" s="278"/>
      <c r="AD138" s="278"/>
      <c r="AE138" s="278"/>
      <c r="AF138" s="278"/>
      <c r="AG138" s="278"/>
      <c r="AH138" s="278"/>
      <c r="AI138" s="278"/>
      <c r="AJ138" s="278"/>
      <c r="AK138" s="278"/>
      <c r="AL138" s="278"/>
      <c r="AM138" s="278"/>
      <c r="AN138" s="278"/>
      <c r="AO138" s="278"/>
      <c r="AP138" s="278"/>
      <c r="AQ138" s="278"/>
      <c r="AR138" s="278"/>
      <c r="AS138" s="278"/>
      <c r="AT138" s="278"/>
      <c r="AU138" s="278"/>
      <c r="AV138" s="278"/>
      <c r="AW138" s="278"/>
      <c r="AX138" s="278"/>
      <c r="AY138" s="278"/>
      <c r="AZ138" s="278"/>
      <c r="BA138" s="278"/>
      <c r="BB138" s="278"/>
      <c r="BC138" s="278"/>
      <c r="BD138" s="278"/>
      <c r="BE138" s="278"/>
      <c r="BF138" s="278"/>
      <c r="BG138" s="278"/>
      <c r="BH138" s="278"/>
      <c r="BI138" s="278"/>
      <c r="BJ138" s="278"/>
      <c r="BK138" s="278"/>
      <c r="BL138" s="278"/>
      <c r="BM138" s="278"/>
      <c r="BN138" s="278"/>
      <c r="BO138" s="278"/>
      <c r="BP138" s="278"/>
      <c r="BQ138" s="278"/>
      <c r="BR138" s="278"/>
      <c r="BS138" s="278"/>
      <c r="BT138" s="278"/>
      <c r="BU138" s="278"/>
      <c r="BV138" s="278"/>
      <c r="BW138" s="278"/>
      <c r="BX138" s="278"/>
      <c r="BY138" s="278"/>
      <c r="BZ138" s="278"/>
      <c r="CA138" s="278"/>
      <c r="CB138" s="284"/>
      <c r="CC138" s="278"/>
      <c r="CD138" s="282"/>
      <c r="CE138" s="285"/>
    </row>
    <row r="139" spans="1:83" s="286" customFormat="1" ht="12.75" customHeight="1" x14ac:dyDescent="0.15">
      <c r="A139" s="281"/>
      <c r="B139" s="270"/>
      <c r="C139" s="282"/>
      <c r="D139" s="1028"/>
      <c r="E139" s="1029"/>
      <c r="F139" s="1030"/>
      <c r="G139" s="278"/>
      <c r="H139" s="278"/>
      <c r="I139" s="278"/>
      <c r="J139" s="278"/>
      <c r="K139" s="278"/>
      <c r="L139" s="278"/>
      <c r="M139" s="278"/>
      <c r="N139" s="278"/>
      <c r="O139" s="278"/>
      <c r="P139" s="278"/>
      <c r="Q139" s="278"/>
      <c r="R139" s="278"/>
      <c r="S139" s="278"/>
      <c r="T139" s="278"/>
      <c r="U139" s="278"/>
      <c r="V139" s="278"/>
      <c r="W139" s="278"/>
      <c r="X139" s="278"/>
      <c r="Y139" s="278"/>
      <c r="Z139" s="278"/>
      <c r="AA139" s="278"/>
      <c r="AB139" s="278"/>
      <c r="AC139" s="278"/>
      <c r="AD139" s="278"/>
      <c r="AE139" s="278"/>
      <c r="AF139" s="278"/>
      <c r="AG139" s="278"/>
      <c r="AH139" s="278"/>
      <c r="AI139" s="278"/>
      <c r="AJ139" s="278"/>
      <c r="AK139" s="278"/>
      <c r="AL139" s="278"/>
      <c r="AM139" s="278"/>
      <c r="AN139" s="278"/>
      <c r="AO139" s="278"/>
      <c r="AP139" s="278"/>
      <c r="AQ139" s="278"/>
      <c r="AR139" s="278"/>
      <c r="AS139" s="278"/>
      <c r="AT139" s="278"/>
      <c r="AU139" s="278"/>
      <c r="AV139" s="278"/>
      <c r="AW139" s="278"/>
      <c r="AX139" s="278"/>
      <c r="AY139" s="278"/>
      <c r="AZ139" s="278"/>
      <c r="BA139" s="278"/>
      <c r="BB139" s="278"/>
      <c r="BC139" s="278"/>
      <c r="BD139" s="278"/>
      <c r="BE139" s="278"/>
      <c r="BF139" s="278"/>
      <c r="BG139" s="278"/>
      <c r="BH139" s="278"/>
      <c r="BI139" s="278"/>
      <c r="BJ139" s="278"/>
      <c r="BK139" s="278"/>
      <c r="BL139" s="278"/>
      <c r="BM139" s="278"/>
      <c r="BN139" s="278"/>
      <c r="BO139" s="278"/>
      <c r="BP139" s="278"/>
      <c r="BQ139" s="278"/>
      <c r="BR139" s="278"/>
      <c r="BS139" s="278"/>
      <c r="BT139" s="278"/>
      <c r="BU139" s="278"/>
      <c r="BV139" s="278"/>
      <c r="BW139" s="278"/>
      <c r="BX139" s="278"/>
      <c r="BY139" s="278"/>
      <c r="BZ139" s="278"/>
      <c r="CA139" s="278"/>
      <c r="CB139" s="284"/>
      <c r="CC139" s="278"/>
      <c r="CD139" s="282"/>
      <c r="CE139" s="285"/>
    </row>
    <row r="140" spans="1:83" s="289" customFormat="1" ht="12.75" customHeight="1" x14ac:dyDescent="0.15">
      <c r="A140" s="269"/>
      <c r="B140" s="276"/>
      <c r="C140" s="287"/>
      <c r="D140" s="1028"/>
      <c r="E140" s="1029"/>
      <c r="F140" s="1030"/>
      <c r="G140" s="278"/>
      <c r="H140" s="278"/>
      <c r="I140" s="278"/>
      <c r="J140" s="278"/>
      <c r="K140" s="278"/>
      <c r="L140" s="278"/>
      <c r="M140" s="278"/>
      <c r="N140" s="278"/>
      <c r="O140" s="278"/>
      <c r="P140" s="278"/>
      <c r="Q140" s="278"/>
      <c r="R140" s="278"/>
      <c r="S140" s="278"/>
      <c r="T140" s="278"/>
      <c r="U140" s="278"/>
      <c r="V140" s="278"/>
      <c r="W140" s="278"/>
      <c r="X140" s="278"/>
      <c r="Y140" s="278"/>
      <c r="Z140" s="278"/>
      <c r="AA140" s="278"/>
      <c r="AB140" s="278"/>
      <c r="AC140" s="278"/>
      <c r="AD140" s="278"/>
      <c r="AE140" s="278"/>
      <c r="AF140" s="278"/>
      <c r="AG140" s="278"/>
      <c r="AH140" s="278"/>
      <c r="AI140" s="278"/>
      <c r="AJ140" s="278"/>
      <c r="AK140" s="278"/>
      <c r="AL140" s="278"/>
      <c r="AM140" s="278"/>
      <c r="AN140" s="278"/>
      <c r="AO140" s="278"/>
      <c r="AP140" s="278"/>
      <c r="AQ140" s="278"/>
      <c r="AR140" s="278"/>
      <c r="AS140" s="278"/>
      <c r="AT140" s="278"/>
      <c r="AU140" s="278"/>
      <c r="AV140" s="278"/>
      <c r="AW140" s="278"/>
      <c r="AX140" s="278"/>
      <c r="AY140" s="278"/>
      <c r="AZ140" s="278"/>
      <c r="BA140" s="278"/>
      <c r="BB140" s="278"/>
      <c r="BC140" s="278"/>
      <c r="BD140" s="278"/>
      <c r="BE140" s="278"/>
      <c r="BF140" s="278"/>
      <c r="BG140" s="278"/>
      <c r="BH140" s="278"/>
      <c r="BI140" s="278"/>
      <c r="BJ140" s="278"/>
      <c r="BK140" s="278"/>
      <c r="BL140" s="278"/>
      <c r="BM140" s="278"/>
      <c r="BN140" s="278"/>
      <c r="BO140" s="278"/>
      <c r="BP140" s="278"/>
      <c r="BQ140" s="278"/>
      <c r="BR140" s="278"/>
      <c r="BS140" s="278"/>
      <c r="BT140" s="278"/>
      <c r="BU140" s="278"/>
      <c r="BV140" s="278"/>
      <c r="BW140" s="278"/>
      <c r="BX140" s="278"/>
      <c r="BY140" s="278"/>
      <c r="BZ140" s="278"/>
      <c r="CA140" s="278"/>
      <c r="CB140" s="284"/>
      <c r="CC140" s="278"/>
      <c r="CD140" s="287"/>
      <c r="CE140" s="288"/>
    </row>
    <row r="141" spans="1:83" s="274" customFormat="1" ht="12.75" customHeight="1" x14ac:dyDescent="0.15">
      <c r="A141" s="269"/>
      <c r="B141" s="270"/>
      <c r="C141" s="275"/>
      <c r="D141" s="1028"/>
      <c r="E141" s="1029"/>
      <c r="F141" s="1030"/>
      <c r="G141" s="278"/>
      <c r="H141" s="278"/>
      <c r="I141" s="278"/>
      <c r="J141" s="278"/>
      <c r="K141" s="278"/>
      <c r="L141" s="278"/>
      <c r="M141" s="278"/>
      <c r="N141" s="278"/>
      <c r="O141" s="278"/>
      <c r="P141" s="278"/>
      <c r="Q141" s="278"/>
      <c r="R141" s="278"/>
      <c r="S141" s="278"/>
      <c r="T141" s="278"/>
      <c r="U141" s="278"/>
      <c r="V141" s="278"/>
      <c r="W141" s="278"/>
      <c r="X141" s="278"/>
      <c r="Y141" s="278"/>
      <c r="Z141" s="278"/>
      <c r="AA141" s="278"/>
      <c r="AB141" s="278"/>
      <c r="AC141" s="278"/>
      <c r="AD141" s="278"/>
      <c r="AE141" s="278"/>
      <c r="AF141" s="278"/>
      <c r="AG141" s="278"/>
      <c r="AH141" s="278"/>
      <c r="AI141" s="278"/>
      <c r="AJ141" s="278"/>
      <c r="AK141" s="278"/>
      <c r="AL141" s="278"/>
      <c r="AM141" s="278"/>
      <c r="AN141" s="278"/>
      <c r="AO141" s="278"/>
      <c r="AP141" s="278"/>
      <c r="AQ141" s="278"/>
      <c r="AR141" s="278"/>
      <c r="AS141" s="278"/>
      <c r="AT141" s="278"/>
      <c r="AU141" s="278"/>
      <c r="AV141" s="278"/>
      <c r="AW141" s="278"/>
      <c r="AX141" s="278"/>
      <c r="AY141" s="278"/>
      <c r="AZ141" s="278"/>
      <c r="BA141" s="278"/>
      <c r="BB141" s="278"/>
      <c r="BC141" s="278"/>
      <c r="BD141" s="278"/>
      <c r="BE141" s="278"/>
      <c r="BF141" s="278"/>
      <c r="BG141" s="278"/>
      <c r="BH141" s="278"/>
      <c r="BI141" s="278"/>
      <c r="BJ141" s="278"/>
      <c r="BK141" s="278"/>
      <c r="BL141" s="278"/>
      <c r="BM141" s="278"/>
      <c r="BN141" s="278"/>
      <c r="BO141" s="278"/>
      <c r="BP141" s="278"/>
      <c r="BQ141" s="278"/>
      <c r="BR141" s="278"/>
      <c r="BS141" s="278"/>
      <c r="BT141" s="278"/>
      <c r="BU141" s="278"/>
      <c r="BV141" s="278"/>
      <c r="BW141" s="278"/>
      <c r="BX141" s="278"/>
      <c r="BY141" s="278"/>
      <c r="BZ141" s="278"/>
      <c r="CA141" s="278"/>
      <c r="CB141" s="284"/>
      <c r="CC141" s="278"/>
      <c r="CD141" s="275"/>
      <c r="CE141" s="277"/>
    </row>
    <row r="142" spans="1:83" s="274" customFormat="1" ht="12.75" customHeight="1" x14ac:dyDescent="0.15">
      <c r="A142" s="269"/>
      <c r="B142" s="290"/>
      <c r="C142" s="275"/>
      <c r="D142" s="1028"/>
      <c r="E142" s="1029"/>
      <c r="F142" s="1030"/>
      <c r="G142" s="278"/>
      <c r="H142" s="278"/>
      <c r="I142" s="278"/>
      <c r="J142" s="278"/>
      <c r="K142" s="278"/>
      <c r="L142" s="278"/>
      <c r="M142" s="278"/>
      <c r="N142" s="278"/>
      <c r="O142" s="278"/>
      <c r="P142" s="278"/>
      <c r="Q142" s="278"/>
      <c r="R142" s="278"/>
      <c r="S142" s="278"/>
      <c r="T142" s="278"/>
      <c r="U142" s="278"/>
      <c r="V142" s="278"/>
      <c r="W142" s="278"/>
      <c r="X142" s="278"/>
      <c r="Y142" s="278"/>
      <c r="Z142" s="278"/>
      <c r="AA142" s="278"/>
      <c r="AB142" s="278"/>
      <c r="AC142" s="278"/>
      <c r="AD142" s="278"/>
      <c r="AE142" s="278"/>
      <c r="AF142" s="278"/>
      <c r="AG142" s="278"/>
      <c r="AH142" s="278"/>
      <c r="AI142" s="278"/>
      <c r="AJ142" s="278"/>
      <c r="AK142" s="278"/>
      <c r="AL142" s="278"/>
      <c r="AM142" s="278"/>
      <c r="AN142" s="278"/>
      <c r="AO142" s="278"/>
      <c r="AP142" s="278"/>
      <c r="AQ142" s="278"/>
      <c r="AR142" s="278"/>
      <c r="AS142" s="278"/>
      <c r="AT142" s="278"/>
      <c r="AU142" s="278"/>
      <c r="AV142" s="278"/>
      <c r="AW142" s="278"/>
      <c r="AX142" s="278"/>
      <c r="AY142" s="278"/>
      <c r="AZ142" s="278"/>
      <c r="BA142" s="278"/>
      <c r="BB142" s="278"/>
      <c r="BC142" s="278"/>
      <c r="BD142" s="278"/>
      <c r="BE142" s="278"/>
      <c r="BF142" s="278"/>
      <c r="BG142" s="278"/>
      <c r="BH142" s="278"/>
      <c r="BI142" s="278"/>
      <c r="BJ142" s="278"/>
      <c r="BK142" s="278"/>
      <c r="BL142" s="278"/>
      <c r="BM142" s="278"/>
      <c r="BN142" s="278"/>
      <c r="BO142" s="278"/>
      <c r="BP142" s="278"/>
      <c r="BQ142" s="278"/>
      <c r="BR142" s="278"/>
      <c r="BS142" s="278"/>
      <c r="BT142" s="278"/>
      <c r="BU142" s="278"/>
      <c r="BV142" s="278"/>
      <c r="BW142" s="278"/>
      <c r="BX142" s="278"/>
      <c r="BY142" s="278"/>
      <c r="BZ142" s="278"/>
      <c r="CA142" s="278"/>
      <c r="CB142" s="284"/>
      <c r="CC142" s="278"/>
      <c r="CD142" s="275"/>
      <c r="CE142" s="277"/>
    </row>
    <row r="143" spans="1:83" s="274" customFormat="1" ht="12.75" customHeight="1" x14ac:dyDescent="0.15">
      <c r="A143" s="269"/>
      <c r="B143" s="290"/>
      <c r="C143" s="275"/>
      <c r="D143" s="1028"/>
      <c r="E143" s="1029"/>
      <c r="F143" s="1030"/>
      <c r="G143" s="278"/>
      <c r="H143" s="278"/>
      <c r="I143" s="278"/>
      <c r="J143" s="278"/>
      <c r="K143" s="278"/>
      <c r="L143" s="278"/>
      <c r="M143" s="278"/>
      <c r="N143" s="278"/>
      <c r="O143" s="278"/>
      <c r="P143" s="278"/>
      <c r="Q143" s="278"/>
      <c r="R143" s="278"/>
      <c r="S143" s="278"/>
      <c r="T143" s="278"/>
      <c r="U143" s="278"/>
      <c r="V143" s="278"/>
      <c r="W143" s="278"/>
      <c r="X143" s="278"/>
      <c r="Y143" s="278"/>
      <c r="Z143" s="278"/>
      <c r="AA143" s="278"/>
      <c r="AB143" s="278"/>
      <c r="AC143" s="278"/>
      <c r="AD143" s="278"/>
      <c r="AE143" s="278"/>
      <c r="AF143" s="278"/>
      <c r="AG143" s="278"/>
      <c r="AH143" s="278"/>
      <c r="AI143" s="278"/>
      <c r="AJ143" s="278"/>
      <c r="AK143" s="278"/>
      <c r="AL143" s="278"/>
      <c r="AM143" s="278"/>
      <c r="AN143" s="278"/>
      <c r="AO143" s="278"/>
      <c r="AP143" s="278"/>
      <c r="AQ143" s="278"/>
      <c r="AR143" s="278"/>
      <c r="AS143" s="278"/>
      <c r="AT143" s="278"/>
      <c r="AU143" s="278"/>
      <c r="AV143" s="278"/>
      <c r="AW143" s="278"/>
      <c r="AX143" s="278"/>
      <c r="AY143" s="278"/>
      <c r="AZ143" s="278"/>
      <c r="BA143" s="278"/>
      <c r="BB143" s="278"/>
      <c r="BC143" s="278"/>
      <c r="BD143" s="278"/>
      <c r="BE143" s="278"/>
      <c r="BF143" s="278"/>
      <c r="BG143" s="278"/>
      <c r="BH143" s="278"/>
      <c r="BI143" s="278"/>
      <c r="BJ143" s="278"/>
      <c r="BK143" s="278"/>
      <c r="BL143" s="278"/>
      <c r="BM143" s="278"/>
      <c r="BN143" s="278"/>
      <c r="BO143" s="278"/>
      <c r="BP143" s="278"/>
      <c r="BQ143" s="278"/>
      <c r="BR143" s="278"/>
      <c r="BS143" s="278"/>
      <c r="BT143" s="278"/>
      <c r="BU143" s="278"/>
      <c r="BV143" s="278"/>
      <c r="BW143" s="278"/>
      <c r="BX143" s="278"/>
      <c r="BY143" s="278"/>
      <c r="BZ143" s="278"/>
      <c r="CA143" s="278"/>
      <c r="CB143" s="284"/>
      <c r="CC143" s="278"/>
      <c r="CD143" s="275"/>
      <c r="CE143" s="277"/>
    </row>
    <row r="144" spans="1:83" s="274" customFormat="1" ht="12.75" customHeight="1" x14ac:dyDescent="0.15">
      <c r="A144" s="269"/>
      <c r="B144" s="270"/>
      <c r="C144" s="275"/>
      <c r="D144" s="1028"/>
      <c r="E144" s="1029"/>
      <c r="F144" s="1030"/>
      <c r="G144" s="278"/>
      <c r="H144" s="278"/>
      <c r="I144" s="278"/>
      <c r="J144" s="278"/>
      <c r="K144" s="278"/>
      <c r="L144" s="278"/>
      <c r="M144" s="278"/>
      <c r="N144" s="278"/>
      <c r="O144" s="278"/>
      <c r="P144" s="278"/>
      <c r="Q144" s="278"/>
      <c r="R144" s="278"/>
      <c r="S144" s="278"/>
      <c r="T144" s="278"/>
      <c r="U144" s="278"/>
      <c r="V144" s="278"/>
      <c r="W144" s="278"/>
      <c r="X144" s="278"/>
      <c r="Y144" s="278"/>
      <c r="Z144" s="278"/>
      <c r="AA144" s="278"/>
      <c r="AB144" s="278"/>
      <c r="AC144" s="278"/>
      <c r="AD144" s="278"/>
      <c r="AE144" s="278"/>
      <c r="AF144" s="278"/>
      <c r="AG144" s="278"/>
      <c r="AH144" s="278"/>
      <c r="AI144" s="278"/>
      <c r="AJ144" s="278"/>
      <c r="AK144" s="278"/>
      <c r="AL144" s="278"/>
      <c r="AM144" s="278"/>
      <c r="AN144" s="278"/>
      <c r="AO144" s="278"/>
      <c r="AP144" s="278"/>
      <c r="AQ144" s="278"/>
      <c r="AR144" s="278"/>
      <c r="AS144" s="278"/>
      <c r="AT144" s="278"/>
      <c r="AU144" s="278"/>
      <c r="AV144" s="278"/>
      <c r="AW144" s="278"/>
      <c r="AX144" s="278"/>
      <c r="AY144" s="278"/>
      <c r="AZ144" s="278"/>
      <c r="BA144" s="278"/>
      <c r="BB144" s="278"/>
      <c r="BC144" s="278"/>
      <c r="BD144" s="278"/>
      <c r="BE144" s="278"/>
      <c r="BF144" s="278"/>
      <c r="BG144" s="278"/>
      <c r="BH144" s="278"/>
      <c r="BI144" s="278"/>
      <c r="BJ144" s="278"/>
      <c r="BK144" s="278"/>
      <c r="BL144" s="278"/>
      <c r="BM144" s="278"/>
      <c r="BN144" s="278"/>
      <c r="BO144" s="278"/>
      <c r="BP144" s="278"/>
      <c r="BQ144" s="278"/>
      <c r="BR144" s="278"/>
      <c r="BS144" s="278"/>
      <c r="BT144" s="278"/>
      <c r="BU144" s="278"/>
      <c r="BV144" s="278"/>
      <c r="BW144" s="278"/>
      <c r="BX144" s="278"/>
      <c r="BY144" s="278"/>
      <c r="BZ144" s="278"/>
      <c r="CA144" s="278"/>
      <c r="CB144" s="284"/>
      <c r="CC144" s="278"/>
      <c r="CD144" s="275"/>
      <c r="CE144" s="277"/>
    </row>
    <row r="145" spans="1:83" s="274" customFormat="1" ht="12.75" customHeight="1" x14ac:dyDescent="0.15">
      <c r="A145" s="269"/>
      <c r="B145" s="270"/>
      <c r="C145" s="275"/>
      <c r="D145" s="1028"/>
      <c r="E145" s="1029"/>
      <c r="F145" s="1030"/>
      <c r="G145" s="278"/>
      <c r="H145" s="278"/>
      <c r="I145" s="278"/>
      <c r="J145" s="278"/>
      <c r="K145" s="278"/>
      <c r="L145" s="278"/>
      <c r="M145" s="278"/>
      <c r="N145" s="278"/>
      <c r="O145" s="278"/>
      <c r="P145" s="278"/>
      <c r="Q145" s="278"/>
      <c r="R145" s="278"/>
      <c r="S145" s="278"/>
      <c r="T145" s="278"/>
      <c r="U145" s="278"/>
      <c r="V145" s="278"/>
      <c r="W145" s="278"/>
      <c r="X145" s="278"/>
      <c r="Y145" s="278"/>
      <c r="Z145" s="278"/>
      <c r="AA145" s="278"/>
      <c r="AB145" s="278"/>
      <c r="AC145" s="278"/>
      <c r="AD145" s="278"/>
      <c r="AE145" s="278"/>
      <c r="AF145" s="278"/>
      <c r="AG145" s="278"/>
      <c r="AH145" s="278"/>
      <c r="AI145" s="278"/>
      <c r="AJ145" s="278"/>
      <c r="AK145" s="278"/>
      <c r="AL145" s="278"/>
      <c r="AM145" s="278"/>
      <c r="AN145" s="278"/>
      <c r="AO145" s="278"/>
      <c r="AP145" s="278"/>
      <c r="AQ145" s="278"/>
      <c r="AR145" s="278"/>
      <c r="AS145" s="278"/>
      <c r="AT145" s="278"/>
      <c r="AU145" s="278"/>
      <c r="AV145" s="278"/>
      <c r="AW145" s="278"/>
      <c r="AX145" s="278"/>
      <c r="AY145" s="278"/>
      <c r="AZ145" s="278"/>
      <c r="BA145" s="278"/>
      <c r="BB145" s="278"/>
      <c r="BC145" s="278"/>
      <c r="BD145" s="278"/>
      <c r="BE145" s="278"/>
      <c r="BF145" s="278"/>
      <c r="BG145" s="278"/>
      <c r="BH145" s="278"/>
      <c r="BI145" s="278"/>
      <c r="BJ145" s="278"/>
      <c r="BK145" s="278"/>
      <c r="BL145" s="278"/>
      <c r="BM145" s="278"/>
      <c r="BN145" s="278"/>
      <c r="BO145" s="278"/>
      <c r="BP145" s="278"/>
      <c r="BQ145" s="278"/>
      <c r="BR145" s="278"/>
      <c r="BS145" s="278"/>
      <c r="BT145" s="278"/>
      <c r="BU145" s="278"/>
      <c r="BV145" s="278"/>
      <c r="BW145" s="278"/>
      <c r="BX145" s="278"/>
      <c r="BY145" s="278"/>
      <c r="BZ145" s="278"/>
      <c r="CA145" s="278"/>
      <c r="CB145" s="284"/>
      <c r="CC145" s="278"/>
      <c r="CD145" s="275"/>
      <c r="CE145" s="277"/>
    </row>
    <row r="146" spans="1:83" s="274" customFormat="1" ht="12.75" customHeight="1" x14ac:dyDescent="0.15">
      <c r="A146" s="269"/>
      <c r="B146" s="276"/>
      <c r="C146" s="275"/>
      <c r="D146" s="1028"/>
      <c r="E146" s="1029"/>
      <c r="F146" s="1030"/>
      <c r="G146" s="278"/>
      <c r="H146" s="278"/>
      <c r="I146" s="278"/>
      <c r="J146" s="278"/>
      <c r="K146" s="278"/>
      <c r="L146" s="278"/>
      <c r="M146" s="278"/>
      <c r="N146" s="278"/>
      <c r="O146" s="278"/>
      <c r="P146" s="278"/>
      <c r="Q146" s="278"/>
      <c r="R146" s="278"/>
      <c r="S146" s="278"/>
      <c r="T146" s="278"/>
      <c r="U146" s="278"/>
      <c r="V146" s="278"/>
      <c r="W146" s="278"/>
      <c r="X146" s="278"/>
      <c r="Y146" s="278"/>
      <c r="Z146" s="278"/>
      <c r="AA146" s="278"/>
      <c r="AB146" s="278"/>
      <c r="AC146" s="278"/>
      <c r="AD146" s="278"/>
      <c r="AE146" s="278"/>
      <c r="AF146" s="278"/>
      <c r="AG146" s="278"/>
      <c r="AH146" s="278"/>
      <c r="AI146" s="278"/>
      <c r="AJ146" s="278"/>
      <c r="AK146" s="278"/>
      <c r="AL146" s="278"/>
      <c r="AM146" s="278"/>
      <c r="AN146" s="278"/>
      <c r="AO146" s="278"/>
      <c r="AP146" s="278"/>
      <c r="AQ146" s="278"/>
      <c r="AR146" s="278"/>
      <c r="AS146" s="278"/>
      <c r="AT146" s="278"/>
      <c r="AU146" s="278"/>
      <c r="AV146" s="278"/>
      <c r="AW146" s="278"/>
      <c r="AX146" s="278"/>
      <c r="AY146" s="278"/>
      <c r="AZ146" s="278"/>
      <c r="BA146" s="278"/>
      <c r="BB146" s="278"/>
      <c r="BC146" s="278"/>
      <c r="BD146" s="278"/>
      <c r="BE146" s="278"/>
      <c r="BF146" s="278"/>
      <c r="BG146" s="278"/>
      <c r="BH146" s="278"/>
      <c r="BI146" s="278"/>
      <c r="BJ146" s="278"/>
      <c r="BK146" s="278"/>
      <c r="BL146" s="278"/>
      <c r="BM146" s="278"/>
      <c r="BN146" s="278"/>
      <c r="BO146" s="278"/>
      <c r="BP146" s="278"/>
      <c r="BQ146" s="278"/>
      <c r="BR146" s="278"/>
      <c r="BS146" s="278"/>
      <c r="BT146" s="278"/>
      <c r="BU146" s="278"/>
      <c r="BV146" s="278"/>
      <c r="BW146" s="278"/>
      <c r="BX146" s="278"/>
      <c r="BY146" s="278"/>
      <c r="BZ146" s="278"/>
      <c r="CA146" s="278"/>
      <c r="CB146" s="284"/>
      <c r="CC146" s="278"/>
      <c r="CD146" s="275"/>
      <c r="CE146" s="277"/>
    </row>
    <row r="147" spans="1:83" s="274" customFormat="1" ht="12.75" customHeight="1" x14ac:dyDescent="0.15">
      <c r="A147" s="269"/>
      <c r="B147" s="270"/>
      <c r="C147" s="275"/>
      <c r="D147" s="1028"/>
      <c r="E147" s="1029"/>
      <c r="F147" s="1030"/>
      <c r="G147" s="278"/>
      <c r="H147" s="278"/>
      <c r="I147" s="278"/>
      <c r="J147" s="278"/>
      <c r="K147" s="278"/>
      <c r="L147" s="278"/>
      <c r="M147" s="278"/>
      <c r="N147" s="278"/>
      <c r="O147" s="278"/>
      <c r="P147" s="278"/>
      <c r="Q147" s="278"/>
      <c r="R147" s="278"/>
      <c r="S147" s="278"/>
      <c r="T147" s="278"/>
      <c r="U147" s="278"/>
      <c r="V147" s="278"/>
      <c r="W147" s="278"/>
      <c r="X147" s="278"/>
      <c r="Y147" s="278"/>
      <c r="Z147" s="278"/>
      <c r="AA147" s="278"/>
      <c r="AB147" s="278"/>
      <c r="AC147" s="278"/>
      <c r="AD147" s="278"/>
      <c r="AE147" s="278"/>
      <c r="AF147" s="278"/>
      <c r="AG147" s="278"/>
      <c r="AH147" s="278"/>
      <c r="AI147" s="278"/>
      <c r="AJ147" s="278"/>
      <c r="AK147" s="278"/>
      <c r="AL147" s="278"/>
      <c r="AM147" s="278"/>
      <c r="AN147" s="278"/>
      <c r="AO147" s="278"/>
      <c r="AP147" s="278"/>
      <c r="AQ147" s="278"/>
      <c r="AR147" s="278"/>
      <c r="AS147" s="278"/>
      <c r="AT147" s="278"/>
      <c r="AU147" s="278"/>
      <c r="AV147" s="278"/>
      <c r="AW147" s="278"/>
      <c r="AX147" s="278"/>
      <c r="AY147" s="278"/>
      <c r="AZ147" s="278"/>
      <c r="BA147" s="278"/>
      <c r="BB147" s="278"/>
      <c r="BC147" s="278"/>
      <c r="BD147" s="278"/>
      <c r="BE147" s="278"/>
      <c r="BF147" s="278"/>
      <c r="BG147" s="278"/>
      <c r="BH147" s="278"/>
      <c r="BI147" s="278"/>
      <c r="BJ147" s="278"/>
      <c r="BK147" s="278"/>
      <c r="BL147" s="278"/>
      <c r="BM147" s="278"/>
      <c r="BN147" s="278"/>
      <c r="BO147" s="278"/>
      <c r="BP147" s="278"/>
      <c r="BQ147" s="278"/>
      <c r="BR147" s="278"/>
      <c r="BS147" s="278"/>
      <c r="BT147" s="278"/>
      <c r="BU147" s="278"/>
      <c r="BV147" s="278"/>
      <c r="BW147" s="278"/>
      <c r="BX147" s="278"/>
      <c r="BY147" s="278"/>
      <c r="BZ147" s="278"/>
      <c r="CA147" s="278"/>
      <c r="CB147" s="284"/>
      <c r="CC147" s="278"/>
      <c r="CD147" s="275"/>
      <c r="CE147" s="277"/>
    </row>
    <row r="148" spans="1:83" s="274" customFormat="1" ht="12.75" customHeight="1" x14ac:dyDescent="0.15">
      <c r="A148" s="269"/>
      <c r="B148" s="270"/>
      <c r="C148" s="275"/>
      <c r="D148" s="1028"/>
      <c r="E148" s="1029"/>
      <c r="F148" s="1030"/>
      <c r="G148" s="278"/>
      <c r="H148" s="278"/>
      <c r="I148" s="278"/>
      <c r="J148" s="278"/>
      <c r="K148" s="278"/>
      <c r="L148" s="278"/>
      <c r="M148" s="278"/>
      <c r="N148" s="278"/>
      <c r="O148" s="278"/>
      <c r="P148" s="278"/>
      <c r="Q148" s="278"/>
      <c r="R148" s="278"/>
      <c r="S148" s="278"/>
      <c r="T148" s="278"/>
      <c r="U148" s="278"/>
      <c r="V148" s="278"/>
      <c r="W148" s="278"/>
      <c r="X148" s="278"/>
      <c r="Y148" s="278"/>
      <c r="Z148" s="278"/>
      <c r="AA148" s="278"/>
      <c r="AB148" s="278"/>
      <c r="AC148" s="278"/>
      <c r="AD148" s="278"/>
      <c r="AE148" s="278"/>
      <c r="AF148" s="278"/>
      <c r="AG148" s="278"/>
      <c r="AH148" s="278"/>
      <c r="AI148" s="278"/>
      <c r="AJ148" s="278"/>
      <c r="AK148" s="278"/>
      <c r="AL148" s="278"/>
      <c r="AM148" s="278"/>
      <c r="AN148" s="278"/>
      <c r="AO148" s="278"/>
      <c r="AP148" s="278"/>
      <c r="AQ148" s="278"/>
      <c r="AR148" s="278"/>
      <c r="AS148" s="278"/>
      <c r="AT148" s="278"/>
      <c r="AU148" s="278"/>
      <c r="AV148" s="278"/>
      <c r="AW148" s="278"/>
      <c r="AX148" s="278"/>
      <c r="AY148" s="278"/>
      <c r="AZ148" s="278"/>
      <c r="BA148" s="278"/>
      <c r="BB148" s="278"/>
      <c r="BC148" s="278"/>
      <c r="BD148" s="278"/>
      <c r="BE148" s="278"/>
      <c r="BF148" s="278"/>
      <c r="BG148" s="278"/>
      <c r="BH148" s="278"/>
      <c r="BI148" s="278"/>
      <c r="BJ148" s="278"/>
      <c r="BK148" s="278"/>
      <c r="BL148" s="278"/>
      <c r="BM148" s="278"/>
      <c r="BN148" s="278"/>
      <c r="BO148" s="278"/>
      <c r="BP148" s="278"/>
      <c r="BQ148" s="278"/>
      <c r="BR148" s="278"/>
      <c r="BS148" s="278"/>
      <c r="BT148" s="278"/>
      <c r="BU148" s="278"/>
      <c r="BV148" s="278"/>
      <c r="BW148" s="278"/>
      <c r="BX148" s="278"/>
      <c r="BY148" s="278"/>
      <c r="BZ148" s="278"/>
      <c r="CA148" s="278"/>
      <c r="CB148" s="284"/>
      <c r="CC148" s="278"/>
      <c r="CD148" s="275"/>
      <c r="CE148" s="277"/>
    </row>
    <row r="149" spans="1:83" s="274" customFormat="1" ht="12.75" customHeight="1" x14ac:dyDescent="0.15">
      <c r="A149" s="291"/>
      <c r="B149" s="292"/>
      <c r="C149" s="275"/>
      <c r="D149" s="1028"/>
      <c r="E149" s="1029"/>
      <c r="F149" s="1030"/>
      <c r="G149" s="278"/>
      <c r="H149" s="278"/>
      <c r="I149" s="278"/>
      <c r="J149" s="278"/>
      <c r="K149" s="278"/>
      <c r="L149" s="278"/>
      <c r="M149" s="278"/>
      <c r="N149" s="278"/>
      <c r="O149" s="278"/>
      <c r="P149" s="278"/>
      <c r="Q149" s="278"/>
      <c r="R149" s="278"/>
      <c r="S149" s="278"/>
      <c r="T149" s="278"/>
      <c r="U149" s="278"/>
      <c r="V149" s="278"/>
      <c r="W149" s="278"/>
      <c r="X149" s="278"/>
      <c r="Y149" s="278"/>
      <c r="Z149" s="278"/>
      <c r="AA149" s="278"/>
      <c r="AB149" s="278"/>
      <c r="AC149" s="278"/>
      <c r="AD149" s="278"/>
      <c r="AE149" s="278"/>
      <c r="AF149" s="278"/>
      <c r="AG149" s="278"/>
      <c r="AH149" s="278"/>
      <c r="AI149" s="278"/>
      <c r="AJ149" s="278"/>
      <c r="AK149" s="278"/>
      <c r="AL149" s="278"/>
      <c r="AM149" s="278"/>
      <c r="AN149" s="278"/>
      <c r="AO149" s="278"/>
      <c r="AP149" s="278"/>
      <c r="AQ149" s="278"/>
      <c r="AR149" s="278"/>
      <c r="AS149" s="278"/>
      <c r="AT149" s="278"/>
      <c r="AU149" s="278"/>
      <c r="AV149" s="278"/>
      <c r="AW149" s="278"/>
      <c r="AX149" s="278"/>
      <c r="AY149" s="278"/>
      <c r="AZ149" s="278"/>
      <c r="BA149" s="278"/>
      <c r="BB149" s="278"/>
      <c r="BC149" s="278"/>
      <c r="BD149" s="278"/>
      <c r="BE149" s="278"/>
      <c r="BF149" s="278"/>
      <c r="BG149" s="278"/>
      <c r="BH149" s="278"/>
      <c r="BI149" s="278"/>
      <c r="BJ149" s="278"/>
      <c r="BK149" s="278"/>
      <c r="BL149" s="278"/>
      <c r="BM149" s="278"/>
      <c r="BN149" s="278"/>
      <c r="BO149" s="278"/>
      <c r="BP149" s="278"/>
      <c r="BQ149" s="278"/>
      <c r="BR149" s="278"/>
      <c r="BS149" s="278"/>
      <c r="BT149" s="278"/>
      <c r="BU149" s="278"/>
      <c r="BV149" s="278"/>
      <c r="BW149" s="278"/>
      <c r="BX149" s="278"/>
      <c r="BY149" s="278"/>
      <c r="BZ149" s="278"/>
      <c r="CA149" s="278"/>
      <c r="CB149" s="284"/>
      <c r="CC149" s="278"/>
      <c r="CD149" s="275"/>
      <c r="CE149" s="277"/>
    </row>
    <row r="150" spans="1:83" s="297" customFormat="1" ht="12.75" customHeight="1" x14ac:dyDescent="0.15">
      <c r="A150" s="293"/>
      <c r="B150" s="294"/>
      <c r="C150" s="295"/>
      <c r="D150" s="1028"/>
      <c r="E150" s="1029"/>
      <c r="F150" s="1030"/>
      <c r="G150" s="278"/>
      <c r="H150" s="278"/>
      <c r="I150" s="278"/>
      <c r="J150" s="278"/>
      <c r="K150" s="278"/>
      <c r="L150" s="278"/>
      <c r="M150" s="278"/>
      <c r="N150" s="278"/>
      <c r="O150" s="278"/>
      <c r="P150" s="278"/>
      <c r="Q150" s="278"/>
      <c r="R150" s="278"/>
      <c r="S150" s="278"/>
      <c r="T150" s="278"/>
      <c r="U150" s="278"/>
      <c r="V150" s="278"/>
      <c r="W150" s="278"/>
      <c r="X150" s="278"/>
      <c r="Y150" s="278"/>
      <c r="Z150" s="278"/>
      <c r="AA150" s="278"/>
      <c r="AB150" s="278"/>
      <c r="AC150" s="278"/>
      <c r="AD150" s="278"/>
      <c r="AE150" s="278"/>
      <c r="AF150" s="278"/>
      <c r="AG150" s="278"/>
      <c r="AH150" s="278"/>
      <c r="AI150" s="278"/>
      <c r="AJ150" s="278"/>
      <c r="AK150" s="278"/>
      <c r="AL150" s="278"/>
      <c r="AM150" s="278"/>
      <c r="AN150" s="278"/>
      <c r="AO150" s="278"/>
      <c r="AP150" s="278"/>
      <c r="AQ150" s="278"/>
      <c r="AR150" s="278"/>
      <c r="AS150" s="278"/>
      <c r="AT150" s="278"/>
      <c r="AU150" s="278"/>
      <c r="AV150" s="278"/>
      <c r="AW150" s="278"/>
      <c r="AX150" s="278"/>
      <c r="AY150" s="278"/>
      <c r="AZ150" s="278"/>
      <c r="BA150" s="278"/>
      <c r="BB150" s="278"/>
      <c r="BC150" s="278"/>
      <c r="BD150" s="278"/>
      <c r="BE150" s="278"/>
      <c r="BF150" s="278"/>
      <c r="BG150" s="278"/>
      <c r="BH150" s="278"/>
      <c r="BI150" s="278"/>
      <c r="BJ150" s="278"/>
      <c r="BK150" s="278"/>
      <c r="BL150" s="278"/>
      <c r="BM150" s="278"/>
      <c r="BN150" s="278"/>
      <c r="BO150" s="278"/>
      <c r="BP150" s="278"/>
      <c r="BQ150" s="278"/>
      <c r="BR150" s="278"/>
      <c r="BS150" s="278"/>
      <c r="BT150" s="278"/>
      <c r="BU150" s="278"/>
      <c r="BV150" s="278"/>
      <c r="BW150" s="278"/>
      <c r="BX150" s="278"/>
      <c r="BY150" s="278"/>
      <c r="BZ150" s="278"/>
      <c r="CA150" s="278"/>
      <c r="CB150" s="284"/>
      <c r="CC150" s="278"/>
      <c r="CD150" s="295"/>
      <c r="CE150" s="296"/>
    </row>
    <row r="151" spans="1:83" s="297" customFormat="1" ht="12.75" customHeight="1" x14ac:dyDescent="0.15">
      <c r="A151" s="293"/>
      <c r="B151" s="294"/>
      <c r="C151" s="295"/>
      <c r="D151" s="1028"/>
      <c r="E151" s="1029"/>
      <c r="F151" s="1030"/>
      <c r="G151" s="278"/>
      <c r="H151" s="278"/>
      <c r="I151" s="278"/>
      <c r="J151" s="278"/>
      <c r="K151" s="278"/>
      <c r="L151" s="278"/>
      <c r="M151" s="278"/>
      <c r="N151" s="278"/>
      <c r="O151" s="278"/>
      <c r="P151" s="278"/>
      <c r="Q151" s="278"/>
      <c r="R151" s="278"/>
      <c r="S151" s="278"/>
      <c r="T151" s="278"/>
      <c r="U151" s="278"/>
      <c r="V151" s="278"/>
      <c r="W151" s="278"/>
      <c r="X151" s="278"/>
      <c r="Y151" s="278"/>
      <c r="Z151" s="278"/>
      <c r="AA151" s="278"/>
      <c r="AB151" s="278"/>
      <c r="AC151" s="278"/>
      <c r="AD151" s="278"/>
      <c r="AE151" s="278"/>
      <c r="AF151" s="278"/>
      <c r="AG151" s="278"/>
      <c r="AH151" s="278"/>
      <c r="AI151" s="278"/>
      <c r="AJ151" s="278"/>
      <c r="AK151" s="278"/>
      <c r="AL151" s="278"/>
      <c r="AM151" s="278"/>
      <c r="AN151" s="278"/>
      <c r="AO151" s="278"/>
      <c r="AP151" s="278"/>
      <c r="AQ151" s="278"/>
      <c r="AR151" s="278"/>
      <c r="AS151" s="278"/>
      <c r="AT151" s="278"/>
      <c r="AU151" s="278"/>
      <c r="AV151" s="278"/>
      <c r="AW151" s="278"/>
      <c r="AX151" s="278"/>
      <c r="AY151" s="278"/>
      <c r="AZ151" s="278"/>
      <c r="BA151" s="278"/>
      <c r="BB151" s="278"/>
      <c r="BC151" s="278"/>
      <c r="BD151" s="278"/>
      <c r="BE151" s="278"/>
      <c r="BF151" s="278"/>
      <c r="BG151" s="278"/>
      <c r="BH151" s="278"/>
      <c r="BI151" s="278"/>
      <c r="BJ151" s="278"/>
      <c r="BK151" s="278"/>
      <c r="BL151" s="278"/>
      <c r="BM151" s="278"/>
      <c r="BN151" s="278"/>
      <c r="BO151" s="278"/>
      <c r="BP151" s="278"/>
      <c r="BQ151" s="278"/>
      <c r="BR151" s="278"/>
      <c r="BS151" s="278"/>
      <c r="BT151" s="278"/>
      <c r="BU151" s="278"/>
      <c r="BV151" s="278"/>
      <c r="BW151" s="278"/>
      <c r="BX151" s="278"/>
      <c r="BY151" s="278"/>
      <c r="BZ151" s="278"/>
      <c r="CA151" s="278"/>
      <c r="CB151" s="284"/>
      <c r="CC151" s="278"/>
      <c r="CD151" s="295"/>
      <c r="CE151" s="296"/>
    </row>
    <row r="152" spans="1:83" s="297" customFormat="1" ht="12.75" customHeight="1" x14ac:dyDescent="0.15">
      <c r="A152" s="293"/>
      <c r="B152" s="294"/>
      <c r="C152" s="295"/>
      <c r="D152" s="1028"/>
      <c r="E152" s="1029"/>
      <c r="F152" s="1030"/>
      <c r="G152" s="278"/>
      <c r="H152" s="278"/>
      <c r="I152" s="278"/>
      <c r="J152" s="278"/>
      <c r="K152" s="278"/>
      <c r="L152" s="278"/>
      <c r="M152" s="278"/>
      <c r="N152" s="278"/>
      <c r="O152" s="278"/>
      <c r="P152" s="278"/>
      <c r="Q152" s="278"/>
      <c r="R152" s="278"/>
      <c r="S152" s="278"/>
      <c r="T152" s="278"/>
      <c r="U152" s="278"/>
      <c r="V152" s="278"/>
      <c r="W152" s="278"/>
      <c r="X152" s="278"/>
      <c r="Y152" s="278"/>
      <c r="Z152" s="278"/>
      <c r="AA152" s="278"/>
      <c r="AB152" s="278"/>
      <c r="AC152" s="278"/>
      <c r="AD152" s="278"/>
      <c r="AE152" s="278"/>
      <c r="AF152" s="278"/>
      <c r="AG152" s="278"/>
      <c r="AH152" s="278"/>
      <c r="AI152" s="278"/>
      <c r="AJ152" s="278"/>
      <c r="AK152" s="278"/>
      <c r="AL152" s="278"/>
      <c r="AM152" s="278"/>
      <c r="AN152" s="278"/>
      <c r="AO152" s="278"/>
      <c r="AP152" s="278"/>
      <c r="AQ152" s="278"/>
      <c r="AR152" s="278"/>
      <c r="AS152" s="278"/>
      <c r="AT152" s="278"/>
      <c r="AU152" s="278"/>
      <c r="AV152" s="278"/>
      <c r="AW152" s="278"/>
      <c r="AX152" s="278"/>
      <c r="AY152" s="278"/>
      <c r="AZ152" s="278"/>
      <c r="BA152" s="278"/>
      <c r="BB152" s="278"/>
      <c r="BC152" s="278"/>
      <c r="BD152" s="278"/>
      <c r="BE152" s="278"/>
      <c r="BF152" s="278"/>
      <c r="BG152" s="278"/>
      <c r="BH152" s="278"/>
      <c r="BI152" s="278"/>
      <c r="BJ152" s="278"/>
      <c r="BK152" s="278"/>
      <c r="BL152" s="278"/>
      <c r="BM152" s="278"/>
      <c r="BN152" s="278"/>
      <c r="BO152" s="278"/>
      <c r="BP152" s="278"/>
      <c r="BQ152" s="278"/>
      <c r="BR152" s="278"/>
      <c r="BS152" s="278"/>
      <c r="BT152" s="278"/>
      <c r="BU152" s="278"/>
      <c r="BV152" s="278"/>
      <c r="BW152" s="278"/>
      <c r="BX152" s="278"/>
      <c r="BY152" s="278"/>
      <c r="BZ152" s="278"/>
      <c r="CA152" s="278"/>
      <c r="CB152" s="284"/>
      <c r="CC152" s="278"/>
      <c r="CD152" s="295"/>
      <c r="CE152" s="296"/>
    </row>
    <row r="153" spans="1:83" s="297" customFormat="1" ht="12.75" customHeight="1" x14ac:dyDescent="0.15">
      <c r="A153" s="293"/>
      <c r="B153" s="294"/>
      <c r="C153" s="295"/>
      <c r="D153" s="1028"/>
      <c r="E153" s="1029"/>
      <c r="F153" s="1030"/>
      <c r="G153" s="278"/>
      <c r="H153" s="278"/>
      <c r="I153" s="278"/>
      <c r="J153" s="278"/>
      <c r="K153" s="278"/>
      <c r="L153" s="278"/>
      <c r="M153" s="278"/>
      <c r="N153" s="278"/>
      <c r="O153" s="278"/>
      <c r="P153" s="278"/>
      <c r="Q153" s="278"/>
      <c r="R153" s="278"/>
      <c r="S153" s="278"/>
      <c r="T153" s="278"/>
      <c r="U153" s="278"/>
      <c r="V153" s="278"/>
      <c r="W153" s="278"/>
      <c r="X153" s="278"/>
      <c r="Y153" s="278"/>
      <c r="Z153" s="278"/>
      <c r="AA153" s="278"/>
      <c r="AB153" s="278"/>
      <c r="AC153" s="278"/>
      <c r="AD153" s="278"/>
      <c r="AE153" s="278"/>
      <c r="AF153" s="278"/>
      <c r="AG153" s="278"/>
      <c r="AH153" s="278"/>
      <c r="AI153" s="278"/>
      <c r="AJ153" s="278"/>
      <c r="AK153" s="278"/>
      <c r="AL153" s="278"/>
      <c r="AM153" s="278"/>
      <c r="AN153" s="278"/>
      <c r="AO153" s="278"/>
      <c r="AP153" s="278"/>
      <c r="AQ153" s="278"/>
      <c r="AR153" s="278"/>
      <c r="AS153" s="278"/>
      <c r="AT153" s="278"/>
      <c r="AU153" s="278"/>
      <c r="AV153" s="278"/>
      <c r="AW153" s="278"/>
      <c r="AX153" s="278"/>
      <c r="AY153" s="278"/>
      <c r="AZ153" s="278"/>
      <c r="BA153" s="278"/>
      <c r="BB153" s="278"/>
      <c r="BC153" s="278"/>
      <c r="BD153" s="278"/>
      <c r="BE153" s="278"/>
      <c r="BF153" s="278"/>
      <c r="BG153" s="278"/>
      <c r="BH153" s="278"/>
      <c r="BI153" s="278"/>
      <c r="BJ153" s="278"/>
      <c r="BK153" s="278"/>
      <c r="BL153" s="278"/>
      <c r="BM153" s="278"/>
      <c r="BN153" s="278"/>
      <c r="BO153" s="278"/>
      <c r="BP153" s="278"/>
      <c r="BQ153" s="278"/>
      <c r="BR153" s="278"/>
      <c r="BS153" s="278"/>
      <c r="BT153" s="278"/>
      <c r="BU153" s="278"/>
      <c r="BV153" s="278"/>
      <c r="BW153" s="278"/>
      <c r="BX153" s="278"/>
      <c r="BY153" s="278"/>
      <c r="BZ153" s="278"/>
      <c r="CA153" s="278"/>
      <c r="CB153" s="284"/>
      <c r="CC153" s="278"/>
      <c r="CD153" s="295"/>
      <c r="CE153" s="296"/>
    </row>
    <row r="154" spans="1:83" s="297" customFormat="1" ht="12.75" customHeight="1" x14ac:dyDescent="0.15">
      <c r="A154" s="293"/>
      <c r="B154" s="294"/>
      <c r="C154" s="295"/>
      <c r="D154" s="1028"/>
      <c r="E154" s="1029"/>
      <c r="F154" s="1030"/>
      <c r="G154" s="278"/>
      <c r="H154" s="278"/>
      <c r="I154" s="278"/>
      <c r="J154" s="278"/>
      <c r="K154" s="278"/>
      <c r="L154" s="278"/>
      <c r="M154" s="278"/>
      <c r="N154" s="278"/>
      <c r="O154" s="278"/>
      <c r="P154" s="278"/>
      <c r="Q154" s="278"/>
      <c r="R154" s="278"/>
      <c r="S154" s="278"/>
      <c r="T154" s="278"/>
      <c r="U154" s="278"/>
      <c r="V154" s="278"/>
      <c r="W154" s="278"/>
      <c r="X154" s="278"/>
      <c r="Y154" s="278"/>
      <c r="Z154" s="278"/>
      <c r="AA154" s="278"/>
      <c r="AB154" s="278"/>
      <c r="AC154" s="278"/>
      <c r="AD154" s="278"/>
      <c r="AE154" s="278"/>
      <c r="AF154" s="278"/>
      <c r="AG154" s="278"/>
      <c r="AH154" s="278"/>
      <c r="AI154" s="278"/>
      <c r="AJ154" s="278"/>
      <c r="AK154" s="278"/>
      <c r="AL154" s="278"/>
      <c r="AM154" s="278"/>
      <c r="AN154" s="278"/>
      <c r="AO154" s="278"/>
      <c r="AP154" s="278"/>
      <c r="AQ154" s="278"/>
      <c r="AR154" s="278"/>
      <c r="AS154" s="278"/>
      <c r="AT154" s="278"/>
      <c r="AU154" s="278"/>
      <c r="AV154" s="278"/>
      <c r="AW154" s="278"/>
      <c r="AX154" s="278"/>
      <c r="AY154" s="278"/>
      <c r="AZ154" s="278"/>
      <c r="BA154" s="278"/>
      <c r="BB154" s="278"/>
      <c r="BC154" s="278"/>
      <c r="BD154" s="278"/>
      <c r="BE154" s="278"/>
      <c r="BF154" s="278"/>
      <c r="BG154" s="278"/>
      <c r="BH154" s="278"/>
      <c r="BI154" s="278"/>
      <c r="BJ154" s="278"/>
      <c r="BK154" s="278"/>
      <c r="BL154" s="278"/>
      <c r="BM154" s="278"/>
      <c r="BN154" s="278"/>
      <c r="BO154" s="278"/>
      <c r="BP154" s="278"/>
      <c r="BQ154" s="278"/>
      <c r="BR154" s="278"/>
      <c r="BS154" s="278"/>
      <c r="BT154" s="278"/>
      <c r="BU154" s="278"/>
      <c r="BV154" s="278"/>
      <c r="BW154" s="278"/>
      <c r="BX154" s="278"/>
      <c r="BY154" s="278"/>
      <c r="BZ154" s="278"/>
      <c r="CA154" s="278"/>
      <c r="CB154" s="284"/>
      <c r="CC154" s="278"/>
      <c r="CD154" s="295"/>
      <c r="CE154" s="296"/>
    </row>
    <row r="155" spans="1:83" s="297" customFormat="1" ht="12.75" customHeight="1" x14ac:dyDescent="0.15">
      <c r="A155" s="293"/>
      <c r="B155" s="294"/>
      <c r="C155" s="295"/>
      <c r="D155" s="1028"/>
      <c r="E155" s="1029"/>
      <c r="F155" s="1030"/>
      <c r="G155" s="295"/>
      <c r="H155" s="295"/>
      <c r="I155" s="295"/>
      <c r="J155" s="295"/>
      <c r="K155" s="295"/>
      <c r="L155" s="295"/>
      <c r="M155" s="295"/>
      <c r="N155" s="295"/>
      <c r="O155" s="295"/>
      <c r="P155" s="295"/>
      <c r="Q155" s="295"/>
      <c r="R155" s="295"/>
      <c r="S155" s="295"/>
      <c r="T155" s="295"/>
      <c r="U155" s="295"/>
      <c r="V155" s="295"/>
      <c r="W155" s="295"/>
      <c r="X155" s="295"/>
      <c r="Y155" s="295"/>
      <c r="Z155" s="295"/>
      <c r="AA155" s="295"/>
      <c r="AB155" s="295"/>
      <c r="AC155" s="295"/>
      <c r="AD155" s="295"/>
      <c r="AE155" s="295"/>
      <c r="AF155" s="295"/>
      <c r="AG155" s="295"/>
      <c r="AH155" s="295"/>
      <c r="AI155" s="295"/>
      <c r="AJ155" s="295"/>
      <c r="AK155" s="295"/>
      <c r="AL155" s="295"/>
      <c r="AM155" s="295"/>
      <c r="AN155" s="295"/>
      <c r="AO155" s="295"/>
      <c r="AP155" s="295"/>
      <c r="AQ155" s="295"/>
      <c r="AR155" s="295"/>
      <c r="AS155" s="295"/>
      <c r="AT155" s="295"/>
      <c r="AU155" s="295"/>
      <c r="AV155" s="295"/>
      <c r="AW155" s="295"/>
      <c r="AX155" s="295"/>
      <c r="AY155" s="295"/>
      <c r="AZ155" s="295"/>
      <c r="BA155" s="295"/>
      <c r="BB155" s="295"/>
      <c r="BC155" s="295"/>
      <c r="BD155" s="295"/>
      <c r="BE155" s="295"/>
      <c r="BF155" s="295"/>
      <c r="BG155" s="295"/>
      <c r="BH155" s="295"/>
      <c r="BI155" s="295"/>
      <c r="BJ155" s="295"/>
      <c r="BK155" s="295"/>
      <c r="BL155" s="295"/>
      <c r="BM155" s="295"/>
      <c r="BN155" s="295"/>
      <c r="BO155" s="295"/>
      <c r="BP155" s="295"/>
      <c r="BQ155" s="295"/>
      <c r="BR155" s="295"/>
      <c r="BS155" s="295"/>
      <c r="BT155" s="295"/>
      <c r="BU155" s="295"/>
      <c r="BV155" s="295"/>
      <c r="BW155" s="295"/>
      <c r="BX155" s="295"/>
      <c r="BY155" s="295"/>
      <c r="BZ155" s="295"/>
      <c r="CA155" s="295"/>
      <c r="CB155" s="284"/>
      <c r="CC155" s="278"/>
      <c r="CD155" s="295"/>
      <c r="CE155" s="296"/>
    </row>
    <row r="156" spans="1:83" s="297" customFormat="1" x14ac:dyDescent="0.15">
      <c r="A156" s="298"/>
      <c r="B156" s="295"/>
      <c r="C156" s="295"/>
      <c r="D156" s="1028"/>
      <c r="E156" s="1029"/>
      <c r="F156" s="1030"/>
      <c r="G156" s="295"/>
      <c r="H156" s="295"/>
      <c r="I156" s="295"/>
      <c r="J156" s="295"/>
      <c r="K156" s="295"/>
      <c r="L156" s="295"/>
      <c r="M156" s="295"/>
      <c r="N156" s="295"/>
      <c r="O156" s="295"/>
      <c r="P156" s="295"/>
      <c r="Q156" s="295"/>
      <c r="R156" s="295"/>
      <c r="S156" s="295"/>
      <c r="T156" s="295"/>
      <c r="U156" s="295"/>
      <c r="V156" s="295"/>
      <c r="W156" s="295"/>
      <c r="X156" s="295"/>
      <c r="Y156" s="295"/>
      <c r="Z156" s="295"/>
      <c r="AA156" s="295"/>
      <c r="AB156" s="295"/>
      <c r="AC156" s="295"/>
      <c r="AD156" s="295"/>
      <c r="AE156" s="295"/>
      <c r="AF156" s="295"/>
      <c r="AG156" s="295"/>
      <c r="AH156" s="295"/>
      <c r="AI156" s="295"/>
      <c r="AJ156" s="295"/>
      <c r="AK156" s="295"/>
      <c r="AL156" s="295"/>
      <c r="AM156" s="295"/>
      <c r="AN156" s="295"/>
      <c r="AO156" s="295"/>
      <c r="AP156" s="295"/>
      <c r="AQ156" s="295"/>
      <c r="AR156" s="295"/>
      <c r="AS156" s="295"/>
      <c r="AT156" s="295"/>
      <c r="AU156" s="295"/>
      <c r="AV156" s="295"/>
      <c r="AW156" s="295"/>
      <c r="AX156" s="295"/>
      <c r="AY156" s="295"/>
      <c r="AZ156" s="295"/>
      <c r="BA156" s="295"/>
      <c r="BB156" s="295"/>
      <c r="BC156" s="295"/>
      <c r="BD156" s="295"/>
      <c r="BE156" s="295"/>
      <c r="BF156" s="295"/>
      <c r="BG156" s="295"/>
      <c r="BH156" s="295"/>
      <c r="BI156" s="295"/>
      <c r="BJ156" s="295"/>
      <c r="BK156" s="295"/>
      <c r="BL156" s="295"/>
      <c r="BM156" s="295"/>
      <c r="BN156" s="295"/>
      <c r="BO156" s="295"/>
      <c r="BP156" s="295"/>
      <c r="BQ156" s="295"/>
      <c r="BR156" s="295"/>
      <c r="BS156" s="295"/>
      <c r="BT156" s="295"/>
      <c r="BU156" s="295"/>
      <c r="BV156" s="295"/>
      <c r="BW156" s="295"/>
      <c r="BX156" s="295"/>
      <c r="BY156" s="295"/>
      <c r="BZ156" s="295"/>
      <c r="CA156" s="295"/>
      <c r="CB156" s="284"/>
      <c r="CC156" s="278"/>
      <c r="CD156" s="295"/>
      <c r="CE156" s="296"/>
    </row>
    <row r="157" spans="1:83" s="297" customFormat="1" x14ac:dyDescent="0.15">
      <c r="A157" s="298"/>
      <c r="B157" s="295"/>
      <c r="C157" s="295"/>
      <c r="D157" s="1028"/>
      <c r="E157" s="1029"/>
      <c r="F157" s="1030"/>
      <c r="G157" s="295"/>
      <c r="H157" s="295"/>
      <c r="I157" s="295"/>
      <c r="J157" s="295"/>
      <c r="K157" s="295"/>
      <c r="L157" s="295"/>
      <c r="M157" s="295"/>
      <c r="N157" s="295"/>
      <c r="O157" s="295"/>
      <c r="P157" s="295"/>
      <c r="Q157" s="295"/>
      <c r="R157" s="295"/>
      <c r="S157" s="295"/>
      <c r="T157" s="295"/>
      <c r="U157" s="295"/>
      <c r="V157" s="295"/>
      <c r="W157" s="295"/>
      <c r="X157" s="295"/>
      <c r="Y157" s="295"/>
      <c r="Z157" s="295"/>
      <c r="AA157" s="295"/>
      <c r="AB157" s="295"/>
      <c r="AC157" s="295"/>
      <c r="AD157" s="295"/>
      <c r="AE157" s="295"/>
      <c r="AF157" s="295"/>
      <c r="AG157" s="295"/>
      <c r="AH157" s="295"/>
      <c r="AI157" s="295"/>
      <c r="AJ157" s="295"/>
      <c r="AK157" s="295"/>
      <c r="AL157" s="295"/>
      <c r="AM157" s="295"/>
      <c r="AN157" s="295"/>
      <c r="AO157" s="295"/>
      <c r="AP157" s="295"/>
      <c r="AQ157" s="295"/>
      <c r="AR157" s="295"/>
      <c r="AS157" s="295"/>
      <c r="AT157" s="295"/>
      <c r="AU157" s="295"/>
      <c r="AV157" s="295"/>
      <c r="AW157" s="295"/>
      <c r="AX157" s="295"/>
      <c r="AY157" s="295"/>
      <c r="AZ157" s="295"/>
      <c r="BA157" s="295"/>
      <c r="BB157" s="295"/>
      <c r="BC157" s="295"/>
      <c r="BD157" s="295"/>
      <c r="BE157" s="295"/>
      <c r="BF157" s="295"/>
      <c r="BG157" s="295"/>
      <c r="BH157" s="295"/>
      <c r="BI157" s="295"/>
      <c r="BJ157" s="295"/>
      <c r="BK157" s="295"/>
      <c r="BL157" s="295"/>
      <c r="BM157" s="295"/>
      <c r="BN157" s="295"/>
      <c r="BO157" s="295"/>
      <c r="BP157" s="295"/>
      <c r="BQ157" s="295"/>
      <c r="BR157" s="295"/>
      <c r="BS157" s="295"/>
      <c r="BT157" s="295"/>
      <c r="BU157" s="295"/>
      <c r="BV157" s="295"/>
      <c r="BW157" s="295"/>
      <c r="BX157" s="295"/>
      <c r="BY157" s="295"/>
      <c r="BZ157" s="295"/>
      <c r="CA157" s="295"/>
      <c r="CB157" s="284"/>
      <c r="CC157" s="278"/>
      <c r="CD157" s="295"/>
      <c r="CE157" s="296"/>
    </row>
    <row r="158" spans="1:83" s="297" customFormat="1" x14ac:dyDescent="0.15">
      <c r="A158" s="298"/>
      <c r="B158" s="295"/>
      <c r="C158" s="295"/>
      <c r="D158" s="1028"/>
      <c r="E158" s="1029"/>
      <c r="F158" s="1030"/>
      <c r="G158" s="295"/>
      <c r="H158" s="295"/>
      <c r="I158" s="295"/>
      <c r="J158" s="295"/>
      <c r="K158" s="295"/>
      <c r="L158" s="295"/>
      <c r="M158" s="295"/>
      <c r="N158" s="295"/>
      <c r="O158" s="295"/>
      <c r="P158" s="295"/>
      <c r="Q158" s="295"/>
      <c r="R158" s="295"/>
      <c r="S158" s="295"/>
      <c r="T158" s="295"/>
      <c r="U158" s="295"/>
      <c r="V158" s="295"/>
      <c r="W158" s="295"/>
      <c r="X158" s="295"/>
      <c r="Y158" s="295"/>
      <c r="Z158" s="295"/>
      <c r="AA158" s="295"/>
      <c r="AB158" s="295"/>
      <c r="AC158" s="295"/>
      <c r="AD158" s="295"/>
      <c r="AE158" s="295"/>
      <c r="AF158" s="295"/>
      <c r="AG158" s="295"/>
      <c r="AH158" s="295"/>
      <c r="AI158" s="295"/>
      <c r="AJ158" s="295"/>
      <c r="AK158" s="295"/>
      <c r="AL158" s="295"/>
      <c r="AM158" s="295"/>
      <c r="AN158" s="295"/>
      <c r="AO158" s="295"/>
      <c r="AP158" s="295"/>
      <c r="AQ158" s="295"/>
      <c r="AR158" s="295"/>
      <c r="AS158" s="295"/>
      <c r="AT158" s="295"/>
      <c r="AU158" s="295"/>
      <c r="AV158" s="295"/>
      <c r="AW158" s="295"/>
      <c r="AX158" s="295"/>
      <c r="AY158" s="295"/>
      <c r="AZ158" s="295"/>
      <c r="BA158" s="295"/>
      <c r="BB158" s="295"/>
      <c r="BC158" s="295"/>
      <c r="BD158" s="295"/>
      <c r="BE158" s="295"/>
      <c r="BF158" s="295"/>
      <c r="BG158" s="295"/>
      <c r="BH158" s="295"/>
      <c r="BI158" s="295"/>
      <c r="BJ158" s="295"/>
      <c r="BK158" s="295"/>
      <c r="BL158" s="295"/>
      <c r="BM158" s="295"/>
      <c r="BN158" s="295"/>
      <c r="BO158" s="295"/>
      <c r="BP158" s="295"/>
      <c r="BQ158" s="295"/>
      <c r="BR158" s="295"/>
      <c r="BS158" s="295"/>
      <c r="BT158" s="295"/>
      <c r="BU158" s="295"/>
      <c r="BV158" s="295"/>
      <c r="BW158" s="295"/>
      <c r="BX158" s="295"/>
      <c r="BY158" s="295"/>
      <c r="BZ158" s="295"/>
      <c r="CA158" s="295"/>
      <c r="CB158" s="284"/>
      <c r="CC158" s="278"/>
      <c r="CD158" s="295"/>
      <c r="CE158" s="296"/>
    </row>
    <row r="159" spans="1:83" s="297" customFormat="1" x14ac:dyDescent="0.15">
      <c r="A159" s="298"/>
      <c r="B159" s="295"/>
      <c r="C159" s="295"/>
      <c r="D159" s="1028"/>
      <c r="E159" s="1029"/>
      <c r="F159" s="1030"/>
      <c r="G159" s="295"/>
      <c r="H159" s="295"/>
      <c r="I159" s="295"/>
      <c r="J159" s="295"/>
      <c r="K159" s="295"/>
      <c r="L159" s="295"/>
      <c r="M159" s="295"/>
      <c r="N159" s="295"/>
      <c r="O159" s="295"/>
      <c r="P159" s="295"/>
      <c r="Q159" s="295"/>
      <c r="R159" s="295"/>
      <c r="S159" s="295"/>
      <c r="T159" s="295"/>
      <c r="U159" s="295"/>
      <c r="V159" s="295"/>
      <c r="W159" s="295"/>
      <c r="X159" s="295"/>
      <c r="Y159" s="295"/>
      <c r="Z159" s="295"/>
      <c r="AA159" s="295"/>
      <c r="AB159" s="295"/>
      <c r="AC159" s="295"/>
      <c r="AD159" s="295"/>
      <c r="AE159" s="295"/>
      <c r="AF159" s="295"/>
      <c r="AG159" s="295"/>
      <c r="AH159" s="295"/>
      <c r="AI159" s="295"/>
      <c r="AJ159" s="295"/>
      <c r="AK159" s="295"/>
      <c r="AL159" s="295"/>
      <c r="AM159" s="295"/>
      <c r="AN159" s="295"/>
      <c r="AO159" s="295"/>
      <c r="AP159" s="295"/>
      <c r="AQ159" s="295"/>
      <c r="AR159" s="295"/>
      <c r="AS159" s="295"/>
      <c r="AT159" s="295"/>
      <c r="AU159" s="295"/>
      <c r="AV159" s="295"/>
      <c r="AW159" s="295"/>
      <c r="AX159" s="295"/>
      <c r="AY159" s="295"/>
      <c r="AZ159" s="295"/>
      <c r="BA159" s="295"/>
      <c r="BB159" s="295"/>
      <c r="BC159" s="295"/>
      <c r="BD159" s="295"/>
      <c r="BE159" s="295"/>
      <c r="BF159" s="295"/>
      <c r="BG159" s="295"/>
      <c r="BH159" s="295"/>
      <c r="BI159" s="295"/>
      <c r="BJ159" s="295"/>
      <c r="BK159" s="295"/>
      <c r="BL159" s="295"/>
      <c r="BM159" s="295"/>
      <c r="BN159" s="295"/>
      <c r="BO159" s="295"/>
      <c r="BP159" s="295"/>
      <c r="BQ159" s="295"/>
      <c r="BR159" s="295"/>
      <c r="BS159" s="295"/>
      <c r="BT159" s="295"/>
      <c r="BU159" s="295"/>
      <c r="BV159" s="295"/>
      <c r="BW159" s="295"/>
      <c r="BX159" s="295"/>
      <c r="BY159" s="295"/>
      <c r="BZ159" s="295"/>
      <c r="CA159" s="295"/>
      <c r="CB159" s="284"/>
      <c r="CC159" s="278"/>
      <c r="CD159" s="295"/>
      <c r="CE159" s="296"/>
    </row>
    <row r="160" spans="1:83" s="297" customFormat="1" ht="12.75" customHeight="1" x14ac:dyDescent="0.15">
      <c r="A160" s="293"/>
      <c r="B160" s="294"/>
      <c r="C160" s="295"/>
      <c r="D160" s="1031"/>
      <c r="E160" s="1032"/>
      <c r="F160" s="1033"/>
      <c r="G160" s="299"/>
      <c r="H160" s="299"/>
      <c r="I160" s="299"/>
      <c r="J160" s="299"/>
      <c r="K160" s="299"/>
      <c r="L160" s="299"/>
      <c r="M160" s="299"/>
      <c r="N160" s="299"/>
      <c r="O160" s="299"/>
      <c r="P160" s="299"/>
      <c r="Q160" s="299"/>
      <c r="R160" s="299"/>
      <c r="S160" s="299"/>
      <c r="T160" s="299"/>
      <c r="U160" s="299"/>
      <c r="V160" s="299"/>
      <c r="W160" s="299"/>
      <c r="X160" s="299"/>
      <c r="Y160" s="299"/>
      <c r="Z160" s="299"/>
      <c r="AA160" s="299"/>
      <c r="AB160" s="299"/>
      <c r="AC160" s="299"/>
      <c r="AD160" s="299"/>
      <c r="AE160" s="299"/>
      <c r="AF160" s="299"/>
      <c r="AG160" s="299"/>
      <c r="AH160" s="299"/>
      <c r="AI160" s="299"/>
      <c r="AJ160" s="299"/>
      <c r="AK160" s="299"/>
      <c r="AL160" s="299"/>
      <c r="AM160" s="299"/>
      <c r="AN160" s="299"/>
      <c r="AO160" s="299"/>
      <c r="AP160" s="299"/>
      <c r="AQ160" s="299"/>
      <c r="AR160" s="299"/>
      <c r="AS160" s="299"/>
      <c r="AT160" s="299"/>
      <c r="AU160" s="299"/>
      <c r="AV160" s="299"/>
      <c r="AW160" s="299"/>
      <c r="AX160" s="299"/>
      <c r="AY160" s="299"/>
      <c r="AZ160" s="299"/>
      <c r="BA160" s="299"/>
      <c r="BB160" s="299"/>
      <c r="BC160" s="299"/>
      <c r="BD160" s="299"/>
      <c r="BE160" s="299"/>
      <c r="BF160" s="299"/>
      <c r="BG160" s="299"/>
      <c r="BH160" s="299"/>
      <c r="BI160" s="299"/>
      <c r="BJ160" s="299"/>
      <c r="BK160" s="299"/>
      <c r="BL160" s="299"/>
      <c r="BM160" s="299"/>
      <c r="BN160" s="299"/>
      <c r="BO160" s="299"/>
      <c r="BP160" s="299"/>
      <c r="BQ160" s="299"/>
      <c r="BR160" s="299"/>
      <c r="BS160" s="299"/>
      <c r="BT160" s="299"/>
      <c r="BU160" s="299"/>
      <c r="BV160" s="299"/>
      <c r="BW160" s="299"/>
      <c r="BX160" s="299"/>
      <c r="BY160" s="299"/>
      <c r="BZ160" s="299"/>
      <c r="CA160" s="299"/>
      <c r="CB160" s="300"/>
      <c r="CC160" s="278"/>
      <c r="CD160" s="295"/>
      <c r="CE160" s="296"/>
    </row>
    <row r="161" spans="1:83" s="297" customFormat="1" ht="12.75" customHeight="1" thickBot="1" x14ac:dyDescent="0.2">
      <c r="A161" s="301"/>
      <c r="B161" s="302"/>
      <c r="C161" s="303"/>
      <c r="D161" s="304"/>
      <c r="E161" s="304"/>
      <c r="F161" s="304"/>
      <c r="G161" s="305"/>
      <c r="H161" s="305"/>
      <c r="I161" s="305"/>
      <c r="J161" s="305"/>
      <c r="K161" s="305"/>
      <c r="L161" s="305"/>
      <c r="M161" s="305"/>
      <c r="N161" s="305"/>
      <c r="O161" s="305"/>
      <c r="P161" s="305"/>
      <c r="Q161" s="305"/>
      <c r="R161" s="305"/>
      <c r="S161" s="305"/>
      <c r="T161" s="305"/>
      <c r="U161" s="305"/>
      <c r="V161" s="305"/>
      <c r="W161" s="305"/>
      <c r="X161" s="305"/>
      <c r="Y161" s="305"/>
      <c r="Z161" s="305"/>
      <c r="AA161" s="305"/>
      <c r="AB161" s="305"/>
      <c r="AC161" s="305"/>
      <c r="AD161" s="305"/>
      <c r="AE161" s="305"/>
      <c r="AF161" s="305"/>
      <c r="AG161" s="305"/>
      <c r="AH161" s="305"/>
      <c r="AI161" s="305"/>
      <c r="AJ161" s="305"/>
      <c r="AK161" s="305"/>
      <c r="AL161" s="305"/>
      <c r="AM161" s="305"/>
      <c r="AN161" s="305"/>
      <c r="AO161" s="305"/>
      <c r="AP161" s="305"/>
      <c r="AQ161" s="305"/>
      <c r="AR161" s="305"/>
      <c r="AS161" s="305"/>
      <c r="AT161" s="305"/>
      <c r="AU161" s="305"/>
      <c r="AV161" s="305"/>
      <c r="AW161" s="305"/>
      <c r="AX161" s="305"/>
      <c r="AY161" s="305"/>
      <c r="AZ161" s="305"/>
      <c r="BA161" s="305"/>
      <c r="BB161" s="305"/>
      <c r="BC161" s="305"/>
      <c r="BD161" s="305"/>
      <c r="BE161" s="305"/>
      <c r="BF161" s="305"/>
      <c r="BG161" s="305"/>
      <c r="BH161" s="305"/>
      <c r="BI161" s="305"/>
      <c r="BJ161" s="305"/>
      <c r="BK161" s="305"/>
      <c r="BL161" s="305"/>
      <c r="BM161" s="305"/>
      <c r="BN161" s="305"/>
      <c r="BO161" s="305"/>
      <c r="BP161" s="305"/>
      <c r="BQ161" s="305"/>
      <c r="BR161" s="305"/>
      <c r="BS161" s="305"/>
      <c r="BT161" s="305"/>
      <c r="BU161" s="305"/>
      <c r="BV161" s="305"/>
      <c r="BW161" s="305"/>
      <c r="BX161" s="305"/>
      <c r="BY161" s="305"/>
      <c r="BZ161" s="305"/>
      <c r="CA161" s="305"/>
      <c r="CB161" s="305"/>
      <c r="CC161" s="306"/>
      <c r="CD161" s="303"/>
      <c r="CE161" s="307"/>
    </row>
    <row r="162" spans="1:83" s="297" customFormat="1" ht="12.75" customHeight="1" x14ac:dyDescent="0.15">
      <c r="A162" s="308"/>
      <c r="B162" s="309"/>
      <c r="C162" s="309"/>
      <c r="D162" s="309"/>
      <c r="E162" s="309"/>
      <c r="F162" s="309"/>
      <c r="G162" s="309"/>
      <c r="H162" s="309"/>
      <c r="I162" s="309"/>
      <c r="J162" s="309"/>
      <c r="K162" s="309"/>
      <c r="L162" s="309"/>
      <c r="M162" s="309"/>
      <c r="N162" s="309"/>
      <c r="O162" s="309"/>
      <c r="P162" s="309"/>
      <c r="Q162" s="309"/>
      <c r="R162" s="309"/>
      <c r="S162" s="309"/>
      <c r="T162" s="309"/>
      <c r="U162" s="309"/>
      <c r="V162" s="309"/>
      <c r="W162" s="309"/>
      <c r="X162" s="309"/>
      <c r="Y162" s="309"/>
      <c r="Z162" s="309"/>
      <c r="AA162" s="309"/>
      <c r="AB162" s="309"/>
      <c r="AC162" s="309"/>
      <c r="AD162" s="309"/>
      <c r="AE162" s="309"/>
      <c r="AF162" s="309"/>
      <c r="AG162" s="309"/>
      <c r="AH162" s="309"/>
      <c r="AI162" s="309"/>
      <c r="AJ162" s="309"/>
      <c r="AK162" s="309"/>
      <c r="AL162" s="309"/>
      <c r="AM162" s="309"/>
      <c r="AN162" s="309"/>
      <c r="AO162" s="309"/>
      <c r="AP162" s="309"/>
      <c r="AQ162" s="309"/>
      <c r="AR162" s="309"/>
      <c r="AS162" s="309"/>
      <c r="AT162" s="309"/>
      <c r="AU162" s="309"/>
      <c r="AV162" s="309"/>
      <c r="AW162" s="309"/>
      <c r="AX162" s="309"/>
      <c r="AY162" s="309"/>
      <c r="AZ162" s="309"/>
      <c r="BA162" s="309"/>
      <c r="BB162" s="309"/>
      <c r="BC162" s="309"/>
      <c r="BD162" s="309"/>
      <c r="BE162" s="309"/>
      <c r="BF162" s="309"/>
      <c r="BG162" s="309"/>
      <c r="BH162" s="309"/>
      <c r="BI162" s="309"/>
      <c r="BJ162" s="309"/>
      <c r="BK162" s="309"/>
      <c r="BL162" s="309"/>
      <c r="BM162" s="309"/>
      <c r="BN162" s="309"/>
      <c r="BO162" s="309"/>
      <c r="BP162" s="309"/>
      <c r="BQ162" s="309"/>
      <c r="BR162" s="309"/>
      <c r="BS162" s="309"/>
      <c r="BT162" s="309"/>
      <c r="BU162" s="309"/>
      <c r="BV162" s="309"/>
      <c r="BW162" s="309"/>
      <c r="BX162" s="309"/>
      <c r="BY162" s="309"/>
      <c r="BZ162" s="309"/>
      <c r="CA162" s="309"/>
      <c r="CB162" s="309"/>
      <c r="CC162" s="309"/>
      <c r="CD162" s="309"/>
      <c r="CE162" s="310"/>
    </row>
    <row r="163" spans="1:83" s="297" customFormat="1" ht="12.75" customHeight="1" x14ac:dyDescent="0.15">
      <c r="A163" s="298"/>
      <c r="B163" s="295"/>
      <c r="C163" s="295"/>
      <c r="D163" s="534" t="s">
        <v>301</v>
      </c>
      <c r="E163" s="534"/>
      <c r="F163" s="534"/>
      <c r="G163" s="534"/>
      <c r="H163" s="534"/>
      <c r="I163" s="534"/>
      <c r="J163" s="534"/>
      <c r="K163" s="534"/>
      <c r="L163" s="534"/>
      <c r="M163" s="534"/>
      <c r="N163" s="534"/>
      <c r="O163" s="534"/>
      <c r="P163" s="534"/>
      <c r="Q163" s="534"/>
      <c r="R163" s="534"/>
      <c r="S163" s="534"/>
      <c r="T163" s="534"/>
      <c r="U163" s="534"/>
      <c r="V163" s="534"/>
      <c r="W163" s="534"/>
      <c r="X163" s="534"/>
      <c r="Y163" s="534"/>
      <c r="Z163" s="534"/>
      <c r="AA163" s="534"/>
      <c r="AB163" s="534"/>
      <c r="AC163" s="534"/>
      <c r="AD163" s="534"/>
      <c r="AE163" s="534"/>
      <c r="AF163" s="534"/>
      <c r="AG163" s="534"/>
      <c r="AH163" s="534"/>
      <c r="AI163" s="534"/>
      <c r="AJ163" s="534"/>
      <c r="AK163" s="534"/>
      <c r="AL163" s="534"/>
      <c r="AM163" s="534"/>
      <c r="AN163" s="534"/>
      <c r="AO163" s="534"/>
      <c r="AP163" s="534"/>
      <c r="AQ163" s="534"/>
      <c r="AR163" s="534"/>
      <c r="AS163" s="534"/>
      <c r="AT163" s="534"/>
      <c r="AU163" s="534"/>
      <c r="AV163" s="534"/>
      <c r="AW163" s="534"/>
      <c r="AX163" s="534"/>
      <c r="AY163" s="534"/>
      <c r="AZ163" s="534"/>
      <c r="BA163" s="534"/>
      <c r="BB163" s="534"/>
      <c r="BC163" s="534"/>
      <c r="BD163" s="534"/>
      <c r="BE163" s="534"/>
      <c r="BF163" s="534"/>
      <c r="BG163" s="534"/>
      <c r="BH163" s="534"/>
      <c r="BI163" s="534"/>
      <c r="BJ163" s="534"/>
      <c r="BK163" s="534"/>
      <c r="BL163" s="534"/>
      <c r="BM163" s="534"/>
      <c r="BN163" s="534"/>
      <c r="BO163" s="534"/>
      <c r="BP163" s="534"/>
      <c r="BQ163" s="534"/>
      <c r="BR163" s="534"/>
      <c r="BS163" s="534"/>
      <c r="BT163" s="534"/>
      <c r="BU163" s="534"/>
      <c r="BV163" s="534"/>
      <c r="BW163" s="534"/>
      <c r="BX163" s="534"/>
      <c r="BY163" s="534"/>
      <c r="BZ163" s="534"/>
      <c r="CA163" s="534"/>
      <c r="CB163" s="534"/>
      <c r="CC163" s="295"/>
      <c r="CD163" s="295"/>
      <c r="CE163" s="296"/>
    </row>
    <row r="164" spans="1:83" s="297" customFormat="1" ht="12.75" customHeight="1" x14ac:dyDescent="0.15">
      <c r="A164" s="298"/>
      <c r="B164" s="295"/>
      <c r="C164" s="295"/>
      <c r="D164" s="1034" t="s">
        <v>403</v>
      </c>
      <c r="E164" s="1034"/>
      <c r="F164" s="1034"/>
      <c r="G164" s="1034"/>
      <c r="H164" s="1034"/>
      <c r="I164" s="1035" t="s">
        <v>408</v>
      </c>
      <c r="J164" s="1035"/>
      <c r="K164" s="1035"/>
      <c r="L164" s="1035"/>
      <c r="M164" s="1035"/>
      <c r="N164" s="1035"/>
      <c r="O164" s="1035"/>
      <c r="P164" s="1035"/>
      <c r="Q164" s="1035"/>
      <c r="R164" s="1035"/>
      <c r="S164" s="1035"/>
      <c r="T164" s="1035"/>
      <c r="U164" s="1035"/>
      <c r="V164" s="1035"/>
      <c r="W164" s="1035"/>
      <c r="X164" s="1035"/>
      <c r="Y164" s="1035"/>
      <c r="Z164" s="1035"/>
      <c r="AA164" s="1035"/>
      <c r="AB164" s="1035"/>
      <c r="AC164" s="1035"/>
      <c r="AD164" s="1035"/>
      <c r="AE164" s="1035"/>
      <c r="AF164" s="1035"/>
      <c r="AG164" s="1035"/>
      <c r="AH164" s="1035" t="s">
        <v>409</v>
      </c>
      <c r="AI164" s="1035"/>
      <c r="AJ164" s="1035"/>
      <c r="AK164" s="1035"/>
      <c r="AL164" s="1035"/>
      <c r="AM164" s="1035"/>
      <c r="AN164" s="1035"/>
      <c r="AO164" s="1035"/>
      <c r="AP164" s="1035"/>
      <c r="AQ164" s="1035"/>
      <c r="AR164" s="1035"/>
      <c r="AS164" s="1035"/>
      <c r="AT164" s="1035"/>
      <c r="AU164" s="1035"/>
      <c r="AV164" s="1035"/>
      <c r="AW164" s="1035"/>
      <c r="AX164" s="1035"/>
      <c r="AY164" s="1035"/>
      <c r="AZ164" s="1035"/>
      <c r="BA164" s="1035"/>
      <c r="BB164" s="1035"/>
      <c r="BC164" s="1035"/>
      <c r="BD164" s="1035"/>
      <c r="BE164" s="1035"/>
      <c r="BF164" s="1035"/>
      <c r="BG164" s="1035"/>
      <c r="BH164" s="1035"/>
      <c r="BI164" s="1035"/>
      <c r="BJ164" s="1035"/>
      <c r="BK164" s="1035"/>
      <c r="BL164" s="1035"/>
      <c r="BM164" s="1035"/>
      <c r="BN164" s="1035"/>
      <c r="BO164" s="1035"/>
      <c r="BP164" s="1035"/>
      <c r="BQ164" s="1035"/>
      <c r="BR164" s="1035"/>
      <c r="BS164" s="1035"/>
      <c r="BT164" s="1035"/>
      <c r="BU164" s="1035"/>
      <c r="BV164" s="1035"/>
      <c r="BW164" s="1035"/>
      <c r="BX164" s="1035"/>
      <c r="BY164" s="1035"/>
      <c r="BZ164" s="1035"/>
      <c r="CA164" s="1035"/>
      <c r="CB164" s="1035"/>
      <c r="CC164" s="295"/>
      <c r="CD164" s="295"/>
      <c r="CE164" s="296"/>
    </row>
    <row r="165" spans="1:83" s="297" customFormat="1" ht="12.75" customHeight="1" x14ac:dyDescent="0.15">
      <c r="A165" s="298"/>
      <c r="B165" s="295"/>
      <c r="C165" s="295"/>
      <c r="D165" s="992" t="s">
        <v>302</v>
      </c>
      <c r="E165" s="993"/>
      <c r="F165" s="993"/>
      <c r="G165" s="993"/>
      <c r="H165" s="994"/>
      <c r="I165" s="742" t="s">
        <v>895</v>
      </c>
      <c r="J165" s="569"/>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70"/>
      <c r="AH165" s="577" t="s">
        <v>948</v>
      </c>
      <c r="AI165" s="578"/>
      <c r="AJ165" s="578"/>
      <c r="AK165" s="578"/>
      <c r="AL165" s="578"/>
      <c r="AM165" s="578"/>
      <c r="AN165" s="578"/>
      <c r="AO165" s="578"/>
      <c r="AP165" s="578"/>
      <c r="AQ165" s="578"/>
      <c r="AR165" s="578"/>
      <c r="AS165" s="578"/>
      <c r="AT165" s="578"/>
      <c r="AU165" s="578"/>
      <c r="AV165" s="578"/>
      <c r="AW165" s="578"/>
      <c r="AX165" s="578"/>
      <c r="AY165" s="578"/>
      <c r="AZ165" s="578"/>
      <c r="BA165" s="578"/>
      <c r="BB165" s="578"/>
      <c r="BC165" s="578"/>
      <c r="BD165" s="578"/>
      <c r="BE165" s="578"/>
      <c r="BF165" s="578"/>
      <c r="BG165" s="578"/>
      <c r="BH165" s="578"/>
      <c r="BI165" s="578"/>
      <c r="BJ165" s="578"/>
      <c r="BK165" s="578"/>
      <c r="BL165" s="578"/>
      <c r="BM165" s="578"/>
      <c r="BN165" s="578"/>
      <c r="BO165" s="578"/>
      <c r="BP165" s="578"/>
      <c r="BQ165" s="578"/>
      <c r="BR165" s="578"/>
      <c r="BS165" s="578"/>
      <c r="BT165" s="578"/>
      <c r="BU165" s="578"/>
      <c r="BV165" s="578"/>
      <c r="BW165" s="578"/>
      <c r="BX165" s="578"/>
      <c r="BY165" s="578"/>
      <c r="BZ165" s="578"/>
      <c r="CA165" s="578"/>
      <c r="CB165" s="579"/>
      <c r="CC165" s="295"/>
      <c r="CD165" s="295"/>
      <c r="CE165" s="296"/>
    </row>
    <row r="166" spans="1:83" s="297" customFormat="1" ht="12.75" customHeight="1" x14ac:dyDescent="0.15">
      <c r="A166" s="298"/>
      <c r="B166" s="295"/>
      <c r="C166" s="295"/>
      <c r="D166" s="997"/>
      <c r="E166" s="998"/>
      <c r="F166" s="998"/>
      <c r="G166" s="998"/>
      <c r="H166" s="999"/>
      <c r="I166" s="1000"/>
      <c r="J166" s="1001"/>
      <c r="K166" s="1001"/>
      <c r="L166" s="1001"/>
      <c r="M166" s="1001"/>
      <c r="N166" s="1001"/>
      <c r="O166" s="1001"/>
      <c r="P166" s="1001"/>
      <c r="Q166" s="1001"/>
      <c r="R166" s="1001"/>
      <c r="S166" s="1001"/>
      <c r="T166" s="1001"/>
      <c r="U166" s="1001"/>
      <c r="V166" s="1001"/>
      <c r="W166" s="1001"/>
      <c r="X166" s="1001"/>
      <c r="Y166" s="1001"/>
      <c r="Z166" s="1001"/>
      <c r="AA166" s="1001"/>
      <c r="AB166" s="1001"/>
      <c r="AC166" s="1001"/>
      <c r="AD166" s="1001"/>
      <c r="AE166" s="1001"/>
      <c r="AF166" s="1001"/>
      <c r="AG166" s="1002"/>
      <c r="AH166" s="849"/>
      <c r="AI166" s="850"/>
      <c r="AJ166" s="850"/>
      <c r="AK166" s="850"/>
      <c r="AL166" s="850"/>
      <c r="AM166" s="850"/>
      <c r="AN166" s="850"/>
      <c r="AO166" s="850"/>
      <c r="AP166" s="850"/>
      <c r="AQ166" s="850"/>
      <c r="AR166" s="850"/>
      <c r="AS166" s="850"/>
      <c r="AT166" s="850"/>
      <c r="AU166" s="850"/>
      <c r="AV166" s="850"/>
      <c r="AW166" s="850"/>
      <c r="AX166" s="850"/>
      <c r="AY166" s="850"/>
      <c r="AZ166" s="850"/>
      <c r="BA166" s="850"/>
      <c r="BB166" s="850"/>
      <c r="BC166" s="850"/>
      <c r="BD166" s="850"/>
      <c r="BE166" s="850"/>
      <c r="BF166" s="850"/>
      <c r="BG166" s="850"/>
      <c r="BH166" s="850"/>
      <c r="BI166" s="850"/>
      <c r="BJ166" s="850"/>
      <c r="BK166" s="850"/>
      <c r="BL166" s="850"/>
      <c r="BM166" s="850"/>
      <c r="BN166" s="850"/>
      <c r="BO166" s="850"/>
      <c r="BP166" s="850"/>
      <c r="BQ166" s="850"/>
      <c r="BR166" s="850"/>
      <c r="BS166" s="850"/>
      <c r="BT166" s="850"/>
      <c r="BU166" s="850"/>
      <c r="BV166" s="850"/>
      <c r="BW166" s="850"/>
      <c r="BX166" s="850"/>
      <c r="BY166" s="850"/>
      <c r="BZ166" s="850"/>
      <c r="CA166" s="850"/>
      <c r="CB166" s="851"/>
      <c r="CC166" s="295"/>
      <c r="CD166" s="295"/>
      <c r="CE166" s="296"/>
    </row>
    <row r="167" spans="1:83" s="297" customFormat="1" ht="12.75" customHeight="1" x14ac:dyDescent="0.15">
      <c r="A167" s="298"/>
      <c r="B167" s="295"/>
      <c r="C167" s="295"/>
      <c r="D167" s="997"/>
      <c r="E167" s="998"/>
      <c r="F167" s="998"/>
      <c r="G167" s="998"/>
      <c r="H167" s="999"/>
      <c r="I167" s="1000"/>
      <c r="J167" s="1001"/>
      <c r="K167" s="1001"/>
      <c r="L167" s="1001"/>
      <c r="M167" s="1001"/>
      <c r="N167" s="1001"/>
      <c r="O167" s="1001"/>
      <c r="P167" s="1001"/>
      <c r="Q167" s="1001"/>
      <c r="R167" s="1001"/>
      <c r="S167" s="1001"/>
      <c r="T167" s="1001"/>
      <c r="U167" s="1001"/>
      <c r="V167" s="1001"/>
      <c r="W167" s="1001"/>
      <c r="X167" s="1001"/>
      <c r="Y167" s="1001"/>
      <c r="Z167" s="1001"/>
      <c r="AA167" s="1001"/>
      <c r="AB167" s="1001"/>
      <c r="AC167" s="1001"/>
      <c r="AD167" s="1001"/>
      <c r="AE167" s="1001"/>
      <c r="AF167" s="1001"/>
      <c r="AG167" s="1002"/>
      <c r="AH167" s="849"/>
      <c r="AI167" s="850"/>
      <c r="AJ167" s="850"/>
      <c r="AK167" s="850"/>
      <c r="AL167" s="850"/>
      <c r="AM167" s="850"/>
      <c r="AN167" s="850"/>
      <c r="AO167" s="850"/>
      <c r="AP167" s="850"/>
      <c r="AQ167" s="850"/>
      <c r="AR167" s="850"/>
      <c r="AS167" s="850"/>
      <c r="AT167" s="850"/>
      <c r="AU167" s="850"/>
      <c r="AV167" s="850"/>
      <c r="AW167" s="850"/>
      <c r="AX167" s="850"/>
      <c r="AY167" s="850"/>
      <c r="AZ167" s="850"/>
      <c r="BA167" s="850"/>
      <c r="BB167" s="850"/>
      <c r="BC167" s="850"/>
      <c r="BD167" s="850"/>
      <c r="BE167" s="850"/>
      <c r="BF167" s="850"/>
      <c r="BG167" s="850"/>
      <c r="BH167" s="850"/>
      <c r="BI167" s="850"/>
      <c r="BJ167" s="850"/>
      <c r="BK167" s="850"/>
      <c r="BL167" s="850"/>
      <c r="BM167" s="850"/>
      <c r="BN167" s="850"/>
      <c r="BO167" s="850"/>
      <c r="BP167" s="850"/>
      <c r="BQ167" s="850"/>
      <c r="BR167" s="850"/>
      <c r="BS167" s="850"/>
      <c r="BT167" s="850"/>
      <c r="BU167" s="850"/>
      <c r="BV167" s="850"/>
      <c r="BW167" s="850"/>
      <c r="BX167" s="850"/>
      <c r="BY167" s="850"/>
      <c r="BZ167" s="850"/>
      <c r="CA167" s="850"/>
      <c r="CB167" s="851"/>
      <c r="CC167" s="295"/>
      <c r="CD167" s="295"/>
      <c r="CE167" s="296"/>
    </row>
    <row r="168" spans="1:83" s="297" customFormat="1" ht="12.75" customHeight="1" x14ac:dyDescent="0.15">
      <c r="A168" s="298"/>
      <c r="B168" s="295"/>
      <c r="C168" s="295"/>
      <c r="D168" s="997"/>
      <c r="E168" s="998"/>
      <c r="F168" s="998"/>
      <c r="G168" s="998"/>
      <c r="H168" s="999"/>
      <c r="I168" s="1000"/>
      <c r="J168" s="1001"/>
      <c r="K168" s="1001"/>
      <c r="L168" s="1001"/>
      <c r="M168" s="1001"/>
      <c r="N168" s="1001"/>
      <c r="O168" s="1001"/>
      <c r="P168" s="1001"/>
      <c r="Q168" s="1001"/>
      <c r="R168" s="1001"/>
      <c r="S168" s="1001"/>
      <c r="T168" s="1001"/>
      <c r="U168" s="1001"/>
      <c r="V168" s="1001"/>
      <c r="W168" s="1001"/>
      <c r="X168" s="1001"/>
      <c r="Y168" s="1001"/>
      <c r="Z168" s="1001"/>
      <c r="AA168" s="1001"/>
      <c r="AB168" s="1001"/>
      <c r="AC168" s="1001"/>
      <c r="AD168" s="1001"/>
      <c r="AE168" s="1001"/>
      <c r="AF168" s="1001"/>
      <c r="AG168" s="1002"/>
      <c r="AH168" s="849"/>
      <c r="AI168" s="850"/>
      <c r="AJ168" s="850"/>
      <c r="AK168" s="850"/>
      <c r="AL168" s="850"/>
      <c r="AM168" s="850"/>
      <c r="AN168" s="850"/>
      <c r="AO168" s="850"/>
      <c r="AP168" s="850"/>
      <c r="AQ168" s="850"/>
      <c r="AR168" s="850"/>
      <c r="AS168" s="850"/>
      <c r="AT168" s="850"/>
      <c r="AU168" s="850"/>
      <c r="AV168" s="850"/>
      <c r="AW168" s="850"/>
      <c r="AX168" s="850"/>
      <c r="AY168" s="850"/>
      <c r="AZ168" s="850"/>
      <c r="BA168" s="850"/>
      <c r="BB168" s="850"/>
      <c r="BC168" s="850"/>
      <c r="BD168" s="850"/>
      <c r="BE168" s="850"/>
      <c r="BF168" s="850"/>
      <c r="BG168" s="850"/>
      <c r="BH168" s="850"/>
      <c r="BI168" s="850"/>
      <c r="BJ168" s="850"/>
      <c r="BK168" s="850"/>
      <c r="BL168" s="850"/>
      <c r="BM168" s="850"/>
      <c r="BN168" s="850"/>
      <c r="BO168" s="850"/>
      <c r="BP168" s="850"/>
      <c r="BQ168" s="850"/>
      <c r="BR168" s="850"/>
      <c r="BS168" s="850"/>
      <c r="BT168" s="850"/>
      <c r="BU168" s="850"/>
      <c r="BV168" s="850"/>
      <c r="BW168" s="850"/>
      <c r="BX168" s="850"/>
      <c r="BY168" s="850"/>
      <c r="BZ168" s="850"/>
      <c r="CA168" s="850"/>
      <c r="CB168" s="851"/>
      <c r="CC168" s="295"/>
      <c r="CD168" s="295"/>
      <c r="CE168" s="296"/>
    </row>
    <row r="169" spans="1:83" s="297" customFormat="1" ht="12.75" customHeight="1" x14ac:dyDescent="0.15">
      <c r="A169" s="298"/>
      <c r="B169" s="295"/>
      <c r="C169" s="295"/>
      <c r="D169" s="997"/>
      <c r="E169" s="998"/>
      <c r="F169" s="998"/>
      <c r="G169" s="998"/>
      <c r="H169" s="999"/>
      <c r="I169" s="1000"/>
      <c r="J169" s="1001"/>
      <c r="K169" s="1001"/>
      <c r="L169" s="1001"/>
      <c r="M169" s="1001"/>
      <c r="N169" s="1001"/>
      <c r="O169" s="1001"/>
      <c r="P169" s="1001"/>
      <c r="Q169" s="1001"/>
      <c r="R169" s="1001"/>
      <c r="S169" s="1001"/>
      <c r="T169" s="1001"/>
      <c r="U169" s="1001"/>
      <c r="V169" s="1001"/>
      <c r="W169" s="1001"/>
      <c r="X169" s="1001"/>
      <c r="Y169" s="1001"/>
      <c r="Z169" s="1001"/>
      <c r="AA169" s="1001"/>
      <c r="AB169" s="1001"/>
      <c r="AC169" s="1001"/>
      <c r="AD169" s="1001"/>
      <c r="AE169" s="1001"/>
      <c r="AF169" s="1001"/>
      <c r="AG169" s="1002"/>
      <c r="AH169" s="849"/>
      <c r="AI169" s="850"/>
      <c r="AJ169" s="850"/>
      <c r="AK169" s="850"/>
      <c r="AL169" s="850"/>
      <c r="AM169" s="850"/>
      <c r="AN169" s="850"/>
      <c r="AO169" s="850"/>
      <c r="AP169" s="850"/>
      <c r="AQ169" s="850"/>
      <c r="AR169" s="850"/>
      <c r="AS169" s="850"/>
      <c r="AT169" s="850"/>
      <c r="AU169" s="850"/>
      <c r="AV169" s="850"/>
      <c r="AW169" s="850"/>
      <c r="AX169" s="850"/>
      <c r="AY169" s="850"/>
      <c r="AZ169" s="850"/>
      <c r="BA169" s="850"/>
      <c r="BB169" s="850"/>
      <c r="BC169" s="850"/>
      <c r="BD169" s="850"/>
      <c r="BE169" s="850"/>
      <c r="BF169" s="850"/>
      <c r="BG169" s="850"/>
      <c r="BH169" s="850"/>
      <c r="BI169" s="850"/>
      <c r="BJ169" s="850"/>
      <c r="BK169" s="850"/>
      <c r="BL169" s="850"/>
      <c r="BM169" s="850"/>
      <c r="BN169" s="850"/>
      <c r="BO169" s="850"/>
      <c r="BP169" s="850"/>
      <c r="BQ169" s="850"/>
      <c r="BR169" s="850"/>
      <c r="BS169" s="850"/>
      <c r="BT169" s="850"/>
      <c r="BU169" s="850"/>
      <c r="BV169" s="850"/>
      <c r="BW169" s="850"/>
      <c r="BX169" s="850"/>
      <c r="BY169" s="850"/>
      <c r="BZ169" s="850"/>
      <c r="CA169" s="850"/>
      <c r="CB169" s="851"/>
      <c r="CC169" s="295"/>
      <c r="CD169" s="295"/>
      <c r="CE169" s="296"/>
    </row>
    <row r="170" spans="1:83" s="297" customFormat="1" ht="12.75" customHeight="1" x14ac:dyDescent="0.15">
      <c r="A170" s="298"/>
      <c r="B170" s="295"/>
      <c r="C170" s="295"/>
      <c r="D170" s="997"/>
      <c r="E170" s="998"/>
      <c r="F170" s="998"/>
      <c r="G170" s="998"/>
      <c r="H170" s="999"/>
      <c r="I170" s="1000"/>
      <c r="J170" s="1001"/>
      <c r="K170" s="1001"/>
      <c r="L170" s="1001"/>
      <c r="M170" s="1001"/>
      <c r="N170" s="1001"/>
      <c r="O170" s="1001"/>
      <c r="P170" s="1001"/>
      <c r="Q170" s="1001"/>
      <c r="R170" s="1001"/>
      <c r="S170" s="1001"/>
      <c r="T170" s="1001"/>
      <c r="U170" s="1001"/>
      <c r="V170" s="1001"/>
      <c r="W170" s="1001"/>
      <c r="X170" s="1001"/>
      <c r="Y170" s="1001"/>
      <c r="Z170" s="1001"/>
      <c r="AA170" s="1001"/>
      <c r="AB170" s="1001"/>
      <c r="AC170" s="1001"/>
      <c r="AD170" s="1001"/>
      <c r="AE170" s="1001"/>
      <c r="AF170" s="1001"/>
      <c r="AG170" s="1002"/>
      <c r="AH170" s="849"/>
      <c r="AI170" s="850"/>
      <c r="AJ170" s="850"/>
      <c r="AK170" s="850"/>
      <c r="AL170" s="850"/>
      <c r="AM170" s="850"/>
      <c r="AN170" s="850"/>
      <c r="AO170" s="850"/>
      <c r="AP170" s="850"/>
      <c r="AQ170" s="850"/>
      <c r="AR170" s="850"/>
      <c r="AS170" s="850"/>
      <c r="AT170" s="850"/>
      <c r="AU170" s="850"/>
      <c r="AV170" s="850"/>
      <c r="AW170" s="850"/>
      <c r="AX170" s="850"/>
      <c r="AY170" s="850"/>
      <c r="AZ170" s="850"/>
      <c r="BA170" s="850"/>
      <c r="BB170" s="850"/>
      <c r="BC170" s="850"/>
      <c r="BD170" s="850"/>
      <c r="BE170" s="850"/>
      <c r="BF170" s="850"/>
      <c r="BG170" s="850"/>
      <c r="BH170" s="850"/>
      <c r="BI170" s="850"/>
      <c r="BJ170" s="850"/>
      <c r="BK170" s="850"/>
      <c r="BL170" s="850"/>
      <c r="BM170" s="850"/>
      <c r="BN170" s="850"/>
      <c r="BO170" s="850"/>
      <c r="BP170" s="850"/>
      <c r="BQ170" s="850"/>
      <c r="BR170" s="850"/>
      <c r="BS170" s="850"/>
      <c r="BT170" s="850"/>
      <c r="BU170" s="850"/>
      <c r="BV170" s="850"/>
      <c r="BW170" s="850"/>
      <c r="BX170" s="850"/>
      <c r="BY170" s="850"/>
      <c r="BZ170" s="850"/>
      <c r="CA170" s="850"/>
      <c r="CB170" s="851"/>
      <c r="CC170" s="295"/>
      <c r="CD170" s="295"/>
      <c r="CE170" s="296"/>
    </row>
    <row r="171" spans="1:83" s="297" customFormat="1" ht="12.75" customHeight="1" x14ac:dyDescent="0.15">
      <c r="A171" s="298"/>
      <c r="B171" s="295"/>
      <c r="C171" s="295"/>
      <c r="D171" s="997"/>
      <c r="E171" s="998"/>
      <c r="F171" s="998"/>
      <c r="G171" s="998"/>
      <c r="H171" s="999"/>
      <c r="I171" s="1000"/>
      <c r="J171" s="1001"/>
      <c r="K171" s="1001"/>
      <c r="L171" s="1001"/>
      <c r="M171" s="1001"/>
      <c r="N171" s="1001"/>
      <c r="O171" s="1001"/>
      <c r="P171" s="1001"/>
      <c r="Q171" s="1001"/>
      <c r="R171" s="1001"/>
      <c r="S171" s="1001"/>
      <c r="T171" s="1001"/>
      <c r="U171" s="1001"/>
      <c r="V171" s="1001"/>
      <c r="W171" s="1001"/>
      <c r="X171" s="1001"/>
      <c r="Y171" s="1001"/>
      <c r="Z171" s="1001"/>
      <c r="AA171" s="1001"/>
      <c r="AB171" s="1001"/>
      <c r="AC171" s="1001"/>
      <c r="AD171" s="1001"/>
      <c r="AE171" s="1001"/>
      <c r="AF171" s="1001"/>
      <c r="AG171" s="1002"/>
      <c r="AH171" s="849"/>
      <c r="AI171" s="850"/>
      <c r="AJ171" s="850"/>
      <c r="AK171" s="850"/>
      <c r="AL171" s="850"/>
      <c r="AM171" s="850"/>
      <c r="AN171" s="850"/>
      <c r="AO171" s="850"/>
      <c r="AP171" s="850"/>
      <c r="AQ171" s="850"/>
      <c r="AR171" s="850"/>
      <c r="AS171" s="850"/>
      <c r="AT171" s="850"/>
      <c r="AU171" s="850"/>
      <c r="AV171" s="850"/>
      <c r="AW171" s="850"/>
      <c r="AX171" s="850"/>
      <c r="AY171" s="850"/>
      <c r="AZ171" s="850"/>
      <c r="BA171" s="850"/>
      <c r="BB171" s="850"/>
      <c r="BC171" s="850"/>
      <c r="BD171" s="850"/>
      <c r="BE171" s="850"/>
      <c r="BF171" s="850"/>
      <c r="BG171" s="850"/>
      <c r="BH171" s="850"/>
      <c r="BI171" s="850"/>
      <c r="BJ171" s="850"/>
      <c r="BK171" s="850"/>
      <c r="BL171" s="850"/>
      <c r="BM171" s="850"/>
      <c r="BN171" s="850"/>
      <c r="BO171" s="850"/>
      <c r="BP171" s="850"/>
      <c r="BQ171" s="850"/>
      <c r="BR171" s="850"/>
      <c r="BS171" s="850"/>
      <c r="BT171" s="850"/>
      <c r="BU171" s="850"/>
      <c r="BV171" s="850"/>
      <c r="BW171" s="850"/>
      <c r="BX171" s="850"/>
      <c r="BY171" s="850"/>
      <c r="BZ171" s="850"/>
      <c r="CA171" s="850"/>
      <c r="CB171" s="851"/>
      <c r="CC171" s="295"/>
      <c r="CD171" s="295"/>
      <c r="CE171" s="296"/>
    </row>
    <row r="172" spans="1:83" s="297" customFormat="1" ht="25.5" customHeight="1" x14ac:dyDescent="0.15">
      <c r="A172" s="298"/>
      <c r="B172" s="295"/>
      <c r="C172" s="295"/>
      <c r="D172" s="997"/>
      <c r="E172" s="998"/>
      <c r="F172" s="998"/>
      <c r="G172" s="998"/>
      <c r="H172" s="999"/>
      <c r="I172" s="1000"/>
      <c r="J172" s="1001"/>
      <c r="K172" s="1001"/>
      <c r="L172" s="1001"/>
      <c r="M172" s="1001"/>
      <c r="N172" s="1001"/>
      <c r="O172" s="1001"/>
      <c r="P172" s="1001"/>
      <c r="Q172" s="1001"/>
      <c r="R172" s="1001"/>
      <c r="S172" s="1001"/>
      <c r="T172" s="1001"/>
      <c r="U172" s="1001"/>
      <c r="V172" s="1001"/>
      <c r="W172" s="1001"/>
      <c r="X172" s="1001"/>
      <c r="Y172" s="1001"/>
      <c r="Z172" s="1001"/>
      <c r="AA172" s="1001"/>
      <c r="AB172" s="1001"/>
      <c r="AC172" s="1001"/>
      <c r="AD172" s="1001"/>
      <c r="AE172" s="1001"/>
      <c r="AF172" s="1001"/>
      <c r="AG172" s="1002"/>
      <c r="AH172" s="849"/>
      <c r="AI172" s="850"/>
      <c r="AJ172" s="850"/>
      <c r="AK172" s="850"/>
      <c r="AL172" s="850"/>
      <c r="AM172" s="850"/>
      <c r="AN172" s="850"/>
      <c r="AO172" s="850"/>
      <c r="AP172" s="850"/>
      <c r="AQ172" s="850"/>
      <c r="AR172" s="850"/>
      <c r="AS172" s="850"/>
      <c r="AT172" s="850"/>
      <c r="AU172" s="850"/>
      <c r="AV172" s="850"/>
      <c r="AW172" s="850"/>
      <c r="AX172" s="850"/>
      <c r="AY172" s="850"/>
      <c r="AZ172" s="850"/>
      <c r="BA172" s="850"/>
      <c r="BB172" s="850"/>
      <c r="BC172" s="850"/>
      <c r="BD172" s="850"/>
      <c r="BE172" s="850"/>
      <c r="BF172" s="850"/>
      <c r="BG172" s="850"/>
      <c r="BH172" s="850"/>
      <c r="BI172" s="850"/>
      <c r="BJ172" s="850"/>
      <c r="BK172" s="850"/>
      <c r="BL172" s="850"/>
      <c r="BM172" s="850"/>
      <c r="BN172" s="850"/>
      <c r="BO172" s="850"/>
      <c r="BP172" s="850"/>
      <c r="BQ172" s="850"/>
      <c r="BR172" s="850"/>
      <c r="BS172" s="850"/>
      <c r="BT172" s="850"/>
      <c r="BU172" s="850"/>
      <c r="BV172" s="850"/>
      <c r="BW172" s="850"/>
      <c r="BX172" s="850"/>
      <c r="BY172" s="850"/>
      <c r="BZ172" s="850"/>
      <c r="CA172" s="850"/>
      <c r="CB172" s="851"/>
      <c r="CC172" s="295"/>
      <c r="CD172" s="295"/>
      <c r="CE172" s="296"/>
    </row>
    <row r="173" spans="1:83" s="297" customFormat="1" x14ac:dyDescent="0.15">
      <c r="A173" s="298"/>
      <c r="B173" s="295"/>
      <c r="C173" s="295"/>
      <c r="D173" s="983"/>
      <c r="E173" s="984"/>
      <c r="F173" s="984"/>
      <c r="G173" s="984"/>
      <c r="H173" s="985"/>
      <c r="I173" s="1003"/>
      <c r="J173" s="1004"/>
      <c r="K173" s="1004"/>
      <c r="L173" s="1004"/>
      <c r="M173" s="1004"/>
      <c r="N173" s="1004"/>
      <c r="O173" s="1004"/>
      <c r="P173" s="1004"/>
      <c r="Q173" s="1004"/>
      <c r="R173" s="1004"/>
      <c r="S173" s="1004"/>
      <c r="T173" s="1004"/>
      <c r="U173" s="1004"/>
      <c r="V173" s="1004"/>
      <c r="W173" s="1004"/>
      <c r="X173" s="1004"/>
      <c r="Y173" s="1004"/>
      <c r="Z173" s="1004"/>
      <c r="AA173" s="1004"/>
      <c r="AB173" s="1004"/>
      <c r="AC173" s="1004"/>
      <c r="AD173" s="1004"/>
      <c r="AE173" s="1004"/>
      <c r="AF173" s="1004"/>
      <c r="AG173" s="1005"/>
      <c r="AH173" s="547"/>
      <c r="AI173" s="548"/>
      <c r="AJ173" s="548"/>
      <c r="AK173" s="548"/>
      <c r="AL173" s="548"/>
      <c r="AM173" s="548"/>
      <c r="AN173" s="548"/>
      <c r="AO173" s="548"/>
      <c r="AP173" s="548"/>
      <c r="AQ173" s="548"/>
      <c r="AR173" s="548"/>
      <c r="AS173" s="548"/>
      <c r="AT173" s="548"/>
      <c r="AU173" s="548"/>
      <c r="AV173" s="548"/>
      <c r="AW173" s="548"/>
      <c r="AX173" s="548"/>
      <c r="AY173" s="548"/>
      <c r="AZ173" s="548"/>
      <c r="BA173" s="548"/>
      <c r="BB173" s="548"/>
      <c r="BC173" s="548"/>
      <c r="BD173" s="548"/>
      <c r="BE173" s="548"/>
      <c r="BF173" s="548"/>
      <c r="BG173" s="548"/>
      <c r="BH173" s="548"/>
      <c r="BI173" s="548"/>
      <c r="BJ173" s="548"/>
      <c r="BK173" s="548"/>
      <c r="BL173" s="548"/>
      <c r="BM173" s="548"/>
      <c r="BN173" s="548"/>
      <c r="BO173" s="548"/>
      <c r="BP173" s="548"/>
      <c r="BQ173" s="548"/>
      <c r="BR173" s="548"/>
      <c r="BS173" s="548"/>
      <c r="BT173" s="548"/>
      <c r="BU173" s="548"/>
      <c r="BV173" s="548"/>
      <c r="BW173" s="548"/>
      <c r="BX173" s="548"/>
      <c r="BY173" s="548"/>
      <c r="BZ173" s="548"/>
      <c r="CA173" s="548"/>
      <c r="CB173" s="549"/>
      <c r="CC173" s="295"/>
      <c r="CD173" s="295"/>
      <c r="CE173" s="296"/>
    </row>
    <row r="174" spans="1:83" s="297" customFormat="1" ht="12.75" customHeight="1" x14ac:dyDescent="0.15">
      <c r="A174" s="298"/>
      <c r="B174" s="295"/>
      <c r="C174" s="295"/>
      <c r="D174" s="992" t="s">
        <v>303</v>
      </c>
      <c r="E174" s="993"/>
      <c r="F174" s="993"/>
      <c r="G174" s="993"/>
      <c r="H174" s="994"/>
      <c r="I174" s="742" t="s">
        <v>896</v>
      </c>
      <c r="J174" s="569"/>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70"/>
      <c r="AH174" s="599" t="s">
        <v>433</v>
      </c>
      <c r="AI174" s="995"/>
      <c r="AJ174" s="995"/>
      <c r="AK174" s="995"/>
      <c r="AL174" s="995"/>
      <c r="AM174" s="995"/>
      <c r="AN174" s="995"/>
      <c r="AO174" s="995"/>
      <c r="AP174" s="995"/>
      <c r="AQ174" s="995"/>
      <c r="AR174" s="995"/>
      <c r="AS174" s="995"/>
      <c r="AT174" s="995"/>
      <c r="AU174" s="995"/>
      <c r="AV174" s="995"/>
      <c r="AW174" s="995"/>
      <c r="AX174" s="995"/>
      <c r="AY174" s="995"/>
      <c r="AZ174" s="995"/>
      <c r="BA174" s="995"/>
      <c r="BB174" s="995"/>
      <c r="BC174" s="995"/>
      <c r="BD174" s="995"/>
      <c r="BE174" s="995"/>
      <c r="BF174" s="995"/>
      <c r="BG174" s="995"/>
      <c r="BH174" s="995"/>
      <c r="BI174" s="995"/>
      <c r="BJ174" s="995"/>
      <c r="BK174" s="995"/>
      <c r="BL174" s="995"/>
      <c r="BM174" s="995"/>
      <c r="BN174" s="995"/>
      <c r="BO174" s="995"/>
      <c r="BP174" s="995"/>
      <c r="BQ174" s="995"/>
      <c r="BR174" s="995"/>
      <c r="BS174" s="995"/>
      <c r="BT174" s="995"/>
      <c r="BU174" s="995"/>
      <c r="BV174" s="995"/>
      <c r="BW174" s="995"/>
      <c r="BX174" s="995"/>
      <c r="BY174" s="995"/>
      <c r="BZ174" s="995"/>
      <c r="CA174" s="995"/>
      <c r="CB174" s="996"/>
      <c r="CC174" s="295"/>
      <c r="CD174" s="295"/>
      <c r="CE174" s="296"/>
    </row>
    <row r="175" spans="1:83" s="297" customFormat="1" ht="12.75" customHeight="1" x14ac:dyDescent="0.15">
      <c r="A175" s="298"/>
      <c r="B175" s="295"/>
      <c r="C175" s="295"/>
      <c r="D175" s="992" t="s">
        <v>304</v>
      </c>
      <c r="E175" s="993"/>
      <c r="F175" s="993"/>
      <c r="G175" s="993"/>
      <c r="H175" s="994"/>
      <c r="I175" s="568" t="s">
        <v>305</v>
      </c>
      <c r="J175" s="569"/>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70"/>
      <c r="AH175" s="577" t="s">
        <v>413</v>
      </c>
      <c r="AI175" s="578"/>
      <c r="AJ175" s="578"/>
      <c r="AK175" s="578"/>
      <c r="AL175" s="578"/>
      <c r="AM175" s="578"/>
      <c r="AN175" s="578"/>
      <c r="AO175" s="578"/>
      <c r="AP175" s="578"/>
      <c r="AQ175" s="578"/>
      <c r="AR175" s="578"/>
      <c r="AS175" s="578"/>
      <c r="AT175" s="578"/>
      <c r="AU175" s="578"/>
      <c r="AV175" s="578"/>
      <c r="AW175" s="578"/>
      <c r="AX175" s="578"/>
      <c r="AY175" s="578"/>
      <c r="AZ175" s="578"/>
      <c r="BA175" s="578"/>
      <c r="BB175" s="578"/>
      <c r="BC175" s="578"/>
      <c r="BD175" s="578"/>
      <c r="BE175" s="578"/>
      <c r="BF175" s="578"/>
      <c r="BG175" s="578"/>
      <c r="BH175" s="578"/>
      <c r="BI175" s="578"/>
      <c r="BJ175" s="578"/>
      <c r="BK175" s="578"/>
      <c r="BL175" s="578"/>
      <c r="BM175" s="578"/>
      <c r="BN175" s="578"/>
      <c r="BO175" s="578"/>
      <c r="BP175" s="578"/>
      <c r="BQ175" s="578"/>
      <c r="BR175" s="578"/>
      <c r="BS175" s="578"/>
      <c r="BT175" s="578"/>
      <c r="BU175" s="578"/>
      <c r="BV175" s="578"/>
      <c r="BW175" s="578"/>
      <c r="BX175" s="578"/>
      <c r="BY175" s="578"/>
      <c r="BZ175" s="578"/>
      <c r="CA175" s="578"/>
      <c r="CB175" s="579"/>
      <c r="CC175" s="295"/>
      <c r="CD175" s="295"/>
      <c r="CE175" s="296"/>
    </row>
    <row r="176" spans="1:83" s="297" customFormat="1" ht="12.75" customHeight="1" x14ac:dyDescent="0.15">
      <c r="A176" s="298"/>
      <c r="B176" s="295"/>
      <c r="C176" s="295"/>
      <c r="D176" s="997"/>
      <c r="E176" s="998"/>
      <c r="F176" s="998"/>
      <c r="G176" s="998"/>
      <c r="H176" s="999"/>
      <c r="I176" s="1000"/>
      <c r="J176" s="1001"/>
      <c r="K176" s="1001"/>
      <c r="L176" s="1001"/>
      <c r="M176" s="1001"/>
      <c r="N176" s="1001"/>
      <c r="O176" s="1001"/>
      <c r="P176" s="1001"/>
      <c r="Q176" s="1001"/>
      <c r="R176" s="1001"/>
      <c r="S176" s="1001"/>
      <c r="T176" s="1001"/>
      <c r="U176" s="1001"/>
      <c r="V176" s="1001"/>
      <c r="W176" s="1001"/>
      <c r="X176" s="1001"/>
      <c r="Y176" s="1001"/>
      <c r="Z176" s="1001"/>
      <c r="AA176" s="1001"/>
      <c r="AB176" s="1001"/>
      <c r="AC176" s="1001"/>
      <c r="AD176" s="1001"/>
      <c r="AE176" s="1001"/>
      <c r="AF176" s="1001"/>
      <c r="AG176" s="1002"/>
      <c r="AH176" s="1006"/>
      <c r="AI176" s="1007"/>
      <c r="AJ176" s="1007"/>
      <c r="AK176" s="1007"/>
      <c r="AL176" s="1007"/>
      <c r="AM176" s="1007"/>
      <c r="AN176" s="1007"/>
      <c r="AO176" s="1007"/>
      <c r="AP176" s="1007"/>
      <c r="AQ176" s="1007"/>
      <c r="AR176" s="1007"/>
      <c r="AS176" s="1007"/>
      <c r="AT176" s="1007"/>
      <c r="AU176" s="1007"/>
      <c r="AV176" s="1007"/>
      <c r="AW176" s="1007"/>
      <c r="AX176" s="1007"/>
      <c r="AY176" s="1007"/>
      <c r="AZ176" s="1007"/>
      <c r="BA176" s="1007"/>
      <c r="BB176" s="1007"/>
      <c r="BC176" s="1007"/>
      <c r="BD176" s="1007"/>
      <c r="BE176" s="1007"/>
      <c r="BF176" s="1007"/>
      <c r="BG176" s="1007"/>
      <c r="BH176" s="1007"/>
      <c r="BI176" s="1007"/>
      <c r="BJ176" s="1007"/>
      <c r="BK176" s="1007"/>
      <c r="BL176" s="1007"/>
      <c r="BM176" s="1007"/>
      <c r="BN176" s="1007"/>
      <c r="BO176" s="1007"/>
      <c r="BP176" s="1007"/>
      <c r="BQ176" s="1007"/>
      <c r="BR176" s="1007"/>
      <c r="BS176" s="1007"/>
      <c r="BT176" s="1007"/>
      <c r="BU176" s="1007"/>
      <c r="BV176" s="1007"/>
      <c r="BW176" s="1007"/>
      <c r="BX176" s="1007"/>
      <c r="BY176" s="1007"/>
      <c r="BZ176" s="1007"/>
      <c r="CA176" s="1007"/>
      <c r="CB176" s="1008"/>
      <c r="CC176" s="295"/>
      <c r="CD176" s="295"/>
      <c r="CE176" s="296"/>
    </row>
    <row r="177" spans="1:83" s="297" customFormat="1" x14ac:dyDescent="0.15">
      <c r="A177" s="298"/>
      <c r="B177" s="295"/>
      <c r="C177" s="295"/>
      <c r="D177" s="983"/>
      <c r="E177" s="984"/>
      <c r="F177" s="984"/>
      <c r="G177" s="984"/>
      <c r="H177" s="985"/>
      <c r="I177" s="1003"/>
      <c r="J177" s="1004"/>
      <c r="K177" s="1004"/>
      <c r="L177" s="1004"/>
      <c r="M177" s="1004"/>
      <c r="N177" s="1004"/>
      <c r="O177" s="1004"/>
      <c r="P177" s="1004"/>
      <c r="Q177" s="1004"/>
      <c r="R177" s="1004"/>
      <c r="S177" s="1004"/>
      <c r="T177" s="1004"/>
      <c r="U177" s="1004"/>
      <c r="V177" s="1004"/>
      <c r="W177" s="1004"/>
      <c r="X177" s="1004"/>
      <c r="Y177" s="1004"/>
      <c r="Z177" s="1004"/>
      <c r="AA177" s="1004"/>
      <c r="AB177" s="1004"/>
      <c r="AC177" s="1004"/>
      <c r="AD177" s="1004"/>
      <c r="AE177" s="1004"/>
      <c r="AF177" s="1004"/>
      <c r="AG177" s="1005"/>
      <c r="AH177" s="794"/>
      <c r="AI177" s="795"/>
      <c r="AJ177" s="795"/>
      <c r="AK177" s="795"/>
      <c r="AL177" s="795"/>
      <c r="AM177" s="795"/>
      <c r="AN177" s="795"/>
      <c r="AO177" s="795"/>
      <c r="AP177" s="795"/>
      <c r="AQ177" s="795"/>
      <c r="AR177" s="795"/>
      <c r="AS177" s="795"/>
      <c r="AT177" s="795"/>
      <c r="AU177" s="795"/>
      <c r="AV177" s="795"/>
      <c r="AW177" s="795"/>
      <c r="AX177" s="795"/>
      <c r="AY177" s="795"/>
      <c r="AZ177" s="795"/>
      <c r="BA177" s="795"/>
      <c r="BB177" s="795"/>
      <c r="BC177" s="795"/>
      <c r="BD177" s="795"/>
      <c r="BE177" s="795"/>
      <c r="BF177" s="795"/>
      <c r="BG177" s="795"/>
      <c r="BH177" s="795"/>
      <c r="BI177" s="795"/>
      <c r="BJ177" s="795"/>
      <c r="BK177" s="795"/>
      <c r="BL177" s="795"/>
      <c r="BM177" s="795"/>
      <c r="BN177" s="795"/>
      <c r="BO177" s="795"/>
      <c r="BP177" s="795"/>
      <c r="BQ177" s="795"/>
      <c r="BR177" s="795"/>
      <c r="BS177" s="795"/>
      <c r="BT177" s="795"/>
      <c r="BU177" s="795"/>
      <c r="BV177" s="795"/>
      <c r="BW177" s="795"/>
      <c r="BX177" s="795"/>
      <c r="BY177" s="795"/>
      <c r="BZ177" s="795"/>
      <c r="CA177" s="795"/>
      <c r="CB177" s="796"/>
      <c r="CC177" s="295"/>
      <c r="CD177" s="295"/>
      <c r="CE177" s="296"/>
    </row>
    <row r="178" spans="1:83" s="297" customFormat="1" ht="13.5" x14ac:dyDescent="0.15">
      <c r="A178" s="298"/>
      <c r="B178" s="295"/>
      <c r="C178" s="295"/>
      <c r="D178" s="977" t="s">
        <v>306</v>
      </c>
      <c r="E178" s="978"/>
      <c r="F178" s="978"/>
      <c r="G178" s="978"/>
      <c r="H178" s="979"/>
      <c r="I178" s="111" t="s">
        <v>421</v>
      </c>
      <c r="J178" s="113"/>
      <c r="K178" s="113"/>
      <c r="L178" s="113"/>
      <c r="M178" s="113"/>
      <c r="N178" s="113"/>
      <c r="O178" s="113"/>
      <c r="P178" s="113"/>
      <c r="Q178" s="113"/>
      <c r="R178" s="113"/>
      <c r="S178" s="749" t="s">
        <v>861</v>
      </c>
      <c r="T178" s="750"/>
      <c r="U178" s="750"/>
      <c r="V178" s="750"/>
      <c r="W178" s="750"/>
      <c r="X178" s="750"/>
      <c r="Y178" s="750"/>
      <c r="Z178" s="750"/>
      <c r="AA178" s="750"/>
      <c r="AB178" s="750"/>
      <c r="AC178" s="750"/>
      <c r="AD178" s="750"/>
      <c r="AE178" s="750"/>
      <c r="AF178" s="750"/>
      <c r="AG178" s="751"/>
      <c r="AH178" s="599" t="s">
        <v>433</v>
      </c>
      <c r="AI178" s="995"/>
      <c r="AJ178" s="995"/>
      <c r="AK178" s="995"/>
      <c r="AL178" s="995"/>
      <c r="AM178" s="995"/>
      <c r="AN178" s="995"/>
      <c r="AO178" s="995"/>
      <c r="AP178" s="995"/>
      <c r="AQ178" s="995"/>
      <c r="AR178" s="995"/>
      <c r="AS178" s="995"/>
      <c r="AT178" s="995"/>
      <c r="AU178" s="995"/>
      <c r="AV178" s="995"/>
      <c r="AW178" s="995"/>
      <c r="AX178" s="995"/>
      <c r="AY178" s="995"/>
      <c r="AZ178" s="995"/>
      <c r="BA178" s="995"/>
      <c r="BB178" s="995"/>
      <c r="BC178" s="995"/>
      <c r="BD178" s="995"/>
      <c r="BE178" s="995"/>
      <c r="BF178" s="995"/>
      <c r="BG178" s="995"/>
      <c r="BH178" s="995"/>
      <c r="BI178" s="995"/>
      <c r="BJ178" s="995"/>
      <c r="BK178" s="995"/>
      <c r="BL178" s="995"/>
      <c r="BM178" s="995"/>
      <c r="BN178" s="995"/>
      <c r="BO178" s="995"/>
      <c r="BP178" s="995"/>
      <c r="BQ178" s="995"/>
      <c r="BR178" s="995"/>
      <c r="BS178" s="995"/>
      <c r="BT178" s="995"/>
      <c r="BU178" s="995"/>
      <c r="BV178" s="995"/>
      <c r="BW178" s="995"/>
      <c r="BX178" s="995"/>
      <c r="BY178" s="995"/>
      <c r="BZ178" s="995"/>
      <c r="CA178" s="995"/>
      <c r="CB178" s="996"/>
      <c r="CC178" s="295"/>
      <c r="CD178" s="295"/>
      <c r="CE178" s="296"/>
    </row>
    <row r="179" spans="1:83" s="297" customFormat="1" x14ac:dyDescent="0.15">
      <c r="A179" s="298"/>
      <c r="B179" s="295"/>
      <c r="C179" s="295"/>
      <c r="D179" s="980"/>
      <c r="E179" s="981"/>
      <c r="F179" s="981"/>
      <c r="G179" s="981"/>
      <c r="H179" s="982"/>
      <c r="I179" s="114"/>
      <c r="J179" s="115"/>
      <c r="K179" s="115"/>
      <c r="L179" s="115"/>
      <c r="M179" s="115"/>
      <c r="N179" s="115"/>
      <c r="O179" s="115"/>
      <c r="P179" s="115"/>
      <c r="Q179" s="115"/>
      <c r="R179" s="115"/>
      <c r="S179" s="111" t="s">
        <v>435</v>
      </c>
      <c r="T179" s="112"/>
      <c r="U179" s="112"/>
      <c r="V179" s="112"/>
      <c r="W179" s="112"/>
      <c r="X179" s="112"/>
      <c r="Y179" s="112"/>
      <c r="Z179" s="112"/>
      <c r="AA179" s="112"/>
      <c r="AB179" s="112"/>
      <c r="AC179" s="112"/>
      <c r="AD179" s="112"/>
      <c r="AE179" s="112"/>
      <c r="AF179" s="112"/>
      <c r="AG179" s="145"/>
      <c r="AH179" s="519" t="s">
        <v>438</v>
      </c>
      <c r="AI179" s="1012"/>
      <c r="AJ179" s="1012"/>
      <c r="AK179" s="1012"/>
      <c r="AL179" s="1012"/>
      <c r="AM179" s="1012"/>
      <c r="AN179" s="1012"/>
      <c r="AO179" s="1012"/>
      <c r="AP179" s="1012"/>
      <c r="AQ179" s="1012"/>
      <c r="AR179" s="1012"/>
      <c r="AS179" s="1012"/>
      <c r="AT179" s="1012"/>
      <c r="AU179" s="1012"/>
      <c r="AV179" s="1012"/>
      <c r="AW179" s="1012"/>
      <c r="AX179" s="1012"/>
      <c r="AY179" s="1012"/>
      <c r="AZ179" s="1012"/>
      <c r="BA179" s="1012"/>
      <c r="BB179" s="1012"/>
      <c r="BC179" s="1012"/>
      <c r="BD179" s="1012"/>
      <c r="BE179" s="1012"/>
      <c r="BF179" s="1012"/>
      <c r="BG179" s="1012"/>
      <c r="BH179" s="1012"/>
      <c r="BI179" s="1012"/>
      <c r="BJ179" s="1012"/>
      <c r="BK179" s="1012"/>
      <c r="BL179" s="1012"/>
      <c r="BM179" s="1012"/>
      <c r="BN179" s="1012"/>
      <c r="BO179" s="1012"/>
      <c r="BP179" s="1012"/>
      <c r="BQ179" s="1012"/>
      <c r="BR179" s="1012"/>
      <c r="BS179" s="1012"/>
      <c r="BT179" s="1012"/>
      <c r="BU179" s="1012"/>
      <c r="BV179" s="1012"/>
      <c r="BW179" s="1012"/>
      <c r="BX179" s="1012"/>
      <c r="BY179" s="1012"/>
      <c r="BZ179" s="1012"/>
      <c r="CA179" s="1012"/>
      <c r="CB179" s="1013"/>
      <c r="CC179" s="295"/>
      <c r="CD179" s="295"/>
      <c r="CE179" s="296"/>
    </row>
    <row r="180" spans="1:83" s="297" customFormat="1" x14ac:dyDescent="0.15">
      <c r="A180" s="298"/>
      <c r="B180" s="295"/>
      <c r="C180" s="295"/>
      <c r="D180" s="980"/>
      <c r="E180" s="981"/>
      <c r="F180" s="981"/>
      <c r="G180" s="981"/>
      <c r="H180" s="982"/>
      <c r="I180" s="114"/>
      <c r="J180" s="115"/>
      <c r="K180" s="115"/>
      <c r="L180" s="115"/>
      <c r="M180" s="115"/>
      <c r="N180" s="115"/>
      <c r="O180" s="115"/>
      <c r="P180" s="115"/>
      <c r="Q180" s="115"/>
      <c r="R180" s="115"/>
      <c r="S180" s="127" t="s">
        <v>436</v>
      </c>
      <c r="T180" s="125"/>
      <c r="U180" s="125"/>
      <c r="V180" s="125"/>
      <c r="W180" s="125"/>
      <c r="X180" s="125"/>
      <c r="Y180" s="125"/>
      <c r="Z180" s="125"/>
      <c r="AA180" s="125"/>
      <c r="AB180" s="125"/>
      <c r="AC180" s="125"/>
      <c r="AD180" s="125"/>
      <c r="AE180" s="125"/>
      <c r="AF180" s="125"/>
      <c r="AG180" s="126"/>
      <c r="AH180" s="1014"/>
      <c r="AI180" s="1015"/>
      <c r="AJ180" s="1015"/>
      <c r="AK180" s="1015"/>
      <c r="AL180" s="1015"/>
      <c r="AM180" s="1015"/>
      <c r="AN180" s="1015"/>
      <c r="AO180" s="1015"/>
      <c r="AP180" s="1015"/>
      <c r="AQ180" s="1015"/>
      <c r="AR180" s="1015"/>
      <c r="AS180" s="1015"/>
      <c r="AT180" s="1015"/>
      <c r="AU180" s="1015"/>
      <c r="AV180" s="1015"/>
      <c r="AW180" s="1015"/>
      <c r="AX180" s="1015"/>
      <c r="AY180" s="1015"/>
      <c r="AZ180" s="1015"/>
      <c r="BA180" s="1015"/>
      <c r="BB180" s="1015"/>
      <c r="BC180" s="1015"/>
      <c r="BD180" s="1015"/>
      <c r="BE180" s="1015"/>
      <c r="BF180" s="1015"/>
      <c r="BG180" s="1015"/>
      <c r="BH180" s="1015"/>
      <c r="BI180" s="1015"/>
      <c r="BJ180" s="1015"/>
      <c r="BK180" s="1015"/>
      <c r="BL180" s="1015"/>
      <c r="BM180" s="1015"/>
      <c r="BN180" s="1015"/>
      <c r="BO180" s="1015"/>
      <c r="BP180" s="1015"/>
      <c r="BQ180" s="1015"/>
      <c r="BR180" s="1015"/>
      <c r="BS180" s="1015"/>
      <c r="BT180" s="1015"/>
      <c r="BU180" s="1015"/>
      <c r="BV180" s="1015"/>
      <c r="BW180" s="1015"/>
      <c r="BX180" s="1015"/>
      <c r="BY180" s="1015"/>
      <c r="BZ180" s="1015"/>
      <c r="CA180" s="1015"/>
      <c r="CB180" s="1016"/>
      <c r="CC180" s="295"/>
      <c r="CD180" s="295"/>
      <c r="CE180" s="296"/>
    </row>
    <row r="181" spans="1:83" s="297" customFormat="1" x14ac:dyDescent="0.15">
      <c r="A181" s="298"/>
      <c r="B181" s="295"/>
      <c r="C181" s="295"/>
      <c r="D181" s="980"/>
      <c r="E181" s="981"/>
      <c r="F181" s="981"/>
      <c r="G181" s="981"/>
      <c r="H181" s="982"/>
      <c r="I181" s="114"/>
      <c r="J181" s="115"/>
      <c r="K181" s="115"/>
      <c r="L181" s="115"/>
      <c r="M181" s="115"/>
      <c r="N181" s="115"/>
      <c r="O181" s="115"/>
      <c r="P181" s="115"/>
      <c r="Q181" s="115"/>
      <c r="R181" s="115"/>
      <c r="S181" s="127"/>
      <c r="T181" s="125"/>
      <c r="U181" s="125"/>
      <c r="V181" s="125"/>
      <c r="W181" s="125"/>
      <c r="X181" s="125"/>
      <c r="Y181" s="125"/>
      <c r="Z181" s="125"/>
      <c r="AA181" s="125"/>
      <c r="AB181" s="125"/>
      <c r="AC181" s="125"/>
      <c r="AD181" s="125"/>
      <c r="AE181" s="125"/>
      <c r="AF181" s="125"/>
      <c r="AG181" s="126"/>
      <c r="AH181" s="1014"/>
      <c r="AI181" s="1015"/>
      <c r="AJ181" s="1015"/>
      <c r="AK181" s="1015"/>
      <c r="AL181" s="1015"/>
      <c r="AM181" s="1015"/>
      <c r="AN181" s="1015"/>
      <c r="AO181" s="1015"/>
      <c r="AP181" s="1015"/>
      <c r="AQ181" s="1015"/>
      <c r="AR181" s="1015"/>
      <c r="AS181" s="1015"/>
      <c r="AT181" s="1015"/>
      <c r="AU181" s="1015"/>
      <c r="AV181" s="1015"/>
      <c r="AW181" s="1015"/>
      <c r="AX181" s="1015"/>
      <c r="AY181" s="1015"/>
      <c r="AZ181" s="1015"/>
      <c r="BA181" s="1015"/>
      <c r="BB181" s="1015"/>
      <c r="BC181" s="1015"/>
      <c r="BD181" s="1015"/>
      <c r="BE181" s="1015"/>
      <c r="BF181" s="1015"/>
      <c r="BG181" s="1015"/>
      <c r="BH181" s="1015"/>
      <c r="BI181" s="1015"/>
      <c r="BJ181" s="1015"/>
      <c r="BK181" s="1015"/>
      <c r="BL181" s="1015"/>
      <c r="BM181" s="1015"/>
      <c r="BN181" s="1015"/>
      <c r="BO181" s="1015"/>
      <c r="BP181" s="1015"/>
      <c r="BQ181" s="1015"/>
      <c r="BR181" s="1015"/>
      <c r="BS181" s="1015"/>
      <c r="BT181" s="1015"/>
      <c r="BU181" s="1015"/>
      <c r="BV181" s="1015"/>
      <c r="BW181" s="1015"/>
      <c r="BX181" s="1015"/>
      <c r="BY181" s="1015"/>
      <c r="BZ181" s="1015"/>
      <c r="CA181" s="1015"/>
      <c r="CB181" s="1016"/>
      <c r="CC181" s="295"/>
      <c r="CD181" s="295"/>
      <c r="CE181" s="296"/>
    </row>
    <row r="182" spans="1:83" s="297" customFormat="1" ht="13.5" x14ac:dyDescent="0.15">
      <c r="A182" s="298"/>
      <c r="B182" s="295"/>
      <c r="C182" s="295"/>
      <c r="D182" s="983"/>
      <c r="E182" s="984"/>
      <c r="F182" s="984"/>
      <c r="G182" s="984"/>
      <c r="H182" s="985"/>
      <c r="I182" s="326"/>
      <c r="J182" s="327"/>
      <c r="K182" s="327"/>
      <c r="L182" s="327"/>
      <c r="M182" s="327"/>
      <c r="N182" s="327"/>
      <c r="O182" s="327"/>
      <c r="P182" s="327"/>
      <c r="Q182" s="327"/>
      <c r="R182" s="327"/>
      <c r="S182" s="183"/>
      <c r="T182" s="184"/>
      <c r="U182" s="184"/>
      <c r="V182" s="184"/>
      <c r="W182" s="184"/>
      <c r="X182" s="184"/>
      <c r="Y182" s="184"/>
      <c r="Z182" s="184"/>
      <c r="AA182" s="184"/>
      <c r="AB182" s="184"/>
      <c r="AC182" s="184"/>
      <c r="AD182" s="184"/>
      <c r="AE182" s="184"/>
      <c r="AF182" s="184"/>
      <c r="AG182" s="185"/>
      <c r="AH182" s="1017"/>
      <c r="AI182" s="1018"/>
      <c r="AJ182" s="1018"/>
      <c r="AK182" s="1018"/>
      <c r="AL182" s="1018"/>
      <c r="AM182" s="1018"/>
      <c r="AN182" s="1018"/>
      <c r="AO182" s="1018"/>
      <c r="AP182" s="1018"/>
      <c r="AQ182" s="1018"/>
      <c r="AR182" s="1018"/>
      <c r="AS182" s="1018"/>
      <c r="AT182" s="1018"/>
      <c r="AU182" s="1018"/>
      <c r="AV182" s="1018"/>
      <c r="AW182" s="1018"/>
      <c r="AX182" s="1018"/>
      <c r="AY182" s="1018"/>
      <c r="AZ182" s="1018"/>
      <c r="BA182" s="1018"/>
      <c r="BB182" s="1018"/>
      <c r="BC182" s="1018"/>
      <c r="BD182" s="1018"/>
      <c r="BE182" s="1018"/>
      <c r="BF182" s="1018"/>
      <c r="BG182" s="1018"/>
      <c r="BH182" s="1018"/>
      <c r="BI182" s="1018"/>
      <c r="BJ182" s="1018"/>
      <c r="BK182" s="1018"/>
      <c r="BL182" s="1018"/>
      <c r="BM182" s="1018"/>
      <c r="BN182" s="1018"/>
      <c r="BO182" s="1018"/>
      <c r="BP182" s="1018"/>
      <c r="BQ182" s="1018"/>
      <c r="BR182" s="1018"/>
      <c r="BS182" s="1018"/>
      <c r="BT182" s="1018"/>
      <c r="BU182" s="1018"/>
      <c r="BV182" s="1018"/>
      <c r="BW182" s="1018"/>
      <c r="BX182" s="1018"/>
      <c r="BY182" s="1018"/>
      <c r="BZ182" s="1018"/>
      <c r="CA182" s="1018"/>
      <c r="CB182" s="1019"/>
      <c r="CC182" s="295"/>
      <c r="CD182" s="295"/>
      <c r="CE182" s="296"/>
    </row>
    <row r="183" spans="1:83" ht="12.75" customHeight="1" x14ac:dyDescent="0.15">
      <c r="A183" s="109"/>
      <c r="B183" s="3"/>
      <c r="C183" s="3"/>
      <c r="D183" s="501" t="s">
        <v>709</v>
      </c>
      <c r="E183" s="502"/>
      <c r="F183" s="502"/>
      <c r="G183" s="502"/>
      <c r="H183" s="503"/>
      <c r="I183" s="568" t="s">
        <v>767</v>
      </c>
      <c r="J183" s="569"/>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70"/>
      <c r="AH183" s="577" t="s">
        <v>710</v>
      </c>
      <c r="AI183" s="578"/>
      <c r="AJ183" s="578"/>
      <c r="AK183" s="578"/>
      <c r="AL183" s="578"/>
      <c r="AM183" s="578"/>
      <c r="AN183" s="578"/>
      <c r="AO183" s="578"/>
      <c r="AP183" s="578"/>
      <c r="AQ183" s="578"/>
      <c r="AR183" s="578"/>
      <c r="AS183" s="578"/>
      <c r="AT183" s="578"/>
      <c r="AU183" s="578"/>
      <c r="AV183" s="578"/>
      <c r="AW183" s="578"/>
      <c r="AX183" s="578"/>
      <c r="AY183" s="578"/>
      <c r="AZ183" s="578"/>
      <c r="BA183" s="578"/>
      <c r="BB183" s="578"/>
      <c r="BC183" s="578"/>
      <c r="BD183" s="578"/>
      <c r="BE183" s="578"/>
      <c r="BF183" s="578"/>
      <c r="BG183" s="578"/>
      <c r="BH183" s="578"/>
      <c r="BI183" s="578"/>
      <c r="BJ183" s="578"/>
      <c r="BK183" s="578"/>
      <c r="BL183" s="578"/>
      <c r="BM183" s="578"/>
      <c r="BN183" s="578"/>
      <c r="BO183" s="578"/>
      <c r="BP183" s="578"/>
      <c r="BQ183" s="578"/>
      <c r="BR183" s="578"/>
      <c r="BS183" s="578"/>
      <c r="BT183" s="578"/>
      <c r="BU183" s="578"/>
      <c r="BV183" s="578"/>
      <c r="BW183" s="578"/>
      <c r="BX183" s="578"/>
      <c r="BY183" s="578"/>
      <c r="BZ183" s="578"/>
      <c r="CA183" s="578"/>
      <c r="CB183" s="579"/>
      <c r="CC183" s="3"/>
      <c r="CD183" s="3"/>
      <c r="CE183" s="100"/>
    </row>
    <row r="184" spans="1:83" ht="12.75" customHeight="1" x14ac:dyDescent="0.15">
      <c r="A184" s="109"/>
      <c r="B184" s="3"/>
      <c r="C184" s="3"/>
      <c r="D184" s="565"/>
      <c r="E184" s="566"/>
      <c r="F184" s="566"/>
      <c r="G184" s="566"/>
      <c r="H184" s="567"/>
      <c r="I184" s="571"/>
      <c r="J184" s="572"/>
      <c r="K184" s="572"/>
      <c r="L184" s="572"/>
      <c r="M184" s="572"/>
      <c r="N184" s="572"/>
      <c r="O184" s="572"/>
      <c r="P184" s="572"/>
      <c r="Q184" s="572"/>
      <c r="R184" s="572"/>
      <c r="S184" s="572"/>
      <c r="T184" s="572"/>
      <c r="U184" s="572"/>
      <c r="V184" s="572"/>
      <c r="W184" s="572"/>
      <c r="X184" s="572"/>
      <c r="Y184" s="572"/>
      <c r="Z184" s="572"/>
      <c r="AA184" s="572"/>
      <c r="AB184" s="572"/>
      <c r="AC184" s="572"/>
      <c r="AD184" s="572"/>
      <c r="AE184" s="572"/>
      <c r="AF184" s="572"/>
      <c r="AG184" s="573"/>
      <c r="AH184" s="580"/>
      <c r="AI184" s="581"/>
      <c r="AJ184" s="581"/>
      <c r="AK184" s="581"/>
      <c r="AL184" s="581"/>
      <c r="AM184" s="581"/>
      <c r="AN184" s="581"/>
      <c r="AO184" s="581"/>
      <c r="AP184" s="581"/>
      <c r="AQ184" s="581"/>
      <c r="AR184" s="581"/>
      <c r="AS184" s="581"/>
      <c r="AT184" s="581"/>
      <c r="AU184" s="581"/>
      <c r="AV184" s="581"/>
      <c r="AW184" s="581"/>
      <c r="AX184" s="581"/>
      <c r="AY184" s="581"/>
      <c r="AZ184" s="581"/>
      <c r="BA184" s="581"/>
      <c r="BB184" s="581"/>
      <c r="BC184" s="581"/>
      <c r="BD184" s="581"/>
      <c r="BE184" s="581"/>
      <c r="BF184" s="581"/>
      <c r="BG184" s="581"/>
      <c r="BH184" s="581"/>
      <c r="BI184" s="581"/>
      <c r="BJ184" s="581"/>
      <c r="BK184" s="581"/>
      <c r="BL184" s="581"/>
      <c r="BM184" s="581"/>
      <c r="BN184" s="581"/>
      <c r="BO184" s="581"/>
      <c r="BP184" s="581"/>
      <c r="BQ184" s="581"/>
      <c r="BR184" s="581"/>
      <c r="BS184" s="581"/>
      <c r="BT184" s="581"/>
      <c r="BU184" s="581"/>
      <c r="BV184" s="581"/>
      <c r="BW184" s="581"/>
      <c r="BX184" s="581"/>
      <c r="BY184" s="581"/>
      <c r="BZ184" s="581"/>
      <c r="CA184" s="581"/>
      <c r="CB184" s="582"/>
      <c r="CC184" s="3"/>
      <c r="CD184" s="3"/>
      <c r="CE184" s="100"/>
    </row>
    <row r="185" spans="1:83" x14ac:dyDescent="0.15">
      <c r="A185" s="109"/>
      <c r="B185" s="3"/>
      <c r="C185" s="3"/>
      <c r="D185" s="544"/>
      <c r="E185" s="545"/>
      <c r="F185" s="545"/>
      <c r="G185" s="545"/>
      <c r="H185" s="546"/>
      <c r="I185" s="574"/>
      <c r="J185" s="575"/>
      <c r="K185" s="575"/>
      <c r="L185" s="575"/>
      <c r="M185" s="575"/>
      <c r="N185" s="575"/>
      <c r="O185" s="575"/>
      <c r="P185" s="575"/>
      <c r="Q185" s="575"/>
      <c r="R185" s="575"/>
      <c r="S185" s="575"/>
      <c r="T185" s="575"/>
      <c r="U185" s="575"/>
      <c r="V185" s="575"/>
      <c r="W185" s="575"/>
      <c r="X185" s="575"/>
      <c r="Y185" s="575"/>
      <c r="Z185" s="575"/>
      <c r="AA185" s="575"/>
      <c r="AB185" s="575"/>
      <c r="AC185" s="575"/>
      <c r="AD185" s="575"/>
      <c r="AE185" s="575"/>
      <c r="AF185" s="575"/>
      <c r="AG185" s="576"/>
      <c r="AH185" s="583"/>
      <c r="AI185" s="584"/>
      <c r="AJ185" s="584"/>
      <c r="AK185" s="584"/>
      <c r="AL185" s="584"/>
      <c r="AM185" s="584"/>
      <c r="AN185" s="584"/>
      <c r="AO185" s="584"/>
      <c r="AP185" s="584"/>
      <c r="AQ185" s="584"/>
      <c r="AR185" s="584"/>
      <c r="AS185" s="584"/>
      <c r="AT185" s="584"/>
      <c r="AU185" s="584"/>
      <c r="AV185" s="584"/>
      <c r="AW185" s="584"/>
      <c r="AX185" s="584"/>
      <c r="AY185" s="584"/>
      <c r="AZ185" s="584"/>
      <c r="BA185" s="584"/>
      <c r="BB185" s="584"/>
      <c r="BC185" s="584"/>
      <c r="BD185" s="584"/>
      <c r="BE185" s="584"/>
      <c r="BF185" s="584"/>
      <c r="BG185" s="584"/>
      <c r="BH185" s="584"/>
      <c r="BI185" s="584"/>
      <c r="BJ185" s="584"/>
      <c r="BK185" s="584"/>
      <c r="BL185" s="584"/>
      <c r="BM185" s="584"/>
      <c r="BN185" s="584"/>
      <c r="BO185" s="584"/>
      <c r="BP185" s="584"/>
      <c r="BQ185" s="584"/>
      <c r="BR185" s="584"/>
      <c r="BS185" s="584"/>
      <c r="BT185" s="584"/>
      <c r="BU185" s="584"/>
      <c r="BV185" s="584"/>
      <c r="BW185" s="584"/>
      <c r="BX185" s="584"/>
      <c r="BY185" s="584"/>
      <c r="BZ185" s="584"/>
      <c r="CA185" s="584"/>
      <c r="CB185" s="585"/>
      <c r="CC185" s="3"/>
      <c r="CD185" s="3"/>
      <c r="CE185" s="100"/>
    </row>
    <row r="186" spans="1:83" s="297" customFormat="1" x14ac:dyDescent="0.15">
      <c r="A186" s="298"/>
      <c r="B186" s="295"/>
      <c r="C186" s="295"/>
      <c r="D186" s="295"/>
      <c r="E186" s="295"/>
      <c r="F186" s="295"/>
      <c r="G186" s="295"/>
      <c r="H186" s="295"/>
      <c r="I186" s="295"/>
      <c r="J186" s="295"/>
      <c r="K186" s="295"/>
      <c r="L186" s="295"/>
      <c r="M186" s="295"/>
      <c r="N186" s="295"/>
      <c r="O186" s="295"/>
      <c r="P186" s="295"/>
      <c r="Q186" s="295"/>
      <c r="R186" s="295"/>
      <c r="S186" s="295"/>
      <c r="T186" s="295"/>
      <c r="U186" s="295"/>
      <c r="V186" s="295"/>
      <c r="W186" s="295"/>
      <c r="X186" s="295"/>
      <c r="Y186" s="295"/>
      <c r="Z186" s="295"/>
      <c r="AA186" s="295"/>
      <c r="AB186" s="295"/>
      <c r="AC186" s="295"/>
      <c r="AD186" s="295"/>
      <c r="AE186" s="295"/>
      <c r="AF186" s="295"/>
      <c r="AG186" s="295"/>
      <c r="AH186" s="295"/>
      <c r="AI186" s="295"/>
      <c r="AJ186" s="295"/>
      <c r="AK186" s="295"/>
      <c r="AL186" s="295"/>
      <c r="AM186" s="295"/>
      <c r="AN186" s="295"/>
      <c r="AO186" s="295"/>
      <c r="AP186" s="295"/>
      <c r="AQ186" s="295"/>
      <c r="AR186" s="295"/>
      <c r="AS186" s="295"/>
      <c r="AT186" s="295"/>
      <c r="AU186" s="295"/>
      <c r="AV186" s="295"/>
      <c r="AW186" s="295"/>
      <c r="AX186" s="295"/>
      <c r="AY186" s="295"/>
      <c r="AZ186" s="295"/>
      <c r="BA186" s="295"/>
      <c r="BB186" s="295"/>
      <c r="BC186" s="295"/>
      <c r="BD186" s="295"/>
      <c r="BE186" s="295"/>
      <c r="BF186" s="295"/>
      <c r="BG186" s="295"/>
      <c r="BH186" s="295"/>
      <c r="BI186" s="295"/>
      <c r="BJ186" s="295"/>
      <c r="BK186" s="295"/>
      <c r="BL186" s="295"/>
      <c r="BM186" s="295"/>
      <c r="BN186" s="295"/>
      <c r="BO186" s="295"/>
      <c r="BP186" s="295"/>
      <c r="BQ186" s="295"/>
      <c r="BR186" s="295"/>
      <c r="BS186" s="295"/>
      <c r="BT186" s="295"/>
      <c r="BU186" s="295"/>
      <c r="BV186" s="295"/>
      <c r="BW186" s="295"/>
      <c r="BX186" s="295"/>
      <c r="BY186" s="295"/>
      <c r="BZ186" s="295"/>
      <c r="CA186" s="295"/>
      <c r="CB186" s="295"/>
      <c r="CC186" s="295"/>
      <c r="CD186" s="295"/>
      <c r="CE186" s="296"/>
    </row>
    <row r="187" spans="1:83" s="297" customFormat="1" x14ac:dyDescent="0.15">
      <c r="A187" s="298"/>
      <c r="B187" s="295"/>
      <c r="C187" s="295"/>
      <c r="D187" s="3" t="s">
        <v>780</v>
      </c>
      <c r="E187" s="3"/>
      <c r="F187" s="3"/>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3"/>
      <c r="BO187" s="3"/>
      <c r="BP187" s="58"/>
      <c r="BQ187" s="58"/>
      <c r="BR187" s="58"/>
      <c r="BS187" s="58"/>
      <c r="BT187" s="58"/>
      <c r="BU187" s="58"/>
      <c r="BV187" s="58"/>
      <c r="BW187" s="58"/>
      <c r="BX187" s="58"/>
      <c r="BY187" s="58"/>
      <c r="BZ187" s="58"/>
      <c r="CA187" s="58"/>
      <c r="CB187" s="58"/>
      <c r="CC187" s="295"/>
      <c r="CD187" s="295"/>
      <c r="CE187" s="296"/>
    </row>
    <row r="188" spans="1:83" s="297" customFormat="1" x14ac:dyDescent="0.15">
      <c r="A188" s="298"/>
      <c r="B188" s="295"/>
      <c r="C188" s="295"/>
      <c r="D188" s="534" t="s">
        <v>307</v>
      </c>
      <c r="E188" s="534"/>
      <c r="F188" s="534"/>
      <c r="G188" s="534"/>
      <c r="H188" s="534"/>
      <c r="I188" s="534"/>
      <c r="J188" s="534"/>
      <c r="K188" s="534"/>
      <c r="L188" s="534"/>
      <c r="M188" s="534"/>
      <c r="N188" s="534"/>
      <c r="O188" s="534"/>
      <c r="P188" s="534"/>
      <c r="Q188" s="534"/>
      <c r="R188" s="534"/>
      <c r="S188" s="534"/>
      <c r="T188" s="534"/>
      <c r="U188" s="534"/>
      <c r="V188" s="534"/>
      <c r="W188" s="534"/>
      <c r="X188" s="534"/>
      <c r="Y188" s="534"/>
      <c r="Z188" s="534"/>
      <c r="AA188" s="534"/>
      <c r="AB188" s="534"/>
      <c r="AC188" s="534"/>
      <c r="AD188" s="534"/>
      <c r="AE188" s="534"/>
      <c r="AF188" s="534"/>
      <c r="AG188" s="534"/>
      <c r="AH188" s="534"/>
      <c r="AI188" s="534"/>
      <c r="AJ188" s="534"/>
      <c r="AK188" s="534"/>
      <c r="AL188" s="534"/>
      <c r="AM188" s="534"/>
      <c r="AN188" s="534"/>
      <c r="AO188" s="534"/>
      <c r="AP188" s="534"/>
      <c r="AQ188" s="534"/>
      <c r="AR188" s="534"/>
      <c r="AS188" s="534"/>
      <c r="AT188" s="534"/>
      <c r="AU188" s="534"/>
      <c r="AV188" s="534"/>
      <c r="AW188" s="534"/>
      <c r="AX188" s="534"/>
      <c r="AY188" s="534"/>
      <c r="AZ188" s="534"/>
      <c r="BA188" s="534"/>
      <c r="BB188" s="534"/>
      <c r="BC188" s="534"/>
      <c r="BD188" s="534"/>
      <c r="BE188" s="534"/>
      <c r="BF188" s="534"/>
      <c r="BG188" s="534"/>
      <c r="BH188" s="534"/>
      <c r="BI188" s="534"/>
      <c r="BJ188" s="534"/>
      <c r="BK188" s="534"/>
      <c r="BL188" s="534"/>
      <c r="BM188" s="534"/>
      <c r="BN188" s="534"/>
      <c r="BO188" s="534"/>
      <c r="BP188" s="534"/>
      <c r="BQ188" s="534"/>
      <c r="BR188" s="534"/>
      <c r="BS188" s="534"/>
      <c r="BT188" s="534"/>
      <c r="BU188" s="534"/>
      <c r="BV188" s="534"/>
      <c r="BW188" s="534"/>
      <c r="BX188" s="534"/>
      <c r="BY188" s="534"/>
      <c r="BZ188" s="534"/>
      <c r="CA188" s="534"/>
      <c r="CB188" s="534"/>
      <c r="CC188" s="295"/>
      <c r="CD188" s="295"/>
      <c r="CE188" s="296"/>
    </row>
    <row r="189" spans="1:83" s="297" customFormat="1" x14ac:dyDescent="0.15">
      <c r="A189" s="298"/>
      <c r="B189" s="295"/>
      <c r="C189" s="295"/>
      <c r="D189" s="974" t="s">
        <v>403</v>
      </c>
      <c r="E189" s="975"/>
      <c r="F189" s="975"/>
      <c r="G189" s="975"/>
      <c r="H189" s="976"/>
      <c r="I189" s="1009" t="s">
        <v>408</v>
      </c>
      <c r="J189" s="1010"/>
      <c r="K189" s="1010"/>
      <c r="L189" s="1010"/>
      <c r="M189" s="1010"/>
      <c r="N189" s="1010"/>
      <c r="O189" s="1010"/>
      <c r="P189" s="1010"/>
      <c r="Q189" s="1010"/>
      <c r="R189" s="1010"/>
      <c r="S189" s="1010"/>
      <c r="T189" s="1010"/>
      <c r="U189" s="1010"/>
      <c r="V189" s="1010"/>
      <c r="W189" s="1010"/>
      <c r="X189" s="1010"/>
      <c r="Y189" s="1010"/>
      <c r="Z189" s="1010"/>
      <c r="AA189" s="1010"/>
      <c r="AB189" s="1010"/>
      <c r="AC189" s="1010"/>
      <c r="AD189" s="1010"/>
      <c r="AE189" s="1010"/>
      <c r="AF189" s="1010"/>
      <c r="AG189" s="1011"/>
      <c r="AH189" s="1009" t="s">
        <v>415</v>
      </c>
      <c r="AI189" s="1010"/>
      <c r="AJ189" s="1010"/>
      <c r="AK189" s="1010"/>
      <c r="AL189" s="1010"/>
      <c r="AM189" s="1010"/>
      <c r="AN189" s="1010"/>
      <c r="AO189" s="1010"/>
      <c r="AP189" s="1010"/>
      <c r="AQ189" s="1010"/>
      <c r="AR189" s="1010"/>
      <c r="AS189" s="1010"/>
      <c r="AT189" s="1010"/>
      <c r="AU189" s="1010"/>
      <c r="AV189" s="1010"/>
      <c r="AW189" s="1010"/>
      <c r="AX189" s="1010"/>
      <c r="AY189" s="1010"/>
      <c r="AZ189" s="1010"/>
      <c r="BA189" s="1010"/>
      <c r="BB189" s="1010"/>
      <c r="BC189" s="1010"/>
      <c r="BD189" s="1010"/>
      <c r="BE189" s="1010"/>
      <c r="BF189" s="1010"/>
      <c r="BG189" s="1010"/>
      <c r="BH189" s="1010"/>
      <c r="BI189" s="1010"/>
      <c r="BJ189" s="1010"/>
      <c r="BK189" s="1010"/>
      <c r="BL189" s="1010"/>
      <c r="BM189" s="1010"/>
      <c r="BN189" s="1010"/>
      <c r="BO189" s="1010"/>
      <c r="BP189" s="1010"/>
      <c r="BQ189" s="1010"/>
      <c r="BR189" s="1010"/>
      <c r="BS189" s="1010"/>
      <c r="BT189" s="1010"/>
      <c r="BU189" s="1010"/>
      <c r="BV189" s="1010"/>
      <c r="BW189" s="1010"/>
      <c r="BX189" s="1010"/>
      <c r="BY189" s="1010"/>
      <c r="BZ189" s="1010"/>
      <c r="CA189" s="1010"/>
      <c r="CB189" s="1011"/>
      <c r="CC189" s="295"/>
      <c r="CD189" s="295"/>
      <c r="CE189" s="296"/>
    </row>
    <row r="190" spans="1:83" s="297" customFormat="1" x14ac:dyDescent="0.15">
      <c r="A190" s="298"/>
      <c r="B190" s="295"/>
      <c r="C190" s="295"/>
      <c r="D190" s="961" t="s">
        <v>308</v>
      </c>
      <c r="E190" s="962"/>
      <c r="F190" s="962"/>
      <c r="G190" s="962"/>
      <c r="H190" s="963"/>
      <c r="I190" s="519" t="s">
        <v>897</v>
      </c>
      <c r="J190" s="520"/>
      <c r="K190" s="520"/>
      <c r="L190" s="520"/>
      <c r="M190" s="520"/>
      <c r="N190" s="520"/>
      <c r="O190" s="520"/>
      <c r="P190" s="520"/>
      <c r="Q190" s="520"/>
      <c r="R190" s="520"/>
      <c r="S190" s="520"/>
      <c r="T190" s="520"/>
      <c r="U190" s="520"/>
      <c r="V190" s="520"/>
      <c r="W190" s="520"/>
      <c r="X190" s="520"/>
      <c r="Y190" s="520"/>
      <c r="Z190" s="520"/>
      <c r="AA190" s="520"/>
      <c r="AB190" s="520"/>
      <c r="AC190" s="520"/>
      <c r="AD190" s="520"/>
      <c r="AE190" s="520"/>
      <c r="AF190" s="520"/>
      <c r="AG190" s="521"/>
      <c r="AH190" s="968" t="s">
        <v>872</v>
      </c>
      <c r="AI190" s="969"/>
      <c r="AJ190" s="969"/>
      <c r="AK190" s="969"/>
      <c r="AL190" s="969"/>
      <c r="AM190" s="969"/>
      <c r="AN190" s="969"/>
      <c r="AO190" s="969"/>
      <c r="AP190" s="969"/>
      <c r="AQ190" s="969"/>
      <c r="AR190" s="969"/>
      <c r="AS190" s="969"/>
      <c r="AT190" s="969"/>
      <c r="AU190" s="969"/>
      <c r="AV190" s="969"/>
      <c r="AW190" s="969"/>
      <c r="AX190" s="969"/>
      <c r="AY190" s="969"/>
      <c r="AZ190" s="969"/>
      <c r="BA190" s="969"/>
      <c r="BB190" s="969"/>
      <c r="BC190" s="969"/>
      <c r="BD190" s="969"/>
      <c r="BE190" s="969"/>
      <c r="BF190" s="969"/>
      <c r="BG190" s="969"/>
      <c r="BH190" s="969"/>
      <c r="BI190" s="969"/>
      <c r="BJ190" s="969"/>
      <c r="BK190" s="969"/>
      <c r="BL190" s="969"/>
      <c r="BM190" s="969"/>
      <c r="BN190" s="969"/>
      <c r="BO190" s="969"/>
      <c r="BP190" s="969"/>
      <c r="BQ190" s="969"/>
      <c r="BR190" s="969"/>
      <c r="BS190" s="969"/>
      <c r="BT190" s="969"/>
      <c r="BU190" s="969"/>
      <c r="BV190" s="969"/>
      <c r="BW190" s="969"/>
      <c r="BX190" s="969"/>
      <c r="BY190" s="969"/>
      <c r="BZ190" s="969"/>
      <c r="CA190" s="969"/>
      <c r="CB190" s="970"/>
      <c r="CC190" s="295"/>
      <c r="CD190" s="295"/>
      <c r="CE190" s="296"/>
    </row>
    <row r="191" spans="1:83" s="297" customFormat="1" x14ac:dyDescent="0.15">
      <c r="A191" s="298"/>
      <c r="B191" s="295"/>
      <c r="C191" s="295"/>
      <c r="D191" s="964"/>
      <c r="E191" s="965"/>
      <c r="F191" s="965"/>
      <c r="G191" s="965"/>
      <c r="H191" s="966"/>
      <c r="I191" s="522"/>
      <c r="J191" s="523"/>
      <c r="K191" s="523"/>
      <c r="L191" s="523"/>
      <c r="M191" s="523"/>
      <c r="N191" s="523"/>
      <c r="O191" s="523"/>
      <c r="P191" s="523"/>
      <c r="Q191" s="523"/>
      <c r="R191" s="523"/>
      <c r="S191" s="523"/>
      <c r="T191" s="523"/>
      <c r="U191" s="523"/>
      <c r="V191" s="523"/>
      <c r="W191" s="523"/>
      <c r="X191" s="523"/>
      <c r="Y191" s="523"/>
      <c r="Z191" s="523"/>
      <c r="AA191" s="523"/>
      <c r="AB191" s="523"/>
      <c r="AC191" s="523"/>
      <c r="AD191" s="523"/>
      <c r="AE191" s="523"/>
      <c r="AF191" s="523"/>
      <c r="AG191" s="524"/>
      <c r="AH191" s="971"/>
      <c r="AI191" s="972"/>
      <c r="AJ191" s="972"/>
      <c r="AK191" s="972"/>
      <c r="AL191" s="972"/>
      <c r="AM191" s="972"/>
      <c r="AN191" s="972"/>
      <c r="AO191" s="972"/>
      <c r="AP191" s="972"/>
      <c r="AQ191" s="972"/>
      <c r="AR191" s="972"/>
      <c r="AS191" s="972"/>
      <c r="AT191" s="972"/>
      <c r="AU191" s="972"/>
      <c r="AV191" s="972"/>
      <c r="AW191" s="972"/>
      <c r="AX191" s="972"/>
      <c r="AY191" s="972"/>
      <c r="AZ191" s="972"/>
      <c r="BA191" s="972"/>
      <c r="BB191" s="972"/>
      <c r="BC191" s="972"/>
      <c r="BD191" s="972"/>
      <c r="BE191" s="972"/>
      <c r="BF191" s="972"/>
      <c r="BG191" s="972"/>
      <c r="BH191" s="972"/>
      <c r="BI191" s="972"/>
      <c r="BJ191" s="972"/>
      <c r="BK191" s="972"/>
      <c r="BL191" s="972"/>
      <c r="BM191" s="972"/>
      <c r="BN191" s="972"/>
      <c r="BO191" s="972"/>
      <c r="BP191" s="972"/>
      <c r="BQ191" s="972"/>
      <c r="BR191" s="972"/>
      <c r="BS191" s="972"/>
      <c r="BT191" s="972"/>
      <c r="BU191" s="972"/>
      <c r="BV191" s="972"/>
      <c r="BW191" s="972"/>
      <c r="BX191" s="972"/>
      <c r="BY191" s="972"/>
      <c r="BZ191" s="972"/>
      <c r="CA191" s="972"/>
      <c r="CB191" s="973"/>
      <c r="CC191" s="295"/>
      <c r="CD191" s="295"/>
      <c r="CE191" s="296"/>
    </row>
    <row r="192" spans="1:83" s="297" customFormat="1" x14ac:dyDescent="0.15">
      <c r="A192" s="298"/>
      <c r="B192" s="295"/>
      <c r="C192" s="295"/>
      <c r="D192" s="964"/>
      <c r="E192" s="965"/>
      <c r="F192" s="965"/>
      <c r="G192" s="965"/>
      <c r="H192" s="966"/>
      <c r="I192" s="522"/>
      <c r="J192" s="523"/>
      <c r="K192" s="523"/>
      <c r="L192" s="523"/>
      <c r="M192" s="523"/>
      <c r="N192" s="523"/>
      <c r="O192" s="523"/>
      <c r="P192" s="523"/>
      <c r="Q192" s="523"/>
      <c r="R192" s="523"/>
      <c r="S192" s="523"/>
      <c r="T192" s="523"/>
      <c r="U192" s="523"/>
      <c r="V192" s="523"/>
      <c r="W192" s="523"/>
      <c r="X192" s="523"/>
      <c r="Y192" s="523"/>
      <c r="Z192" s="523"/>
      <c r="AA192" s="523"/>
      <c r="AB192" s="523"/>
      <c r="AC192" s="523"/>
      <c r="AD192" s="523"/>
      <c r="AE192" s="523"/>
      <c r="AF192" s="523"/>
      <c r="AG192" s="524"/>
      <c r="AH192" s="971"/>
      <c r="AI192" s="972"/>
      <c r="AJ192" s="972"/>
      <c r="AK192" s="972"/>
      <c r="AL192" s="972"/>
      <c r="AM192" s="972"/>
      <c r="AN192" s="972"/>
      <c r="AO192" s="972"/>
      <c r="AP192" s="972"/>
      <c r="AQ192" s="972"/>
      <c r="AR192" s="972"/>
      <c r="AS192" s="972"/>
      <c r="AT192" s="972"/>
      <c r="AU192" s="972"/>
      <c r="AV192" s="972"/>
      <c r="AW192" s="972"/>
      <c r="AX192" s="972"/>
      <c r="AY192" s="972"/>
      <c r="AZ192" s="972"/>
      <c r="BA192" s="972"/>
      <c r="BB192" s="972"/>
      <c r="BC192" s="972"/>
      <c r="BD192" s="972"/>
      <c r="BE192" s="972"/>
      <c r="BF192" s="972"/>
      <c r="BG192" s="972"/>
      <c r="BH192" s="972"/>
      <c r="BI192" s="972"/>
      <c r="BJ192" s="972"/>
      <c r="BK192" s="972"/>
      <c r="BL192" s="972"/>
      <c r="BM192" s="972"/>
      <c r="BN192" s="972"/>
      <c r="BO192" s="972"/>
      <c r="BP192" s="972"/>
      <c r="BQ192" s="972"/>
      <c r="BR192" s="972"/>
      <c r="BS192" s="972"/>
      <c r="BT192" s="972"/>
      <c r="BU192" s="972"/>
      <c r="BV192" s="972"/>
      <c r="BW192" s="972"/>
      <c r="BX192" s="972"/>
      <c r="BY192" s="972"/>
      <c r="BZ192" s="972"/>
      <c r="CA192" s="972"/>
      <c r="CB192" s="973"/>
      <c r="CC192" s="295"/>
      <c r="CD192" s="295"/>
      <c r="CE192" s="296"/>
    </row>
    <row r="193" spans="1:83" s="297" customFormat="1" x14ac:dyDescent="0.15">
      <c r="A193" s="298"/>
      <c r="B193" s="295"/>
      <c r="C193" s="295"/>
      <c r="D193" s="964"/>
      <c r="E193" s="965"/>
      <c r="F193" s="965"/>
      <c r="G193" s="965"/>
      <c r="H193" s="966"/>
      <c r="I193" s="522"/>
      <c r="J193" s="523"/>
      <c r="K193" s="523"/>
      <c r="L193" s="523"/>
      <c r="M193" s="523"/>
      <c r="N193" s="523"/>
      <c r="O193" s="523"/>
      <c r="P193" s="523"/>
      <c r="Q193" s="523"/>
      <c r="R193" s="523"/>
      <c r="S193" s="523"/>
      <c r="T193" s="523"/>
      <c r="U193" s="523"/>
      <c r="V193" s="523"/>
      <c r="W193" s="523"/>
      <c r="X193" s="523"/>
      <c r="Y193" s="523"/>
      <c r="Z193" s="523"/>
      <c r="AA193" s="523"/>
      <c r="AB193" s="523"/>
      <c r="AC193" s="523"/>
      <c r="AD193" s="523"/>
      <c r="AE193" s="523"/>
      <c r="AF193" s="523"/>
      <c r="AG193" s="524"/>
      <c r="AH193" s="971"/>
      <c r="AI193" s="972"/>
      <c r="AJ193" s="972"/>
      <c r="AK193" s="972"/>
      <c r="AL193" s="972"/>
      <c r="AM193" s="972"/>
      <c r="AN193" s="972"/>
      <c r="AO193" s="972"/>
      <c r="AP193" s="972"/>
      <c r="AQ193" s="972"/>
      <c r="AR193" s="972"/>
      <c r="AS193" s="972"/>
      <c r="AT193" s="972"/>
      <c r="AU193" s="972"/>
      <c r="AV193" s="972"/>
      <c r="AW193" s="972"/>
      <c r="AX193" s="972"/>
      <c r="AY193" s="972"/>
      <c r="AZ193" s="972"/>
      <c r="BA193" s="972"/>
      <c r="BB193" s="972"/>
      <c r="BC193" s="972"/>
      <c r="BD193" s="972"/>
      <c r="BE193" s="972"/>
      <c r="BF193" s="972"/>
      <c r="BG193" s="972"/>
      <c r="BH193" s="972"/>
      <c r="BI193" s="972"/>
      <c r="BJ193" s="972"/>
      <c r="BK193" s="972"/>
      <c r="BL193" s="972"/>
      <c r="BM193" s="972"/>
      <c r="BN193" s="972"/>
      <c r="BO193" s="972"/>
      <c r="BP193" s="972"/>
      <c r="BQ193" s="972"/>
      <c r="BR193" s="972"/>
      <c r="BS193" s="972"/>
      <c r="BT193" s="972"/>
      <c r="BU193" s="972"/>
      <c r="BV193" s="972"/>
      <c r="BW193" s="972"/>
      <c r="BX193" s="972"/>
      <c r="BY193" s="972"/>
      <c r="BZ193" s="972"/>
      <c r="CA193" s="972"/>
      <c r="CB193" s="973"/>
      <c r="CC193" s="295"/>
      <c r="CD193" s="295"/>
      <c r="CE193" s="296"/>
    </row>
    <row r="194" spans="1:83" s="297" customFormat="1" x14ac:dyDescent="0.15">
      <c r="A194" s="298"/>
      <c r="B194" s="295"/>
      <c r="C194" s="295"/>
      <c r="D194" s="964"/>
      <c r="E194" s="965"/>
      <c r="F194" s="965"/>
      <c r="G194" s="965"/>
      <c r="H194" s="966"/>
      <c r="I194" s="522"/>
      <c r="J194" s="523"/>
      <c r="K194" s="523"/>
      <c r="L194" s="523"/>
      <c r="M194" s="523"/>
      <c r="N194" s="523"/>
      <c r="O194" s="523"/>
      <c r="P194" s="523"/>
      <c r="Q194" s="523"/>
      <c r="R194" s="523"/>
      <c r="S194" s="523"/>
      <c r="T194" s="523"/>
      <c r="U194" s="523"/>
      <c r="V194" s="523"/>
      <c r="W194" s="523"/>
      <c r="X194" s="523"/>
      <c r="Y194" s="523"/>
      <c r="Z194" s="523"/>
      <c r="AA194" s="523"/>
      <c r="AB194" s="523"/>
      <c r="AC194" s="523"/>
      <c r="AD194" s="523"/>
      <c r="AE194" s="523"/>
      <c r="AF194" s="523"/>
      <c r="AG194" s="524"/>
      <c r="AH194" s="971"/>
      <c r="AI194" s="972"/>
      <c r="AJ194" s="972"/>
      <c r="AK194" s="972"/>
      <c r="AL194" s="972"/>
      <c r="AM194" s="972"/>
      <c r="AN194" s="972"/>
      <c r="AO194" s="972"/>
      <c r="AP194" s="972"/>
      <c r="AQ194" s="972"/>
      <c r="AR194" s="972"/>
      <c r="AS194" s="972"/>
      <c r="AT194" s="972"/>
      <c r="AU194" s="972"/>
      <c r="AV194" s="972"/>
      <c r="AW194" s="972"/>
      <c r="AX194" s="972"/>
      <c r="AY194" s="972"/>
      <c r="AZ194" s="972"/>
      <c r="BA194" s="972"/>
      <c r="BB194" s="972"/>
      <c r="BC194" s="972"/>
      <c r="BD194" s="972"/>
      <c r="BE194" s="972"/>
      <c r="BF194" s="972"/>
      <c r="BG194" s="972"/>
      <c r="BH194" s="972"/>
      <c r="BI194" s="972"/>
      <c r="BJ194" s="972"/>
      <c r="BK194" s="972"/>
      <c r="BL194" s="972"/>
      <c r="BM194" s="972"/>
      <c r="BN194" s="972"/>
      <c r="BO194" s="972"/>
      <c r="BP194" s="972"/>
      <c r="BQ194" s="972"/>
      <c r="BR194" s="972"/>
      <c r="BS194" s="972"/>
      <c r="BT194" s="972"/>
      <c r="BU194" s="972"/>
      <c r="BV194" s="972"/>
      <c r="BW194" s="972"/>
      <c r="BX194" s="972"/>
      <c r="BY194" s="972"/>
      <c r="BZ194" s="972"/>
      <c r="CA194" s="972"/>
      <c r="CB194" s="973"/>
      <c r="CC194" s="295"/>
      <c r="CD194" s="295"/>
      <c r="CE194" s="296"/>
    </row>
    <row r="195" spans="1:83" s="297" customFormat="1" x14ac:dyDescent="0.15">
      <c r="A195" s="298"/>
      <c r="B195" s="295"/>
      <c r="C195" s="295"/>
      <c r="D195" s="964"/>
      <c r="E195" s="965"/>
      <c r="F195" s="965"/>
      <c r="G195" s="965"/>
      <c r="H195" s="966"/>
      <c r="I195" s="522"/>
      <c r="J195" s="523"/>
      <c r="K195" s="523"/>
      <c r="L195" s="523"/>
      <c r="M195" s="523"/>
      <c r="N195" s="523"/>
      <c r="O195" s="523"/>
      <c r="P195" s="523"/>
      <c r="Q195" s="523"/>
      <c r="R195" s="523"/>
      <c r="S195" s="523"/>
      <c r="T195" s="523"/>
      <c r="U195" s="523"/>
      <c r="V195" s="523"/>
      <c r="W195" s="523"/>
      <c r="X195" s="523"/>
      <c r="Y195" s="523"/>
      <c r="Z195" s="523"/>
      <c r="AA195" s="523"/>
      <c r="AB195" s="523"/>
      <c r="AC195" s="523"/>
      <c r="AD195" s="523"/>
      <c r="AE195" s="523"/>
      <c r="AF195" s="523"/>
      <c r="AG195" s="524"/>
      <c r="AH195" s="971"/>
      <c r="AI195" s="972"/>
      <c r="AJ195" s="972"/>
      <c r="AK195" s="972"/>
      <c r="AL195" s="972"/>
      <c r="AM195" s="972"/>
      <c r="AN195" s="972"/>
      <c r="AO195" s="972"/>
      <c r="AP195" s="972"/>
      <c r="AQ195" s="972"/>
      <c r="AR195" s="972"/>
      <c r="AS195" s="972"/>
      <c r="AT195" s="972"/>
      <c r="AU195" s="972"/>
      <c r="AV195" s="972"/>
      <c r="AW195" s="972"/>
      <c r="AX195" s="972"/>
      <c r="AY195" s="972"/>
      <c r="AZ195" s="972"/>
      <c r="BA195" s="972"/>
      <c r="BB195" s="972"/>
      <c r="BC195" s="972"/>
      <c r="BD195" s="972"/>
      <c r="BE195" s="972"/>
      <c r="BF195" s="972"/>
      <c r="BG195" s="972"/>
      <c r="BH195" s="972"/>
      <c r="BI195" s="972"/>
      <c r="BJ195" s="972"/>
      <c r="BK195" s="972"/>
      <c r="BL195" s="972"/>
      <c r="BM195" s="972"/>
      <c r="BN195" s="972"/>
      <c r="BO195" s="972"/>
      <c r="BP195" s="972"/>
      <c r="BQ195" s="972"/>
      <c r="BR195" s="972"/>
      <c r="BS195" s="972"/>
      <c r="BT195" s="972"/>
      <c r="BU195" s="972"/>
      <c r="BV195" s="972"/>
      <c r="BW195" s="972"/>
      <c r="BX195" s="972"/>
      <c r="BY195" s="972"/>
      <c r="BZ195" s="972"/>
      <c r="CA195" s="972"/>
      <c r="CB195" s="973"/>
      <c r="CC195" s="295"/>
      <c r="CD195" s="295"/>
      <c r="CE195" s="296"/>
    </row>
    <row r="196" spans="1:83" s="297" customFormat="1" x14ac:dyDescent="0.15">
      <c r="A196" s="298"/>
      <c r="B196" s="295"/>
      <c r="C196" s="295"/>
      <c r="D196" s="967"/>
      <c r="E196" s="965"/>
      <c r="F196" s="965"/>
      <c r="G196" s="965"/>
      <c r="H196" s="966"/>
      <c r="I196" s="522"/>
      <c r="J196" s="523"/>
      <c r="K196" s="523"/>
      <c r="L196" s="523"/>
      <c r="M196" s="523"/>
      <c r="N196" s="523"/>
      <c r="O196" s="523"/>
      <c r="P196" s="523"/>
      <c r="Q196" s="523"/>
      <c r="R196" s="523"/>
      <c r="S196" s="523"/>
      <c r="T196" s="523"/>
      <c r="U196" s="523"/>
      <c r="V196" s="523"/>
      <c r="W196" s="523"/>
      <c r="X196" s="523"/>
      <c r="Y196" s="523"/>
      <c r="Z196" s="523"/>
      <c r="AA196" s="523"/>
      <c r="AB196" s="523"/>
      <c r="AC196" s="523"/>
      <c r="AD196" s="523"/>
      <c r="AE196" s="523"/>
      <c r="AF196" s="523"/>
      <c r="AG196" s="524"/>
      <c r="AH196" s="971"/>
      <c r="AI196" s="972"/>
      <c r="AJ196" s="972"/>
      <c r="AK196" s="972"/>
      <c r="AL196" s="972"/>
      <c r="AM196" s="972"/>
      <c r="AN196" s="972"/>
      <c r="AO196" s="972"/>
      <c r="AP196" s="972"/>
      <c r="AQ196" s="972"/>
      <c r="AR196" s="972"/>
      <c r="AS196" s="972"/>
      <c r="AT196" s="972"/>
      <c r="AU196" s="972"/>
      <c r="AV196" s="972"/>
      <c r="AW196" s="972"/>
      <c r="AX196" s="972"/>
      <c r="AY196" s="972"/>
      <c r="AZ196" s="972"/>
      <c r="BA196" s="972"/>
      <c r="BB196" s="972"/>
      <c r="BC196" s="972"/>
      <c r="BD196" s="972"/>
      <c r="BE196" s="972"/>
      <c r="BF196" s="972"/>
      <c r="BG196" s="972"/>
      <c r="BH196" s="972"/>
      <c r="BI196" s="972"/>
      <c r="BJ196" s="972"/>
      <c r="BK196" s="972"/>
      <c r="BL196" s="972"/>
      <c r="BM196" s="972"/>
      <c r="BN196" s="972"/>
      <c r="BO196" s="972"/>
      <c r="BP196" s="972"/>
      <c r="BQ196" s="972"/>
      <c r="BR196" s="972"/>
      <c r="BS196" s="972"/>
      <c r="BT196" s="972"/>
      <c r="BU196" s="972"/>
      <c r="BV196" s="972"/>
      <c r="BW196" s="972"/>
      <c r="BX196" s="972"/>
      <c r="BY196" s="972"/>
      <c r="BZ196" s="972"/>
      <c r="CA196" s="972"/>
      <c r="CB196" s="973"/>
      <c r="CC196" s="295"/>
      <c r="CD196" s="295"/>
      <c r="CE196" s="296"/>
    </row>
    <row r="197" spans="1:83" s="297" customFormat="1" x14ac:dyDescent="0.15">
      <c r="A197" s="298"/>
      <c r="B197" s="295"/>
      <c r="C197" s="295"/>
      <c r="D197" s="974" t="s">
        <v>304</v>
      </c>
      <c r="E197" s="975"/>
      <c r="F197" s="975"/>
      <c r="G197" s="975"/>
      <c r="H197" s="976"/>
      <c r="I197" s="507" t="s">
        <v>305</v>
      </c>
      <c r="J197" s="508"/>
      <c r="K197" s="508"/>
      <c r="L197" s="508"/>
      <c r="M197" s="508"/>
      <c r="N197" s="508"/>
      <c r="O197" s="508"/>
      <c r="P197" s="508"/>
      <c r="Q197" s="508"/>
      <c r="R197" s="508"/>
      <c r="S197" s="508"/>
      <c r="T197" s="508"/>
      <c r="U197" s="508"/>
      <c r="V197" s="508"/>
      <c r="W197" s="508"/>
      <c r="X197" s="508"/>
      <c r="Y197" s="508"/>
      <c r="Z197" s="508"/>
      <c r="AA197" s="508"/>
      <c r="AB197" s="508"/>
      <c r="AC197" s="508"/>
      <c r="AD197" s="508"/>
      <c r="AE197" s="508"/>
      <c r="AF197" s="508"/>
      <c r="AG197" s="509"/>
      <c r="AH197" s="507" t="s">
        <v>416</v>
      </c>
      <c r="AI197" s="508"/>
      <c r="AJ197" s="508"/>
      <c r="AK197" s="508"/>
      <c r="AL197" s="508"/>
      <c r="AM197" s="508"/>
      <c r="AN197" s="508"/>
      <c r="AO197" s="508"/>
      <c r="AP197" s="508"/>
      <c r="AQ197" s="508"/>
      <c r="AR197" s="508"/>
      <c r="AS197" s="508"/>
      <c r="AT197" s="508"/>
      <c r="AU197" s="508"/>
      <c r="AV197" s="508"/>
      <c r="AW197" s="508"/>
      <c r="AX197" s="508"/>
      <c r="AY197" s="508"/>
      <c r="AZ197" s="508"/>
      <c r="BA197" s="508"/>
      <c r="BB197" s="508"/>
      <c r="BC197" s="508"/>
      <c r="BD197" s="508"/>
      <c r="BE197" s="508"/>
      <c r="BF197" s="508"/>
      <c r="BG197" s="508"/>
      <c r="BH197" s="508"/>
      <c r="BI197" s="508"/>
      <c r="BJ197" s="508"/>
      <c r="BK197" s="508"/>
      <c r="BL197" s="508"/>
      <c r="BM197" s="508"/>
      <c r="BN197" s="508"/>
      <c r="BO197" s="508"/>
      <c r="BP197" s="508"/>
      <c r="BQ197" s="508"/>
      <c r="BR197" s="508"/>
      <c r="BS197" s="508"/>
      <c r="BT197" s="508"/>
      <c r="BU197" s="508"/>
      <c r="BV197" s="508"/>
      <c r="BW197" s="508"/>
      <c r="BX197" s="508"/>
      <c r="BY197" s="508"/>
      <c r="BZ197" s="508"/>
      <c r="CA197" s="508"/>
      <c r="CB197" s="509"/>
      <c r="CC197" s="295"/>
      <c r="CD197" s="295"/>
      <c r="CE197" s="296"/>
    </row>
    <row r="198" spans="1:83" s="297" customFormat="1" x14ac:dyDescent="0.15">
      <c r="A198" s="298"/>
      <c r="B198" s="295"/>
      <c r="C198" s="295"/>
      <c r="D198" s="977" t="s">
        <v>306</v>
      </c>
      <c r="E198" s="978"/>
      <c r="F198" s="978"/>
      <c r="G198" s="978"/>
      <c r="H198" s="979"/>
      <c r="I198" s="111" t="s">
        <v>421</v>
      </c>
      <c r="J198" s="112"/>
      <c r="K198" s="112"/>
      <c r="L198" s="112"/>
      <c r="M198" s="112"/>
      <c r="N198" s="112"/>
      <c r="O198" s="112"/>
      <c r="P198" s="112"/>
      <c r="Q198" s="112"/>
      <c r="R198" s="112"/>
      <c r="S198" s="749" t="s">
        <v>861</v>
      </c>
      <c r="T198" s="750"/>
      <c r="U198" s="750"/>
      <c r="V198" s="750"/>
      <c r="W198" s="750"/>
      <c r="X198" s="750"/>
      <c r="Y198" s="750"/>
      <c r="Z198" s="750"/>
      <c r="AA198" s="750"/>
      <c r="AB198" s="750"/>
      <c r="AC198" s="750"/>
      <c r="AD198" s="750"/>
      <c r="AE198" s="750"/>
      <c r="AF198" s="750"/>
      <c r="AG198" s="751"/>
      <c r="AH198" s="749" t="s">
        <v>440</v>
      </c>
      <c r="AI198" s="750"/>
      <c r="AJ198" s="750"/>
      <c r="AK198" s="750"/>
      <c r="AL198" s="750"/>
      <c r="AM198" s="750"/>
      <c r="AN198" s="750"/>
      <c r="AO198" s="750"/>
      <c r="AP198" s="750"/>
      <c r="AQ198" s="750"/>
      <c r="AR198" s="750"/>
      <c r="AS198" s="750"/>
      <c r="AT198" s="750"/>
      <c r="AU198" s="750"/>
      <c r="AV198" s="750"/>
      <c r="AW198" s="750"/>
      <c r="AX198" s="750"/>
      <c r="AY198" s="750"/>
      <c r="AZ198" s="750"/>
      <c r="BA198" s="750"/>
      <c r="BB198" s="750"/>
      <c r="BC198" s="750"/>
      <c r="BD198" s="750"/>
      <c r="BE198" s="750"/>
      <c r="BF198" s="750"/>
      <c r="BG198" s="750"/>
      <c r="BH198" s="750"/>
      <c r="BI198" s="750"/>
      <c r="BJ198" s="750"/>
      <c r="BK198" s="750"/>
      <c r="BL198" s="750"/>
      <c r="BM198" s="750"/>
      <c r="BN198" s="750"/>
      <c r="BO198" s="750"/>
      <c r="BP198" s="750"/>
      <c r="BQ198" s="750"/>
      <c r="BR198" s="750"/>
      <c r="BS198" s="750"/>
      <c r="BT198" s="750"/>
      <c r="BU198" s="750"/>
      <c r="BV198" s="750"/>
      <c r="BW198" s="750"/>
      <c r="BX198" s="750"/>
      <c r="BY198" s="750"/>
      <c r="BZ198" s="750"/>
      <c r="CA198" s="750"/>
      <c r="CB198" s="751"/>
      <c r="CC198" s="295"/>
      <c r="CD198" s="295"/>
      <c r="CE198" s="296"/>
    </row>
    <row r="199" spans="1:83" s="297" customFormat="1" x14ac:dyDescent="0.15">
      <c r="A199" s="298"/>
      <c r="B199" s="295"/>
      <c r="C199" s="295"/>
      <c r="D199" s="980"/>
      <c r="E199" s="981"/>
      <c r="F199" s="981"/>
      <c r="G199" s="981"/>
      <c r="H199" s="982"/>
      <c r="I199" s="127"/>
      <c r="J199" s="125"/>
      <c r="K199" s="125"/>
      <c r="L199" s="125"/>
      <c r="M199" s="125"/>
      <c r="N199" s="125"/>
      <c r="O199" s="125"/>
      <c r="P199" s="125"/>
      <c r="Q199" s="125"/>
      <c r="R199" s="125"/>
      <c r="S199" s="111" t="s">
        <v>435</v>
      </c>
      <c r="T199" s="112"/>
      <c r="U199" s="112"/>
      <c r="V199" s="112"/>
      <c r="W199" s="112"/>
      <c r="X199" s="112"/>
      <c r="Y199" s="112"/>
      <c r="Z199" s="112"/>
      <c r="AA199" s="112"/>
      <c r="AB199" s="112"/>
      <c r="AC199" s="112"/>
      <c r="AD199" s="112"/>
      <c r="AE199" s="112"/>
      <c r="AF199" s="112"/>
      <c r="AG199" s="145"/>
      <c r="AH199" s="782" t="s">
        <v>440</v>
      </c>
      <c r="AI199" s="783"/>
      <c r="AJ199" s="783"/>
      <c r="AK199" s="783"/>
      <c r="AL199" s="783"/>
      <c r="AM199" s="783"/>
      <c r="AN199" s="783"/>
      <c r="AO199" s="783"/>
      <c r="AP199" s="783"/>
      <c r="AQ199" s="783"/>
      <c r="AR199" s="783"/>
      <c r="AS199" s="783"/>
      <c r="AT199" s="783"/>
      <c r="AU199" s="783"/>
      <c r="AV199" s="783"/>
      <c r="AW199" s="783"/>
      <c r="AX199" s="783"/>
      <c r="AY199" s="783"/>
      <c r="AZ199" s="783"/>
      <c r="BA199" s="783"/>
      <c r="BB199" s="783"/>
      <c r="BC199" s="783"/>
      <c r="BD199" s="783"/>
      <c r="BE199" s="783"/>
      <c r="BF199" s="783"/>
      <c r="BG199" s="783"/>
      <c r="BH199" s="783"/>
      <c r="BI199" s="783"/>
      <c r="BJ199" s="783"/>
      <c r="BK199" s="783"/>
      <c r="BL199" s="783"/>
      <c r="BM199" s="783"/>
      <c r="BN199" s="783"/>
      <c r="BO199" s="783"/>
      <c r="BP199" s="783"/>
      <c r="BQ199" s="783"/>
      <c r="BR199" s="783"/>
      <c r="BS199" s="783"/>
      <c r="BT199" s="783"/>
      <c r="BU199" s="783"/>
      <c r="BV199" s="783"/>
      <c r="BW199" s="783"/>
      <c r="BX199" s="783"/>
      <c r="BY199" s="783"/>
      <c r="BZ199" s="783"/>
      <c r="CA199" s="783"/>
      <c r="CB199" s="784"/>
      <c r="CC199" s="295"/>
      <c r="CD199" s="295"/>
      <c r="CE199" s="296"/>
    </row>
    <row r="200" spans="1:83" s="297" customFormat="1" ht="13.5" x14ac:dyDescent="0.15">
      <c r="A200" s="298"/>
      <c r="B200" s="295"/>
      <c r="C200" s="295"/>
      <c r="D200" s="983"/>
      <c r="E200" s="984"/>
      <c r="F200" s="984"/>
      <c r="G200" s="984"/>
      <c r="H200" s="985"/>
      <c r="I200" s="178"/>
      <c r="J200" s="179"/>
      <c r="K200" s="179"/>
      <c r="L200" s="179"/>
      <c r="M200" s="179"/>
      <c r="N200" s="179"/>
      <c r="O200" s="179"/>
      <c r="P200" s="179"/>
      <c r="Q200" s="179"/>
      <c r="R200" s="179"/>
      <c r="S200" s="150" t="s">
        <v>436</v>
      </c>
      <c r="T200" s="151"/>
      <c r="U200" s="151"/>
      <c r="V200" s="151"/>
      <c r="W200" s="151"/>
      <c r="X200" s="151"/>
      <c r="Y200" s="151"/>
      <c r="Z200" s="151"/>
      <c r="AA200" s="151"/>
      <c r="AB200" s="151"/>
      <c r="AC200" s="151"/>
      <c r="AD200" s="151"/>
      <c r="AE200" s="151"/>
      <c r="AF200" s="151"/>
      <c r="AG200" s="152"/>
      <c r="AH200" s="785"/>
      <c r="AI200" s="786"/>
      <c r="AJ200" s="786"/>
      <c r="AK200" s="786"/>
      <c r="AL200" s="786"/>
      <c r="AM200" s="786"/>
      <c r="AN200" s="786"/>
      <c r="AO200" s="786"/>
      <c r="AP200" s="786"/>
      <c r="AQ200" s="786"/>
      <c r="AR200" s="786"/>
      <c r="AS200" s="786"/>
      <c r="AT200" s="786"/>
      <c r="AU200" s="786"/>
      <c r="AV200" s="786"/>
      <c r="AW200" s="786"/>
      <c r="AX200" s="786"/>
      <c r="AY200" s="786"/>
      <c r="AZ200" s="786"/>
      <c r="BA200" s="786"/>
      <c r="BB200" s="786"/>
      <c r="BC200" s="786"/>
      <c r="BD200" s="786"/>
      <c r="BE200" s="786"/>
      <c r="BF200" s="786"/>
      <c r="BG200" s="786"/>
      <c r="BH200" s="786"/>
      <c r="BI200" s="786"/>
      <c r="BJ200" s="786"/>
      <c r="BK200" s="786"/>
      <c r="BL200" s="786"/>
      <c r="BM200" s="786"/>
      <c r="BN200" s="786"/>
      <c r="BO200" s="786"/>
      <c r="BP200" s="786"/>
      <c r="BQ200" s="786"/>
      <c r="BR200" s="786"/>
      <c r="BS200" s="786"/>
      <c r="BT200" s="786"/>
      <c r="BU200" s="786"/>
      <c r="BV200" s="786"/>
      <c r="BW200" s="786"/>
      <c r="BX200" s="786"/>
      <c r="BY200" s="786"/>
      <c r="BZ200" s="786"/>
      <c r="CA200" s="786"/>
      <c r="CB200" s="787"/>
      <c r="CC200" s="295"/>
      <c r="CD200" s="295"/>
      <c r="CE200" s="296"/>
    </row>
    <row r="201" spans="1:83" ht="12.75" thickBot="1" x14ac:dyDescent="0.2">
      <c r="A201" s="110"/>
      <c r="B201" s="103"/>
      <c r="C201" s="103"/>
      <c r="D201" s="986" t="s">
        <v>732</v>
      </c>
      <c r="E201" s="987"/>
      <c r="F201" s="987"/>
      <c r="G201" s="987"/>
      <c r="H201" s="988"/>
      <c r="I201" s="989" t="s">
        <v>767</v>
      </c>
      <c r="J201" s="990"/>
      <c r="K201" s="990"/>
      <c r="L201" s="990"/>
      <c r="M201" s="990"/>
      <c r="N201" s="990"/>
      <c r="O201" s="990"/>
      <c r="P201" s="990"/>
      <c r="Q201" s="990"/>
      <c r="R201" s="990"/>
      <c r="S201" s="990"/>
      <c r="T201" s="990"/>
      <c r="U201" s="990"/>
      <c r="V201" s="990"/>
      <c r="W201" s="990"/>
      <c r="X201" s="990"/>
      <c r="Y201" s="990"/>
      <c r="Z201" s="990"/>
      <c r="AA201" s="990"/>
      <c r="AB201" s="990"/>
      <c r="AC201" s="990"/>
      <c r="AD201" s="990"/>
      <c r="AE201" s="990"/>
      <c r="AF201" s="990"/>
      <c r="AG201" s="991"/>
      <c r="AH201" s="989" t="s">
        <v>416</v>
      </c>
      <c r="AI201" s="990"/>
      <c r="AJ201" s="990"/>
      <c r="AK201" s="990"/>
      <c r="AL201" s="990"/>
      <c r="AM201" s="990"/>
      <c r="AN201" s="990"/>
      <c r="AO201" s="990"/>
      <c r="AP201" s="990"/>
      <c r="AQ201" s="990"/>
      <c r="AR201" s="990"/>
      <c r="AS201" s="990"/>
      <c r="AT201" s="990"/>
      <c r="AU201" s="990"/>
      <c r="AV201" s="990"/>
      <c r="AW201" s="990"/>
      <c r="AX201" s="990"/>
      <c r="AY201" s="990"/>
      <c r="AZ201" s="990"/>
      <c r="BA201" s="990"/>
      <c r="BB201" s="990"/>
      <c r="BC201" s="990"/>
      <c r="BD201" s="990"/>
      <c r="BE201" s="990"/>
      <c r="BF201" s="990"/>
      <c r="BG201" s="990"/>
      <c r="BH201" s="990"/>
      <c r="BI201" s="990"/>
      <c r="BJ201" s="990"/>
      <c r="BK201" s="990"/>
      <c r="BL201" s="990"/>
      <c r="BM201" s="990"/>
      <c r="BN201" s="990"/>
      <c r="BO201" s="990"/>
      <c r="BP201" s="990"/>
      <c r="BQ201" s="990"/>
      <c r="BR201" s="990"/>
      <c r="BS201" s="990"/>
      <c r="BT201" s="990"/>
      <c r="BU201" s="990"/>
      <c r="BV201" s="990"/>
      <c r="BW201" s="990"/>
      <c r="BX201" s="990"/>
      <c r="BY201" s="990"/>
      <c r="BZ201" s="990"/>
      <c r="CA201" s="990"/>
      <c r="CB201" s="991"/>
      <c r="CC201" s="103"/>
      <c r="CD201" s="103"/>
      <c r="CE201" s="105"/>
    </row>
    <row r="202" spans="1:83" s="9" customFormat="1" ht="12" customHeight="1" x14ac:dyDescent="0.15">
      <c r="A202" s="13"/>
      <c r="B202" s="14"/>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59"/>
      <c r="AT202" s="159"/>
      <c r="AU202" s="159"/>
      <c r="AV202" s="159"/>
      <c r="AW202" s="159"/>
      <c r="AX202" s="159"/>
      <c r="AY202" s="159"/>
      <c r="AZ202" s="160"/>
      <c r="BA202" s="160"/>
      <c r="BB202" s="160"/>
      <c r="BC202" s="160"/>
      <c r="BD202" s="160"/>
      <c r="BE202" s="160"/>
      <c r="BF202" s="160"/>
      <c r="BG202" s="160"/>
      <c r="BH202" s="160"/>
      <c r="BI202" s="160"/>
      <c r="BJ202" s="160"/>
      <c r="BK202" s="160"/>
      <c r="BL202" s="160"/>
      <c r="BM202" s="160"/>
      <c r="BN202" s="160"/>
      <c r="BO202" s="160"/>
      <c r="BP202" s="160"/>
      <c r="BQ202" s="160"/>
      <c r="BR202" s="160"/>
      <c r="BS202" s="160"/>
      <c r="BT202" s="160"/>
      <c r="BU202" s="160"/>
      <c r="BV202" s="160"/>
      <c r="BW202" s="160"/>
      <c r="BX202" s="160"/>
      <c r="BY202" s="160"/>
      <c r="BZ202" s="160"/>
      <c r="CA202" s="160"/>
      <c r="CB202" s="160"/>
      <c r="CC202" s="159"/>
      <c r="CD202" s="159"/>
      <c r="CE202" s="15"/>
    </row>
    <row r="203" spans="1:83" s="9" customFormat="1" ht="12" customHeight="1" x14ac:dyDescent="0.15">
      <c r="A203" s="16"/>
      <c r="B203" s="8"/>
      <c r="C203" s="17"/>
      <c r="D203" s="17"/>
      <c r="E203" s="22" t="s">
        <v>309</v>
      </c>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17"/>
      <c r="CD203" s="17"/>
      <c r="CE203" s="18"/>
    </row>
    <row r="204" spans="1:83" s="4" customFormat="1" ht="12" customHeight="1" x14ac:dyDescent="0.15">
      <c r="A204" s="16"/>
      <c r="B204" s="5"/>
      <c r="C204" s="5"/>
      <c r="D204" s="5"/>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2"/>
      <c r="CB204" s="12"/>
      <c r="CC204" s="12"/>
      <c r="CD204" s="12"/>
      <c r="CE204" s="18"/>
    </row>
    <row r="205" spans="1:83" s="4" customFormat="1" ht="12" customHeight="1" x14ac:dyDescent="0.15">
      <c r="A205" s="16"/>
      <c r="B205" s="73"/>
      <c r="C205" s="12"/>
      <c r="D205" s="12"/>
      <c r="E205" s="17"/>
      <c r="F205" s="17"/>
      <c r="G205" s="17" t="s">
        <v>603</v>
      </c>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2"/>
      <c r="CB205" s="12"/>
      <c r="CC205" s="12"/>
      <c r="CD205" s="12"/>
      <c r="CE205" s="18"/>
    </row>
    <row r="206" spans="1:83" s="9" customFormat="1" ht="12" customHeight="1" x14ac:dyDescent="0.15">
      <c r="A206" s="16"/>
      <c r="B206" s="8"/>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17"/>
      <c r="CD206" s="17"/>
      <c r="CE206" s="18"/>
    </row>
    <row r="207" spans="1:83" s="6" customFormat="1" ht="12" customHeight="1" x14ac:dyDescent="0.15">
      <c r="A207" s="16"/>
      <c r="B207" s="5"/>
      <c r="C207" s="12"/>
      <c r="D207" s="12"/>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2"/>
      <c r="CB207" s="12"/>
      <c r="CC207" s="12"/>
      <c r="CD207" s="12"/>
      <c r="CE207" s="18"/>
    </row>
    <row r="208" spans="1:83" s="4" customFormat="1" ht="12" customHeight="1" x14ac:dyDescent="0.15">
      <c r="A208" s="16"/>
      <c r="B208" s="73"/>
      <c r="C208" s="12"/>
      <c r="D208" s="12"/>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2"/>
      <c r="CB208" s="12"/>
      <c r="CC208" s="12"/>
      <c r="CD208" s="12"/>
      <c r="CE208" s="18"/>
    </row>
    <row r="209" spans="1:83" s="4" customFormat="1" ht="12" customHeight="1" x14ac:dyDescent="0.15">
      <c r="A209" s="16"/>
      <c r="B209" s="73"/>
      <c r="C209" s="12"/>
      <c r="D209" s="12"/>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2"/>
      <c r="CB209" s="12"/>
      <c r="CC209" s="12"/>
      <c r="CD209" s="12"/>
      <c r="CE209" s="18"/>
    </row>
    <row r="210" spans="1:83" s="4" customFormat="1" ht="12" customHeight="1" x14ac:dyDescent="0.15">
      <c r="A210" s="16"/>
      <c r="B210" s="73"/>
      <c r="C210" s="12"/>
      <c r="D210" s="12"/>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2"/>
      <c r="CB210" s="12"/>
      <c r="CC210" s="12"/>
      <c r="CD210" s="12"/>
      <c r="CE210" s="18"/>
    </row>
    <row r="211" spans="1:83" s="4" customFormat="1" ht="12" customHeight="1" x14ac:dyDescent="0.15">
      <c r="A211" s="16"/>
      <c r="B211" s="73"/>
      <c r="C211" s="12"/>
      <c r="D211" s="12"/>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2"/>
      <c r="CB211" s="12"/>
      <c r="CC211" s="12"/>
      <c r="CD211" s="12"/>
      <c r="CE211" s="18"/>
    </row>
    <row r="212" spans="1:83" s="4" customFormat="1" ht="12" customHeight="1" x14ac:dyDescent="0.15">
      <c r="A212" s="16"/>
      <c r="B212" s="8"/>
      <c r="C212" s="12"/>
      <c r="D212" s="12"/>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2"/>
      <c r="CB212" s="12"/>
      <c r="CC212" s="12"/>
      <c r="CD212" s="12"/>
      <c r="CE212" s="18"/>
    </row>
    <row r="213" spans="1:83" s="4" customFormat="1" ht="12" customHeight="1" x14ac:dyDescent="0.15">
      <c r="A213" s="16"/>
      <c r="B213" s="8"/>
      <c r="C213" s="12"/>
      <c r="D213" s="12"/>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2"/>
      <c r="CB213" s="12"/>
      <c r="CC213" s="12"/>
      <c r="CD213" s="12"/>
      <c r="CE213" s="18"/>
    </row>
    <row r="214" spans="1:83" s="9" customFormat="1" ht="12" customHeight="1" x14ac:dyDescent="0.15">
      <c r="A214" s="16"/>
      <c r="B214" s="8"/>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17"/>
      <c r="CD214" s="17"/>
      <c r="CE214" s="18"/>
    </row>
    <row r="215" spans="1:83" s="9" customFormat="1" ht="12" customHeight="1" x14ac:dyDescent="0.15">
      <c r="A215" s="16"/>
      <c r="B215" s="8"/>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17"/>
      <c r="CD215" s="17"/>
      <c r="CE215" s="18"/>
    </row>
    <row r="216" spans="1:83" s="9" customFormat="1" ht="12" customHeight="1" x14ac:dyDescent="0.15">
      <c r="A216" s="16"/>
      <c r="B216" s="8"/>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17"/>
      <c r="CD216" s="17"/>
      <c r="CE216" s="18"/>
    </row>
    <row r="217" spans="1:83" s="9" customFormat="1" ht="12" customHeight="1" x14ac:dyDescent="0.15">
      <c r="A217" s="16"/>
      <c r="B217" s="8"/>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17"/>
      <c r="CD217" s="17"/>
      <c r="CE217" s="18"/>
    </row>
    <row r="218" spans="1:83" s="9" customFormat="1" ht="12" customHeight="1" x14ac:dyDescent="0.15">
      <c r="A218" s="16"/>
      <c r="B218" s="8"/>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17"/>
      <c r="CD218" s="17"/>
      <c r="CE218" s="18"/>
    </row>
    <row r="219" spans="1:83" s="9" customFormat="1" ht="12" customHeight="1" x14ac:dyDescent="0.15">
      <c r="A219" s="16"/>
      <c r="B219" s="8"/>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17"/>
      <c r="CD219" s="17"/>
      <c r="CE219" s="18"/>
    </row>
    <row r="220" spans="1:83" s="9" customFormat="1" ht="12" customHeight="1" x14ac:dyDescent="0.15">
      <c r="A220" s="16"/>
      <c r="B220" s="8"/>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17"/>
      <c r="CD220" s="17"/>
      <c r="CE220" s="18"/>
    </row>
    <row r="221" spans="1:83" s="9" customFormat="1" ht="12" customHeight="1" x14ac:dyDescent="0.15">
      <c r="A221" s="16"/>
      <c r="B221" s="8"/>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17"/>
      <c r="CD221" s="17"/>
      <c r="CE221" s="18"/>
    </row>
    <row r="222" spans="1:83" s="9" customFormat="1" ht="12" customHeight="1" x14ac:dyDescent="0.15">
      <c r="A222" s="16"/>
      <c r="B222" s="8"/>
      <c r="C222" s="17"/>
      <c r="D222" s="157"/>
      <c r="E222" s="157"/>
      <c r="F222" s="15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17"/>
      <c r="CD222" s="17"/>
      <c r="CE222" s="18"/>
    </row>
    <row r="223" spans="1:83" s="9" customFormat="1" ht="12" customHeight="1" x14ac:dyDescent="0.15">
      <c r="A223" s="16"/>
      <c r="B223" s="8"/>
      <c r="C223" s="17"/>
      <c r="D223" s="157"/>
      <c r="E223" s="157"/>
      <c r="F223" s="15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17"/>
      <c r="CD223" s="17"/>
      <c r="CE223" s="18"/>
    </row>
    <row r="224" spans="1:83" s="9" customFormat="1" ht="12" customHeight="1" x14ac:dyDescent="0.15">
      <c r="A224" s="16"/>
      <c r="B224" s="8"/>
      <c r="C224" s="17"/>
      <c r="D224" s="157"/>
      <c r="E224" s="157"/>
      <c r="F224" s="15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17"/>
      <c r="CD224" s="17"/>
      <c r="CE224" s="18"/>
    </row>
    <row r="225" spans="1:83" s="9" customFormat="1" ht="12" customHeight="1" x14ac:dyDescent="0.15">
      <c r="A225" s="16"/>
      <c r="B225" s="8"/>
      <c r="C225" s="17"/>
      <c r="D225" s="157"/>
      <c r="E225" s="157"/>
      <c r="F225" s="15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17"/>
      <c r="CD225" s="17"/>
      <c r="CE225" s="18"/>
    </row>
    <row r="226" spans="1:83" s="9" customFormat="1" ht="12" customHeight="1" x14ac:dyDescent="0.15">
      <c r="A226" s="16"/>
      <c r="B226" s="8"/>
      <c r="C226" s="17"/>
      <c r="D226" s="157"/>
      <c r="E226" s="157"/>
      <c r="F226" s="15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17"/>
      <c r="CD226" s="17"/>
      <c r="CE226" s="18"/>
    </row>
    <row r="227" spans="1:83" s="9" customFormat="1" ht="12" customHeight="1" x14ac:dyDescent="0.15">
      <c r="A227" s="16"/>
      <c r="B227" s="8"/>
      <c r="C227" s="17"/>
      <c r="D227" s="157"/>
      <c r="E227" s="157"/>
      <c r="F227" s="15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17"/>
      <c r="CD227" s="17"/>
      <c r="CE227" s="18"/>
    </row>
    <row r="228" spans="1:83" s="9" customFormat="1" ht="12" customHeight="1" x14ac:dyDescent="0.15">
      <c r="A228" s="16"/>
      <c r="B228" s="8"/>
      <c r="C228" s="17"/>
      <c r="D228" s="157"/>
      <c r="E228" s="157"/>
      <c r="F228" s="15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17"/>
      <c r="CD228" s="17"/>
      <c r="CE228" s="18"/>
    </row>
    <row r="229" spans="1:83" s="9" customFormat="1" ht="12" customHeight="1" x14ac:dyDescent="0.15">
      <c r="A229" s="16"/>
      <c r="B229" s="8"/>
      <c r="C229" s="17"/>
      <c r="D229" s="534" t="s">
        <v>606</v>
      </c>
      <c r="E229" s="534"/>
      <c r="F229" s="534"/>
      <c r="G229" s="534"/>
      <c r="H229" s="534"/>
      <c r="I229" s="534"/>
      <c r="J229" s="534"/>
      <c r="K229" s="534"/>
      <c r="L229" s="534"/>
      <c r="M229" s="534"/>
      <c r="N229" s="534"/>
      <c r="O229" s="534"/>
      <c r="P229" s="534"/>
      <c r="Q229" s="534"/>
      <c r="R229" s="534"/>
      <c r="S229" s="534"/>
      <c r="T229" s="534"/>
      <c r="U229" s="534"/>
      <c r="V229" s="534"/>
      <c r="W229" s="534"/>
      <c r="X229" s="534"/>
      <c r="Y229" s="534"/>
      <c r="Z229" s="534"/>
      <c r="AA229" s="534"/>
      <c r="AB229" s="534"/>
      <c r="AC229" s="534"/>
      <c r="AD229" s="534"/>
      <c r="AE229" s="534"/>
      <c r="AF229" s="534"/>
      <c r="AG229" s="534"/>
      <c r="AH229" s="534"/>
      <c r="AI229" s="534"/>
      <c r="AJ229" s="534"/>
      <c r="AK229" s="534"/>
      <c r="AL229" s="534"/>
      <c r="AM229" s="534"/>
      <c r="AN229" s="534"/>
      <c r="AO229" s="534"/>
      <c r="AP229" s="534"/>
      <c r="AQ229" s="534"/>
      <c r="AR229" s="534"/>
      <c r="AS229" s="534"/>
      <c r="AT229" s="534"/>
      <c r="AU229" s="534"/>
      <c r="AV229" s="534"/>
      <c r="AW229" s="534"/>
      <c r="AX229" s="534"/>
      <c r="AY229" s="534"/>
      <c r="AZ229" s="534"/>
      <c r="BA229" s="534"/>
      <c r="BB229" s="534"/>
      <c r="BC229" s="534"/>
      <c r="BD229" s="534"/>
      <c r="BE229" s="534"/>
      <c r="BF229" s="534"/>
      <c r="BG229" s="534"/>
      <c r="BH229" s="534"/>
      <c r="BI229" s="534"/>
      <c r="BJ229" s="534"/>
      <c r="BK229" s="534"/>
      <c r="BL229" s="534"/>
      <c r="BM229" s="534"/>
      <c r="BN229" s="534"/>
      <c r="BO229" s="534"/>
      <c r="BP229" s="534"/>
      <c r="BQ229" s="534"/>
      <c r="BR229" s="534"/>
      <c r="BS229" s="534"/>
      <c r="BT229" s="534"/>
      <c r="BU229" s="534"/>
      <c r="BV229" s="534"/>
      <c r="BW229" s="534"/>
      <c r="BX229" s="534"/>
      <c r="BY229" s="534"/>
      <c r="BZ229" s="534"/>
      <c r="CA229" s="534"/>
      <c r="CB229" s="534"/>
      <c r="CC229" s="17"/>
      <c r="CD229" s="17"/>
      <c r="CE229" s="18"/>
    </row>
    <row r="230" spans="1:83" s="9" customFormat="1" ht="12" customHeight="1" x14ac:dyDescent="0.15">
      <c r="A230" s="98"/>
      <c r="B230" s="99"/>
      <c r="C230" s="3"/>
      <c r="D230" s="535" t="s">
        <v>403</v>
      </c>
      <c r="E230" s="536"/>
      <c r="F230" s="536"/>
      <c r="G230" s="536"/>
      <c r="H230" s="537"/>
      <c r="I230" s="538" t="s">
        <v>598</v>
      </c>
      <c r="J230" s="539"/>
      <c r="K230" s="539"/>
      <c r="L230" s="539"/>
      <c r="M230" s="539"/>
      <c r="N230" s="539"/>
      <c r="O230" s="539"/>
      <c r="P230" s="539"/>
      <c r="Q230" s="539"/>
      <c r="R230" s="539"/>
      <c r="S230" s="539"/>
      <c r="T230" s="539"/>
      <c r="U230" s="539"/>
      <c r="V230" s="539"/>
      <c r="W230" s="539"/>
      <c r="X230" s="539"/>
      <c r="Y230" s="539"/>
      <c r="Z230" s="539"/>
      <c r="AA230" s="539"/>
      <c r="AB230" s="540"/>
      <c r="AC230" s="692" t="s">
        <v>405</v>
      </c>
      <c r="AD230" s="693"/>
      <c r="AE230" s="693"/>
      <c r="AF230" s="693"/>
      <c r="AG230" s="693"/>
      <c r="AH230" s="693"/>
      <c r="AI230" s="693"/>
      <c r="AJ230" s="693"/>
      <c r="AK230" s="693"/>
      <c r="AL230" s="693"/>
      <c r="AM230" s="693"/>
      <c r="AN230" s="693"/>
      <c r="AO230" s="693"/>
      <c r="AP230" s="693"/>
      <c r="AQ230" s="693"/>
      <c r="AR230" s="693"/>
      <c r="AS230" s="693"/>
      <c r="AT230" s="693"/>
      <c r="AU230" s="693"/>
      <c r="AV230" s="693"/>
      <c r="AW230" s="693"/>
      <c r="AX230" s="693"/>
      <c r="AY230" s="693"/>
      <c r="AZ230" s="693"/>
      <c r="BA230" s="693"/>
      <c r="BB230" s="693"/>
      <c r="BC230" s="693"/>
      <c r="BD230" s="693"/>
      <c r="BE230" s="693"/>
      <c r="BF230" s="693"/>
      <c r="BG230" s="693"/>
      <c r="BH230" s="693"/>
      <c r="BI230" s="693"/>
      <c r="BJ230" s="693"/>
      <c r="BK230" s="693"/>
      <c r="BL230" s="693"/>
      <c r="BM230" s="693"/>
      <c r="BN230" s="693"/>
      <c r="BO230" s="693"/>
      <c r="BP230" s="693"/>
      <c r="BQ230" s="693"/>
      <c r="BR230" s="693"/>
      <c r="BS230" s="693"/>
      <c r="BT230" s="693"/>
      <c r="BU230" s="693"/>
      <c r="BV230" s="693"/>
      <c r="BW230" s="693"/>
      <c r="BX230" s="693"/>
      <c r="BY230" s="693"/>
      <c r="BZ230" s="693"/>
      <c r="CA230" s="693"/>
      <c r="CB230" s="694"/>
      <c r="CC230" s="58"/>
      <c r="CD230" s="3"/>
      <c r="CE230" s="100"/>
    </row>
    <row r="231" spans="1:83" s="9" customFormat="1" ht="12" customHeight="1" x14ac:dyDescent="0.15">
      <c r="A231" s="98"/>
      <c r="B231" s="99"/>
      <c r="C231" s="3"/>
      <c r="D231" s="501" t="s">
        <v>138</v>
      </c>
      <c r="E231" s="502"/>
      <c r="F231" s="502"/>
      <c r="G231" s="502"/>
      <c r="H231" s="503"/>
      <c r="I231" s="599" t="s">
        <v>139</v>
      </c>
      <c r="J231" s="600"/>
      <c r="K231" s="600"/>
      <c r="L231" s="600"/>
      <c r="M231" s="600"/>
      <c r="N231" s="600"/>
      <c r="O231" s="600"/>
      <c r="P231" s="600"/>
      <c r="Q231" s="600"/>
      <c r="R231" s="600"/>
      <c r="S231" s="600"/>
      <c r="T231" s="600"/>
      <c r="U231" s="600"/>
      <c r="V231" s="600"/>
      <c r="W231" s="600"/>
      <c r="X231" s="600"/>
      <c r="Y231" s="600"/>
      <c r="Z231" s="600"/>
      <c r="AA231" s="600"/>
      <c r="AB231" s="601"/>
      <c r="AC231" s="507" t="s">
        <v>75</v>
      </c>
      <c r="AD231" s="508"/>
      <c r="AE231" s="508"/>
      <c r="AF231" s="508"/>
      <c r="AG231" s="508"/>
      <c r="AH231" s="508"/>
      <c r="AI231" s="508"/>
      <c r="AJ231" s="508"/>
      <c r="AK231" s="508"/>
      <c r="AL231" s="508"/>
      <c r="AM231" s="508"/>
      <c r="AN231" s="508"/>
      <c r="AO231" s="508"/>
      <c r="AP231" s="508"/>
      <c r="AQ231" s="508"/>
      <c r="AR231" s="508"/>
      <c r="AS231" s="508"/>
      <c r="AT231" s="508"/>
      <c r="AU231" s="508"/>
      <c r="AV231" s="508"/>
      <c r="AW231" s="508"/>
      <c r="AX231" s="508"/>
      <c r="AY231" s="508"/>
      <c r="AZ231" s="508"/>
      <c r="BA231" s="508"/>
      <c r="BB231" s="508"/>
      <c r="BC231" s="508"/>
      <c r="BD231" s="508"/>
      <c r="BE231" s="508"/>
      <c r="BF231" s="508"/>
      <c r="BG231" s="508"/>
      <c r="BH231" s="508"/>
      <c r="BI231" s="508"/>
      <c r="BJ231" s="508"/>
      <c r="BK231" s="508"/>
      <c r="BL231" s="508"/>
      <c r="BM231" s="508"/>
      <c r="BN231" s="508"/>
      <c r="BO231" s="508"/>
      <c r="BP231" s="508"/>
      <c r="BQ231" s="508"/>
      <c r="BR231" s="508"/>
      <c r="BS231" s="508"/>
      <c r="BT231" s="508"/>
      <c r="BU231" s="508"/>
      <c r="BV231" s="508"/>
      <c r="BW231" s="508"/>
      <c r="BX231" s="508"/>
      <c r="BY231" s="508"/>
      <c r="BZ231" s="508"/>
      <c r="CA231" s="508"/>
      <c r="CB231" s="509"/>
      <c r="CC231" s="58"/>
      <c r="CD231" s="3"/>
      <c r="CE231" s="100"/>
    </row>
    <row r="232" spans="1:83" s="9" customFormat="1" ht="12" customHeight="1" x14ac:dyDescent="0.15">
      <c r="A232" s="98"/>
      <c r="B232" s="99"/>
      <c r="C232" s="3"/>
      <c r="D232" s="501" t="s">
        <v>141</v>
      </c>
      <c r="E232" s="502"/>
      <c r="F232" s="502"/>
      <c r="G232" s="502"/>
      <c r="H232" s="503"/>
      <c r="I232" s="599" t="s">
        <v>142</v>
      </c>
      <c r="J232" s="600"/>
      <c r="K232" s="600"/>
      <c r="L232" s="600"/>
      <c r="M232" s="600"/>
      <c r="N232" s="600"/>
      <c r="O232" s="600"/>
      <c r="P232" s="600"/>
      <c r="Q232" s="600"/>
      <c r="R232" s="600"/>
      <c r="S232" s="600"/>
      <c r="T232" s="600"/>
      <c r="U232" s="600"/>
      <c r="V232" s="600"/>
      <c r="W232" s="600"/>
      <c r="X232" s="600"/>
      <c r="Y232" s="600"/>
      <c r="Z232" s="600"/>
      <c r="AA232" s="600"/>
      <c r="AB232" s="601"/>
      <c r="AC232" s="507" t="s">
        <v>77</v>
      </c>
      <c r="AD232" s="508"/>
      <c r="AE232" s="508"/>
      <c r="AF232" s="508"/>
      <c r="AG232" s="508"/>
      <c r="AH232" s="508"/>
      <c r="AI232" s="508"/>
      <c r="AJ232" s="508"/>
      <c r="AK232" s="508"/>
      <c r="AL232" s="508"/>
      <c r="AM232" s="508"/>
      <c r="AN232" s="508"/>
      <c r="AO232" s="508"/>
      <c r="AP232" s="508"/>
      <c r="AQ232" s="508"/>
      <c r="AR232" s="508"/>
      <c r="AS232" s="508"/>
      <c r="AT232" s="508"/>
      <c r="AU232" s="508"/>
      <c r="AV232" s="508"/>
      <c r="AW232" s="508"/>
      <c r="AX232" s="508"/>
      <c r="AY232" s="508"/>
      <c r="AZ232" s="508"/>
      <c r="BA232" s="508"/>
      <c r="BB232" s="508"/>
      <c r="BC232" s="508"/>
      <c r="BD232" s="508"/>
      <c r="BE232" s="508"/>
      <c r="BF232" s="508"/>
      <c r="BG232" s="508"/>
      <c r="BH232" s="508"/>
      <c r="BI232" s="508"/>
      <c r="BJ232" s="508"/>
      <c r="BK232" s="508"/>
      <c r="BL232" s="508"/>
      <c r="BM232" s="508"/>
      <c r="BN232" s="508"/>
      <c r="BO232" s="508"/>
      <c r="BP232" s="508"/>
      <c r="BQ232" s="508"/>
      <c r="BR232" s="508"/>
      <c r="BS232" s="508"/>
      <c r="BT232" s="508"/>
      <c r="BU232" s="508"/>
      <c r="BV232" s="508"/>
      <c r="BW232" s="508"/>
      <c r="BX232" s="508"/>
      <c r="BY232" s="508"/>
      <c r="BZ232" s="508"/>
      <c r="CA232" s="508"/>
      <c r="CB232" s="509"/>
      <c r="CC232" s="58"/>
      <c r="CD232" s="3"/>
      <c r="CE232" s="100"/>
    </row>
    <row r="233" spans="1:83" s="9" customFormat="1" ht="12" customHeight="1" x14ac:dyDescent="0.15">
      <c r="A233" s="98"/>
      <c r="B233" s="99"/>
      <c r="C233" s="3"/>
      <c r="D233" s="501" t="s">
        <v>143</v>
      </c>
      <c r="E233" s="502"/>
      <c r="F233" s="502"/>
      <c r="G233" s="502"/>
      <c r="H233" s="503"/>
      <c r="I233" s="599" t="s">
        <v>144</v>
      </c>
      <c r="J233" s="600"/>
      <c r="K233" s="600"/>
      <c r="L233" s="600"/>
      <c r="M233" s="600"/>
      <c r="N233" s="600"/>
      <c r="O233" s="600"/>
      <c r="P233" s="600"/>
      <c r="Q233" s="600"/>
      <c r="R233" s="600"/>
      <c r="S233" s="600"/>
      <c r="T233" s="600"/>
      <c r="U233" s="600"/>
      <c r="V233" s="600"/>
      <c r="W233" s="600"/>
      <c r="X233" s="600"/>
      <c r="Y233" s="600"/>
      <c r="Z233" s="600"/>
      <c r="AA233" s="600"/>
      <c r="AB233" s="601"/>
      <c r="AC233" s="507" t="s">
        <v>838</v>
      </c>
      <c r="AD233" s="508"/>
      <c r="AE233" s="508"/>
      <c r="AF233" s="508"/>
      <c r="AG233" s="508"/>
      <c r="AH233" s="508"/>
      <c r="AI233" s="508"/>
      <c r="AJ233" s="508"/>
      <c r="AK233" s="508"/>
      <c r="AL233" s="508"/>
      <c r="AM233" s="508"/>
      <c r="AN233" s="508"/>
      <c r="AO233" s="508"/>
      <c r="AP233" s="508"/>
      <c r="AQ233" s="508"/>
      <c r="AR233" s="508"/>
      <c r="AS233" s="508"/>
      <c r="AT233" s="508"/>
      <c r="AU233" s="508"/>
      <c r="AV233" s="508"/>
      <c r="AW233" s="508"/>
      <c r="AX233" s="508"/>
      <c r="AY233" s="508"/>
      <c r="AZ233" s="508"/>
      <c r="BA233" s="508"/>
      <c r="BB233" s="508"/>
      <c r="BC233" s="508"/>
      <c r="BD233" s="508"/>
      <c r="BE233" s="508"/>
      <c r="BF233" s="508"/>
      <c r="BG233" s="508"/>
      <c r="BH233" s="508"/>
      <c r="BI233" s="508"/>
      <c r="BJ233" s="508"/>
      <c r="BK233" s="508"/>
      <c r="BL233" s="508"/>
      <c r="BM233" s="508"/>
      <c r="BN233" s="508"/>
      <c r="BO233" s="508"/>
      <c r="BP233" s="508"/>
      <c r="BQ233" s="508"/>
      <c r="BR233" s="508"/>
      <c r="BS233" s="508"/>
      <c r="BT233" s="508"/>
      <c r="BU233" s="508"/>
      <c r="BV233" s="508"/>
      <c r="BW233" s="508"/>
      <c r="BX233" s="508"/>
      <c r="BY233" s="508"/>
      <c r="BZ233" s="508"/>
      <c r="CA233" s="508"/>
      <c r="CB233" s="509"/>
      <c r="CC233" s="58"/>
      <c r="CD233" s="3"/>
      <c r="CE233" s="100"/>
    </row>
    <row r="234" spans="1:83" s="9" customFormat="1" ht="12" customHeight="1" x14ac:dyDescent="0.15">
      <c r="A234" s="16"/>
      <c r="B234" s="8"/>
      <c r="C234" s="17"/>
      <c r="D234" s="492" t="s">
        <v>145</v>
      </c>
      <c r="E234" s="493"/>
      <c r="F234" s="493"/>
      <c r="G234" s="493"/>
      <c r="H234" s="494"/>
      <c r="I234" s="599" t="s">
        <v>146</v>
      </c>
      <c r="J234" s="600"/>
      <c r="K234" s="600"/>
      <c r="L234" s="600"/>
      <c r="M234" s="600"/>
      <c r="N234" s="600"/>
      <c r="O234" s="600"/>
      <c r="P234" s="600"/>
      <c r="Q234" s="600"/>
      <c r="R234" s="600"/>
      <c r="S234" s="600"/>
      <c r="T234" s="600"/>
      <c r="U234" s="600"/>
      <c r="V234" s="600"/>
      <c r="W234" s="600"/>
      <c r="X234" s="600"/>
      <c r="Y234" s="600"/>
      <c r="Z234" s="600"/>
      <c r="AA234" s="600"/>
      <c r="AB234" s="601"/>
      <c r="AC234" s="507" t="s">
        <v>600</v>
      </c>
      <c r="AD234" s="508"/>
      <c r="AE234" s="508"/>
      <c r="AF234" s="508"/>
      <c r="AG234" s="508"/>
      <c r="AH234" s="508"/>
      <c r="AI234" s="508"/>
      <c r="AJ234" s="508"/>
      <c r="AK234" s="508"/>
      <c r="AL234" s="508"/>
      <c r="AM234" s="508"/>
      <c r="AN234" s="508"/>
      <c r="AO234" s="508"/>
      <c r="AP234" s="508"/>
      <c r="AQ234" s="508"/>
      <c r="AR234" s="508"/>
      <c r="AS234" s="508"/>
      <c r="AT234" s="508"/>
      <c r="AU234" s="508"/>
      <c r="AV234" s="508"/>
      <c r="AW234" s="508"/>
      <c r="AX234" s="508"/>
      <c r="AY234" s="508"/>
      <c r="AZ234" s="508"/>
      <c r="BA234" s="508"/>
      <c r="BB234" s="508"/>
      <c r="BC234" s="508"/>
      <c r="BD234" s="508"/>
      <c r="BE234" s="508"/>
      <c r="BF234" s="508"/>
      <c r="BG234" s="508"/>
      <c r="BH234" s="508"/>
      <c r="BI234" s="508"/>
      <c r="BJ234" s="508"/>
      <c r="BK234" s="508"/>
      <c r="BL234" s="508"/>
      <c r="BM234" s="508"/>
      <c r="BN234" s="508"/>
      <c r="BO234" s="508"/>
      <c r="BP234" s="508"/>
      <c r="BQ234" s="508"/>
      <c r="BR234" s="508"/>
      <c r="BS234" s="508"/>
      <c r="BT234" s="508"/>
      <c r="BU234" s="508"/>
      <c r="BV234" s="508"/>
      <c r="BW234" s="508"/>
      <c r="BX234" s="508"/>
      <c r="BY234" s="508"/>
      <c r="BZ234" s="508"/>
      <c r="CA234" s="508"/>
      <c r="CB234" s="509"/>
      <c r="CC234" s="17"/>
      <c r="CD234" s="17"/>
      <c r="CE234" s="18"/>
    </row>
    <row r="235" spans="1:83" s="9" customFormat="1" ht="12" customHeight="1" x14ac:dyDescent="0.15">
      <c r="A235" s="16"/>
      <c r="B235" s="8"/>
      <c r="C235" s="17"/>
      <c r="D235" s="501" t="s">
        <v>310</v>
      </c>
      <c r="E235" s="502"/>
      <c r="F235" s="502"/>
      <c r="G235" s="502"/>
      <c r="H235" s="503"/>
      <c r="I235" s="510" t="s">
        <v>8</v>
      </c>
      <c r="J235" s="511"/>
      <c r="K235" s="511"/>
      <c r="L235" s="511"/>
      <c r="M235" s="511"/>
      <c r="N235" s="511"/>
      <c r="O235" s="511"/>
      <c r="P235" s="511"/>
      <c r="Q235" s="511"/>
      <c r="R235" s="511"/>
      <c r="S235" s="511"/>
      <c r="T235" s="511"/>
      <c r="U235" s="511"/>
      <c r="V235" s="511"/>
      <c r="W235" s="511"/>
      <c r="X235" s="511"/>
      <c r="Y235" s="511"/>
      <c r="Z235" s="511"/>
      <c r="AA235" s="511"/>
      <c r="AB235" s="512"/>
      <c r="AC235" s="519" t="s">
        <v>311</v>
      </c>
      <c r="AD235" s="520"/>
      <c r="AE235" s="520"/>
      <c r="AF235" s="520"/>
      <c r="AG235" s="520"/>
      <c r="AH235" s="520"/>
      <c r="AI235" s="520"/>
      <c r="AJ235" s="520"/>
      <c r="AK235" s="520"/>
      <c r="AL235" s="520"/>
      <c r="AM235" s="520"/>
      <c r="AN235" s="520"/>
      <c r="AO235" s="520"/>
      <c r="AP235" s="520"/>
      <c r="AQ235" s="520"/>
      <c r="AR235" s="520"/>
      <c r="AS235" s="520"/>
      <c r="AT235" s="520"/>
      <c r="AU235" s="520"/>
      <c r="AV235" s="520"/>
      <c r="AW235" s="520"/>
      <c r="AX235" s="520"/>
      <c r="AY235" s="520"/>
      <c r="AZ235" s="520"/>
      <c r="BA235" s="520"/>
      <c r="BB235" s="520"/>
      <c r="BC235" s="520"/>
      <c r="BD235" s="520"/>
      <c r="BE235" s="520"/>
      <c r="BF235" s="520"/>
      <c r="BG235" s="520"/>
      <c r="BH235" s="520"/>
      <c r="BI235" s="520"/>
      <c r="BJ235" s="520"/>
      <c r="BK235" s="520"/>
      <c r="BL235" s="520"/>
      <c r="BM235" s="520"/>
      <c r="BN235" s="520"/>
      <c r="BO235" s="520"/>
      <c r="BP235" s="520"/>
      <c r="BQ235" s="520"/>
      <c r="BR235" s="520"/>
      <c r="BS235" s="520"/>
      <c r="BT235" s="520"/>
      <c r="BU235" s="520"/>
      <c r="BV235" s="520"/>
      <c r="BW235" s="520"/>
      <c r="BX235" s="520"/>
      <c r="BY235" s="520"/>
      <c r="BZ235" s="520"/>
      <c r="CA235" s="520"/>
      <c r="CB235" s="521"/>
      <c r="CC235" s="17"/>
      <c r="CD235" s="17"/>
      <c r="CE235" s="18"/>
    </row>
    <row r="236" spans="1:83" ht="12.75" customHeight="1" x14ac:dyDescent="0.15">
      <c r="A236" s="16"/>
      <c r="B236" s="8"/>
      <c r="C236" s="17"/>
      <c r="D236" s="528"/>
      <c r="E236" s="529"/>
      <c r="F236" s="529"/>
      <c r="G236" s="529"/>
      <c r="H236" s="530"/>
      <c r="I236" s="513"/>
      <c r="J236" s="514"/>
      <c r="K236" s="514"/>
      <c r="L236" s="514"/>
      <c r="M236" s="514"/>
      <c r="N236" s="514"/>
      <c r="O236" s="514"/>
      <c r="P236" s="514"/>
      <c r="Q236" s="514"/>
      <c r="R236" s="514"/>
      <c r="S236" s="514"/>
      <c r="T236" s="514"/>
      <c r="U236" s="514"/>
      <c r="V236" s="514"/>
      <c r="W236" s="514"/>
      <c r="X236" s="514"/>
      <c r="Y236" s="514"/>
      <c r="Z236" s="514"/>
      <c r="AA236" s="514"/>
      <c r="AB236" s="515"/>
      <c r="AC236" s="522"/>
      <c r="AD236" s="523"/>
      <c r="AE236" s="523"/>
      <c r="AF236" s="523"/>
      <c r="AG236" s="523"/>
      <c r="AH236" s="523"/>
      <c r="AI236" s="523"/>
      <c r="AJ236" s="523"/>
      <c r="AK236" s="523"/>
      <c r="AL236" s="523"/>
      <c r="AM236" s="523"/>
      <c r="AN236" s="523"/>
      <c r="AO236" s="523"/>
      <c r="AP236" s="523"/>
      <c r="AQ236" s="523"/>
      <c r="AR236" s="523"/>
      <c r="AS236" s="523"/>
      <c r="AT236" s="523"/>
      <c r="AU236" s="523"/>
      <c r="AV236" s="523"/>
      <c r="AW236" s="523"/>
      <c r="AX236" s="523"/>
      <c r="AY236" s="523"/>
      <c r="AZ236" s="523"/>
      <c r="BA236" s="523"/>
      <c r="BB236" s="523"/>
      <c r="BC236" s="523"/>
      <c r="BD236" s="523"/>
      <c r="BE236" s="523"/>
      <c r="BF236" s="523"/>
      <c r="BG236" s="523"/>
      <c r="BH236" s="523"/>
      <c r="BI236" s="523"/>
      <c r="BJ236" s="523"/>
      <c r="BK236" s="523"/>
      <c r="BL236" s="523"/>
      <c r="BM236" s="523"/>
      <c r="BN236" s="523"/>
      <c r="BO236" s="523"/>
      <c r="BP236" s="523"/>
      <c r="BQ236" s="523"/>
      <c r="BR236" s="523"/>
      <c r="BS236" s="523"/>
      <c r="BT236" s="523"/>
      <c r="BU236" s="523"/>
      <c r="BV236" s="523"/>
      <c r="BW236" s="523"/>
      <c r="BX236" s="523"/>
      <c r="BY236" s="523"/>
      <c r="BZ236" s="523"/>
      <c r="CA236" s="523"/>
      <c r="CB236" s="524"/>
      <c r="CC236" s="17"/>
      <c r="CD236" s="17"/>
      <c r="CE236" s="18"/>
    </row>
    <row r="237" spans="1:83" ht="12.75" customHeight="1" x14ac:dyDescent="0.15">
      <c r="A237" s="16"/>
      <c r="B237" s="8"/>
      <c r="C237" s="17"/>
      <c r="D237" s="531"/>
      <c r="E237" s="532"/>
      <c r="F237" s="532"/>
      <c r="G237" s="532"/>
      <c r="H237" s="533"/>
      <c r="I237" s="516"/>
      <c r="J237" s="517"/>
      <c r="K237" s="517"/>
      <c r="L237" s="517"/>
      <c r="M237" s="517"/>
      <c r="N237" s="517"/>
      <c r="O237" s="517"/>
      <c r="P237" s="517"/>
      <c r="Q237" s="517"/>
      <c r="R237" s="517"/>
      <c r="S237" s="517"/>
      <c r="T237" s="517"/>
      <c r="U237" s="517"/>
      <c r="V237" s="517"/>
      <c r="W237" s="517"/>
      <c r="X237" s="517"/>
      <c r="Y237" s="517"/>
      <c r="Z237" s="517"/>
      <c r="AA237" s="517"/>
      <c r="AB237" s="518"/>
      <c r="AC237" s="525"/>
      <c r="AD237" s="526"/>
      <c r="AE237" s="526"/>
      <c r="AF237" s="526"/>
      <c r="AG237" s="526"/>
      <c r="AH237" s="526"/>
      <c r="AI237" s="526"/>
      <c r="AJ237" s="526"/>
      <c r="AK237" s="526"/>
      <c r="AL237" s="526"/>
      <c r="AM237" s="526"/>
      <c r="AN237" s="526"/>
      <c r="AO237" s="526"/>
      <c r="AP237" s="526"/>
      <c r="AQ237" s="526"/>
      <c r="AR237" s="526"/>
      <c r="AS237" s="526"/>
      <c r="AT237" s="526"/>
      <c r="AU237" s="526"/>
      <c r="AV237" s="526"/>
      <c r="AW237" s="526"/>
      <c r="AX237" s="526"/>
      <c r="AY237" s="526"/>
      <c r="AZ237" s="526"/>
      <c r="BA237" s="526"/>
      <c r="BB237" s="526"/>
      <c r="BC237" s="526"/>
      <c r="BD237" s="526"/>
      <c r="BE237" s="526"/>
      <c r="BF237" s="526"/>
      <c r="BG237" s="526"/>
      <c r="BH237" s="526"/>
      <c r="BI237" s="526"/>
      <c r="BJ237" s="526"/>
      <c r="BK237" s="526"/>
      <c r="BL237" s="526"/>
      <c r="BM237" s="526"/>
      <c r="BN237" s="526"/>
      <c r="BO237" s="526"/>
      <c r="BP237" s="526"/>
      <c r="BQ237" s="526"/>
      <c r="BR237" s="526"/>
      <c r="BS237" s="526"/>
      <c r="BT237" s="526"/>
      <c r="BU237" s="526"/>
      <c r="BV237" s="526"/>
      <c r="BW237" s="526"/>
      <c r="BX237" s="526"/>
      <c r="BY237" s="526"/>
      <c r="BZ237" s="526"/>
      <c r="CA237" s="526"/>
      <c r="CB237" s="527"/>
      <c r="CC237" s="17"/>
      <c r="CD237" s="17"/>
      <c r="CE237" s="18"/>
    </row>
    <row r="238" spans="1:83" ht="12.75" customHeight="1" x14ac:dyDescent="0.15">
      <c r="A238" s="16"/>
      <c r="B238" s="8"/>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17"/>
      <c r="CD238" s="17"/>
      <c r="CE238" s="18"/>
    </row>
    <row r="239" spans="1:83" ht="12.75" customHeight="1" x14ac:dyDescent="0.15">
      <c r="A239" s="16"/>
      <c r="B239" s="8"/>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17"/>
      <c r="CD239" s="17"/>
      <c r="CE239" s="18"/>
    </row>
    <row r="240" spans="1:83" s="9" customFormat="1" ht="12" customHeight="1" thickBot="1" x14ac:dyDescent="0.2">
      <c r="A240" s="25"/>
      <c r="B240" s="30"/>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7"/>
      <c r="BA240" s="27"/>
      <c r="BB240" s="27"/>
      <c r="BC240" s="27"/>
      <c r="BD240" s="27"/>
      <c r="BE240" s="27"/>
      <c r="BF240" s="27"/>
      <c r="BG240" s="27"/>
      <c r="BH240" s="27"/>
      <c r="BI240" s="27"/>
      <c r="BJ240" s="27"/>
      <c r="BK240" s="27"/>
      <c r="BL240" s="27"/>
      <c r="BM240" s="27"/>
      <c r="BN240" s="27"/>
      <c r="BO240" s="27"/>
      <c r="BP240" s="27"/>
      <c r="BQ240" s="27"/>
      <c r="BR240" s="27"/>
      <c r="BS240" s="27"/>
      <c r="BT240" s="27"/>
      <c r="BU240" s="27"/>
      <c r="BV240" s="27"/>
      <c r="BW240" s="27"/>
      <c r="BX240" s="27"/>
      <c r="BY240" s="27"/>
      <c r="BZ240" s="27"/>
      <c r="CA240" s="27"/>
      <c r="CB240" s="27"/>
      <c r="CC240" s="26"/>
      <c r="CD240" s="26"/>
      <c r="CE240" s="28"/>
    </row>
    <row r="241" spans="1:83" s="9" customFormat="1" ht="12" customHeight="1" x14ac:dyDescent="0.15">
      <c r="A241" s="13"/>
      <c r="B241" s="14"/>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59"/>
      <c r="AT241" s="159"/>
      <c r="AU241" s="159"/>
      <c r="AV241" s="159"/>
      <c r="AW241" s="159"/>
      <c r="AX241" s="159"/>
      <c r="AY241" s="159"/>
      <c r="AZ241" s="160"/>
      <c r="BA241" s="160"/>
      <c r="BB241" s="160"/>
      <c r="BC241" s="160"/>
      <c r="BD241" s="160"/>
      <c r="BE241" s="160"/>
      <c r="BF241" s="160"/>
      <c r="BG241" s="160"/>
      <c r="BH241" s="160"/>
      <c r="BI241" s="160"/>
      <c r="BJ241" s="160"/>
      <c r="BK241" s="160"/>
      <c r="BL241" s="160"/>
      <c r="BM241" s="160"/>
      <c r="BN241" s="160"/>
      <c r="BO241" s="160"/>
      <c r="BP241" s="160"/>
      <c r="BQ241" s="160"/>
      <c r="BR241" s="160"/>
      <c r="BS241" s="160"/>
      <c r="BT241" s="160"/>
      <c r="BU241" s="160"/>
      <c r="BV241" s="160"/>
      <c r="BW241" s="160"/>
      <c r="BX241" s="160"/>
      <c r="BY241" s="160"/>
      <c r="BZ241" s="160"/>
      <c r="CA241" s="160"/>
      <c r="CB241" s="160"/>
      <c r="CC241" s="159"/>
      <c r="CD241" s="159"/>
      <c r="CE241" s="15"/>
    </row>
    <row r="242" spans="1:83" s="4" customFormat="1" ht="12" customHeight="1" x14ac:dyDescent="0.15">
      <c r="A242" s="16"/>
      <c r="B242" s="73"/>
      <c r="C242" s="12"/>
      <c r="D242" s="12"/>
      <c r="E242" s="17"/>
      <c r="F242" s="17"/>
      <c r="G242" s="17" t="s">
        <v>926</v>
      </c>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2"/>
      <c r="CB242" s="12"/>
      <c r="CC242" s="12"/>
      <c r="CD242" s="12"/>
      <c r="CE242" s="18"/>
    </row>
    <row r="243" spans="1:83" s="9" customFormat="1" ht="12" customHeight="1" x14ac:dyDescent="0.15">
      <c r="A243" s="16"/>
      <c r="B243" s="8"/>
      <c r="C243" s="17"/>
      <c r="D243" s="157"/>
      <c r="E243" s="8"/>
      <c r="F243" s="17"/>
      <c r="G243" s="17"/>
      <c r="H243" s="17" t="s">
        <v>927</v>
      </c>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17"/>
      <c r="CD243" s="17"/>
      <c r="CE243" s="18"/>
    </row>
    <row r="244" spans="1:83" s="9" customFormat="1" ht="12" customHeight="1" x14ac:dyDescent="0.15">
      <c r="A244" s="16"/>
      <c r="B244" s="8"/>
      <c r="C244" s="17"/>
      <c r="D244" s="157"/>
      <c r="E244" s="8"/>
      <c r="F244" s="17"/>
      <c r="G244" s="17"/>
      <c r="H244" s="17" t="s">
        <v>928</v>
      </c>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17"/>
      <c r="CD244" s="17"/>
      <c r="CE244" s="18"/>
    </row>
    <row r="245" spans="1:83" s="6" customFormat="1" ht="12" customHeight="1" x14ac:dyDescent="0.15">
      <c r="A245" s="16"/>
      <c r="B245" s="8"/>
      <c r="C245" s="8"/>
      <c r="D245" s="8"/>
      <c r="E245" s="8"/>
      <c r="F245" s="8"/>
      <c r="G245" s="8"/>
      <c r="H245" s="356"/>
      <c r="I245" s="8"/>
      <c r="J245" s="8"/>
      <c r="K245" s="167"/>
      <c r="L245" s="167"/>
      <c r="M245" s="167"/>
      <c r="N245" s="167"/>
      <c r="O245" s="167"/>
      <c r="P245" s="167"/>
      <c r="Q245" s="167"/>
      <c r="R245" s="167"/>
      <c r="S245" s="167"/>
      <c r="T245" s="167"/>
      <c r="U245" s="167"/>
      <c r="V245" s="167"/>
      <c r="W245" s="167"/>
      <c r="X245" s="167"/>
      <c r="Y245" s="167"/>
      <c r="Z245" s="167"/>
      <c r="AA245" s="167"/>
      <c r="AB245" s="167"/>
      <c r="AC245" s="167"/>
      <c r="AD245" s="167"/>
      <c r="AE245" s="167"/>
      <c r="AF245" s="167"/>
      <c r="AG245" s="167"/>
      <c r="AH245" s="168"/>
      <c r="AI245" s="168"/>
      <c r="AJ245" s="168"/>
      <c r="AK245" s="168"/>
      <c r="AL245" s="168"/>
      <c r="AM245" s="168"/>
      <c r="AN245" s="168"/>
      <c r="AO245" s="168"/>
      <c r="AP245" s="168"/>
      <c r="AQ245" s="168"/>
      <c r="AR245" s="168"/>
      <c r="AS245" s="168"/>
      <c r="AT245" s="168"/>
      <c r="AU245" s="168"/>
      <c r="AV245" s="168"/>
      <c r="AW245" s="168"/>
      <c r="AX245" s="168"/>
      <c r="AY245" s="168"/>
      <c r="AZ245" s="168"/>
      <c r="BA245" s="168"/>
      <c r="BB245" s="168"/>
      <c r="BC245" s="168"/>
      <c r="BD245" s="168"/>
      <c r="BE245" s="168"/>
      <c r="BF245" s="168"/>
      <c r="BG245" s="168"/>
      <c r="BH245" s="168"/>
      <c r="BI245" s="168"/>
      <c r="BJ245" s="168"/>
      <c r="BK245" s="168"/>
      <c r="BL245" s="168"/>
      <c r="BM245" s="168"/>
      <c r="BN245" s="168"/>
      <c r="BO245" s="168"/>
      <c r="BP245" s="168"/>
      <c r="BQ245" s="168"/>
      <c r="BR245" s="168"/>
      <c r="BS245" s="168"/>
      <c r="BT245" s="168"/>
      <c r="BU245" s="168"/>
      <c r="BV245" s="168"/>
      <c r="BW245" s="168"/>
      <c r="BX245" s="168"/>
      <c r="BY245" s="168"/>
      <c r="BZ245" s="168"/>
      <c r="CA245" s="168"/>
      <c r="CB245" s="168"/>
      <c r="CC245" s="17"/>
      <c r="CD245" s="17"/>
      <c r="CE245" s="18"/>
    </row>
    <row r="246" spans="1:83" s="4" customFormat="1" ht="12" customHeight="1" x14ac:dyDescent="0.15">
      <c r="A246" s="16"/>
      <c r="B246" s="8"/>
      <c r="C246" s="17"/>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18"/>
    </row>
    <row r="247" spans="1:83" s="4" customFormat="1" ht="12" customHeight="1" x14ac:dyDescent="0.15">
      <c r="A247" s="16"/>
      <c r="B247" s="8"/>
      <c r="C247" s="17"/>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18"/>
    </row>
    <row r="248" spans="1:83" s="4" customFormat="1" ht="12" customHeight="1" x14ac:dyDescent="0.15">
      <c r="A248" s="16"/>
      <c r="B248" s="8"/>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17"/>
      <c r="CD248" s="17"/>
      <c r="CE248" s="18"/>
    </row>
    <row r="249" spans="1:83" s="4" customFormat="1" ht="12" customHeight="1" x14ac:dyDescent="0.15">
      <c r="A249" s="16"/>
      <c r="B249" s="5"/>
      <c r="C249" s="12"/>
      <c r="D249" s="12"/>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2"/>
      <c r="CB249" s="12"/>
      <c r="CC249" s="12"/>
      <c r="CD249" s="12"/>
      <c r="CE249" s="18"/>
    </row>
    <row r="250" spans="1:83" s="9" customFormat="1" ht="12" customHeight="1" x14ac:dyDescent="0.15">
      <c r="A250" s="16"/>
      <c r="B250" s="73"/>
      <c r="C250" s="12"/>
      <c r="D250" s="12"/>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2"/>
      <c r="CB250" s="12"/>
      <c r="CC250" s="12"/>
      <c r="CD250" s="12"/>
      <c r="CE250" s="18"/>
    </row>
    <row r="251" spans="1:83" s="9" customFormat="1" ht="12" customHeight="1" x14ac:dyDescent="0.15">
      <c r="A251" s="16"/>
      <c r="B251" s="73"/>
      <c r="C251" s="12"/>
      <c r="D251" s="12"/>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2"/>
      <c r="CB251" s="12"/>
      <c r="CC251" s="12"/>
      <c r="CD251" s="12"/>
      <c r="CE251" s="18"/>
    </row>
    <row r="252" spans="1:83" s="9" customFormat="1" ht="12" customHeight="1" x14ac:dyDescent="0.15">
      <c r="A252" s="16"/>
      <c r="B252" s="73"/>
      <c r="C252" s="12"/>
      <c r="D252" s="12"/>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2"/>
      <c r="CB252" s="12"/>
      <c r="CC252" s="12"/>
      <c r="CD252" s="12"/>
      <c r="CE252" s="18"/>
    </row>
    <row r="253" spans="1:83" s="9" customFormat="1" ht="12" customHeight="1" x14ac:dyDescent="0.15">
      <c r="A253" s="16"/>
      <c r="B253" s="73"/>
      <c r="C253" s="12"/>
      <c r="D253" s="12"/>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2"/>
      <c r="CB253" s="12"/>
      <c r="CC253" s="12"/>
      <c r="CD253" s="12"/>
      <c r="CE253" s="18"/>
    </row>
    <row r="254" spans="1:83" s="9" customFormat="1" ht="12" customHeight="1" x14ac:dyDescent="0.15">
      <c r="A254" s="16"/>
      <c r="B254" s="8"/>
      <c r="C254" s="12"/>
      <c r="D254" s="12"/>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2"/>
      <c r="CB254" s="12"/>
      <c r="CC254" s="12"/>
      <c r="CD254" s="12"/>
      <c r="CE254" s="18"/>
    </row>
    <row r="255" spans="1:83" s="9" customFormat="1" ht="12" customHeight="1" x14ac:dyDescent="0.15">
      <c r="A255" s="16"/>
      <c r="B255" s="8"/>
      <c r="C255" s="12"/>
      <c r="D255" s="12"/>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2"/>
      <c r="CB255" s="12"/>
      <c r="CC255" s="12"/>
      <c r="CD255" s="12"/>
      <c r="CE255" s="18"/>
    </row>
    <row r="256" spans="1:83" s="9" customFormat="1" ht="12" customHeight="1" x14ac:dyDescent="0.15">
      <c r="A256" s="16"/>
      <c r="B256" s="8"/>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17"/>
      <c r="CD256" s="17"/>
      <c r="CE256" s="18"/>
    </row>
    <row r="257" spans="1:83" s="9" customFormat="1" ht="12" customHeight="1" x14ac:dyDescent="0.15">
      <c r="A257" s="16"/>
      <c r="B257" s="8"/>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17"/>
      <c r="CD257" s="17"/>
      <c r="CE257" s="18"/>
    </row>
    <row r="258" spans="1:83" s="9" customFormat="1" ht="12" customHeight="1" x14ac:dyDescent="0.15">
      <c r="A258" s="16"/>
      <c r="B258" s="8"/>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17"/>
      <c r="CD258" s="17"/>
      <c r="CE258" s="18"/>
    </row>
    <row r="259" spans="1:83" s="9" customFormat="1" ht="12" customHeight="1" x14ac:dyDescent="0.15">
      <c r="A259" s="16"/>
      <c r="B259" s="8"/>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17"/>
      <c r="CD259" s="17"/>
      <c r="CE259" s="18"/>
    </row>
    <row r="260" spans="1:83" s="9" customFormat="1" ht="12" customHeight="1" x14ac:dyDescent="0.15">
      <c r="A260" s="16"/>
      <c r="B260" s="8"/>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17"/>
      <c r="CD260" s="17"/>
      <c r="CE260" s="18"/>
    </row>
    <row r="261" spans="1:83" s="9" customFormat="1" ht="12" customHeight="1" x14ac:dyDescent="0.15">
      <c r="A261" s="16"/>
      <c r="B261" s="8"/>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17"/>
      <c r="CD261" s="17"/>
      <c r="CE261" s="18"/>
    </row>
    <row r="262" spans="1:83" s="9" customFormat="1" ht="12" customHeight="1" x14ac:dyDescent="0.15">
      <c r="A262" s="16"/>
      <c r="B262" s="8"/>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17"/>
      <c r="CD262" s="17"/>
      <c r="CE262" s="18"/>
    </row>
    <row r="263" spans="1:83" s="9" customFormat="1" ht="12" customHeight="1" x14ac:dyDescent="0.15">
      <c r="A263" s="16"/>
      <c r="B263" s="8"/>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17"/>
      <c r="CD263" s="17"/>
      <c r="CE263" s="18"/>
    </row>
    <row r="264" spans="1:83" s="9" customFormat="1" ht="12" customHeight="1" x14ac:dyDescent="0.15">
      <c r="A264" s="16"/>
      <c r="B264" s="8"/>
      <c r="C264" s="17"/>
      <c r="D264" s="157"/>
      <c r="E264" s="157"/>
      <c r="F264" s="15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17"/>
      <c r="CD264" s="17"/>
      <c r="CE264" s="18"/>
    </row>
    <row r="265" spans="1:83" s="9" customFormat="1" ht="12" customHeight="1" x14ac:dyDescent="0.15">
      <c r="A265" s="16"/>
      <c r="B265" s="8"/>
      <c r="C265" s="17"/>
      <c r="D265" s="157"/>
      <c r="E265" s="157"/>
      <c r="F265" s="15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17"/>
      <c r="CD265" s="17"/>
      <c r="CE265" s="18"/>
    </row>
    <row r="266" spans="1:83" s="9" customFormat="1" ht="12" customHeight="1" x14ac:dyDescent="0.15">
      <c r="A266" s="16"/>
      <c r="B266" s="8"/>
      <c r="C266" s="17"/>
      <c r="D266" s="157"/>
      <c r="E266" s="157"/>
      <c r="F266" s="15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17"/>
      <c r="CD266" s="17"/>
      <c r="CE266" s="18"/>
    </row>
    <row r="267" spans="1:83" s="9" customFormat="1" ht="12" customHeight="1" x14ac:dyDescent="0.15">
      <c r="A267" s="16"/>
      <c r="B267" s="8"/>
      <c r="C267" s="17"/>
      <c r="D267" s="157"/>
      <c r="E267" s="157"/>
      <c r="F267" s="15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17"/>
      <c r="CD267" s="17"/>
      <c r="CE267" s="18"/>
    </row>
    <row r="268" spans="1:83" s="9" customFormat="1" ht="12" customHeight="1" x14ac:dyDescent="0.15">
      <c r="A268" s="16"/>
      <c r="B268" s="8"/>
      <c r="C268" s="17"/>
      <c r="D268" s="157"/>
      <c r="E268" s="157"/>
      <c r="F268" s="15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17"/>
      <c r="CD268" s="17"/>
      <c r="CE268" s="18"/>
    </row>
    <row r="269" spans="1:83" s="9" customFormat="1" ht="12" customHeight="1" x14ac:dyDescent="0.15">
      <c r="A269" s="16"/>
      <c r="B269" s="8"/>
      <c r="C269" s="17"/>
      <c r="D269" s="157"/>
      <c r="E269" s="157"/>
      <c r="F269" s="15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17"/>
      <c r="CD269" s="17"/>
      <c r="CE269" s="18"/>
    </row>
    <row r="270" spans="1:83" s="4" customFormat="1" ht="12" customHeight="1" x14ac:dyDescent="0.15">
      <c r="A270" s="16"/>
      <c r="B270" s="5"/>
      <c r="C270" s="5"/>
      <c r="D270" s="534" t="s">
        <v>929</v>
      </c>
      <c r="E270" s="534"/>
      <c r="F270" s="534"/>
      <c r="G270" s="534"/>
      <c r="H270" s="534"/>
      <c r="I270" s="534"/>
      <c r="J270" s="534"/>
      <c r="K270" s="534"/>
      <c r="L270" s="534"/>
      <c r="M270" s="534"/>
      <c r="N270" s="534"/>
      <c r="O270" s="534"/>
      <c r="P270" s="534"/>
      <c r="Q270" s="534"/>
      <c r="R270" s="534"/>
      <c r="S270" s="534"/>
      <c r="T270" s="534"/>
      <c r="U270" s="534"/>
      <c r="V270" s="534"/>
      <c r="W270" s="534"/>
      <c r="X270" s="534"/>
      <c r="Y270" s="534"/>
      <c r="Z270" s="534"/>
      <c r="AA270" s="534"/>
      <c r="AB270" s="534"/>
      <c r="AC270" s="534"/>
      <c r="AD270" s="534"/>
      <c r="AE270" s="534"/>
      <c r="AF270" s="534"/>
      <c r="AG270" s="534"/>
      <c r="AH270" s="534"/>
      <c r="AI270" s="534"/>
      <c r="AJ270" s="534"/>
      <c r="AK270" s="534"/>
      <c r="AL270" s="534"/>
      <c r="AM270" s="534"/>
      <c r="AN270" s="534"/>
      <c r="AO270" s="534"/>
      <c r="AP270" s="534"/>
      <c r="AQ270" s="534"/>
      <c r="AR270" s="534"/>
      <c r="AS270" s="534"/>
      <c r="AT270" s="534"/>
      <c r="AU270" s="534"/>
      <c r="AV270" s="534"/>
      <c r="AW270" s="534"/>
      <c r="AX270" s="534"/>
      <c r="AY270" s="534"/>
      <c r="AZ270" s="534"/>
      <c r="BA270" s="534"/>
      <c r="BB270" s="534"/>
      <c r="BC270" s="534"/>
      <c r="BD270" s="534"/>
      <c r="BE270" s="534"/>
      <c r="BF270" s="534"/>
      <c r="BG270" s="534"/>
      <c r="BH270" s="534"/>
      <c r="BI270" s="534"/>
      <c r="BJ270" s="534"/>
      <c r="BK270" s="534"/>
      <c r="BL270" s="534"/>
      <c r="BM270" s="534"/>
      <c r="BN270" s="534"/>
      <c r="BO270" s="534"/>
      <c r="BP270" s="534"/>
      <c r="BQ270" s="534"/>
      <c r="BR270" s="534"/>
      <c r="BS270" s="534"/>
      <c r="BT270" s="534"/>
      <c r="BU270" s="534"/>
      <c r="BV270" s="534"/>
      <c r="BW270" s="534"/>
      <c r="BX270" s="534"/>
      <c r="BY270" s="534"/>
      <c r="BZ270" s="534"/>
      <c r="CA270" s="534"/>
      <c r="CB270" s="534"/>
      <c r="CC270" s="12"/>
      <c r="CD270" s="12"/>
      <c r="CE270" s="18"/>
    </row>
    <row r="271" spans="1:83" ht="12.75" customHeight="1" x14ac:dyDescent="0.15">
      <c r="A271" s="98"/>
      <c r="B271" s="99"/>
      <c r="C271" s="3"/>
      <c r="D271" s="535" t="s">
        <v>403</v>
      </c>
      <c r="E271" s="536"/>
      <c r="F271" s="536"/>
      <c r="G271" s="536"/>
      <c r="H271" s="537"/>
      <c r="I271" s="538" t="s">
        <v>605</v>
      </c>
      <c r="J271" s="539"/>
      <c r="K271" s="539"/>
      <c r="L271" s="539"/>
      <c r="M271" s="539"/>
      <c r="N271" s="539"/>
      <c r="O271" s="539"/>
      <c r="P271" s="539"/>
      <c r="Q271" s="539"/>
      <c r="R271" s="539"/>
      <c r="S271" s="539"/>
      <c r="T271" s="539"/>
      <c r="U271" s="539"/>
      <c r="V271" s="539"/>
      <c r="W271" s="539"/>
      <c r="X271" s="539"/>
      <c r="Y271" s="539"/>
      <c r="Z271" s="539"/>
      <c r="AA271" s="539"/>
      <c r="AB271" s="539"/>
      <c r="AC271" s="539"/>
      <c r="AD271" s="539"/>
      <c r="AE271" s="539"/>
      <c r="AF271" s="539"/>
      <c r="AG271" s="540"/>
      <c r="AH271" s="538" t="s">
        <v>604</v>
      </c>
      <c r="AI271" s="539"/>
      <c r="AJ271" s="539"/>
      <c r="AK271" s="539"/>
      <c r="AL271" s="539"/>
      <c r="AM271" s="539"/>
      <c r="AN271" s="539"/>
      <c r="AO271" s="539"/>
      <c r="AP271" s="539"/>
      <c r="AQ271" s="539"/>
      <c r="AR271" s="539"/>
      <c r="AS271" s="539"/>
      <c r="AT271" s="539"/>
      <c r="AU271" s="539"/>
      <c r="AV271" s="539"/>
      <c r="AW271" s="539"/>
      <c r="AX271" s="539"/>
      <c r="AY271" s="539"/>
      <c r="AZ271" s="539"/>
      <c r="BA271" s="539"/>
      <c r="BB271" s="539"/>
      <c r="BC271" s="539"/>
      <c r="BD271" s="539"/>
      <c r="BE271" s="539"/>
      <c r="BF271" s="539"/>
      <c r="BG271" s="539"/>
      <c r="BH271" s="539"/>
      <c r="BI271" s="539"/>
      <c r="BJ271" s="539"/>
      <c r="BK271" s="539"/>
      <c r="BL271" s="539"/>
      <c r="BM271" s="539"/>
      <c r="BN271" s="539"/>
      <c r="BO271" s="539"/>
      <c r="BP271" s="539"/>
      <c r="BQ271" s="539"/>
      <c r="BR271" s="539"/>
      <c r="BS271" s="539"/>
      <c r="BT271" s="539"/>
      <c r="BU271" s="539"/>
      <c r="BV271" s="539"/>
      <c r="BW271" s="539"/>
      <c r="BX271" s="539"/>
      <c r="BY271" s="539"/>
      <c r="BZ271" s="539"/>
      <c r="CA271" s="539"/>
      <c r="CB271" s="539"/>
      <c r="CC271" s="539"/>
      <c r="CD271" s="540"/>
      <c r="CE271" s="100"/>
    </row>
    <row r="272" spans="1:83" ht="12.75" customHeight="1" x14ac:dyDescent="0.15">
      <c r="A272" s="98"/>
      <c r="B272" s="99"/>
      <c r="C272" s="3"/>
      <c r="D272" s="501" t="s">
        <v>105</v>
      </c>
      <c r="E272" s="502"/>
      <c r="F272" s="502"/>
      <c r="G272" s="502"/>
      <c r="H272" s="503"/>
      <c r="I272" s="504" t="s">
        <v>74</v>
      </c>
      <c r="J272" s="505"/>
      <c r="K272" s="505"/>
      <c r="L272" s="505"/>
      <c r="M272" s="505"/>
      <c r="N272" s="505"/>
      <c r="O272" s="505"/>
      <c r="P272" s="505"/>
      <c r="Q272" s="505"/>
      <c r="R272" s="505"/>
      <c r="S272" s="505"/>
      <c r="T272" s="505"/>
      <c r="U272" s="505"/>
      <c r="V272" s="505"/>
      <c r="W272" s="505"/>
      <c r="X272" s="505"/>
      <c r="Y272" s="505"/>
      <c r="Z272" s="505"/>
      <c r="AA272" s="505"/>
      <c r="AB272" s="505"/>
      <c r="AC272" s="505"/>
      <c r="AD272" s="505"/>
      <c r="AE272" s="505"/>
      <c r="AF272" s="505"/>
      <c r="AG272" s="506"/>
      <c r="AH272" s="498" t="s">
        <v>140</v>
      </c>
      <c r="AI272" s="499"/>
      <c r="AJ272" s="499"/>
      <c r="AK272" s="499"/>
      <c r="AL272" s="499"/>
      <c r="AM272" s="499"/>
      <c r="AN272" s="499"/>
      <c r="AO272" s="499"/>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500"/>
      <c r="CE272" s="100"/>
    </row>
    <row r="273" spans="1:83" ht="12.75" customHeight="1" x14ac:dyDescent="0.15">
      <c r="A273" s="98"/>
      <c r="B273" s="99"/>
      <c r="C273" s="3"/>
      <c r="D273" s="501" t="s">
        <v>106</v>
      </c>
      <c r="E273" s="502"/>
      <c r="F273" s="502"/>
      <c r="G273" s="502"/>
      <c r="H273" s="503"/>
      <c r="I273" s="504" t="s">
        <v>76</v>
      </c>
      <c r="J273" s="505"/>
      <c r="K273" s="505"/>
      <c r="L273" s="505"/>
      <c r="M273" s="505"/>
      <c r="N273" s="505"/>
      <c r="O273" s="505"/>
      <c r="P273" s="505"/>
      <c r="Q273" s="505"/>
      <c r="R273" s="505"/>
      <c r="S273" s="505"/>
      <c r="T273" s="505"/>
      <c r="U273" s="505"/>
      <c r="V273" s="505"/>
      <c r="W273" s="505"/>
      <c r="X273" s="505"/>
      <c r="Y273" s="505"/>
      <c r="Z273" s="505"/>
      <c r="AA273" s="505"/>
      <c r="AB273" s="505"/>
      <c r="AC273" s="505"/>
      <c r="AD273" s="505"/>
      <c r="AE273" s="505"/>
      <c r="AF273" s="505"/>
      <c r="AG273" s="506"/>
      <c r="AH273" s="498" t="s">
        <v>77</v>
      </c>
      <c r="AI273" s="499"/>
      <c r="AJ273" s="499"/>
      <c r="AK273" s="499"/>
      <c r="AL273" s="499"/>
      <c r="AM273" s="499"/>
      <c r="AN273" s="499"/>
      <c r="AO273" s="499"/>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500"/>
      <c r="CE273" s="100"/>
    </row>
    <row r="274" spans="1:83" ht="12.75" customHeight="1" x14ac:dyDescent="0.15">
      <c r="A274" s="98"/>
      <c r="B274" s="99"/>
      <c r="C274" s="3"/>
      <c r="D274" s="501" t="s">
        <v>107</v>
      </c>
      <c r="E274" s="502"/>
      <c r="F274" s="502"/>
      <c r="G274" s="502"/>
      <c r="H274" s="503"/>
      <c r="I274" s="504" t="s">
        <v>144</v>
      </c>
      <c r="J274" s="505"/>
      <c r="K274" s="505"/>
      <c r="L274" s="505"/>
      <c r="M274" s="505"/>
      <c r="N274" s="505"/>
      <c r="O274" s="505"/>
      <c r="P274" s="505"/>
      <c r="Q274" s="505"/>
      <c r="R274" s="505"/>
      <c r="S274" s="505"/>
      <c r="T274" s="505"/>
      <c r="U274" s="505"/>
      <c r="V274" s="505"/>
      <c r="W274" s="505"/>
      <c r="X274" s="505"/>
      <c r="Y274" s="505"/>
      <c r="Z274" s="505"/>
      <c r="AA274" s="505"/>
      <c r="AB274" s="505"/>
      <c r="AC274" s="505"/>
      <c r="AD274" s="505"/>
      <c r="AE274" s="505"/>
      <c r="AF274" s="505"/>
      <c r="AG274" s="506"/>
      <c r="AH274" s="498" t="s">
        <v>838</v>
      </c>
      <c r="AI274" s="499"/>
      <c r="AJ274" s="499"/>
      <c r="AK274" s="499"/>
      <c r="AL274" s="499"/>
      <c r="AM274" s="499"/>
      <c r="AN274" s="499"/>
      <c r="AO274" s="499"/>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500"/>
      <c r="CE274" s="100"/>
    </row>
    <row r="275" spans="1:83" ht="12.75" customHeight="1" x14ac:dyDescent="0.15">
      <c r="A275" s="16"/>
      <c r="B275" s="8"/>
      <c r="C275" s="17"/>
      <c r="D275" s="492" t="s">
        <v>22</v>
      </c>
      <c r="E275" s="493"/>
      <c r="F275" s="493"/>
      <c r="G275" s="493"/>
      <c r="H275" s="494"/>
      <c r="I275" s="495" t="s">
        <v>651</v>
      </c>
      <c r="J275" s="496"/>
      <c r="K275" s="496"/>
      <c r="L275" s="496"/>
      <c r="M275" s="496"/>
      <c r="N275" s="496"/>
      <c r="O275" s="496"/>
      <c r="P275" s="496"/>
      <c r="Q275" s="496"/>
      <c r="R275" s="496"/>
      <c r="S275" s="496"/>
      <c r="T275" s="496"/>
      <c r="U275" s="496"/>
      <c r="V275" s="496"/>
      <c r="W275" s="496"/>
      <c r="X275" s="496"/>
      <c r="Y275" s="496"/>
      <c r="Z275" s="496"/>
      <c r="AA275" s="496"/>
      <c r="AB275" s="496"/>
      <c r="AC275" s="496"/>
      <c r="AD275" s="496"/>
      <c r="AE275" s="496"/>
      <c r="AF275" s="496"/>
      <c r="AG275" s="497"/>
      <c r="AH275" s="498" t="s">
        <v>650</v>
      </c>
      <c r="AI275" s="499"/>
      <c r="AJ275" s="499"/>
      <c r="AK275" s="499"/>
      <c r="AL275" s="499"/>
      <c r="AM275" s="499"/>
      <c r="AN275" s="499"/>
      <c r="AO275" s="499"/>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500"/>
      <c r="CE275" s="18"/>
    </row>
    <row r="276" spans="1:83" s="9" customFormat="1" ht="12" customHeight="1" x14ac:dyDescent="0.15">
      <c r="A276" s="16"/>
      <c r="B276" s="8"/>
      <c r="C276" s="17"/>
      <c r="D276" s="492" t="s">
        <v>7</v>
      </c>
      <c r="E276" s="493"/>
      <c r="F276" s="493"/>
      <c r="G276" s="493"/>
      <c r="H276" s="494"/>
      <c r="I276" s="495" t="s">
        <v>61</v>
      </c>
      <c r="J276" s="496"/>
      <c r="K276" s="496"/>
      <c r="L276" s="496"/>
      <c r="M276" s="496"/>
      <c r="N276" s="496"/>
      <c r="O276" s="496"/>
      <c r="P276" s="496"/>
      <c r="Q276" s="496"/>
      <c r="R276" s="496"/>
      <c r="S276" s="496"/>
      <c r="T276" s="496"/>
      <c r="U276" s="496"/>
      <c r="V276" s="496"/>
      <c r="W276" s="496"/>
      <c r="X276" s="496"/>
      <c r="Y276" s="496"/>
      <c r="Z276" s="496"/>
      <c r="AA276" s="496"/>
      <c r="AB276" s="496"/>
      <c r="AC276" s="496"/>
      <c r="AD276" s="496"/>
      <c r="AE276" s="496"/>
      <c r="AF276" s="496"/>
      <c r="AG276" s="497"/>
      <c r="AH276" s="498" t="s">
        <v>62</v>
      </c>
      <c r="AI276" s="499"/>
      <c r="AJ276" s="499"/>
      <c r="AK276" s="499"/>
      <c r="AL276" s="499"/>
      <c r="AM276" s="499"/>
      <c r="AN276" s="499"/>
      <c r="AO276" s="499"/>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500"/>
      <c r="CE276" s="18"/>
    </row>
    <row r="277" spans="1:83" s="9" customFormat="1" ht="12" customHeight="1" x14ac:dyDescent="0.15">
      <c r="A277" s="16"/>
      <c r="B277" s="8"/>
      <c r="C277" s="17"/>
      <c r="D277" s="492" t="s">
        <v>9</v>
      </c>
      <c r="E277" s="493"/>
      <c r="F277" s="493"/>
      <c r="G277" s="493"/>
      <c r="H277" s="494"/>
      <c r="I277" s="495" t="s">
        <v>652</v>
      </c>
      <c r="J277" s="496"/>
      <c r="K277" s="496"/>
      <c r="L277" s="496"/>
      <c r="M277" s="496"/>
      <c r="N277" s="496"/>
      <c r="O277" s="496"/>
      <c r="P277" s="496"/>
      <c r="Q277" s="496"/>
      <c r="R277" s="496"/>
      <c r="S277" s="496"/>
      <c r="T277" s="496"/>
      <c r="U277" s="496"/>
      <c r="V277" s="496"/>
      <c r="W277" s="496"/>
      <c r="X277" s="496"/>
      <c r="Y277" s="496"/>
      <c r="Z277" s="496"/>
      <c r="AA277" s="496"/>
      <c r="AB277" s="496"/>
      <c r="AC277" s="496"/>
      <c r="AD277" s="496"/>
      <c r="AE277" s="496"/>
      <c r="AF277" s="496"/>
      <c r="AG277" s="497"/>
      <c r="AH277" s="498" t="s">
        <v>63</v>
      </c>
      <c r="AI277" s="499"/>
      <c r="AJ277" s="499"/>
      <c r="AK277" s="499"/>
      <c r="AL277" s="499"/>
      <c r="AM277" s="499"/>
      <c r="AN277" s="499"/>
      <c r="AO277" s="499"/>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500"/>
      <c r="CE277" s="18"/>
    </row>
    <row r="278" spans="1:83" s="9" customFormat="1" ht="12" customHeight="1" x14ac:dyDescent="0.15">
      <c r="A278" s="16"/>
      <c r="B278" s="8"/>
      <c r="C278" s="17"/>
      <c r="D278" s="360"/>
      <c r="E278" s="360"/>
      <c r="F278" s="360"/>
      <c r="G278" s="360"/>
      <c r="H278" s="360"/>
      <c r="I278" s="360"/>
      <c r="J278" s="360"/>
      <c r="K278" s="360"/>
      <c r="L278" s="360"/>
      <c r="M278" s="360"/>
      <c r="N278" s="360"/>
      <c r="O278" s="360"/>
      <c r="P278" s="360"/>
      <c r="Q278" s="360"/>
      <c r="R278" s="360"/>
      <c r="S278" s="360"/>
      <c r="T278" s="360"/>
      <c r="U278" s="360"/>
      <c r="V278" s="360"/>
      <c r="W278" s="360"/>
      <c r="X278" s="360"/>
      <c r="Y278" s="360"/>
      <c r="Z278" s="360"/>
      <c r="AA278" s="360"/>
      <c r="AB278" s="360"/>
      <c r="AC278" s="360"/>
      <c r="AD278" s="360"/>
      <c r="AE278" s="360"/>
      <c r="AF278" s="360"/>
      <c r="AG278" s="360"/>
      <c r="AH278" s="361"/>
      <c r="AI278" s="361"/>
      <c r="AJ278" s="361"/>
      <c r="AK278" s="361"/>
      <c r="AL278" s="361"/>
      <c r="AM278" s="361"/>
      <c r="AN278" s="361"/>
      <c r="AO278" s="361"/>
      <c r="AP278" s="361"/>
      <c r="AQ278" s="361"/>
      <c r="AR278" s="361"/>
      <c r="AS278" s="361"/>
      <c r="AT278" s="361"/>
      <c r="AU278" s="361"/>
      <c r="AV278" s="361"/>
      <c r="AW278" s="361"/>
      <c r="AX278" s="361"/>
      <c r="AY278" s="361"/>
      <c r="AZ278" s="361"/>
      <c r="BA278" s="361"/>
      <c r="BB278" s="361"/>
      <c r="BC278" s="361"/>
      <c r="BD278" s="361"/>
      <c r="BE278" s="361"/>
      <c r="BF278" s="361"/>
      <c r="BG278" s="361"/>
      <c r="BH278" s="361"/>
      <c r="BI278" s="361"/>
      <c r="BJ278" s="361"/>
      <c r="BK278" s="361"/>
      <c r="BL278" s="361"/>
      <c r="BM278" s="361"/>
      <c r="BN278" s="361"/>
      <c r="BO278" s="361"/>
      <c r="BP278" s="361"/>
      <c r="BQ278" s="361"/>
      <c r="BR278" s="361"/>
      <c r="BS278" s="361"/>
      <c r="BT278" s="361"/>
      <c r="BU278" s="361"/>
      <c r="BV278" s="361"/>
      <c r="BW278" s="361"/>
      <c r="BX278" s="361"/>
      <c r="BY278" s="361"/>
      <c r="BZ278" s="361"/>
      <c r="CA278" s="361"/>
      <c r="CB278" s="361"/>
      <c r="CC278" s="361"/>
      <c r="CD278" s="361"/>
      <c r="CE278" s="18"/>
    </row>
    <row r="279" spans="1:83" s="9" customFormat="1" ht="12" customHeight="1" thickBot="1" x14ac:dyDescent="0.2">
      <c r="A279" s="25"/>
      <c r="B279" s="30"/>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7"/>
      <c r="BA279" s="27"/>
      <c r="BB279" s="27"/>
      <c r="BC279" s="27"/>
      <c r="BD279" s="27"/>
      <c r="BE279" s="27"/>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6"/>
      <c r="CD279" s="26"/>
      <c r="CE279" s="28"/>
    </row>
    <row r="280" spans="1:83" s="9" customFormat="1" ht="12" customHeight="1" x14ac:dyDescent="0.15">
      <c r="A280" s="13"/>
      <c r="B280" s="14"/>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59"/>
      <c r="AT280" s="159"/>
      <c r="AU280" s="159"/>
      <c r="AV280" s="159"/>
      <c r="AW280" s="159"/>
      <c r="AX280" s="159"/>
      <c r="AY280" s="159"/>
      <c r="AZ280" s="160"/>
      <c r="BA280" s="160"/>
      <c r="BB280" s="160"/>
      <c r="BC280" s="160"/>
      <c r="BD280" s="160"/>
      <c r="BE280" s="160"/>
      <c r="BF280" s="160"/>
      <c r="BG280" s="160"/>
      <c r="BH280" s="160"/>
      <c r="BI280" s="160"/>
      <c r="BJ280" s="160"/>
      <c r="BK280" s="160"/>
      <c r="BL280" s="160"/>
      <c r="BM280" s="160"/>
      <c r="BN280" s="160"/>
      <c r="BO280" s="160"/>
      <c r="BP280" s="160"/>
      <c r="BQ280" s="160"/>
      <c r="BR280" s="160"/>
      <c r="BS280" s="160"/>
      <c r="BT280" s="160"/>
      <c r="BU280" s="160"/>
      <c r="BV280" s="160"/>
      <c r="BW280" s="160"/>
      <c r="BX280" s="160"/>
      <c r="BY280" s="160"/>
      <c r="BZ280" s="160"/>
      <c r="CA280" s="160"/>
      <c r="CB280" s="160"/>
      <c r="CC280" s="159"/>
      <c r="CD280" s="159"/>
      <c r="CE280" s="15"/>
    </row>
    <row r="281" spans="1:83" s="9" customFormat="1" ht="12" customHeight="1" x14ac:dyDescent="0.15">
      <c r="A281" s="16"/>
      <c r="B281" s="8"/>
      <c r="C281" s="17"/>
      <c r="D281" s="17"/>
      <c r="E281" s="22" t="s">
        <v>777</v>
      </c>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17"/>
      <c r="CD281" s="17"/>
      <c r="CE281" s="18"/>
    </row>
    <row r="282" spans="1:83" s="4" customFormat="1" ht="12" customHeight="1" x14ac:dyDescent="0.15">
      <c r="A282" s="16"/>
      <c r="B282" s="5"/>
      <c r="C282" s="5"/>
      <c r="D282" s="5"/>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2"/>
      <c r="CB282" s="12"/>
      <c r="CC282" s="12"/>
      <c r="CD282" s="12"/>
      <c r="CE282" s="18"/>
    </row>
    <row r="283" spans="1:83" s="4" customFormat="1" ht="12" customHeight="1" x14ac:dyDescent="0.15">
      <c r="A283" s="16"/>
      <c r="B283" s="73"/>
      <c r="C283" s="12"/>
      <c r="D283" s="12"/>
      <c r="E283" s="17"/>
      <c r="F283" s="17"/>
      <c r="G283" s="17" t="s">
        <v>603</v>
      </c>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2"/>
      <c r="CB283" s="12"/>
      <c r="CC283" s="12"/>
      <c r="CD283" s="12"/>
      <c r="CE283" s="18"/>
    </row>
    <row r="284" spans="1:83" s="9" customFormat="1" ht="12" customHeight="1" x14ac:dyDescent="0.15">
      <c r="A284" s="16"/>
      <c r="B284" s="8"/>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17"/>
      <c r="CD284" s="17"/>
      <c r="CE284" s="18"/>
    </row>
    <row r="285" spans="1:83" s="6" customFormat="1" ht="12" customHeight="1" x14ac:dyDescent="0.15">
      <c r="A285" s="16"/>
      <c r="B285" s="5"/>
      <c r="C285" s="12"/>
      <c r="D285" s="12"/>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2"/>
      <c r="CB285" s="12"/>
      <c r="CC285" s="12"/>
      <c r="CD285" s="12"/>
      <c r="CE285" s="18"/>
    </row>
    <row r="286" spans="1:83" s="4" customFormat="1" ht="12" customHeight="1" x14ac:dyDescent="0.15">
      <c r="A286" s="16"/>
      <c r="B286" s="73"/>
      <c r="C286" s="12"/>
      <c r="D286" s="12"/>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2"/>
      <c r="CB286" s="12"/>
      <c r="CC286" s="12"/>
      <c r="CD286" s="12"/>
      <c r="CE286" s="18"/>
    </row>
    <row r="287" spans="1:83" s="4" customFormat="1" ht="12" customHeight="1" x14ac:dyDescent="0.15">
      <c r="A287" s="16"/>
      <c r="B287" s="73"/>
      <c r="C287" s="12"/>
      <c r="D287" s="12"/>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2"/>
      <c r="CB287" s="12"/>
      <c r="CC287" s="12"/>
      <c r="CD287" s="12"/>
      <c r="CE287" s="18"/>
    </row>
    <row r="288" spans="1:83" s="4" customFormat="1" ht="12" customHeight="1" x14ac:dyDescent="0.15">
      <c r="A288" s="16"/>
      <c r="B288" s="73"/>
      <c r="C288" s="12"/>
      <c r="D288" s="12"/>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2"/>
      <c r="CB288" s="12"/>
      <c r="CC288" s="12"/>
      <c r="CD288" s="12"/>
      <c r="CE288" s="18"/>
    </row>
    <row r="289" spans="1:83" s="4" customFormat="1" ht="12" customHeight="1" x14ac:dyDescent="0.15">
      <c r="A289" s="16"/>
      <c r="B289" s="73"/>
      <c r="C289" s="12"/>
      <c r="D289" s="12"/>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2"/>
      <c r="CB289" s="12"/>
      <c r="CC289" s="12"/>
      <c r="CD289" s="12"/>
      <c r="CE289" s="18"/>
    </row>
    <row r="290" spans="1:83" s="4" customFormat="1" ht="12" customHeight="1" x14ac:dyDescent="0.15">
      <c r="A290" s="16"/>
      <c r="B290" s="8"/>
      <c r="C290" s="12"/>
      <c r="D290" s="12"/>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2"/>
      <c r="CB290" s="12"/>
      <c r="CC290" s="12"/>
      <c r="CD290" s="12"/>
      <c r="CE290" s="18"/>
    </row>
    <row r="291" spans="1:83" s="4" customFormat="1" ht="12" customHeight="1" x14ac:dyDescent="0.15">
      <c r="A291" s="16"/>
      <c r="B291" s="8"/>
      <c r="C291" s="12"/>
      <c r="D291" s="12"/>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2"/>
      <c r="CB291" s="12"/>
      <c r="CC291" s="12"/>
      <c r="CD291" s="12"/>
      <c r="CE291" s="18"/>
    </row>
    <row r="292" spans="1:83" s="9" customFormat="1" ht="12" customHeight="1" x14ac:dyDescent="0.15">
      <c r="A292" s="16"/>
      <c r="B292" s="8"/>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17"/>
      <c r="CD292" s="17"/>
      <c r="CE292" s="18"/>
    </row>
    <row r="293" spans="1:83" s="9" customFormat="1" ht="12" customHeight="1" x14ac:dyDescent="0.15">
      <c r="A293" s="16"/>
      <c r="B293" s="8"/>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17"/>
      <c r="CD293" s="17"/>
      <c r="CE293" s="18"/>
    </row>
    <row r="294" spans="1:83" s="9" customFormat="1" ht="12" customHeight="1" x14ac:dyDescent="0.15">
      <c r="A294" s="16"/>
      <c r="B294" s="8"/>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17"/>
      <c r="CD294" s="17"/>
      <c r="CE294" s="18"/>
    </row>
    <row r="295" spans="1:83" s="9" customFormat="1" ht="12" customHeight="1" x14ac:dyDescent="0.15">
      <c r="A295" s="16"/>
      <c r="B295" s="8"/>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17"/>
      <c r="CD295" s="17"/>
      <c r="CE295" s="18"/>
    </row>
    <row r="296" spans="1:83" s="9" customFormat="1" ht="12" customHeight="1" x14ac:dyDescent="0.15">
      <c r="A296" s="16"/>
      <c r="B296" s="8"/>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17"/>
      <c r="CD296" s="17"/>
      <c r="CE296" s="18"/>
    </row>
    <row r="297" spans="1:83" s="9" customFormat="1" ht="12" customHeight="1" x14ac:dyDescent="0.15">
      <c r="A297" s="16"/>
      <c r="B297" s="8"/>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17"/>
      <c r="CD297" s="17"/>
      <c r="CE297" s="18"/>
    </row>
    <row r="298" spans="1:83" s="9" customFormat="1" ht="12" customHeight="1" x14ac:dyDescent="0.15">
      <c r="A298" s="16"/>
      <c r="B298" s="8"/>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17"/>
      <c r="CD298" s="17"/>
      <c r="CE298" s="18"/>
    </row>
    <row r="299" spans="1:83" s="9" customFormat="1" ht="12" customHeight="1" x14ac:dyDescent="0.15">
      <c r="A299" s="16"/>
      <c r="B299" s="8"/>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17"/>
      <c r="CD299" s="17"/>
      <c r="CE299" s="18"/>
    </row>
    <row r="300" spans="1:83" s="9" customFormat="1" ht="12" customHeight="1" x14ac:dyDescent="0.15">
      <c r="A300" s="16"/>
      <c r="B300" s="8"/>
      <c r="C300" s="17"/>
      <c r="D300" s="157"/>
      <c r="E300" s="157"/>
      <c r="F300" s="15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17"/>
      <c r="CD300" s="17"/>
      <c r="CE300" s="18"/>
    </row>
    <row r="301" spans="1:83" s="9" customFormat="1" ht="12" customHeight="1" x14ac:dyDescent="0.15">
      <c r="A301" s="16"/>
      <c r="B301" s="8"/>
      <c r="C301" s="17"/>
      <c r="D301" s="157"/>
      <c r="E301" s="157"/>
      <c r="F301" s="15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17"/>
      <c r="CD301" s="17"/>
      <c r="CE301" s="18"/>
    </row>
    <row r="302" spans="1:83" s="9" customFormat="1" ht="12" customHeight="1" x14ac:dyDescent="0.15">
      <c r="A302" s="16"/>
      <c r="B302" s="8"/>
      <c r="C302" s="17"/>
      <c r="D302" s="157"/>
      <c r="E302" s="157"/>
      <c r="F302" s="15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17"/>
      <c r="CD302" s="17"/>
      <c r="CE302" s="18"/>
    </row>
    <row r="303" spans="1:83" s="9" customFormat="1" ht="12" customHeight="1" x14ac:dyDescent="0.15">
      <c r="A303" s="16"/>
      <c r="B303" s="8"/>
      <c r="C303" s="17"/>
      <c r="D303" s="157"/>
      <c r="E303" s="157"/>
      <c r="F303" s="15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17"/>
      <c r="CD303" s="17"/>
      <c r="CE303" s="18"/>
    </row>
    <row r="304" spans="1:83" s="9" customFormat="1" ht="12" customHeight="1" x14ac:dyDescent="0.15">
      <c r="A304" s="16"/>
      <c r="B304" s="8"/>
      <c r="C304" s="17"/>
      <c r="D304" s="157"/>
      <c r="E304" s="157"/>
      <c r="F304" s="15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17"/>
      <c r="CD304" s="17"/>
      <c r="CE304" s="18"/>
    </row>
    <row r="305" spans="1:83" s="9" customFormat="1" ht="12" customHeight="1" x14ac:dyDescent="0.15">
      <c r="A305" s="16"/>
      <c r="B305" s="8"/>
      <c r="C305" s="17"/>
      <c r="D305" s="157"/>
      <c r="E305" s="157"/>
      <c r="F305" s="15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17"/>
      <c r="CD305" s="17"/>
      <c r="CE305" s="18"/>
    </row>
    <row r="306" spans="1:83" s="9" customFormat="1" ht="12" customHeight="1" x14ac:dyDescent="0.15">
      <c r="A306" s="16"/>
      <c r="B306" s="8"/>
      <c r="C306" s="17"/>
      <c r="D306" s="157"/>
      <c r="E306" s="157"/>
      <c r="F306" s="15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17"/>
      <c r="CD306" s="17"/>
      <c r="CE306" s="18"/>
    </row>
    <row r="307" spans="1:83" s="9" customFormat="1" ht="12" customHeight="1" x14ac:dyDescent="0.15">
      <c r="A307" s="16"/>
      <c r="B307" s="8"/>
      <c r="C307" s="17"/>
      <c r="D307" s="534" t="s">
        <v>779</v>
      </c>
      <c r="E307" s="534"/>
      <c r="F307" s="534"/>
      <c r="G307" s="534"/>
      <c r="H307" s="534"/>
      <c r="I307" s="534"/>
      <c r="J307" s="534"/>
      <c r="K307" s="534"/>
      <c r="L307" s="534"/>
      <c r="M307" s="534"/>
      <c r="N307" s="534"/>
      <c r="O307" s="534"/>
      <c r="P307" s="534"/>
      <c r="Q307" s="534"/>
      <c r="R307" s="534"/>
      <c r="S307" s="534"/>
      <c r="T307" s="534"/>
      <c r="U307" s="534"/>
      <c r="V307" s="534"/>
      <c r="W307" s="534"/>
      <c r="X307" s="534"/>
      <c r="Y307" s="534"/>
      <c r="Z307" s="534"/>
      <c r="AA307" s="534"/>
      <c r="AB307" s="534"/>
      <c r="AC307" s="534"/>
      <c r="AD307" s="534"/>
      <c r="AE307" s="534"/>
      <c r="AF307" s="534"/>
      <c r="AG307" s="534"/>
      <c r="AH307" s="534"/>
      <c r="AI307" s="534"/>
      <c r="AJ307" s="534"/>
      <c r="AK307" s="534"/>
      <c r="AL307" s="534"/>
      <c r="AM307" s="534"/>
      <c r="AN307" s="534"/>
      <c r="AO307" s="534"/>
      <c r="AP307" s="534"/>
      <c r="AQ307" s="534"/>
      <c r="AR307" s="534"/>
      <c r="AS307" s="534"/>
      <c r="AT307" s="534"/>
      <c r="AU307" s="534"/>
      <c r="AV307" s="534"/>
      <c r="AW307" s="534"/>
      <c r="AX307" s="534"/>
      <c r="AY307" s="534"/>
      <c r="AZ307" s="534"/>
      <c r="BA307" s="534"/>
      <c r="BB307" s="534"/>
      <c r="BC307" s="534"/>
      <c r="BD307" s="534"/>
      <c r="BE307" s="534"/>
      <c r="BF307" s="534"/>
      <c r="BG307" s="534"/>
      <c r="BH307" s="534"/>
      <c r="BI307" s="534"/>
      <c r="BJ307" s="534"/>
      <c r="BK307" s="534"/>
      <c r="BL307" s="534"/>
      <c r="BM307" s="534"/>
      <c r="BN307" s="534"/>
      <c r="BO307" s="534"/>
      <c r="BP307" s="534"/>
      <c r="BQ307" s="534"/>
      <c r="BR307" s="534"/>
      <c r="BS307" s="534"/>
      <c r="BT307" s="534"/>
      <c r="BU307" s="534"/>
      <c r="BV307" s="534"/>
      <c r="BW307" s="534"/>
      <c r="BX307" s="534"/>
      <c r="BY307" s="534"/>
      <c r="BZ307" s="534"/>
      <c r="CA307" s="534"/>
      <c r="CB307" s="534"/>
      <c r="CC307" s="17"/>
      <c r="CD307" s="17"/>
      <c r="CE307" s="18"/>
    </row>
    <row r="308" spans="1:83" s="9" customFormat="1" ht="12" customHeight="1" x14ac:dyDescent="0.15">
      <c r="A308" s="98"/>
      <c r="B308" s="99"/>
      <c r="C308" s="3"/>
      <c r="D308" s="535" t="s">
        <v>403</v>
      </c>
      <c r="E308" s="536"/>
      <c r="F308" s="536"/>
      <c r="G308" s="536"/>
      <c r="H308" s="537"/>
      <c r="I308" s="538" t="s">
        <v>598</v>
      </c>
      <c r="J308" s="539"/>
      <c r="K308" s="539"/>
      <c r="L308" s="539"/>
      <c r="M308" s="539"/>
      <c r="N308" s="539"/>
      <c r="O308" s="539"/>
      <c r="P308" s="539"/>
      <c r="Q308" s="539"/>
      <c r="R308" s="539"/>
      <c r="S308" s="539"/>
      <c r="T308" s="539"/>
      <c r="U308" s="539"/>
      <c r="V308" s="539"/>
      <c r="W308" s="539"/>
      <c r="X308" s="539"/>
      <c r="Y308" s="539"/>
      <c r="Z308" s="539"/>
      <c r="AA308" s="539"/>
      <c r="AB308" s="540"/>
      <c r="AC308" s="692" t="s">
        <v>405</v>
      </c>
      <c r="AD308" s="693"/>
      <c r="AE308" s="693"/>
      <c r="AF308" s="693"/>
      <c r="AG308" s="693"/>
      <c r="AH308" s="693"/>
      <c r="AI308" s="693"/>
      <c r="AJ308" s="693"/>
      <c r="AK308" s="693"/>
      <c r="AL308" s="693"/>
      <c r="AM308" s="693"/>
      <c r="AN308" s="693"/>
      <c r="AO308" s="693"/>
      <c r="AP308" s="693"/>
      <c r="AQ308" s="693"/>
      <c r="AR308" s="693"/>
      <c r="AS308" s="693"/>
      <c r="AT308" s="693"/>
      <c r="AU308" s="693"/>
      <c r="AV308" s="693"/>
      <c r="AW308" s="693"/>
      <c r="AX308" s="693"/>
      <c r="AY308" s="693"/>
      <c r="AZ308" s="693"/>
      <c r="BA308" s="693"/>
      <c r="BB308" s="693"/>
      <c r="BC308" s="693"/>
      <c r="BD308" s="693"/>
      <c r="BE308" s="693"/>
      <c r="BF308" s="693"/>
      <c r="BG308" s="693"/>
      <c r="BH308" s="693"/>
      <c r="BI308" s="693"/>
      <c r="BJ308" s="693"/>
      <c r="BK308" s="693"/>
      <c r="BL308" s="693"/>
      <c r="BM308" s="693"/>
      <c r="BN308" s="693"/>
      <c r="BO308" s="693"/>
      <c r="BP308" s="693"/>
      <c r="BQ308" s="693"/>
      <c r="BR308" s="693"/>
      <c r="BS308" s="693"/>
      <c r="BT308" s="693"/>
      <c r="BU308" s="693"/>
      <c r="BV308" s="693"/>
      <c r="BW308" s="693"/>
      <c r="BX308" s="693"/>
      <c r="BY308" s="693"/>
      <c r="BZ308" s="693"/>
      <c r="CA308" s="693"/>
      <c r="CB308" s="694"/>
      <c r="CC308" s="58"/>
      <c r="CD308" s="3"/>
      <c r="CE308" s="100"/>
    </row>
    <row r="309" spans="1:83" s="9" customFormat="1" ht="12" customHeight="1" x14ac:dyDescent="0.15">
      <c r="A309" s="98"/>
      <c r="B309" s="99"/>
      <c r="C309" s="3"/>
      <c r="D309" s="501" t="s">
        <v>711</v>
      </c>
      <c r="E309" s="502"/>
      <c r="F309" s="502"/>
      <c r="G309" s="502"/>
      <c r="H309" s="503"/>
      <c r="I309" s="599" t="s">
        <v>712</v>
      </c>
      <c r="J309" s="600"/>
      <c r="K309" s="600"/>
      <c r="L309" s="600"/>
      <c r="M309" s="600"/>
      <c r="N309" s="600"/>
      <c r="O309" s="600"/>
      <c r="P309" s="600"/>
      <c r="Q309" s="600"/>
      <c r="R309" s="600"/>
      <c r="S309" s="600"/>
      <c r="T309" s="600"/>
      <c r="U309" s="600"/>
      <c r="V309" s="600"/>
      <c r="W309" s="600"/>
      <c r="X309" s="600"/>
      <c r="Y309" s="600"/>
      <c r="Z309" s="600"/>
      <c r="AA309" s="600"/>
      <c r="AB309" s="601"/>
      <c r="AC309" s="507" t="s">
        <v>713</v>
      </c>
      <c r="AD309" s="508"/>
      <c r="AE309" s="508"/>
      <c r="AF309" s="508"/>
      <c r="AG309" s="508"/>
      <c r="AH309" s="508"/>
      <c r="AI309" s="508"/>
      <c r="AJ309" s="508"/>
      <c r="AK309" s="508"/>
      <c r="AL309" s="508"/>
      <c r="AM309" s="508"/>
      <c r="AN309" s="508"/>
      <c r="AO309" s="508"/>
      <c r="AP309" s="508"/>
      <c r="AQ309" s="508"/>
      <c r="AR309" s="508"/>
      <c r="AS309" s="508"/>
      <c r="AT309" s="508"/>
      <c r="AU309" s="508"/>
      <c r="AV309" s="508"/>
      <c r="AW309" s="508"/>
      <c r="AX309" s="508"/>
      <c r="AY309" s="508"/>
      <c r="AZ309" s="508"/>
      <c r="BA309" s="508"/>
      <c r="BB309" s="508"/>
      <c r="BC309" s="508"/>
      <c r="BD309" s="508"/>
      <c r="BE309" s="508"/>
      <c r="BF309" s="508"/>
      <c r="BG309" s="508"/>
      <c r="BH309" s="508"/>
      <c r="BI309" s="508"/>
      <c r="BJ309" s="508"/>
      <c r="BK309" s="508"/>
      <c r="BL309" s="508"/>
      <c r="BM309" s="508"/>
      <c r="BN309" s="508"/>
      <c r="BO309" s="508"/>
      <c r="BP309" s="508"/>
      <c r="BQ309" s="508"/>
      <c r="BR309" s="508"/>
      <c r="BS309" s="508"/>
      <c r="BT309" s="508"/>
      <c r="BU309" s="508"/>
      <c r="BV309" s="508"/>
      <c r="BW309" s="508"/>
      <c r="BX309" s="508"/>
      <c r="BY309" s="508"/>
      <c r="BZ309" s="508"/>
      <c r="CA309" s="508"/>
      <c r="CB309" s="509"/>
      <c r="CC309" s="58"/>
      <c r="CD309" s="3"/>
      <c r="CE309" s="100"/>
    </row>
    <row r="310" spans="1:83" s="9" customFormat="1" ht="12" customHeight="1" x14ac:dyDescent="0.15">
      <c r="A310" s="98"/>
      <c r="B310" s="99"/>
      <c r="C310" s="3"/>
      <c r="D310" s="501" t="s">
        <v>714</v>
      </c>
      <c r="E310" s="502"/>
      <c r="F310" s="502"/>
      <c r="G310" s="502"/>
      <c r="H310" s="503"/>
      <c r="I310" s="599" t="s">
        <v>733</v>
      </c>
      <c r="J310" s="600"/>
      <c r="K310" s="600"/>
      <c r="L310" s="600"/>
      <c r="M310" s="600"/>
      <c r="N310" s="600"/>
      <c r="O310" s="600"/>
      <c r="P310" s="600"/>
      <c r="Q310" s="600"/>
      <c r="R310" s="600"/>
      <c r="S310" s="600"/>
      <c r="T310" s="600"/>
      <c r="U310" s="600"/>
      <c r="V310" s="600"/>
      <c r="W310" s="600"/>
      <c r="X310" s="600"/>
      <c r="Y310" s="600"/>
      <c r="Z310" s="600"/>
      <c r="AA310" s="600"/>
      <c r="AB310" s="601"/>
      <c r="AC310" s="507" t="s">
        <v>77</v>
      </c>
      <c r="AD310" s="508"/>
      <c r="AE310" s="508"/>
      <c r="AF310" s="508"/>
      <c r="AG310" s="508"/>
      <c r="AH310" s="508"/>
      <c r="AI310" s="508"/>
      <c r="AJ310" s="508"/>
      <c r="AK310" s="508"/>
      <c r="AL310" s="508"/>
      <c r="AM310" s="508"/>
      <c r="AN310" s="508"/>
      <c r="AO310" s="508"/>
      <c r="AP310" s="508"/>
      <c r="AQ310" s="508"/>
      <c r="AR310" s="508"/>
      <c r="AS310" s="508"/>
      <c r="AT310" s="508"/>
      <c r="AU310" s="508"/>
      <c r="AV310" s="508"/>
      <c r="AW310" s="508"/>
      <c r="AX310" s="508"/>
      <c r="AY310" s="508"/>
      <c r="AZ310" s="508"/>
      <c r="BA310" s="508"/>
      <c r="BB310" s="508"/>
      <c r="BC310" s="508"/>
      <c r="BD310" s="508"/>
      <c r="BE310" s="508"/>
      <c r="BF310" s="508"/>
      <c r="BG310" s="508"/>
      <c r="BH310" s="508"/>
      <c r="BI310" s="508"/>
      <c r="BJ310" s="508"/>
      <c r="BK310" s="508"/>
      <c r="BL310" s="508"/>
      <c r="BM310" s="508"/>
      <c r="BN310" s="508"/>
      <c r="BO310" s="508"/>
      <c r="BP310" s="508"/>
      <c r="BQ310" s="508"/>
      <c r="BR310" s="508"/>
      <c r="BS310" s="508"/>
      <c r="BT310" s="508"/>
      <c r="BU310" s="508"/>
      <c r="BV310" s="508"/>
      <c r="BW310" s="508"/>
      <c r="BX310" s="508"/>
      <c r="BY310" s="508"/>
      <c r="BZ310" s="508"/>
      <c r="CA310" s="508"/>
      <c r="CB310" s="509"/>
      <c r="CC310" s="58"/>
      <c r="CD310" s="3"/>
      <c r="CE310" s="100"/>
    </row>
    <row r="311" spans="1:83" s="9" customFormat="1" ht="12" customHeight="1" x14ac:dyDescent="0.15">
      <c r="A311" s="98"/>
      <c r="B311" s="99"/>
      <c r="C311" s="3"/>
      <c r="D311" s="501" t="s">
        <v>734</v>
      </c>
      <c r="E311" s="502"/>
      <c r="F311" s="502"/>
      <c r="G311" s="502"/>
      <c r="H311" s="503"/>
      <c r="I311" s="599" t="s">
        <v>735</v>
      </c>
      <c r="J311" s="600"/>
      <c r="K311" s="600"/>
      <c r="L311" s="600"/>
      <c r="M311" s="600"/>
      <c r="N311" s="600"/>
      <c r="O311" s="600"/>
      <c r="P311" s="600"/>
      <c r="Q311" s="600"/>
      <c r="R311" s="600"/>
      <c r="S311" s="600"/>
      <c r="T311" s="600"/>
      <c r="U311" s="600"/>
      <c r="V311" s="600"/>
      <c r="W311" s="600"/>
      <c r="X311" s="600"/>
      <c r="Y311" s="600"/>
      <c r="Z311" s="600"/>
      <c r="AA311" s="600"/>
      <c r="AB311" s="601"/>
      <c r="AC311" s="507" t="s">
        <v>839</v>
      </c>
      <c r="AD311" s="508"/>
      <c r="AE311" s="508"/>
      <c r="AF311" s="508"/>
      <c r="AG311" s="508"/>
      <c r="AH311" s="508"/>
      <c r="AI311" s="508"/>
      <c r="AJ311" s="508"/>
      <c r="AK311" s="508"/>
      <c r="AL311" s="508"/>
      <c r="AM311" s="508"/>
      <c r="AN311" s="508"/>
      <c r="AO311" s="508"/>
      <c r="AP311" s="508"/>
      <c r="AQ311" s="508"/>
      <c r="AR311" s="508"/>
      <c r="AS311" s="508"/>
      <c r="AT311" s="508"/>
      <c r="AU311" s="508"/>
      <c r="AV311" s="508"/>
      <c r="AW311" s="508"/>
      <c r="AX311" s="508"/>
      <c r="AY311" s="508"/>
      <c r="AZ311" s="508"/>
      <c r="BA311" s="508"/>
      <c r="BB311" s="508"/>
      <c r="BC311" s="508"/>
      <c r="BD311" s="508"/>
      <c r="BE311" s="508"/>
      <c r="BF311" s="508"/>
      <c r="BG311" s="508"/>
      <c r="BH311" s="508"/>
      <c r="BI311" s="508"/>
      <c r="BJ311" s="508"/>
      <c r="BK311" s="508"/>
      <c r="BL311" s="508"/>
      <c r="BM311" s="508"/>
      <c r="BN311" s="508"/>
      <c r="BO311" s="508"/>
      <c r="BP311" s="508"/>
      <c r="BQ311" s="508"/>
      <c r="BR311" s="508"/>
      <c r="BS311" s="508"/>
      <c r="BT311" s="508"/>
      <c r="BU311" s="508"/>
      <c r="BV311" s="508"/>
      <c r="BW311" s="508"/>
      <c r="BX311" s="508"/>
      <c r="BY311" s="508"/>
      <c r="BZ311" s="508"/>
      <c r="CA311" s="508"/>
      <c r="CB311" s="509"/>
      <c r="CC311" s="58"/>
      <c r="CD311" s="3"/>
      <c r="CE311" s="100"/>
    </row>
    <row r="312" spans="1:83" s="9" customFormat="1" ht="12" customHeight="1" x14ac:dyDescent="0.15">
      <c r="A312" s="16"/>
      <c r="B312" s="8"/>
      <c r="C312" s="17"/>
      <c r="D312" s="492" t="s">
        <v>736</v>
      </c>
      <c r="E312" s="493"/>
      <c r="F312" s="493"/>
      <c r="G312" s="493"/>
      <c r="H312" s="494"/>
      <c r="I312" s="599" t="s">
        <v>769</v>
      </c>
      <c r="J312" s="600"/>
      <c r="K312" s="600"/>
      <c r="L312" s="600"/>
      <c r="M312" s="600"/>
      <c r="N312" s="600"/>
      <c r="O312" s="600"/>
      <c r="P312" s="600"/>
      <c r="Q312" s="600"/>
      <c r="R312" s="600"/>
      <c r="S312" s="600"/>
      <c r="T312" s="600"/>
      <c r="U312" s="600"/>
      <c r="V312" s="600"/>
      <c r="W312" s="600"/>
      <c r="X312" s="600"/>
      <c r="Y312" s="600"/>
      <c r="Z312" s="600"/>
      <c r="AA312" s="600"/>
      <c r="AB312" s="601"/>
      <c r="AC312" s="507" t="s">
        <v>778</v>
      </c>
      <c r="AD312" s="508"/>
      <c r="AE312" s="508"/>
      <c r="AF312" s="508"/>
      <c r="AG312" s="508"/>
      <c r="AH312" s="508"/>
      <c r="AI312" s="508"/>
      <c r="AJ312" s="508"/>
      <c r="AK312" s="508"/>
      <c r="AL312" s="508"/>
      <c r="AM312" s="508"/>
      <c r="AN312" s="508"/>
      <c r="AO312" s="508"/>
      <c r="AP312" s="508"/>
      <c r="AQ312" s="508"/>
      <c r="AR312" s="508"/>
      <c r="AS312" s="508"/>
      <c r="AT312" s="508"/>
      <c r="AU312" s="508"/>
      <c r="AV312" s="508"/>
      <c r="AW312" s="508"/>
      <c r="AX312" s="508"/>
      <c r="AY312" s="508"/>
      <c r="AZ312" s="508"/>
      <c r="BA312" s="508"/>
      <c r="BB312" s="508"/>
      <c r="BC312" s="508"/>
      <c r="BD312" s="508"/>
      <c r="BE312" s="508"/>
      <c r="BF312" s="508"/>
      <c r="BG312" s="508"/>
      <c r="BH312" s="508"/>
      <c r="BI312" s="508"/>
      <c r="BJ312" s="508"/>
      <c r="BK312" s="508"/>
      <c r="BL312" s="508"/>
      <c r="BM312" s="508"/>
      <c r="BN312" s="508"/>
      <c r="BO312" s="508"/>
      <c r="BP312" s="508"/>
      <c r="BQ312" s="508"/>
      <c r="BR312" s="508"/>
      <c r="BS312" s="508"/>
      <c r="BT312" s="508"/>
      <c r="BU312" s="508"/>
      <c r="BV312" s="508"/>
      <c r="BW312" s="508"/>
      <c r="BX312" s="508"/>
      <c r="BY312" s="508"/>
      <c r="BZ312" s="508"/>
      <c r="CA312" s="508"/>
      <c r="CB312" s="509"/>
      <c r="CC312" s="17"/>
      <c r="CD312" s="17"/>
      <c r="CE312" s="18"/>
    </row>
    <row r="313" spans="1:83" s="9" customFormat="1" ht="12" customHeight="1" x14ac:dyDescent="0.15">
      <c r="A313" s="16"/>
      <c r="B313" s="8"/>
      <c r="C313" s="17"/>
      <c r="D313" s="501" t="s">
        <v>737</v>
      </c>
      <c r="E313" s="502"/>
      <c r="F313" s="502"/>
      <c r="G313" s="502"/>
      <c r="H313" s="503"/>
      <c r="I313" s="510" t="s">
        <v>8</v>
      </c>
      <c r="J313" s="511"/>
      <c r="K313" s="511"/>
      <c r="L313" s="511"/>
      <c r="M313" s="511"/>
      <c r="N313" s="511"/>
      <c r="O313" s="511"/>
      <c r="P313" s="511"/>
      <c r="Q313" s="511"/>
      <c r="R313" s="511"/>
      <c r="S313" s="511"/>
      <c r="T313" s="511"/>
      <c r="U313" s="511"/>
      <c r="V313" s="511"/>
      <c r="W313" s="511"/>
      <c r="X313" s="511"/>
      <c r="Y313" s="511"/>
      <c r="Z313" s="511"/>
      <c r="AA313" s="511"/>
      <c r="AB313" s="512"/>
      <c r="AC313" s="519" t="s">
        <v>738</v>
      </c>
      <c r="AD313" s="520"/>
      <c r="AE313" s="520"/>
      <c r="AF313" s="520"/>
      <c r="AG313" s="520"/>
      <c r="AH313" s="520"/>
      <c r="AI313" s="520"/>
      <c r="AJ313" s="520"/>
      <c r="AK313" s="520"/>
      <c r="AL313" s="520"/>
      <c r="AM313" s="520"/>
      <c r="AN313" s="520"/>
      <c r="AO313" s="520"/>
      <c r="AP313" s="520"/>
      <c r="AQ313" s="520"/>
      <c r="AR313" s="520"/>
      <c r="AS313" s="520"/>
      <c r="AT313" s="520"/>
      <c r="AU313" s="520"/>
      <c r="AV313" s="520"/>
      <c r="AW313" s="520"/>
      <c r="AX313" s="520"/>
      <c r="AY313" s="520"/>
      <c r="AZ313" s="520"/>
      <c r="BA313" s="520"/>
      <c r="BB313" s="520"/>
      <c r="BC313" s="520"/>
      <c r="BD313" s="520"/>
      <c r="BE313" s="520"/>
      <c r="BF313" s="520"/>
      <c r="BG313" s="520"/>
      <c r="BH313" s="520"/>
      <c r="BI313" s="520"/>
      <c r="BJ313" s="520"/>
      <c r="BK313" s="520"/>
      <c r="BL313" s="520"/>
      <c r="BM313" s="520"/>
      <c r="BN313" s="520"/>
      <c r="BO313" s="520"/>
      <c r="BP313" s="520"/>
      <c r="BQ313" s="520"/>
      <c r="BR313" s="520"/>
      <c r="BS313" s="520"/>
      <c r="BT313" s="520"/>
      <c r="BU313" s="520"/>
      <c r="BV313" s="520"/>
      <c r="BW313" s="520"/>
      <c r="BX313" s="520"/>
      <c r="BY313" s="520"/>
      <c r="BZ313" s="520"/>
      <c r="CA313" s="520"/>
      <c r="CB313" s="521"/>
      <c r="CC313" s="17"/>
      <c r="CD313" s="17"/>
      <c r="CE313" s="18"/>
    </row>
    <row r="314" spans="1:83" ht="12.75" customHeight="1" x14ac:dyDescent="0.15">
      <c r="A314" s="16"/>
      <c r="B314" s="8"/>
      <c r="C314" s="17"/>
      <c r="D314" s="528"/>
      <c r="E314" s="529"/>
      <c r="F314" s="529"/>
      <c r="G314" s="529"/>
      <c r="H314" s="530"/>
      <c r="I314" s="513"/>
      <c r="J314" s="514"/>
      <c r="K314" s="514"/>
      <c r="L314" s="514"/>
      <c r="M314" s="514"/>
      <c r="N314" s="514"/>
      <c r="O314" s="514"/>
      <c r="P314" s="514"/>
      <c r="Q314" s="514"/>
      <c r="R314" s="514"/>
      <c r="S314" s="514"/>
      <c r="T314" s="514"/>
      <c r="U314" s="514"/>
      <c r="V314" s="514"/>
      <c r="W314" s="514"/>
      <c r="X314" s="514"/>
      <c r="Y314" s="514"/>
      <c r="Z314" s="514"/>
      <c r="AA314" s="514"/>
      <c r="AB314" s="515"/>
      <c r="AC314" s="522"/>
      <c r="AD314" s="523"/>
      <c r="AE314" s="523"/>
      <c r="AF314" s="523"/>
      <c r="AG314" s="523"/>
      <c r="AH314" s="523"/>
      <c r="AI314" s="523"/>
      <c r="AJ314" s="523"/>
      <c r="AK314" s="523"/>
      <c r="AL314" s="523"/>
      <c r="AM314" s="523"/>
      <c r="AN314" s="523"/>
      <c r="AO314" s="523"/>
      <c r="AP314" s="523"/>
      <c r="AQ314" s="523"/>
      <c r="AR314" s="523"/>
      <c r="AS314" s="523"/>
      <c r="AT314" s="523"/>
      <c r="AU314" s="523"/>
      <c r="AV314" s="523"/>
      <c r="AW314" s="523"/>
      <c r="AX314" s="523"/>
      <c r="AY314" s="523"/>
      <c r="AZ314" s="523"/>
      <c r="BA314" s="523"/>
      <c r="BB314" s="523"/>
      <c r="BC314" s="523"/>
      <c r="BD314" s="523"/>
      <c r="BE314" s="523"/>
      <c r="BF314" s="523"/>
      <c r="BG314" s="523"/>
      <c r="BH314" s="523"/>
      <c r="BI314" s="523"/>
      <c r="BJ314" s="523"/>
      <c r="BK314" s="523"/>
      <c r="BL314" s="523"/>
      <c r="BM314" s="523"/>
      <c r="BN314" s="523"/>
      <c r="BO314" s="523"/>
      <c r="BP314" s="523"/>
      <c r="BQ314" s="523"/>
      <c r="BR314" s="523"/>
      <c r="BS314" s="523"/>
      <c r="BT314" s="523"/>
      <c r="BU314" s="523"/>
      <c r="BV314" s="523"/>
      <c r="BW314" s="523"/>
      <c r="BX314" s="523"/>
      <c r="BY314" s="523"/>
      <c r="BZ314" s="523"/>
      <c r="CA314" s="523"/>
      <c r="CB314" s="524"/>
      <c r="CC314" s="17"/>
      <c r="CD314" s="17"/>
      <c r="CE314" s="18"/>
    </row>
    <row r="315" spans="1:83" ht="12.75" customHeight="1" x14ac:dyDescent="0.15">
      <c r="A315" s="16"/>
      <c r="B315" s="8"/>
      <c r="C315" s="17"/>
      <c r="D315" s="531"/>
      <c r="E315" s="532"/>
      <c r="F315" s="532"/>
      <c r="G315" s="532"/>
      <c r="H315" s="533"/>
      <c r="I315" s="516"/>
      <c r="J315" s="517"/>
      <c r="K315" s="517"/>
      <c r="L315" s="517"/>
      <c r="M315" s="517"/>
      <c r="N315" s="517"/>
      <c r="O315" s="517"/>
      <c r="P315" s="517"/>
      <c r="Q315" s="517"/>
      <c r="R315" s="517"/>
      <c r="S315" s="517"/>
      <c r="T315" s="517"/>
      <c r="U315" s="517"/>
      <c r="V315" s="517"/>
      <c r="W315" s="517"/>
      <c r="X315" s="517"/>
      <c r="Y315" s="517"/>
      <c r="Z315" s="517"/>
      <c r="AA315" s="517"/>
      <c r="AB315" s="518"/>
      <c r="AC315" s="525"/>
      <c r="AD315" s="526"/>
      <c r="AE315" s="526"/>
      <c r="AF315" s="526"/>
      <c r="AG315" s="526"/>
      <c r="AH315" s="526"/>
      <c r="AI315" s="526"/>
      <c r="AJ315" s="526"/>
      <c r="AK315" s="526"/>
      <c r="AL315" s="526"/>
      <c r="AM315" s="526"/>
      <c r="AN315" s="526"/>
      <c r="AO315" s="526"/>
      <c r="AP315" s="526"/>
      <c r="AQ315" s="526"/>
      <c r="AR315" s="526"/>
      <c r="AS315" s="526"/>
      <c r="AT315" s="526"/>
      <c r="AU315" s="526"/>
      <c r="AV315" s="526"/>
      <c r="AW315" s="526"/>
      <c r="AX315" s="526"/>
      <c r="AY315" s="526"/>
      <c r="AZ315" s="526"/>
      <c r="BA315" s="526"/>
      <c r="BB315" s="526"/>
      <c r="BC315" s="526"/>
      <c r="BD315" s="526"/>
      <c r="BE315" s="526"/>
      <c r="BF315" s="526"/>
      <c r="BG315" s="526"/>
      <c r="BH315" s="526"/>
      <c r="BI315" s="526"/>
      <c r="BJ315" s="526"/>
      <c r="BK315" s="526"/>
      <c r="BL315" s="526"/>
      <c r="BM315" s="526"/>
      <c r="BN315" s="526"/>
      <c r="BO315" s="526"/>
      <c r="BP315" s="526"/>
      <c r="BQ315" s="526"/>
      <c r="BR315" s="526"/>
      <c r="BS315" s="526"/>
      <c r="BT315" s="526"/>
      <c r="BU315" s="526"/>
      <c r="BV315" s="526"/>
      <c r="BW315" s="526"/>
      <c r="BX315" s="526"/>
      <c r="BY315" s="526"/>
      <c r="BZ315" s="526"/>
      <c r="CA315" s="526"/>
      <c r="CB315" s="527"/>
      <c r="CC315" s="17"/>
      <c r="CD315" s="17"/>
      <c r="CE315" s="18"/>
    </row>
    <row r="316" spans="1:83" ht="12.75" customHeight="1" x14ac:dyDescent="0.15">
      <c r="A316" s="16"/>
      <c r="B316" s="8"/>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17"/>
      <c r="CD316" s="17"/>
      <c r="CE316" s="18"/>
    </row>
    <row r="317" spans="1:83" ht="12.75" customHeight="1" x14ac:dyDescent="0.15">
      <c r="A317" s="16"/>
      <c r="B317" s="8"/>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17"/>
      <c r="CD317" s="17"/>
      <c r="CE317" s="18"/>
    </row>
    <row r="318" spans="1:83" s="9" customFormat="1" ht="12" customHeight="1" thickBot="1" x14ac:dyDescent="0.2">
      <c r="A318" s="25"/>
      <c r="B318" s="30"/>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7"/>
      <c r="BA318" s="27"/>
      <c r="BB318" s="27"/>
      <c r="BC318" s="27"/>
      <c r="BD318" s="27"/>
      <c r="BE318" s="27"/>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6"/>
      <c r="CD318" s="26"/>
      <c r="CE318" s="28"/>
    </row>
    <row r="319" spans="1:83" s="9" customFormat="1" ht="12" customHeight="1" x14ac:dyDescent="0.15">
      <c r="A319" s="13"/>
      <c r="B319" s="14"/>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60"/>
      <c r="BA319" s="160"/>
      <c r="BB319" s="160"/>
      <c r="BC319" s="160"/>
      <c r="BD319" s="160"/>
      <c r="BE319" s="160"/>
      <c r="BF319" s="160"/>
      <c r="BG319" s="160"/>
      <c r="BH319" s="160"/>
      <c r="BI319" s="160"/>
      <c r="BJ319" s="160"/>
      <c r="BK319" s="160"/>
      <c r="BL319" s="160"/>
      <c r="BM319" s="160"/>
      <c r="BN319" s="160"/>
      <c r="BO319" s="160"/>
      <c r="BP319" s="160"/>
      <c r="BQ319" s="160"/>
      <c r="BR319" s="160"/>
      <c r="BS319" s="160"/>
      <c r="BT319" s="160"/>
      <c r="BU319" s="160"/>
      <c r="BV319" s="160"/>
      <c r="BW319" s="160"/>
      <c r="BX319" s="160"/>
      <c r="BY319" s="160"/>
      <c r="BZ319" s="160"/>
      <c r="CA319" s="160"/>
      <c r="CB319" s="160"/>
      <c r="CC319" s="159"/>
      <c r="CD319" s="159"/>
      <c r="CE319" s="15"/>
    </row>
    <row r="320" spans="1:83" s="4" customFormat="1" ht="12" customHeight="1" x14ac:dyDescent="0.15">
      <c r="A320" s="16"/>
      <c r="B320" s="73"/>
      <c r="C320" s="12"/>
      <c r="D320" s="12"/>
      <c r="E320" s="17"/>
      <c r="F320" s="17"/>
      <c r="G320" s="17" t="s">
        <v>926</v>
      </c>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2"/>
      <c r="CB320" s="12"/>
      <c r="CC320" s="12"/>
      <c r="CD320" s="12"/>
      <c r="CE320" s="18"/>
    </row>
    <row r="321" spans="1:83" s="9" customFormat="1" ht="12" customHeight="1" x14ac:dyDescent="0.15">
      <c r="A321" s="16"/>
      <c r="B321" s="8"/>
      <c r="C321" s="17"/>
      <c r="D321" s="157"/>
      <c r="E321" s="8"/>
      <c r="F321" s="17"/>
      <c r="G321" s="17"/>
      <c r="H321" s="17" t="s">
        <v>927</v>
      </c>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17"/>
      <c r="CD321" s="17"/>
      <c r="CE321" s="18"/>
    </row>
    <row r="322" spans="1:83" s="9" customFormat="1" ht="12" customHeight="1" x14ac:dyDescent="0.15">
      <c r="A322" s="16"/>
      <c r="B322" s="8"/>
      <c r="C322" s="17"/>
      <c r="D322" s="157"/>
      <c r="E322" s="8"/>
      <c r="F322" s="17"/>
      <c r="G322" s="17"/>
      <c r="H322" s="17" t="s">
        <v>928</v>
      </c>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17"/>
      <c r="CD322" s="17"/>
      <c r="CE322" s="18"/>
    </row>
    <row r="323" spans="1:83" s="6" customFormat="1" ht="12" customHeight="1" x14ac:dyDescent="0.15">
      <c r="A323" s="16"/>
      <c r="B323" s="8"/>
      <c r="C323" s="8"/>
      <c r="D323" s="8"/>
      <c r="E323" s="8"/>
      <c r="F323" s="8"/>
      <c r="G323" s="8"/>
      <c r="H323" s="356"/>
      <c r="I323" s="8"/>
      <c r="J323" s="8"/>
      <c r="K323" s="167"/>
      <c r="L323" s="167"/>
      <c r="M323" s="167"/>
      <c r="N323" s="167"/>
      <c r="O323" s="167"/>
      <c r="P323" s="167"/>
      <c r="Q323" s="167"/>
      <c r="R323" s="167"/>
      <c r="S323" s="167"/>
      <c r="T323" s="167"/>
      <c r="U323" s="167"/>
      <c r="V323" s="167"/>
      <c r="W323" s="167"/>
      <c r="X323" s="167"/>
      <c r="Y323" s="167"/>
      <c r="Z323" s="167"/>
      <c r="AA323" s="167"/>
      <c r="AB323" s="167"/>
      <c r="AC323" s="167"/>
      <c r="AD323" s="167"/>
      <c r="AE323" s="167"/>
      <c r="AF323" s="167"/>
      <c r="AG323" s="167"/>
      <c r="AH323" s="168"/>
      <c r="AI323" s="168"/>
      <c r="AJ323" s="168"/>
      <c r="AK323" s="168"/>
      <c r="AL323" s="168"/>
      <c r="AM323" s="168"/>
      <c r="AN323" s="168"/>
      <c r="AO323" s="168"/>
      <c r="AP323" s="168"/>
      <c r="AQ323" s="168"/>
      <c r="AR323" s="168"/>
      <c r="AS323" s="168"/>
      <c r="AT323" s="168"/>
      <c r="AU323" s="168"/>
      <c r="AV323" s="168"/>
      <c r="AW323" s="168"/>
      <c r="AX323" s="168"/>
      <c r="AY323" s="168"/>
      <c r="AZ323" s="168"/>
      <c r="BA323" s="168"/>
      <c r="BB323" s="168"/>
      <c r="BC323" s="168"/>
      <c r="BD323" s="168"/>
      <c r="BE323" s="168"/>
      <c r="BF323" s="168"/>
      <c r="BG323" s="168"/>
      <c r="BH323" s="168"/>
      <c r="BI323" s="168"/>
      <c r="BJ323" s="168"/>
      <c r="BK323" s="168"/>
      <c r="BL323" s="168"/>
      <c r="BM323" s="168"/>
      <c r="BN323" s="168"/>
      <c r="BO323" s="168"/>
      <c r="BP323" s="168"/>
      <c r="BQ323" s="168"/>
      <c r="BR323" s="168"/>
      <c r="BS323" s="168"/>
      <c r="BT323" s="168"/>
      <c r="BU323" s="168"/>
      <c r="BV323" s="168"/>
      <c r="BW323" s="168"/>
      <c r="BX323" s="168"/>
      <c r="BY323" s="168"/>
      <c r="BZ323" s="168"/>
      <c r="CA323" s="168"/>
      <c r="CB323" s="168"/>
      <c r="CC323" s="17"/>
      <c r="CD323" s="17"/>
      <c r="CE323" s="18"/>
    </row>
    <row r="324" spans="1:83" s="4" customFormat="1" ht="12" customHeight="1" x14ac:dyDescent="0.15">
      <c r="A324" s="16"/>
      <c r="B324" s="8"/>
      <c r="C324" s="17"/>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18"/>
    </row>
    <row r="325" spans="1:83" s="4" customFormat="1" ht="12" customHeight="1" x14ac:dyDescent="0.15">
      <c r="A325" s="16"/>
      <c r="B325" s="8"/>
      <c r="C325" s="17"/>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18"/>
    </row>
    <row r="326" spans="1:83" s="4" customFormat="1" ht="12" customHeight="1" x14ac:dyDescent="0.15">
      <c r="A326" s="16"/>
      <c r="B326" s="8"/>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17"/>
      <c r="CD326" s="17"/>
      <c r="CE326" s="18"/>
    </row>
    <row r="327" spans="1:83" s="4" customFormat="1" ht="12" customHeight="1" x14ac:dyDescent="0.15">
      <c r="A327" s="16"/>
      <c r="B327" s="5"/>
      <c r="C327" s="12"/>
      <c r="D327" s="12"/>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2"/>
      <c r="CB327" s="12"/>
      <c r="CC327" s="12"/>
      <c r="CD327" s="12"/>
      <c r="CE327" s="18"/>
    </row>
    <row r="328" spans="1:83" s="9" customFormat="1" ht="12" customHeight="1" x14ac:dyDescent="0.15">
      <c r="A328" s="16"/>
      <c r="B328" s="73"/>
      <c r="C328" s="12"/>
      <c r="D328" s="12"/>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2"/>
      <c r="CB328" s="12"/>
      <c r="CC328" s="12"/>
      <c r="CD328" s="12"/>
      <c r="CE328" s="18"/>
    </row>
    <row r="329" spans="1:83" s="9" customFormat="1" ht="12" customHeight="1" x14ac:dyDescent="0.15">
      <c r="A329" s="16"/>
      <c r="B329" s="73"/>
      <c r="C329" s="12"/>
      <c r="D329" s="12"/>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2"/>
      <c r="CB329" s="12"/>
      <c r="CC329" s="12"/>
      <c r="CD329" s="12"/>
      <c r="CE329" s="18"/>
    </row>
    <row r="330" spans="1:83" s="9" customFormat="1" ht="12" customHeight="1" x14ac:dyDescent="0.15">
      <c r="A330" s="16"/>
      <c r="B330" s="73"/>
      <c r="C330" s="12"/>
      <c r="D330" s="12"/>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2"/>
      <c r="CB330" s="12"/>
      <c r="CC330" s="12"/>
      <c r="CD330" s="12"/>
      <c r="CE330" s="18"/>
    </row>
    <row r="331" spans="1:83" s="9" customFormat="1" ht="12" customHeight="1" x14ac:dyDescent="0.15">
      <c r="A331" s="16"/>
      <c r="B331" s="73"/>
      <c r="C331" s="12"/>
      <c r="D331" s="12"/>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2"/>
      <c r="CB331" s="12"/>
      <c r="CC331" s="12"/>
      <c r="CD331" s="12"/>
      <c r="CE331" s="18"/>
    </row>
    <row r="332" spans="1:83" s="9" customFormat="1" ht="12" customHeight="1" x14ac:dyDescent="0.15">
      <c r="A332" s="16"/>
      <c r="B332" s="8"/>
      <c r="C332" s="12"/>
      <c r="D332" s="12"/>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2"/>
      <c r="CB332" s="12"/>
      <c r="CC332" s="12"/>
      <c r="CD332" s="12"/>
      <c r="CE332" s="18"/>
    </row>
    <row r="333" spans="1:83" s="9" customFormat="1" ht="12" customHeight="1" x14ac:dyDescent="0.15">
      <c r="A333" s="16"/>
      <c r="B333" s="8"/>
      <c r="C333" s="12"/>
      <c r="D333" s="12"/>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2"/>
      <c r="CB333" s="12"/>
      <c r="CC333" s="12"/>
      <c r="CD333" s="12"/>
      <c r="CE333" s="18"/>
    </row>
    <row r="334" spans="1:83" s="9" customFormat="1" ht="12" customHeight="1" x14ac:dyDescent="0.15">
      <c r="A334" s="16"/>
      <c r="B334" s="8"/>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17"/>
      <c r="CD334" s="17"/>
      <c r="CE334" s="18"/>
    </row>
    <row r="335" spans="1:83" s="9" customFormat="1" ht="12" customHeight="1" x14ac:dyDescent="0.15">
      <c r="A335" s="16"/>
      <c r="B335" s="8"/>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17"/>
      <c r="CD335" s="17"/>
      <c r="CE335" s="18"/>
    </row>
    <row r="336" spans="1:83" s="9" customFormat="1" ht="12" customHeight="1" x14ac:dyDescent="0.15">
      <c r="A336" s="16"/>
      <c r="B336" s="8"/>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17"/>
      <c r="CD336" s="17"/>
      <c r="CE336" s="18"/>
    </row>
    <row r="337" spans="1:83" s="9" customFormat="1" ht="12" customHeight="1" x14ac:dyDescent="0.15">
      <c r="A337" s="16"/>
      <c r="B337" s="8"/>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17"/>
      <c r="CD337" s="17"/>
      <c r="CE337" s="18"/>
    </row>
    <row r="338" spans="1:83" s="9" customFormat="1" ht="12" customHeight="1" x14ac:dyDescent="0.15">
      <c r="A338" s="16"/>
      <c r="B338" s="8"/>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17"/>
      <c r="CD338" s="17"/>
      <c r="CE338" s="18"/>
    </row>
    <row r="339" spans="1:83" s="9" customFormat="1" ht="12" customHeight="1" x14ac:dyDescent="0.15">
      <c r="A339" s="16"/>
      <c r="B339" s="8"/>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17"/>
      <c r="CD339" s="17"/>
      <c r="CE339" s="18"/>
    </row>
    <row r="340" spans="1:83" s="9" customFormat="1" ht="12" customHeight="1" x14ac:dyDescent="0.15">
      <c r="A340" s="16"/>
      <c r="B340" s="8"/>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17"/>
      <c r="CD340" s="17"/>
      <c r="CE340" s="18"/>
    </row>
    <row r="341" spans="1:83" s="9" customFormat="1" ht="12" customHeight="1" x14ac:dyDescent="0.15">
      <c r="A341" s="16"/>
      <c r="B341" s="8"/>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17"/>
      <c r="CD341" s="17"/>
      <c r="CE341" s="18"/>
    </row>
    <row r="342" spans="1:83" s="9" customFormat="1" ht="12" customHeight="1" x14ac:dyDescent="0.15">
      <c r="A342" s="16"/>
      <c r="B342" s="8"/>
      <c r="C342" s="17"/>
      <c r="D342" s="157"/>
      <c r="E342" s="157"/>
      <c r="F342" s="15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17"/>
      <c r="CD342" s="17"/>
      <c r="CE342" s="18"/>
    </row>
    <row r="343" spans="1:83" s="9" customFormat="1" ht="12" customHeight="1" x14ac:dyDescent="0.15">
      <c r="A343" s="16"/>
      <c r="B343" s="8"/>
      <c r="C343" s="17"/>
      <c r="D343" s="157"/>
      <c r="E343" s="157"/>
      <c r="F343" s="15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17"/>
      <c r="CD343" s="17"/>
      <c r="CE343" s="18"/>
    </row>
    <row r="344" spans="1:83" s="9" customFormat="1" ht="12" customHeight="1" x14ac:dyDescent="0.15">
      <c r="A344" s="16"/>
      <c r="B344" s="8"/>
      <c r="C344" s="17"/>
      <c r="D344" s="157"/>
      <c r="E344" s="157"/>
      <c r="F344" s="15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17"/>
      <c r="CD344" s="17"/>
      <c r="CE344" s="18"/>
    </row>
    <row r="345" spans="1:83" s="9" customFormat="1" ht="12" customHeight="1" x14ac:dyDescent="0.15">
      <c r="A345" s="16"/>
      <c r="B345" s="8"/>
      <c r="C345" s="17"/>
      <c r="D345" s="157"/>
      <c r="E345" s="157"/>
      <c r="F345" s="15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17"/>
      <c r="CD345" s="17"/>
      <c r="CE345" s="18"/>
    </row>
    <row r="346" spans="1:83" s="9" customFormat="1" ht="12" customHeight="1" x14ac:dyDescent="0.15">
      <c r="A346" s="16"/>
      <c r="B346" s="8"/>
      <c r="C346" s="17"/>
      <c r="D346" s="157"/>
      <c r="E346" s="157"/>
      <c r="F346" s="15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17"/>
      <c r="CD346" s="17"/>
      <c r="CE346" s="18"/>
    </row>
    <row r="347" spans="1:83" s="9" customFormat="1" ht="12" customHeight="1" x14ac:dyDescent="0.15">
      <c r="A347" s="16"/>
      <c r="B347" s="8"/>
      <c r="C347" s="17"/>
      <c r="D347" s="157"/>
      <c r="E347" s="157"/>
      <c r="F347" s="15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17"/>
      <c r="CD347" s="17"/>
      <c r="CE347" s="18"/>
    </row>
    <row r="348" spans="1:83" s="4" customFormat="1" ht="12" customHeight="1" x14ac:dyDescent="0.15">
      <c r="A348" s="16"/>
      <c r="B348" s="5"/>
      <c r="C348" s="5"/>
      <c r="D348" s="534" t="s">
        <v>935</v>
      </c>
      <c r="E348" s="534"/>
      <c r="F348" s="534"/>
      <c r="G348" s="534"/>
      <c r="H348" s="534"/>
      <c r="I348" s="534"/>
      <c r="J348" s="534"/>
      <c r="K348" s="534"/>
      <c r="L348" s="534"/>
      <c r="M348" s="534"/>
      <c r="N348" s="534"/>
      <c r="O348" s="534"/>
      <c r="P348" s="534"/>
      <c r="Q348" s="534"/>
      <c r="R348" s="534"/>
      <c r="S348" s="534"/>
      <c r="T348" s="534"/>
      <c r="U348" s="534"/>
      <c r="V348" s="534"/>
      <c r="W348" s="534"/>
      <c r="X348" s="534"/>
      <c r="Y348" s="534"/>
      <c r="Z348" s="534"/>
      <c r="AA348" s="534"/>
      <c r="AB348" s="534"/>
      <c r="AC348" s="534"/>
      <c r="AD348" s="534"/>
      <c r="AE348" s="534"/>
      <c r="AF348" s="534"/>
      <c r="AG348" s="534"/>
      <c r="AH348" s="534"/>
      <c r="AI348" s="534"/>
      <c r="AJ348" s="534"/>
      <c r="AK348" s="534"/>
      <c r="AL348" s="534"/>
      <c r="AM348" s="534"/>
      <c r="AN348" s="534"/>
      <c r="AO348" s="534"/>
      <c r="AP348" s="534"/>
      <c r="AQ348" s="534"/>
      <c r="AR348" s="534"/>
      <c r="AS348" s="534"/>
      <c r="AT348" s="534"/>
      <c r="AU348" s="534"/>
      <c r="AV348" s="534"/>
      <c r="AW348" s="534"/>
      <c r="AX348" s="534"/>
      <c r="AY348" s="534"/>
      <c r="AZ348" s="534"/>
      <c r="BA348" s="534"/>
      <c r="BB348" s="534"/>
      <c r="BC348" s="534"/>
      <c r="BD348" s="534"/>
      <c r="BE348" s="534"/>
      <c r="BF348" s="534"/>
      <c r="BG348" s="534"/>
      <c r="BH348" s="534"/>
      <c r="BI348" s="534"/>
      <c r="BJ348" s="534"/>
      <c r="BK348" s="534"/>
      <c r="BL348" s="534"/>
      <c r="BM348" s="534"/>
      <c r="BN348" s="534"/>
      <c r="BO348" s="534"/>
      <c r="BP348" s="534"/>
      <c r="BQ348" s="534"/>
      <c r="BR348" s="534"/>
      <c r="BS348" s="534"/>
      <c r="BT348" s="534"/>
      <c r="BU348" s="534"/>
      <c r="BV348" s="534"/>
      <c r="BW348" s="534"/>
      <c r="BX348" s="534"/>
      <c r="BY348" s="534"/>
      <c r="BZ348" s="534"/>
      <c r="CA348" s="534"/>
      <c r="CB348" s="534"/>
      <c r="CC348" s="12"/>
      <c r="CD348" s="12"/>
      <c r="CE348" s="18"/>
    </row>
    <row r="349" spans="1:83" ht="12.75" customHeight="1" x14ac:dyDescent="0.15">
      <c r="A349" s="98"/>
      <c r="B349" s="99"/>
      <c r="C349" s="3"/>
      <c r="D349" s="535" t="s">
        <v>403</v>
      </c>
      <c r="E349" s="536"/>
      <c r="F349" s="536"/>
      <c r="G349" s="536"/>
      <c r="H349" s="537"/>
      <c r="I349" s="538" t="s">
        <v>605</v>
      </c>
      <c r="J349" s="539"/>
      <c r="K349" s="539"/>
      <c r="L349" s="539"/>
      <c r="M349" s="539"/>
      <c r="N349" s="539"/>
      <c r="O349" s="539"/>
      <c r="P349" s="539"/>
      <c r="Q349" s="539"/>
      <c r="R349" s="539"/>
      <c r="S349" s="539"/>
      <c r="T349" s="539"/>
      <c r="U349" s="539"/>
      <c r="V349" s="539"/>
      <c r="W349" s="539"/>
      <c r="X349" s="539"/>
      <c r="Y349" s="539"/>
      <c r="Z349" s="539"/>
      <c r="AA349" s="539"/>
      <c r="AB349" s="539"/>
      <c r="AC349" s="539"/>
      <c r="AD349" s="539"/>
      <c r="AE349" s="539"/>
      <c r="AF349" s="539"/>
      <c r="AG349" s="540"/>
      <c r="AH349" s="538" t="s">
        <v>604</v>
      </c>
      <c r="AI349" s="539"/>
      <c r="AJ349" s="539"/>
      <c r="AK349" s="539"/>
      <c r="AL349" s="539"/>
      <c r="AM349" s="539"/>
      <c r="AN349" s="539"/>
      <c r="AO349" s="539"/>
      <c r="AP349" s="539"/>
      <c r="AQ349" s="539"/>
      <c r="AR349" s="539"/>
      <c r="AS349" s="539"/>
      <c r="AT349" s="539"/>
      <c r="AU349" s="539"/>
      <c r="AV349" s="539"/>
      <c r="AW349" s="539"/>
      <c r="AX349" s="539"/>
      <c r="AY349" s="539"/>
      <c r="AZ349" s="539"/>
      <c r="BA349" s="539"/>
      <c r="BB349" s="539"/>
      <c r="BC349" s="539"/>
      <c r="BD349" s="539"/>
      <c r="BE349" s="539"/>
      <c r="BF349" s="539"/>
      <c r="BG349" s="539"/>
      <c r="BH349" s="539"/>
      <c r="BI349" s="539"/>
      <c r="BJ349" s="539"/>
      <c r="BK349" s="539"/>
      <c r="BL349" s="539"/>
      <c r="BM349" s="539"/>
      <c r="BN349" s="539"/>
      <c r="BO349" s="539"/>
      <c r="BP349" s="539"/>
      <c r="BQ349" s="539"/>
      <c r="BR349" s="539"/>
      <c r="BS349" s="539"/>
      <c r="BT349" s="539"/>
      <c r="BU349" s="539"/>
      <c r="BV349" s="539"/>
      <c r="BW349" s="539"/>
      <c r="BX349" s="539"/>
      <c r="BY349" s="539"/>
      <c r="BZ349" s="539"/>
      <c r="CA349" s="539"/>
      <c r="CB349" s="539"/>
      <c r="CC349" s="539"/>
      <c r="CD349" s="540"/>
      <c r="CE349" s="100"/>
    </row>
    <row r="350" spans="1:83" ht="12.75" customHeight="1" x14ac:dyDescent="0.15">
      <c r="A350" s="98"/>
      <c r="B350" s="99"/>
      <c r="C350" s="3"/>
      <c r="D350" s="501" t="s">
        <v>711</v>
      </c>
      <c r="E350" s="502"/>
      <c r="F350" s="502"/>
      <c r="G350" s="502"/>
      <c r="H350" s="503"/>
      <c r="I350" s="504" t="s">
        <v>712</v>
      </c>
      <c r="J350" s="505"/>
      <c r="K350" s="505"/>
      <c r="L350" s="505"/>
      <c r="M350" s="505"/>
      <c r="N350" s="505"/>
      <c r="O350" s="505"/>
      <c r="P350" s="505"/>
      <c r="Q350" s="505"/>
      <c r="R350" s="505"/>
      <c r="S350" s="505"/>
      <c r="T350" s="505"/>
      <c r="U350" s="505"/>
      <c r="V350" s="505"/>
      <c r="W350" s="505"/>
      <c r="X350" s="505"/>
      <c r="Y350" s="505"/>
      <c r="Z350" s="505"/>
      <c r="AA350" s="505"/>
      <c r="AB350" s="505"/>
      <c r="AC350" s="505"/>
      <c r="AD350" s="505"/>
      <c r="AE350" s="505"/>
      <c r="AF350" s="505"/>
      <c r="AG350" s="506"/>
      <c r="AH350" s="498" t="s">
        <v>739</v>
      </c>
      <c r="AI350" s="499"/>
      <c r="AJ350" s="499"/>
      <c r="AK350" s="499"/>
      <c r="AL350" s="499"/>
      <c r="AM350" s="499"/>
      <c r="AN350" s="499"/>
      <c r="AO350" s="499"/>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500"/>
      <c r="CE350" s="100"/>
    </row>
    <row r="351" spans="1:83" ht="12.75" customHeight="1" x14ac:dyDescent="0.15">
      <c r="A351" s="98"/>
      <c r="B351" s="99"/>
      <c r="C351" s="3"/>
      <c r="D351" s="501" t="s">
        <v>714</v>
      </c>
      <c r="E351" s="502"/>
      <c r="F351" s="502"/>
      <c r="G351" s="502"/>
      <c r="H351" s="503"/>
      <c r="I351" s="504" t="s">
        <v>733</v>
      </c>
      <c r="J351" s="505"/>
      <c r="K351" s="505"/>
      <c r="L351" s="505"/>
      <c r="M351" s="505"/>
      <c r="N351" s="505"/>
      <c r="O351" s="505"/>
      <c r="P351" s="505"/>
      <c r="Q351" s="505"/>
      <c r="R351" s="505"/>
      <c r="S351" s="505"/>
      <c r="T351" s="505"/>
      <c r="U351" s="505"/>
      <c r="V351" s="505"/>
      <c r="W351" s="505"/>
      <c r="X351" s="505"/>
      <c r="Y351" s="505"/>
      <c r="Z351" s="505"/>
      <c r="AA351" s="505"/>
      <c r="AB351" s="505"/>
      <c r="AC351" s="505"/>
      <c r="AD351" s="505"/>
      <c r="AE351" s="505"/>
      <c r="AF351" s="505"/>
      <c r="AG351" s="506"/>
      <c r="AH351" s="498" t="s">
        <v>77</v>
      </c>
      <c r="AI351" s="499"/>
      <c r="AJ351" s="499"/>
      <c r="AK351" s="499"/>
      <c r="AL351" s="499"/>
      <c r="AM351" s="499"/>
      <c r="AN351" s="499"/>
      <c r="AO351" s="499"/>
      <c r="AP351" s="499"/>
      <c r="AQ351" s="499"/>
      <c r="AR351" s="499"/>
      <c r="AS351" s="499"/>
      <c r="AT351" s="499"/>
      <c r="AU351" s="499"/>
      <c r="AV351" s="499"/>
      <c r="AW351" s="499"/>
      <c r="AX351" s="499"/>
      <c r="AY351" s="499"/>
      <c r="AZ351" s="499"/>
      <c r="BA351" s="499"/>
      <c r="BB351" s="499"/>
      <c r="BC351" s="499"/>
      <c r="BD351" s="499"/>
      <c r="BE351" s="499"/>
      <c r="BF351" s="499"/>
      <c r="BG351" s="499"/>
      <c r="BH351" s="499"/>
      <c r="BI351" s="499"/>
      <c r="BJ351" s="499"/>
      <c r="BK351" s="499"/>
      <c r="BL351" s="499"/>
      <c r="BM351" s="499"/>
      <c r="BN351" s="499"/>
      <c r="BO351" s="499"/>
      <c r="BP351" s="499"/>
      <c r="BQ351" s="499"/>
      <c r="BR351" s="499"/>
      <c r="BS351" s="499"/>
      <c r="BT351" s="499"/>
      <c r="BU351" s="499"/>
      <c r="BV351" s="499"/>
      <c r="BW351" s="499"/>
      <c r="BX351" s="499"/>
      <c r="BY351" s="499"/>
      <c r="BZ351" s="499"/>
      <c r="CA351" s="499"/>
      <c r="CB351" s="499"/>
      <c r="CC351" s="499"/>
      <c r="CD351" s="500"/>
      <c r="CE351" s="100"/>
    </row>
    <row r="352" spans="1:83" ht="12.75" customHeight="1" x14ac:dyDescent="0.15">
      <c r="A352" s="98"/>
      <c r="B352" s="99"/>
      <c r="C352" s="3"/>
      <c r="D352" s="501" t="s">
        <v>734</v>
      </c>
      <c r="E352" s="502"/>
      <c r="F352" s="502"/>
      <c r="G352" s="502"/>
      <c r="H352" s="503"/>
      <c r="I352" s="504" t="s">
        <v>735</v>
      </c>
      <c r="J352" s="505"/>
      <c r="K352" s="505"/>
      <c r="L352" s="505"/>
      <c r="M352" s="505"/>
      <c r="N352" s="505"/>
      <c r="O352" s="505"/>
      <c r="P352" s="505"/>
      <c r="Q352" s="505"/>
      <c r="R352" s="505"/>
      <c r="S352" s="505"/>
      <c r="T352" s="505"/>
      <c r="U352" s="505"/>
      <c r="V352" s="505"/>
      <c r="W352" s="505"/>
      <c r="X352" s="505"/>
      <c r="Y352" s="505"/>
      <c r="Z352" s="505"/>
      <c r="AA352" s="505"/>
      <c r="AB352" s="505"/>
      <c r="AC352" s="505"/>
      <c r="AD352" s="505"/>
      <c r="AE352" s="505"/>
      <c r="AF352" s="505"/>
      <c r="AG352" s="506"/>
      <c r="AH352" s="498" t="s">
        <v>839</v>
      </c>
      <c r="AI352" s="499"/>
      <c r="AJ352" s="499"/>
      <c r="AK352" s="499"/>
      <c r="AL352" s="499"/>
      <c r="AM352" s="499"/>
      <c r="AN352" s="499"/>
      <c r="AO352" s="499"/>
      <c r="AP352" s="499"/>
      <c r="AQ352" s="499"/>
      <c r="AR352" s="499"/>
      <c r="AS352" s="499"/>
      <c r="AT352" s="499"/>
      <c r="AU352" s="499"/>
      <c r="AV352" s="499"/>
      <c r="AW352" s="499"/>
      <c r="AX352" s="499"/>
      <c r="AY352" s="499"/>
      <c r="AZ352" s="499"/>
      <c r="BA352" s="499"/>
      <c r="BB352" s="499"/>
      <c r="BC352" s="499"/>
      <c r="BD352" s="499"/>
      <c r="BE352" s="499"/>
      <c r="BF352" s="499"/>
      <c r="BG352" s="499"/>
      <c r="BH352" s="499"/>
      <c r="BI352" s="499"/>
      <c r="BJ352" s="499"/>
      <c r="BK352" s="499"/>
      <c r="BL352" s="499"/>
      <c r="BM352" s="499"/>
      <c r="BN352" s="499"/>
      <c r="BO352" s="499"/>
      <c r="BP352" s="499"/>
      <c r="BQ352" s="499"/>
      <c r="BR352" s="499"/>
      <c r="BS352" s="499"/>
      <c r="BT352" s="499"/>
      <c r="BU352" s="499"/>
      <c r="BV352" s="499"/>
      <c r="BW352" s="499"/>
      <c r="BX352" s="499"/>
      <c r="BY352" s="499"/>
      <c r="BZ352" s="499"/>
      <c r="CA352" s="499"/>
      <c r="CB352" s="499"/>
      <c r="CC352" s="499"/>
      <c r="CD352" s="500"/>
      <c r="CE352" s="100"/>
    </row>
    <row r="353" spans="1:83" ht="12.75" customHeight="1" x14ac:dyDescent="0.15">
      <c r="A353" s="16"/>
      <c r="B353" s="8"/>
      <c r="C353" s="17"/>
      <c r="D353" s="492" t="s">
        <v>736</v>
      </c>
      <c r="E353" s="493"/>
      <c r="F353" s="493"/>
      <c r="G353" s="493"/>
      <c r="H353" s="494"/>
      <c r="I353" s="495" t="s">
        <v>740</v>
      </c>
      <c r="J353" s="496"/>
      <c r="K353" s="496"/>
      <c r="L353" s="496"/>
      <c r="M353" s="496"/>
      <c r="N353" s="496"/>
      <c r="O353" s="496"/>
      <c r="P353" s="496"/>
      <c r="Q353" s="496"/>
      <c r="R353" s="496"/>
      <c r="S353" s="496"/>
      <c r="T353" s="496"/>
      <c r="U353" s="496"/>
      <c r="V353" s="496"/>
      <c r="W353" s="496"/>
      <c r="X353" s="496"/>
      <c r="Y353" s="496"/>
      <c r="Z353" s="496"/>
      <c r="AA353" s="496"/>
      <c r="AB353" s="496"/>
      <c r="AC353" s="496"/>
      <c r="AD353" s="496"/>
      <c r="AE353" s="496"/>
      <c r="AF353" s="496"/>
      <c r="AG353" s="497"/>
      <c r="AH353" s="498" t="s">
        <v>650</v>
      </c>
      <c r="AI353" s="499"/>
      <c r="AJ353" s="499"/>
      <c r="AK353" s="499"/>
      <c r="AL353" s="499"/>
      <c r="AM353" s="499"/>
      <c r="AN353" s="499"/>
      <c r="AO353" s="499"/>
      <c r="AP353" s="499"/>
      <c r="AQ353" s="499"/>
      <c r="AR353" s="499"/>
      <c r="AS353" s="499"/>
      <c r="AT353" s="499"/>
      <c r="AU353" s="499"/>
      <c r="AV353" s="499"/>
      <c r="AW353" s="499"/>
      <c r="AX353" s="499"/>
      <c r="AY353" s="499"/>
      <c r="AZ353" s="499"/>
      <c r="BA353" s="499"/>
      <c r="BB353" s="499"/>
      <c r="BC353" s="499"/>
      <c r="BD353" s="499"/>
      <c r="BE353" s="499"/>
      <c r="BF353" s="499"/>
      <c r="BG353" s="499"/>
      <c r="BH353" s="499"/>
      <c r="BI353" s="499"/>
      <c r="BJ353" s="499"/>
      <c r="BK353" s="499"/>
      <c r="BL353" s="499"/>
      <c r="BM353" s="499"/>
      <c r="BN353" s="499"/>
      <c r="BO353" s="499"/>
      <c r="BP353" s="499"/>
      <c r="BQ353" s="499"/>
      <c r="BR353" s="499"/>
      <c r="BS353" s="499"/>
      <c r="BT353" s="499"/>
      <c r="BU353" s="499"/>
      <c r="BV353" s="499"/>
      <c r="BW353" s="499"/>
      <c r="BX353" s="499"/>
      <c r="BY353" s="499"/>
      <c r="BZ353" s="499"/>
      <c r="CA353" s="499"/>
      <c r="CB353" s="499"/>
      <c r="CC353" s="499"/>
      <c r="CD353" s="500"/>
      <c r="CE353" s="18"/>
    </row>
    <row r="354" spans="1:83" s="9" customFormat="1" ht="12" customHeight="1" x14ac:dyDescent="0.15">
      <c r="A354" s="16"/>
      <c r="B354" s="8"/>
      <c r="C354" s="17"/>
      <c r="D354" s="492" t="s">
        <v>737</v>
      </c>
      <c r="E354" s="493"/>
      <c r="F354" s="493"/>
      <c r="G354" s="493"/>
      <c r="H354" s="494"/>
      <c r="I354" s="495" t="s">
        <v>772</v>
      </c>
      <c r="J354" s="496"/>
      <c r="K354" s="496"/>
      <c r="L354" s="496"/>
      <c r="M354" s="496"/>
      <c r="N354" s="496"/>
      <c r="O354" s="496"/>
      <c r="P354" s="496"/>
      <c r="Q354" s="496"/>
      <c r="R354" s="496"/>
      <c r="S354" s="496"/>
      <c r="T354" s="496"/>
      <c r="U354" s="496"/>
      <c r="V354" s="496"/>
      <c r="W354" s="496"/>
      <c r="X354" s="496"/>
      <c r="Y354" s="496"/>
      <c r="Z354" s="496"/>
      <c r="AA354" s="496"/>
      <c r="AB354" s="496"/>
      <c r="AC354" s="496"/>
      <c r="AD354" s="496"/>
      <c r="AE354" s="496"/>
      <c r="AF354" s="496"/>
      <c r="AG354" s="497"/>
      <c r="AH354" s="498" t="s">
        <v>773</v>
      </c>
      <c r="AI354" s="499"/>
      <c r="AJ354" s="499"/>
      <c r="AK354" s="499"/>
      <c r="AL354" s="499"/>
      <c r="AM354" s="499"/>
      <c r="AN354" s="499"/>
      <c r="AO354" s="499"/>
      <c r="AP354" s="499"/>
      <c r="AQ354" s="499"/>
      <c r="AR354" s="499"/>
      <c r="AS354" s="499"/>
      <c r="AT354" s="499"/>
      <c r="AU354" s="499"/>
      <c r="AV354" s="499"/>
      <c r="AW354" s="499"/>
      <c r="AX354" s="499"/>
      <c r="AY354" s="499"/>
      <c r="AZ354" s="499"/>
      <c r="BA354" s="499"/>
      <c r="BB354" s="499"/>
      <c r="BC354" s="499"/>
      <c r="BD354" s="499"/>
      <c r="BE354" s="499"/>
      <c r="BF354" s="499"/>
      <c r="BG354" s="499"/>
      <c r="BH354" s="499"/>
      <c r="BI354" s="499"/>
      <c r="BJ354" s="499"/>
      <c r="BK354" s="499"/>
      <c r="BL354" s="499"/>
      <c r="BM354" s="499"/>
      <c r="BN354" s="499"/>
      <c r="BO354" s="499"/>
      <c r="BP354" s="499"/>
      <c r="BQ354" s="499"/>
      <c r="BR354" s="499"/>
      <c r="BS354" s="499"/>
      <c r="BT354" s="499"/>
      <c r="BU354" s="499"/>
      <c r="BV354" s="499"/>
      <c r="BW354" s="499"/>
      <c r="BX354" s="499"/>
      <c r="BY354" s="499"/>
      <c r="BZ354" s="499"/>
      <c r="CA354" s="499"/>
      <c r="CB354" s="499"/>
      <c r="CC354" s="499"/>
      <c r="CD354" s="500"/>
      <c r="CE354" s="18"/>
    </row>
    <row r="355" spans="1:83" s="9" customFormat="1" ht="12" customHeight="1" x14ac:dyDescent="0.15">
      <c r="A355" s="16"/>
      <c r="B355" s="8"/>
      <c r="C355" s="17"/>
      <c r="D355" s="492" t="s">
        <v>741</v>
      </c>
      <c r="E355" s="493"/>
      <c r="F355" s="493"/>
      <c r="G355" s="493"/>
      <c r="H355" s="494"/>
      <c r="I355" s="495" t="s">
        <v>742</v>
      </c>
      <c r="J355" s="496"/>
      <c r="K355" s="496"/>
      <c r="L355" s="496"/>
      <c r="M355" s="496"/>
      <c r="N355" s="496"/>
      <c r="O355" s="496"/>
      <c r="P355" s="496"/>
      <c r="Q355" s="496"/>
      <c r="R355" s="496"/>
      <c r="S355" s="496"/>
      <c r="T355" s="496"/>
      <c r="U355" s="496"/>
      <c r="V355" s="496"/>
      <c r="W355" s="496"/>
      <c r="X355" s="496"/>
      <c r="Y355" s="496"/>
      <c r="Z355" s="496"/>
      <c r="AA355" s="496"/>
      <c r="AB355" s="496"/>
      <c r="AC355" s="496"/>
      <c r="AD355" s="496"/>
      <c r="AE355" s="496"/>
      <c r="AF355" s="496"/>
      <c r="AG355" s="497"/>
      <c r="AH355" s="498" t="s">
        <v>743</v>
      </c>
      <c r="AI355" s="499"/>
      <c r="AJ355" s="499"/>
      <c r="AK355" s="499"/>
      <c r="AL355" s="499"/>
      <c r="AM355" s="499"/>
      <c r="AN355" s="499"/>
      <c r="AO355" s="499"/>
      <c r="AP355" s="499"/>
      <c r="AQ355" s="499"/>
      <c r="AR355" s="499"/>
      <c r="AS355" s="499"/>
      <c r="AT355" s="499"/>
      <c r="AU355" s="499"/>
      <c r="AV355" s="499"/>
      <c r="AW355" s="499"/>
      <c r="AX355" s="499"/>
      <c r="AY355" s="499"/>
      <c r="AZ355" s="499"/>
      <c r="BA355" s="499"/>
      <c r="BB355" s="499"/>
      <c r="BC355" s="499"/>
      <c r="BD355" s="499"/>
      <c r="BE355" s="499"/>
      <c r="BF355" s="499"/>
      <c r="BG355" s="499"/>
      <c r="BH355" s="499"/>
      <c r="BI355" s="499"/>
      <c r="BJ355" s="499"/>
      <c r="BK355" s="499"/>
      <c r="BL355" s="499"/>
      <c r="BM355" s="499"/>
      <c r="BN355" s="499"/>
      <c r="BO355" s="499"/>
      <c r="BP355" s="499"/>
      <c r="BQ355" s="499"/>
      <c r="BR355" s="499"/>
      <c r="BS355" s="499"/>
      <c r="BT355" s="499"/>
      <c r="BU355" s="499"/>
      <c r="BV355" s="499"/>
      <c r="BW355" s="499"/>
      <c r="BX355" s="499"/>
      <c r="BY355" s="499"/>
      <c r="BZ355" s="499"/>
      <c r="CA355" s="499"/>
      <c r="CB355" s="499"/>
      <c r="CC355" s="499"/>
      <c r="CD355" s="500"/>
      <c r="CE355" s="18"/>
    </row>
    <row r="356" spans="1:83" s="9" customFormat="1" ht="12" customHeight="1" x14ac:dyDescent="0.15">
      <c r="A356" s="16"/>
      <c r="B356" s="8"/>
      <c r="C356" s="17"/>
      <c r="D356" s="360"/>
      <c r="E356" s="360"/>
      <c r="F356" s="360"/>
      <c r="G356" s="360"/>
      <c r="H356" s="360"/>
      <c r="I356" s="360"/>
      <c r="J356" s="360"/>
      <c r="K356" s="360"/>
      <c r="L356" s="360"/>
      <c r="M356" s="360"/>
      <c r="N356" s="360"/>
      <c r="O356" s="360"/>
      <c r="P356" s="360"/>
      <c r="Q356" s="360"/>
      <c r="R356" s="360"/>
      <c r="S356" s="360"/>
      <c r="T356" s="360"/>
      <c r="U356" s="360"/>
      <c r="V356" s="360"/>
      <c r="W356" s="360"/>
      <c r="X356" s="360"/>
      <c r="Y356" s="360"/>
      <c r="Z356" s="360"/>
      <c r="AA356" s="360"/>
      <c r="AB356" s="360"/>
      <c r="AC356" s="360"/>
      <c r="AD356" s="360"/>
      <c r="AE356" s="360"/>
      <c r="AF356" s="360"/>
      <c r="AG356" s="360"/>
      <c r="AH356" s="361"/>
      <c r="AI356" s="361"/>
      <c r="AJ356" s="361"/>
      <c r="AK356" s="361"/>
      <c r="AL356" s="361"/>
      <c r="AM356" s="361"/>
      <c r="AN356" s="361"/>
      <c r="AO356" s="361"/>
      <c r="AP356" s="361"/>
      <c r="AQ356" s="361"/>
      <c r="AR356" s="361"/>
      <c r="AS356" s="361"/>
      <c r="AT356" s="361"/>
      <c r="AU356" s="361"/>
      <c r="AV356" s="361"/>
      <c r="AW356" s="361"/>
      <c r="AX356" s="361"/>
      <c r="AY356" s="361"/>
      <c r="AZ356" s="361"/>
      <c r="BA356" s="361"/>
      <c r="BB356" s="361"/>
      <c r="BC356" s="361"/>
      <c r="BD356" s="361"/>
      <c r="BE356" s="361"/>
      <c r="BF356" s="361"/>
      <c r="BG356" s="361"/>
      <c r="BH356" s="361"/>
      <c r="BI356" s="361"/>
      <c r="BJ356" s="361"/>
      <c r="BK356" s="361"/>
      <c r="BL356" s="361"/>
      <c r="BM356" s="361"/>
      <c r="BN356" s="361"/>
      <c r="BO356" s="361"/>
      <c r="BP356" s="361"/>
      <c r="BQ356" s="361"/>
      <c r="BR356" s="361"/>
      <c r="BS356" s="361"/>
      <c r="BT356" s="361"/>
      <c r="BU356" s="361"/>
      <c r="BV356" s="361"/>
      <c r="BW356" s="361"/>
      <c r="BX356" s="361"/>
      <c r="BY356" s="361"/>
      <c r="BZ356" s="361"/>
      <c r="CA356" s="361"/>
      <c r="CB356" s="361"/>
      <c r="CC356" s="361"/>
      <c r="CD356" s="361"/>
      <c r="CE356" s="18"/>
    </row>
    <row r="357" spans="1:83" s="9" customFormat="1" ht="12" customHeight="1" thickBot="1" x14ac:dyDescent="0.2">
      <c r="A357" s="25"/>
      <c r="B357" s="30"/>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7"/>
      <c r="BA357" s="27"/>
      <c r="BB357" s="27"/>
      <c r="BC357" s="27"/>
      <c r="BD357" s="27"/>
      <c r="BE357" s="27"/>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6"/>
      <c r="CD357" s="26"/>
      <c r="CE357" s="28"/>
    </row>
    <row r="358" spans="1:83" s="4" customFormat="1" ht="12" customHeight="1" x14ac:dyDescent="0.15">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c r="CD358" s="14"/>
      <c r="CE358" s="15"/>
    </row>
    <row r="359" spans="1:83" s="4" customFormat="1" ht="12" customHeight="1" x14ac:dyDescent="0.15">
      <c r="A359" s="16"/>
      <c r="B359" s="5"/>
      <c r="C359" s="22" t="s">
        <v>312</v>
      </c>
      <c r="D359" s="23"/>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0"/>
      <c r="CE359" s="18"/>
    </row>
    <row r="360" spans="1:83" s="4" customFormat="1" ht="12" customHeight="1" x14ac:dyDescent="0.15">
      <c r="A360" s="16"/>
      <c r="B360" s="5"/>
      <c r="C360" s="22"/>
      <c r="D360" s="21" t="s">
        <v>313</v>
      </c>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1"/>
      <c r="CE360" s="18"/>
    </row>
    <row r="361" spans="1:83" s="4" customFormat="1" ht="12" customHeight="1" x14ac:dyDescent="0.15">
      <c r="A361" s="16"/>
      <c r="C361" s="58"/>
      <c r="D361" s="378" t="s">
        <v>871</v>
      </c>
      <c r="E361" s="52"/>
      <c r="F361" s="52"/>
      <c r="G361" s="52"/>
      <c r="H361" s="52"/>
      <c r="I361" s="52"/>
      <c r="J361" s="52"/>
      <c r="K361" s="52"/>
      <c r="L361" s="52"/>
      <c r="M361" s="52"/>
      <c r="N361" s="52"/>
      <c r="O361" s="52"/>
      <c r="P361" s="52"/>
      <c r="Q361" s="52"/>
      <c r="R361" s="52"/>
      <c r="S361" s="52"/>
      <c r="T361" s="52"/>
      <c r="U361" s="52"/>
      <c r="V361" s="52"/>
      <c r="W361" s="52"/>
      <c r="X361" s="52"/>
      <c r="Y361" s="52"/>
      <c r="Z361" s="52"/>
      <c r="AA361" s="52"/>
      <c r="AB361" s="52"/>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c r="BT361" s="52"/>
      <c r="BU361" s="52"/>
      <c r="BV361" s="52"/>
      <c r="BW361" s="52"/>
      <c r="BX361" s="52"/>
      <c r="BY361" s="52"/>
      <c r="BZ361" s="52"/>
      <c r="CA361" s="52"/>
      <c r="CB361" s="52"/>
      <c r="CC361" s="52"/>
      <c r="CD361" s="53"/>
      <c r="CE361" s="18"/>
    </row>
    <row r="362" spans="1:83" s="4" customFormat="1" ht="12" customHeight="1" x14ac:dyDescent="0.15">
      <c r="A362" s="16"/>
      <c r="C362" s="5"/>
      <c r="D362" s="55" t="s">
        <v>518</v>
      </c>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7"/>
      <c r="CE362" s="18"/>
    </row>
    <row r="363" spans="1:83" s="9" customFormat="1" ht="12.75" customHeight="1" x14ac:dyDescent="0.15">
      <c r="A363" s="16"/>
      <c r="B363" s="8"/>
      <c r="C363" s="29"/>
      <c r="D363" s="2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8"/>
    </row>
    <row r="364" spans="1:83" s="9" customFormat="1" ht="12.75" customHeight="1" x14ac:dyDescent="0.15">
      <c r="A364" s="16"/>
      <c r="B364" s="8"/>
      <c r="C364" s="29"/>
      <c r="D364" s="21" t="s">
        <v>314</v>
      </c>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8"/>
    </row>
    <row r="365" spans="1:83" s="4" customFormat="1" ht="12" customHeight="1" x14ac:dyDescent="0.15">
      <c r="A365" s="16"/>
      <c r="C365" s="58"/>
      <c r="D365" s="51" t="s">
        <v>862</v>
      </c>
      <c r="E365" s="52"/>
      <c r="F365" s="52"/>
      <c r="G365" s="52"/>
      <c r="H365" s="52"/>
      <c r="I365" s="52"/>
      <c r="J365" s="52"/>
      <c r="K365" s="52"/>
      <c r="L365" s="52"/>
      <c r="M365" s="52"/>
      <c r="N365" s="52"/>
      <c r="O365" s="52"/>
      <c r="P365" s="52"/>
      <c r="Q365" s="52"/>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c r="BT365" s="52"/>
      <c r="BU365" s="52"/>
      <c r="BV365" s="52"/>
      <c r="BW365" s="52"/>
      <c r="BX365" s="52"/>
      <c r="BY365" s="52"/>
      <c r="BZ365" s="52"/>
      <c r="CA365" s="52"/>
      <c r="CB365" s="52"/>
      <c r="CC365" s="52"/>
      <c r="CD365" s="53"/>
      <c r="CE365" s="18"/>
    </row>
    <row r="366" spans="1:83" s="9" customFormat="1" ht="12.75" customHeight="1" x14ac:dyDescent="0.15">
      <c r="A366" s="16"/>
      <c r="B366" s="8"/>
      <c r="C366" s="29"/>
      <c r="D366" s="59" t="s">
        <v>851</v>
      </c>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31"/>
      <c r="CE366" s="18"/>
    </row>
    <row r="367" spans="1:83" s="9" customFormat="1" ht="12.75" customHeight="1" x14ac:dyDescent="0.15">
      <c r="A367" s="16"/>
      <c r="B367" s="8"/>
      <c r="C367" s="29"/>
      <c r="D367" s="60" t="s">
        <v>377</v>
      </c>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c r="CD367" s="33"/>
      <c r="CE367" s="18"/>
    </row>
    <row r="368" spans="1:83" s="9" customFormat="1" ht="12.75" customHeight="1" x14ac:dyDescent="0.15">
      <c r="A368" s="16"/>
      <c r="B368" s="8"/>
      <c r="C368" s="29"/>
      <c r="D368" s="21"/>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8"/>
    </row>
    <row r="369" spans="1:83" s="4" customFormat="1" ht="12" customHeight="1" x14ac:dyDescent="0.15">
      <c r="A369" s="16"/>
      <c r="B369" s="8"/>
      <c r="C369" s="17"/>
      <c r="D369" s="171" t="s">
        <v>153</v>
      </c>
      <c r="E369" s="173"/>
      <c r="F369" s="171" t="s">
        <v>347</v>
      </c>
      <c r="G369" s="172"/>
      <c r="H369" s="172"/>
      <c r="I369" s="172"/>
      <c r="J369" s="172"/>
      <c r="K369" s="172"/>
      <c r="L369" s="172"/>
      <c r="M369" s="172"/>
      <c r="N369" s="172"/>
      <c r="O369" s="172"/>
      <c r="P369" s="172"/>
      <c r="Q369" s="173"/>
      <c r="R369" s="171" t="s">
        <v>346</v>
      </c>
      <c r="S369" s="172"/>
      <c r="T369" s="172"/>
      <c r="U369" s="172"/>
      <c r="V369" s="172"/>
      <c r="W369" s="172"/>
      <c r="X369" s="172"/>
      <c r="Y369" s="172"/>
      <c r="Z369" s="172"/>
      <c r="AA369" s="172"/>
      <c r="AB369" s="172"/>
      <c r="AC369" s="172"/>
      <c r="AD369" s="173"/>
      <c r="AE369" s="171" t="s">
        <v>345</v>
      </c>
      <c r="AF369" s="172"/>
      <c r="AG369" s="172"/>
      <c r="AH369" s="172"/>
      <c r="AI369" s="172"/>
      <c r="AJ369" s="172"/>
      <c r="AK369" s="172"/>
      <c r="AL369" s="172"/>
      <c r="AM369" s="172"/>
      <c r="AN369" s="172"/>
      <c r="AO369" s="172"/>
      <c r="AP369" s="172"/>
      <c r="AQ369" s="172"/>
      <c r="AR369" s="172"/>
      <c r="AS369" s="172"/>
      <c r="AT369" s="172"/>
      <c r="AU369" s="172"/>
      <c r="AV369" s="172"/>
      <c r="AW369" s="172"/>
      <c r="AX369" s="172"/>
      <c r="AY369" s="172"/>
      <c r="AZ369" s="172"/>
      <c r="BA369" s="172"/>
      <c r="BB369" s="172"/>
      <c r="BC369" s="172"/>
      <c r="BD369" s="172"/>
      <c r="BE369" s="172"/>
      <c r="BF369" s="172"/>
      <c r="BG369" s="172"/>
      <c r="BH369" s="172"/>
      <c r="BI369" s="172"/>
      <c r="BJ369" s="172"/>
      <c r="BK369" s="172"/>
      <c r="BL369" s="172"/>
      <c r="BM369" s="172"/>
      <c r="BN369" s="172"/>
      <c r="BO369" s="172"/>
      <c r="BP369" s="172"/>
      <c r="BQ369" s="172"/>
      <c r="BR369" s="172"/>
      <c r="BS369" s="172"/>
      <c r="BT369" s="172"/>
      <c r="BU369" s="172"/>
      <c r="BV369" s="172"/>
      <c r="BW369" s="172"/>
      <c r="BX369" s="172"/>
      <c r="BY369" s="172"/>
      <c r="BZ369" s="172"/>
      <c r="CA369" s="172"/>
      <c r="CB369" s="172"/>
      <c r="CC369" s="172"/>
      <c r="CD369" s="173"/>
      <c r="CE369" s="18"/>
    </row>
    <row r="370" spans="1:83" s="385" customFormat="1" ht="12.75" customHeight="1" x14ac:dyDescent="0.15">
      <c r="A370" s="381"/>
      <c r="B370" s="382"/>
      <c r="C370" s="392"/>
      <c r="D370" s="780" t="s">
        <v>154</v>
      </c>
      <c r="E370" s="781"/>
      <c r="F370" s="393" t="s">
        <v>155</v>
      </c>
      <c r="G370" s="394"/>
      <c r="H370" s="394"/>
      <c r="I370" s="394"/>
      <c r="J370" s="394"/>
      <c r="K370" s="394"/>
      <c r="L370" s="394"/>
      <c r="M370" s="394"/>
      <c r="N370" s="394"/>
      <c r="O370" s="394"/>
      <c r="P370" s="394"/>
      <c r="Q370" s="395"/>
      <c r="R370" s="393"/>
      <c r="S370" s="394"/>
      <c r="T370" s="394"/>
      <c r="U370" s="394"/>
      <c r="V370" s="394"/>
      <c r="W370" s="394"/>
      <c r="X370" s="394"/>
      <c r="Y370" s="394"/>
      <c r="Z370" s="394"/>
      <c r="AA370" s="394"/>
      <c r="AB370" s="394"/>
      <c r="AC370" s="394"/>
      <c r="AD370" s="395"/>
      <c r="AE370" s="396" t="s">
        <v>874</v>
      </c>
      <c r="AF370" s="394"/>
      <c r="AG370" s="394"/>
      <c r="AH370" s="394"/>
      <c r="AI370" s="394"/>
      <c r="AJ370" s="394"/>
      <c r="AK370" s="394"/>
      <c r="AL370" s="394"/>
      <c r="AM370" s="394"/>
      <c r="AN370" s="394"/>
      <c r="AO370" s="394"/>
      <c r="AP370" s="394"/>
      <c r="AQ370" s="394"/>
      <c r="AR370" s="394"/>
      <c r="AS370" s="394"/>
      <c r="AT370" s="394"/>
      <c r="AU370" s="394"/>
      <c r="AV370" s="394"/>
      <c r="AW370" s="394"/>
      <c r="AX370" s="394"/>
      <c r="AY370" s="394"/>
      <c r="AZ370" s="394"/>
      <c r="BA370" s="394"/>
      <c r="BB370" s="394"/>
      <c r="BC370" s="394"/>
      <c r="BD370" s="394"/>
      <c r="BE370" s="394"/>
      <c r="BF370" s="394"/>
      <c r="BG370" s="394"/>
      <c r="BH370" s="394"/>
      <c r="BI370" s="394"/>
      <c r="BJ370" s="394"/>
      <c r="BK370" s="394"/>
      <c r="BL370" s="394"/>
      <c r="BM370" s="394"/>
      <c r="BN370" s="394"/>
      <c r="BO370" s="394"/>
      <c r="BP370" s="394"/>
      <c r="BQ370" s="394"/>
      <c r="BR370" s="394"/>
      <c r="BS370" s="394"/>
      <c r="BT370" s="394"/>
      <c r="BU370" s="394"/>
      <c r="BV370" s="394"/>
      <c r="BW370" s="394"/>
      <c r="BX370" s="394"/>
      <c r="BY370" s="394"/>
      <c r="BZ370" s="394"/>
      <c r="CA370" s="394"/>
      <c r="CB370" s="394"/>
      <c r="CC370" s="394"/>
      <c r="CD370" s="395"/>
      <c r="CE370" s="384"/>
    </row>
    <row r="371" spans="1:83" s="6" customFormat="1" ht="12" customHeight="1" x14ac:dyDescent="0.15">
      <c r="A371" s="16"/>
      <c r="B371" s="19"/>
      <c r="C371" s="24"/>
      <c r="D371" s="602" t="s">
        <v>156</v>
      </c>
      <c r="E371" s="603"/>
      <c r="F371" s="34" t="s">
        <v>371</v>
      </c>
      <c r="G371" s="35"/>
      <c r="H371" s="35"/>
      <c r="I371" s="35"/>
      <c r="J371" s="35"/>
      <c r="K371" s="35"/>
      <c r="L371" s="35"/>
      <c r="M371" s="35"/>
      <c r="N371" s="35"/>
      <c r="O371" s="35"/>
      <c r="P371" s="35"/>
      <c r="Q371" s="36"/>
      <c r="R371" s="34" t="s">
        <v>157</v>
      </c>
      <c r="S371" s="35"/>
      <c r="T371" s="35"/>
      <c r="U371" s="35"/>
      <c r="V371" s="35"/>
      <c r="W371" s="35"/>
      <c r="X371" s="35"/>
      <c r="Y371" s="35"/>
      <c r="Z371" s="35"/>
      <c r="AA371" s="35"/>
      <c r="AB371" s="35"/>
      <c r="AC371" s="35"/>
      <c r="AD371" s="36"/>
      <c r="AE371" s="34" t="s">
        <v>383</v>
      </c>
      <c r="AF371" s="35"/>
      <c r="AG371" s="35"/>
      <c r="AH371" s="35"/>
      <c r="AI371" s="35"/>
      <c r="AJ371" s="35"/>
      <c r="AK371" s="35"/>
      <c r="AL371" s="35"/>
      <c r="AM371" s="35"/>
      <c r="AN371" s="35"/>
      <c r="AO371" s="35"/>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6"/>
      <c r="CE371" s="18"/>
    </row>
    <row r="372" spans="1:83" s="4" customFormat="1" ht="12" customHeight="1" x14ac:dyDescent="0.15">
      <c r="A372" s="16"/>
      <c r="B372" s="5"/>
      <c r="C372" s="17"/>
      <c r="D372" s="602" t="s">
        <v>158</v>
      </c>
      <c r="E372" s="603"/>
      <c r="F372" s="34" t="s">
        <v>372</v>
      </c>
      <c r="G372" s="35"/>
      <c r="H372" s="35"/>
      <c r="I372" s="35"/>
      <c r="J372" s="35"/>
      <c r="K372" s="35"/>
      <c r="L372" s="35"/>
      <c r="M372" s="35"/>
      <c r="N372" s="35"/>
      <c r="O372" s="35"/>
      <c r="P372" s="35"/>
      <c r="Q372" s="36"/>
      <c r="R372" s="34" t="s">
        <v>159</v>
      </c>
      <c r="S372" s="35"/>
      <c r="T372" s="35"/>
      <c r="U372" s="35"/>
      <c r="V372" s="35"/>
      <c r="W372" s="35"/>
      <c r="X372" s="35"/>
      <c r="Y372" s="35"/>
      <c r="Z372" s="35"/>
      <c r="AA372" s="35"/>
      <c r="AB372" s="35"/>
      <c r="AC372" s="35"/>
      <c r="AD372" s="36"/>
      <c r="AE372" s="34" t="s">
        <v>384</v>
      </c>
      <c r="AF372" s="35"/>
      <c r="AG372" s="35"/>
      <c r="AH372" s="35"/>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6"/>
      <c r="CE372" s="18"/>
    </row>
    <row r="373" spans="1:83" s="4" customFormat="1" ht="12" customHeight="1" x14ac:dyDescent="0.15">
      <c r="A373" s="16"/>
      <c r="C373" s="58"/>
      <c r="D373" s="610" t="s">
        <v>160</v>
      </c>
      <c r="E373" s="611"/>
      <c r="F373" s="37" t="s">
        <v>161</v>
      </c>
      <c r="G373" s="38"/>
      <c r="H373" s="38"/>
      <c r="I373" s="38"/>
      <c r="J373" s="38"/>
      <c r="K373" s="38"/>
      <c r="L373" s="38"/>
      <c r="M373" s="38"/>
      <c r="N373" s="34" t="s">
        <v>162</v>
      </c>
      <c r="O373" s="35"/>
      <c r="P373" s="35"/>
      <c r="Q373" s="36"/>
      <c r="R373" s="34" t="s">
        <v>163</v>
      </c>
      <c r="S373" s="35"/>
      <c r="T373" s="35"/>
      <c r="U373" s="35"/>
      <c r="V373" s="35"/>
      <c r="W373" s="35"/>
      <c r="X373" s="35"/>
      <c r="Y373" s="35"/>
      <c r="Z373" s="35"/>
      <c r="AA373" s="35"/>
      <c r="AB373" s="35"/>
      <c r="AC373" s="35"/>
      <c r="AD373" s="36"/>
      <c r="AE373" s="34" t="s">
        <v>607</v>
      </c>
      <c r="AF373" s="35"/>
      <c r="AG373" s="35"/>
      <c r="AH373" s="35"/>
      <c r="AI373" s="35"/>
      <c r="AJ373" s="35"/>
      <c r="AK373" s="35"/>
      <c r="AL373" s="35"/>
      <c r="AM373" s="35"/>
      <c r="AN373" s="35"/>
      <c r="AO373" s="35"/>
      <c r="AP373" s="35"/>
      <c r="AQ373" s="35"/>
      <c r="AR373" s="35"/>
      <c r="AS373" s="35"/>
      <c r="AT373" s="35"/>
      <c r="AU373" s="35"/>
      <c r="AV373" s="35"/>
      <c r="AW373" s="35"/>
      <c r="AX373" s="35"/>
      <c r="AY373" s="35"/>
      <c r="AZ373" s="35"/>
      <c r="BA373" s="35"/>
      <c r="BB373" s="35"/>
      <c r="BC373" s="35"/>
      <c r="BD373" s="35"/>
      <c r="BE373" s="35"/>
      <c r="BF373" s="35"/>
      <c r="BG373" s="35"/>
      <c r="BH373" s="35"/>
      <c r="BI373" s="35"/>
      <c r="BJ373" s="35"/>
      <c r="BK373" s="35"/>
      <c r="BL373" s="35"/>
      <c r="BM373" s="35"/>
      <c r="BN373" s="35"/>
      <c r="BO373" s="35"/>
      <c r="BP373" s="35"/>
      <c r="BQ373" s="35"/>
      <c r="BR373" s="35"/>
      <c r="BS373" s="35"/>
      <c r="BT373" s="35"/>
      <c r="BU373" s="35"/>
      <c r="BV373" s="35"/>
      <c r="BW373" s="35"/>
      <c r="BX373" s="35"/>
      <c r="BY373" s="35"/>
      <c r="BZ373" s="35"/>
      <c r="CA373" s="35"/>
      <c r="CB373" s="35"/>
      <c r="CC373" s="35"/>
      <c r="CD373" s="36"/>
      <c r="CE373" s="18"/>
    </row>
    <row r="374" spans="1:83" s="4" customFormat="1" ht="12" customHeight="1" x14ac:dyDescent="0.15">
      <c r="A374" s="16"/>
      <c r="C374" s="58"/>
      <c r="D374" s="40"/>
      <c r="E374" s="33"/>
      <c r="F374" s="40"/>
      <c r="G374" s="32"/>
      <c r="H374" s="32"/>
      <c r="I374" s="32"/>
      <c r="J374" s="32"/>
      <c r="K374" s="32"/>
      <c r="L374" s="32"/>
      <c r="M374" s="32"/>
      <c r="N374" s="34" t="s">
        <v>340</v>
      </c>
      <c r="O374" s="35"/>
      <c r="P374" s="35"/>
      <c r="Q374" s="36"/>
      <c r="R374" s="34" t="s">
        <v>164</v>
      </c>
      <c r="S374" s="35"/>
      <c r="T374" s="35"/>
      <c r="U374" s="35"/>
      <c r="V374" s="35"/>
      <c r="W374" s="35"/>
      <c r="X374" s="35"/>
      <c r="Y374" s="35"/>
      <c r="Z374" s="35"/>
      <c r="AA374" s="35"/>
      <c r="AB374" s="35"/>
      <c r="AC374" s="35"/>
      <c r="AD374" s="36"/>
      <c r="AE374" s="34" t="s">
        <v>597</v>
      </c>
      <c r="AF374" s="35"/>
      <c r="AG374" s="35"/>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6"/>
      <c r="CE374" s="18"/>
    </row>
    <row r="375" spans="1:83" s="4" customFormat="1" ht="12" customHeight="1" x14ac:dyDescent="0.15">
      <c r="A375" s="16"/>
      <c r="C375" s="58"/>
      <c r="D375" s="610" t="s">
        <v>165</v>
      </c>
      <c r="E375" s="611"/>
      <c r="F375" s="37" t="s">
        <v>341</v>
      </c>
      <c r="G375" s="38"/>
      <c r="H375" s="38"/>
      <c r="I375" s="38"/>
      <c r="J375" s="38"/>
      <c r="K375" s="38"/>
      <c r="L375" s="38"/>
      <c r="M375" s="38"/>
      <c r="N375" s="38"/>
      <c r="O375" s="38"/>
      <c r="P375" s="38"/>
      <c r="Q375" s="39"/>
      <c r="R375" s="37" t="s">
        <v>342</v>
      </c>
      <c r="S375" s="38"/>
      <c r="T375" s="38"/>
      <c r="U375" s="38"/>
      <c r="V375" s="38"/>
      <c r="W375" s="38"/>
      <c r="X375" s="38"/>
      <c r="Y375" s="38"/>
      <c r="Z375" s="38"/>
      <c r="AA375" s="38"/>
      <c r="AB375" s="38"/>
      <c r="AC375" s="38"/>
      <c r="AD375" s="39"/>
      <c r="AE375" s="61" t="s">
        <v>166</v>
      </c>
      <c r="AF375" s="62"/>
      <c r="AG375" s="62"/>
      <c r="AH375" s="62"/>
      <c r="AI375" s="62"/>
      <c r="AJ375" s="62"/>
      <c r="AK375" s="62"/>
      <c r="AL375" s="62"/>
      <c r="AM375" s="62"/>
      <c r="AN375" s="62"/>
      <c r="AO375" s="62"/>
      <c r="AP375" s="62"/>
      <c r="AQ375" s="62"/>
      <c r="AR375" s="62"/>
      <c r="AS375" s="62"/>
      <c r="AT375" s="62"/>
      <c r="AU375" s="62"/>
      <c r="AV375" s="62"/>
      <c r="AW375" s="62"/>
      <c r="AX375" s="62"/>
      <c r="AY375" s="62"/>
      <c r="AZ375" s="62"/>
      <c r="BA375" s="62"/>
      <c r="BB375" s="62"/>
      <c r="BC375" s="62"/>
      <c r="BD375" s="62"/>
      <c r="BE375" s="62"/>
      <c r="BF375" s="62"/>
      <c r="BG375" s="62"/>
      <c r="BH375" s="62"/>
      <c r="BI375" s="62"/>
      <c r="BJ375" s="62"/>
      <c r="BK375" s="62"/>
      <c r="BL375" s="62"/>
      <c r="BM375" s="62"/>
      <c r="BN375" s="62"/>
      <c r="BO375" s="62"/>
      <c r="BP375" s="62"/>
      <c r="BQ375" s="62"/>
      <c r="BR375" s="62"/>
      <c r="BS375" s="62"/>
      <c r="BT375" s="62"/>
      <c r="BU375" s="62"/>
      <c r="BV375" s="62"/>
      <c r="BW375" s="62"/>
      <c r="BX375" s="62"/>
      <c r="BY375" s="62"/>
      <c r="BZ375" s="62"/>
      <c r="CA375" s="62"/>
      <c r="CB375" s="62"/>
      <c r="CC375" s="62"/>
      <c r="CD375" s="63"/>
      <c r="CE375" s="18"/>
    </row>
    <row r="376" spans="1:83" s="9" customFormat="1" ht="12.75" customHeight="1" x14ac:dyDescent="0.15">
      <c r="A376" s="16"/>
      <c r="B376" s="8"/>
      <c r="C376" s="29"/>
      <c r="D376" s="41"/>
      <c r="E376" s="31"/>
      <c r="F376" s="41"/>
      <c r="G376" s="12"/>
      <c r="H376" s="12"/>
      <c r="I376" s="12"/>
      <c r="J376" s="12"/>
      <c r="K376" s="12"/>
      <c r="L376" s="12"/>
      <c r="M376" s="12"/>
      <c r="N376" s="12"/>
      <c r="O376" s="12"/>
      <c r="P376" s="12"/>
      <c r="Q376" s="31"/>
      <c r="R376" s="41"/>
      <c r="S376" s="12"/>
      <c r="T376" s="12"/>
      <c r="U376" s="12"/>
      <c r="V376" s="12"/>
      <c r="W376" s="12"/>
      <c r="X376" s="12"/>
      <c r="Y376" s="12"/>
      <c r="Z376" s="12"/>
      <c r="AA376" s="12"/>
      <c r="AB376" s="12"/>
      <c r="AC376" s="12"/>
      <c r="AD376" s="31"/>
      <c r="AE376" s="64" t="s">
        <v>528</v>
      </c>
      <c r="AF376" s="49"/>
      <c r="AG376" s="49"/>
      <c r="AH376" s="49"/>
      <c r="AI376" s="49"/>
      <c r="AJ376" s="49"/>
      <c r="AK376" s="49"/>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49"/>
      <c r="BH376" s="49"/>
      <c r="BI376" s="49"/>
      <c r="BJ376" s="49"/>
      <c r="BK376" s="49"/>
      <c r="BL376" s="49"/>
      <c r="BM376" s="49"/>
      <c r="BN376" s="49"/>
      <c r="BO376" s="49"/>
      <c r="BP376" s="49"/>
      <c r="BQ376" s="49"/>
      <c r="BR376" s="49"/>
      <c r="BS376" s="49"/>
      <c r="BT376" s="49"/>
      <c r="BU376" s="49"/>
      <c r="BV376" s="49"/>
      <c r="BW376" s="49"/>
      <c r="BX376" s="49"/>
      <c r="BY376" s="49"/>
      <c r="BZ376" s="49"/>
      <c r="CA376" s="49"/>
      <c r="CB376" s="49"/>
      <c r="CC376" s="49"/>
      <c r="CD376" s="65"/>
      <c r="CE376" s="18"/>
    </row>
    <row r="377" spans="1:83" s="9" customFormat="1" ht="12.75" customHeight="1" x14ac:dyDescent="0.15">
      <c r="A377" s="16"/>
      <c r="B377" s="8"/>
      <c r="C377" s="29"/>
      <c r="D377" s="602" t="s">
        <v>167</v>
      </c>
      <c r="E377" s="603"/>
      <c r="F377" s="34" t="s">
        <v>168</v>
      </c>
      <c r="G377" s="35"/>
      <c r="H377" s="35"/>
      <c r="I377" s="35"/>
      <c r="J377" s="35"/>
      <c r="K377" s="35"/>
      <c r="L377" s="35"/>
      <c r="M377" s="35"/>
      <c r="N377" s="35"/>
      <c r="O377" s="35"/>
      <c r="P377" s="35"/>
      <c r="Q377" s="36"/>
      <c r="R377" s="34" t="s">
        <v>169</v>
      </c>
      <c r="S377" s="35"/>
      <c r="T377" s="35"/>
      <c r="U377" s="35"/>
      <c r="V377" s="35"/>
      <c r="W377" s="35"/>
      <c r="X377" s="35"/>
      <c r="Y377" s="35"/>
      <c r="Z377" s="35"/>
      <c r="AA377" s="35"/>
      <c r="AB377" s="35"/>
      <c r="AC377" s="35"/>
      <c r="AD377" s="36"/>
      <c r="AE377" s="34" t="s">
        <v>358</v>
      </c>
      <c r="AF377" s="35"/>
      <c r="AG377" s="35"/>
      <c r="AH377" s="35"/>
      <c r="AI377" s="35"/>
      <c r="AJ377" s="35"/>
      <c r="AK377" s="35"/>
      <c r="AL377" s="35"/>
      <c r="AM377" s="35"/>
      <c r="AN377" s="35"/>
      <c r="AO377" s="35"/>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6"/>
      <c r="CE377" s="18"/>
    </row>
    <row r="378" spans="1:83" s="9" customFormat="1" ht="12.75" customHeight="1" x14ac:dyDescent="0.15">
      <c r="A378" s="16"/>
      <c r="B378" s="8"/>
      <c r="C378" s="29"/>
      <c r="D378" s="610" t="s">
        <v>170</v>
      </c>
      <c r="E378" s="611"/>
      <c r="F378" s="37" t="s">
        <v>171</v>
      </c>
      <c r="G378" s="38"/>
      <c r="H378" s="38"/>
      <c r="I378" s="38"/>
      <c r="J378" s="38"/>
      <c r="K378" s="38"/>
      <c r="L378" s="38"/>
      <c r="M378" s="38"/>
      <c r="N378" s="38"/>
      <c r="O378" s="38"/>
      <c r="P378" s="38"/>
      <c r="Q378" s="39"/>
      <c r="R378" s="37" t="s">
        <v>359</v>
      </c>
      <c r="S378" s="38"/>
      <c r="T378" s="38"/>
      <c r="U378" s="38"/>
      <c r="V378" s="38"/>
      <c r="W378" s="38"/>
      <c r="X378" s="38"/>
      <c r="Y378" s="38"/>
      <c r="Z378" s="38"/>
      <c r="AA378" s="38"/>
      <c r="AB378" s="38"/>
      <c r="AC378" s="38"/>
      <c r="AD378" s="39"/>
      <c r="AE378" s="37" t="s">
        <v>519</v>
      </c>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c r="BC378" s="38"/>
      <c r="BD378" s="38"/>
      <c r="BE378" s="38"/>
      <c r="BF378" s="38"/>
      <c r="BG378" s="38"/>
      <c r="BH378" s="38"/>
      <c r="BI378" s="38"/>
      <c r="BJ378" s="38"/>
      <c r="BK378" s="38"/>
      <c r="BL378" s="38"/>
      <c r="BM378" s="38"/>
      <c r="BN378" s="38"/>
      <c r="BO378" s="38"/>
      <c r="BP378" s="38"/>
      <c r="BQ378" s="38"/>
      <c r="BR378" s="38"/>
      <c r="BS378" s="38"/>
      <c r="BT378" s="38"/>
      <c r="BU378" s="38"/>
      <c r="BV378" s="38"/>
      <c r="BW378" s="38"/>
      <c r="BX378" s="38"/>
      <c r="BY378" s="38"/>
      <c r="BZ378" s="38"/>
      <c r="CA378" s="38"/>
      <c r="CB378" s="38"/>
      <c r="CC378" s="38"/>
      <c r="CD378" s="39"/>
      <c r="CE378" s="18"/>
    </row>
    <row r="379" spans="1:83" s="9" customFormat="1" ht="12.75" customHeight="1" x14ac:dyDescent="0.15">
      <c r="A379" s="16"/>
      <c r="B379" s="8"/>
      <c r="C379" s="29"/>
      <c r="D379" s="130"/>
      <c r="E379" s="131"/>
      <c r="F379" s="40"/>
      <c r="G379" s="32"/>
      <c r="H379" s="32"/>
      <c r="I379" s="32"/>
      <c r="J379" s="32"/>
      <c r="K379" s="32"/>
      <c r="L379" s="32"/>
      <c r="M379" s="32"/>
      <c r="N379" s="32"/>
      <c r="O379" s="32"/>
      <c r="P379" s="32"/>
      <c r="Q379" s="33"/>
      <c r="R379" s="40"/>
      <c r="S379" s="32"/>
      <c r="T379" s="32"/>
      <c r="U379" s="32"/>
      <c r="V379" s="32"/>
      <c r="W379" s="32"/>
      <c r="X379" s="32"/>
      <c r="Y379" s="32"/>
      <c r="Z379" s="32"/>
      <c r="AA379" s="32"/>
      <c r="AB379" s="32"/>
      <c r="AC379" s="32"/>
      <c r="AD379" s="33"/>
      <c r="AE379" s="40" t="s">
        <v>520</v>
      </c>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c r="BO379" s="32"/>
      <c r="BP379" s="32"/>
      <c r="BQ379" s="32"/>
      <c r="BR379" s="32"/>
      <c r="BS379" s="32"/>
      <c r="BT379" s="32"/>
      <c r="BU379" s="32"/>
      <c r="BV379" s="32"/>
      <c r="BW379" s="32"/>
      <c r="BX379" s="32"/>
      <c r="BY379" s="32"/>
      <c r="BZ379" s="32"/>
      <c r="CA379" s="32"/>
      <c r="CB379" s="32"/>
      <c r="CC379" s="32"/>
      <c r="CD379" s="33"/>
      <c r="CE379" s="18"/>
    </row>
    <row r="380" spans="1:83" s="9" customFormat="1" ht="12.75" customHeight="1" x14ac:dyDescent="0.15">
      <c r="A380" s="16"/>
      <c r="B380" s="8"/>
      <c r="C380" s="29"/>
      <c r="D380" s="602" t="s">
        <v>172</v>
      </c>
      <c r="E380" s="603"/>
      <c r="F380" s="34" t="s">
        <v>344</v>
      </c>
      <c r="G380" s="35"/>
      <c r="H380" s="35"/>
      <c r="I380" s="35"/>
      <c r="J380" s="35"/>
      <c r="K380" s="35"/>
      <c r="L380" s="35"/>
      <c r="M380" s="35"/>
      <c r="N380" s="35"/>
      <c r="O380" s="35"/>
      <c r="P380" s="35"/>
      <c r="Q380" s="36"/>
      <c r="R380" s="34" t="s">
        <v>173</v>
      </c>
      <c r="S380" s="35"/>
      <c r="T380" s="35"/>
      <c r="U380" s="35"/>
      <c r="V380" s="35"/>
      <c r="W380" s="35"/>
      <c r="X380" s="35"/>
      <c r="Y380" s="35"/>
      <c r="Z380" s="35"/>
      <c r="AA380" s="35"/>
      <c r="AB380" s="35"/>
      <c r="AC380" s="35"/>
      <c r="AD380" s="36"/>
      <c r="AE380" s="34" t="s">
        <v>521</v>
      </c>
      <c r="AF380" s="35"/>
      <c r="AG380" s="35"/>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6"/>
      <c r="CE380" s="18"/>
    </row>
    <row r="381" spans="1:83" s="9" customFormat="1" ht="12.75" customHeight="1" x14ac:dyDescent="0.15">
      <c r="A381" s="16"/>
      <c r="B381" s="8"/>
      <c r="C381" s="29"/>
      <c r="D381" s="602" t="s">
        <v>174</v>
      </c>
      <c r="E381" s="603"/>
      <c r="F381" s="34" t="s">
        <v>376</v>
      </c>
      <c r="G381" s="35"/>
      <c r="H381" s="35"/>
      <c r="I381" s="35"/>
      <c r="J381" s="35"/>
      <c r="K381" s="35"/>
      <c r="L381" s="35"/>
      <c r="M381" s="35"/>
      <c r="N381" s="35"/>
      <c r="O381" s="35"/>
      <c r="P381" s="35"/>
      <c r="Q381" s="36"/>
      <c r="R381" s="34" t="s">
        <v>653</v>
      </c>
      <c r="S381" s="35"/>
      <c r="T381" s="35"/>
      <c r="U381" s="35"/>
      <c r="V381" s="35"/>
      <c r="W381" s="35"/>
      <c r="X381" s="35"/>
      <c r="Y381" s="35"/>
      <c r="Z381" s="35"/>
      <c r="AA381" s="35"/>
      <c r="AB381" s="35"/>
      <c r="AC381" s="35"/>
      <c r="AD381" s="36"/>
      <c r="AE381" s="34" t="s">
        <v>654</v>
      </c>
      <c r="AF381" s="35"/>
      <c r="AG381" s="35"/>
      <c r="AH381" s="35"/>
      <c r="AI381" s="35"/>
      <c r="AJ381" s="35"/>
      <c r="AK381" s="35"/>
      <c r="AL381" s="35"/>
      <c r="AM381" s="35"/>
      <c r="AN381" s="35"/>
      <c r="AO381" s="35"/>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6"/>
      <c r="CE381" s="18"/>
    </row>
    <row r="382" spans="1:83" s="9" customFormat="1" ht="12.75" customHeight="1" x14ac:dyDescent="0.15">
      <c r="A382" s="16"/>
      <c r="B382" s="8"/>
      <c r="C382" s="29"/>
      <c r="D382" s="602" t="s">
        <v>175</v>
      </c>
      <c r="E382" s="603"/>
      <c r="F382" s="34" t="s">
        <v>176</v>
      </c>
      <c r="G382" s="35"/>
      <c r="H382" s="35"/>
      <c r="I382" s="35"/>
      <c r="J382" s="35"/>
      <c r="K382" s="35"/>
      <c r="L382" s="35"/>
      <c r="M382" s="35"/>
      <c r="N382" s="35"/>
      <c r="O382" s="35"/>
      <c r="P382" s="35"/>
      <c r="Q382" s="36"/>
      <c r="R382" s="34" t="s">
        <v>177</v>
      </c>
      <c r="S382" s="35"/>
      <c r="T382" s="35"/>
      <c r="U382" s="35"/>
      <c r="V382" s="35"/>
      <c r="W382" s="35"/>
      <c r="X382" s="35"/>
      <c r="Y382" s="35"/>
      <c r="Z382" s="35"/>
      <c r="AA382" s="35"/>
      <c r="AB382" s="35"/>
      <c r="AC382" s="35"/>
      <c r="AD382" s="36"/>
      <c r="AE382" s="34" t="s">
        <v>524</v>
      </c>
      <c r="AF382" s="35"/>
      <c r="AG382" s="35"/>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6"/>
      <c r="CE382" s="18"/>
    </row>
    <row r="383" spans="1:83" s="9" customFormat="1" ht="12.75" customHeight="1" x14ac:dyDescent="0.15">
      <c r="A383" s="16"/>
      <c r="B383" s="8"/>
      <c r="C383" s="29"/>
      <c r="D383" s="602" t="s">
        <v>178</v>
      </c>
      <c r="E383" s="603"/>
      <c r="F383" s="34" t="s">
        <v>179</v>
      </c>
      <c r="G383" s="35"/>
      <c r="H383" s="35"/>
      <c r="I383" s="35"/>
      <c r="J383" s="35"/>
      <c r="K383" s="35"/>
      <c r="L383" s="35"/>
      <c r="M383" s="35"/>
      <c r="N383" s="35"/>
      <c r="O383" s="35"/>
      <c r="P383" s="35"/>
      <c r="Q383" s="36"/>
      <c r="R383" s="34" t="s">
        <v>180</v>
      </c>
      <c r="S383" s="35"/>
      <c r="T383" s="35"/>
      <c r="U383" s="35"/>
      <c r="V383" s="35"/>
      <c r="W383" s="35"/>
      <c r="X383" s="35"/>
      <c r="Y383" s="35"/>
      <c r="Z383" s="35"/>
      <c r="AA383" s="35"/>
      <c r="AB383" s="35"/>
      <c r="AC383" s="35"/>
      <c r="AD383" s="36"/>
      <c r="AE383" s="34" t="s">
        <v>547</v>
      </c>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6"/>
      <c r="CE383" s="18"/>
    </row>
    <row r="384" spans="1:83" s="385" customFormat="1" ht="12.75" customHeight="1" x14ac:dyDescent="0.15">
      <c r="A384" s="381"/>
      <c r="B384" s="382"/>
      <c r="C384" s="383"/>
      <c r="D384" s="780" t="s">
        <v>181</v>
      </c>
      <c r="E384" s="781"/>
      <c r="F384" s="393" t="s">
        <v>182</v>
      </c>
      <c r="G384" s="394"/>
      <c r="H384" s="394"/>
      <c r="I384" s="394"/>
      <c r="J384" s="394"/>
      <c r="K384" s="394"/>
      <c r="L384" s="394"/>
      <c r="M384" s="394"/>
      <c r="N384" s="394"/>
      <c r="O384" s="394"/>
      <c r="P384" s="394"/>
      <c r="Q384" s="395"/>
      <c r="R384" s="393" t="s">
        <v>183</v>
      </c>
      <c r="S384" s="394"/>
      <c r="T384" s="394"/>
      <c r="U384" s="394"/>
      <c r="V384" s="394"/>
      <c r="W384" s="394"/>
      <c r="X384" s="394"/>
      <c r="Y384" s="394"/>
      <c r="Z384" s="394"/>
      <c r="AA384" s="394"/>
      <c r="AB384" s="394"/>
      <c r="AC384" s="394"/>
      <c r="AD384" s="395"/>
      <c r="AE384" s="393" t="s">
        <v>315</v>
      </c>
      <c r="AF384" s="394"/>
      <c r="AG384" s="394"/>
      <c r="AH384" s="394"/>
      <c r="AI384" s="394"/>
      <c r="AJ384" s="394"/>
      <c r="AK384" s="394"/>
      <c r="AL384" s="394"/>
      <c r="AM384" s="394"/>
      <c r="AN384" s="394"/>
      <c r="AO384" s="394"/>
      <c r="AP384" s="394"/>
      <c r="AQ384" s="394"/>
      <c r="AR384" s="394"/>
      <c r="AS384" s="394"/>
      <c r="AT384" s="394"/>
      <c r="AU384" s="394"/>
      <c r="AV384" s="394"/>
      <c r="AW384" s="394"/>
      <c r="AX384" s="394"/>
      <c r="AY384" s="394"/>
      <c r="AZ384" s="394"/>
      <c r="BA384" s="394"/>
      <c r="BB384" s="394"/>
      <c r="BC384" s="394"/>
      <c r="BD384" s="394"/>
      <c r="BE384" s="394"/>
      <c r="BF384" s="394"/>
      <c r="BG384" s="394"/>
      <c r="BH384" s="394"/>
      <c r="BI384" s="394"/>
      <c r="BJ384" s="394"/>
      <c r="BK384" s="394"/>
      <c r="BL384" s="394"/>
      <c r="BM384" s="394"/>
      <c r="BN384" s="394"/>
      <c r="BO384" s="394"/>
      <c r="BP384" s="394"/>
      <c r="BQ384" s="394"/>
      <c r="BR384" s="394"/>
      <c r="BS384" s="394"/>
      <c r="BT384" s="394"/>
      <c r="BU384" s="394"/>
      <c r="BV384" s="394"/>
      <c r="BW384" s="394"/>
      <c r="BX384" s="394"/>
      <c r="BY384" s="394"/>
      <c r="BZ384" s="394"/>
      <c r="CA384" s="394"/>
      <c r="CB384" s="394"/>
      <c r="CC384" s="394"/>
      <c r="CD384" s="395"/>
      <c r="CE384" s="384"/>
    </row>
    <row r="385" spans="1:83" s="9" customFormat="1" ht="12.75" customHeight="1" x14ac:dyDescent="0.15">
      <c r="A385" s="16"/>
      <c r="B385" s="8"/>
      <c r="C385" s="29"/>
      <c r="D385" s="602" t="s">
        <v>610</v>
      </c>
      <c r="E385" s="603"/>
      <c r="F385" s="34" t="s">
        <v>187</v>
      </c>
      <c r="G385" s="35"/>
      <c r="H385" s="35"/>
      <c r="I385" s="35"/>
      <c r="J385" s="35"/>
      <c r="K385" s="35"/>
      <c r="L385" s="35"/>
      <c r="M385" s="35"/>
      <c r="N385" s="35"/>
      <c r="O385" s="35"/>
      <c r="P385" s="35"/>
      <c r="Q385" s="36"/>
      <c r="R385" s="34" t="s">
        <v>188</v>
      </c>
      <c r="S385" s="35"/>
      <c r="T385" s="35"/>
      <c r="U385" s="35"/>
      <c r="V385" s="35"/>
      <c r="W385" s="35"/>
      <c r="X385" s="35"/>
      <c r="Y385" s="35"/>
      <c r="Z385" s="35"/>
      <c r="AA385" s="35"/>
      <c r="AB385" s="35"/>
      <c r="AC385" s="35"/>
      <c r="AD385" s="36"/>
      <c r="AE385" s="34" t="s">
        <v>546</v>
      </c>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6"/>
      <c r="CE385" s="18"/>
    </row>
    <row r="386" spans="1:83" s="9" customFormat="1" ht="12.75" customHeight="1" x14ac:dyDescent="0.15">
      <c r="A386" s="16"/>
      <c r="B386" s="8"/>
      <c r="C386" s="29"/>
      <c r="D386" s="602" t="s">
        <v>611</v>
      </c>
      <c r="E386" s="603"/>
      <c r="F386" s="34" t="s">
        <v>189</v>
      </c>
      <c r="G386" s="35"/>
      <c r="H386" s="35"/>
      <c r="I386" s="35"/>
      <c r="J386" s="35"/>
      <c r="K386" s="35"/>
      <c r="L386" s="35"/>
      <c r="M386" s="35"/>
      <c r="N386" s="35"/>
      <c r="O386" s="35"/>
      <c r="P386" s="35"/>
      <c r="Q386" s="36"/>
      <c r="R386" s="34" t="s">
        <v>190</v>
      </c>
      <c r="S386" s="35"/>
      <c r="T386" s="35"/>
      <c r="U386" s="35"/>
      <c r="V386" s="35"/>
      <c r="W386" s="35"/>
      <c r="X386" s="35"/>
      <c r="Y386" s="35"/>
      <c r="Z386" s="35"/>
      <c r="AA386" s="35"/>
      <c r="AB386" s="35"/>
      <c r="AC386" s="35"/>
      <c r="AD386" s="36"/>
      <c r="AE386" s="34" t="s">
        <v>526</v>
      </c>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6"/>
      <c r="CE386" s="18"/>
    </row>
    <row r="387" spans="1:83" s="9" customFormat="1" ht="12.75" customHeight="1" x14ac:dyDescent="0.15">
      <c r="A387" s="16"/>
      <c r="B387" s="8"/>
      <c r="C387" s="29"/>
      <c r="D387" s="610" t="s">
        <v>612</v>
      </c>
      <c r="E387" s="611"/>
      <c r="F387" s="37" t="s">
        <v>192</v>
      </c>
      <c r="G387" s="38"/>
      <c r="H387" s="38"/>
      <c r="I387" s="38"/>
      <c r="J387" s="38"/>
      <c r="K387" s="38"/>
      <c r="L387" s="38"/>
      <c r="M387" s="38"/>
      <c r="N387" s="38"/>
      <c r="O387" s="38"/>
      <c r="P387" s="38"/>
      <c r="Q387" s="39"/>
      <c r="R387" s="37" t="s">
        <v>193</v>
      </c>
      <c r="S387" s="38"/>
      <c r="T387" s="38"/>
      <c r="U387" s="38"/>
      <c r="V387" s="38"/>
      <c r="W387" s="38"/>
      <c r="X387" s="38"/>
      <c r="Y387" s="38"/>
      <c r="Z387" s="38"/>
      <c r="AA387" s="38"/>
      <c r="AB387" s="38"/>
      <c r="AC387" s="38"/>
      <c r="AD387" s="39"/>
      <c r="AE387" s="37" t="s">
        <v>549</v>
      </c>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c r="BC387" s="38"/>
      <c r="BD387" s="38"/>
      <c r="BE387" s="38"/>
      <c r="BF387" s="38"/>
      <c r="BG387" s="38"/>
      <c r="BH387" s="38"/>
      <c r="BI387" s="38"/>
      <c r="BJ387" s="38"/>
      <c r="BK387" s="38"/>
      <c r="BL387" s="38"/>
      <c r="BM387" s="38"/>
      <c r="BN387" s="38"/>
      <c r="BO387" s="38"/>
      <c r="BP387" s="38"/>
      <c r="BQ387" s="38"/>
      <c r="BR387" s="38"/>
      <c r="BS387" s="38"/>
      <c r="BT387" s="38"/>
      <c r="BU387" s="38"/>
      <c r="BV387" s="38"/>
      <c r="BW387" s="38"/>
      <c r="BX387" s="38"/>
      <c r="BY387" s="38"/>
      <c r="BZ387" s="38"/>
      <c r="CA387" s="38"/>
      <c r="CB387" s="38"/>
      <c r="CC387" s="38"/>
      <c r="CD387" s="39"/>
      <c r="CE387" s="18"/>
    </row>
    <row r="388" spans="1:83" s="9" customFormat="1" ht="12.75" customHeight="1" x14ac:dyDescent="0.15">
      <c r="A388" s="16"/>
      <c r="B388" s="8"/>
      <c r="C388" s="29"/>
      <c r="D388" s="130"/>
      <c r="E388" s="131"/>
      <c r="F388" s="40"/>
      <c r="G388" s="32"/>
      <c r="H388" s="32"/>
      <c r="I388" s="32"/>
      <c r="J388" s="32"/>
      <c r="K388" s="32"/>
      <c r="L388" s="32"/>
      <c r="M388" s="32"/>
      <c r="N388" s="32"/>
      <c r="O388" s="32"/>
      <c r="P388" s="32"/>
      <c r="Q388" s="33"/>
      <c r="R388" s="40"/>
      <c r="S388" s="32"/>
      <c r="T388" s="32"/>
      <c r="U388" s="32"/>
      <c r="V388" s="32"/>
      <c r="W388" s="32"/>
      <c r="X388" s="32"/>
      <c r="Y388" s="32"/>
      <c r="Z388" s="32"/>
      <c r="AA388" s="32"/>
      <c r="AB388" s="32"/>
      <c r="AC388" s="32"/>
      <c r="AD388" s="33"/>
      <c r="AE388" s="40" t="s">
        <v>550</v>
      </c>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c r="BO388" s="32"/>
      <c r="BP388" s="32"/>
      <c r="BQ388" s="32"/>
      <c r="BR388" s="32"/>
      <c r="BS388" s="32"/>
      <c r="BT388" s="32"/>
      <c r="BU388" s="32"/>
      <c r="BV388" s="32"/>
      <c r="BW388" s="32"/>
      <c r="BX388" s="32"/>
      <c r="BY388" s="32"/>
      <c r="BZ388" s="32"/>
      <c r="CA388" s="32"/>
      <c r="CB388" s="32"/>
      <c r="CC388" s="32"/>
      <c r="CD388" s="33"/>
      <c r="CE388" s="18"/>
    </row>
    <row r="389" spans="1:83" s="9" customFormat="1" ht="12.75" customHeight="1" x14ac:dyDescent="0.15">
      <c r="A389" s="16"/>
      <c r="B389" s="8"/>
      <c r="C389" s="29"/>
      <c r="D389" s="610" t="s">
        <v>316</v>
      </c>
      <c r="E389" s="611"/>
      <c r="F389" s="880" t="s">
        <v>195</v>
      </c>
      <c r="G389" s="881"/>
      <c r="H389" s="881"/>
      <c r="I389" s="881"/>
      <c r="J389" s="881"/>
      <c r="K389" s="881"/>
      <c r="L389" s="881"/>
      <c r="M389" s="881"/>
      <c r="N389" s="881"/>
      <c r="O389" s="881"/>
      <c r="P389" s="881"/>
      <c r="Q389" s="882"/>
      <c r="R389" s="886" t="s">
        <v>193</v>
      </c>
      <c r="S389" s="887"/>
      <c r="T389" s="887"/>
      <c r="U389" s="887"/>
      <c r="V389" s="887"/>
      <c r="W389" s="887"/>
      <c r="X389" s="887"/>
      <c r="Y389" s="887"/>
      <c r="Z389" s="887"/>
      <c r="AA389" s="887"/>
      <c r="AB389" s="887"/>
      <c r="AC389" s="887"/>
      <c r="AD389" s="888"/>
      <c r="AE389" s="874" t="s">
        <v>196</v>
      </c>
      <c r="AF389" s="875"/>
      <c r="AG389" s="875"/>
      <c r="AH389" s="875"/>
      <c r="AI389" s="875"/>
      <c r="AJ389" s="875"/>
      <c r="AK389" s="875"/>
      <c r="AL389" s="875"/>
      <c r="AM389" s="875"/>
      <c r="AN389" s="875"/>
      <c r="AO389" s="875"/>
      <c r="AP389" s="875"/>
      <c r="AQ389" s="875"/>
      <c r="AR389" s="875"/>
      <c r="AS389" s="875"/>
      <c r="AT389" s="875"/>
      <c r="AU389" s="875"/>
      <c r="AV389" s="875"/>
      <c r="AW389" s="875"/>
      <c r="AX389" s="875"/>
      <c r="AY389" s="875"/>
      <c r="AZ389" s="875"/>
      <c r="BA389" s="875"/>
      <c r="BB389" s="875"/>
      <c r="BC389" s="875"/>
      <c r="BD389" s="875"/>
      <c r="BE389" s="875"/>
      <c r="BF389" s="875"/>
      <c r="BG389" s="875"/>
      <c r="BH389" s="875"/>
      <c r="BI389" s="875"/>
      <c r="BJ389" s="875"/>
      <c r="BK389" s="875"/>
      <c r="BL389" s="875"/>
      <c r="BM389" s="875"/>
      <c r="BN389" s="875"/>
      <c r="BO389" s="875"/>
      <c r="BP389" s="875"/>
      <c r="BQ389" s="875"/>
      <c r="BR389" s="875"/>
      <c r="BS389" s="875"/>
      <c r="BT389" s="875"/>
      <c r="BU389" s="875"/>
      <c r="BV389" s="875"/>
      <c r="BW389" s="875"/>
      <c r="BX389" s="875"/>
      <c r="BY389" s="875"/>
      <c r="BZ389" s="875"/>
      <c r="CA389" s="875"/>
      <c r="CB389" s="875"/>
      <c r="CC389" s="875"/>
      <c r="CD389" s="876"/>
      <c r="CE389" s="18"/>
    </row>
    <row r="390" spans="1:83" s="9" customFormat="1" ht="12.75" customHeight="1" x14ac:dyDescent="0.15">
      <c r="A390" s="16"/>
      <c r="B390" s="8"/>
      <c r="C390" s="29"/>
      <c r="D390" s="895"/>
      <c r="E390" s="896"/>
      <c r="F390" s="883"/>
      <c r="G390" s="884"/>
      <c r="H390" s="884"/>
      <c r="I390" s="884"/>
      <c r="J390" s="884"/>
      <c r="K390" s="884"/>
      <c r="L390" s="884"/>
      <c r="M390" s="884"/>
      <c r="N390" s="884"/>
      <c r="O390" s="884"/>
      <c r="P390" s="884"/>
      <c r="Q390" s="885"/>
      <c r="R390" s="889"/>
      <c r="S390" s="890"/>
      <c r="T390" s="890"/>
      <c r="U390" s="890"/>
      <c r="V390" s="890"/>
      <c r="W390" s="890"/>
      <c r="X390" s="890"/>
      <c r="Y390" s="890"/>
      <c r="Z390" s="890"/>
      <c r="AA390" s="890"/>
      <c r="AB390" s="890"/>
      <c r="AC390" s="890"/>
      <c r="AD390" s="891"/>
      <c r="AE390" s="877"/>
      <c r="AF390" s="878"/>
      <c r="AG390" s="878"/>
      <c r="AH390" s="878"/>
      <c r="AI390" s="878"/>
      <c r="AJ390" s="878"/>
      <c r="AK390" s="878"/>
      <c r="AL390" s="878"/>
      <c r="AM390" s="878"/>
      <c r="AN390" s="878"/>
      <c r="AO390" s="878"/>
      <c r="AP390" s="878"/>
      <c r="AQ390" s="878"/>
      <c r="AR390" s="878"/>
      <c r="AS390" s="878"/>
      <c r="AT390" s="878"/>
      <c r="AU390" s="878"/>
      <c r="AV390" s="878"/>
      <c r="AW390" s="878"/>
      <c r="AX390" s="878"/>
      <c r="AY390" s="878"/>
      <c r="AZ390" s="878"/>
      <c r="BA390" s="878"/>
      <c r="BB390" s="878"/>
      <c r="BC390" s="878"/>
      <c r="BD390" s="878"/>
      <c r="BE390" s="878"/>
      <c r="BF390" s="878"/>
      <c r="BG390" s="878"/>
      <c r="BH390" s="878"/>
      <c r="BI390" s="878"/>
      <c r="BJ390" s="878"/>
      <c r="BK390" s="878"/>
      <c r="BL390" s="878"/>
      <c r="BM390" s="878"/>
      <c r="BN390" s="878"/>
      <c r="BO390" s="878"/>
      <c r="BP390" s="878"/>
      <c r="BQ390" s="878"/>
      <c r="BR390" s="878"/>
      <c r="BS390" s="878"/>
      <c r="BT390" s="878"/>
      <c r="BU390" s="878"/>
      <c r="BV390" s="878"/>
      <c r="BW390" s="878"/>
      <c r="BX390" s="878"/>
      <c r="BY390" s="878"/>
      <c r="BZ390" s="878"/>
      <c r="CA390" s="878"/>
      <c r="CB390" s="878"/>
      <c r="CC390" s="878"/>
      <c r="CD390" s="879"/>
      <c r="CE390" s="18"/>
    </row>
    <row r="391" spans="1:83" s="9" customFormat="1" ht="12.75" customHeight="1" x14ac:dyDescent="0.15">
      <c r="A391" s="16"/>
      <c r="B391" s="8"/>
      <c r="C391" s="29"/>
      <c r="D391" s="602" t="s">
        <v>317</v>
      </c>
      <c r="E391" s="603"/>
      <c r="F391" s="34" t="s">
        <v>198</v>
      </c>
      <c r="G391" s="35"/>
      <c r="H391" s="35"/>
      <c r="I391" s="35"/>
      <c r="J391" s="35"/>
      <c r="K391" s="35"/>
      <c r="L391" s="35"/>
      <c r="M391" s="35"/>
      <c r="N391" s="35"/>
      <c r="O391" s="35"/>
      <c r="P391" s="35"/>
      <c r="Q391" s="36"/>
      <c r="R391" s="34" t="s">
        <v>199</v>
      </c>
      <c r="S391" s="35"/>
      <c r="T391" s="35"/>
      <c r="U391" s="35"/>
      <c r="V391" s="35"/>
      <c r="W391" s="35"/>
      <c r="X391" s="35"/>
      <c r="Y391" s="35"/>
      <c r="Z391" s="35"/>
      <c r="AA391" s="35"/>
      <c r="AB391" s="35"/>
      <c r="AC391" s="35"/>
      <c r="AD391" s="36"/>
      <c r="AE391" s="34" t="s">
        <v>531</v>
      </c>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6"/>
      <c r="CE391" s="18"/>
    </row>
    <row r="392" spans="1:83" s="9" customFormat="1" ht="12.75" customHeight="1" x14ac:dyDescent="0.15">
      <c r="A392" s="16"/>
      <c r="B392" s="8"/>
      <c r="C392" s="29"/>
      <c r="D392" s="602" t="s">
        <v>318</v>
      </c>
      <c r="E392" s="603"/>
      <c r="F392" s="689" t="s">
        <v>200</v>
      </c>
      <c r="G392" s="959"/>
      <c r="H392" s="959"/>
      <c r="I392" s="959"/>
      <c r="J392" s="959"/>
      <c r="K392" s="959"/>
      <c r="L392" s="959"/>
      <c r="M392" s="959"/>
      <c r="N392" s="959"/>
      <c r="O392" s="959"/>
      <c r="P392" s="959"/>
      <c r="Q392" s="960"/>
      <c r="R392" s="34"/>
      <c r="S392" s="35"/>
      <c r="T392" s="35"/>
      <c r="U392" s="35"/>
      <c r="V392" s="35"/>
      <c r="W392" s="35"/>
      <c r="X392" s="35"/>
      <c r="Y392" s="35"/>
      <c r="Z392" s="35"/>
      <c r="AA392" s="35"/>
      <c r="AB392" s="35"/>
      <c r="AC392" s="35"/>
      <c r="AD392" s="36"/>
      <c r="AE392" s="34" t="s">
        <v>201</v>
      </c>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6"/>
      <c r="CE392" s="18"/>
    </row>
    <row r="393" spans="1:83" s="9" customFormat="1" ht="12.75" customHeight="1" x14ac:dyDescent="0.15">
      <c r="A393" s="16"/>
      <c r="B393" s="8"/>
      <c r="C393" s="29"/>
      <c r="D393" s="602" t="s">
        <v>530</v>
      </c>
      <c r="E393" s="603"/>
      <c r="F393" s="34" t="s">
        <v>202</v>
      </c>
      <c r="G393" s="35"/>
      <c r="H393" s="35"/>
      <c r="I393" s="35"/>
      <c r="J393" s="35"/>
      <c r="K393" s="35"/>
      <c r="L393" s="35"/>
      <c r="M393" s="35"/>
      <c r="N393" s="35"/>
      <c r="O393" s="35"/>
      <c r="P393" s="35"/>
      <c r="Q393" s="36"/>
      <c r="R393" s="34" t="s">
        <v>203</v>
      </c>
      <c r="S393" s="35"/>
      <c r="T393" s="35"/>
      <c r="U393" s="35"/>
      <c r="V393" s="35"/>
      <c r="W393" s="35"/>
      <c r="X393" s="35"/>
      <c r="Y393" s="35"/>
      <c r="Z393" s="35"/>
      <c r="AA393" s="35"/>
      <c r="AB393" s="35"/>
      <c r="AC393" s="35"/>
      <c r="AD393" s="36"/>
      <c r="AE393" s="34" t="s">
        <v>532</v>
      </c>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c r="BH393" s="35"/>
      <c r="BI393" s="35"/>
      <c r="BJ393" s="35"/>
      <c r="BK393" s="35"/>
      <c r="BL393" s="35"/>
      <c r="BM393" s="35"/>
      <c r="BN393" s="35"/>
      <c r="BO393" s="35"/>
      <c r="BP393" s="35"/>
      <c r="BQ393" s="35"/>
      <c r="BR393" s="35"/>
      <c r="BS393" s="35"/>
      <c r="BT393" s="35"/>
      <c r="BU393" s="35"/>
      <c r="BV393" s="35"/>
      <c r="BW393" s="35"/>
      <c r="BX393" s="35"/>
      <c r="BY393" s="35"/>
      <c r="BZ393" s="35"/>
      <c r="CA393" s="35"/>
      <c r="CB393" s="35"/>
      <c r="CC393" s="35"/>
      <c r="CD393" s="36"/>
      <c r="CE393" s="18"/>
    </row>
    <row r="394" spans="1:83" s="9" customFormat="1" ht="12.75" customHeight="1" thickBot="1" x14ac:dyDescent="0.2">
      <c r="A394" s="25"/>
      <c r="B394" s="141"/>
      <c r="C394" s="161"/>
      <c r="D394" s="906" t="s">
        <v>540</v>
      </c>
      <c r="E394" s="907"/>
      <c r="F394" s="166" t="s">
        <v>538</v>
      </c>
      <c r="G394" s="162"/>
      <c r="H394" s="162"/>
      <c r="I394" s="162"/>
      <c r="J394" s="162"/>
      <c r="K394" s="162"/>
      <c r="L394" s="162"/>
      <c r="M394" s="162"/>
      <c r="N394" s="162"/>
      <c r="O394" s="162"/>
      <c r="P394" s="162"/>
      <c r="Q394" s="163"/>
      <c r="R394" s="166" t="s">
        <v>541</v>
      </c>
      <c r="S394" s="162"/>
      <c r="T394" s="162"/>
      <c r="U394" s="162"/>
      <c r="V394" s="162"/>
      <c r="W394" s="162"/>
      <c r="X394" s="162"/>
      <c r="Y394" s="162"/>
      <c r="Z394" s="162"/>
      <c r="AA394" s="162"/>
      <c r="AB394" s="162"/>
      <c r="AC394" s="162"/>
      <c r="AD394" s="163"/>
      <c r="AE394" s="166" t="s">
        <v>539</v>
      </c>
      <c r="AF394" s="162"/>
      <c r="AG394" s="162"/>
      <c r="AH394" s="162"/>
      <c r="AI394" s="162"/>
      <c r="AJ394" s="162"/>
      <c r="AK394" s="162"/>
      <c r="AL394" s="162"/>
      <c r="AM394" s="162"/>
      <c r="AN394" s="162"/>
      <c r="AO394" s="162"/>
      <c r="AP394" s="162"/>
      <c r="AQ394" s="162"/>
      <c r="AR394" s="162"/>
      <c r="AS394" s="162"/>
      <c r="AT394" s="162"/>
      <c r="AU394" s="162"/>
      <c r="AV394" s="162"/>
      <c r="AW394" s="162"/>
      <c r="AX394" s="162"/>
      <c r="AY394" s="162"/>
      <c r="AZ394" s="162"/>
      <c r="BA394" s="162"/>
      <c r="BB394" s="162"/>
      <c r="BC394" s="162"/>
      <c r="BD394" s="162"/>
      <c r="BE394" s="162"/>
      <c r="BF394" s="162"/>
      <c r="BG394" s="162"/>
      <c r="BH394" s="162"/>
      <c r="BI394" s="162"/>
      <c r="BJ394" s="162"/>
      <c r="BK394" s="162"/>
      <c r="BL394" s="162"/>
      <c r="BM394" s="162"/>
      <c r="BN394" s="162"/>
      <c r="BO394" s="162"/>
      <c r="BP394" s="162"/>
      <c r="BQ394" s="162"/>
      <c r="BR394" s="162"/>
      <c r="BS394" s="162"/>
      <c r="BT394" s="162"/>
      <c r="BU394" s="162"/>
      <c r="BV394" s="162"/>
      <c r="BW394" s="162"/>
      <c r="BX394" s="162"/>
      <c r="BY394" s="162"/>
      <c r="BZ394" s="162"/>
      <c r="CA394" s="162"/>
      <c r="CB394" s="162"/>
      <c r="CC394" s="162"/>
      <c r="CD394" s="163"/>
      <c r="CE394" s="28"/>
    </row>
    <row r="395" spans="1:83" s="4" customFormat="1" ht="12" customHeight="1" x14ac:dyDescent="0.15">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c r="CC395" s="14"/>
      <c r="CD395" s="14"/>
      <c r="CE395" s="15"/>
    </row>
    <row r="396" spans="1:83" s="4" customFormat="1" ht="12" customHeight="1" x14ac:dyDescent="0.15">
      <c r="A396" s="16"/>
      <c r="B396" s="5"/>
      <c r="C396" s="17"/>
      <c r="D396" s="21" t="s">
        <v>319</v>
      </c>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8"/>
    </row>
    <row r="397" spans="1:83" s="4" customFormat="1" ht="12" customHeight="1" x14ac:dyDescent="0.15">
      <c r="A397" s="16"/>
      <c r="B397" s="73"/>
      <c r="C397" s="58"/>
      <c r="D397" s="51" t="s">
        <v>863</v>
      </c>
      <c r="E397" s="52"/>
      <c r="F397" s="52"/>
      <c r="G397" s="52"/>
      <c r="H397" s="52"/>
      <c r="I397" s="52"/>
      <c r="J397" s="52"/>
      <c r="K397" s="52"/>
      <c r="L397" s="52"/>
      <c r="M397" s="52"/>
      <c r="N397" s="52"/>
      <c r="O397" s="52"/>
      <c r="P397" s="52"/>
      <c r="Q397" s="52"/>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c r="BT397" s="52"/>
      <c r="BU397" s="52"/>
      <c r="BV397" s="52"/>
      <c r="BW397" s="52"/>
      <c r="BX397" s="52"/>
      <c r="BY397" s="52"/>
      <c r="BZ397" s="52"/>
      <c r="CA397" s="52"/>
      <c r="CB397" s="52"/>
      <c r="CC397" s="52"/>
      <c r="CD397" s="53"/>
      <c r="CE397" s="18"/>
    </row>
    <row r="398" spans="1:83" s="386" customFormat="1" ht="12" customHeight="1" x14ac:dyDescent="0.15">
      <c r="A398" s="381"/>
      <c r="B398" s="391"/>
      <c r="C398" s="387"/>
      <c r="D398" s="388" t="s">
        <v>873</v>
      </c>
      <c r="E398" s="389"/>
      <c r="F398" s="389"/>
      <c r="G398" s="389"/>
      <c r="H398" s="389"/>
      <c r="I398" s="389"/>
      <c r="J398" s="389"/>
      <c r="K398" s="389"/>
      <c r="L398" s="389"/>
      <c r="M398" s="389"/>
      <c r="N398" s="389"/>
      <c r="O398" s="389"/>
      <c r="P398" s="389"/>
      <c r="Q398" s="389"/>
      <c r="R398" s="389"/>
      <c r="S398" s="389"/>
      <c r="T398" s="389"/>
      <c r="U398" s="389"/>
      <c r="V398" s="389"/>
      <c r="W398" s="389"/>
      <c r="X398" s="389"/>
      <c r="Y398" s="389"/>
      <c r="Z398" s="389"/>
      <c r="AA398" s="389"/>
      <c r="AB398" s="389"/>
      <c r="AC398" s="389"/>
      <c r="AD398" s="389"/>
      <c r="AE398" s="389"/>
      <c r="AF398" s="389"/>
      <c r="AG398" s="389"/>
      <c r="AH398" s="389"/>
      <c r="AI398" s="389"/>
      <c r="AJ398" s="389"/>
      <c r="AK398" s="389"/>
      <c r="AL398" s="389"/>
      <c r="AM398" s="389"/>
      <c r="AN398" s="389"/>
      <c r="AO398" s="389"/>
      <c r="AP398" s="389"/>
      <c r="AQ398" s="389"/>
      <c r="AR398" s="389"/>
      <c r="AS398" s="389"/>
      <c r="AT398" s="389"/>
      <c r="AU398" s="389"/>
      <c r="AV398" s="389"/>
      <c r="AW398" s="389"/>
      <c r="AX398" s="389"/>
      <c r="AY398" s="389"/>
      <c r="AZ398" s="389"/>
      <c r="BA398" s="389"/>
      <c r="BB398" s="389"/>
      <c r="BC398" s="389"/>
      <c r="BD398" s="389"/>
      <c r="BE398" s="389"/>
      <c r="BF398" s="389"/>
      <c r="BG398" s="389"/>
      <c r="BH398" s="389"/>
      <c r="BI398" s="389"/>
      <c r="BJ398" s="389"/>
      <c r="BK398" s="389"/>
      <c r="BL398" s="389"/>
      <c r="BM398" s="389"/>
      <c r="BN398" s="389"/>
      <c r="BO398" s="389"/>
      <c r="BP398" s="389"/>
      <c r="BQ398" s="389"/>
      <c r="BR398" s="389"/>
      <c r="BS398" s="389"/>
      <c r="BT398" s="389"/>
      <c r="BU398" s="389"/>
      <c r="BV398" s="389"/>
      <c r="BW398" s="389"/>
      <c r="BX398" s="389"/>
      <c r="BY398" s="389"/>
      <c r="BZ398" s="389"/>
      <c r="CA398" s="389"/>
      <c r="CB398" s="389"/>
      <c r="CC398" s="389"/>
      <c r="CD398" s="390"/>
      <c r="CE398" s="384"/>
    </row>
    <row r="399" spans="1:83" s="4" customFormat="1" ht="12" customHeight="1" x14ac:dyDescent="0.15">
      <c r="A399" s="16"/>
      <c r="B399" s="73"/>
      <c r="C399" s="58"/>
      <c r="D399" s="59" t="s">
        <v>545</v>
      </c>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31"/>
      <c r="CE399" s="18"/>
    </row>
    <row r="400" spans="1:83" s="4" customFormat="1" ht="12" customHeight="1" x14ac:dyDescent="0.15">
      <c r="A400" s="16"/>
      <c r="C400" s="58"/>
      <c r="D400" s="59" t="s">
        <v>542</v>
      </c>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31"/>
      <c r="CE400" s="18"/>
    </row>
    <row r="401" spans="1:83" s="4" customFormat="1" ht="12" customHeight="1" x14ac:dyDescent="0.15">
      <c r="A401" s="16"/>
      <c r="C401" s="58"/>
      <c r="D401" s="60" t="s">
        <v>206</v>
      </c>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c r="BO401" s="32"/>
      <c r="BP401" s="32"/>
      <c r="BQ401" s="32"/>
      <c r="BR401" s="32"/>
      <c r="BS401" s="32"/>
      <c r="BT401" s="32"/>
      <c r="BU401" s="32"/>
      <c r="BV401" s="32"/>
      <c r="BW401" s="32"/>
      <c r="BX401" s="32"/>
      <c r="BY401" s="32"/>
      <c r="BZ401" s="32"/>
      <c r="CA401" s="32"/>
      <c r="CB401" s="32"/>
      <c r="CC401" s="32"/>
      <c r="CD401" s="33"/>
      <c r="CE401" s="18"/>
    </row>
    <row r="402" spans="1:83" s="4" customFormat="1" ht="12" customHeight="1" x14ac:dyDescent="0.15">
      <c r="A402" s="16"/>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18"/>
    </row>
    <row r="403" spans="1:83" s="9" customFormat="1" ht="12" customHeight="1" x14ac:dyDescent="0.15">
      <c r="A403" s="16"/>
      <c r="B403" s="8"/>
      <c r="C403" s="8"/>
      <c r="D403" s="8"/>
      <c r="E403" s="328" t="s">
        <v>566</v>
      </c>
      <c r="F403" s="329"/>
      <c r="G403" s="329"/>
      <c r="H403" s="329"/>
      <c r="I403" s="329"/>
      <c r="J403" s="329"/>
      <c r="K403" s="329"/>
      <c r="L403" s="329"/>
      <c r="M403" s="329"/>
      <c r="N403" s="329"/>
      <c r="O403" s="329"/>
      <c r="P403" s="329"/>
      <c r="Q403" s="329"/>
      <c r="R403" s="329"/>
      <c r="S403" s="329"/>
      <c r="T403" s="329"/>
      <c r="U403" s="330"/>
      <c r="V403" s="328" t="s">
        <v>207</v>
      </c>
      <c r="W403" s="329"/>
      <c r="X403" s="329"/>
      <c r="Y403" s="329"/>
      <c r="Z403" s="329"/>
      <c r="AA403" s="329"/>
      <c r="AB403" s="330"/>
      <c r="AC403" s="328" t="s">
        <v>362</v>
      </c>
      <c r="AD403" s="329"/>
      <c r="AE403" s="329"/>
      <c r="AF403" s="329"/>
      <c r="AG403" s="329"/>
      <c r="AH403" s="329"/>
      <c r="AI403" s="329"/>
      <c r="AJ403" s="329"/>
      <c r="AK403" s="329"/>
      <c r="AL403" s="329"/>
      <c r="AM403" s="329"/>
      <c r="AN403" s="329"/>
      <c r="AO403" s="329"/>
      <c r="AP403" s="329"/>
      <c r="AQ403" s="329"/>
      <c r="AR403" s="329"/>
      <c r="AS403" s="329"/>
      <c r="AT403" s="329"/>
      <c r="AU403" s="329"/>
      <c r="AV403" s="329"/>
      <c r="AW403" s="329"/>
      <c r="AX403" s="329"/>
      <c r="AY403" s="329"/>
      <c r="AZ403" s="329"/>
      <c r="BA403" s="329"/>
      <c r="BB403" s="329"/>
      <c r="BC403" s="329"/>
      <c r="BD403" s="329"/>
      <c r="BE403" s="329"/>
      <c r="BF403" s="329"/>
      <c r="BG403" s="329"/>
      <c r="BH403" s="329"/>
      <c r="BI403" s="329"/>
      <c r="BJ403" s="329"/>
      <c r="BK403" s="329"/>
      <c r="BL403" s="329"/>
      <c r="BM403" s="329"/>
      <c r="BN403" s="329"/>
      <c r="BO403" s="329"/>
      <c r="BP403" s="329"/>
      <c r="BQ403" s="329"/>
      <c r="BR403" s="329"/>
      <c r="BS403" s="329"/>
      <c r="BT403" s="329"/>
      <c r="BU403" s="329"/>
      <c r="BV403" s="329"/>
      <c r="BW403" s="329"/>
      <c r="BX403" s="329"/>
      <c r="BY403" s="329"/>
      <c r="BZ403" s="329"/>
      <c r="CA403" s="329"/>
      <c r="CB403" s="329"/>
      <c r="CC403" s="329"/>
      <c r="CD403" s="330"/>
      <c r="CE403" s="18"/>
    </row>
    <row r="404" spans="1:83" s="9" customFormat="1" ht="12" customHeight="1" x14ac:dyDescent="0.15">
      <c r="A404" s="16"/>
      <c r="B404" s="8"/>
      <c r="E404" s="34" t="s">
        <v>208</v>
      </c>
      <c r="F404" s="35"/>
      <c r="G404" s="35"/>
      <c r="H404" s="35"/>
      <c r="I404" s="35"/>
      <c r="J404" s="35"/>
      <c r="K404" s="35"/>
      <c r="L404" s="35"/>
      <c r="M404" s="35"/>
      <c r="N404" s="35"/>
      <c r="O404" s="35"/>
      <c r="P404" s="35"/>
      <c r="Q404" s="35"/>
      <c r="R404" s="35"/>
      <c r="S404" s="35"/>
      <c r="T404" s="35"/>
      <c r="U404" s="36"/>
      <c r="V404" s="34" t="s">
        <v>209</v>
      </c>
      <c r="W404" s="35"/>
      <c r="X404" s="35"/>
      <c r="Y404" s="35"/>
      <c r="Z404" s="35"/>
      <c r="AA404" s="35"/>
      <c r="AB404" s="36"/>
      <c r="AC404" s="34" t="s">
        <v>553</v>
      </c>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6"/>
      <c r="CE404" s="18"/>
    </row>
    <row r="405" spans="1:83" s="9" customFormat="1" ht="12" customHeight="1" x14ac:dyDescent="0.15">
      <c r="A405" s="16"/>
      <c r="B405" s="8"/>
      <c r="E405" s="34" t="s">
        <v>444</v>
      </c>
      <c r="F405" s="35"/>
      <c r="G405" s="35"/>
      <c r="H405" s="35"/>
      <c r="I405" s="35"/>
      <c r="J405" s="35"/>
      <c r="K405" s="35"/>
      <c r="L405" s="35"/>
      <c r="M405" s="35"/>
      <c r="N405" s="35"/>
      <c r="O405" s="35"/>
      <c r="P405" s="35"/>
      <c r="Q405" s="35"/>
      <c r="R405" s="35"/>
      <c r="S405" s="35"/>
      <c r="T405" s="35"/>
      <c r="U405" s="36"/>
      <c r="V405" s="34" t="s">
        <v>458</v>
      </c>
      <c r="W405" s="35"/>
      <c r="X405" s="35"/>
      <c r="Y405" s="35"/>
      <c r="Z405" s="35"/>
      <c r="AA405" s="35"/>
      <c r="AB405" s="36"/>
      <c r="AC405" s="34" t="s">
        <v>457</v>
      </c>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c r="BH405" s="35"/>
      <c r="BI405" s="35"/>
      <c r="BJ405" s="35"/>
      <c r="BK405" s="35"/>
      <c r="BL405" s="35"/>
      <c r="BM405" s="35"/>
      <c r="BN405" s="35"/>
      <c r="BO405" s="35"/>
      <c r="BP405" s="35"/>
      <c r="BQ405" s="35"/>
      <c r="BR405" s="35"/>
      <c r="BS405" s="35"/>
      <c r="BT405" s="35"/>
      <c r="BU405" s="35"/>
      <c r="BV405" s="35"/>
      <c r="BW405" s="35"/>
      <c r="BX405" s="35"/>
      <c r="BY405" s="35"/>
      <c r="BZ405" s="35"/>
      <c r="CA405" s="35"/>
      <c r="CB405" s="35"/>
      <c r="CC405" s="35"/>
      <c r="CD405" s="36"/>
      <c r="CE405" s="18"/>
    </row>
    <row r="406" spans="1:83" s="9" customFormat="1" ht="12" customHeight="1" x14ac:dyDescent="0.15">
      <c r="A406" s="16"/>
      <c r="B406" s="8"/>
      <c r="E406" s="37" t="s">
        <v>210</v>
      </c>
      <c r="F406" s="38"/>
      <c r="G406" s="38"/>
      <c r="H406" s="38"/>
      <c r="I406" s="38"/>
      <c r="J406" s="38"/>
      <c r="K406" s="38"/>
      <c r="L406" s="38"/>
      <c r="M406" s="38"/>
      <c r="N406" s="38"/>
      <c r="O406" s="38"/>
      <c r="P406" s="38"/>
      <c r="Q406" s="38"/>
      <c r="R406" s="38"/>
      <c r="S406" s="38"/>
      <c r="T406" s="38"/>
      <c r="U406" s="39"/>
      <c r="V406" s="37" t="s">
        <v>211</v>
      </c>
      <c r="W406" s="38"/>
      <c r="X406" s="38"/>
      <c r="Y406" s="38"/>
      <c r="Z406" s="38"/>
      <c r="AA406" s="38"/>
      <c r="AB406" s="39"/>
      <c r="AC406" s="874" t="s">
        <v>331</v>
      </c>
      <c r="AD406" s="875"/>
      <c r="AE406" s="875"/>
      <c r="AF406" s="875"/>
      <c r="AG406" s="875"/>
      <c r="AH406" s="875"/>
      <c r="AI406" s="875"/>
      <c r="AJ406" s="875"/>
      <c r="AK406" s="875"/>
      <c r="AL406" s="875"/>
      <c r="AM406" s="875"/>
      <c r="AN406" s="875"/>
      <c r="AO406" s="875"/>
      <c r="AP406" s="875"/>
      <c r="AQ406" s="875"/>
      <c r="AR406" s="875"/>
      <c r="AS406" s="875"/>
      <c r="AT406" s="875"/>
      <c r="AU406" s="875"/>
      <c r="AV406" s="875"/>
      <c r="AW406" s="875"/>
      <c r="AX406" s="875"/>
      <c r="AY406" s="875"/>
      <c r="AZ406" s="875"/>
      <c r="BA406" s="875"/>
      <c r="BB406" s="875"/>
      <c r="BC406" s="875"/>
      <c r="BD406" s="875"/>
      <c r="BE406" s="875"/>
      <c r="BF406" s="875"/>
      <c r="BG406" s="875"/>
      <c r="BH406" s="875"/>
      <c r="BI406" s="875"/>
      <c r="BJ406" s="875"/>
      <c r="BK406" s="875"/>
      <c r="BL406" s="875"/>
      <c r="BM406" s="875"/>
      <c r="BN406" s="875"/>
      <c r="BO406" s="875"/>
      <c r="BP406" s="875"/>
      <c r="BQ406" s="875"/>
      <c r="BR406" s="875"/>
      <c r="BS406" s="875"/>
      <c r="BT406" s="875"/>
      <c r="BU406" s="875"/>
      <c r="BV406" s="875"/>
      <c r="BW406" s="875"/>
      <c r="BX406" s="875"/>
      <c r="BY406" s="875"/>
      <c r="BZ406" s="875"/>
      <c r="CA406" s="875"/>
      <c r="CB406" s="875"/>
      <c r="CC406" s="875"/>
      <c r="CD406" s="876"/>
      <c r="CE406" s="18"/>
    </row>
    <row r="407" spans="1:83" s="9" customFormat="1" ht="12" customHeight="1" x14ac:dyDescent="0.15">
      <c r="A407" s="16"/>
      <c r="B407" s="8"/>
      <c r="E407" s="41"/>
      <c r="F407" s="12"/>
      <c r="G407" s="12"/>
      <c r="H407" s="12"/>
      <c r="I407" s="12"/>
      <c r="J407" s="12"/>
      <c r="K407" s="12"/>
      <c r="L407" s="12"/>
      <c r="M407" s="12"/>
      <c r="N407" s="12"/>
      <c r="O407" s="12"/>
      <c r="P407" s="12"/>
      <c r="Q407" s="12"/>
      <c r="R407" s="12"/>
      <c r="S407" s="12"/>
      <c r="T407" s="12"/>
      <c r="U407" s="31"/>
      <c r="V407" s="41"/>
      <c r="W407" s="12"/>
      <c r="X407" s="12"/>
      <c r="Y407" s="12"/>
      <c r="Z407" s="12"/>
      <c r="AA407" s="12"/>
      <c r="AB407" s="31"/>
      <c r="AC407" s="911"/>
      <c r="AD407" s="912"/>
      <c r="AE407" s="912"/>
      <c r="AF407" s="912"/>
      <c r="AG407" s="912"/>
      <c r="AH407" s="912"/>
      <c r="AI407" s="912"/>
      <c r="AJ407" s="912"/>
      <c r="AK407" s="912"/>
      <c r="AL407" s="912"/>
      <c r="AM407" s="912"/>
      <c r="AN407" s="912"/>
      <c r="AO407" s="912"/>
      <c r="AP407" s="912"/>
      <c r="AQ407" s="912"/>
      <c r="AR407" s="912"/>
      <c r="AS407" s="912"/>
      <c r="AT407" s="912"/>
      <c r="AU407" s="912"/>
      <c r="AV407" s="912"/>
      <c r="AW407" s="912"/>
      <c r="AX407" s="912"/>
      <c r="AY407" s="912"/>
      <c r="AZ407" s="912"/>
      <c r="BA407" s="912"/>
      <c r="BB407" s="912"/>
      <c r="BC407" s="912"/>
      <c r="BD407" s="912"/>
      <c r="BE407" s="912"/>
      <c r="BF407" s="912"/>
      <c r="BG407" s="912"/>
      <c r="BH407" s="912"/>
      <c r="BI407" s="912"/>
      <c r="BJ407" s="912"/>
      <c r="BK407" s="912"/>
      <c r="BL407" s="912"/>
      <c r="BM407" s="912"/>
      <c r="BN407" s="912"/>
      <c r="BO407" s="912"/>
      <c r="BP407" s="912"/>
      <c r="BQ407" s="912"/>
      <c r="BR407" s="912"/>
      <c r="BS407" s="912"/>
      <c r="BT407" s="912"/>
      <c r="BU407" s="912"/>
      <c r="BV407" s="912"/>
      <c r="BW407" s="912"/>
      <c r="BX407" s="912"/>
      <c r="BY407" s="912"/>
      <c r="BZ407" s="912"/>
      <c r="CA407" s="912"/>
      <c r="CB407" s="912"/>
      <c r="CC407" s="912"/>
      <c r="CD407" s="913"/>
      <c r="CE407" s="18"/>
    </row>
    <row r="408" spans="1:83" s="9" customFormat="1" ht="12" customHeight="1" x14ac:dyDescent="0.15">
      <c r="A408" s="16"/>
      <c r="B408" s="8"/>
      <c r="E408" s="41"/>
      <c r="F408" s="12"/>
      <c r="G408" s="12"/>
      <c r="H408" s="12"/>
      <c r="I408" s="12"/>
      <c r="J408" s="12"/>
      <c r="K408" s="12"/>
      <c r="L408" s="12"/>
      <c r="M408" s="12"/>
      <c r="N408" s="12"/>
      <c r="O408" s="12"/>
      <c r="P408" s="12"/>
      <c r="Q408" s="12"/>
      <c r="R408" s="12"/>
      <c r="S408" s="12"/>
      <c r="T408" s="12"/>
      <c r="U408" s="31"/>
      <c r="V408" s="41"/>
      <c r="W408" s="12"/>
      <c r="X408" s="12"/>
      <c r="Y408" s="12"/>
      <c r="Z408" s="12"/>
      <c r="AA408" s="12"/>
      <c r="AB408" s="31"/>
      <c r="AC408" s="911"/>
      <c r="AD408" s="912"/>
      <c r="AE408" s="912"/>
      <c r="AF408" s="912"/>
      <c r="AG408" s="912"/>
      <c r="AH408" s="912"/>
      <c r="AI408" s="912"/>
      <c r="AJ408" s="912"/>
      <c r="AK408" s="912"/>
      <c r="AL408" s="912"/>
      <c r="AM408" s="912"/>
      <c r="AN408" s="912"/>
      <c r="AO408" s="912"/>
      <c r="AP408" s="912"/>
      <c r="AQ408" s="912"/>
      <c r="AR408" s="912"/>
      <c r="AS408" s="912"/>
      <c r="AT408" s="912"/>
      <c r="AU408" s="912"/>
      <c r="AV408" s="912"/>
      <c r="AW408" s="912"/>
      <c r="AX408" s="912"/>
      <c r="AY408" s="912"/>
      <c r="AZ408" s="912"/>
      <c r="BA408" s="912"/>
      <c r="BB408" s="912"/>
      <c r="BC408" s="912"/>
      <c r="BD408" s="912"/>
      <c r="BE408" s="912"/>
      <c r="BF408" s="912"/>
      <c r="BG408" s="912"/>
      <c r="BH408" s="912"/>
      <c r="BI408" s="912"/>
      <c r="BJ408" s="912"/>
      <c r="BK408" s="912"/>
      <c r="BL408" s="912"/>
      <c r="BM408" s="912"/>
      <c r="BN408" s="912"/>
      <c r="BO408" s="912"/>
      <c r="BP408" s="912"/>
      <c r="BQ408" s="912"/>
      <c r="BR408" s="912"/>
      <c r="BS408" s="912"/>
      <c r="BT408" s="912"/>
      <c r="BU408" s="912"/>
      <c r="BV408" s="912"/>
      <c r="BW408" s="912"/>
      <c r="BX408" s="912"/>
      <c r="BY408" s="912"/>
      <c r="BZ408" s="912"/>
      <c r="CA408" s="912"/>
      <c r="CB408" s="912"/>
      <c r="CC408" s="912"/>
      <c r="CD408" s="913"/>
      <c r="CE408" s="18"/>
    </row>
    <row r="409" spans="1:83" s="9" customFormat="1" ht="12" customHeight="1" x14ac:dyDescent="0.15">
      <c r="A409" s="16"/>
      <c r="B409" s="8"/>
      <c r="E409" s="41"/>
      <c r="F409" s="12"/>
      <c r="G409" s="12"/>
      <c r="H409" s="12"/>
      <c r="I409" s="12"/>
      <c r="J409" s="12"/>
      <c r="K409" s="12"/>
      <c r="L409" s="12"/>
      <c r="M409" s="12"/>
      <c r="N409" s="12"/>
      <c r="O409" s="12"/>
      <c r="P409" s="12"/>
      <c r="Q409" s="12"/>
      <c r="R409" s="12"/>
      <c r="S409" s="12"/>
      <c r="T409" s="12"/>
      <c r="U409" s="31"/>
      <c r="V409" s="41"/>
      <c r="W409" s="12"/>
      <c r="X409" s="12"/>
      <c r="Y409" s="12"/>
      <c r="Z409" s="12"/>
      <c r="AA409" s="12"/>
      <c r="AB409" s="31"/>
      <c r="AC409" s="911"/>
      <c r="AD409" s="912"/>
      <c r="AE409" s="912"/>
      <c r="AF409" s="912"/>
      <c r="AG409" s="912"/>
      <c r="AH409" s="912"/>
      <c r="AI409" s="912"/>
      <c r="AJ409" s="912"/>
      <c r="AK409" s="912"/>
      <c r="AL409" s="912"/>
      <c r="AM409" s="912"/>
      <c r="AN409" s="912"/>
      <c r="AO409" s="912"/>
      <c r="AP409" s="912"/>
      <c r="AQ409" s="912"/>
      <c r="AR409" s="912"/>
      <c r="AS409" s="912"/>
      <c r="AT409" s="912"/>
      <c r="AU409" s="912"/>
      <c r="AV409" s="912"/>
      <c r="AW409" s="912"/>
      <c r="AX409" s="912"/>
      <c r="AY409" s="912"/>
      <c r="AZ409" s="912"/>
      <c r="BA409" s="912"/>
      <c r="BB409" s="912"/>
      <c r="BC409" s="912"/>
      <c r="BD409" s="912"/>
      <c r="BE409" s="912"/>
      <c r="BF409" s="912"/>
      <c r="BG409" s="912"/>
      <c r="BH409" s="912"/>
      <c r="BI409" s="912"/>
      <c r="BJ409" s="912"/>
      <c r="BK409" s="912"/>
      <c r="BL409" s="912"/>
      <c r="BM409" s="912"/>
      <c r="BN409" s="912"/>
      <c r="BO409" s="912"/>
      <c r="BP409" s="912"/>
      <c r="BQ409" s="912"/>
      <c r="BR409" s="912"/>
      <c r="BS409" s="912"/>
      <c r="BT409" s="912"/>
      <c r="BU409" s="912"/>
      <c r="BV409" s="912"/>
      <c r="BW409" s="912"/>
      <c r="BX409" s="912"/>
      <c r="BY409" s="912"/>
      <c r="BZ409" s="912"/>
      <c r="CA409" s="912"/>
      <c r="CB409" s="912"/>
      <c r="CC409" s="912"/>
      <c r="CD409" s="913"/>
      <c r="CE409" s="18"/>
    </row>
    <row r="410" spans="1:83" s="9" customFormat="1" ht="12" customHeight="1" x14ac:dyDescent="0.15">
      <c r="A410" s="16"/>
      <c r="B410" s="8"/>
      <c r="E410" s="41"/>
      <c r="F410" s="12"/>
      <c r="G410" s="12"/>
      <c r="H410" s="12"/>
      <c r="I410" s="12"/>
      <c r="J410" s="12"/>
      <c r="K410" s="12"/>
      <c r="L410" s="12"/>
      <c r="M410" s="12"/>
      <c r="N410" s="12"/>
      <c r="O410" s="12"/>
      <c r="P410" s="12"/>
      <c r="Q410" s="12"/>
      <c r="R410" s="12"/>
      <c r="S410" s="12"/>
      <c r="T410" s="12"/>
      <c r="U410" s="31"/>
      <c r="V410" s="41"/>
      <c r="W410" s="12"/>
      <c r="X410" s="12"/>
      <c r="Y410" s="12"/>
      <c r="Z410" s="12"/>
      <c r="AA410" s="12"/>
      <c r="AB410" s="31"/>
      <c r="AC410" s="911"/>
      <c r="AD410" s="912"/>
      <c r="AE410" s="912"/>
      <c r="AF410" s="912"/>
      <c r="AG410" s="912"/>
      <c r="AH410" s="912"/>
      <c r="AI410" s="912"/>
      <c r="AJ410" s="912"/>
      <c r="AK410" s="912"/>
      <c r="AL410" s="912"/>
      <c r="AM410" s="912"/>
      <c r="AN410" s="912"/>
      <c r="AO410" s="912"/>
      <c r="AP410" s="912"/>
      <c r="AQ410" s="912"/>
      <c r="AR410" s="912"/>
      <c r="AS410" s="912"/>
      <c r="AT410" s="912"/>
      <c r="AU410" s="912"/>
      <c r="AV410" s="912"/>
      <c r="AW410" s="912"/>
      <c r="AX410" s="912"/>
      <c r="AY410" s="912"/>
      <c r="AZ410" s="912"/>
      <c r="BA410" s="912"/>
      <c r="BB410" s="912"/>
      <c r="BC410" s="912"/>
      <c r="BD410" s="912"/>
      <c r="BE410" s="912"/>
      <c r="BF410" s="912"/>
      <c r="BG410" s="912"/>
      <c r="BH410" s="912"/>
      <c r="BI410" s="912"/>
      <c r="BJ410" s="912"/>
      <c r="BK410" s="912"/>
      <c r="BL410" s="912"/>
      <c r="BM410" s="912"/>
      <c r="BN410" s="912"/>
      <c r="BO410" s="912"/>
      <c r="BP410" s="912"/>
      <c r="BQ410" s="912"/>
      <c r="BR410" s="912"/>
      <c r="BS410" s="912"/>
      <c r="BT410" s="912"/>
      <c r="BU410" s="912"/>
      <c r="BV410" s="912"/>
      <c r="BW410" s="912"/>
      <c r="BX410" s="912"/>
      <c r="BY410" s="912"/>
      <c r="BZ410" s="912"/>
      <c r="CA410" s="912"/>
      <c r="CB410" s="912"/>
      <c r="CC410" s="912"/>
      <c r="CD410" s="913"/>
      <c r="CE410" s="18"/>
    </row>
    <row r="411" spans="1:83" s="9" customFormat="1" ht="12" customHeight="1" x14ac:dyDescent="0.15">
      <c r="A411" s="16"/>
      <c r="B411" s="8"/>
      <c r="E411" s="41"/>
      <c r="F411" s="12"/>
      <c r="G411" s="12"/>
      <c r="H411" s="12"/>
      <c r="I411" s="12"/>
      <c r="J411" s="12"/>
      <c r="K411" s="12"/>
      <c r="L411" s="12"/>
      <c r="M411" s="12"/>
      <c r="N411" s="12"/>
      <c r="O411" s="12"/>
      <c r="P411" s="12"/>
      <c r="Q411" s="12"/>
      <c r="R411" s="12"/>
      <c r="S411" s="12"/>
      <c r="T411" s="12"/>
      <c r="U411" s="31"/>
      <c r="V411" s="41"/>
      <c r="W411" s="12"/>
      <c r="X411" s="12"/>
      <c r="Y411" s="12"/>
      <c r="Z411" s="12"/>
      <c r="AA411" s="12"/>
      <c r="AB411" s="31"/>
      <c r="AC411" s="911"/>
      <c r="AD411" s="912"/>
      <c r="AE411" s="912"/>
      <c r="AF411" s="912"/>
      <c r="AG411" s="912"/>
      <c r="AH411" s="912"/>
      <c r="AI411" s="912"/>
      <c r="AJ411" s="912"/>
      <c r="AK411" s="912"/>
      <c r="AL411" s="912"/>
      <c r="AM411" s="912"/>
      <c r="AN411" s="912"/>
      <c r="AO411" s="912"/>
      <c r="AP411" s="912"/>
      <c r="AQ411" s="912"/>
      <c r="AR411" s="912"/>
      <c r="AS411" s="912"/>
      <c r="AT411" s="912"/>
      <c r="AU411" s="912"/>
      <c r="AV411" s="912"/>
      <c r="AW411" s="912"/>
      <c r="AX411" s="912"/>
      <c r="AY411" s="912"/>
      <c r="AZ411" s="912"/>
      <c r="BA411" s="912"/>
      <c r="BB411" s="912"/>
      <c r="BC411" s="912"/>
      <c r="BD411" s="912"/>
      <c r="BE411" s="912"/>
      <c r="BF411" s="912"/>
      <c r="BG411" s="912"/>
      <c r="BH411" s="912"/>
      <c r="BI411" s="912"/>
      <c r="BJ411" s="912"/>
      <c r="BK411" s="912"/>
      <c r="BL411" s="912"/>
      <c r="BM411" s="912"/>
      <c r="BN411" s="912"/>
      <c r="BO411" s="912"/>
      <c r="BP411" s="912"/>
      <c r="BQ411" s="912"/>
      <c r="BR411" s="912"/>
      <c r="BS411" s="912"/>
      <c r="BT411" s="912"/>
      <c r="BU411" s="912"/>
      <c r="BV411" s="912"/>
      <c r="BW411" s="912"/>
      <c r="BX411" s="912"/>
      <c r="BY411" s="912"/>
      <c r="BZ411" s="912"/>
      <c r="CA411" s="912"/>
      <c r="CB411" s="912"/>
      <c r="CC411" s="912"/>
      <c r="CD411" s="913"/>
      <c r="CE411" s="18"/>
    </row>
    <row r="412" spans="1:83" s="9" customFormat="1" ht="12" customHeight="1" x14ac:dyDescent="0.15">
      <c r="A412" s="16"/>
      <c r="B412" s="8"/>
      <c r="E412" s="40"/>
      <c r="F412" s="32"/>
      <c r="G412" s="32"/>
      <c r="H412" s="32"/>
      <c r="I412" s="32"/>
      <c r="J412" s="32"/>
      <c r="K412" s="32"/>
      <c r="L412" s="32"/>
      <c r="M412" s="32"/>
      <c r="N412" s="32"/>
      <c r="O412" s="32"/>
      <c r="P412" s="32"/>
      <c r="Q412" s="32"/>
      <c r="R412" s="32"/>
      <c r="S412" s="32"/>
      <c r="T412" s="32"/>
      <c r="U412" s="33"/>
      <c r="V412" s="40"/>
      <c r="W412" s="32"/>
      <c r="X412" s="32"/>
      <c r="Y412" s="32"/>
      <c r="Z412" s="32"/>
      <c r="AA412" s="32"/>
      <c r="AB412" s="33"/>
      <c r="AC412" s="877"/>
      <c r="AD412" s="878"/>
      <c r="AE412" s="878"/>
      <c r="AF412" s="878"/>
      <c r="AG412" s="878"/>
      <c r="AH412" s="878"/>
      <c r="AI412" s="878"/>
      <c r="AJ412" s="878"/>
      <c r="AK412" s="878"/>
      <c r="AL412" s="878"/>
      <c r="AM412" s="878"/>
      <c r="AN412" s="878"/>
      <c r="AO412" s="878"/>
      <c r="AP412" s="878"/>
      <c r="AQ412" s="878"/>
      <c r="AR412" s="878"/>
      <c r="AS412" s="878"/>
      <c r="AT412" s="878"/>
      <c r="AU412" s="878"/>
      <c r="AV412" s="878"/>
      <c r="AW412" s="878"/>
      <c r="AX412" s="878"/>
      <c r="AY412" s="878"/>
      <c r="AZ412" s="878"/>
      <c r="BA412" s="878"/>
      <c r="BB412" s="878"/>
      <c r="BC412" s="878"/>
      <c r="BD412" s="878"/>
      <c r="BE412" s="878"/>
      <c r="BF412" s="878"/>
      <c r="BG412" s="878"/>
      <c r="BH412" s="878"/>
      <c r="BI412" s="878"/>
      <c r="BJ412" s="878"/>
      <c r="BK412" s="878"/>
      <c r="BL412" s="878"/>
      <c r="BM412" s="878"/>
      <c r="BN412" s="878"/>
      <c r="BO412" s="878"/>
      <c r="BP412" s="878"/>
      <c r="BQ412" s="878"/>
      <c r="BR412" s="878"/>
      <c r="BS412" s="878"/>
      <c r="BT412" s="878"/>
      <c r="BU412" s="878"/>
      <c r="BV412" s="878"/>
      <c r="BW412" s="878"/>
      <c r="BX412" s="878"/>
      <c r="BY412" s="878"/>
      <c r="BZ412" s="878"/>
      <c r="CA412" s="878"/>
      <c r="CB412" s="878"/>
      <c r="CC412" s="878"/>
      <c r="CD412" s="879"/>
      <c r="CE412" s="18"/>
    </row>
    <row r="413" spans="1:83" s="9" customFormat="1" ht="12" customHeight="1" x14ac:dyDescent="0.15">
      <c r="A413" s="16"/>
      <c r="B413" s="8"/>
      <c r="E413" s="37" t="s">
        <v>460</v>
      </c>
      <c r="F413" s="38"/>
      <c r="G413" s="38"/>
      <c r="H413" s="38"/>
      <c r="I413" s="38"/>
      <c r="J413" s="38"/>
      <c r="K413" s="38"/>
      <c r="L413" s="38"/>
      <c r="M413" s="38"/>
      <c r="N413" s="38"/>
      <c r="O413" s="38"/>
      <c r="P413" s="38"/>
      <c r="Q413" s="38"/>
      <c r="R413" s="38"/>
      <c r="S413" s="38"/>
      <c r="T413" s="38"/>
      <c r="U413" s="39"/>
      <c r="V413" s="37" t="s">
        <v>212</v>
      </c>
      <c r="W413" s="38"/>
      <c r="X413" s="38"/>
      <c r="Y413" s="38"/>
      <c r="Z413" s="38"/>
      <c r="AA413" s="38"/>
      <c r="AB413" s="39"/>
      <c r="AC413" s="874" t="s">
        <v>335</v>
      </c>
      <c r="AD413" s="875"/>
      <c r="AE413" s="875"/>
      <c r="AF413" s="875"/>
      <c r="AG413" s="875"/>
      <c r="AH413" s="875"/>
      <c r="AI413" s="875"/>
      <c r="AJ413" s="875"/>
      <c r="AK413" s="875"/>
      <c r="AL413" s="875"/>
      <c r="AM413" s="875"/>
      <c r="AN413" s="875"/>
      <c r="AO413" s="875"/>
      <c r="AP413" s="875"/>
      <c r="AQ413" s="875"/>
      <c r="AR413" s="875"/>
      <c r="AS413" s="875"/>
      <c r="AT413" s="875"/>
      <c r="AU413" s="875"/>
      <c r="AV413" s="875"/>
      <c r="AW413" s="875"/>
      <c r="AX413" s="875"/>
      <c r="AY413" s="875"/>
      <c r="AZ413" s="875"/>
      <c r="BA413" s="875"/>
      <c r="BB413" s="875"/>
      <c r="BC413" s="875"/>
      <c r="BD413" s="875"/>
      <c r="BE413" s="875"/>
      <c r="BF413" s="875"/>
      <c r="BG413" s="875"/>
      <c r="BH413" s="875"/>
      <c r="BI413" s="875"/>
      <c r="BJ413" s="875"/>
      <c r="BK413" s="875"/>
      <c r="BL413" s="875"/>
      <c r="BM413" s="875"/>
      <c r="BN413" s="875"/>
      <c r="BO413" s="875"/>
      <c r="BP413" s="875"/>
      <c r="BQ413" s="875"/>
      <c r="BR413" s="875"/>
      <c r="BS413" s="875"/>
      <c r="BT413" s="875"/>
      <c r="BU413" s="875"/>
      <c r="BV413" s="875"/>
      <c r="BW413" s="875"/>
      <c r="BX413" s="875"/>
      <c r="BY413" s="875"/>
      <c r="BZ413" s="875"/>
      <c r="CA413" s="875"/>
      <c r="CB413" s="875"/>
      <c r="CC413" s="875"/>
      <c r="CD413" s="876"/>
      <c r="CE413" s="18"/>
    </row>
    <row r="414" spans="1:83" s="9" customFormat="1" ht="12" customHeight="1" x14ac:dyDescent="0.15">
      <c r="A414" s="16"/>
      <c r="B414" s="8"/>
      <c r="E414" s="41"/>
      <c r="F414" s="12"/>
      <c r="G414" s="12"/>
      <c r="H414" s="12"/>
      <c r="I414" s="12"/>
      <c r="J414" s="12"/>
      <c r="K414" s="12"/>
      <c r="L414" s="12"/>
      <c r="M414" s="12"/>
      <c r="N414" s="12"/>
      <c r="O414" s="12"/>
      <c r="P414" s="12"/>
      <c r="Q414" s="12"/>
      <c r="R414" s="12"/>
      <c r="S414" s="12"/>
      <c r="T414" s="12"/>
      <c r="U414" s="31"/>
      <c r="V414" s="41"/>
      <c r="W414" s="12"/>
      <c r="X414" s="12"/>
      <c r="Y414" s="12"/>
      <c r="Z414" s="12"/>
      <c r="AA414" s="12"/>
      <c r="AB414" s="31"/>
      <c r="AC414" s="911"/>
      <c r="AD414" s="912"/>
      <c r="AE414" s="912"/>
      <c r="AF414" s="912"/>
      <c r="AG414" s="912"/>
      <c r="AH414" s="912"/>
      <c r="AI414" s="912"/>
      <c r="AJ414" s="912"/>
      <c r="AK414" s="912"/>
      <c r="AL414" s="912"/>
      <c r="AM414" s="912"/>
      <c r="AN414" s="912"/>
      <c r="AO414" s="912"/>
      <c r="AP414" s="912"/>
      <c r="AQ414" s="912"/>
      <c r="AR414" s="912"/>
      <c r="AS414" s="912"/>
      <c r="AT414" s="912"/>
      <c r="AU414" s="912"/>
      <c r="AV414" s="912"/>
      <c r="AW414" s="912"/>
      <c r="AX414" s="912"/>
      <c r="AY414" s="912"/>
      <c r="AZ414" s="912"/>
      <c r="BA414" s="912"/>
      <c r="BB414" s="912"/>
      <c r="BC414" s="912"/>
      <c r="BD414" s="912"/>
      <c r="BE414" s="912"/>
      <c r="BF414" s="912"/>
      <c r="BG414" s="912"/>
      <c r="BH414" s="912"/>
      <c r="BI414" s="912"/>
      <c r="BJ414" s="912"/>
      <c r="BK414" s="912"/>
      <c r="BL414" s="912"/>
      <c r="BM414" s="912"/>
      <c r="BN414" s="912"/>
      <c r="BO414" s="912"/>
      <c r="BP414" s="912"/>
      <c r="BQ414" s="912"/>
      <c r="BR414" s="912"/>
      <c r="BS414" s="912"/>
      <c r="BT414" s="912"/>
      <c r="BU414" s="912"/>
      <c r="BV414" s="912"/>
      <c r="BW414" s="912"/>
      <c r="BX414" s="912"/>
      <c r="BY414" s="912"/>
      <c r="BZ414" s="912"/>
      <c r="CA414" s="912"/>
      <c r="CB414" s="912"/>
      <c r="CC414" s="912"/>
      <c r="CD414" s="913"/>
      <c r="CE414" s="18"/>
    </row>
    <row r="415" spans="1:83" s="9" customFormat="1" ht="12" customHeight="1" x14ac:dyDescent="0.15">
      <c r="A415" s="16"/>
      <c r="B415" s="8"/>
      <c r="E415" s="41"/>
      <c r="F415" s="12"/>
      <c r="G415" s="12"/>
      <c r="H415" s="12"/>
      <c r="I415" s="12"/>
      <c r="J415" s="12"/>
      <c r="K415" s="12"/>
      <c r="L415" s="12"/>
      <c r="M415" s="12"/>
      <c r="N415" s="12"/>
      <c r="O415" s="12"/>
      <c r="P415" s="12"/>
      <c r="Q415" s="12"/>
      <c r="R415" s="12"/>
      <c r="S415" s="12"/>
      <c r="T415" s="12"/>
      <c r="U415" s="31"/>
      <c r="V415" s="41"/>
      <c r="W415" s="12"/>
      <c r="X415" s="12"/>
      <c r="Y415" s="12"/>
      <c r="Z415" s="12"/>
      <c r="AA415" s="12"/>
      <c r="AB415" s="31"/>
      <c r="AC415" s="911"/>
      <c r="AD415" s="912"/>
      <c r="AE415" s="912"/>
      <c r="AF415" s="912"/>
      <c r="AG415" s="912"/>
      <c r="AH415" s="912"/>
      <c r="AI415" s="912"/>
      <c r="AJ415" s="912"/>
      <c r="AK415" s="912"/>
      <c r="AL415" s="912"/>
      <c r="AM415" s="912"/>
      <c r="AN415" s="912"/>
      <c r="AO415" s="912"/>
      <c r="AP415" s="912"/>
      <c r="AQ415" s="912"/>
      <c r="AR415" s="912"/>
      <c r="AS415" s="912"/>
      <c r="AT415" s="912"/>
      <c r="AU415" s="912"/>
      <c r="AV415" s="912"/>
      <c r="AW415" s="912"/>
      <c r="AX415" s="912"/>
      <c r="AY415" s="912"/>
      <c r="AZ415" s="912"/>
      <c r="BA415" s="912"/>
      <c r="BB415" s="912"/>
      <c r="BC415" s="912"/>
      <c r="BD415" s="912"/>
      <c r="BE415" s="912"/>
      <c r="BF415" s="912"/>
      <c r="BG415" s="912"/>
      <c r="BH415" s="912"/>
      <c r="BI415" s="912"/>
      <c r="BJ415" s="912"/>
      <c r="BK415" s="912"/>
      <c r="BL415" s="912"/>
      <c r="BM415" s="912"/>
      <c r="BN415" s="912"/>
      <c r="BO415" s="912"/>
      <c r="BP415" s="912"/>
      <c r="BQ415" s="912"/>
      <c r="BR415" s="912"/>
      <c r="BS415" s="912"/>
      <c r="BT415" s="912"/>
      <c r="BU415" s="912"/>
      <c r="BV415" s="912"/>
      <c r="BW415" s="912"/>
      <c r="BX415" s="912"/>
      <c r="BY415" s="912"/>
      <c r="BZ415" s="912"/>
      <c r="CA415" s="912"/>
      <c r="CB415" s="912"/>
      <c r="CC415" s="912"/>
      <c r="CD415" s="913"/>
      <c r="CE415" s="18"/>
    </row>
    <row r="416" spans="1:83" s="9" customFormat="1" ht="12" customHeight="1" x14ac:dyDescent="0.15">
      <c r="A416" s="16"/>
      <c r="B416" s="8"/>
      <c r="E416" s="41"/>
      <c r="F416" s="12"/>
      <c r="G416" s="12"/>
      <c r="H416" s="12"/>
      <c r="I416" s="12"/>
      <c r="J416" s="12"/>
      <c r="K416" s="12"/>
      <c r="L416" s="12"/>
      <c r="M416" s="12"/>
      <c r="N416" s="12"/>
      <c r="O416" s="12"/>
      <c r="P416" s="12"/>
      <c r="Q416" s="12"/>
      <c r="R416" s="12"/>
      <c r="S416" s="12"/>
      <c r="T416" s="12"/>
      <c r="U416" s="31"/>
      <c r="V416" s="41"/>
      <c r="W416" s="12"/>
      <c r="X416" s="12"/>
      <c r="Y416" s="12"/>
      <c r="Z416" s="12"/>
      <c r="AA416" s="12"/>
      <c r="AB416" s="31"/>
      <c r="AC416" s="911"/>
      <c r="AD416" s="912"/>
      <c r="AE416" s="912"/>
      <c r="AF416" s="912"/>
      <c r="AG416" s="912"/>
      <c r="AH416" s="912"/>
      <c r="AI416" s="912"/>
      <c r="AJ416" s="912"/>
      <c r="AK416" s="912"/>
      <c r="AL416" s="912"/>
      <c r="AM416" s="912"/>
      <c r="AN416" s="912"/>
      <c r="AO416" s="912"/>
      <c r="AP416" s="912"/>
      <c r="AQ416" s="912"/>
      <c r="AR416" s="912"/>
      <c r="AS416" s="912"/>
      <c r="AT416" s="912"/>
      <c r="AU416" s="912"/>
      <c r="AV416" s="912"/>
      <c r="AW416" s="912"/>
      <c r="AX416" s="912"/>
      <c r="AY416" s="912"/>
      <c r="AZ416" s="912"/>
      <c r="BA416" s="912"/>
      <c r="BB416" s="912"/>
      <c r="BC416" s="912"/>
      <c r="BD416" s="912"/>
      <c r="BE416" s="912"/>
      <c r="BF416" s="912"/>
      <c r="BG416" s="912"/>
      <c r="BH416" s="912"/>
      <c r="BI416" s="912"/>
      <c r="BJ416" s="912"/>
      <c r="BK416" s="912"/>
      <c r="BL416" s="912"/>
      <c r="BM416" s="912"/>
      <c r="BN416" s="912"/>
      <c r="BO416" s="912"/>
      <c r="BP416" s="912"/>
      <c r="BQ416" s="912"/>
      <c r="BR416" s="912"/>
      <c r="BS416" s="912"/>
      <c r="BT416" s="912"/>
      <c r="BU416" s="912"/>
      <c r="BV416" s="912"/>
      <c r="BW416" s="912"/>
      <c r="BX416" s="912"/>
      <c r="BY416" s="912"/>
      <c r="BZ416" s="912"/>
      <c r="CA416" s="912"/>
      <c r="CB416" s="912"/>
      <c r="CC416" s="912"/>
      <c r="CD416" s="913"/>
      <c r="CE416" s="18"/>
    </row>
    <row r="417" spans="1:83" s="9" customFormat="1" ht="12" customHeight="1" x14ac:dyDescent="0.15">
      <c r="A417" s="16"/>
      <c r="B417" s="8"/>
      <c r="E417" s="41"/>
      <c r="F417" s="12"/>
      <c r="G417" s="12"/>
      <c r="H417" s="12"/>
      <c r="I417" s="12"/>
      <c r="J417" s="12"/>
      <c r="K417" s="12"/>
      <c r="L417" s="12"/>
      <c r="M417" s="12"/>
      <c r="N417" s="12"/>
      <c r="O417" s="12"/>
      <c r="P417" s="12"/>
      <c r="Q417" s="12"/>
      <c r="R417" s="12"/>
      <c r="S417" s="12"/>
      <c r="T417" s="12"/>
      <c r="U417" s="31"/>
      <c r="V417" s="41"/>
      <c r="W417" s="12"/>
      <c r="X417" s="12"/>
      <c r="Y417" s="12"/>
      <c r="Z417" s="12"/>
      <c r="AA417" s="12"/>
      <c r="AB417" s="31"/>
      <c r="AC417" s="911"/>
      <c r="AD417" s="912"/>
      <c r="AE417" s="912"/>
      <c r="AF417" s="912"/>
      <c r="AG417" s="912"/>
      <c r="AH417" s="912"/>
      <c r="AI417" s="912"/>
      <c r="AJ417" s="912"/>
      <c r="AK417" s="912"/>
      <c r="AL417" s="912"/>
      <c r="AM417" s="912"/>
      <c r="AN417" s="912"/>
      <c r="AO417" s="912"/>
      <c r="AP417" s="912"/>
      <c r="AQ417" s="912"/>
      <c r="AR417" s="912"/>
      <c r="AS417" s="912"/>
      <c r="AT417" s="912"/>
      <c r="AU417" s="912"/>
      <c r="AV417" s="912"/>
      <c r="AW417" s="912"/>
      <c r="AX417" s="912"/>
      <c r="AY417" s="912"/>
      <c r="AZ417" s="912"/>
      <c r="BA417" s="912"/>
      <c r="BB417" s="912"/>
      <c r="BC417" s="912"/>
      <c r="BD417" s="912"/>
      <c r="BE417" s="912"/>
      <c r="BF417" s="912"/>
      <c r="BG417" s="912"/>
      <c r="BH417" s="912"/>
      <c r="BI417" s="912"/>
      <c r="BJ417" s="912"/>
      <c r="BK417" s="912"/>
      <c r="BL417" s="912"/>
      <c r="BM417" s="912"/>
      <c r="BN417" s="912"/>
      <c r="BO417" s="912"/>
      <c r="BP417" s="912"/>
      <c r="BQ417" s="912"/>
      <c r="BR417" s="912"/>
      <c r="BS417" s="912"/>
      <c r="BT417" s="912"/>
      <c r="BU417" s="912"/>
      <c r="BV417" s="912"/>
      <c r="BW417" s="912"/>
      <c r="BX417" s="912"/>
      <c r="BY417" s="912"/>
      <c r="BZ417" s="912"/>
      <c r="CA417" s="912"/>
      <c r="CB417" s="912"/>
      <c r="CC417" s="912"/>
      <c r="CD417" s="913"/>
      <c r="CE417" s="18"/>
    </row>
    <row r="418" spans="1:83" s="9" customFormat="1" ht="12" customHeight="1" x14ac:dyDescent="0.15">
      <c r="A418" s="16"/>
      <c r="B418" s="8"/>
      <c r="E418" s="41"/>
      <c r="F418" s="12"/>
      <c r="G418" s="12"/>
      <c r="H418" s="12"/>
      <c r="I418" s="12"/>
      <c r="J418" s="12"/>
      <c r="K418" s="12"/>
      <c r="L418" s="12"/>
      <c r="M418" s="12"/>
      <c r="N418" s="12"/>
      <c r="O418" s="12"/>
      <c r="P418" s="12"/>
      <c r="Q418" s="12"/>
      <c r="R418" s="12"/>
      <c r="S418" s="12"/>
      <c r="T418" s="12"/>
      <c r="U418" s="31"/>
      <c r="V418" s="41"/>
      <c r="W418" s="12"/>
      <c r="X418" s="12"/>
      <c r="Y418" s="12"/>
      <c r="Z418" s="12"/>
      <c r="AA418" s="12"/>
      <c r="AB418" s="31"/>
      <c r="AC418" s="911"/>
      <c r="AD418" s="912"/>
      <c r="AE418" s="912"/>
      <c r="AF418" s="912"/>
      <c r="AG418" s="912"/>
      <c r="AH418" s="912"/>
      <c r="AI418" s="912"/>
      <c r="AJ418" s="912"/>
      <c r="AK418" s="912"/>
      <c r="AL418" s="912"/>
      <c r="AM418" s="912"/>
      <c r="AN418" s="912"/>
      <c r="AO418" s="912"/>
      <c r="AP418" s="912"/>
      <c r="AQ418" s="912"/>
      <c r="AR418" s="912"/>
      <c r="AS418" s="912"/>
      <c r="AT418" s="912"/>
      <c r="AU418" s="912"/>
      <c r="AV418" s="912"/>
      <c r="AW418" s="912"/>
      <c r="AX418" s="912"/>
      <c r="AY418" s="912"/>
      <c r="AZ418" s="912"/>
      <c r="BA418" s="912"/>
      <c r="BB418" s="912"/>
      <c r="BC418" s="912"/>
      <c r="BD418" s="912"/>
      <c r="BE418" s="912"/>
      <c r="BF418" s="912"/>
      <c r="BG418" s="912"/>
      <c r="BH418" s="912"/>
      <c r="BI418" s="912"/>
      <c r="BJ418" s="912"/>
      <c r="BK418" s="912"/>
      <c r="BL418" s="912"/>
      <c r="BM418" s="912"/>
      <c r="BN418" s="912"/>
      <c r="BO418" s="912"/>
      <c r="BP418" s="912"/>
      <c r="BQ418" s="912"/>
      <c r="BR418" s="912"/>
      <c r="BS418" s="912"/>
      <c r="BT418" s="912"/>
      <c r="BU418" s="912"/>
      <c r="BV418" s="912"/>
      <c r="BW418" s="912"/>
      <c r="BX418" s="912"/>
      <c r="BY418" s="912"/>
      <c r="BZ418" s="912"/>
      <c r="CA418" s="912"/>
      <c r="CB418" s="912"/>
      <c r="CC418" s="912"/>
      <c r="CD418" s="913"/>
      <c r="CE418" s="18"/>
    </row>
    <row r="419" spans="1:83" s="9" customFormat="1" ht="12" customHeight="1" x14ac:dyDescent="0.15">
      <c r="A419" s="16"/>
      <c r="B419" s="8"/>
      <c r="E419" s="41"/>
      <c r="F419" s="12"/>
      <c r="G419" s="12"/>
      <c r="H419" s="12"/>
      <c r="I419" s="12"/>
      <c r="J419" s="12"/>
      <c r="K419" s="12"/>
      <c r="L419" s="12"/>
      <c r="M419" s="12"/>
      <c r="N419" s="12"/>
      <c r="O419" s="12"/>
      <c r="P419" s="12"/>
      <c r="Q419" s="12"/>
      <c r="R419" s="12"/>
      <c r="S419" s="12"/>
      <c r="T419" s="12"/>
      <c r="U419" s="31"/>
      <c r="V419" s="41"/>
      <c r="W419" s="12"/>
      <c r="X419" s="12"/>
      <c r="Y419" s="12"/>
      <c r="Z419" s="12"/>
      <c r="AA419" s="12"/>
      <c r="AB419" s="31"/>
      <c r="AC419" s="911" t="s">
        <v>336</v>
      </c>
      <c r="AD419" s="912"/>
      <c r="AE419" s="912"/>
      <c r="AF419" s="912"/>
      <c r="AG419" s="912"/>
      <c r="AH419" s="912"/>
      <c r="AI419" s="912"/>
      <c r="AJ419" s="912"/>
      <c r="AK419" s="912"/>
      <c r="AL419" s="912"/>
      <c r="AM419" s="912"/>
      <c r="AN419" s="912"/>
      <c r="AO419" s="912"/>
      <c r="AP419" s="912"/>
      <c r="AQ419" s="912"/>
      <c r="AR419" s="912"/>
      <c r="AS419" s="912"/>
      <c r="AT419" s="912"/>
      <c r="AU419" s="912"/>
      <c r="AV419" s="912"/>
      <c r="AW419" s="912"/>
      <c r="AX419" s="912"/>
      <c r="AY419" s="912"/>
      <c r="AZ419" s="912"/>
      <c r="BA419" s="912"/>
      <c r="BB419" s="912"/>
      <c r="BC419" s="912"/>
      <c r="BD419" s="912"/>
      <c r="BE419" s="912"/>
      <c r="BF419" s="912"/>
      <c r="BG419" s="912"/>
      <c r="BH419" s="912"/>
      <c r="BI419" s="912"/>
      <c r="BJ419" s="912"/>
      <c r="BK419" s="912"/>
      <c r="BL419" s="912"/>
      <c r="BM419" s="912"/>
      <c r="BN419" s="912"/>
      <c r="BO419" s="912"/>
      <c r="BP419" s="912"/>
      <c r="BQ419" s="912"/>
      <c r="BR419" s="912"/>
      <c r="BS419" s="912"/>
      <c r="BT419" s="912"/>
      <c r="BU419" s="912"/>
      <c r="BV419" s="912"/>
      <c r="BW419" s="912"/>
      <c r="BX419" s="912"/>
      <c r="BY419" s="912"/>
      <c r="BZ419" s="912"/>
      <c r="CA419" s="912"/>
      <c r="CB419" s="912"/>
      <c r="CC419" s="912"/>
      <c r="CD419" s="913"/>
      <c r="CE419" s="18"/>
    </row>
    <row r="420" spans="1:83" s="9" customFormat="1" ht="12" customHeight="1" x14ac:dyDescent="0.15">
      <c r="A420" s="16"/>
      <c r="B420" s="8"/>
      <c r="E420" s="41"/>
      <c r="F420" s="12"/>
      <c r="G420" s="12"/>
      <c r="H420" s="12"/>
      <c r="I420" s="12"/>
      <c r="J420" s="12"/>
      <c r="K420" s="12"/>
      <c r="L420" s="12"/>
      <c r="M420" s="12"/>
      <c r="N420" s="12"/>
      <c r="O420" s="12"/>
      <c r="P420" s="12"/>
      <c r="Q420" s="12"/>
      <c r="R420" s="12"/>
      <c r="S420" s="12"/>
      <c r="T420" s="12"/>
      <c r="U420" s="31"/>
      <c r="V420" s="41"/>
      <c r="W420" s="12"/>
      <c r="X420" s="12"/>
      <c r="Y420" s="12"/>
      <c r="Z420" s="12"/>
      <c r="AA420" s="12"/>
      <c r="AB420" s="31"/>
      <c r="AC420" s="911"/>
      <c r="AD420" s="912"/>
      <c r="AE420" s="912"/>
      <c r="AF420" s="912"/>
      <c r="AG420" s="912"/>
      <c r="AH420" s="912"/>
      <c r="AI420" s="912"/>
      <c r="AJ420" s="912"/>
      <c r="AK420" s="912"/>
      <c r="AL420" s="912"/>
      <c r="AM420" s="912"/>
      <c r="AN420" s="912"/>
      <c r="AO420" s="912"/>
      <c r="AP420" s="912"/>
      <c r="AQ420" s="912"/>
      <c r="AR420" s="912"/>
      <c r="AS420" s="912"/>
      <c r="AT420" s="912"/>
      <c r="AU420" s="912"/>
      <c r="AV420" s="912"/>
      <c r="AW420" s="912"/>
      <c r="AX420" s="912"/>
      <c r="AY420" s="912"/>
      <c r="AZ420" s="912"/>
      <c r="BA420" s="912"/>
      <c r="BB420" s="912"/>
      <c r="BC420" s="912"/>
      <c r="BD420" s="912"/>
      <c r="BE420" s="912"/>
      <c r="BF420" s="912"/>
      <c r="BG420" s="912"/>
      <c r="BH420" s="912"/>
      <c r="BI420" s="912"/>
      <c r="BJ420" s="912"/>
      <c r="BK420" s="912"/>
      <c r="BL420" s="912"/>
      <c r="BM420" s="912"/>
      <c r="BN420" s="912"/>
      <c r="BO420" s="912"/>
      <c r="BP420" s="912"/>
      <c r="BQ420" s="912"/>
      <c r="BR420" s="912"/>
      <c r="BS420" s="912"/>
      <c r="BT420" s="912"/>
      <c r="BU420" s="912"/>
      <c r="BV420" s="912"/>
      <c r="BW420" s="912"/>
      <c r="BX420" s="912"/>
      <c r="BY420" s="912"/>
      <c r="BZ420" s="912"/>
      <c r="CA420" s="912"/>
      <c r="CB420" s="912"/>
      <c r="CC420" s="912"/>
      <c r="CD420" s="913"/>
      <c r="CE420" s="18"/>
    </row>
    <row r="421" spans="1:83" s="9" customFormat="1" ht="12" customHeight="1" x14ac:dyDescent="0.15">
      <c r="A421" s="16"/>
      <c r="B421" s="8"/>
      <c r="D421" s="22"/>
      <c r="E421" s="41"/>
      <c r="F421" s="12"/>
      <c r="G421" s="12"/>
      <c r="H421" s="12"/>
      <c r="I421" s="12"/>
      <c r="J421" s="12"/>
      <c r="K421" s="12"/>
      <c r="L421" s="12"/>
      <c r="M421" s="12"/>
      <c r="N421" s="12"/>
      <c r="O421" s="12"/>
      <c r="P421" s="12"/>
      <c r="Q421" s="12"/>
      <c r="R421" s="12"/>
      <c r="S421" s="12"/>
      <c r="T421" s="12"/>
      <c r="U421" s="31"/>
      <c r="V421" s="41"/>
      <c r="W421" s="12"/>
      <c r="X421" s="12"/>
      <c r="Y421" s="12"/>
      <c r="Z421" s="12"/>
      <c r="AA421" s="12"/>
      <c r="AB421" s="31"/>
      <c r="AC421" s="911"/>
      <c r="AD421" s="912"/>
      <c r="AE421" s="912"/>
      <c r="AF421" s="912"/>
      <c r="AG421" s="912"/>
      <c r="AH421" s="912"/>
      <c r="AI421" s="912"/>
      <c r="AJ421" s="912"/>
      <c r="AK421" s="912"/>
      <c r="AL421" s="912"/>
      <c r="AM421" s="912"/>
      <c r="AN421" s="912"/>
      <c r="AO421" s="912"/>
      <c r="AP421" s="912"/>
      <c r="AQ421" s="912"/>
      <c r="AR421" s="912"/>
      <c r="AS421" s="912"/>
      <c r="AT421" s="912"/>
      <c r="AU421" s="912"/>
      <c r="AV421" s="912"/>
      <c r="AW421" s="912"/>
      <c r="AX421" s="912"/>
      <c r="AY421" s="912"/>
      <c r="AZ421" s="912"/>
      <c r="BA421" s="912"/>
      <c r="BB421" s="912"/>
      <c r="BC421" s="912"/>
      <c r="BD421" s="912"/>
      <c r="BE421" s="912"/>
      <c r="BF421" s="912"/>
      <c r="BG421" s="912"/>
      <c r="BH421" s="912"/>
      <c r="BI421" s="912"/>
      <c r="BJ421" s="912"/>
      <c r="BK421" s="912"/>
      <c r="BL421" s="912"/>
      <c r="BM421" s="912"/>
      <c r="BN421" s="912"/>
      <c r="BO421" s="912"/>
      <c r="BP421" s="912"/>
      <c r="BQ421" s="912"/>
      <c r="BR421" s="912"/>
      <c r="BS421" s="912"/>
      <c r="BT421" s="912"/>
      <c r="BU421" s="912"/>
      <c r="BV421" s="912"/>
      <c r="BW421" s="912"/>
      <c r="BX421" s="912"/>
      <c r="BY421" s="912"/>
      <c r="BZ421" s="912"/>
      <c r="CA421" s="912"/>
      <c r="CB421" s="912"/>
      <c r="CC421" s="912"/>
      <c r="CD421" s="913"/>
      <c r="CE421" s="18"/>
    </row>
    <row r="422" spans="1:83" s="9" customFormat="1" ht="12" customHeight="1" x14ac:dyDescent="0.15">
      <c r="A422" s="16"/>
      <c r="B422" s="8"/>
      <c r="D422" s="22"/>
      <c r="E422" s="41"/>
      <c r="F422" s="12"/>
      <c r="G422" s="12"/>
      <c r="H422" s="12"/>
      <c r="I422" s="12"/>
      <c r="J422" s="12"/>
      <c r="K422" s="12"/>
      <c r="L422" s="12"/>
      <c r="M422" s="12"/>
      <c r="N422" s="12"/>
      <c r="O422" s="12"/>
      <c r="P422" s="12"/>
      <c r="Q422" s="12"/>
      <c r="R422" s="12"/>
      <c r="S422" s="12"/>
      <c r="T422" s="12"/>
      <c r="U422" s="31"/>
      <c r="V422" s="41"/>
      <c r="W422" s="12"/>
      <c r="X422" s="12"/>
      <c r="Y422" s="12"/>
      <c r="Z422" s="12"/>
      <c r="AA422" s="12"/>
      <c r="AB422" s="31"/>
      <c r="AC422" s="911" t="s">
        <v>337</v>
      </c>
      <c r="AD422" s="912"/>
      <c r="AE422" s="912"/>
      <c r="AF422" s="912"/>
      <c r="AG422" s="912"/>
      <c r="AH422" s="912"/>
      <c r="AI422" s="912"/>
      <c r="AJ422" s="912"/>
      <c r="AK422" s="912"/>
      <c r="AL422" s="912"/>
      <c r="AM422" s="912"/>
      <c r="AN422" s="912"/>
      <c r="AO422" s="912"/>
      <c r="AP422" s="912"/>
      <c r="AQ422" s="912"/>
      <c r="AR422" s="912"/>
      <c r="AS422" s="912"/>
      <c r="AT422" s="912"/>
      <c r="AU422" s="912"/>
      <c r="AV422" s="912"/>
      <c r="AW422" s="912"/>
      <c r="AX422" s="912"/>
      <c r="AY422" s="912"/>
      <c r="AZ422" s="912"/>
      <c r="BA422" s="912"/>
      <c r="BB422" s="912"/>
      <c r="BC422" s="912"/>
      <c r="BD422" s="912"/>
      <c r="BE422" s="912"/>
      <c r="BF422" s="912"/>
      <c r="BG422" s="912"/>
      <c r="BH422" s="912"/>
      <c r="BI422" s="912"/>
      <c r="BJ422" s="912"/>
      <c r="BK422" s="912"/>
      <c r="BL422" s="912"/>
      <c r="BM422" s="912"/>
      <c r="BN422" s="912"/>
      <c r="BO422" s="912"/>
      <c r="BP422" s="912"/>
      <c r="BQ422" s="912"/>
      <c r="BR422" s="912"/>
      <c r="BS422" s="912"/>
      <c r="BT422" s="912"/>
      <c r="BU422" s="912"/>
      <c r="BV422" s="912"/>
      <c r="BW422" s="912"/>
      <c r="BX422" s="912"/>
      <c r="BY422" s="912"/>
      <c r="BZ422" s="912"/>
      <c r="CA422" s="912"/>
      <c r="CB422" s="912"/>
      <c r="CC422" s="912"/>
      <c r="CD422" s="913"/>
      <c r="CE422" s="18"/>
    </row>
    <row r="423" spans="1:83" s="9" customFormat="1" ht="12" customHeight="1" x14ac:dyDescent="0.15">
      <c r="A423" s="16"/>
      <c r="B423" s="8"/>
      <c r="E423" s="41"/>
      <c r="F423" s="12"/>
      <c r="G423" s="12"/>
      <c r="H423" s="12"/>
      <c r="I423" s="12"/>
      <c r="J423" s="12"/>
      <c r="K423" s="12"/>
      <c r="L423" s="12"/>
      <c r="M423" s="12"/>
      <c r="N423" s="12"/>
      <c r="O423" s="12"/>
      <c r="P423" s="12"/>
      <c r="Q423" s="12"/>
      <c r="R423" s="12"/>
      <c r="S423" s="12"/>
      <c r="T423" s="12"/>
      <c r="U423" s="31"/>
      <c r="V423" s="41"/>
      <c r="W423" s="12"/>
      <c r="X423" s="12"/>
      <c r="Y423" s="12"/>
      <c r="Z423" s="12"/>
      <c r="AA423" s="12"/>
      <c r="AB423" s="31"/>
      <c r="AC423" s="911"/>
      <c r="AD423" s="912"/>
      <c r="AE423" s="912"/>
      <c r="AF423" s="912"/>
      <c r="AG423" s="912"/>
      <c r="AH423" s="912"/>
      <c r="AI423" s="912"/>
      <c r="AJ423" s="912"/>
      <c r="AK423" s="912"/>
      <c r="AL423" s="912"/>
      <c r="AM423" s="912"/>
      <c r="AN423" s="912"/>
      <c r="AO423" s="912"/>
      <c r="AP423" s="912"/>
      <c r="AQ423" s="912"/>
      <c r="AR423" s="912"/>
      <c r="AS423" s="912"/>
      <c r="AT423" s="912"/>
      <c r="AU423" s="912"/>
      <c r="AV423" s="912"/>
      <c r="AW423" s="912"/>
      <c r="AX423" s="912"/>
      <c r="AY423" s="912"/>
      <c r="AZ423" s="912"/>
      <c r="BA423" s="912"/>
      <c r="BB423" s="912"/>
      <c r="BC423" s="912"/>
      <c r="BD423" s="912"/>
      <c r="BE423" s="912"/>
      <c r="BF423" s="912"/>
      <c r="BG423" s="912"/>
      <c r="BH423" s="912"/>
      <c r="BI423" s="912"/>
      <c r="BJ423" s="912"/>
      <c r="BK423" s="912"/>
      <c r="BL423" s="912"/>
      <c r="BM423" s="912"/>
      <c r="BN423" s="912"/>
      <c r="BO423" s="912"/>
      <c r="BP423" s="912"/>
      <c r="BQ423" s="912"/>
      <c r="BR423" s="912"/>
      <c r="BS423" s="912"/>
      <c r="BT423" s="912"/>
      <c r="BU423" s="912"/>
      <c r="BV423" s="912"/>
      <c r="BW423" s="912"/>
      <c r="BX423" s="912"/>
      <c r="BY423" s="912"/>
      <c r="BZ423" s="912"/>
      <c r="CA423" s="912"/>
      <c r="CB423" s="912"/>
      <c r="CC423" s="912"/>
      <c r="CD423" s="913"/>
      <c r="CE423" s="18"/>
    </row>
    <row r="424" spans="1:83" s="9" customFormat="1" ht="12" customHeight="1" x14ac:dyDescent="0.15">
      <c r="A424" s="16"/>
      <c r="B424" s="8"/>
      <c r="E424" s="41"/>
      <c r="F424" s="12"/>
      <c r="G424" s="12"/>
      <c r="H424" s="12"/>
      <c r="I424" s="12"/>
      <c r="J424" s="12"/>
      <c r="K424" s="12"/>
      <c r="L424" s="12"/>
      <c r="M424" s="12"/>
      <c r="N424" s="12"/>
      <c r="O424" s="12"/>
      <c r="P424" s="12"/>
      <c r="Q424" s="12"/>
      <c r="R424" s="12"/>
      <c r="S424" s="12"/>
      <c r="T424" s="12"/>
      <c r="U424" s="31"/>
      <c r="V424" s="40"/>
      <c r="W424" s="32"/>
      <c r="X424" s="32"/>
      <c r="Y424" s="32"/>
      <c r="Z424" s="32"/>
      <c r="AA424" s="32"/>
      <c r="AB424" s="33"/>
      <c r="AC424" s="877"/>
      <c r="AD424" s="878"/>
      <c r="AE424" s="878"/>
      <c r="AF424" s="878"/>
      <c r="AG424" s="878"/>
      <c r="AH424" s="878"/>
      <c r="AI424" s="878"/>
      <c r="AJ424" s="878"/>
      <c r="AK424" s="878"/>
      <c r="AL424" s="878"/>
      <c r="AM424" s="878"/>
      <c r="AN424" s="878"/>
      <c r="AO424" s="878"/>
      <c r="AP424" s="878"/>
      <c r="AQ424" s="878"/>
      <c r="AR424" s="878"/>
      <c r="AS424" s="878"/>
      <c r="AT424" s="878"/>
      <c r="AU424" s="878"/>
      <c r="AV424" s="878"/>
      <c r="AW424" s="878"/>
      <c r="AX424" s="878"/>
      <c r="AY424" s="878"/>
      <c r="AZ424" s="878"/>
      <c r="BA424" s="878"/>
      <c r="BB424" s="878"/>
      <c r="BC424" s="878"/>
      <c r="BD424" s="878"/>
      <c r="BE424" s="878"/>
      <c r="BF424" s="878"/>
      <c r="BG424" s="878"/>
      <c r="BH424" s="878"/>
      <c r="BI424" s="878"/>
      <c r="BJ424" s="878"/>
      <c r="BK424" s="878"/>
      <c r="BL424" s="878"/>
      <c r="BM424" s="878"/>
      <c r="BN424" s="878"/>
      <c r="BO424" s="878"/>
      <c r="BP424" s="878"/>
      <c r="BQ424" s="878"/>
      <c r="BR424" s="878"/>
      <c r="BS424" s="878"/>
      <c r="BT424" s="878"/>
      <c r="BU424" s="878"/>
      <c r="BV424" s="878"/>
      <c r="BW424" s="878"/>
      <c r="BX424" s="878"/>
      <c r="BY424" s="878"/>
      <c r="BZ424" s="878"/>
      <c r="CA424" s="878"/>
      <c r="CB424" s="878"/>
      <c r="CC424" s="878"/>
      <c r="CD424" s="879"/>
      <c r="CE424" s="18"/>
    </row>
    <row r="425" spans="1:83" s="9" customFormat="1" ht="12.75" customHeight="1" x14ac:dyDescent="0.15">
      <c r="A425" s="16"/>
      <c r="B425" s="8"/>
      <c r="E425" s="37" t="s">
        <v>913</v>
      </c>
      <c r="F425" s="38"/>
      <c r="G425" s="38"/>
      <c r="H425" s="38"/>
      <c r="I425" s="38"/>
      <c r="J425" s="38"/>
      <c r="K425" s="38"/>
      <c r="L425" s="38"/>
      <c r="M425" s="38"/>
      <c r="N425" s="38"/>
      <c r="O425" s="38"/>
      <c r="P425" s="38"/>
      <c r="Q425" s="38"/>
      <c r="R425" s="38"/>
      <c r="S425" s="38"/>
      <c r="T425" s="38"/>
      <c r="U425" s="39"/>
      <c r="V425" s="34"/>
      <c r="W425" s="35"/>
      <c r="X425" s="35"/>
      <c r="Y425" s="35"/>
      <c r="Z425" s="35"/>
      <c r="AA425" s="35"/>
      <c r="AB425" s="36"/>
      <c r="AC425" s="34"/>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6"/>
      <c r="CE425" s="18"/>
    </row>
    <row r="426" spans="1:83" s="9" customFormat="1" ht="12.75" customHeight="1" x14ac:dyDescent="0.15">
      <c r="A426" s="16"/>
      <c r="B426" s="8"/>
      <c r="C426" s="22"/>
      <c r="D426" s="12"/>
      <c r="E426" s="41"/>
      <c r="F426" s="34" t="s">
        <v>213</v>
      </c>
      <c r="G426" s="35"/>
      <c r="H426" s="35"/>
      <c r="I426" s="35"/>
      <c r="J426" s="35"/>
      <c r="K426" s="35"/>
      <c r="L426" s="35"/>
      <c r="M426" s="35"/>
      <c r="N426" s="35"/>
      <c r="O426" s="35"/>
      <c r="P426" s="35"/>
      <c r="Q426" s="35"/>
      <c r="R426" s="35"/>
      <c r="S426" s="35"/>
      <c r="T426" s="35"/>
      <c r="U426" s="36"/>
      <c r="V426" s="34" t="s">
        <v>693</v>
      </c>
      <c r="W426" s="35"/>
      <c r="X426" s="35"/>
      <c r="Y426" s="35"/>
      <c r="Z426" s="35"/>
      <c r="AA426" s="35"/>
      <c r="AB426" s="36"/>
      <c r="AC426" s="34" t="s">
        <v>700</v>
      </c>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6"/>
      <c r="CE426" s="18"/>
    </row>
    <row r="427" spans="1:83" s="9" customFormat="1" ht="12.75" customHeight="1" x14ac:dyDescent="0.15">
      <c r="A427" s="16"/>
      <c r="B427" s="8"/>
      <c r="C427" s="22"/>
      <c r="D427" s="21"/>
      <c r="E427" s="41"/>
      <c r="F427" s="34" t="s">
        <v>214</v>
      </c>
      <c r="G427" s="35"/>
      <c r="H427" s="35"/>
      <c r="I427" s="35"/>
      <c r="J427" s="35"/>
      <c r="K427" s="35"/>
      <c r="L427" s="35"/>
      <c r="M427" s="35"/>
      <c r="N427" s="35"/>
      <c r="O427" s="35"/>
      <c r="P427" s="35"/>
      <c r="Q427" s="35"/>
      <c r="R427" s="35"/>
      <c r="S427" s="35"/>
      <c r="T427" s="35"/>
      <c r="U427" s="36"/>
      <c r="V427" s="34" t="s">
        <v>694</v>
      </c>
      <c r="W427" s="35"/>
      <c r="X427" s="35"/>
      <c r="Y427" s="35"/>
      <c r="Z427" s="35"/>
      <c r="AA427" s="35"/>
      <c r="AB427" s="36"/>
      <c r="AC427" s="34" t="s">
        <v>215</v>
      </c>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6"/>
      <c r="CE427" s="18"/>
    </row>
    <row r="428" spans="1:83" s="9" customFormat="1" ht="12.75" customHeight="1" x14ac:dyDescent="0.15">
      <c r="A428" s="16"/>
      <c r="B428" s="8"/>
      <c r="D428" s="22"/>
      <c r="E428" s="41"/>
      <c r="F428" s="34" t="s">
        <v>216</v>
      </c>
      <c r="G428" s="35"/>
      <c r="H428" s="35"/>
      <c r="I428" s="35"/>
      <c r="J428" s="35"/>
      <c r="K428" s="35"/>
      <c r="L428" s="35"/>
      <c r="M428" s="35"/>
      <c r="N428" s="35"/>
      <c r="O428" s="35"/>
      <c r="P428" s="35"/>
      <c r="Q428" s="35"/>
      <c r="R428" s="35"/>
      <c r="S428" s="35"/>
      <c r="T428" s="35"/>
      <c r="U428" s="36"/>
      <c r="V428" s="37" t="s">
        <v>217</v>
      </c>
      <c r="W428" s="38"/>
      <c r="X428" s="38"/>
      <c r="Y428" s="38"/>
      <c r="Z428" s="38"/>
      <c r="AA428" s="38"/>
      <c r="AB428" s="39"/>
      <c r="AC428" s="34" t="s">
        <v>700</v>
      </c>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6"/>
      <c r="CE428" s="18"/>
    </row>
    <row r="429" spans="1:83" s="9" customFormat="1" ht="12.75" customHeight="1" x14ac:dyDescent="0.15">
      <c r="A429" s="16"/>
      <c r="B429" s="8"/>
      <c r="D429" s="22"/>
      <c r="E429" s="40"/>
      <c r="F429" s="34" t="s">
        <v>218</v>
      </c>
      <c r="G429" s="35"/>
      <c r="H429" s="35"/>
      <c r="I429" s="35"/>
      <c r="J429" s="35"/>
      <c r="K429" s="35"/>
      <c r="L429" s="35"/>
      <c r="M429" s="35"/>
      <c r="N429" s="35"/>
      <c r="O429" s="35"/>
      <c r="P429" s="35"/>
      <c r="Q429" s="35"/>
      <c r="R429" s="35"/>
      <c r="S429" s="35"/>
      <c r="T429" s="35"/>
      <c r="U429" s="36"/>
      <c r="V429" s="34" t="s">
        <v>694</v>
      </c>
      <c r="W429" s="35"/>
      <c r="X429" s="35"/>
      <c r="Y429" s="35"/>
      <c r="Z429" s="35"/>
      <c r="AA429" s="35"/>
      <c r="AB429" s="36"/>
      <c r="AC429" s="34" t="s">
        <v>699</v>
      </c>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c r="BH429" s="35"/>
      <c r="BI429" s="35"/>
      <c r="BJ429" s="35"/>
      <c r="BK429" s="35"/>
      <c r="BL429" s="35"/>
      <c r="BM429" s="35"/>
      <c r="BN429" s="35"/>
      <c r="BO429" s="35"/>
      <c r="BP429" s="35"/>
      <c r="BQ429" s="35"/>
      <c r="BR429" s="35"/>
      <c r="BS429" s="35"/>
      <c r="BT429" s="35"/>
      <c r="BU429" s="35"/>
      <c r="BV429" s="35"/>
      <c r="BW429" s="35"/>
      <c r="BX429" s="35"/>
      <c r="BY429" s="35"/>
      <c r="BZ429" s="35"/>
      <c r="CA429" s="35"/>
      <c r="CB429" s="35"/>
      <c r="CC429" s="35"/>
      <c r="CD429" s="36"/>
      <c r="CE429" s="18"/>
    </row>
    <row r="430" spans="1:83" s="9" customFormat="1" ht="12.75" customHeight="1" x14ac:dyDescent="0.15">
      <c r="A430" s="16"/>
      <c r="B430" s="8"/>
      <c r="CE430" s="18"/>
    </row>
    <row r="431" spans="1:83" s="9" customFormat="1" ht="12.75" customHeight="1" x14ac:dyDescent="0.15">
      <c r="A431" s="16"/>
      <c r="B431" s="8"/>
      <c r="D431" s="2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8"/>
    </row>
    <row r="432" spans="1:83" s="9" customFormat="1" ht="12" customHeight="1" x14ac:dyDescent="0.15">
      <c r="A432" s="16"/>
      <c r="B432" s="8"/>
      <c r="C432" s="17"/>
      <c r="D432" s="17"/>
      <c r="E432" s="17"/>
      <c r="F432" s="17"/>
      <c r="G432" s="17"/>
      <c r="H432" s="17"/>
      <c r="I432" s="17"/>
      <c r="J432" s="17"/>
      <c r="K432" s="17"/>
      <c r="L432" s="17"/>
      <c r="M432" s="17"/>
      <c r="N432" s="17"/>
      <c r="O432" s="17"/>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c r="CD432" s="20"/>
      <c r="CE432" s="18"/>
    </row>
    <row r="433" spans="1:83" s="9" customFormat="1" ht="12" customHeight="1" thickBot="1" x14ac:dyDescent="0.2">
      <c r="A433" s="25"/>
      <c r="B433" s="30"/>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7"/>
      <c r="BA433" s="27"/>
      <c r="BB433" s="27"/>
      <c r="BC433" s="27"/>
      <c r="BD433" s="27"/>
      <c r="BE433" s="27"/>
      <c r="BF433" s="27"/>
      <c r="BG433" s="27"/>
      <c r="BH433" s="27"/>
      <c r="BI433" s="27"/>
      <c r="BJ433" s="27"/>
      <c r="BK433" s="27"/>
      <c r="BL433" s="27"/>
      <c r="BM433" s="27"/>
      <c r="BN433" s="27"/>
      <c r="BO433" s="27"/>
      <c r="BP433" s="27"/>
      <c r="BQ433" s="27"/>
      <c r="BR433" s="27"/>
      <c r="BS433" s="27"/>
      <c r="BT433" s="27"/>
      <c r="BU433" s="27"/>
      <c r="BV433" s="27"/>
      <c r="BW433" s="27"/>
      <c r="BX433" s="27"/>
      <c r="BY433" s="27"/>
      <c r="BZ433" s="27"/>
      <c r="CA433" s="27"/>
      <c r="CB433" s="27"/>
      <c r="CC433" s="26"/>
      <c r="CD433" s="26"/>
      <c r="CE433" s="28"/>
    </row>
    <row r="434" spans="1:83" s="9" customFormat="1" ht="12" customHeight="1" x14ac:dyDescent="0.15">
      <c r="A434" s="13"/>
      <c r="B434" s="14"/>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60"/>
      <c r="BA434" s="160"/>
      <c r="BB434" s="160"/>
      <c r="BC434" s="160"/>
      <c r="BD434" s="160"/>
      <c r="BE434" s="160"/>
      <c r="BF434" s="160"/>
      <c r="BG434" s="160"/>
      <c r="BH434" s="160"/>
      <c r="BI434" s="160"/>
      <c r="BJ434" s="160"/>
      <c r="BK434" s="160"/>
      <c r="BL434" s="160"/>
      <c r="BM434" s="160"/>
      <c r="BN434" s="160"/>
      <c r="BO434" s="160"/>
      <c r="BP434" s="160"/>
      <c r="BQ434" s="160"/>
      <c r="BR434" s="160"/>
      <c r="BS434" s="160"/>
      <c r="BT434" s="160"/>
      <c r="BU434" s="160"/>
      <c r="BV434" s="160"/>
      <c r="BW434" s="160"/>
      <c r="BX434" s="160"/>
      <c r="BY434" s="160"/>
      <c r="BZ434" s="160"/>
      <c r="CA434" s="160"/>
      <c r="CB434" s="160"/>
      <c r="CC434" s="159"/>
      <c r="CD434" s="159"/>
      <c r="CE434" s="15"/>
    </row>
    <row r="435" spans="1:83" s="9" customFormat="1" ht="12" customHeight="1" x14ac:dyDescent="0.15">
      <c r="A435" s="16"/>
      <c r="B435" s="8"/>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17"/>
      <c r="CD435" s="17"/>
      <c r="CE435" s="18"/>
    </row>
    <row r="436" spans="1:83" s="4" customFormat="1" ht="12" customHeight="1" x14ac:dyDescent="0.15">
      <c r="A436" s="16"/>
      <c r="B436" s="5"/>
      <c r="C436" s="5"/>
      <c r="D436" s="5"/>
      <c r="E436" s="12" t="s">
        <v>219</v>
      </c>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8"/>
    </row>
    <row r="437" spans="1:83" s="4" customFormat="1" ht="12" customHeight="1" x14ac:dyDescent="0.15">
      <c r="A437" s="16"/>
      <c r="B437" s="73"/>
      <c r="C437" s="12"/>
      <c r="D437" s="12"/>
      <c r="E437" s="12"/>
      <c r="F437" s="171" t="s">
        <v>454</v>
      </c>
      <c r="G437" s="172"/>
      <c r="H437" s="172"/>
      <c r="I437" s="172"/>
      <c r="J437" s="172"/>
      <c r="K437" s="172"/>
      <c r="L437" s="172"/>
      <c r="M437" s="172"/>
      <c r="N437" s="172"/>
      <c r="O437" s="172"/>
      <c r="P437" s="172"/>
      <c r="Q437" s="172"/>
      <c r="R437" s="172"/>
      <c r="S437" s="172"/>
      <c r="T437" s="172"/>
      <c r="U437" s="172"/>
      <c r="V437" s="172"/>
      <c r="W437" s="172"/>
      <c r="X437" s="172"/>
      <c r="Y437" s="172"/>
      <c r="Z437" s="172"/>
      <c r="AA437" s="172"/>
      <c r="AB437" s="173"/>
      <c r="AC437" s="171" t="s">
        <v>455</v>
      </c>
      <c r="AD437" s="172"/>
      <c r="AE437" s="172"/>
      <c r="AF437" s="172"/>
      <c r="AG437" s="173"/>
      <c r="AH437" s="171" t="s">
        <v>456</v>
      </c>
      <c r="AI437" s="172"/>
      <c r="AJ437" s="172"/>
      <c r="AK437" s="172"/>
      <c r="AL437" s="172"/>
      <c r="AM437" s="172"/>
      <c r="AN437" s="172"/>
      <c r="AO437" s="172"/>
      <c r="AP437" s="172"/>
      <c r="AQ437" s="172"/>
      <c r="AR437" s="172"/>
      <c r="AS437" s="172"/>
      <c r="AT437" s="172"/>
      <c r="AU437" s="172"/>
      <c r="AV437" s="172"/>
      <c r="AW437" s="172"/>
      <c r="AX437" s="172"/>
      <c r="AY437" s="172"/>
      <c r="AZ437" s="172"/>
      <c r="BA437" s="172"/>
      <c r="BB437" s="172"/>
      <c r="BC437" s="172"/>
      <c r="BD437" s="172"/>
      <c r="BE437" s="172"/>
      <c r="BF437" s="172"/>
      <c r="BG437" s="172"/>
      <c r="BH437" s="172"/>
      <c r="BI437" s="172"/>
      <c r="BJ437" s="172"/>
      <c r="BK437" s="172"/>
      <c r="BL437" s="172"/>
      <c r="BM437" s="172"/>
      <c r="BN437" s="172"/>
      <c r="BO437" s="172"/>
      <c r="BP437" s="172"/>
      <c r="BQ437" s="172"/>
      <c r="BR437" s="172"/>
      <c r="BS437" s="172"/>
      <c r="BT437" s="172"/>
      <c r="BU437" s="172"/>
      <c r="BV437" s="172"/>
      <c r="BW437" s="172"/>
      <c r="BX437" s="172"/>
      <c r="BY437" s="172"/>
      <c r="BZ437" s="173"/>
      <c r="CA437" s="12"/>
      <c r="CB437" s="12"/>
      <c r="CC437" s="12"/>
      <c r="CD437" s="12"/>
      <c r="CE437" s="18"/>
    </row>
    <row r="438" spans="1:83" s="6" customFormat="1" ht="12" customHeight="1" x14ac:dyDescent="0.15">
      <c r="A438" s="16"/>
      <c r="B438" s="5"/>
      <c r="C438" s="12"/>
      <c r="D438" s="12"/>
      <c r="E438" s="12"/>
      <c r="F438" s="34" t="s">
        <v>445</v>
      </c>
      <c r="G438" s="35"/>
      <c r="H438" s="35"/>
      <c r="I438" s="35"/>
      <c r="J438" s="35"/>
      <c r="K438" s="35"/>
      <c r="L438" s="35"/>
      <c r="M438" s="35"/>
      <c r="N438" s="35"/>
      <c r="O438" s="35"/>
      <c r="P438" s="35"/>
      <c r="Q438" s="35"/>
      <c r="R438" s="35"/>
      <c r="S438" s="35"/>
      <c r="T438" s="35"/>
      <c r="U438" s="35"/>
      <c r="V438" s="35"/>
      <c r="W438" s="35"/>
      <c r="X438" s="35"/>
      <c r="Y438" s="35"/>
      <c r="Z438" s="35"/>
      <c r="AA438" s="35"/>
      <c r="AB438" s="36"/>
      <c r="AC438" s="153" t="s">
        <v>220</v>
      </c>
      <c r="AD438" s="35"/>
      <c r="AE438" s="35"/>
      <c r="AF438" s="35"/>
      <c r="AG438" s="36"/>
      <c r="AH438" s="34" t="s">
        <v>453</v>
      </c>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6"/>
      <c r="CA438" s="12"/>
      <c r="CB438" s="12"/>
      <c r="CC438" s="12"/>
      <c r="CD438" s="12"/>
      <c r="CE438" s="18"/>
    </row>
    <row r="439" spans="1:83" s="4" customFormat="1" ht="12" customHeight="1" x14ac:dyDescent="0.15">
      <c r="A439" s="16"/>
      <c r="B439" s="73"/>
      <c r="C439" s="12"/>
      <c r="D439" s="12"/>
      <c r="E439" s="12"/>
      <c r="F439" s="34" t="s">
        <v>446</v>
      </c>
      <c r="G439" s="35"/>
      <c r="H439" s="35"/>
      <c r="I439" s="35"/>
      <c r="J439" s="35"/>
      <c r="K439" s="35"/>
      <c r="L439" s="35"/>
      <c r="M439" s="35"/>
      <c r="N439" s="35"/>
      <c r="O439" s="35"/>
      <c r="P439" s="35"/>
      <c r="Q439" s="35"/>
      <c r="R439" s="35"/>
      <c r="S439" s="35"/>
      <c r="T439" s="35"/>
      <c r="U439" s="35"/>
      <c r="V439" s="35"/>
      <c r="W439" s="35"/>
      <c r="X439" s="35"/>
      <c r="Y439" s="35"/>
      <c r="Z439" s="35"/>
      <c r="AA439" s="35"/>
      <c r="AB439" s="36"/>
      <c r="AC439" s="153" t="s">
        <v>221</v>
      </c>
      <c r="AD439" s="35"/>
      <c r="AE439" s="35"/>
      <c r="AF439" s="35"/>
      <c r="AG439" s="36"/>
      <c r="AH439" s="34" t="s">
        <v>453</v>
      </c>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6"/>
      <c r="CA439" s="12"/>
      <c r="CB439" s="12"/>
      <c r="CC439" s="12"/>
      <c r="CD439" s="12"/>
      <c r="CE439" s="18"/>
    </row>
    <row r="440" spans="1:83" s="386" customFormat="1" ht="12" customHeight="1" x14ac:dyDescent="0.15">
      <c r="A440" s="381"/>
      <c r="B440" s="391"/>
      <c r="C440" s="400"/>
      <c r="D440" s="400"/>
      <c r="E440" s="400"/>
      <c r="F440" s="393" t="s">
        <v>447</v>
      </c>
      <c r="G440" s="394"/>
      <c r="H440" s="394"/>
      <c r="I440" s="394"/>
      <c r="J440" s="394"/>
      <c r="K440" s="394"/>
      <c r="L440" s="394"/>
      <c r="M440" s="394"/>
      <c r="N440" s="394"/>
      <c r="O440" s="394"/>
      <c r="P440" s="394"/>
      <c r="Q440" s="394"/>
      <c r="R440" s="394"/>
      <c r="S440" s="394"/>
      <c r="T440" s="394"/>
      <c r="U440" s="394"/>
      <c r="V440" s="394"/>
      <c r="W440" s="394"/>
      <c r="X440" s="394"/>
      <c r="Y440" s="394"/>
      <c r="Z440" s="394"/>
      <c r="AA440" s="394"/>
      <c r="AB440" s="395"/>
      <c r="AC440" s="396" t="s">
        <v>511</v>
      </c>
      <c r="AD440" s="394"/>
      <c r="AE440" s="394"/>
      <c r="AF440" s="394"/>
      <c r="AG440" s="395"/>
      <c r="AH440" s="393" t="s">
        <v>688</v>
      </c>
      <c r="AI440" s="394"/>
      <c r="AJ440" s="394"/>
      <c r="AK440" s="394"/>
      <c r="AL440" s="394"/>
      <c r="AM440" s="394"/>
      <c r="AN440" s="394"/>
      <c r="AO440" s="394"/>
      <c r="AP440" s="394"/>
      <c r="AQ440" s="394"/>
      <c r="AR440" s="394"/>
      <c r="AS440" s="394"/>
      <c r="AT440" s="394"/>
      <c r="AU440" s="394"/>
      <c r="AV440" s="394"/>
      <c r="AW440" s="394"/>
      <c r="AX440" s="394"/>
      <c r="AY440" s="394"/>
      <c r="AZ440" s="394"/>
      <c r="BA440" s="394"/>
      <c r="BB440" s="394"/>
      <c r="BC440" s="394"/>
      <c r="BD440" s="394"/>
      <c r="BE440" s="394"/>
      <c r="BF440" s="394"/>
      <c r="BG440" s="394"/>
      <c r="BH440" s="394"/>
      <c r="BI440" s="394"/>
      <c r="BJ440" s="394"/>
      <c r="BK440" s="394"/>
      <c r="BL440" s="394"/>
      <c r="BM440" s="394"/>
      <c r="BN440" s="394"/>
      <c r="BO440" s="394"/>
      <c r="BP440" s="394"/>
      <c r="BQ440" s="394"/>
      <c r="BR440" s="394"/>
      <c r="BS440" s="394"/>
      <c r="BT440" s="394"/>
      <c r="BU440" s="394"/>
      <c r="BV440" s="394"/>
      <c r="BW440" s="394"/>
      <c r="BX440" s="394"/>
      <c r="BY440" s="394"/>
      <c r="BZ440" s="395"/>
      <c r="CA440" s="400"/>
      <c r="CB440" s="400"/>
      <c r="CC440" s="400"/>
      <c r="CD440" s="400"/>
      <c r="CE440" s="384"/>
    </row>
    <row r="441" spans="1:83" s="4" customFormat="1" ht="12" customHeight="1" x14ac:dyDescent="0.15">
      <c r="A441" s="16"/>
      <c r="B441" s="73"/>
      <c r="C441" s="12"/>
      <c r="D441" s="12"/>
      <c r="E441" s="12"/>
      <c r="F441" s="34" t="s">
        <v>900</v>
      </c>
      <c r="G441" s="35"/>
      <c r="H441" s="35"/>
      <c r="I441" s="35"/>
      <c r="J441" s="35"/>
      <c r="K441" s="35"/>
      <c r="L441" s="35"/>
      <c r="M441" s="35"/>
      <c r="N441" s="35"/>
      <c r="O441" s="35"/>
      <c r="P441" s="35"/>
      <c r="Q441" s="35"/>
      <c r="R441" s="35"/>
      <c r="S441" s="35"/>
      <c r="T441" s="35"/>
      <c r="U441" s="35"/>
      <c r="V441" s="35"/>
      <c r="W441" s="35"/>
      <c r="X441" s="35"/>
      <c r="Y441" s="35"/>
      <c r="Z441" s="35"/>
      <c r="AA441" s="35"/>
      <c r="AB441" s="36"/>
      <c r="AC441" s="153" t="s">
        <v>222</v>
      </c>
      <c r="AD441" s="35"/>
      <c r="AE441" s="35"/>
      <c r="AF441" s="35"/>
      <c r="AG441" s="36"/>
      <c r="AH441" s="34" t="s">
        <v>448</v>
      </c>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6"/>
      <c r="CA441" s="12"/>
      <c r="CB441" s="12"/>
      <c r="CC441" s="12"/>
      <c r="CD441" s="12"/>
      <c r="CE441" s="18"/>
    </row>
    <row r="442" spans="1:83" s="4" customFormat="1" ht="12" customHeight="1" x14ac:dyDescent="0.15">
      <c r="A442" s="16"/>
      <c r="B442" s="73"/>
      <c r="C442" s="12"/>
      <c r="D442" s="12"/>
      <c r="E442" s="12"/>
      <c r="F442" s="34" t="s">
        <v>449</v>
      </c>
      <c r="G442" s="35"/>
      <c r="H442" s="35"/>
      <c r="I442" s="35"/>
      <c r="J442" s="35"/>
      <c r="K442" s="35"/>
      <c r="L442" s="35"/>
      <c r="M442" s="35"/>
      <c r="N442" s="35"/>
      <c r="O442" s="35"/>
      <c r="P442" s="35"/>
      <c r="Q442" s="35"/>
      <c r="R442" s="35"/>
      <c r="S442" s="35"/>
      <c r="T442" s="35"/>
      <c r="U442" s="35"/>
      <c r="V442" s="35"/>
      <c r="W442" s="35"/>
      <c r="X442" s="35"/>
      <c r="Y442" s="35"/>
      <c r="Z442" s="35"/>
      <c r="AA442" s="35"/>
      <c r="AB442" s="36"/>
      <c r="AC442" s="153" t="s">
        <v>223</v>
      </c>
      <c r="AD442" s="35"/>
      <c r="AE442" s="35"/>
      <c r="AF442" s="35"/>
      <c r="AG442" s="36"/>
      <c r="AH442" s="34" t="s">
        <v>224</v>
      </c>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6"/>
      <c r="CA442" s="12"/>
      <c r="CB442" s="12"/>
      <c r="CC442" s="12"/>
      <c r="CD442" s="12"/>
      <c r="CE442" s="18"/>
    </row>
    <row r="443" spans="1:83" s="4" customFormat="1" ht="12" customHeight="1" x14ac:dyDescent="0.15">
      <c r="A443" s="16"/>
      <c r="B443" s="8"/>
      <c r="C443" s="12"/>
      <c r="D443" s="12"/>
      <c r="E443" s="12"/>
      <c r="F443" s="34" t="s">
        <v>450</v>
      </c>
      <c r="G443" s="35"/>
      <c r="H443" s="35"/>
      <c r="I443" s="35"/>
      <c r="J443" s="35"/>
      <c r="K443" s="35"/>
      <c r="L443" s="35"/>
      <c r="M443" s="35"/>
      <c r="N443" s="35"/>
      <c r="O443" s="35"/>
      <c r="P443" s="35"/>
      <c r="Q443" s="35"/>
      <c r="R443" s="35"/>
      <c r="S443" s="35"/>
      <c r="T443" s="35"/>
      <c r="U443" s="35"/>
      <c r="V443" s="35"/>
      <c r="W443" s="35"/>
      <c r="X443" s="35"/>
      <c r="Y443" s="35"/>
      <c r="Z443" s="35"/>
      <c r="AA443" s="35"/>
      <c r="AB443" s="36"/>
      <c r="AC443" s="153" t="s">
        <v>225</v>
      </c>
      <c r="AD443" s="35"/>
      <c r="AE443" s="35"/>
      <c r="AF443" s="35"/>
      <c r="AG443" s="36"/>
      <c r="AH443" s="396" t="s">
        <v>876</v>
      </c>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6"/>
      <c r="CA443" s="12"/>
      <c r="CB443" s="12"/>
      <c r="CC443" s="12"/>
      <c r="CD443" s="12"/>
      <c r="CE443" s="18"/>
    </row>
    <row r="444" spans="1:83" s="4" customFormat="1" ht="12" customHeight="1" x14ac:dyDescent="0.15">
      <c r="A444" s="16"/>
      <c r="B444" s="8"/>
      <c r="C444" s="12"/>
      <c r="D444" s="12"/>
      <c r="E444" s="12"/>
      <c r="F444" s="34" t="s">
        <v>451</v>
      </c>
      <c r="G444" s="35"/>
      <c r="H444" s="35"/>
      <c r="I444" s="35"/>
      <c r="J444" s="35"/>
      <c r="K444" s="35"/>
      <c r="L444" s="35"/>
      <c r="M444" s="35"/>
      <c r="N444" s="35"/>
      <c r="O444" s="35"/>
      <c r="P444" s="35"/>
      <c r="Q444" s="35"/>
      <c r="R444" s="35"/>
      <c r="S444" s="35"/>
      <c r="T444" s="35"/>
      <c r="U444" s="35"/>
      <c r="V444" s="35"/>
      <c r="W444" s="35"/>
      <c r="X444" s="35"/>
      <c r="Y444" s="35"/>
      <c r="Z444" s="35"/>
      <c r="AA444" s="35"/>
      <c r="AB444" s="36"/>
      <c r="AC444" s="153" t="s">
        <v>226</v>
      </c>
      <c r="AD444" s="35"/>
      <c r="AE444" s="35"/>
      <c r="AF444" s="35"/>
      <c r="AG444" s="36"/>
      <c r="AH444" s="34" t="s">
        <v>452</v>
      </c>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6"/>
      <c r="CA444" s="12"/>
      <c r="CB444" s="12"/>
      <c r="CC444" s="12"/>
      <c r="CD444" s="12"/>
      <c r="CE444" s="18"/>
    </row>
    <row r="445" spans="1:83" s="9" customFormat="1" ht="12" customHeight="1" x14ac:dyDescent="0.15">
      <c r="A445" s="16"/>
      <c r="B445" s="8"/>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17"/>
      <c r="CD445" s="17"/>
      <c r="CE445" s="18"/>
    </row>
    <row r="446" spans="1:83" s="9" customFormat="1" ht="12" customHeight="1" x14ac:dyDescent="0.15">
      <c r="A446" s="16"/>
      <c r="B446" s="8"/>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c r="BW446" s="20"/>
      <c r="BX446" s="20"/>
      <c r="BY446" s="20"/>
      <c r="BZ446" s="20"/>
      <c r="CA446" s="20"/>
      <c r="CB446" s="20"/>
      <c r="CC446" s="17"/>
      <c r="CD446" s="17"/>
      <c r="CE446" s="18"/>
    </row>
    <row r="447" spans="1:83" s="9" customFormat="1" ht="12" customHeight="1" x14ac:dyDescent="0.15">
      <c r="A447" s="16"/>
      <c r="B447" s="8"/>
      <c r="C447" s="17"/>
      <c r="D447" s="17"/>
      <c r="E447" s="17" t="s">
        <v>690</v>
      </c>
      <c r="F447" s="17"/>
      <c r="G447" s="17"/>
      <c r="H447" s="17"/>
      <c r="I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17"/>
      <c r="CD447" s="17"/>
      <c r="CE447" s="18"/>
    </row>
    <row r="448" spans="1:83" s="9" customFormat="1" ht="12" customHeight="1" x14ac:dyDescent="0.15">
      <c r="A448" s="16"/>
      <c r="B448" s="8"/>
      <c r="C448" s="17"/>
      <c r="D448" s="17"/>
      <c r="F448" s="17" t="s">
        <v>685</v>
      </c>
      <c r="G448" s="17"/>
      <c r="H448" s="17"/>
      <c r="I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c r="BW448" s="20"/>
      <c r="BX448" s="20"/>
      <c r="BY448" s="20"/>
      <c r="BZ448" s="20"/>
      <c r="CA448" s="20"/>
      <c r="CB448" s="20"/>
      <c r="CC448" s="17"/>
      <c r="CD448" s="17"/>
      <c r="CE448" s="18"/>
    </row>
    <row r="449" spans="1:83" s="9" customFormat="1" ht="12" customHeight="1" x14ac:dyDescent="0.15">
      <c r="A449" s="16"/>
      <c r="B449" s="8"/>
      <c r="C449" s="17"/>
      <c r="D449" s="17"/>
      <c r="E449" s="17"/>
      <c r="F449" s="831" t="s">
        <v>679</v>
      </c>
      <c r="G449" s="832"/>
      <c r="H449" s="833"/>
      <c r="I449" s="831" t="s">
        <v>431</v>
      </c>
      <c r="J449" s="832"/>
      <c r="K449" s="832"/>
      <c r="L449" s="832"/>
      <c r="M449" s="832"/>
      <c r="N449" s="832"/>
      <c r="O449" s="832"/>
      <c r="P449" s="832"/>
      <c r="Q449" s="832"/>
      <c r="R449" s="832"/>
      <c r="S449" s="832"/>
      <c r="T449" s="832"/>
      <c r="U449" s="832"/>
      <c r="V449" s="832"/>
      <c r="W449" s="833"/>
      <c r="X449" s="633" t="s">
        <v>668</v>
      </c>
      <c r="Y449" s="634"/>
      <c r="Z449" s="634"/>
      <c r="AA449" s="634"/>
      <c r="AB449" s="634"/>
      <c r="AC449" s="634"/>
      <c r="AD449" s="634"/>
      <c r="AE449" s="634"/>
      <c r="AF449" s="635"/>
      <c r="AG449" s="633" t="s">
        <v>669</v>
      </c>
      <c r="AH449" s="634"/>
      <c r="AI449" s="634"/>
      <c r="AJ449" s="634"/>
      <c r="AK449" s="634"/>
      <c r="AL449" s="634"/>
      <c r="AM449" s="634"/>
      <c r="AN449" s="634"/>
      <c r="AO449" s="634"/>
      <c r="AP449" s="634"/>
      <c r="AQ449" s="634"/>
      <c r="AR449" s="634"/>
      <c r="AS449" s="634"/>
      <c r="AT449" s="634"/>
      <c r="AU449" s="634"/>
      <c r="AV449" s="634"/>
      <c r="AW449" s="634"/>
      <c r="AX449" s="634"/>
      <c r="AY449" s="634"/>
      <c r="AZ449" s="634"/>
      <c r="BA449" s="634"/>
      <c r="BB449" s="634"/>
      <c r="BC449" s="634"/>
      <c r="BD449" s="635"/>
      <c r="BE449" s="636" t="s">
        <v>686</v>
      </c>
      <c r="BF449" s="637"/>
      <c r="BG449" s="637"/>
      <c r="BH449" s="637"/>
      <c r="BI449" s="637"/>
      <c r="BJ449" s="637"/>
      <c r="BK449" s="637"/>
      <c r="BL449" s="637"/>
      <c r="BM449" s="637"/>
      <c r="BN449" s="636" t="s">
        <v>687</v>
      </c>
      <c r="BO449" s="637"/>
      <c r="BP449" s="637"/>
      <c r="BQ449" s="637"/>
      <c r="BR449" s="637"/>
      <c r="BS449" s="637"/>
      <c r="BT449" s="637"/>
      <c r="BU449" s="637"/>
      <c r="BV449" s="637"/>
      <c r="BW449" s="20"/>
      <c r="BX449" s="20"/>
      <c r="BY449" s="20"/>
      <c r="BZ449" s="20"/>
      <c r="CA449" s="20"/>
      <c r="CB449" s="20"/>
      <c r="CC449" s="17"/>
      <c r="CD449" s="17"/>
      <c r="CE449" s="18"/>
    </row>
    <row r="450" spans="1:83" s="9" customFormat="1" ht="12" customHeight="1" x14ac:dyDescent="0.15">
      <c r="A450" s="16"/>
      <c r="B450" s="8"/>
      <c r="C450" s="17"/>
      <c r="D450" s="17"/>
      <c r="E450" s="17"/>
      <c r="F450" s="813" t="s">
        <v>154</v>
      </c>
      <c r="G450" s="814"/>
      <c r="H450" s="815"/>
      <c r="I450" s="37" t="s">
        <v>508</v>
      </c>
      <c r="J450" s="42"/>
      <c r="K450" s="42"/>
      <c r="L450" s="42"/>
      <c r="M450" s="42"/>
      <c r="N450" s="42"/>
      <c r="O450" s="42"/>
      <c r="P450" s="42"/>
      <c r="Q450" s="42"/>
      <c r="R450" s="42"/>
      <c r="S450" s="42"/>
      <c r="T450" s="42"/>
      <c r="U450" s="42"/>
      <c r="V450" s="42"/>
      <c r="W450" s="43"/>
      <c r="X450" s="810" t="s">
        <v>670</v>
      </c>
      <c r="Y450" s="811"/>
      <c r="Z450" s="811"/>
      <c r="AA450" s="811"/>
      <c r="AB450" s="811"/>
      <c r="AC450" s="811"/>
      <c r="AD450" s="811"/>
      <c r="AE450" s="811"/>
      <c r="AF450" s="812"/>
      <c r="AG450" s="362" t="s">
        <v>675</v>
      </c>
      <c r="AH450" s="363"/>
      <c r="AI450" s="363"/>
      <c r="AJ450" s="363"/>
      <c r="AK450" s="363"/>
      <c r="AL450" s="363"/>
      <c r="AM450" s="363"/>
      <c r="AN450" s="363"/>
      <c r="AO450" s="363"/>
      <c r="AP450" s="363"/>
      <c r="AQ450" s="363"/>
      <c r="AR450" s="363"/>
      <c r="AS450" s="363"/>
      <c r="AT450" s="363"/>
      <c r="AU450" s="363"/>
      <c r="AV450" s="363"/>
      <c r="AW450" s="363"/>
      <c r="AX450" s="363"/>
      <c r="AY450" s="363"/>
      <c r="AZ450" s="363"/>
      <c r="BA450" s="363"/>
      <c r="BB450" s="363"/>
      <c r="BC450" s="363"/>
      <c r="BD450" s="364"/>
      <c r="BE450" s="541">
        <v>8.3469785749912262E-4</v>
      </c>
      <c r="BF450" s="542"/>
      <c r="BG450" s="542"/>
      <c r="BH450" s="542"/>
      <c r="BI450" s="542"/>
      <c r="BJ450" s="542"/>
      <c r="BK450" s="542"/>
      <c r="BL450" s="542"/>
      <c r="BM450" s="543"/>
      <c r="BN450" s="892">
        <f>BE450*1.25</f>
        <v>1.0433723218739033E-3</v>
      </c>
      <c r="BO450" s="893"/>
      <c r="BP450" s="893"/>
      <c r="BQ450" s="893"/>
      <c r="BR450" s="893"/>
      <c r="BS450" s="893"/>
      <c r="BT450" s="893"/>
      <c r="BU450" s="893"/>
      <c r="BV450" s="894"/>
      <c r="BW450" s="20"/>
      <c r="BX450" s="20"/>
      <c r="BY450" s="20"/>
      <c r="BZ450" s="20"/>
      <c r="CA450" s="20"/>
      <c r="CB450" s="20"/>
      <c r="CC450" s="17"/>
      <c r="CD450" s="17"/>
      <c r="CE450" s="18"/>
    </row>
    <row r="451" spans="1:83" s="9" customFormat="1" ht="12" customHeight="1" x14ac:dyDescent="0.15">
      <c r="A451" s="16"/>
      <c r="B451" s="8"/>
      <c r="C451" s="17"/>
      <c r="D451" s="17"/>
      <c r="E451" s="17"/>
      <c r="F451" s="813" t="s">
        <v>156</v>
      </c>
      <c r="G451" s="814"/>
      <c r="H451" s="815"/>
      <c r="I451" s="177"/>
      <c r="J451" s="20"/>
      <c r="K451" s="20"/>
      <c r="L451" s="20"/>
      <c r="M451" s="20"/>
      <c r="N451" s="20"/>
      <c r="O451" s="20"/>
      <c r="P451" s="20"/>
      <c r="Q451" s="20"/>
      <c r="R451" s="20"/>
      <c r="S451" s="20"/>
      <c r="T451" s="20"/>
      <c r="U451" s="20"/>
      <c r="V451" s="20"/>
      <c r="W451" s="357"/>
      <c r="X451" s="810" t="s">
        <v>509</v>
      </c>
      <c r="Y451" s="811"/>
      <c r="Z451" s="811"/>
      <c r="AA451" s="811"/>
      <c r="AB451" s="811"/>
      <c r="AC451" s="811"/>
      <c r="AD451" s="811"/>
      <c r="AE451" s="811"/>
      <c r="AF451" s="812"/>
      <c r="AG451" s="362" t="s">
        <v>671</v>
      </c>
      <c r="AH451" s="363"/>
      <c r="AI451" s="363"/>
      <c r="AJ451" s="363"/>
      <c r="AK451" s="363"/>
      <c r="AL451" s="363"/>
      <c r="AM451" s="363"/>
      <c r="AN451" s="363"/>
      <c r="AO451" s="363"/>
      <c r="AP451" s="363"/>
      <c r="AQ451" s="363"/>
      <c r="AR451" s="363"/>
      <c r="AS451" s="363"/>
      <c r="AT451" s="363"/>
      <c r="AU451" s="363"/>
      <c r="AV451" s="363"/>
      <c r="AW451" s="363"/>
      <c r="AX451" s="363"/>
      <c r="AY451" s="363"/>
      <c r="AZ451" s="363"/>
      <c r="BA451" s="363"/>
      <c r="BB451" s="363"/>
      <c r="BC451" s="363"/>
      <c r="BD451" s="364"/>
      <c r="BE451" s="541">
        <v>5.2135437726974487E-2</v>
      </c>
      <c r="BF451" s="542"/>
      <c r="BG451" s="542"/>
      <c r="BH451" s="542"/>
      <c r="BI451" s="542"/>
      <c r="BJ451" s="542"/>
      <c r="BK451" s="542"/>
      <c r="BL451" s="542"/>
      <c r="BM451" s="543"/>
      <c r="BN451" s="871">
        <f t="shared" ref="BN451:BN458" si="0">BE451*1.25</f>
        <v>6.5169297158718109E-2</v>
      </c>
      <c r="BO451" s="872"/>
      <c r="BP451" s="872"/>
      <c r="BQ451" s="872"/>
      <c r="BR451" s="872"/>
      <c r="BS451" s="872"/>
      <c r="BT451" s="872"/>
      <c r="BU451" s="872"/>
      <c r="BV451" s="873"/>
      <c r="BW451" s="20"/>
      <c r="BX451" s="20"/>
      <c r="BY451" s="20"/>
      <c r="BZ451" s="20"/>
      <c r="CA451" s="20"/>
      <c r="CB451" s="20"/>
      <c r="CC451" s="17"/>
      <c r="CD451" s="17"/>
      <c r="CE451" s="18"/>
    </row>
    <row r="452" spans="1:83" s="9" customFormat="1" ht="12" customHeight="1" x14ac:dyDescent="0.15">
      <c r="A452" s="16"/>
      <c r="B452" s="8"/>
      <c r="C452" s="17"/>
      <c r="D452" s="17"/>
      <c r="E452" s="17"/>
      <c r="F452" s="813" t="s">
        <v>681</v>
      </c>
      <c r="G452" s="814"/>
      <c r="H452" s="815"/>
      <c r="I452" s="177"/>
      <c r="J452" s="20"/>
      <c r="K452" s="20"/>
      <c r="L452" s="20"/>
      <c r="M452" s="20"/>
      <c r="N452" s="20"/>
      <c r="O452" s="20"/>
      <c r="P452" s="20"/>
      <c r="Q452" s="20"/>
      <c r="R452" s="20"/>
      <c r="S452" s="20"/>
      <c r="T452" s="20"/>
      <c r="U452" s="20"/>
      <c r="V452" s="20"/>
      <c r="W452" s="357"/>
      <c r="X452" s="810" t="s">
        <v>698</v>
      </c>
      <c r="Y452" s="811"/>
      <c r="Z452" s="811"/>
      <c r="AA452" s="811"/>
      <c r="AB452" s="811"/>
      <c r="AC452" s="811"/>
      <c r="AD452" s="811"/>
      <c r="AE452" s="811"/>
      <c r="AF452" s="812"/>
      <c r="AG452" s="362" t="s">
        <v>672</v>
      </c>
      <c r="AH452" s="363"/>
      <c r="AI452" s="363"/>
      <c r="AJ452" s="363"/>
      <c r="AK452" s="363"/>
      <c r="AL452" s="363"/>
      <c r="AM452" s="363"/>
      <c r="AN452" s="363"/>
      <c r="AO452" s="363"/>
      <c r="AP452" s="363"/>
      <c r="AQ452" s="363"/>
      <c r="AR452" s="363"/>
      <c r="AS452" s="363"/>
      <c r="AT452" s="363"/>
      <c r="AU452" s="363"/>
      <c r="AV452" s="363"/>
      <c r="AW452" s="363"/>
      <c r="AX452" s="363"/>
      <c r="AY452" s="363"/>
      <c r="AZ452" s="363"/>
      <c r="BA452" s="363"/>
      <c r="BB452" s="363"/>
      <c r="BC452" s="363"/>
      <c r="BD452" s="364"/>
      <c r="BE452" s="541">
        <v>3.9227306842803955</v>
      </c>
      <c r="BF452" s="542"/>
      <c r="BG452" s="542"/>
      <c r="BH452" s="542"/>
      <c r="BI452" s="542"/>
      <c r="BJ452" s="542"/>
      <c r="BK452" s="542"/>
      <c r="BL452" s="542"/>
      <c r="BM452" s="543"/>
      <c r="BN452" s="871">
        <f t="shared" si="0"/>
        <v>4.9034133553504944</v>
      </c>
      <c r="BO452" s="872"/>
      <c r="BP452" s="872"/>
      <c r="BQ452" s="872"/>
      <c r="BR452" s="872"/>
      <c r="BS452" s="872"/>
      <c r="BT452" s="872"/>
      <c r="BU452" s="872"/>
      <c r="BV452" s="873"/>
      <c r="BW452" s="20"/>
      <c r="BX452" s="20"/>
      <c r="BY452" s="20"/>
      <c r="BZ452" s="20"/>
      <c r="CA452" s="20"/>
      <c r="CB452" s="20"/>
      <c r="CC452" s="17"/>
      <c r="CD452" s="17"/>
      <c r="CE452" s="18"/>
    </row>
    <row r="453" spans="1:83" s="9" customFormat="1" ht="12" customHeight="1" x14ac:dyDescent="0.15">
      <c r="A453" s="16"/>
      <c r="B453" s="8"/>
      <c r="C453" s="17"/>
      <c r="D453" s="17"/>
      <c r="E453" s="17"/>
      <c r="F453" s="813" t="s">
        <v>565</v>
      </c>
      <c r="G453" s="814"/>
      <c r="H453" s="815"/>
      <c r="I453" s="177"/>
      <c r="J453" s="20"/>
      <c r="K453" s="20"/>
      <c r="L453" s="20"/>
      <c r="M453" s="20"/>
      <c r="N453" s="20"/>
      <c r="O453" s="20"/>
      <c r="P453" s="20"/>
      <c r="Q453" s="20"/>
      <c r="R453" s="20"/>
      <c r="S453" s="20"/>
      <c r="T453" s="20"/>
      <c r="U453" s="20"/>
      <c r="V453" s="20"/>
      <c r="W453" s="357"/>
      <c r="X453" s="810" t="s">
        <v>698</v>
      </c>
      <c r="Y453" s="811"/>
      <c r="Z453" s="811"/>
      <c r="AA453" s="811"/>
      <c r="AB453" s="811"/>
      <c r="AC453" s="811"/>
      <c r="AD453" s="811"/>
      <c r="AE453" s="811"/>
      <c r="AF453" s="812"/>
      <c r="AG453" s="362" t="s">
        <v>673</v>
      </c>
      <c r="AH453" s="363"/>
      <c r="AI453" s="363"/>
      <c r="AJ453" s="363"/>
      <c r="AK453" s="363"/>
      <c r="AL453" s="363"/>
      <c r="AM453" s="363"/>
      <c r="AN453" s="363"/>
      <c r="AO453" s="363"/>
      <c r="AP453" s="363"/>
      <c r="AQ453" s="363"/>
      <c r="AR453" s="363"/>
      <c r="AS453" s="363"/>
      <c r="AT453" s="363"/>
      <c r="AU453" s="363"/>
      <c r="AV453" s="363"/>
      <c r="AW453" s="363"/>
      <c r="AX453" s="363"/>
      <c r="AY453" s="363"/>
      <c r="AZ453" s="363"/>
      <c r="BA453" s="363"/>
      <c r="BB453" s="363"/>
      <c r="BC453" s="363"/>
      <c r="BD453" s="364"/>
      <c r="BE453" s="541">
        <v>2.1122395992279053</v>
      </c>
      <c r="BF453" s="542"/>
      <c r="BG453" s="542"/>
      <c r="BH453" s="542"/>
      <c r="BI453" s="542"/>
      <c r="BJ453" s="542"/>
      <c r="BK453" s="542"/>
      <c r="BL453" s="542"/>
      <c r="BM453" s="543"/>
      <c r="BN453" s="871">
        <f t="shared" si="0"/>
        <v>2.6402994990348816</v>
      </c>
      <c r="BO453" s="872"/>
      <c r="BP453" s="872"/>
      <c r="BQ453" s="872"/>
      <c r="BR453" s="872"/>
      <c r="BS453" s="872"/>
      <c r="BT453" s="872"/>
      <c r="BU453" s="872"/>
      <c r="BV453" s="873"/>
      <c r="BW453" s="20"/>
      <c r="BX453" s="20"/>
      <c r="BY453" s="20"/>
      <c r="BZ453" s="20"/>
      <c r="CA453" s="20"/>
      <c r="CB453" s="20"/>
      <c r="CC453" s="17"/>
      <c r="CD453" s="17"/>
      <c r="CE453" s="18"/>
    </row>
    <row r="454" spans="1:83" s="9" customFormat="1" ht="12" customHeight="1" x14ac:dyDescent="0.15">
      <c r="A454" s="16"/>
      <c r="B454" s="8"/>
      <c r="C454" s="17"/>
      <c r="D454" s="17"/>
      <c r="E454" s="17"/>
      <c r="F454" s="813" t="s">
        <v>637</v>
      </c>
      <c r="G454" s="814"/>
      <c r="H454" s="815"/>
      <c r="I454" s="177"/>
      <c r="J454" s="20"/>
      <c r="K454" s="20"/>
      <c r="L454" s="20"/>
      <c r="M454" s="20"/>
      <c r="N454" s="20"/>
      <c r="O454" s="20"/>
      <c r="P454" s="20"/>
      <c r="Q454" s="20"/>
      <c r="R454" s="20"/>
      <c r="S454" s="20"/>
      <c r="T454" s="20"/>
      <c r="U454" s="20"/>
      <c r="V454" s="20"/>
      <c r="W454" s="357"/>
      <c r="X454" s="810" t="s">
        <v>698</v>
      </c>
      <c r="Y454" s="811"/>
      <c r="Z454" s="811"/>
      <c r="AA454" s="811"/>
      <c r="AB454" s="811"/>
      <c r="AC454" s="811"/>
      <c r="AD454" s="811"/>
      <c r="AE454" s="811"/>
      <c r="AF454" s="812"/>
      <c r="AG454" s="362" t="s">
        <v>674</v>
      </c>
      <c r="AH454" s="363"/>
      <c r="AI454" s="363"/>
      <c r="AJ454" s="363"/>
      <c r="AK454" s="363"/>
      <c r="AL454" s="363"/>
      <c r="AM454" s="363"/>
      <c r="AN454" s="363"/>
      <c r="AO454" s="363"/>
      <c r="AP454" s="363"/>
      <c r="AQ454" s="363"/>
      <c r="AR454" s="363"/>
      <c r="AS454" s="363"/>
      <c r="AT454" s="363"/>
      <c r="AU454" s="363"/>
      <c r="AV454" s="363"/>
      <c r="AW454" s="363"/>
      <c r="AX454" s="363"/>
      <c r="AY454" s="363"/>
      <c r="AZ454" s="363"/>
      <c r="BA454" s="363"/>
      <c r="BB454" s="363"/>
      <c r="BC454" s="363"/>
      <c r="BD454" s="364"/>
      <c r="BE454" s="541">
        <v>1.3880431652069092</v>
      </c>
      <c r="BF454" s="542"/>
      <c r="BG454" s="542"/>
      <c r="BH454" s="542"/>
      <c r="BI454" s="542"/>
      <c r="BJ454" s="542"/>
      <c r="BK454" s="542"/>
      <c r="BL454" s="542"/>
      <c r="BM454" s="543"/>
      <c r="BN454" s="871">
        <f t="shared" si="0"/>
        <v>1.7350539565086365</v>
      </c>
      <c r="BO454" s="872"/>
      <c r="BP454" s="872"/>
      <c r="BQ454" s="872"/>
      <c r="BR454" s="872"/>
      <c r="BS454" s="872"/>
      <c r="BT454" s="872"/>
      <c r="BU454" s="872"/>
      <c r="BV454" s="873"/>
      <c r="BW454" s="20"/>
      <c r="BX454" s="20"/>
      <c r="BY454" s="20"/>
      <c r="BZ454" s="20"/>
      <c r="CA454" s="20"/>
      <c r="CB454" s="20"/>
      <c r="CC454" s="17"/>
      <c r="CD454" s="17"/>
      <c r="CE454" s="18"/>
    </row>
    <row r="455" spans="1:83" s="9" customFormat="1" ht="12" customHeight="1" x14ac:dyDescent="0.15">
      <c r="A455" s="16"/>
      <c r="B455" s="8"/>
      <c r="C455" s="17"/>
      <c r="D455" s="17"/>
      <c r="E455" s="17"/>
      <c r="F455" s="813" t="s">
        <v>682</v>
      </c>
      <c r="G455" s="814"/>
      <c r="H455" s="815"/>
      <c r="I455" s="177"/>
      <c r="J455" s="20"/>
      <c r="K455" s="20"/>
      <c r="L455" s="20"/>
      <c r="M455" s="20"/>
      <c r="N455" s="20"/>
      <c r="O455" s="20"/>
      <c r="P455" s="20"/>
      <c r="Q455" s="20"/>
      <c r="R455" s="20"/>
      <c r="S455" s="20"/>
      <c r="T455" s="20"/>
      <c r="U455" s="20"/>
      <c r="V455" s="20"/>
      <c r="W455" s="357"/>
      <c r="X455" s="810" t="s">
        <v>509</v>
      </c>
      <c r="Y455" s="811"/>
      <c r="Z455" s="811"/>
      <c r="AA455" s="811"/>
      <c r="AB455" s="811"/>
      <c r="AC455" s="811"/>
      <c r="AD455" s="811"/>
      <c r="AE455" s="811"/>
      <c r="AF455" s="812"/>
      <c r="AG455" s="362" t="s">
        <v>676</v>
      </c>
      <c r="AH455" s="363"/>
      <c r="AI455" s="363"/>
      <c r="AJ455" s="363"/>
      <c r="AK455" s="363"/>
      <c r="AL455" s="363"/>
      <c r="AM455" s="363"/>
      <c r="AN455" s="363"/>
      <c r="AO455" s="363"/>
      <c r="AP455" s="363"/>
      <c r="AQ455" s="363"/>
      <c r="AR455" s="363"/>
      <c r="AS455" s="363"/>
      <c r="AT455" s="363"/>
      <c r="AU455" s="363"/>
      <c r="AV455" s="363"/>
      <c r="AW455" s="363"/>
      <c r="AX455" s="363"/>
      <c r="AY455" s="363"/>
      <c r="AZ455" s="363"/>
      <c r="BA455" s="363"/>
      <c r="BB455" s="363"/>
      <c r="BC455" s="363"/>
      <c r="BD455" s="364"/>
      <c r="BE455" s="541">
        <v>2.0954757928848267E-5</v>
      </c>
      <c r="BF455" s="542"/>
      <c r="BG455" s="542"/>
      <c r="BH455" s="542"/>
      <c r="BI455" s="542"/>
      <c r="BJ455" s="542"/>
      <c r="BK455" s="542"/>
      <c r="BL455" s="542"/>
      <c r="BM455" s="543"/>
      <c r="BN455" s="871">
        <f t="shared" si="0"/>
        <v>2.6193447411060333E-5</v>
      </c>
      <c r="BO455" s="872"/>
      <c r="BP455" s="872"/>
      <c r="BQ455" s="872"/>
      <c r="BR455" s="872"/>
      <c r="BS455" s="872"/>
      <c r="BT455" s="872"/>
      <c r="BU455" s="872"/>
      <c r="BV455" s="873"/>
      <c r="BW455" s="20"/>
      <c r="BX455" s="20"/>
      <c r="BY455" s="20"/>
      <c r="BZ455" s="20"/>
      <c r="CA455" s="20"/>
      <c r="CB455" s="20"/>
      <c r="CC455" s="17"/>
      <c r="CD455" s="17"/>
      <c r="CE455" s="18"/>
    </row>
    <row r="456" spans="1:83" s="9" customFormat="1" ht="12" customHeight="1" x14ac:dyDescent="0.15">
      <c r="A456" s="16"/>
      <c r="B456" s="8"/>
      <c r="C456" s="17"/>
      <c r="D456" s="17"/>
      <c r="E456" s="17"/>
      <c r="F456" s="813" t="s">
        <v>683</v>
      </c>
      <c r="G456" s="814"/>
      <c r="H456" s="815"/>
      <c r="I456" s="177"/>
      <c r="J456" s="20"/>
      <c r="K456" s="20"/>
      <c r="L456" s="20"/>
      <c r="M456" s="20"/>
      <c r="N456" s="20"/>
      <c r="O456" s="20"/>
      <c r="P456" s="20"/>
      <c r="Q456" s="20"/>
      <c r="R456" s="20"/>
      <c r="S456" s="20"/>
      <c r="T456" s="20"/>
      <c r="U456" s="20"/>
      <c r="V456" s="20"/>
      <c r="W456" s="357"/>
      <c r="X456" s="810" t="s">
        <v>494</v>
      </c>
      <c r="Y456" s="811"/>
      <c r="Z456" s="811"/>
      <c r="AA456" s="811"/>
      <c r="AB456" s="811"/>
      <c r="AC456" s="811"/>
      <c r="AD456" s="811"/>
      <c r="AE456" s="811"/>
      <c r="AF456" s="812"/>
      <c r="AG456" s="362" t="s">
        <v>677</v>
      </c>
      <c r="AH456" s="363"/>
      <c r="AI456" s="363"/>
      <c r="AJ456" s="363"/>
      <c r="AK456" s="363"/>
      <c r="AL456" s="363"/>
      <c r="AM456" s="363"/>
      <c r="AN456" s="363"/>
      <c r="AO456" s="363"/>
      <c r="AP456" s="363"/>
      <c r="AQ456" s="363"/>
      <c r="AR456" s="363"/>
      <c r="AS456" s="363"/>
      <c r="AT456" s="363"/>
      <c r="AU456" s="363"/>
      <c r="AV456" s="363"/>
      <c r="AW456" s="363"/>
      <c r="AX456" s="363"/>
      <c r="AY456" s="363"/>
      <c r="AZ456" s="363"/>
      <c r="BA456" s="363"/>
      <c r="BB456" s="363"/>
      <c r="BC456" s="363"/>
      <c r="BD456" s="364"/>
      <c r="BE456" s="541">
        <v>8.2316994667053223E-2</v>
      </c>
      <c r="BF456" s="542"/>
      <c r="BG456" s="542"/>
      <c r="BH456" s="542"/>
      <c r="BI456" s="542"/>
      <c r="BJ456" s="542"/>
      <c r="BK456" s="542"/>
      <c r="BL456" s="542"/>
      <c r="BM456" s="543"/>
      <c r="BN456" s="871">
        <f t="shared" si="0"/>
        <v>0.10289624333381653</v>
      </c>
      <c r="BO456" s="872"/>
      <c r="BP456" s="872"/>
      <c r="BQ456" s="872"/>
      <c r="BR456" s="872"/>
      <c r="BS456" s="872"/>
      <c r="BT456" s="872"/>
      <c r="BU456" s="872"/>
      <c r="BV456" s="873"/>
      <c r="BW456" s="20"/>
      <c r="BX456" s="20"/>
      <c r="BY456" s="20"/>
      <c r="BZ456" s="20"/>
      <c r="CA456" s="20"/>
      <c r="CB456" s="20"/>
      <c r="CC456" s="17"/>
      <c r="CD456" s="17"/>
      <c r="CE456" s="18"/>
    </row>
    <row r="457" spans="1:83" s="9" customFormat="1" ht="12" customHeight="1" x14ac:dyDescent="0.15">
      <c r="A457" s="16"/>
      <c r="B457" s="8"/>
      <c r="C457" s="17"/>
      <c r="D457" s="17"/>
      <c r="E457" s="17"/>
      <c r="F457" s="813" t="s">
        <v>684</v>
      </c>
      <c r="G457" s="814"/>
      <c r="H457" s="815"/>
      <c r="I457" s="177"/>
      <c r="J457" s="20"/>
      <c r="K457" s="20"/>
      <c r="L457" s="20"/>
      <c r="M457" s="20"/>
      <c r="N457" s="20"/>
      <c r="O457" s="20"/>
      <c r="P457" s="20"/>
      <c r="Q457" s="20"/>
      <c r="R457" s="20"/>
      <c r="S457" s="20"/>
      <c r="T457" s="20"/>
      <c r="U457" s="20"/>
      <c r="V457" s="20"/>
      <c r="W457" s="357"/>
      <c r="X457" s="810" t="s">
        <v>494</v>
      </c>
      <c r="Y457" s="811"/>
      <c r="Z457" s="811"/>
      <c r="AA457" s="811"/>
      <c r="AB457" s="811"/>
      <c r="AC457" s="811"/>
      <c r="AD457" s="811"/>
      <c r="AE457" s="811"/>
      <c r="AF457" s="812"/>
      <c r="AG457" s="362" t="s">
        <v>678</v>
      </c>
      <c r="AH457" s="363"/>
      <c r="AI457" s="363"/>
      <c r="AJ457" s="363"/>
      <c r="AK457" s="363"/>
      <c r="AL457" s="363"/>
      <c r="AM457" s="363"/>
      <c r="AN457" s="363"/>
      <c r="AO457" s="363"/>
      <c r="AP457" s="363"/>
      <c r="AQ457" s="363"/>
      <c r="AR457" s="363"/>
      <c r="AS457" s="363"/>
      <c r="AT457" s="363"/>
      <c r="AU457" s="363"/>
      <c r="AV457" s="363"/>
      <c r="AW457" s="363"/>
      <c r="AX457" s="363"/>
      <c r="AY457" s="363"/>
      <c r="AZ457" s="363"/>
      <c r="BA457" s="363"/>
      <c r="BB457" s="363"/>
      <c r="BC457" s="363"/>
      <c r="BD457" s="364"/>
      <c r="BE457" s="541">
        <v>1.3470053672790527</v>
      </c>
      <c r="BF457" s="542"/>
      <c r="BG457" s="542"/>
      <c r="BH457" s="542"/>
      <c r="BI457" s="542"/>
      <c r="BJ457" s="542"/>
      <c r="BK457" s="542"/>
      <c r="BL457" s="542"/>
      <c r="BM457" s="543"/>
      <c r="BN457" s="871">
        <f t="shared" si="0"/>
        <v>1.6837567090988159</v>
      </c>
      <c r="BO457" s="872"/>
      <c r="BP457" s="872"/>
      <c r="BQ457" s="872"/>
      <c r="BR457" s="872"/>
      <c r="BS457" s="872"/>
      <c r="BT457" s="872"/>
      <c r="BU457" s="872"/>
      <c r="BV457" s="873"/>
      <c r="BW457" s="20"/>
      <c r="BX457" s="20"/>
      <c r="BY457" s="20"/>
      <c r="BZ457" s="20"/>
      <c r="CA457" s="20"/>
      <c r="CB457" s="20"/>
      <c r="CC457" s="17"/>
      <c r="CD457" s="17"/>
      <c r="CE457" s="18"/>
    </row>
    <row r="458" spans="1:83" s="9" customFormat="1" ht="12" customHeight="1" x14ac:dyDescent="0.15">
      <c r="A458" s="16"/>
      <c r="B458" s="8"/>
      <c r="C458" s="17"/>
      <c r="D458" s="17"/>
      <c r="E458" s="17"/>
      <c r="F458" s="813" t="s">
        <v>174</v>
      </c>
      <c r="G458" s="814"/>
      <c r="H458" s="815"/>
      <c r="I458" s="177"/>
      <c r="J458" s="20"/>
      <c r="K458" s="20"/>
      <c r="L458" s="20"/>
      <c r="M458" s="20"/>
      <c r="N458" s="20"/>
      <c r="O458" s="20"/>
      <c r="P458" s="20"/>
      <c r="Q458" s="20"/>
      <c r="R458" s="20"/>
      <c r="S458" s="20"/>
      <c r="T458" s="20"/>
      <c r="U458" s="20"/>
      <c r="V458" s="20"/>
      <c r="W458" s="357"/>
      <c r="X458" s="810" t="s">
        <v>691</v>
      </c>
      <c r="Y458" s="811"/>
      <c r="Z458" s="811"/>
      <c r="AA458" s="811"/>
      <c r="AB458" s="811"/>
      <c r="AC458" s="811"/>
      <c r="AD458" s="811"/>
      <c r="AE458" s="811"/>
      <c r="AF458" s="812"/>
      <c r="AG458" s="363" t="s">
        <v>692</v>
      </c>
      <c r="AH458" s="363"/>
      <c r="AI458" s="363"/>
      <c r="AJ458" s="363"/>
      <c r="AK458" s="363"/>
      <c r="AL458" s="363"/>
      <c r="AM458" s="363"/>
      <c r="AN458" s="363"/>
      <c r="AO458" s="363"/>
      <c r="AP458" s="363"/>
      <c r="AQ458" s="363"/>
      <c r="AR458" s="363"/>
      <c r="AS458" s="363"/>
      <c r="AT458" s="363"/>
      <c r="AU458" s="363"/>
      <c r="AV458" s="363"/>
      <c r="AW458" s="363"/>
      <c r="AX458" s="363"/>
      <c r="AY458" s="363"/>
      <c r="AZ458" s="363"/>
      <c r="BA458" s="363"/>
      <c r="BB458" s="363"/>
      <c r="BC458" s="363"/>
      <c r="BD458" s="364"/>
      <c r="BE458" s="541">
        <v>0.05</v>
      </c>
      <c r="BF458" s="542"/>
      <c r="BG458" s="542"/>
      <c r="BH458" s="542"/>
      <c r="BI458" s="542"/>
      <c r="BJ458" s="542"/>
      <c r="BK458" s="542"/>
      <c r="BL458" s="542"/>
      <c r="BM458" s="543"/>
      <c r="BN458" s="871">
        <f t="shared" si="0"/>
        <v>6.25E-2</v>
      </c>
      <c r="BO458" s="872"/>
      <c r="BP458" s="872"/>
      <c r="BQ458" s="872"/>
      <c r="BR458" s="872"/>
      <c r="BS458" s="872"/>
      <c r="BT458" s="872"/>
      <c r="BU458" s="872"/>
      <c r="BV458" s="873"/>
      <c r="BW458" s="20"/>
      <c r="BX458" s="20"/>
      <c r="BY458" s="20"/>
      <c r="BZ458" s="20"/>
      <c r="CA458" s="20"/>
      <c r="CB458" s="20"/>
      <c r="CC458" s="17"/>
      <c r="CD458" s="17"/>
      <c r="CE458" s="18"/>
    </row>
    <row r="459" spans="1:83" s="9" customFormat="1" ht="12" customHeight="1" x14ac:dyDescent="0.15">
      <c r="A459" s="16"/>
      <c r="B459" s="8"/>
      <c r="C459" s="17"/>
      <c r="D459" s="17"/>
      <c r="E459" s="17"/>
      <c r="F459" s="813"/>
      <c r="G459" s="814"/>
      <c r="H459" s="815"/>
      <c r="I459" s="358"/>
      <c r="J459" s="156"/>
      <c r="K459" s="156"/>
      <c r="L459" s="156"/>
      <c r="M459" s="156"/>
      <c r="N459" s="156"/>
      <c r="O459" s="156"/>
      <c r="P459" s="156"/>
      <c r="Q459" s="156"/>
      <c r="R459" s="156"/>
      <c r="S459" s="156"/>
      <c r="T459" s="156"/>
      <c r="U459" s="156"/>
      <c r="V459" s="156"/>
      <c r="W459" s="359"/>
      <c r="X459" s="819" t="s">
        <v>462</v>
      </c>
      <c r="Y459" s="820"/>
      <c r="Z459" s="820"/>
      <c r="AA459" s="820"/>
      <c r="AB459" s="820"/>
      <c r="AC459" s="820"/>
      <c r="AD459" s="820"/>
      <c r="AE459" s="820"/>
      <c r="AF459" s="820"/>
      <c r="AG459" s="820"/>
      <c r="AH459" s="820"/>
      <c r="AI459" s="820"/>
      <c r="AJ459" s="820"/>
      <c r="AK459" s="820"/>
      <c r="AL459" s="820"/>
      <c r="AM459" s="820"/>
      <c r="AN459" s="820"/>
      <c r="AO459" s="820"/>
      <c r="AP459" s="820"/>
      <c r="AQ459" s="820"/>
      <c r="AR459" s="820"/>
      <c r="AS459" s="820"/>
      <c r="AT459" s="820"/>
      <c r="AU459" s="820"/>
      <c r="AV459" s="820"/>
      <c r="AW459" s="820"/>
      <c r="AX459" s="820"/>
      <c r="AY459" s="820"/>
      <c r="AZ459" s="820"/>
      <c r="BA459" s="820"/>
      <c r="BB459" s="820"/>
      <c r="BC459" s="820"/>
      <c r="BD459" s="821"/>
      <c r="BE459" s="856">
        <f>SUM(BE450:BM458)</f>
        <v>8.9553269010037191</v>
      </c>
      <c r="BF459" s="857"/>
      <c r="BG459" s="857"/>
      <c r="BH459" s="857"/>
      <c r="BI459" s="857"/>
      <c r="BJ459" s="857"/>
      <c r="BK459" s="857"/>
      <c r="BL459" s="857"/>
      <c r="BM459" s="858"/>
      <c r="BN459" s="859">
        <f>BE459*1.05</f>
        <v>9.4030932460539063</v>
      </c>
      <c r="BO459" s="860"/>
      <c r="BP459" s="860"/>
      <c r="BQ459" s="860"/>
      <c r="BR459" s="860"/>
      <c r="BS459" s="860"/>
      <c r="BT459" s="860"/>
      <c r="BU459" s="860"/>
      <c r="BV459" s="861"/>
      <c r="BW459" s="20"/>
      <c r="BX459" s="20"/>
      <c r="BY459" s="20"/>
      <c r="BZ459" s="20"/>
      <c r="CA459" s="20"/>
      <c r="CB459" s="20"/>
      <c r="CC459" s="17"/>
      <c r="CD459" s="17"/>
      <c r="CE459" s="18"/>
    </row>
    <row r="460" spans="1:83" s="9" customFormat="1" ht="12" customHeight="1" x14ac:dyDescent="0.15">
      <c r="A460" s="16"/>
      <c r="B460" s="8"/>
      <c r="C460" s="17"/>
      <c r="D460" s="17"/>
      <c r="E460" s="17"/>
      <c r="F460" s="813" t="s">
        <v>154</v>
      </c>
      <c r="G460" s="814"/>
      <c r="H460" s="815"/>
      <c r="I460" s="177" t="s">
        <v>695</v>
      </c>
      <c r="J460" s="20"/>
      <c r="K460" s="20"/>
      <c r="L460" s="20"/>
      <c r="M460" s="20"/>
      <c r="N460" s="20"/>
      <c r="O460" s="20"/>
      <c r="P460" s="20"/>
      <c r="Q460" s="20"/>
      <c r="R460" s="20"/>
      <c r="S460" s="20"/>
      <c r="T460" s="20"/>
      <c r="U460" s="20"/>
      <c r="V460" s="20"/>
      <c r="W460" s="357"/>
      <c r="X460" s="810" t="s">
        <v>696</v>
      </c>
      <c r="Y460" s="811"/>
      <c r="Z460" s="811"/>
      <c r="AA460" s="811"/>
      <c r="AB460" s="811"/>
      <c r="AC460" s="811"/>
      <c r="AD460" s="811"/>
      <c r="AE460" s="811"/>
      <c r="AF460" s="812"/>
      <c r="AG460" s="363" t="s">
        <v>697</v>
      </c>
      <c r="AH460" s="363"/>
      <c r="AI460" s="363"/>
      <c r="AJ460" s="363"/>
      <c r="AK460" s="363"/>
      <c r="AL460" s="363"/>
      <c r="AM460" s="363"/>
      <c r="AN460" s="363"/>
      <c r="AO460" s="363"/>
      <c r="AP460" s="363"/>
      <c r="AQ460" s="363"/>
      <c r="AR460" s="363"/>
      <c r="AS460" s="363"/>
      <c r="AT460" s="363"/>
      <c r="AU460" s="363"/>
      <c r="AV460" s="363"/>
      <c r="AW460" s="363"/>
      <c r="AX460" s="363"/>
      <c r="AY460" s="363"/>
      <c r="AZ460" s="363"/>
      <c r="BA460" s="363"/>
      <c r="BB460" s="363"/>
      <c r="BC460" s="363"/>
      <c r="BD460" s="364"/>
      <c r="BE460" s="541">
        <v>3.9963573217391901</v>
      </c>
      <c r="BF460" s="542"/>
      <c r="BG460" s="542"/>
      <c r="BH460" s="542"/>
      <c r="BI460" s="542"/>
      <c r="BJ460" s="542"/>
      <c r="BK460" s="542"/>
      <c r="BL460" s="542"/>
      <c r="BM460" s="543"/>
      <c r="BN460" s="871">
        <f>BE460*1.25</f>
        <v>4.995446652173988</v>
      </c>
      <c r="BO460" s="872"/>
      <c r="BP460" s="872"/>
      <c r="BQ460" s="872"/>
      <c r="BR460" s="872"/>
      <c r="BS460" s="872"/>
      <c r="BT460" s="872"/>
      <c r="BU460" s="872"/>
      <c r="BV460" s="873"/>
      <c r="BW460" s="20"/>
      <c r="BX460" s="20"/>
      <c r="BY460" s="20"/>
      <c r="BZ460" s="20"/>
      <c r="CA460" s="20"/>
      <c r="CB460" s="20"/>
      <c r="CC460" s="17"/>
      <c r="CD460" s="17"/>
      <c r="CE460" s="18"/>
    </row>
    <row r="461" spans="1:83" s="9" customFormat="1" ht="12" customHeight="1" x14ac:dyDescent="0.15">
      <c r="A461" s="16"/>
      <c r="B461" s="8"/>
      <c r="C461" s="17"/>
      <c r="D461" s="17"/>
      <c r="E461" s="17"/>
      <c r="F461" s="813"/>
      <c r="G461" s="814"/>
      <c r="H461" s="815"/>
      <c r="I461" s="358"/>
      <c r="J461" s="156"/>
      <c r="K461" s="156"/>
      <c r="L461" s="156"/>
      <c r="M461" s="156"/>
      <c r="N461" s="156"/>
      <c r="O461" s="156"/>
      <c r="P461" s="156"/>
      <c r="Q461" s="156"/>
      <c r="R461" s="156"/>
      <c r="S461" s="156"/>
      <c r="T461" s="156"/>
      <c r="U461" s="156"/>
      <c r="V461" s="156"/>
      <c r="W461" s="359"/>
      <c r="X461" s="819" t="s">
        <v>462</v>
      </c>
      <c r="Y461" s="820"/>
      <c r="Z461" s="820"/>
      <c r="AA461" s="820"/>
      <c r="AB461" s="820"/>
      <c r="AC461" s="820"/>
      <c r="AD461" s="820"/>
      <c r="AE461" s="820"/>
      <c r="AF461" s="820"/>
      <c r="AG461" s="820"/>
      <c r="AH461" s="820"/>
      <c r="AI461" s="820"/>
      <c r="AJ461" s="820"/>
      <c r="AK461" s="820"/>
      <c r="AL461" s="820"/>
      <c r="AM461" s="820"/>
      <c r="AN461" s="820"/>
      <c r="AO461" s="820"/>
      <c r="AP461" s="820"/>
      <c r="AQ461" s="820"/>
      <c r="AR461" s="820"/>
      <c r="AS461" s="820"/>
      <c r="AT461" s="820"/>
      <c r="AU461" s="820"/>
      <c r="AV461" s="820"/>
      <c r="AW461" s="820"/>
      <c r="AX461" s="820"/>
      <c r="AY461" s="820"/>
      <c r="AZ461" s="820"/>
      <c r="BA461" s="820"/>
      <c r="BB461" s="820"/>
      <c r="BC461" s="820"/>
      <c r="BD461" s="821"/>
      <c r="BE461" s="856">
        <f>BE460</f>
        <v>3.9963573217391901</v>
      </c>
      <c r="BF461" s="857"/>
      <c r="BG461" s="857"/>
      <c r="BH461" s="857"/>
      <c r="BI461" s="857"/>
      <c r="BJ461" s="857"/>
      <c r="BK461" s="857"/>
      <c r="BL461" s="857"/>
      <c r="BM461" s="858"/>
      <c r="BN461" s="859">
        <f>BE461*1.05</f>
        <v>4.1961751878261495</v>
      </c>
      <c r="BO461" s="860"/>
      <c r="BP461" s="860"/>
      <c r="BQ461" s="860"/>
      <c r="BR461" s="860"/>
      <c r="BS461" s="860"/>
      <c r="BT461" s="860"/>
      <c r="BU461" s="860"/>
      <c r="BV461" s="861"/>
      <c r="BW461" s="20"/>
      <c r="BX461" s="20"/>
      <c r="BY461" s="20"/>
      <c r="BZ461" s="20"/>
      <c r="CA461" s="20"/>
      <c r="CB461" s="20"/>
      <c r="CC461" s="17"/>
      <c r="CD461" s="17"/>
      <c r="CE461" s="18"/>
    </row>
    <row r="462" spans="1:83" s="9" customFormat="1" ht="12" customHeight="1" x14ac:dyDescent="0.15">
      <c r="A462" s="16"/>
      <c r="B462" s="8"/>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17"/>
      <c r="CD462" s="17"/>
      <c r="CE462" s="18"/>
    </row>
    <row r="463" spans="1:83" s="9" customFormat="1" ht="12" customHeight="1" x14ac:dyDescent="0.15">
      <c r="A463" s="16"/>
      <c r="B463" s="8"/>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17"/>
      <c r="CD463" s="17"/>
      <c r="CE463" s="18"/>
    </row>
    <row r="464" spans="1:83" s="9" customFormat="1" ht="12" customHeight="1" x14ac:dyDescent="0.15">
      <c r="A464" s="16"/>
      <c r="B464" s="8"/>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17"/>
      <c r="CD464" s="17"/>
      <c r="CE464" s="18"/>
    </row>
    <row r="465" spans="1:83" s="9" customFormat="1" ht="12" customHeight="1" x14ac:dyDescent="0.15">
      <c r="A465" s="16"/>
      <c r="B465" s="8"/>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17"/>
      <c r="CD465" s="17"/>
      <c r="CE465" s="18"/>
    </row>
    <row r="466" spans="1:83" s="9" customFormat="1" ht="12" customHeight="1" x14ac:dyDescent="0.15">
      <c r="A466" s="16"/>
      <c r="B466" s="8"/>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17"/>
      <c r="CD466" s="17"/>
      <c r="CE466" s="18"/>
    </row>
    <row r="467" spans="1:83" s="9" customFormat="1" ht="12" customHeight="1" x14ac:dyDescent="0.15">
      <c r="A467" s="16"/>
      <c r="B467" s="8"/>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17"/>
      <c r="CD467" s="17"/>
      <c r="CE467" s="18"/>
    </row>
    <row r="468" spans="1:83" s="9" customFormat="1" ht="12" customHeight="1" x14ac:dyDescent="0.15">
      <c r="A468" s="16"/>
      <c r="B468" s="8"/>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17"/>
      <c r="CD468" s="17"/>
      <c r="CE468" s="18"/>
    </row>
    <row r="469" spans="1:83" s="9" customFormat="1" ht="12" customHeight="1" x14ac:dyDescent="0.15">
      <c r="A469" s="16"/>
      <c r="B469" s="8"/>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17"/>
      <c r="CD469" s="17"/>
      <c r="CE469" s="18"/>
    </row>
    <row r="470" spans="1:83" s="9" customFormat="1" ht="12" customHeight="1" x14ac:dyDescent="0.15">
      <c r="A470" s="16"/>
      <c r="B470" s="8"/>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17"/>
      <c r="CD470" s="17"/>
      <c r="CE470" s="18"/>
    </row>
    <row r="471" spans="1:83" s="9" customFormat="1" ht="12" customHeight="1" x14ac:dyDescent="0.15">
      <c r="A471" s="16"/>
      <c r="B471" s="8"/>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17"/>
      <c r="CD471" s="17"/>
      <c r="CE471" s="18"/>
    </row>
    <row r="472" spans="1:83" s="9" customFormat="1" ht="12" customHeight="1" thickBot="1" x14ac:dyDescent="0.2">
      <c r="A472" s="25"/>
      <c r="B472" s="30"/>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7"/>
      <c r="BA472" s="27"/>
      <c r="BB472" s="27"/>
      <c r="BC472" s="27"/>
      <c r="BD472" s="27"/>
      <c r="BE472" s="27"/>
      <c r="BF472" s="27"/>
      <c r="BG472" s="27"/>
      <c r="BH472" s="27"/>
      <c r="BI472" s="27"/>
      <c r="BJ472" s="27"/>
      <c r="BK472" s="27"/>
      <c r="BL472" s="27"/>
      <c r="BM472" s="27"/>
      <c r="BN472" s="27"/>
      <c r="BO472" s="27"/>
      <c r="BP472" s="27"/>
      <c r="BQ472" s="27"/>
      <c r="BR472" s="27"/>
      <c r="BS472" s="27"/>
      <c r="BT472" s="27"/>
      <c r="BU472" s="27"/>
      <c r="BV472" s="27"/>
      <c r="BW472" s="27"/>
      <c r="BX472" s="27"/>
      <c r="BY472" s="27"/>
      <c r="BZ472" s="27"/>
      <c r="CA472" s="27"/>
      <c r="CB472" s="27"/>
      <c r="CC472" s="26"/>
      <c r="CD472" s="26"/>
      <c r="CE472" s="28"/>
    </row>
    <row r="473" spans="1:83" s="9" customFormat="1" ht="12" customHeight="1" x14ac:dyDescent="0.15">
      <c r="A473" s="13"/>
      <c r="B473" s="14"/>
      <c r="C473" s="159"/>
      <c r="D473" s="159"/>
      <c r="E473" s="159"/>
      <c r="F473" s="159"/>
      <c r="G473" s="159"/>
      <c r="H473" s="159"/>
      <c r="I473" s="159"/>
      <c r="J473" s="159"/>
      <c r="K473" s="159"/>
      <c r="L473" s="159"/>
      <c r="M473" s="159"/>
      <c r="N473" s="159"/>
      <c r="O473" s="159"/>
      <c r="P473" s="160"/>
      <c r="Q473" s="160"/>
      <c r="R473" s="160"/>
      <c r="S473" s="160"/>
      <c r="T473" s="160"/>
      <c r="U473" s="160"/>
      <c r="V473" s="160"/>
      <c r="W473" s="160"/>
      <c r="X473" s="160"/>
      <c r="Y473" s="160"/>
      <c r="Z473" s="160"/>
      <c r="AA473" s="160"/>
      <c r="AB473" s="160"/>
      <c r="AC473" s="160"/>
      <c r="AD473" s="160"/>
      <c r="AE473" s="160"/>
      <c r="AF473" s="160"/>
      <c r="AG473" s="160"/>
      <c r="AH473" s="160"/>
      <c r="AI473" s="160"/>
      <c r="AJ473" s="160"/>
      <c r="AK473" s="160"/>
      <c r="AL473" s="160"/>
      <c r="AM473" s="160"/>
      <c r="AN473" s="160"/>
      <c r="AO473" s="160"/>
      <c r="AP473" s="160"/>
      <c r="AQ473" s="160"/>
      <c r="AR473" s="160"/>
      <c r="AS473" s="160"/>
      <c r="AT473" s="160"/>
      <c r="AU473" s="160"/>
      <c r="AV473" s="160"/>
      <c r="AW473" s="160"/>
      <c r="AX473" s="160"/>
      <c r="AY473" s="160"/>
      <c r="AZ473" s="160"/>
      <c r="BA473" s="160"/>
      <c r="BB473" s="160"/>
      <c r="BC473" s="160"/>
      <c r="BD473" s="160"/>
      <c r="BE473" s="160"/>
      <c r="BF473" s="160"/>
      <c r="BG473" s="160"/>
      <c r="BH473" s="160"/>
      <c r="BI473" s="160"/>
      <c r="BJ473" s="160"/>
      <c r="BK473" s="160"/>
      <c r="BL473" s="160"/>
      <c r="BM473" s="160"/>
      <c r="BN473" s="160"/>
      <c r="BO473" s="160"/>
      <c r="BP473" s="160"/>
      <c r="BQ473" s="160"/>
      <c r="BR473" s="160"/>
      <c r="BS473" s="160"/>
      <c r="BT473" s="160"/>
      <c r="BU473" s="160"/>
      <c r="BV473" s="160"/>
      <c r="BW473" s="160"/>
      <c r="BX473" s="160"/>
      <c r="BY473" s="160"/>
      <c r="BZ473" s="160"/>
      <c r="CA473" s="160"/>
      <c r="CB473" s="160"/>
      <c r="CC473" s="160"/>
      <c r="CD473" s="160"/>
      <c r="CE473" s="15"/>
    </row>
    <row r="474" spans="1:83" s="9" customFormat="1" ht="12.75" customHeight="1" x14ac:dyDescent="0.15">
      <c r="A474" s="16"/>
      <c r="B474" s="8"/>
      <c r="C474" s="29"/>
      <c r="D474" s="21" t="s">
        <v>320</v>
      </c>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c r="CA474" s="12"/>
      <c r="CB474" s="12"/>
      <c r="CC474" s="12"/>
      <c r="CD474" s="12"/>
      <c r="CE474" s="18"/>
    </row>
    <row r="475" spans="1:83" s="385" customFormat="1" ht="12.75" customHeight="1" x14ac:dyDescent="0.15">
      <c r="A475" s="381"/>
      <c r="B475" s="382"/>
      <c r="C475" s="383"/>
      <c r="D475" s="604" t="s">
        <v>877</v>
      </c>
      <c r="E475" s="605"/>
      <c r="F475" s="605"/>
      <c r="G475" s="605"/>
      <c r="H475" s="605"/>
      <c r="I475" s="605"/>
      <c r="J475" s="605"/>
      <c r="K475" s="605"/>
      <c r="L475" s="605"/>
      <c r="M475" s="605"/>
      <c r="N475" s="605"/>
      <c r="O475" s="605"/>
      <c r="P475" s="605"/>
      <c r="Q475" s="605"/>
      <c r="R475" s="605"/>
      <c r="S475" s="605"/>
      <c r="T475" s="605"/>
      <c r="U475" s="605"/>
      <c r="V475" s="605"/>
      <c r="W475" s="605"/>
      <c r="X475" s="605"/>
      <c r="Y475" s="605"/>
      <c r="Z475" s="605"/>
      <c r="AA475" s="605"/>
      <c r="AB475" s="605"/>
      <c r="AC475" s="605"/>
      <c r="AD475" s="605"/>
      <c r="AE475" s="605"/>
      <c r="AF475" s="605"/>
      <c r="AG475" s="605"/>
      <c r="AH475" s="605"/>
      <c r="AI475" s="605"/>
      <c r="AJ475" s="605"/>
      <c r="AK475" s="605"/>
      <c r="AL475" s="605"/>
      <c r="AM475" s="605"/>
      <c r="AN475" s="605"/>
      <c r="AO475" s="605"/>
      <c r="AP475" s="605"/>
      <c r="AQ475" s="605"/>
      <c r="AR475" s="605"/>
      <c r="AS475" s="605"/>
      <c r="AT475" s="605"/>
      <c r="AU475" s="605"/>
      <c r="AV475" s="605"/>
      <c r="AW475" s="605"/>
      <c r="AX475" s="605"/>
      <c r="AY475" s="605"/>
      <c r="AZ475" s="605"/>
      <c r="BA475" s="605"/>
      <c r="BB475" s="605"/>
      <c r="BC475" s="605"/>
      <c r="BD475" s="605"/>
      <c r="BE475" s="605"/>
      <c r="BF475" s="605"/>
      <c r="BG475" s="605"/>
      <c r="BH475" s="605"/>
      <c r="BI475" s="605"/>
      <c r="BJ475" s="605"/>
      <c r="BK475" s="605"/>
      <c r="BL475" s="605"/>
      <c r="BM475" s="605"/>
      <c r="BN475" s="605"/>
      <c r="BO475" s="605"/>
      <c r="BP475" s="605"/>
      <c r="BQ475" s="605"/>
      <c r="BR475" s="605"/>
      <c r="BS475" s="605"/>
      <c r="BT475" s="605"/>
      <c r="BU475" s="605"/>
      <c r="BV475" s="605"/>
      <c r="BW475" s="605"/>
      <c r="BX475" s="605"/>
      <c r="BY475" s="605"/>
      <c r="BZ475" s="605"/>
      <c r="CA475" s="605"/>
      <c r="CB475" s="605"/>
      <c r="CC475" s="605"/>
      <c r="CD475" s="606"/>
      <c r="CE475" s="384"/>
    </row>
    <row r="476" spans="1:83" s="385" customFormat="1" ht="12.75" customHeight="1" x14ac:dyDescent="0.15">
      <c r="A476" s="381"/>
      <c r="B476" s="382"/>
      <c r="C476" s="383"/>
      <c r="D476" s="607"/>
      <c r="E476" s="608"/>
      <c r="F476" s="608"/>
      <c r="G476" s="608"/>
      <c r="H476" s="608"/>
      <c r="I476" s="608"/>
      <c r="J476" s="608"/>
      <c r="K476" s="608"/>
      <c r="L476" s="608"/>
      <c r="M476" s="608"/>
      <c r="N476" s="608"/>
      <c r="O476" s="608"/>
      <c r="P476" s="608"/>
      <c r="Q476" s="608"/>
      <c r="R476" s="608"/>
      <c r="S476" s="608"/>
      <c r="T476" s="608"/>
      <c r="U476" s="608"/>
      <c r="V476" s="608"/>
      <c r="W476" s="608"/>
      <c r="X476" s="608"/>
      <c r="Y476" s="608"/>
      <c r="Z476" s="608"/>
      <c r="AA476" s="608"/>
      <c r="AB476" s="608"/>
      <c r="AC476" s="608"/>
      <c r="AD476" s="608"/>
      <c r="AE476" s="608"/>
      <c r="AF476" s="608"/>
      <c r="AG476" s="608"/>
      <c r="AH476" s="608"/>
      <c r="AI476" s="608"/>
      <c r="AJ476" s="608"/>
      <c r="AK476" s="608"/>
      <c r="AL476" s="608"/>
      <c r="AM476" s="608"/>
      <c r="AN476" s="608"/>
      <c r="AO476" s="608"/>
      <c r="AP476" s="608"/>
      <c r="AQ476" s="608"/>
      <c r="AR476" s="608"/>
      <c r="AS476" s="608"/>
      <c r="AT476" s="608"/>
      <c r="AU476" s="608"/>
      <c r="AV476" s="608"/>
      <c r="AW476" s="608"/>
      <c r="AX476" s="608"/>
      <c r="AY476" s="608"/>
      <c r="AZ476" s="608"/>
      <c r="BA476" s="608"/>
      <c r="BB476" s="608"/>
      <c r="BC476" s="608"/>
      <c r="BD476" s="608"/>
      <c r="BE476" s="608"/>
      <c r="BF476" s="608"/>
      <c r="BG476" s="608"/>
      <c r="BH476" s="608"/>
      <c r="BI476" s="608"/>
      <c r="BJ476" s="608"/>
      <c r="BK476" s="608"/>
      <c r="BL476" s="608"/>
      <c r="BM476" s="608"/>
      <c r="BN476" s="608"/>
      <c r="BO476" s="608"/>
      <c r="BP476" s="608"/>
      <c r="BQ476" s="608"/>
      <c r="BR476" s="608"/>
      <c r="BS476" s="608"/>
      <c r="BT476" s="608"/>
      <c r="BU476" s="608"/>
      <c r="BV476" s="608"/>
      <c r="BW476" s="608"/>
      <c r="BX476" s="608"/>
      <c r="BY476" s="608"/>
      <c r="BZ476" s="608"/>
      <c r="CA476" s="608"/>
      <c r="CB476" s="608"/>
      <c r="CC476" s="608"/>
      <c r="CD476" s="609"/>
      <c r="CE476" s="384"/>
    </row>
    <row r="477" spans="1:83" s="9" customFormat="1" ht="12.75" customHeight="1" x14ac:dyDescent="0.15">
      <c r="A477" s="16"/>
      <c r="B477" s="8"/>
      <c r="C477" s="29"/>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c r="CA477" s="12"/>
      <c r="CB477" s="12"/>
      <c r="CC477" s="12"/>
      <c r="CD477" s="12"/>
      <c r="CE477" s="18"/>
    </row>
    <row r="478" spans="1:83" s="9" customFormat="1" ht="12" customHeight="1" x14ac:dyDescent="0.15">
      <c r="A478" s="16"/>
      <c r="B478" s="8"/>
      <c r="C478" s="22"/>
      <c r="D478" s="331" t="s">
        <v>228</v>
      </c>
      <c r="E478" s="332"/>
      <c r="F478" s="172"/>
      <c r="G478" s="172"/>
      <c r="H478" s="172"/>
      <c r="I478" s="172"/>
      <c r="J478" s="172"/>
      <c r="K478" s="172"/>
      <c r="L478" s="172"/>
      <c r="M478" s="172"/>
      <c r="N478" s="172"/>
      <c r="O478" s="173"/>
      <c r="P478" s="171" t="s">
        <v>345</v>
      </c>
      <c r="Q478" s="172"/>
      <c r="R478" s="172"/>
      <c r="S478" s="172"/>
      <c r="T478" s="172"/>
      <c r="U478" s="172"/>
      <c r="V478" s="172"/>
      <c r="W478" s="172"/>
      <c r="X478" s="172"/>
      <c r="Y478" s="172"/>
      <c r="Z478" s="172"/>
      <c r="AA478" s="172"/>
      <c r="AB478" s="172"/>
      <c r="AC478" s="172"/>
      <c r="AD478" s="172"/>
      <c r="AE478" s="172"/>
      <c r="AF478" s="172"/>
      <c r="AG478" s="172"/>
      <c r="AH478" s="172"/>
      <c r="AI478" s="172"/>
      <c r="AJ478" s="172"/>
      <c r="AK478" s="172"/>
      <c r="AL478" s="172"/>
      <c r="AM478" s="172"/>
      <c r="AN478" s="172"/>
      <c r="AO478" s="172"/>
      <c r="AP478" s="172"/>
      <c r="AQ478" s="172"/>
      <c r="AR478" s="172"/>
      <c r="AS478" s="172"/>
      <c r="AT478" s="172"/>
      <c r="AU478" s="172"/>
      <c r="AV478" s="172"/>
      <c r="AW478" s="172"/>
      <c r="AX478" s="172"/>
      <c r="AY478" s="172"/>
      <c r="AZ478" s="172"/>
      <c r="BA478" s="172"/>
      <c r="BB478" s="172"/>
      <c r="BC478" s="172"/>
      <c r="BD478" s="172"/>
      <c r="BE478" s="172"/>
      <c r="BF478" s="172"/>
      <c r="BG478" s="172"/>
      <c r="BH478" s="172"/>
      <c r="BI478" s="172"/>
      <c r="BJ478" s="172"/>
      <c r="BK478" s="172"/>
      <c r="BL478" s="172"/>
      <c r="BM478" s="172"/>
      <c r="BN478" s="172"/>
      <c r="BO478" s="172"/>
      <c r="BP478" s="172"/>
      <c r="BQ478" s="172"/>
      <c r="BR478" s="172"/>
      <c r="BS478" s="172"/>
      <c r="BT478" s="172"/>
      <c r="BU478" s="172"/>
      <c r="BV478" s="172"/>
      <c r="BW478" s="333"/>
      <c r="BX478" s="333"/>
      <c r="BY478" s="333"/>
      <c r="BZ478" s="333"/>
      <c r="CA478" s="333"/>
      <c r="CB478" s="333"/>
      <c r="CC478" s="333"/>
      <c r="CD478" s="330"/>
      <c r="CE478" s="18"/>
    </row>
    <row r="479" spans="1:83" s="9" customFormat="1" ht="12" customHeight="1" x14ac:dyDescent="0.15">
      <c r="A479" s="16"/>
      <c r="B479" s="8"/>
      <c r="C479" s="22"/>
      <c r="D479" s="44" t="s">
        <v>19</v>
      </c>
      <c r="E479" s="66"/>
      <c r="F479" s="42"/>
      <c r="G479" s="42"/>
      <c r="H479" s="42"/>
      <c r="I479" s="42"/>
      <c r="J479" s="42"/>
      <c r="K479" s="42"/>
      <c r="L479" s="42"/>
      <c r="M479" s="42"/>
      <c r="N479" s="42"/>
      <c r="O479" s="43"/>
      <c r="P479" s="638" t="s">
        <v>864</v>
      </c>
      <c r="Q479" s="639"/>
      <c r="R479" s="639"/>
      <c r="S479" s="639"/>
      <c r="T479" s="639"/>
      <c r="U479" s="639"/>
      <c r="V479" s="639"/>
      <c r="W479" s="639"/>
      <c r="X479" s="639"/>
      <c r="Y479" s="639"/>
      <c r="Z479" s="639"/>
      <c r="AA479" s="639"/>
      <c r="AB479" s="639"/>
      <c r="AC479" s="639"/>
      <c r="AD479" s="639"/>
      <c r="AE479" s="639"/>
      <c r="AF479" s="639"/>
      <c r="AG479" s="639"/>
      <c r="AH479" s="639"/>
      <c r="AI479" s="639"/>
      <c r="AJ479" s="639"/>
      <c r="AK479" s="639"/>
      <c r="AL479" s="639"/>
      <c r="AM479" s="639"/>
      <c r="AN479" s="639"/>
      <c r="AO479" s="639"/>
      <c r="AP479" s="639"/>
      <c r="AQ479" s="639"/>
      <c r="AR479" s="639"/>
      <c r="AS479" s="639"/>
      <c r="AT479" s="639"/>
      <c r="AU479" s="639"/>
      <c r="AV479" s="639"/>
      <c r="AW479" s="639"/>
      <c r="AX479" s="639"/>
      <c r="AY479" s="639"/>
      <c r="AZ479" s="639"/>
      <c r="BA479" s="639"/>
      <c r="BB479" s="639"/>
      <c r="BC479" s="639"/>
      <c r="BD479" s="639"/>
      <c r="BE479" s="639"/>
      <c r="BF479" s="639"/>
      <c r="BG479" s="639"/>
      <c r="BH479" s="639"/>
      <c r="BI479" s="639"/>
      <c r="BJ479" s="639"/>
      <c r="BK479" s="639"/>
      <c r="BL479" s="639"/>
      <c r="BM479" s="639"/>
      <c r="BN479" s="639"/>
      <c r="BO479" s="639"/>
      <c r="BP479" s="639"/>
      <c r="BQ479" s="639"/>
      <c r="BR479" s="639"/>
      <c r="BS479" s="639"/>
      <c r="BT479" s="639"/>
      <c r="BU479" s="639"/>
      <c r="BV479" s="639"/>
      <c r="BW479" s="639"/>
      <c r="BX479" s="639"/>
      <c r="BY479" s="639"/>
      <c r="BZ479" s="639"/>
      <c r="CA479" s="639"/>
      <c r="CB479" s="639"/>
      <c r="CC479" s="639"/>
      <c r="CD479" s="640"/>
      <c r="CE479" s="18"/>
    </row>
    <row r="480" spans="1:83" s="9" customFormat="1" ht="12" customHeight="1" x14ac:dyDescent="0.15">
      <c r="A480" s="16"/>
      <c r="B480" s="8"/>
      <c r="C480" s="17"/>
      <c r="D480" s="44"/>
      <c r="E480" s="17"/>
      <c r="F480" s="17"/>
      <c r="G480" s="17"/>
      <c r="H480" s="17"/>
      <c r="I480" s="17"/>
      <c r="J480" s="17"/>
      <c r="K480" s="17"/>
      <c r="L480" s="17"/>
      <c r="M480" s="17"/>
      <c r="N480" s="17"/>
      <c r="O480" s="45"/>
      <c r="P480" s="641"/>
      <c r="Q480" s="642"/>
      <c r="R480" s="642"/>
      <c r="S480" s="642"/>
      <c r="T480" s="642"/>
      <c r="U480" s="642"/>
      <c r="V480" s="642"/>
      <c r="W480" s="642"/>
      <c r="X480" s="642"/>
      <c r="Y480" s="642"/>
      <c r="Z480" s="642"/>
      <c r="AA480" s="642"/>
      <c r="AB480" s="642"/>
      <c r="AC480" s="642"/>
      <c r="AD480" s="642"/>
      <c r="AE480" s="642"/>
      <c r="AF480" s="642"/>
      <c r="AG480" s="642"/>
      <c r="AH480" s="642"/>
      <c r="AI480" s="642"/>
      <c r="AJ480" s="642"/>
      <c r="AK480" s="642"/>
      <c r="AL480" s="642"/>
      <c r="AM480" s="642"/>
      <c r="AN480" s="642"/>
      <c r="AO480" s="642"/>
      <c r="AP480" s="642"/>
      <c r="AQ480" s="642"/>
      <c r="AR480" s="642"/>
      <c r="AS480" s="642"/>
      <c r="AT480" s="642"/>
      <c r="AU480" s="642"/>
      <c r="AV480" s="642"/>
      <c r="AW480" s="642"/>
      <c r="AX480" s="642"/>
      <c r="AY480" s="642"/>
      <c r="AZ480" s="642"/>
      <c r="BA480" s="642"/>
      <c r="BB480" s="642"/>
      <c r="BC480" s="642"/>
      <c r="BD480" s="642"/>
      <c r="BE480" s="642"/>
      <c r="BF480" s="642"/>
      <c r="BG480" s="642"/>
      <c r="BH480" s="642"/>
      <c r="BI480" s="642"/>
      <c r="BJ480" s="642"/>
      <c r="BK480" s="642"/>
      <c r="BL480" s="642"/>
      <c r="BM480" s="642"/>
      <c r="BN480" s="642"/>
      <c r="BO480" s="642"/>
      <c r="BP480" s="642"/>
      <c r="BQ480" s="642"/>
      <c r="BR480" s="642"/>
      <c r="BS480" s="642"/>
      <c r="BT480" s="642"/>
      <c r="BU480" s="642"/>
      <c r="BV480" s="642"/>
      <c r="BW480" s="642"/>
      <c r="BX480" s="642"/>
      <c r="BY480" s="642"/>
      <c r="BZ480" s="642"/>
      <c r="CA480" s="642"/>
      <c r="CB480" s="642"/>
      <c r="CC480" s="642"/>
      <c r="CD480" s="643"/>
      <c r="CE480" s="18"/>
    </row>
    <row r="481" spans="1:83" s="9" customFormat="1" ht="12" customHeight="1" x14ac:dyDescent="0.15">
      <c r="A481" s="16"/>
      <c r="B481" s="8"/>
      <c r="C481" s="17"/>
      <c r="D481" s="44"/>
      <c r="E481" s="17"/>
      <c r="F481" s="17"/>
      <c r="G481" s="17"/>
      <c r="H481" s="17"/>
      <c r="I481" s="17"/>
      <c r="J481" s="17"/>
      <c r="K481" s="17"/>
      <c r="L481" s="17"/>
      <c r="M481" s="17"/>
      <c r="N481" s="17"/>
      <c r="O481" s="45"/>
      <c r="P481" s="641"/>
      <c r="Q481" s="642"/>
      <c r="R481" s="642"/>
      <c r="S481" s="642"/>
      <c r="T481" s="642"/>
      <c r="U481" s="642"/>
      <c r="V481" s="642"/>
      <c r="W481" s="642"/>
      <c r="X481" s="642"/>
      <c r="Y481" s="642"/>
      <c r="Z481" s="642"/>
      <c r="AA481" s="642"/>
      <c r="AB481" s="642"/>
      <c r="AC481" s="642"/>
      <c r="AD481" s="642"/>
      <c r="AE481" s="642"/>
      <c r="AF481" s="642"/>
      <c r="AG481" s="642"/>
      <c r="AH481" s="642"/>
      <c r="AI481" s="642"/>
      <c r="AJ481" s="642"/>
      <c r="AK481" s="642"/>
      <c r="AL481" s="642"/>
      <c r="AM481" s="642"/>
      <c r="AN481" s="642"/>
      <c r="AO481" s="642"/>
      <c r="AP481" s="642"/>
      <c r="AQ481" s="642"/>
      <c r="AR481" s="642"/>
      <c r="AS481" s="642"/>
      <c r="AT481" s="642"/>
      <c r="AU481" s="642"/>
      <c r="AV481" s="642"/>
      <c r="AW481" s="642"/>
      <c r="AX481" s="642"/>
      <c r="AY481" s="642"/>
      <c r="AZ481" s="642"/>
      <c r="BA481" s="642"/>
      <c r="BB481" s="642"/>
      <c r="BC481" s="642"/>
      <c r="BD481" s="642"/>
      <c r="BE481" s="642"/>
      <c r="BF481" s="642"/>
      <c r="BG481" s="642"/>
      <c r="BH481" s="642"/>
      <c r="BI481" s="642"/>
      <c r="BJ481" s="642"/>
      <c r="BK481" s="642"/>
      <c r="BL481" s="642"/>
      <c r="BM481" s="642"/>
      <c r="BN481" s="642"/>
      <c r="BO481" s="642"/>
      <c r="BP481" s="642"/>
      <c r="BQ481" s="642"/>
      <c r="BR481" s="642"/>
      <c r="BS481" s="642"/>
      <c r="BT481" s="642"/>
      <c r="BU481" s="642"/>
      <c r="BV481" s="642"/>
      <c r="BW481" s="642"/>
      <c r="BX481" s="642"/>
      <c r="BY481" s="642"/>
      <c r="BZ481" s="642"/>
      <c r="CA481" s="642"/>
      <c r="CB481" s="642"/>
      <c r="CC481" s="642"/>
      <c r="CD481" s="643"/>
      <c r="CE481" s="18"/>
    </row>
    <row r="482" spans="1:83" s="9" customFormat="1" ht="12" customHeight="1" x14ac:dyDescent="0.15">
      <c r="A482" s="16"/>
      <c r="B482" s="8"/>
      <c r="C482" s="17"/>
      <c r="D482" s="46"/>
      <c r="E482" s="47"/>
      <c r="F482" s="47"/>
      <c r="G482" s="47"/>
      <c r="H482" s="47"/>
      <c r="I482" s="47"/>
      <c r="J482" s="47"/>
      <c r="K482" s="47"/>
      <c r="L482" s="47"/>
      <c r="M482" s="47"/>
      <c r="N482" s="47"/>
      <c r="O482" s="48"/>
      <c r="P482" s="644"/>
      <c r="Q482" s="645"/>
      <c r="R482" s="645"/>
      <c r="S482" s="645"/>
      <c r="T482" s="645"/>
      <c r="U482" s="645"/>
      <c r="V482" s="645"/>
      <c r="W482" s="645"/>
      <c r="X482" s="645"/>
      <c r="Y482" s="645"/>
      <c r="Z482" s="645"/>
      <c r="AA482" s="645"/>
      <c r="AB482" s="645"/>
      <c r="AC482" s="645"/>
      <c r="AD482" s="645"/>
      <c r="AE482" s="645"/>
      <c r="AF482" s="645"/>
      <c r="AG482" s="645"/>
      <c r="AH482" s="645"/>
      <c r="AI482" s="645"/>
      <c r="AJ482" s="645"/>
      <c r="AK482" s="645"/>
      <c r="AL482" s="645"/>
      <c r="AM482" s="645"/>
      <c r="AN482" s="645"/>
      <c r="AO482" s="645"/>
      <c r="AP482" s="645"/>
      <c r="AQ482" s="645"/>
      <c r="AR482" s="645"/>
      <c r="AS482" s="645"/>
      <c r="AT482" s="645"/>
      <c r="AU482" s="645"/>
      <c r="AV482" s="645"/>
      <c r="AW482" s="645"/>
      <c r="AX482" s="645"/>
      <c r="AY482" s="645"/>
      <c r="AZ482" s="645"/>
      <c r="BA482" s="645"/>
      <c r="BB482" s="645"/>
      <c r="BC482" s="645"/>
      <c r="BD482" s="645"/>
      <c r="BE482" s="645"/>
      <c r="BF482" s="645"/>
      <c r="BG482" s="645"/>
      <c r="BH482" s="645"/>
      <c r="BI482" s="645"/>
      <c r="BJ482" s="645"/>
      <c r="BK482" s="645"/>
      <c r="BL482" s="645"/>
      <c r="BM482" s="645"/>
      <c r="BN482" s="645"/>
      <c r="BO482" s="645"/>
      <c r="BP482" s="645"/>
      <c r="BQ482" s="645"/>
      <c r="BR482" s="645"/>
      <c r="BS482" s="645"/>
      <c r="BT482" s="645"/>
      <c r="BU482" s="645"/>
      <c r="BV482" s="645"/>
      <c r="BW482" s="645"/>
      <c r="BX482" s="645"/>
      <c r="BY482" s="645"/>
      <c r="BZ482" s="645"/>
      <c r="CA482" s="645"/>
      <c r="CB482" s="645"/>
      <c r="CC482" s="645"/>
      <c r="CD482" s="646"/>
      <c r="CE482" s="18"/>
    </row>
    <row r="483" spans="1:83" s="9" customFormat="1" ht="12" customHeight="1" x14ac:dyDescent="0.15">
      <c r="A483" s="16"/>
      <c r="B483" s="8"/>
      <c r="C483" s="22"/>
      <c r="D483" s="257" t="s">
        <v>231</v>
      </c>
      <c r="E483" s="66"/>
      <c r="F483" s="42"/>
      <c r="G483" s="42"/>
      <c r="H483" s="42"/>
      <c r="I483" s="42"/>
      <c r="J483" s="42"/>
      <c r="K483" s="42"/>
      <c r="L483" s="42"/>
      <c r="M483" s="42"/>
      <c r="N483" s="42"/>
      <c r="O483" s="43"/>
      <c r="P483" s="638" t="s">
        <v>321</v>
      </c>
      <c r="Q483" s="639"/>
      <c r="R483" s="639"/>
      <c r="S483" s="639"/>
      <c r="T483" s="639"/>
      <c r="U483" s="639"/>
      <c r="V483" s="639"/>
      <c r="W483" s="639"/>
      <c r="X483" s="639"/>
      <c r="Y483" s="639"/>
      <c r="Z483" s="639"/>
      <c r="AA483" s="639"/>
      <c r="AB483" s="639"/>
      <c r="AC483" s="639"/>
      <c r="AD483" s="639"/>
      <c r="AE483" s="639"/>
      <c r="AF483" s="639"/>
      <c r="AG483" s="639"/>
      <c r="AH483" s="639"/>
      <c r="AI483" s="639"/>
      <c r="AJ483" s="639"/>
      <c r="AK483" s="639"/>
      <c r="AL483" s="639"/>
      <c r="AM483" s="639"/>
      <c r="AN483" s="639"/>
      <c r="AO483" s="639"/>
      <c r="AP483" s="639"/>
      <c r="AQ483" s="639"/>
      <c r="AR483" s="639"/>
      <c r="AS483" s="639"/>
      <c r="AT483" s="639"/>
      <c r="AU483" s="639"/>
      <c r="AV483" s="639"/>
      <c r="AW483" s="639"/>
      <c r="AX483" s="639"/>
      <c r="AY483" s="639"/>
      <c r="AZ483" s="639"/>
      <c r="BA483" s="639"/>
      <c r="BB483" s="639"/>
      <c r="BC483" s="639"/>
      <c r="BD483" s="639"/>
      <c r="BE483" s="639"/>
      <c r="BF483" s="639"/>
      <c r="BG483" s="639"/>
      <c r="BH483" s="639"/>
      <c r="BI483" s="639"/>
      <c r="BJ483" s="639"/>
      <c r="BK483" s="639"/>
      <c r="BL483" s="639"/>
      <c r="BM483" s="639"/>
      <c r="BN483" s="639"/>
      <c r="BO483" s="639"/>
      <c r="BP483" s="639"/>
      <c r="BQ483" s="639"/>
      <c r="BR483" s="639"/>
      <c r="BS483" s="639"/>
      <c r="BT483" s="639"/>
      <c r="BU483" s="639"/>
      <c r="BV483" s="639"/>
      <c r="BW483" s="639"/>
      <c r="BX483" s="639"/>
      <c r="BY483" s="639"/>
      <c r="BZ483" s="639"/>
      <c r="CA483" s="639"/>
      <c r="CB483" s="639"/>
      <c r="CC483" s="639"/>
      <c r="CD483" s="640"/>
      <c r="CE483" s="18"/>
    </row>
    <row r="484" spans="1:83" s="9" customFormat="1" ht="12" customHeight="1" x14ac:dyDescent="0.15">
      <c r="A484" s="16"/>
      <c r="B484" s="8"/>
      <c r="C484" s="17"/>
      <c r="D484" s="44"/>
      <c r="E484" s="17"/>
      <c r="F484" s="17"/>
      <c r="G484" s="17"/>
      <c r="H484" s="17"/>
      <c r="I484" s="17"/>
      <c r="J484" s="17"/>
      <c r="K484" s="17"/>
      <c r="L484" s="17"/>
      <c r="M484" s="17"/>
      <c r="N484" s="17"/>
      <c r="O484" s="45"/>
      <c r="P484" s="641"/>
      <c r="Q484" s="642"/>
      <c r="R484" s="642"/>
      <c r="S484" s="642"/>
      <c r="T484" s="642"/>
      <c r="U484" s="642"/>
      <c r="V484" s="642"/>
      <c r="W484" s="642"/>
      <c r="X484" s="642"/>
      <c r="Y484" s="642"/>
      <c r="Z484" s="642"/>
      <c r="AA484" s="642"/>
      <c r="AB484" s="642"/>
      <c r="AC484" s="642"/>
      <c r="AD484" s="642"/>
      <c r="AE484" s="642"/>
      <c r="AF484" s="642"/>
      <c r="AG484" s="642"/>
      <c r="AH484" s="642"/>
      <c r="AI484" s="642"/>
      <c r="AJ484" s="642"/>
      <c r="AK484" s="642"/>
      <c r="AL484" s="642"/>
      <c r="AM484" s="642"/>
      <c r="AN484" s="642"/>
      <c r="AO484" s="642"/>
      <c r="AP484" s="642"/>
      <c r="AQ484" s="642"/>
      <c r="AR484" s="642"/>
      <c r="AS484" s="642"/>
      <c r="AT484" s="642"/>
      <c r="AU484" s="642"/>
      <c r="AV484" s="642"/>
      <c r="AW484" s="642"/>
      <c r="AX484" s="642"/>
      <c r="AY484" s="642"/>
      <c r="AZ484" s="642"/>
      <c r="BA484" s="642"/>
      <c r="BB484" s="642"/>
      <c r="BC484" s="642"/>
      <c r="BD484" s="642"/>
      <c r="BE484" s="642"/>
      <c r="BF484" s="642"/>
      <c r="BG484" s="642"/>
      <c r="BH484" s="642"/>
      <c r="BI484" s="642"/>
      <c r="BJ484" s="642"/>
      <c r="BK484" s="642"/>
      <c r="BL484" s="642"/>
      <c r="BM484" s="642"/>
      <c r="BN484" s="642"/>
      <c r="BO484" s="642"/>
      <c r="BP484" s="642"/>
      <c r="BQ484" s="642"/>
      <c r="BR484" s="642"/>
      <c r="BS484" s="642"/>
      <c r="BT484" s="642"/>
      <c r="BU484" s="642"/>
      <c r="BV484" s="642"/>
      <c r="BW484" s="642"/>
      <c r="BX484" s="642"/>
      <c r="BY484" s="642"/>
      <c r="BZ484" s="642"/>
      <c r="CA484" s="642"/>
      <c r="CB484" s="642"/>
      <c r="CC484" s="642"/>
      <c r="CD484" s="643"/>
      <c r="CE484" s="18"/>
    </row>
    <row r="485" spans="1:83" s="9" customFormat="1" ht="12" customHeight="1" x14ac:dyDescent="0.15">
      <c r="A485" s="16"/>
      <c r="B485" s="8"/>
      <c r="C485" s="17"/>
      <c r="D485" s="44"/>
      <c r="E485" s="17"/>
      <c r="F485" s="17"/>
      <c r="G485" s="17"/>
      <c r="H485" s="17"/>
      <c r="I485" s="17"/>
      <c r="J485" s="17"/>
      <c r="K485" s="17"/>
      <c r="L485" s="17"/>
      <c r="M485" s="17"/>
      <c r="N485" s="17"/>
      <c r="O485" s="45"/>
      <c r="P485" s="641"/>
      <c r="Q485" s="642"/>
      <c r="R485" s="642"/>
      <c r="S485" s="642"/>
      <c r="T485" s="642"/>
      <c r="U485" s="642"/>
      <c r="V485" s="642"/>
      <c r="W485" s="642"/>
      <c r="X485" s="642"/>
      <c r="Y485" s="642"/>
      <c r="Z485" s="642"/>
      <c r="AA485" s="642"/>
      <c r="AB485" s="642"/>
      <c r="AC485" s="642"/>
      <c r="AD485" s="642"/>
      <c r="AE485" s="642"/>
      <c r="AF485" s="642"/>
      <c r="AG485" s="642"/>
      <c r="AH485" s="642"/>
      <c r="AI485" s="642"/>
      <c r="AJ485" s="642"/>
      <c r="AK485" s="642"/>
      <c r="AL485" s="642"/>
      <c r="AM485" s="642"/>
      <c r="AN485" s="642"/>
      <c r="AO485" s="642"/>
      <c r="AP485" s="642"/>
      <c r="AQ485" s="642"/>
      <c r="AR485" s="642"/>
      <c r="AS485" s="642"/>
      <c r="AT485" s="642"/>
      <c r="AU485" s="642"/>
      <c r="AV485" s="642"/>
      <c r="AW485" s="642"/>
      <c r="AX485" s="642"/>
      <c r="AY485" s="642"/>
      <c r="AZ485" s="642"/>
      <c r="BA485" s="642"/>
      <c r="BB485" s="642"/>
      <c r="BC485" s="642"/>
      <c r="BD485" s="642"/>
      <c r="BE485" s="642"/>
      <c r="BF485" s="642"/>
      <c r="BG485" s="642"/>
      <c r="BH485" s="642"/>
      <c r="BI485" s="642"/>
      <c r="BJ485" s="642"/>
      <c r="BK485" s="642"/>
      <c r="BL485" s="642"/>
      <c r="BM485" s="642"/>
      <c r="BN485" s="642"/>
      <c r="BO485" s="642"/>
      <c r="BP485" s="642"/>
      <c r="BQ485" s="642"/>
      <c r="BR485" s="642"/>
      <c r="BS485" s="642"/>
      <c r="BT485" s="642"/>
      <c r="BU485" s="642"/>
      <c r="BV485" s="642"/>
      <c r="BW485" s="642"/>
      <c r="BX485" s="642"/>
      <c r="BY485" s="642"/>
      <c r="BZ485" s="642"/>
      <c r="CA485" s="642"/>
      <c r="CB485" s="642"/>
      <c r="CC485" s="642"/>
      <c r="CD485" s="643"/>
      <c r="CE485" s="18"/>
    </row>
    <row r="486" spans="1:83" s="9" customFormat="1" ht="12" customHeight="1" x14ac:dyDescent="0.15">
      <c r="A486" s="16"/>
      <c r="B486" s="8"/>
      <c r="C486" s="17"/>
      <c r="D486" s="46"/>
      <c r="E486" s="47"/>
      <c r="F486" s="47"/>
      <c r="G486" s="47"/>
      <c r="H486" s="47"/>
      <c r="I486" s="47"/>
      <c r="J486" s="47"/>
      <c r="K486" s="47"/>
      <c r="L486" s="47"/>
      <c r="M486" s="47"/>
      <c r="N486" s="47"/>
      <c r="O486" s="48"/>
      <c r="P486" s="644"/>
      <c r="Q486" s="645"/>
      <c r="R486" s="645"/>
      <c r="S486" s="645"/>
      <c r="T486" s="645"/>
      <c r="U486" s="645"/>
      <c r="V486" s="645"/>
      <c r="W486" s="645"/>
      <c r="X486" s="645"/>
      <c r="Y486" s="645"/>
      <c r="Z486" s="645"/>
      <c r="AA486" s="645"/>
      <c r="AB486" s="645"/>
      <c r="AC486" s="645"/>
      <c r="AD486" s="645"/>
      <c r="AE486" s="645"/>
      <c r="AF486" s="645"/>
      <c r="AG486" s="645"/>
      <c r="AH486" s="645"/>
      <c r="AI486" s="645"/>
      <c r="AJ486" s="645"/>
      <c r="AK486" s="645"/>
      <c r="AL486" s="645"/>
      <c r="AM486" s="645"/>
      <c r="AN486" s="645"/>
      <c r="AO486" s="645"/>
      <c r="AP486" s="645"/>
      <c r="AQ486" s="645"/>
      <c r="AR486" s="645"/>
      <c r="AS486" s="645"/>
      <c r="AT486" s="645"/>
      <c r="AU486" s="645"/>
      <c r="AV486" s="645"/>
      <c r="AW486" s="645"/>
      <c r="AX486" s="645"/>
      <c r="AY486" s="645"/>
      <c r="AZ486" s="645"/>
      <c r="BA486" s="645"/>
      <c r="BB486" s="645"/>
      <c r="BC486" s="645"/>
      <c r="BD486" s="645"/>
      <c r="BE486" s="645"/>
      <c r="BF486" s="645"/>
      <c r="BG486" s="645"/>
      <c r="BH486" s="645"/>
      <c r="BI486" s="645"/>
      <c r="BJ486" s="645"/>
      <c r="BK486" s="645"/>
      <c r="BL486" s="645"/>
      <c r="BM486" s="645"/>
      <c r="BN486" s="645"/>
      <c r="BO486" s="645"/>
      <c r="BP486" s="645"/>
      <c r="BQ486" s="645"/>
      <c r="BR486" s="645"/>
      <c r="BS486" s="645"/>
      <c r="BT486" s="645"/>
      <c r="BU486" s="645"/>
      <c r="BV486" s="645"/>
      <c r="BW486" s="645"/>
      <c r="BX486" s="645"/>
      <c r="BY486" s="645"/>
      <c r="BZ486" s="645"/>
      <c r="CA486" s="645"/>
      <c r="CB486" s="645"/>
      <c r="CC486" s="645"/>
      <c r="CD486" s="646"/>
      <c r="CE486" s="18"/>
    </row>
    <row r="487" spans="1:83" s="9" customFormat="1" ht="12" customHeight="1" x14ac:dyDescent="0.15">
      <c r="A487" s="16"/>
      <c r="B487" s="8"/>
      <c r="C487" s="17"/>
      <c r="D487" s="17"/>
      <c r="E487" s="17"/>
      <c r="F487" s="17"/>
      <c r="G487" s="17"/>
      <c r="H487" s="17"/>
      <c r="I487" s="17"/>
      <c r="J487" s="17"/>
      <c r="K487" s="17"/>
      <c r="L487" s="17"/>
      <c r="M487" s="17"/>
      <c r="N487" s="17"/>
      <c r="O487" s="17"/>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18"/>
    </row>
    <row r="488" spans="1:83" s="9" customFormat="1" ht="12.75" customHeight="1" x14ac:dyDescent="0.15">
      <c r="A488" s="16"/>
      <c r="B488" s="8"/>
      <c r="C488" s="29"/>
      <c r="D488" s="248" t="s">
        <v>860</v>
      </c>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c r="AA488" s="250"/>
      <c r="AB488" s="250"/>
      <c r="AC488" s="250"/>
      <c r="AD488" s="250"/>
      <c r="AE488" s="250"/>
      <c r="AF488" s="250"/>
      <c r="AG488" s="250"/>
      <c r="AH488" s="250"/>
      <c r="AI488" s="250"/>
      <c r="AJ488" s="250"/>
      <c r="AK488" s="250"/>
      <c r="AL488" s="250"/>
      <c r="AM488" s="250"/>
      <c r="AN488" s="250"/>
      <c r="AO488" s="250"/>
      <c r="AP488" s="250"/>
      <c r="AQ488" s="250"/>
      <c r="AR488" s="250"/>
      <c r="AS488" s="250"/>
      <c r="AT488" s="250"/>
      <c r="AU488" s="250"/>
      <c r="AV488" s="250"/>
      <c r="AW488" s="250"/>
      <c r="AX488" s="250"/>
      <c r="AY488" s="250"/>
      <c r="AZ488" s="250"/>
      <c r="BA488" s="250"/>
      <c r="BB488" s="250"/>
      <c r="BC488" s="250"/>
      <c r="BD488" s="250"/>
      <c r="BE488" s="250"/>
      <c r="BF488" s="250"/>
      <c r="BG488" s="250"/>
      <c r="BH488" s="250"/>
      <c r="BI488" s="250"/>
      <c r="BJ488" s="250"/>
      <c r="BK488" s="256"/>
      <c r="BL488" s="256"/>
      <c r="BM488" s="256"/>
      <c r="BN488" s="256"/>
      <c r="BO488" s="256"/>
      <c r="BP488" s="256"/>
      <c r="BQ488" s="256"/>
      <c r="BR488" s="256"/>
      <c r="BS488" s="256"/>
      <c r="BT488" s="256"/>
      <c r="BU488" s="256"/>
      <c r="BV488" s="256"/>
      <c r="BW488" s="256"/>
      <c r="BX488" s="256"/>
      <c r="BY488" s="256"/>
      <c r="BZ488" s="256"/>
      <c r="CA488" s="256"/>
      <c r="CB488" s="256"/>
      <c r="CC488" s="256"/>
      <c r="CD488" s="253"/>
      <c r="CE488" s="18"/>
    </row>
    <row r="489" spans="1:83" s="9" customFormat="1" ht="12.75" customHeight="1" x14ac:dyDescent="0.15">
      <c r="A489" s="16"/>
      <c r="B489" s="8"/>
      <c r="C489" s="29"/>
      <c r="D489" s="165" t="s">
        <v>233</v>
      </c>
      <c r="E489" s="35"/>
      <c r="F489" s="35"/>
      <c r="G489" s="35"/>
      <c r="H489" s="35"/>
      <c r="I489" s="35"/>
      <c r="J489" s="36"/>
      <c r="K489" s="34" t="s">
        <v>234</v>
      </c>
      <c r="L489" s="35"/>
      <c r="M489" s="35"/>
      <c r="N489" s="35"/>
      <c r="O489" s="36"/>
      <c r="P489" s="34" t="s">
        <v>469</v>
      </c>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6"/>
      <c r="CE489" s="18"/>
    </row>
    <row r="490" spans="1:83" s="9" customFormat="1" ht="12.75" customHeight="1" x14ac:dyDescent="0.15">
      <c r="A490" s="16"/>
      <c r="B490" s="8"/>
      <c r="C490" s="29"/>
      <c r="D490" s="165" t="s">
        <v>235</v>
      </c>
      <c r="E490" s="35"/>
      <c r="F490" s="35"/>
      <c r="G490" s="35"/>
      <c r="H490" s="35"/>
      <c r="I490" s="35"/>
      <c r="J490" s="36"/>
      <c r="K490" s="34" t="s">
        <v>465</v>
      </c>
      <c r="L490" s="35"/>
      <c r="M490" s="35"/>
      <c r="N490" s="35"/>
      <c r="O490" s="36"/>
      <c r="P490" s="34" t="s">
        <v>470</v>
      </c>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6"/>
      <c r="CE490" s="18"/>
    </row>
    <row r="491" spans="1:83" s="9" customFormat="1" ht="12.75" customHeight="1" x14ac:dyDescent="0.15">
      <c r="A491" s="16"/>
      <c r="B491" s="8"/>
      <c r="C491" s="29"/>
      <c r="D491" s="624" t="s">
        <v>920</v>
      </c>
      <c r="E491" s="625"/>
      <c r="F491" s="625"/>
      <c r="G491" s="625"/>
      <c r="H491" s="625"/>
      <c r="I491" s="625"/>
      <c r="J491" s="626"/>
      <c r="K491" s="37" t="s">
        <v>236</v>
      </c>
      <c r="L491" s="38"/>
      <c r="M491" s="38"/>
      <c r="N491" s="38"/>
      <c r="O491" s="39"/>
      <c r="P491" s="615" t="s">
        <v>237</v>
      </c>
      <c r="Q491" s="656"/>
      <c r="R491" s="656"/>
      <c r="S491" s="656"/>
      <c r="T491" s="656"/>
      <c r="U491" s="656"/>
      <c r="V491" s="656"/>
      <c r="W491" s="656"/>
      <c r="X491" s="656"/>
      <c r="Y491" s="656"/>
      <c r="Z491" s="656"/>
      <c r="AA491" s="656"/>
      <c r="AB491" s="656"/>
      <c r="AC491" s="656"/>
      <c r="AD491" s="656"/>
      <c r="AE491" s="656"/>
      <c r="AF491" s="656"/>
      <c r="AG491" s="656"/>
      <c r="AH491" s="656"/>
      <c r="AI491" s="656"/>
      <c r="AJ491" s="656"/>
      <c r="AK491" s="656"/>
      <c r="AL491" s="656"/>
      <c r="AM491" s="656"/>
      <c r="AN491" s="656"/>
      <c r="AO491" s="656"/>
      <c r="AP491" s="656"/>
      <c r="AQ491" s="656"/>
      <c r="AR491" s="656"/>
      <c r="AS491" s="656"/>
      <c r="AT491" s="656"/>
      <c r="AU491" s="656"/>
      <c r="AV491" s="656"/>
      <c r="AW491" s="656"/>
      <c r="AX491" s="656"/>
      <c r="AY491" s="656"/>
      <c r="AZ491" s="656"/>
      <c r="BA491" s="656"/>
      <c r="BB491" s="656"/>
      <c r="BC491" s="656"/>
      <c r="BD491" s="656"/>
      <c r="BE491" s="656"/>
      <c r="BF491" s="656"/>
      <c r="BG491" s="656"/>
      <c r="BH491" s="656"/>
      <c r="BI491" s="656"/>
      <c r="BJ491" s="656"/>
      <c r="BK491" s="656"/>
      <c r="BL491" s="656"/>
      <c r="BM491" s="656"/>
      <c r="BN491" s="656"/>
      <c r="BO491" s="656"/>
      <c r="BP491" s="656"/>
      <c r="BQ491" s="656"/>
      <c r="BR491" s="656"/>
      <c r="BS491" s="656"/>
      <c r="BT491" s="656"/>
      <c r="BU491" s="656"/>
      <c r="BV491" s="656"/>
      <c r="BW491" s="656"/>
      <c r="BX491" s="656"/>
      <c r="BY491" s="656"/>
      <c r="BZ491" s="656"/>
      <c r="CA491" s="656"/>
      <c r="CB491" s="656"/>
      <c r="CC491" s="656"/>
      <c r="CD491" s="657"/>
      <c r="CE491" s="18"/>
    </row>
    <row r="492" spans="1:83" s="9" customFormat="1" ht="12.75" customHeight="1" x14ac:dyDescent="0.15">
      <c r="A492" s="16"/>
      <c r="B492" s="8"/>
      <c r="C492" s="29"/>
      <c r="D492" s="627"/>
      <c r="E492" s="628"/>
      <c r="F492" s="628"/>
      <c r="G492" s="628"/>
      <c r="H492" s="628"/>
      <c r="I492" s="628"/>
      <c r="J492" s="629"/>
      <c r="K492" s="41"/>
      <c r="L492" s="12"/>
      <c r="M492" s="12"/>
      <c r="N492" s="12"/>
      <c r="O492" s="31"/>
      <c r="P492" s="618"/>
      <c r="Q492" s="621"/>
      <c r="R492" s="621"/>
      <c r="S492" s="621"/>
      <c r="T492" s="621"/>
      <c r="U492" s="621"/>
      <c r="V492" s="621"/>
      <c r="W492" s="621"/>
      <c r="X492" s="621"/>
      <c r="Y492" s="621"/>
      <c r="Z492" s="621"/>
      <c r="AA492" s="621"/>
      <c r="AB492" s="621"/>
      <c r="AC492" s="621"/>
      <c r="AD492" s="621"/>
      <c r="AE492" s="621"/>
      <c r="AF492" s="621"/>
      <c r="AG492" s="621"/>
      <c r="AH492" s="621"/>
      <c r="AI492" s="621"/>
      <c r="AJ492" s="621"/>
      <c r="AK492" s="621"/>
      <c r="AL492" s="621"/>
      <c r="AM492" s="621"/>
      <c r="AN492" s="621"/>
      <c r="AO492" s="621"/>
      <c r="AP492" s="621"/>
      <c r="AQ492" s="621"/>
      <c r="AR492" s="621"/>
      <c r="AS492" s="621"/>
      <c r="AT492" s="621"/>
      <c r="AU492" s="621"/>
      <c r="AV492" s="621"/>
      <c r="AW492" s="621"/>
      <c r="AX492" s="621"/>
      <c r="AY492" s="621"/>
      <c r="AZ492" s="621"/>
      <c r="BA492" s="621"/>
      <c r="BB492" s="621"/>
      <c r="BC492" s="621"/>
      <c r="BD492" s="621"/>
      <c r="BE492" s="621"/>
      <c r="BF492" s="621"/>
      <c r="BG492" s="621"/>
      <c r="BH492" s="621"/>
      <c r="BI492" s="621"/>
      <c r="BJ492" s="621"/>
      <c r="BK492" s="621"/>
      <c r="BL492" s="621"/>
      <c r="BM492" s="621"/>
      <c r="BN492" s="621"/>
      <c r="BO492" s="621"/>
      <c r="BP492" s="621"/>
      <c r="BQ492" s="621"/>
      <c r="BR492" s="621"/>
      <c r="BS492" s="621"/>
      <c r="BT492" s="621"/>
      <c r="BU492" s="621"/>
      <c r="BV492" s="621"/>
      <c r="BW492" s="621"/>
      <c r="BX492" s="621"/>
      <c r="BY492" s="621"/>
      <c r="BZ492" s="621"/>
      <c r="CA492" s="621"/>
      <c r="CB492" s="621"/>
      <c r="CC492" s="621"/>
      <c r="CD492" s="622"/>
      <c r="CE492" s="18"/>
    </row>
    <row r="493" spans="1:83" s="9" customFormat="1" ht="12.75" customHeight="1" x14ac:dyDescent="0.15">
      <c r="A493" s="16"/>
      <c r="B493" s="8"/>
      <c r="C493" s="29"/>
      <c r="D493" s="630"/>
      <c r="E493" s="631"/>
      <c r="F493" s="631"/>
      <c r="G493" s="631"/>
      <c r="H493" s="631"/>
      <c r="I493" s="631"/>
      <c r="J493" s="632"/>
      <c r="K493" s="40"/>
      <c r="L493" s="32"/>
      <c r="M493" s="32"/>
      <c r="N493" s="32"/>
      <c r="O493" s="33"/>
      <c r="P493" s="658"/>
      <c r="Q493" s="659"/>
      <c r="R493" s="659"/>
      <c r="S493" s="659"/>
      <c r="T493" s="659"/>
      <c r="U493" s="659"/>
      <c r="V493" s="659"/>
      <c r="W493" s="659"/>
      <c r="X493" s="659"/>
      <c r="Y493" s="659"/>
      <c r="Z493" s="659"/>
      <c r="AA493" s="659"/>
      <c r="AB493" s="659"/>
      <c r="AC493" s="659"/>
      <c r="AD493" s="659"/>
      <c r="AE493" s="659"/>
      <c r="AF493" s="659"/>
      <c r="AG493" s="659"/>
      <c r="AH493" s="659"/>
      <c r="AI493" s="659"/>
      <c r="AJ493" s="659"/>
      <c r="AK493" s="659"/>
      <c r="AL493" s="659"/>
      <c r="AM493" s="659"/>
      <c r="AN493" s="659"/>
      <c r="AO493" s="659"/>
      <c r="AP493" s="659"/>
      <c r="AQ493" s="659"/>
      <c r="AR493" s="659"/>
      <c r="AS493" s="659"/>
      <c r="AT493" s="659"/>
      <c r="AU493" s="659"/>
      <c r="AV493" s="659"/>
      <c r="AW493" s="659"/>
      <c r="AX493" s="659"/>
      <c r="AY493" s="659"/>
      <c r="AZ493" s="659"/>
      <c r="BA493" s="659"/>
      <c r="BB493" s="659"/>
      <c r="BC493" s="659"/>
      <c r="BD493" s="659"/>
      <c r="BE493" s="659"/>
      <c r="BF493" s="659"/>
      <c r="BG493" s="659"/>
      <c r="BH493" s="659"/>
      <c r="BI493" s="659"/>
      <c r="BJ493" s="659"/>
      <c r="BK493" s="659"/>
      <c r="BL493" s="659"/>
      <c r="BM493" s="659"/>
      <c r="BN493" s="659"/>
      <c r="BO493" s="659"/>
      <c r="BP493" s="659"/>
      <c r="BQ493" s="659"/>
      <c r="BR493" s="659"/>
      <c r="BS493" s="659"/>
      <c r="BT493" s="659"/>
      <c r="BU493" s="659"/>
      <c r="BV493" s="659"/>
      <c r="BW493" s="659"/>
      <c r="BX493" s="659"/>
      <c r="BY493" s="659"/>
      <c r="BZ493" s="659"/>
      <c r="CA493" s="659"/>
      <c r="CB493" s="659"/>
      <c r="CC493" s="659"/>
      <c r="CD493" s="660"/>
      <c r="CE493" s="18"/>
    </row>
    <row r="494" spans="1:83" s="9" customFormat="1" ht="12.75" customHeight="1" x14ac:dyDescent="0.15">
      <c r="A494" s="16"/>
      <c r="B494" s="8"/>
      <c r="C494" s="29"/>
      <c r="D494" s="165" t="s">
        <v>238</v>
      </c>
      <c r="E494" s="35"/>
      <c r="F494" s="35"/>
      <c r="G494" s="35"/>
      <c r="H494" s="35"/>
      <c r="I494" s="35"/>
      <c r="J494" s="36"/>
      <c r="K494" s="34" t="s">
        <v>234</v>
      </c>
      <c r="L494" s="35"/>
      <c r="M494" s="35"/>
      <c r="N494" s="35"/>
      <c r="O494" s="36"/>
      <c r="P494" s="34" t="s">
        <v>322</v>
      </c>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6"/>
      <c r="CE494" s="18"/>
    </row>
    <row r="495" spans="1:83" s="9" customFormat="1" ht="12.75" customHeight="1" x14ac:dyDescent="0.15">
      <c r="A495" s="16"/>
      <c r="B495" s="8"/>
      <c r="C495" s="29"/>
      <c r="D495" s="165" t="s">
        <v>464</v>
      </c>
      <c r="E495" s="35"/>
      <c r="F495" s="35"/>
      <c r="G495" s="35"/>
      <c r="H495" s="35"/>
      <c r="I495" s="35"/>
      <c r="J495" s="36"/>
      <c r="K495" s="34" t="s">
        <v>468</v>
      </c>
      <c r="L495" s="35"/>
      <c r="M495" s="35"/>
      <c r="N495" s="35"/>
      <c r="O495" s="36"/>
      <c r="P495" s="34" t="s">
        <v>239</v>
      </c>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6"/>
      <c r="CE495" s="18"/>
    </row>
    <row r="496" spans="1:83" s="9" customFormat="1" ht="12.75" customHeight="1" x14ac:dyDescent="0.15">
      <c r="A496" s="16"/>
      <c r="B496" s="8"/>
      <c r="C496" s="29"/>
      <c r="D496" s="165" t="s">
        <v>462</v>
      </c>
      <c r="E496" s="35"/>
      <c r="F496" s="35"/>
      <c r="G496" s="35"/>
      <c r="H496" s="35"/>
      <c r="I496" s="35"/>
      <c r="J496" s="36"/>
      <c r="K496" s="34" t="s">
        <v>620</v>
      </c>
      <c r="L496" s="35"/>
      <c r="M496" s="35"/>
      <c r="N496" s="35"/>
      <c r="O496" s="36"/>
      <c r="P496" s="34"/>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6"/>
      <c r="CE496" s="18"/>
    </row>
    <row r="497" spans="1:83" s="9" customFormat="1" ht="12.75" customHeight="1" x14ac:dyDescent="0.15">
      <c r="A497" s="16"/>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12"/>
      <c r="BT497" s="12"/>
      <c r="BU497" s="12"/>
      <c r="BV497" s="12"/>
      <c r="BW497" s="12"/>
      <c r="BX497" s="12"/>
      <c r="BY497" s="12"/>
      <c r="BZ497" s="12"/>
      <c r="CA497" s="12"/>
      <c r="CB497" s="12"/>
      <c r="CC497" s="12"/>
      <c r="CD497" s="12"/>
      <c r="CE497" s="18"/>
    </row>
    <row r="498" spans="1:83" s="9" customFormat="1" ht="12.75" customHeight="1" x14ac:dyDescent="0.15">
      <c r="A498" s="16"/>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12"/>
      <c r="BT498" s="12"/>
      <c r="BU498" s="12"/>
      <c r="BV498" s="12"/>
      <c r="BW498" s="12"/>
      <c r="BX498" s="12"/>
      <c r="BY498" s="12"/>
      <c r="BZ498" s="12"/>
      <c r="CA498" s="12"/>
      <c r="CB498" s="12"/>
      <c r="CC498" s="12"/>
      <c r="CD498" s="12"/>
      <c r="CE498" s="18"/>
    </row>
    <row r="499" spans="1:83" s="9" customFormat="1" ht="12.75" customHeight="1" x14ac:dyDescent="0.15">
      <c r="A499" s="16"/>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12"/>
      <c r="BT499" s="12"/>
      <c r="BU499" s="12"/>
      <c r="BV499" s="12"/>
      <c r="BW499" s="12"/>
      <c r="BX499" s="12"/>
      <c r="BY499" s="12"/>
      <c r="BZ499" s="12"/>
      <c r="CA499" s="12"/>
      <c r="CB499" s="12"/>
      <c r="CC499" s="12"/>
      <c r="CD499" s="12"/>
      <c r="CE499" s="18"/>
    </row>
    <row r="500" spans="1:83" s="9" customFormat="1" ht="12.75" customHeight="1" x14ac:dyDescent="0.15">
      <c r="A500" s="16"/>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12"/>
      <c r="BT500" s="12"/>
      <c r="BU500" s="12"/>
      <c r="BV500" s="12"/>
      <c r="BW500" s="12"/>
      <c r="BX500" s="12"/>
      <c r="BY500" s="12"/>
      <c r="BZ500" s="12"/>
      <c r="CA500" s="12"/>
      <c r="CB500" s="12"/>
      <c r="CC500" s="12"/>
      <c r="CD500" s="12"/>
      <c r="CE500" s="18"/>
    </row>
    <row r="501" spans="1:83" s="9" customFormat="1" ht="12.75" customHeight="1" x14ac:dyDescent="0.15">
      <c r="A501" s="16"/>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12"/>
      <c r="BT501" s="12"/>
      <c r="BU501" s="12"/>
      <c r="BV501" s="12"/>
      <c r="BW501" s="12"/>
      <c r="BX501" s="12"/>
      <c r="BY501" s="12"/>
      <c r="BZ501" s="12"/>
      <c r="CA501" s="12"/>
      <c r="CB501" s="12"/>
      <c r="CC501" s="12"/>
      <c r="CD501" s="12"/>
      <c r="CE501" s="18"/>
    </row>
    <row r="502" spans="1:83" s="9" customFormat="1" ht="12.75" customHeight="1" x14ac:dyDescent="0.15">
      <c r="A502" s="16"/>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12"/>
      <c r="BT502" s="12"/>
      <c r="BU502" s="12"/>
      <c r="BV502" s="12"/>
      <c r="BW502" s="12"/>
      <c r="BX502" s="12"/>
      <c r="BY502" s="12"/>
      <c r="BZ502" s="12"/>
      <c r="CA502" s="12"/>
      <c r="CB502" s="12"/>
      <c r="CC502" s="12"/>
      <c r="CD502" s="12"/>
      <c r="CE502" s="18"/>
    </row>
    <row r="503" spans="1:83" s="9" customFormat="1" ht="12" customHeight="1" x14ac:dyDescent="0.15">
      <c r="A503" s="16"/>
      <c r="B503" s="8"/>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17"/>
      <c r="CD503" s="17"/>
      <c r="CE503" s="18"/>
    </row>
    <row r="504" spans="1:83" s="9" customFormat="1" ht="12" customHeight="1" x14ac:dyDescent="0.15">
      <c r="A504" s="16"/>
      <c r="B504" s="8"/>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17"/>
      <c r="CD504" s="17"/>
      <c r="CE504" s="18"/>
    </row>
    <row r="505" spans="1:83" s="9" customFormat="1" ht="12" customHeight="1" x14ac:dyDescent="0.15">
      <c r="A505" s="16"/>
      <c r="B505" s="8"/>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c r="BW505" s="20"/>
      <c r="BX505" s="20"/>
      <c r="BY505" s="20"/>
      <c r="BZ505" s="20"/>
      <c r="CA505" s="20"/>
      <c r="CB505" s="20"/>
      <c r="CC505" s="17"/>
      <c r="CD505" s="17"/>
      <c r="CE505" s="18"/>
    </row>
    <row r="506" spans="1:83" s="9" customFormat="1" ht="12" customHeight="1" x14ac:dyDescent="0.15">
      <c r="A506" s="16"/>
      <c r="B506" s="8"/>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17"/>
      <c r="CD506" s="17"/>
      <c r="CE506" s="18"/>
    </row>
    <row r="507" spans="1:83" s="9" customFormat="1" ht="12" customHeight="1" x14ac:dyDescent="0.15">
      <c r="A507" s="16"/>
      <c r="B507" s="8"/>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17"/>
      <c r="CD507" s="17"/>
      <c r="CE507" s="18"/>
    </row>
    <row r="508" spans="1:83" s="9" customFormat="1" ht="12" customHeight="1" x14ac:dyDescent="0.15">
      <c r="A508" s="16"/>
      <c r="B508" s="8"/>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17"/>
      <c r="CD508" s="17"/>
      <c r="CE508" s="18"/>
    </row>
    <row r="509" spans="1:83" s="9" customFormat="1" ht="12" customHeight="1" thickBot="1" x14ac:dyDescent="0.2">
      <c r="A509" s="25"/>
      <c r="B509" s="30"/>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7"/>
      <c r="BA509" s="27"/>
      <c r="BB509" s="27"/>
      <c r="BC509" s="27"/>
      <c r="BD509" s="27"/>
      <c r="BE509" s="27"/>
      <c r="BF509" s="27"/>
      <c r="BG509" s="27"/>
      <c r="BH509" s="27"/>
      <c r="BI509" s="27"/>
      <c r="BJ509" s="27"/>
      <c r="BK509" s="27"/>
      <c r="BL509" s="27"/>
      <c r="BM509" s="27"/>
      <c r="BN509" s="27"/>
      <c r="BO509" s="27"/>
      <c r="BP509" s="27"/>
      <c r="BQ509" s="27"/>
      <c r="BR509" s="27"/>
      <c r="BS509" s="27"/>
      <c r="BT509" s="27"/>
      <c r="BU509" s="27"/>
      <c r="BV509" s="27"/>
      <c r="BW509" s="27"/>
      <c r="BX509" s="27"/>
      <c r="BY509" s="27"/>
      <c r="BZ509" s="27"/>
      <c r="CA509" s="27"/>
      <c r="CB509" s="27"/>
      <c r="CC509" s="26"/>
      <c r="CD509" s="26"/>
      <c r="CE509" s="28"/>
    </row>
    <row r="510" spans="1:83" s="4" customFormat="1" ht="12" customHeight="1" x14ac:dyDescent="0.15">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c r="BY510" s="14"/>
      <c r="BZ510" s="14"/>
      <c r="CA510" s="14"/>
      <c r="CB510" s="14"/>
      <c r="CC510" s="14"/>
      <c r="CD510" s="14"/>
      <c r="CE510" s="15"/>
    </row>
    <row r="511" spans="1:83" s="9" customFormat="1" ht="12.75" customHeight="1" x14ac:dyDescent="0.15">
      <c r="A511" s="16"/>
      <c r="B511" s="8"/>
      <c r="D511" s="21" t="s">
        <v>921</v>
      </c>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c r="CA511" s="12"/>
      <c r="CB511" s="12"/>
      <c r="CC511" s="12"/>
      <c r="CD511" s="12"/>
      <c r="CE511" s="18"/>
    </row>
    <row r="512" spans="1:83" s="9" customFormat="1" ht="12.75" customHeight="1" x14ac:dyDescent="0.15">
      <c r="A512" s="16"/>
      <c r="B512" s="8"/>
      <c r="C512" s="29"/>
      <c r="D512" s="647" t="s">
        <v>915</v>
      </c>
      <c r="E512" s="648"/>
      <c r="F512" s="648"/>
      <c r="G512" s="648"/>
      <c r="H512" s="648"/>
      <c r="I512" s="648"/>
      <c r="J512" s="648"/>
      <c r="K512" s="648"/>
      <c r="L512" s="648"/>
      <c r="M512" s="648"/>
      <c r="N512" s="648"/>
      <c r="O512" s="648"/>
      <c r="P512" s="648"/>
      <c r="Q512" s="648"/>
      <c r="R512" s="648"/>
      <c r="S512" s="648"/>
      <c r="T512" s="648"/>
      <c r="U512" s="648"/>
      <c r="V512" s="648"/>
      <c r="W512" s="648"/>
      <c r="X512" s="648"/>
      <c r="Y512" s="648"/>
      <c r="Z512" s="648"/>
      <c r="AA512" s="648"/>
      <c r="AB512" s="648"/>
      <c r="AC512" s="648"/>
      <c r="AD512" s="648"/>
      <c r="AE512" s="648"/>
      <c r="AF512" s="648"/>
      <c r="AG512" s="648"/>
      <c r="AH512" s="648"/>
      <c r="AI512" s="648"/>
      <c r="AJ512" s="648"/>
      <c r="AK512" s="648"/>
      <c r="AL512" s="648"/>
      <c r="AM512" s="648"/>
      <c r="AN512" s="648"/>
      <c r="AO512" s="648"/>
      <c r="AP512" s="648"/>
      <c r="AQ512" s="648"/>
      <c r="AR512" s="648"/>
      <c r="AS512" s="648"/>
      <c r="AT512" s="648"/>
      <c r="AU512" s="648"/>
      <c r="AV512" s="648"/>
      <c r="AW512" s="648"/>
      <c r="AX512" s="648"/>
      <c r="AY512" s="648"/>
      <c r="AZ512" s="648"/>
      <c r="BA512" s="648"/>
      <c r="BB512" s="648"/>
      <c r="BC512" s="648"/>
      <c r="BD512" s="648"/>
      <c r="BE512" s="648"/>
      <c r="BF512" s="648"/>
      <c r="BG512" s="648"/>
      <c r="BH512" s="648"/>
      <c r="BI512" s="648"/>
      <c r="BJ512" s="648"/>
      <c r="BK512" s="648"/>
      <c r="BL512" s="648"/>
      <c r="BM512" s="648"/>
      <c r="BN512" s="648"/>
      <c r="BO512" s="648"/>
      <c r="BP512" s="648"/>
      <c r="BQ512" s="648"/>
      <c r="BR512" s="648"/>
      <c r="BS512" s="648"/>
      <c r="BT512" s="648"/>
      <c r="BU512" s="648"/>
      <c r="BV512" s="648"/>
      <c r="BW512" s="648"/>
      <c r="BX512" s="648"/>
      <c r="BY512" s="648"/>
      <c r="BZ512" s="648"/>
      <c r="CA512" s="648"/>
      <c r="CB512" s="648"/>
      <c r="CC512" s="648"/>
      <c r="CD512" s="649"/>
      <c r="CE512" s="18"/>
    </row>
    <row r="513" spans="1:83" s="9" customFormat="1" ht="12.75" customHeight="1" x14ac:dyDescent="0.15">
      <c r="A513" s="16"/>
      <c r="B513" s="8"/>
      <c r="C513" s="29"/>
      <c r="D513" s="650"/>
      <c r="E513" s="651"/>
      <c r="F513" s="651"/>
      <c r="G513" s="651"/>
      <c r="H513" s="651"/>
      <c r="I513" s="651"/>
      <c r="J513" s="651"/>
      <c r="K513" s="651"/>
      <c r="L513" s="651"/>
      <c r="M513" s="651"/>
      <c r="N513" s="651"/>
      <c r="O513" s="651"/>
      <c r="P513" s="651"/>
      <c r="Q513" s="651"/>
      <c r="R513" s="651"/>
      <c r="S513" s="651"/>
      <c r="T513" s="651"/>
      <c r="U513" s="651"/>
      <c r="V513" s="651"/>
      <c r="W513" s="651"/>
      <c r="X513" s="651"/>
      <c r="Y513" s="651"/>
      <c r="Z513" s="651"/>
      <c r="AA513" s="651"/>
      <c r="AB513" s="651"/>
      <c r="AC513" s="651"/>
      <c r="AD513" s="651"/>
      <c r="AE513" s="651"/>
      <c r="AF513" s="651"/>
      <c r="AG513" s="651"/>
      <c r="AH513" s="651"/>
      <c r="AI513" s="651"/>
      <c r="AJ513" s="651"/>
      <c r="AK513" s="651"/>
      <c r="AL513" s="651"/>
      <c r="AM513" s="651"/>
      <c r="AN513" s="651"/>
      <c r="AO513" s="651"/>
      <c r="AP513" s="651"/>
      <c r="AQ513" s="651"/>
      <c r="AR513" s="651"/>
      <c r="AS513" s="651"/>
      <c r="AT513" s="651"/>
      <c r="AU513" s="651"/>
      <c r="AV513" s="651"/>
      <c r="AW513" s="651"/>
      <c r="AX513" s="651"/>
      <c r="AY513" s="651"/>
      <c r="AZ513" s="651"/>
      <c r="BA513" s="651"/>
      <c r="BB513" s="651"/>
      <c r="BC513" s="651"/>
      <c r="BD513" s="651"/>
      <c r="BE513" s="651"/>
      <c r="BF513" s="651"/>
      <c r="BG513" s="651"/>
      <c r="BH513" s="651"/>
      <c r="BI513" s="651"/>
      <c r="BJ513" s="651"/>
      <c r="BK513" s="651"/>
      <c r="BL513" s="651"/>
      <c r="BM513" s="651"/>
      <c r="BN513" s="651"/>
      <c r="BO513" s="651"/>
      <c r="BP513" s="651"/>
      <c r="BQ513" s="651"/>
      <c r="BR513" s="651"/>
      <c r="BS513" s="651"/>
      <c r="BT513" s="651"/>
      <c r="BU513" s="651"/>
      <c r="BV513" s="651"/>
      <c r="BW513" s="651"/>
      <c r="BX513" s="651"/>
      <c r="BY513" s="651"/>
      <c r="BZ513" s="651"/>
      <c r="CA513" s="651"/>
      <c r="CB513" s="651"/>
      <c r="CC513" s="651"/>
      <c r="CD513" s="652"/>
      <c r="CE513" s="18"/>
    </row>
    <row r="514" spans="1:83" s="9" customFormat="1" ht="12.75" customHeight="1" x14ac:dyDescent="0.15">
      <c r="A514" s="16"/>
      <c r="B514" s="8"/>
      <c r="C514" s="29"/>
      <c r="D514" s="653"/>
      <c r="E514" s="654"/>
      <c r="F514" s="654"/>
      <c r="G514" s="654"/>
      <c r="H514" s="654"/>
      <c r="I514" s="654"/>
      <c r="J514" s="654"/>
      <c r="K514" s="654"/>
      <c r="L514" s="654"/>
      <c r="M514" s="654"/>
      <c r="N514" s="654"/>
      <c r="O514" s="654"/>
      <c r="P514" s="654"/>
      <c r="Q514" s="654"/>
      <c r="R514" s="654"/>
      <c r="S514" s="654"/>
      <c r="T514" s="654"/>
      <c r="U514" s="654"/>
      <c r="V514" s="654"/>
      <c r="W514" s="654"/>
      <c r="X514" s="654"/>
      <c r="Y514" s="654"/>
      <c r="Z514" s="654"/>
      <c r="AA514" s="654"/>
      <c r="AB514" s="654"/>
      <c r="AC514" s="654"/>
      <c r="AD514" s="654"/>
      <c r="AE514" s="654"/>
      <c r="AF514" s="654"/>
      <c r="AG514" s="654"/>
      <c r="AH514" s="654"/>
      <c r="AI514" s="654"/>
      <c r="AJ514" s="654"/>
      <c r="AK514" s="654"/>
      <c r="AL514" s="654"/>
      <c r="AM514" s="654"/>
      <c r="AN514" s="654"/>
      <c r="AO514" s="654"/>
      <c r="AP514" s="654"/>
      <c r="AQ514" s="654"/>
      <c r="AR514" s="654"/>
      <c r="AS514" s="654"/>
      <c r="AT514" s="654"/>
      <c r="AU514" s="654"/>
      <c r="AV514" s="654"/>
      <c r="AW514" s="654"/>
      <c r="AX514" s="654"/>
      <c r="AY514" s="654"/>
      <c r="AZ514" s="654"/>
      <c r="BA514" s="654"/>
      <c r="BB514" s="654"/>
      <c r="BC514" s="654"/>
      <c r="BD514" s="654"/>
      <c r="BE514" s="654"/>
      <c r="BF514" s="654"/>
      <c r="BG514" s="654"/>
      <c r="BH514" s="654"/>
      <c r="BI514" s="654"/>
      <c r="BJ514" s="654"/>
      <c r="BK514" s="654"/>
      <c r="BL514" s="654"/>
      <c r="BM514" s="654"/>
      <c r="BN514" s="654"/>
      <c r="BO514" s="654"/>
      <c r="BP514" s="654"/>
      <c r="BQ514" s="654"/>
      <c r="BR514" s="654"/>
      <c r="BS514" s="654"/>
      <c r="BT514" s="654"/>
      <c r="BU514" s="654"/>
      <c r="BV514" s="654"/>
      <c r="BW514" s="654"/>
      <c r="BX514" s="654"/>
      <c r="BY514" s="654"/>
      <c r="BZ514" s="654"/>
      <c r="CA514" s="654"/>
      <c r="CB514" s="654"/>
      <c r="CC514" s="654"/>
      <c r="CD514" s="655"/>
      <c r="CE514" s="18"/>
    </row>
    <row r="515" spans="1:83" s="9" customFormat="1" ht="12.75" customHeight="1" x14ac:dyDescent="0.15">
      <c r="A515" s="16"/>
      <c r="B515" s="8"/>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c r="CA515" s="12"/>
      <c r="CB515" s="12"/>
      <c r="CC515" s="12"/>
      <c r="CD515" s="12"/>
      <c r="CE515" s="18"/>
    </row>
    <row r="516" spans="1:83" s="9" customFormat="1" ht="12.75" customHeight="1" x14ac:dyDescent="0.15">
      <c r="A516" s="16"/>
      <c r="B516" s="8"/>
      <c r="C516" s="29"/>
      <c r="D516" s="12" t="s">
        <v>323</v>
      </c>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c r="CA516" s="12"/>
      <c r="CB516" s="12"/>
      <c r="CC516" s="12"/>
      <c r="CD516" s="12"/>
      <c r="CE516" s="18"/>
    </row>
    <row r="517" spans="1:83" s="9" customFormat="1" ht="12" customHeight="1" x14ac:dyDescent="0.15">
      <c r="A517" s="16"/>
      <c r="B517" s="8"/>
      <c r="C517" s="12"/>
      <c r="D517" s="248" t="s">
        <v>240</v>
      </c>
      <c r="E517" s="249"/>
      <c r="F517" s="248" t="s">
        <v>560</v>
      </c>
      <c r="G517" s="250"/>
      <c r="H517" s="250"/>
      <c r="I517" s="250"/>
      <c r="J517" s="250"/>
      <c r="K517" s="250"/>
      <c r="L517" s="250"/>
      <c r="M517" s="250"/>
      <c r="N517" s="250"/>
      <c r="O517" s="250"/>
      <c r="P517" s="249"/>
      <c r="Q517" s="248" t="s">
        <v>566</v>
      </c>
      <c r="R517" s="250"/>
      <c r="S517" s="250"/>
      <c r="T517" s="250"/>
      <c r="U517" s="250"/>
      <c r="V517" s="250"/>
      <c r="W517" s="250"/>
      <c r="X517" s="250"/>
      <c r="Y517" s="250"/>
      <c r="Z517" s="250"/>
      <c r="AA517" s="250"/>
      <c r="AB517" s="248" t="s">
        <v>241</v>
      </c>
      <c r="AC517" s="250"/>
      <c r="AD517" s="250"/>
      <c r="AE517" s="250"/>
      <c r="AF517" s="250"/>
      <c r="AG517" s="250"/>
      <c r="AH517" s="250"/>
      <c r="AI517" s="250"/>
      <c r="AJ517" s="250"/>
      <c r="AK517" s="250"/>
      <c r="AL517" s="250"/>
      <c r="AM517" s="250"/>
      <c r="AN517" s="250"/>
      <c r="AO517" s="249"/>
      <c r="AP517" s="248" t="s">
        <v>562</v>
      </c>
      <c r="AQ517" s="250"/>
      <c r="AR517" s="250"/>
      <c r="AS517" s="250"/>
      <c r="AT517" s="250"/>
      <c r="AU517" s="250"/>
      <c r="AV517" s="250"/>
      <c r="AW517" s="250"/>
      <c r="AX517" s="250"/>
      <c r="AY517" s="250"/>
      <c r="AZ517" s="249"/>
      <c r="BA517" s="250" t="s">
        <v>567</v>
      </c>
      <c r="BB517" s="250"/>
      <c r="BC517" s="250"/>
      <c r="BD517" s="250"/>
      <c r="BE517" s="250"/>
      <c r="BF517" s="250"/>
      <c r="BG517" s="250"/>
      <c r="BH517" s="250"/>
      <c r="BI517" s="250"/>
      <c r="BJ517" s="250"/>
      <c r="BK517" s="250"/>
      <c r="BL517" s="250"/>
      <c r="BM517" s="250"/>
      <c r="BN517" s="250"/>
      <c r="BO517" s="250"/>
      <c r="BP517" s="250"/>
      <c r="BQ517" s="250"/>
      <c r="BR517" s="250"/>
      <c r="BS517" s="250"/>
      <c r="BT517" s="250"/>
      <c r="BU517" s="250"/>
      <c r="BV517" s="250"/>
      <c r="BW517" s="250"/>
      <c r="BX517" s="250"/>
      <c r="BY517" s="250"/>
      <c r="BZ517" s="250"/>
      <c r="CA517" s="250"/>
      <c r="CB517" s="250"/>
      <c r="CC517" s="250"/>
      <c r="CD517" s="249"/>
      <c r="CE517" s="18"/>
    </row>
    <row r="518" spans="1:83" s="9" customFormat="1" ht="12" customHeight="1" x14ac:dyDescent="0.15">
      <c r="A518" s="16"/>
      <c r="B518" s="8"/>
      <c r="C518" s="12"/>
      <c r="D518" s="602" t="s">
        <v>242</v>
      </c>
      <c r="E518" s="603"/>
      <c r="F518" s="34" t="s">
        <v>243</v>
      </c>
      <c r="G518" s="35"/>
      <c r="H518" s="35"/>
      <c r="I518" s="35"/>
      <c r="J518" s="35"/>
      <c r="K518" s="35"/>
      <c r="L518" s="35"/>
      <c r="M518" s="35"/>
      <c r="N518" s="35"/>
      <c r="O518" s="35"/>
      <c r="P518" s="36"/>
      <c r="Q518" s="34" t="s">
        <v>904</v>
      </c>
      <c r="R518" s="35"/>
      <c r="S518" s="35"/>
      <c r="T518" s="35"/>
      <c r="U518" s="35"/>
      <c r="V518" s="35"/>
      <c r="W518" s="35"/>
      <c r="X518" s="35"/>
      <c r="Y518" s="35"/>
      <c r="Z518" s="35"/>
      <c r="AA518" s="35"/>
      <c r="AB518" s="34" t="s">
        <v>564</v>
      </c>
      <c r="AC518" s="35"/>
      <c r="AD518" s="35"/>
      <c r="AE518" s="35"/>
      <c r="AF518" s="35"/>
      <c r="AG518" s="35"/>
      <c r="AH518" s="35"/>
      <c r="AI518" s="35"/>
      <c r="AJ518" s="35"/>
      <c r="AK518" s="35"/>
      <c r="AL518" s="35"/>
      <c r="AM518" s="35"/>
      <c r="AN518" s="35"/>
      <c r="AO518" s="36"/>
      <c r="AP518" s="34" t="s">
        <v>563</v>
      </c>
      <c r="AQ518" s="35"/>
      <c r="AR518" s="35"/>
      <c r="AS518" s="35"/>
      <c r="AT518" s="35"/>
      <c r="AU518" s="35"/>
      <c r="AV518" s="35"/>
      <c r="AW518" s="35"/>
      <c r="AX518" s="35"/>
      <c r="AY518" s="35"/>
      <c r="AZ518" s="36"/>
      <c r="BA518" s="35" t="s">
        <v>568</v>
      </c>
      <c r="BB518" s="35"/>
      <c r="BC518" s="35"/>
      <c r="BD518" s="35"/>
      <c r="BE518" s="35"/>
      <c r="BF518" s="35"/>
      <c r="BG518" s="35"/>
      <c r="BH518" s="35"/>
      <c r="BI518" s="35"/>
      <c r="BJ518" s="35"/>
      <c r="BK518" s="35"/>
      <c r="BL518" s="35"/>
      <c r="BM518" s="35"/>
      <c r="BN518" s="35"/>
      <c r="BO518" s="35"/>
      <c r="BP518" s="35"/>
      <c r="BQ518" s="35"/>
      <c r="BR518" s="35"/>
      <c r="BS518" s="35"/>
      <c r="BT518" s="35"/>
      <c r="BU518" s="35"/>
      <c r="BV518" s="35"/>
      <c r="BW518" s="35"/>
      <c r="BX518" s="35"/>
      <c r="BY518" s="35"/>
      <c r="BZ518" s="35"/>
      <c r="CA518" s="35"/>
      <c r="CB518" s="35"/>
      <c r="CC518" s="35"/>
      <c r="CD518" s="36"/>
      <c r="CE518" s="18"/>
    </row>
    <row r="519" spans="1:83" s="9" customFormat="1" ht="12" customHeight="1" x14ac:dyDescent="0.15">
      <c r="A519" s="16"/>
      <c r="B519" s="8"/>
      <c r="C519" s="12"/>
      <c r="D519" s="602" t="s">
        <v>226</v>
      </c>
      <c r="E519" s="603"/>
      <c r="F519" s="34" t="s">
        <v>244</v>
      </c>
      <c r="G519" s="35"/>
      <c r="H519" s="35"/>
      <c r="I519" s="35"/>
      <c r="J519" s="35"/>
      <c r="K519" s="35"/>
      <c r="L519" s="35"/>
      <c r="M519" s="35"/>
      <c r="N519" s="35"/>
      <c r="O519" s="35"/>
      <c r="P519" s="36"/>
      <c r="Q519" s="34" t="s">
        <v>905</v>
      </c>
      <c r="R519" s="35"/>
      <c r="S519" s="35"/>
      <c r="T519" s="35"/>
      <c r="U519" s="35"/>
      <c r="V519" s="35"/>
      <c r="W519" s="35"/>
      <c r="X519" s="35"/>
      <c r="Y519" s="35"/>
      <c r="Z519" s="35"/>
      <c r="AA519" s="35"/>
      <c r="AB519" s="34" t="s">
        <v>564</v>
      </c>
      <c r="AC519" s="35"/>
      <c r="AD519" s="35"/>
      <c r="AE519" s="35"/>
      <c r="AF519" s="35"/>
      <c r="AG519" s="35"/>
      <c r="AH519" s="35"/>
      <c r="AI519" s="35"/>
      <c r="AJ519" s="35"/>
      <c r="AK519" s="35"/>
      <c r="AL519" s="35"/>
      <c r="AM519" s="35"/>
      <c r="AN519" s="35"/>
      <c r="AO519" s="36"/>
      <c r="AP519" s="34" t="s">
        <v>563</v>
      </c>
      <c r="AQ519" s="35"/>
      <c r="AR519" s="35"/>
      <c r="AS519" s="35"/>
      <c r="AT519" s="35"/>
      <c r="AU519" s="35"/>
      <c r="AV519" s="35"/>
      <c r="AW519" s="35"/>
      <c r="AX519" s="35"/>
      <c r="AY519" s="35"/>
      <c r="AZ519" s="36"/>
      <c r="BA519" s="35" t="s">
        <v>569</v>
      </c>
      <c r="BB519" s="35"/>
      <c r="BC519" s="35"/>
      <c r="BD519" s="35"/>
      <c r="BE519" s="35"/>
      <c r="BF519" s="35"/>
      <c r="BG519" s="35"/>
      <c r="BH519" s="35"/>
      <c r="BI519" s="35"/>
      <c r="BJ519" s="35"/>
      <c r="BK519" s="35"/>
      <c r="BL519" s="35"/>
      <c r="BM519" s="35"/>
      <c r="BN519" s="35"/>
      <c r="BO519" s="35"/>
      <c r="BP519" s="35"/>
      <c r="BQ519" s="35"/>
      <c r="BR519" s="35"/>
      <c r="BS519" s="35"/>
      <c r="BT519" s="35"/>
      <c r="BU519" s="35"/>
      <c r="BV519" s="35"/>
      <c r="BW519" s="35"/>
      <c r="BX519" s="35"/>
      <c r="BY519" s="35"/>
      <c r="BZ519" s="35"/>
      <c r="CA519" s="35"/>
      <c r="CB519" s="35"/>
      <c r="CC519" s="35"/>
      <c r="CD519" s="36"/>
      <c r="CE519" s="18"/>
    </row>
    <row r="520" spans="1:83" s="9" customFormat="1" ht="12" customHeight="1" x14ac:dyDescent="0.15">
      <c r="A520" s="16"/>
      <c r="B520" s="8"/>
      <c r="C520" s="12"/>
      <c r="D520" s="602" t="s">
        <v>245</v>
      </c>
      <c r="E520" s="603"/>
      <c r="F520" s="34" t="s">
        <v>246</v>
      </c>
      <c r="G520" s="35"/>
      <c r="H520" s="35"/>
      <c r="I520" s="35"/>
      <c r="J520" s="35"/>
      <c r="K520" s="35"/>
      <c r="L520" s="35"/>
      <c r="M520" s="35"/>
      <c r="N520" s="35"/>
      <c r="O520" s="35"/>
      <c r="P520" s="36"/>
      <c r="Q520" s="34" t="s">
        <v>906</v>
      </c>
      <c r="R520" s="35"/>
      <c r="S520" s="35"/>
      <c r="T520" s="35"/>
      <c r="U520" s="35"/>
      <c r="V520" s="35"/>
      <c r="W520" s="35"/>
      <c r="X520" s="35"/>
      <c r="Y520" s="35"/>
      <c r="Z520" s="35"/>
      <c r="AA520" s="35"/>
      <c r="AB520" s="34" t="s">
        <v>564</v>
      </c>
      <c r="AC520" s="35"/>
      <c r="AD520" s="35"/>
      <c r="AE520" s="35"/>
      <c r="AF520" s="35"/>
      <c r="AG520" s="35"/>
      <c r="AH520" s="35"/>
      <c r="AI520" s="35"/>
      <c r="AJ520" s="35"/>
      <c r="AK520" s="35"/>
      <c r="AL520" s="35"/>
      <c r="AM520" s="35"/>
      <c r="AN520" s="35"/>
      <c r="AO520" s="36"/>
      <c r="AP520" s="34" t="s">
        <v>563</v>
      </c>
      <c r="AQ520" s="35"/>
      <c r="AR520" s="35"/>
      <c r="AS520" s="35"/>
      <c r="AT520" s="35"/>
      <c r="AU520" s="35"/>
      <c r="AV520" s="35"/>
      <c r="AW520" s="35"/>
      <c r="AX520" s="35"/>
      <c r="AY520" s="35"/>
      <c r="AZ520" s="36"/>
      <c r="BA520" s="35" t="s">
        <v>907</v>
      </c>
      <c r="BB520" s="35"/>
      <c r="BC520" s="35"/>
      <c r="BD520" s="35"/>
      <c r="BE520" s="35"/>
      <c r="BF520" s="35"/>
      <c r="BG520" s="35"/>
      <c r="BH520" s="35"/>
      <c r="BI520" s="35"/>
      <c r="BJ520" s="35"/>
      <c r="BK520" s="35"/>
      <c r="BL520" s="35"/>
      <c r="BM520" s="35"/>
      <c r="BN520" s="35"/>
      <c r="BO520" s="35"/>
      <c r="BP520" s="35"/>
      <c r="BQ520" s="35"/>
      <c r="BR520" s="35"/>
      <c r="BS520" s="35"/>
      <c r="BT520" s="35"/>
      <c r="BU520" s="35"/>
      <c r="BV520" s="35"/>
      <c r="BW520" s="35"/>
      <c r="BX520" s="35"/>
      <c r="BY520" s="35"/>
      <c r="BZ520" s="35"/>
      <c r="CA520" s="35"/>
      <c r="CB520" s="35"/>
      <c r="CC520" s="35"/>
      <c r="CD520" s="36"/>
      <c r="CE520" s="18"/>
    </row>
    <row r="521" spans="1:83" s="9" customFormat="1" ht="12" customHeight="1" x14ac:dyDescent="0.15">
      <c r="A521" s="16"/>
      <c r="B521" s="8"/>
      <c r="C521" s="12"/>
      <c r="D521" s="602" t="s">
        <v>565</v>
      </c>
      <c r="E521" s="603"/>
      <c r="F521" s="34" t="s">
        <v>247</v>
      </c>
      <c r="G521" s="35"/>
      <c r="H521" s="35"/>
      <c r="I521" s="35"/>
      <c r="J521" s="35"/>
      <c r="K521" s="35"/>
      <c r="L521" s="35"/>
      <c r="M521" s="35"/>
      <c r="N521" s="35"/>
      <c r="O521" s="35"/>
      <c r="P521" s="36"/>
      <c r="Q521" s="34" t="s">
        <v>908</v>
      </c>
      <c r="R521" s="35"/>
      <c r="S521" s="35"/>
      <c r="T521" s="35"/>
      <c r="U521" s="35"/>
      <c r="V521" s="35"/>
      <c r="W521" s="35"/>
      <c r="X521" s="35"/>
      <c r="Y521" s="35"/>
      <c r="Z521" s="35"/>
      <c r="AA521" s="35"/>
      <c r="AB521" s="34" t="s">
        <v>564</v>
      </c>
      <c r="AC521" s="35"/>
      <c r="AD521" s="35"/>
      <c r="AE521" s="35"/>
      <c r="AF521" s="35"/>
      <c r="AG521" s="35"/>
      <c r="AH521" s="35"/>
      <c r="AI521" s="35"/>
      <c r="AJ521" s="35"/>
      <c r="AK521" s="35"/>
      <c r="AL521" s="35"/>
      <c r="AM521" s="35"/>
      <c r="AN521" s="35"/>
      <c r="AO521" s="36"/>
      <c r="AP521" s="34" t="s">
        <v>563</v>
      </c>
      <c r="AQ521" s="35"/>
      <c r="AR521" s="35"/>
      <c r="AS521" s="35"/>
      <c r="AT521" s="35"/>
      <c r="AU521" s="35"/>
      <c r="AV521" s="35"/>
      <c r="AW521" s="35"/>
      <c r="AX521" s="35"/>
      <c r="AY521" s="35"/>
      <c r="AZ521" s="36"/>
      <c r="BA521" s="35" t="s">
        <v>909</v>
      </c>
      <c r="BB521" s="35"/>
      <c r="BC521" s="35"/>
      <c r="BD521" s="35"/>
      <c r="BE521" s="35"/>
      <c r="BF521" s="35"/>
      <c r="BG521" s="35"/>
      <c r="BH521" s="35"/>
      <c r="BI521" s="35"/>
      <c r="BJ521" s="35"/>
      <c r="BK521" s="35"/>
      <c r="BL521" s="35"/>
      <c r="BM521" s="35"/>
      <c r="BN521" s="35"/>
      <c r="BO521" s="35"/>
      <c r="BP521" s="35"/>
      <c r="BQ521" s="35"/>
      <c r="BR521" s="35"/>
      <c r="BS521" s="35"/>
      <c r="BT521" s="35"/>
      <c r="BU521" s="35"/>
      <c r="BV521" s="35"/>
      <c r="BW521" s="35"/>
      <c r="BX521" s="35"/>
      <c r="BY521" s="35"/>
      <c r="BZ521" s="35"/>
      <c r="CA521" s="35"/>
      <c r="CB521" s="35"/>
      <c r="CC521" s="35"/>
      <c r="CD521" s="36"/>
      <c r="CE521" s="18"/>
    </row>
    <row r="522" spans="1:83" s="9" customFormat="1" ht="12" customHeight="1" x14ac:dyDescent="0.15">
      <c r="A522" s="16"/>
      <c r="B522" s="8"/>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c r="CA522" s="12"/>
      <c r="CB522" s="12"/>
      <c r="CC522" s="12"/>
      <c r="CD522" s="12"/>
      <c r="CE522" s="18"/>
    </row>
    <row r="523" spans="1:83" s="9" customFormat="1" ht="12.75" customHeight="1" x14ac:dyDescent="0.15">
      <c r="A523" s="16"/>
      <c r="B523" s="8"/>
      <c r="C523" s="12"/>
      <c r="D523" s="12" t="s">
        <v>324</v>
      </c>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c r="CA523" s="12"/>
      <c r="CB523" s="12"/>
      <c r="CC523" s="12"/>
      <c r="CD523" s="12"/>
      <c r="CE523" s="18"/>
    </row>
    <row r="524" spans="1:83" s="9" customFormat="1" ht="12.75" customHeight="1" x14ac:dyDescent="0.15">
      <c r="A524" s="16"/>
      <c r="B524" s="8"/>
      <c r="C524" s="12"/>
      <c r="D524" s="248" t="s">
        <v>240</v>
      </c>
      <c r="E524" s="249"/>
      <c r="F524" s="248" t="s">
        <v>566</v>
      </c>
      <c r="G524" s="250"/>
      <c r="H524" s="250"/>
      <c r="I524" s="250"/>
      <c r="J524" s="250"/>
      <c r="K524" s="250"/>
      <c r="L524" s="250"/>
      <c r="M524" s="250"/>
      <c r="N524" s="250"/>
      <c r="O524" s="250"/>
      <c r="P524" s="249"/>
      <c r="Q524" s="248" t="s">
        <v>571</v>
      </c>
      <c r="R524" s="250"/>
      <c r="S524" s="250"/>
      <c r="T524" s="250"/>
      <c r="U524" s="250"/>
      <c r="V524" s="250"/>
      <c r="W524" s="250"/>
      <c r="X524" s="250"/>
      <c r="Y524" s="250"/>
      <c r="Z524" s="250"/>
      <c r="AA524" s="250"/>
      <c r="AB524" s="250"/>
      <c r="AC524" s="250"/>
      <c r="AD524" s="250"/>
      <c r="AE524" s="250"/>
      <c r="AF524" s="250"/>
      <c r="AG524" s="250"/>
      <c r="AH524" s="250"/>
      <c r="AI524" s="250"/>
      <c r="AJ524" s="250"/>
      <c r="AK524" s="250"/>
      <c r="AL524" s="250"/>
      <c r="AM524" s="250"/>
      <c r="AN524" s="250"/>
      <c r="AO524" s="250"/>
      <c r="AP524" s="250"/>
      <c r="AQ524" s="250"/>
      <c r="AR524" s="250"/>
      <c r="AS524" s="250"/>
      <c r="AT524" s="250"/>
      <c r="AU524" s="250"/>
      <c r="AV524" s="250"/>
      <c r="AW524" s="250"/>
      <c r="AX524" s="250"/>
      <c r="AY524" s="250"/>
      <c r="AZ524" s="250"/>
      <c r="BA524" s="250"/>
      <c r="BB524" s="250"/>
      <c r="BC524" s="250"/>
      <c r="BD524" s="250"/>
      <c r="BE524" s="250"/>
      <c r="BF524" s="250"/>
      <c r="BG524" s="250"/>
      <c r="BH524" s="250"/>
      <c r="BI524" s="250"/>
      <c r="BJ524" s="250"/>
      <c r="BK524" s="250"/>
      <c r="BL524" s="250"/>
      <c r="BM524" s="250"/>
      <c r="BN524" s="250"/>
      <c r="BO524" s="250"/>
      <c r="BP524" s="250"/>
      <c r="BQ524" s="250"/>
      <c r="BR524" s="250"/>
      <c r="BS524" s="250"/>
      <c r="BT524" s="250"/>
      <c r="BU524" s="250"/>
      <c r="BV524" s="250"/>
      <c r="BW524" s="250"/>
      <c r="BX524" s="250"/>
      <c r="BY524" s="250"/>
      <c r="BZ524" s="250"/>
      <c r="CA524" s="250"/>
      <c r="CB524" s="250"/>
      <c r="CC524" s="250"/>
      <c r="CD524" s="249"/>
      <c r="CE524" s="18"/>
    </row>
    <row r="525" spans="1:83" s="9" customFormat="1" ht="12.75" customHeight="1" x14ac:dyDescent="0.15">
      <c r="A525" s="16"/>
      <c r="B525" s="8"/>
      <c r="C525" s="12"/>
      <c r="D525" s="602" t="s">
        <v>242</v>
      </c>
      <c r="E525" s="603"/>
      <c r="F525" s="34" t="s">
        <v>904</v>
      </c>
      <c r="G525" s="35"/>
      <c r="H525" s="35"/>
      <c r="I525" s="35"/>
      <c r="J525" s="35"/>
      <c r="K525" s="35"/>
      <c r="L525" s="35"/>
      <c r="M525" s="35"/>
      <c r="N525" s="35"/>
      <c r="O525" s="35"/>
      <c r="P525" s="36"/>
      <c r="Q525" s="34" t="s">
        <v>910</v>
      </c>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c r="BH525" s="35"/>
      <c r="BI525" s="35"/>
      <c r="BJ525" s="35"/>
      <c r="BK525" s="35"/>
      <c r="BL525" s="35"/>
      <c r="BM525" s="35"/>
      <c r="BN525" s="35"/>
      <c r="BO525" s="35"/>
      <c r="BP525" s="35"/>
      <c r="BQ525" s="35"/>
      <c r="BR525" s="35"/>
      <c r="BS525" s="35"/>
      <c r="BT525" s="35"/>
      <c r="BU525" s="35"/>
      <c r="BV525" s="35"/>
      <c r="BW525" s="35"/>
      <c r="BX525" s="35"/>
      <c r="BY525" s="35"/>
      <c r="BZ525" s="35"/>
      <c r="CA525" s="35"/>
      <c r="CB525" s="35"/>
      <c r="CC525" s="35"/>
      <c r="CD525" s="36"/>
      <c r="CE525" s="18"/>
    </row>
    <row r="526" spans="1:83" s="9" customFormat="1" ht="12.75" customHeight="1" x14ac:dyDescent="0.15">
      <c r="A526" s="16"/>
      <c r="B526" s="8"/>
      <c r="C526" s="12"/>
      <c r="D526" s="602" t="s">
        <v>226</v>
      </c>
      <c r="E526" s="603"/>
      <c r="F526" s="34" t="s">
        <v>905</v>
      </c>
      <c r="G526" s="35"/>
      <c r="H526" s="35"/>
      <c r="I526" s="35"/>
      <c r="J526" s="35"/>
      <c r="K526" s="35"/>
      <c r="L526" s="35"/>
      <c r="M526" s="35"/>
      <c r="N526" s="35"/>
      <c r="O526" s="35"/>
      <c r="P526" s="36"/>
      <c r="Q526" s="34" t="s">
        <v>572</v>
      </c>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c r="BH526" s="35"/>
      <c r="BI526" s="35"/>
      <c r="BJ526" s="35"/>
      <c r="BK526" s="35"/>
      <c r="BL526" s="35"/>
      <c r="BM526" s="35"/>
      <c r="BN526" s="35"/>
      <c r="BO526" s="35"/>
      <c r="BP526" s="35"/>
      <c r="BQ526" s="35"/>
      <c r="BR526" s="35"/>
      <c r="BS526" s="35"/>
      <c r="BT526" s="35"/>
      <c r="BU526" s="35"/>
      <c r="BV526" s="35"/>
      <c r="BW526" s="35"/>
      <c r="BX526" s="35"/>
      <c r="BY526" s="35"/>
      <c r="BZ526" s="35"/>
      <c r="CA526" s="35"/>
      <c r="CB526" s="35"/>
      <c r="CC526" s="35"/>
      <c r="CD526" s="36"/>
      <c r="CE526" s="18"/>
    </row>
    <row r="527" spans="1:83" s="9" customFormat="1" ht="12.75" customHeight="1" x14ac:dyDescent="0.15">
      <c r="A527" s="16"/>
      <c r="B527" s="8"/>
      <c r="C527" s="12"/>
      <c r="D527" s="602" t="s">
        <v>245</v>
      </c>
      <c r="E527" s="603"/>
      <c r="F527" s="34" t="s">
        <v>906</v>
      </c>
      <c r="G527" s="35"/>
      <c r="H527" s="35"/>
      <c r="I527" s="35"/>
      <c r="J527" s="35"/>
      <c r="K527" s="35"/>
      <c r="L527" s="35"/>
      <c r="M527" s="35"/>
      <c r="N527" s="35"/>
      <c r="O527" s="35"/>
      <c r="P527" s="36"/>
      <c r="Q527" s="34" t="s">
        <v>667</v>
      </c>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c r="BH527" s="35"/>
      <c r="BI527" s="35"/>
      <c r="BJ527" s="35"/>
      <c r="BK527" s="35"/>
      <c r="BL527" s="35"/>
      <c r="BM527" s="35"/>
      <c r="BN527" s="35"/>
      <c r="BO527" s="35"/>
      <c r="BP527" s="35"/>
      <c r="BQ527" s="35"/>
      <c r="BR527" s="35"/>
      <c r="BS527" s="35"/>
      <c r="BT527" s="35"/>
      <c r="BU527" s="35"/>
      <c r="BV527" s="35"/>
      <c r="BW527" s="35"/>
      <c r="BX527" s="35"/>
      <c r="BY527" s="35"/>
      <c r="BZ527" s="35"/>
      <c r="CA527" s="35"/>
      <c r="CB527" s="35"/>
      <c r="CC527" s="35"/>
      <c r="CD527" s="36"/>
      <c r="CE527" s="18"/>
    </row>
    <row r="528" spans="1:83" s="9" customFormat="1" ht="12.75" customHeight="1" x14ac:dyDescent="0.15">
      <c r="A528" s="16"/>
      <c r="B528" s="8"/>
      <c r="C528" s="12"/>
      <c r="D528" s="602" t="s">
        <v>565</v>
      </c>
      <c r="E528" s="603"/>
      <c r="F528" s="34" t="s">
        <v>908</v>
      </c>
      <c r="G528" s="35"/>
      <c r="H528" s="35"/>
      <c r="I528" s="35"/>
      <c r="J528" s="35"/>
      <c r="K528" s="35"/>
      <c r="L528" s="35"/>
      <c r="M528" s="35"/>
      <c r="N528" s="35"/>
      <c r="O528" s="35"/>
      <c r="P528" s="36"/>
      <c r="Q528" s="34" t="s">
        <v>666</v>
      </c>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c r="BH528" s="35"/>
      <c r="BI528" s="35"/>
      <c r="BJ528" s="35"/>
      <c r="BK528" s="35"/>
      <c r="BL528" s="35"/>
      <c r="BM528" s="35"/>
      <c r="BN528" s="35"/>
      <c r="BO528" s="35"/>
      <c r="BP528" s="35"/>
      <c r="BQ528" s="35"/>
      <c r="BR528" s="35"/>
      <c r="BS528" s="35"/>
      <c r="BT528" s="35"/>
      <c r="BU528" s="35"/>
      <c r="BV528" s="35"/>
      <c r="BW528" s="35"/>
      <c r="BX528" s="35"/>
      <c r="BY528" s="35"/>
      <c r="BZ528" s="35"/>
      <c r="CA528" s="35"/>
      <c r="CB528" s="35"/>
      <c r="CC528" s="35"/>
      <c r="CD528" s="36"/>
      <c r="CE528" s="18"/>
    </row>
    <row r="529" spans="1:83" s="9" customFormat="1" ht="12.75" customHeight="1" x14ac:dyDescent="0.15">
      <c r="A529" s="16"/>
      <c r="B529" s="8"/>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c r="CA529" s="12"/>
      <c r="CB529" s="12"/>
      <c r="CC529" s="12"/>
      <c r="CD529" s="12"/>
      <c r="CE529" s="18"/>
    </row>
    <row r="530" spans="1:83" s="9" customFormat="1" ht="12.75" customHeight="1" x14ac:dyDescent="0.15">
      <c r="A530" s="16"/>
      <c r="B530" s="8"/>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c r="CA530" s="12"/>
      <c r="CB530" s="12"/>
      <c r="CC530" s="12"/>
      <c r="CD530" s="12"/>
      <c r="CE530" s="18"/>
    </row>
    <row r="531" spans="1:83" s="9" customFormat="1" ht="12.75" customHeight="1" x14ac:dyDescent="0.15">
      <c r="A531" s="16"/>
      <c r="B531" s="8"/>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c r="CA531" s="12"/>
      <c r="CB531" s="12"/>
      <c r="CC531" s="12"/>
      <c r="CD531" s="12"/>
      <c r="CE531" s="18"/>
    </row>
    <row r="532" spans="1:83" s="9" customFormat="1" ht="12.75" customHeight="1" x14ac:dyDescent="0.15">
      <c r="A532" s="16"/>
      <c r="B532" s="8"/>
      <c r="D532" s="21" t="s">
        <v>325</v>
      </c>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c r="CA532" s="12"/>
      <c r="CB532" s="12"/>
      <c r="CC532" s="12"/>
      <c r="CD532" s="12"/>
      <c r="CE532" s="18"/>
    </row>
    <row r="533" spans="1:83" s="9" customFormat="1" ht="12.75" customHeight="1" x14ac:dyDescent="0.15">
      <c r="A533" s="16"/>
      <c r="B533" s="8"/>
      <c r="C533" s="29"/>
      <c r="D533" s="647" t="s">
        <v>248</v>
      </c>
      <c r="E533" s="648"/>
      <c r="F533" s="648"/>
      <c r="G533" s="648"/>
      <c r="H533" s="648"/>
      <c r="I533" s="648"/>
      <c r="J533" s="648"/>
      <c r="K533" s="648"/>
      <c r="L533" s="648"/>
      <c r="M533" s="648"/>
      <c r="N533" s="648"/>
      <c r="O533" s="648"/>
      <c r="P533" s="648"/>
      <c r="Q533" s="648"/>
      <c r="R533" s="648"/>
      <c r="S533" s="648"/>
      <c r="T533" s="648"/>
      <c r="U533" s="648"/>
      <c r="V533" s="648"/>
      <c r="W533" s="648"/>
      <c r="X533" s="648"/>
      <c r="Y533" s="648"/>
      <c r="Z533" s="648"/>
      <c r="AA533" s="648"/>
      <c r="AB533" s="648"/>
      <c r="AC533" s="648"/>
      <c r="AD533" s="648"/>
      <c r="AE533" s="648"/>
      <c r="AF533" s="648"/>
      <c r="AG533" s="648"/>
      <c r="AH533" s="648"/>
      <c r="AI533" s="648"/>
      <c r="AJ533" s="648"/>
      <c r="AK533" s="648"/>
      <c r="AL533" s="648"/>
      <c r="AM533" s="648"/>
      <c r="AN533" s="648"/>
      <c r="AO533" s="648"/>
      <c r="AP533" s="648"/>
      <c r="AQ533" s="648"/>
      <c r="AR533" s="648"/>
      <c r="AS533" s="648"/>
      <c r="AT533" s="648"/>
      <c r="AU533" s="648"/>
      <c r="AV533" s="648"/>
      <c r="AW533" s="648"/>
      <c r="AX533" s="648"/>
      <c r="AY533" s="648"/>
      <c r="AZ533" s="648"/>
      <c r="BA533" s="648"/>
      <c r="BB533" s="648"/>
      <c r="BC533" s="648"/>
      <c r="BD533" s="648"/>
      <c r="BE533" s="648"/>
      <c r="BF533" s="648"/>
      <c r="BG533" s="648"/>
      <c r="BH533" s="648"/>
      <c r="BI533" s="648"/>
      <c r="BJ533" s="648"/>
      <c r="BK533" s="648"/>
      <c r="BL533" s="648"/>
      <c r="BM533" s="648"/>
      <c r="BN533" s="648"/>
      <c r="BO533" s="648"/>
      <c r="BP533" s="648"/>
      <c r="BQ533" s="648"/>
      <c r="BR533" s="648"/>
      <c r="BS533" s="648"/>
      <c r="BT533" s="648"/>
      <c r="BU533" s="648"/>
      <c r="BV533" s="648"/>
      <c r="BW533" s="648"/>
      <c r="BX533" s="648"/>
      <c r="BY533" s="648"/>
      <c r="BZ533" s="648"/>
      <c r="CA533" s="648"/>
      <c r="CB533" s="648"/>
      <c r="CC533" s="648"/>
      <c r="CD533" s="649"/>
      <c r="CE533" s="18"/>
    </row>
    <row r="534" spans="1:83" s="9" customFormat="1" ht="12.75" customHeight="1" x14ac:dyDescent="0.15">
      <c r="A534" s="16"/>
      <c r="B534" s="8"/>
      <c r="C534" s="29"/>
      <c r="D534" s="650"/>
      <c r="E534" s="651"/>
      <c r="F534" s="651"/>
      <c r="G534" s="651"/>
      <c r="H534" s="651"/>
      <c r="I534" s="651"/>
      <c r="J534" s="651"/>
      <c r="K534" s="651"/>
      <c r="L534" s="651"/>
      <c r="M534" s="651"/>
      <c r="N534" s="651"/>
      <c r="O534" s="651"/>
      <c r="P534" s="651"/>
      <c r="Q534" s="651"/>
      <c r="R534" s="651"/>
      <c r="S534" s="651"/>
      <c r="T534" s="651"/>
      <c r="U534" s="651"/>
      <c r="V534" s="651"/>
      <c r="W534" s="651"/>
      <c r="X534" s="651"/>
      <c r="Y534" s="651"/>
      <c r="Z534" s="651"/>
      <c r="AA534" s="651"/>
      <c r="AB534" s="651"/>
      <c r="AC534" s="651"/>
      <c r="AD534" s="651"/>
      <c r="AE534" s="651"/>
      <c r="AF534" s="651"/>
      <c r="AG534" s="651"/>
      <c r="AH534" s="651"/>
      <c r="AI534" s="651"/>
      <c r="AJ534" s="651"/>
      <c r="AK534" s="651"/>
      <c r="AL534" s="651"/>
      <c r="AM534" s="651"/>
      <c r="AN534" s="651"/>
      <c r="AO534" s="651"/>
      <c r="AP534" s="651"/>
      <c r="AQ534" s="651"/>
      <c r="AR534" s="651"/>
      <c r="AS534" s="651"/>
      <c r="AT534" s="651"/>
      <c r="AU534" s="651"/>
      <c r="AV534" s="651"/>
      <c r="AW534" s="651"/>
      <c r="AX534" s="651"/>
      <c r="AY534" s="651"/>
      <c r="AZ534" s="651"/>
      <c r="BA534" s="651"/>
      <c r="BB534" s="651"/>
      <c r="BC534" s="651"/>
      <c r="BD534" s="651"/>
      <c r="BE534" s="651"/>
      <c r="BF534" s="651"/>
      <c r="BG534" s="651"/>
      <c r="BH534" s="651"/>
      <c r="BI534" s="651"/>
      <c r="BJ534" s="651"/>
      <c r="BK534" s="651"/>
      <c r="BL534" s="651"/>
      <c r="BM534" s="651"/>
      <c r="BN534" s="651"/>
      <c r="BO534" s="651"/>
      <c r="BP534" s="651"/>
      <c r="BQ534" s="651"/>
      <c r="BR534" s="651"/>
      <c r="BS534" s="651"/>
      <c r="BT534" s="651"/>
      <c r="BU534" s="651"/>
      <c r="BV534" s="651"/>
      <c r="BW534" s="651"/>
      <c r="BX534" s="651"/>
      <c r="BY534" s="651"/>
      <c r="BZ534" s="651"/>
      <c r="CA534" s="651"/>
      <c r="CB534" s="651"/>
      <c r="CC534" s="651"/>
      <c r="CD534" s="652"/>
      <c r="CE534" s="18"/>
    </row>
    <row r="535" spans="1:83" s="9" customFormat="1" ht="12.75" customHeight="1" x14ac:dyDescent="0.15">
      <c r="A535" s="16"/>
      <c r="B535" s="8"/>
      <c r="C535" s="29"/>
      <c r="D535" s="653"/>
      <c r="E535" s="654"/>
      <c r="F535" s="654"/>
      <c r="G535" s="654"/>
      <c r="H535" s="654"/>
      <c r="I535" s="654"/>
      <c r="J535" s="654"/>
      <c r="K535" s="654"/>
      <c r="L535" s="654"/>
      <c r="M535" s="654"/>
      <c r="N535" s="654"/>
      <c r="O535" s="654"/>
      <c r="P535" s="654"/>
      <c r="Q535" s="654"/>
      <c r="R535" s="654"/>
      <c r="S535" s="654"/>
      <c r="T535" s="654"/>
      <c r="U535" s="654"/>
      <c r="V535" s="654"/>
      <c r="W535" s="654"/>
      <c r="X535" s="654"/>
      <c r="Y535" s="654"/>
      <c r="Z535" s="654"/>
      <c r="AA535" s="654"/>
      <c r="AB535" s="654"/>
      <c r="AC535" s="654"/>
      <c r="AD535" s="654"/>
      <c r="AE535" s="654"/>
      <c r="AF535" s="654"/>
      <c r="AG535" s="654"/>
      <c r="AH535" s="654"/>
      <c r="AI535" s="654"/>
      <c r="AJ535" s="654"/>
      <c r="AK535" s="654"/>
      <c r="AL535" s="654"/>
      <c r="AM535" s="654"/>
      <c r="AN535" s="654"/>
      <c r="AO535" s="654"/>
      <c r="AP535" s="654"/>
      <c r="AQ535" s="654"/>
      <c r="AR535" s="654"/>
      <c r="AS535" s="654"/>
      <c r="AT535" s="654"/>
      <c r="AU535" s="654"/>
      <c r="AV535" s="654"/>
      <c r="AW535" s="654"/>
      <c r="AX535" s="654"/>
      <c r="AY535" s="654"/>
      <c r="AZ535" s="654"/>
      <c r="BA535" s="654"/>
      <c r="BB535" s="654"/>
      <c r="BC535" s="654"/>
      <c r="BD535" s="654"/>
      <c r="BE535" s="654"/>
      <c r="BF535" s="654"/>
      <c r="BG535" s="654"/>
      <c r="BH535" s="654"/>
      <c r="BI535" s="654"/>
      <c r="BJ535" s="654"/>
      <c r="BK535" s="654"/>
      <c r="BL535" s="654"/>
      <c r="BM535" s="654"/>
      <c r="BN535" s="654"/>
      <c r="BO535" s="654"/>
      <c r="BP535" s="654"/>
      <c r="BQ535" s="654"/>
      <c r="BR535" s="654"/>
      <c r="BS535" s="654"/>
      <c r="BT535" s="654"/>
      <c r="BU535" s="654"/>
      <c r="BV535" s="654"/>
      <c r="BW535" s="654"/>
      <c r="BX535" s="654"/>
      <c r="BY535" s="654"/>
      <c r="BZ535" s="654"/>
      <c r="CA535" s="654"/>
      <c r="CB535" s="654"/>
      <c r="CC535" s="654"/>
      <c r="CD535" s="655"/>
      <c r="CE535" s="18"/>
    </row>
    <row r="536" spans="1:83" s="9" customFormat="1" ht="12.75" customHeight="1" x14ac:dyDescent="0.15">
      <c r="A536" s="16"/>
      <c r="B536" s="8"/>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c r="CA536" s="12"/>
      <c r="CB536" s="12"/>
      <c r="CC536" s="12"/>
      <c r="CD536" s="12"/>
      <c r="CE536" s="18"/>
    </row>
    <row r="537" spans="1:83" s="9" customFormat="1" ht="12.75" customHeight="1" x14ac:dyDescent="0.15">
      <c r="A537" s="16"/>
      <c r="B537" s="8"/>
      <c r="D537" s="12" t="s">
        <v>326</v>
      </c>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c r="CA537" s="12"/>
      <c r="CB537" s="12"/>
      <c r="CC537" s="12"/>
      <c r="CD537" s="12"/>
      <c r="CE537" s="18"/>
    </row>
    <row r="538" spans="1:83" s="9" customFormat="1" ht="12.75" customHeight="1" x14ac:dyDescent="0.15">
      <c r="A538" s="16"/>
      <c r="B538" s="8"/>
      <c r="D538" s="248" t="s">
        <v>249</v>
      </c>
      <c r="E538" s="249"/>
      <c r="F538" s="248" t="s">
        <v>577</v>
      </c>
      <c r="G538" s="250"/>
      <c r="H538" s="250"/>
      <c r="I538" s="250"/>
      <c r="J538" s="250"/>
      <c r="K538" s="250"/>
      <c r="L538" s="250"/>
      <c r="M538" s="250"/>
      <c r="N538" s="250"/>
      <c r="O538" s="250"/>
      <c r="P538" s="248" t="s">
        <v>3</v>
      </c>
      <c r="Q538" s="250"/>
      <c r="R538" s="250"/>
      <c r="S538" s="249"/>
      <c r="T538" s="248" t="s">
        <v>250</v>
      </c>
      <c r="U538" s="250"/>
      <c r="V538" s="250"/>
      <c r="W538" s="250"/>
      <c r="X538" s="250"/>
      <c r="Y538" s="250"/>
      <c r="Z538" s="250"/>
      <c r="AA538" s="250"/>
      <c r="AB538" s="248" t="s">
        <v>251</v>
      </c>
      <c r="AC538" s="250"/>
      <c r="AD538" s="250"/>
      <c r="AE538" s="250"/>
      <c r="AF538" s="250"/>
      <c r="AG538" s="250"/>
      <c r="AH538" s="250"/>
      <c r="AI538" s="250"/>
      <c r="AJ538" s="250"/>
      <c r="AK538" s="250"/>
      <c r="AL538" s="250"/>
      <c r="AM538" s="250"/>
      <c r="AN538" s="250"/>
      <c r="AO538" s="250"/>
      <c r="AP538" s="250"/>
      <c r="AQ538" s="250"/>
      <c r="AR538" s="250"/>
      <c r="AS538" s="250"/>
      <c r="AT538" s="250"/>
      <c r="AU538" s="250"/>
      <c r="AV538" s="250"/>
      <c r="AW538" s="250"/>
      <c r="AX538" s="250"/>
      <c r="AY538" s="250"/>
      <c r="AZ538" s="250"/>
      <c r="BA538" s="250"/>
      <c r="BB538" s="250"/>
      <c r="BC538" s="250"/>
      <c r="BD538" s="250"/>
      <c r="BE538" s="250"/>
      <c r="BF538" s="250"/>
      <c r="BG538" s="250"/>
      <c r="BH538" s="250"/>
      <c r="BI538" s="250"/>
      <c r="BJ538" s="250"/>
      <c r="BK538" s="250"/>
      <c r="BL538" s="250"/>
      <c r="BM538" s="250"/>
      <c r="BN538" s="250"/>
      <c r="BO538" s="250"/>
      <c r="BP538" s="250"/>
      <c r="BQ538" s="250"/>
      <c r="BR538" s="250"/>
      <c r="BS538" s="250"/>
      <c r="BT538" s="250"/>
      <c r="BU538" s="250"/>
      <c r="BV538" s="250"/>
      <c r="BW538" s="250"/>
      <c r="BX538" s="250"/>
      <c r="BY538" s="250"/>
      <c r="BZ538" s="250"/>
      <c r="CA538" s="250"/>
      <c r="CB538" s="250"/>
      <c r="CC538" s="250"/>
      <c r="CD538" s="249"/>
      <c r="CE538" s="18"/>
    </row>
    <row r="539" spans="1:83" s="9" customFormat="1" ht="12.75" customHeight="1" x14ac:dyDescent="0.15">
      <c r="A539" s="16"/>
      <c r="B539" s="8"/>
      <c r="D539" s="602" t="s">
        <v>252</v>
      </c>
      <c r="E539" s="603"/>
      <c r="F539" s="34" t="s">
        <v>253</v>
      </c>
      <c r="G539" s="35"/>
      <c r="H539" s="35"/>
      <c r="I539" s="35"/>
      <c r="J539" s="35"/>
      <c r="K539" s="35"/>
      <c r="L539" s="35"/>
      <c r="M539" s="35"/>
      <c r="N539" s="35"/>
      <c r="O539" s="35"/>
      <c r="P539" s="380" t="s">
        <v>898</v>
      </c>
      <c r="Q539" s="35"/>
      <c r="R539" s="35"/>
      <c r="S539" s="36"/>
      <c r="T539" s="34" t="s">
        <v>254</v>
      </c>
      <c r="U539" s="35"/>
      <c r="V539" s="35"/>
      <c r="W539" s="35"/>
      <c r="X539" s="35"/>
      <c r="Y539" s="35"/>
      <c r="Z539" s="35"/>
      <c r="AA539" s="35"/>
      <c r="AB539" s="34" t="s">
        <v>1</v>
      </c>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c r="BH539" s="35"/>
      <c r="BI539" s="35"/>
      <c r="BJ539" s="35"/>
      <c r="BK539" s="35"/>
      <c r="BL539" s="35"/>
      <c r="BM539" s="35"/>
      <c r="BN539" s="35"/>
      <c r="BO539" s="35"/>
      <c r="BP539" s="35"/>
      <c r="BQ539" s="35"/>
      <c r="BR539" s="35"/>
      <c r="BS539" s="35"/>
      <c r="BT539" s="35"/>
      <c r="BU539" s="35"/>
      <c r="BV539" s="35"/>
      <c r="BW539" s="35"/>
      <c r="BX539" s="35"/>
      <c r="BY539" s="35"/>
      <c r="BZ539" s="35"/>
      <c r="CA539" s="35"/>
      <c r="CB539" s="35"/>
      <c r="CC539" s="35"/>
      <c r="CD539" s="36"/>
      <c r="CE539" s="18"/>
    </row>
    <row r="540" spans="1:83" s="385" customFormat="1" ht="12.75" customHeight="1" x14ac:dyDescent="0.15">
      <c r="A540" s="381"/>
      <c r="B540" s="382"/>
      <c r="D540" s="392"/>
      <c r="E540" s="389"/>
      <c r="F540" s="389"/>
      <c r="G540" s="389"/>
      <c r="H540" s="389"/>
      <c r="I540" s="389"/>
      <c r="J540" s="389"/>
      <c r="K540" s="389"/>
      <c r="L540" s="389"/>
      <c r="M540" s="389"/>
      <c r="N540" s="389"/>
      <c r="O540" s="389"/>
      <c r="P540" s="389"/>
      <c r="Q540" s="389"/>
      <c r="R540" s="389"/>
      <c r="S540" s="389"/>
      <c r="T540" s="389"/>
      <c r="U540" s="389"/>
      <c r="V540" s="389"/>
      <c r="W540" s="389"/>
      <c r="X540" s="389"/>
      <c r="Y540" s="389"/>
      <c r="Z540" s="389"/>
      <c r="AA540" s="389"/>
      <c r="AB540" s="389"/>
      <c r="AC540" s="389"/>
      <c r="AD540" s="389"/>
      <c r="AE540" s="389"/>
      <c r="AF540" s="389"/>
      <c r="AG540" s="389"/>
      <c r="AH540" s="389"/>
      <c r="AI540" s="389"/>
      <c r="AJ540" s="389"/>
      <c r="AK540" s="389"/>
      <c r="AL540" s="389"/>
      <c r="AM540" s="389"/>
      <c r="AN540" s="389"/>
      <c r="AO540" s="389"/>
      <c r="AP540" s="389"/>
      <c r="AQ540" s="389"/>
      <c r="AR540" s="389"/>
      <c r="AS540" s="389"/>
      <c r="AT540" s="389"/>
      <c r="AU540" s="389"/>
      <c r="AV540" s="389"/>
      <c r="AW540" s="389"/>
      <c r="AX540" s="389"/>
      <c r="AY540" s="389"/>
      <c r="AZ540" s="389"/>
      <c r="BA540" s="389"/>
      <c r="BB540" s="389"/>
      <c r="BC540" s="389"/>
      <c r="BD540" s="389"/>
      <c r="BE540" s="389"/>
      <c r="BF540" s="389"/>
      <c r="BG540" s="389"/>
      <c r="BH540" s="389"/>
      <c r="BI540" s="389"/>
      <c r="BJ540" s="389"/>
      <c r="BK540" s="389"/>
      <c r="BL540" s="389"/>
      <c r="BM540" s="389"/>
      <c r="BN540" s="389"/>
      <c r="BO540" s="389"/>
      <c r="BP540" s="389"/>
      <c r="BQ540" s="389"/>
      <c r="BR540" s="389"/>
      <c r="BS540" s="389"/>
      <c r="BT540" s="389"/>
      <c r="BU540" s="389"/>
      <c r="BV540" s="389"/>
      <c r="BW540" s="389"/>
      <c r="BX540" s="389"/>
      <c r="BY540" s="389"/>
      <c r="BZ540" s="389"/>
      <c r="CA540" s="389"/>
      <c r="CB540" s="389"/>
      <c r="CC540" s="389"/>
      <c r="CD540" s="389"/>
      <c r="CE540" s="384"/>
    </row>
    <row r="541" spans="1:83" s="9" customFormat="1" ht="12.75" customHeight="1" x14ac:dyDescent="0.15">
      <c r="A541" s="16"/>
      <c r="B541" s="8"/>
      <c r="D541" s="144"/>
      <c r="E541" s="132"/>
      <c r="F541" s="132"/>
      <c r="G541" s="132"/>
      <c r="H541" s="132"/>
      <c r="I541" s="132"/>
      <c r="J541" s="132"/>
      <c r="K541" s="132"/>
      <c r="L541" s="132"/>
      <c r="M541" s="132"/>
      <c r="N541" s="132"/>
      <c r="O541" s="132"/>
      <c r="P541" s="13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c r="CA541" s="12"/>
      <c r="CB541" s="12"/>
      <c r="CC541" s="12"/>
      <c r="CD541" s="12"/>
      <c r="CE541" s="18"/>
    </row>
    <row r="542" spans="1:83" s="9" customFormat="1" ht="12.75" customHeight="1" x14ac:dyDescent="0.15">
      <c r="A542" s="16"/>
      <c r="B542" s="8"/>
      <c r="D542" s="144"/>
      <c r="E542" s="132"/>
      <c r="F542" s="132"/>
      <c r="G542" s="132"/>
      <c r="H542" s="132"/>
      <c r="I542" s="132"/>
      <c r="J542" s="132"/>
      <c r="K542" s="132"/>
      <c r="L542" s="132"/>
      <c r="M542" s="132"/>
      <c r="N542" s="132"/>
      <c r="O542" s="132"/>
      <c r="P542" s="13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c r="CA542" s="12"/>
      <c r="CB542" s="12"/>
      <c r="CC542" s="12"/>
      <c r="CD542" s="12"/>
      <c r="CE542" s="18"/>
    </row>
    <row r="543" spans="1:83" s="9" customFormat="1" ht="12.75" customHeight="1" x14ac:dyDescent="0.15">
      <c r="A543" s="16"/>
      <c r="B543" s="8"/>
      <c r="D543" s="2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c r="CA543" s="12"/>
      <c r="CB543" s="12"/>
      <c r="CC543" s="12"/>
      <c r="CD543" s="12"/>
      <c r="CE543" s="18"/>
    </row>
    <row r="544" spans="1:83" s="9" customFormat="1" ht="12.75" customHeight="1" x14ac:dyDescent="0.15">
      <c r="A544" s="16"/>
      <c r="B544" s="8"/>
      <c r="D544" s="2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c r="CA544" s="12"/>
      <c r="CB544" s="12"/>
      <c r="CC544" s="12"/>
      <c r="CD544" s="12"/>
      <c r="CE544" s="18"/>
    </row>
    <row r="545" spans="1:83" s="9" customFormat="1" ht="12.75" customHeight="1" x14ac:dyDescent="0.15">
      <c r="A545" s="16"/>
      <c r="B545" s="8"/>
      <c r="D545" s="2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c r="CA545" s="12"/>
      <c r="CB545" s="12"/>
      <c r="CC545" s="12"/>
      <c r="CD545" s="12"/>
      <c r="CE545" s="18"/>
    </row>
    <row r="546" spans="1:83" s="9" customFormat="1" ht="12" customHeight="1" thickBot="1" x14ac:dyDescent="0.2">
      <c r="A546" s="25"/>
      <c r="B546" s="30"/>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7"/>
      <c r="BA546" s="27"/>
      <c r="BB546" s="27"/>
      <c r="BC546" s="27"/>
      <c r="BD546" s="27"/>
      <c r="BE546" s="27"/>
      <c r="BF546" s="27"/>
      <c r="BG546" s="27"/>
      <c r="BH546" s="27"/>
      <c r="BI546" s="27"/>
      <c r="BJ546" s="27"/>
      <c r="BK546" s="27"/>
      <c r="BL546" s="27"/>
      <c r="BM546" s="27"/>
      <c r="BN546" s="27"/>
      <c r="BO546" s="27"/>
      <c r="BP546" s="27"/>
      <c r="BQ546" s="27"/>
      <c r="BR546" s="27"/>
      <c r="BS546" s="27"/>
      <c r="BT546" s="27"/>
      <c r="BU546" s="27"/>
      <c r="BV546" s="27"/>
      <c r="BW546" s="27"/>
      <c r="BX546" s="27"/>
      <c r="BY546" s="27"/>
      <c r="BZ546" s="27"/>
      <c r="CA546" s="27"/>
      <c r="CB546" s="27"/>
      <c r="CC546" s="26"/>
      <c r="CD546" s="26"/>
      <c r="CE546" s="28"/>
    </row>
    <row r="547" spans="1:83" s="4" customFormat="1" ht="12" customHeight="1" x14ac:dyDescent="0.15">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c r="BY547" s="14"/>
      <c r="BZ547" s="14"/>
      <c r="CA547" s="14"/>
      <c r="CB547" s="14"/>
      <c r="CC547" s="14"/>
      <c r="CD547" s="14"/>
      <c r="CE547" s="15"/>
    </row>
    <row r="548" spans="1:83" s="6" customFormat="1" ht="12" customHeight="1" x14ac:dyDescent="0.15">
      <c r="A548" s="16"/>
      <c r="B548" s="19"/>
      <c r="C548" s="24"/>
      <c r="D548" s="21" t="s">
        <v>869</v>
      </c>
      <c r="E548" s="17"/>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19"/>
      <c r="CD548" s="5"/>
      <c r="CE548" s="18"/>
    </row>
    <row r="549" spans="1:83" s="4" customFormat="1" ht="12" customHeight="1" x14ac:dyDescent="0.15">
      <c r="A549" s="16"/>
      <c r="B549" s="5"/>
      <c r="C549" s="17"/>
      <c r="D549" s="21"/>
      <c r="E549" s="12"/>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BI549" s="21"/>
      <c r="BJ549" s="21"/>
      <c r="BK549" s="21"/>
      <c r="BL549" s="21"/>
      <c r="BM549" s="21"/>
      <c r="BN549" s="21"/>
      <c r="BO549" s="21"/>
      <c r="BP549" s="21"/>
      <c r="BQ549" s="21"/>
      <c r="BR549" s="21"/>
      <c r="BS549" s="21"/>
      <c r="BT549" s="21"/>
      <c r="BU549" s="21"/>
      <c r="BV549" s="21"/>
      <c r="BW549" s="21"/>
      <c r="BX549" s="21"/>
      <c r="BY549" s="21"/>
      <c r="BZ549" s="21"/>
      <c r="CA549" s="21"/>
      <c r="CB549" s="21"/>
      <c r="CC549" s="21"/>
      <c r="CD549" s="10"/>
      <c r="CE549" s="18"/>
    </row>
    <row r="550" spans="1:83" s="4" customFormat="1" ht="12" customHeight="1" x14ac:dyDescent="0.15">
      <c r="A550" s="16"/>
      <c r="C550" s="58"/>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c r="AL550" s="54"/>
      <c r="AM550" s="54"/>
      <c r="AN550" s="54"/>
      <c r="AO550" s="54"/>
      <c r="AP550" s="54"/>
      <c r="AQ550" s="54"/>
      <c r="AR550" s="54"/>
      <c r="AS550" s="54"/>
      <c r="AT550" s="54"/>
      <c r="AU550" s="54"/>
      <c r="AV550" s="54"/>
      <c r="AW550" s="54"/>
      <c r="AX550" s="54"/>
      <c r="BI550" s="54"/>
      <c r="BJ550" s="54"/>
      <c r="BK550" s="54"/>
      <c r="BL550" s="54"/>
      <c r="BM550" s="54"/>
      <c r="BN550" s="54"/>
      <c r="BO550" s="54"/>
      <c r="BP550" s="54"/>
      <c r="BQ550" s="54"/>
      <c r="BR550" s="54"/>
      <c r="BS550" s="54"/>
      <c r="BT550" s="54"/>
      <c r="BU550" s="54"/>
      <c r="BV550" s="54"/>
      <c r="BW550" s="54"/>
      <c r="BX550" s="54"/>
      <c r="BY550" s="54"/>
      <c r="BZ550" s="54"/>
      <c r="CA550" s="54"/>
      <c r="CB550" s="54"/>
      <c r="CC550" s="54"/>
      <c r="CD550" s="54"/>
      <c r="CE550" s="18"/>
    </row>
    <row r="551" spans="1:83" s="4" customFormat="1" ht="12" customHeight="1" x14ac:dyDescent="0.15">
      <c r="A551" s="16"/>
      <c r="C551" s="58"/>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c r="AL551" s="54"/>
      <c r="AM551" s="54"/>
      <c r="AN551" s="54"/>
      <c r="AO551" s="54"/>
      <c r="AP551" s="54"/>
      <c r="AQ551" s="54"/>
      <c r="AR551" s="54"/>
      <c r="AS551" s="54"/>
      <c r="AT551" s="54"/>
      <c r="AU551" s="54"/>
      <c r="AV551" s="54" t="s">
        <v>854</v>
      </c>
      <c r="AW551" s="54"/>
      <c r="AX551" s="54"/>
      <c r="BI551" s="54"/>
      <c r="BJ551" s="54"/>
      <c r="BK551" s="54"/>
      <c r="BL551" s="54"/>
      <c r="BM551" s="54"/>
      <c r="BN551" s="54"/>
      <c r="BO551" s="54"/>
      <c r="BP551" s="54"/>
      <c r="BQ551" s="54"/>
      <c r="BR551" s="54"/>
      <c r="BS551" s="54"/>
      <c r="BT551" s="54"/>
      <c r="BU551" s="54"/>
      <c r="BV551" s="54"/>
      <c r="BW551" s="54"/>
      <c r="BX551" s="54"/>
      <c r="BY551" s="54"/>
      <c r="BZ551" s="54"/>
      <c r="CA551" s="54"/>
      <c r="CB551" s="54"/>
      <c r="CC551" s="54"/>
      <c r="CD551" s="54"/>
      <c r="CE551" s="18"/>
    </row>
    <row r="552" spans="1:83" s="4" customFormat="1" ht="12" customHeight="1" x14ac:dyDescent="0.15">
      <c r="A552" s="16"/>
      <c r="C552" s="58"/>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c r="AL552" s="54"/>
      <c r="AM552" s="54"/>
      <c r="AN552" s="54"/>
      <c r="AO552" s="54"/>
      <c r="AP552" s="54"/>
      <c r="AQ552" s="54"/>
      <c r="AR552" s="54"/>
      <c r="AS552" s="54"/>
      <c r="AT552" s="54"/>
      <c r="AU552" s="54"/>
      <c r="AV552" s="54" t="s">
        <v>865</v>
      </c>
      <c r="AW552" s="54"/>
      <c r="AX552" s="54"/>
      <c r="BI552" s="54"/>
      <c r="BJ552" s="54"/>
      <c r="BK552" s="54"/>
      <c r="BL552" s="54"/>
      <c r="BM552" s="54"/>
      <c r="BN552" s="54"/>
      <c r="BO552" s="54"/>
      <c r="BP552" s="54"/>
      <c r="BQ552" s="54"/>
      <c r="BR552" s="54"/>
      <c r="BS552" s="54"/>
      <c r="BT552" s="54"/>
      <c r="BU552" s="54"/>
      <c r="BV552" s="54"/>
      <c r="BW552" s="54"/>
      <c r="BX552" s="54"/>
      <c r="BY552" s="54"/>
      <c r="BZ552" s="54"/>
      <c r="CA552" s="54"/>
      <c r="CB552" s="54"/>
      <c r="CC552" s="54"/>
      <c r="CD552" s="54"/>
      <c r="CE552" s="18"/>
    </row>
    <row r="553" spans="1:83" s="4" customFormat="1" ht="12" customHeight="1" x14ac:dyDescent="0.15">
      <c r="A553" s="16"/>
      <c r="C553" s="58"/>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t="s">
        <v>866</v>
      </c>
      <c r="AW553" s="54"/>
      <c r="AX553" s="54"/>
      <c r="BI553" s="54"/>
      <c r="BJ553" s="54"/>
      <c r="BK553" s="54"/>
      <c r="BL553" s="54"/>
      <c r="BM553" s="54"/>
      <c r="BN553" s="54"/>
      <c r="BO553" s="54"/>
      <c r="BP553" s="54"/>
      <c r="BQ553" s="54"/>
      <c r="BR553" s="54"/>
      <c r="BS553" s="54"/>
      <c r="BT553" s="54"/>
      <c r="BU553" s="54"/>
      <c r="BV553" s="54"/>
      <c r="BW553" s="54"/>
      <c r="BX553" s="54"/>
      <c r="BY553" s="54"/>
      <c r="BZ553" s="54"/>
      <c r="CA553" s="54"/>
      <c r="CB553" s="54"/>
      <c r="CC553" s="54"/>
      <c r="CD553" s="54"/>
      <c r="CE553" s="18"/>
    </row>
    <row r="554" spans="1:83" s="4" customFormat="1" ht="12" customHeight="1" x14ac:dyDescent="0.15">
      <c r="A554" s="16"/>
      <c r="C554" s="5"/>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t="s">
        <v>867</v>
      </c>
      <c r="AW554" s="54"/>
      <c r="AX554" s="54"/>
      <c r="BI554" s="54"/>
      <c r="BJ554" s="54"/>
      <c r="BK554" s="54"/>
      <c r="BL554" s="54"/>
      <c r="BM554" s="54"/>
      <c r="BN554" s="54"/>
      <c r="BO554" s="54"/>
      <c r="BP554" s="54"/>
      <c r="BQ554" s="54"/>
      <c r="BR554" s="54"/>
      <c r="BS554" s="54"/>
      <c r="BT554" s="54"/>
      <c r="BU554" s="54"/>
      <c r="BV554" s="54"/>
      <c r="BW554" s="54"/>
      <c r="BX554" s="54"/>
      <c r="BY554" s="54"/>
      <c r="BZ554" s="54"/>
      <c r="CA554" s="54"/>
      <c r="CB554" s="54"/>
      <c r="CC554" s="54"/>
      <c r="CD554" s="54"/>
      <c r="CE554" s="18"/>
    </row>
    <row r="555" spans="1:83" s="4" customFormat="1" ht="12" customHeight="1" x14ac:dyDescent="0.15">
      <c r="A555" s="16"/>
      <c r="B555" s="5"/>
      <c r="C555" s="5"/>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54" t="s">
        <v>327</v>
      </c>
      <c r="AW555" s="8"/>
      <c r="AX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18"/>
    </row>
    <row r="556" spans="1:83" s="4" customFormat="1" ht="12" customHeight="1" x14ac:dyDescent="0.15">
      <c r="A556" s="16"/>
      <c r="B556" s="5"/>
      <c r="C556" s="22"/>
      <c r="D556" s="2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54" t="s">
        <v>868</v>
      </c>
      <c r="AW556" s="12"/>
      <c r="AX556" s="12"/>
      <c r="BI556" s="12"/>
      <c r="BJ556" s="12"/>
      <c r="BK556" s="12"/>
      <c r="BL556" s="12"/>
      <c r="BM556" s="12"/>
      <c r="BN556" s="12"/>
      <c r="BO556" s="12"/>
      <c r="BP556" s="12"/>
      <c r="BQ556" s="12"/>
      <c r="BR556" s="12"/>
      <c r="BS556" s="12"/>
      <c r="BT556" s="12"/>
      <c r="BU556" s="12"/>
      <c r="BV556" s="12"/>
      <c r="BW556" s="12"/>
      <c r="BX556" s="12"/>
      <c r="BY556" s="12"/>
      <c r="BZ556" s="12"/>
      <c r="CA556" s="12"/>
      <c r="CB556" s="12"/>
      <c r="CC556" s="12"/>
      <c r="CD556" s="49"/>
      <c r="CE556" s="18"/>
    </row>
    <row r="557" spans="1:83" s="4" customFormat="1" ht="12" customHeight="1" x14ac:dyDescent="0.15">
      <c r="A557" s="16"/>
      <c r="B557" s="5"/>
      <c r="C557" s="22"/>
      <c r="D557" s="21"/>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54"/>
      <c r="AW557" s="12"/>
      <c r="AX557" s="12"/>
      <c r="BI557" s="12"/>
      <c r="BJ557" s="12"/>
      <c r="BK557" s="12"/>
      <c r="BL557" s="12"/>
      <c r="BM557" s="12"/>
      <c r="BN557" s="12"/>
      <c r="BO557" s="12"/>
      <c r="BP557" s="12"/>
      <c r="BQ557" s="12"/>
      <c r="BR557" s="12"/>
      <c r="BS557" s="12"/>
      <c r="BT557" s="12"/>
      <c r="BU557" s="12"/>
      <c r="BV557" s="12"/>
      <c r="BW557" s="12"/>
      <c r="BX557" s="12"/>
      <c r="BY557" s="12"/>
      <c r="BZ557" s="12"/>
      <c r="CA557" s="12"/>
      <c r="CB557" s="12"/>
      <c r="CC557" s="12"/>
      <c r="CD557" s="12"/>
      <c r="CE557" s="18"/>
    </row>
    <row r="558" spans="1:83" s="4" customFormat="1" ht="12" customHeight="1" x14ac:dyDescent="0.15">
      <c r="A558" s="16"/>
      <c r="C558" s="58"/>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BI558" s="54"/>
      <c r="BJ558" s="54"/>
      <c r="BK558" s="54"/>
      <c r="BL558" s="54"/>
      <c r="BM558" s="54"/>
      <c r="BN558" s="54"/>
      <c r="BO558" s="54"/>
      <c r="BP558" s="54"/>
      <c r="BQ558" s="54"/>
      <c r="BR558" s="54"/>
      <c r="BS558" s="54"/>
      <c r="BT558" s="54"/>
      <c r="BU558" s="54"/>
      <c r="BV558" s="54"/>
      <c r="BW558" s="54"/>
      <c r="BX558" s="54"/>
      <c r="BY558" s="54"/>
      <c r="BZ558" s="54"/>
      <c r="CA558" s="54"/>
      <c r="CB558" s="54"/>
      <c r="CC558" s="54"/>
      <c r="CD558" s="54"/>
      <c r="CE558" s="18"/>
    </row>
    <row r="559" spans="1:83" s="4" customFormat="1" ht="12" customHeight="1" x14ac:dyDescent="0.15">
      <c r="A559" s="16"/>
      <c r="C559" s="58"/>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18"/>
    </row>
    <row r="560" spans="1:83" s="4" customFormat="1" ht="12" customHeight="1" x14ac:dyDescent="0.15">
      <c r="A560" s="16"/>
      <c r="C560" s="58"/>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BI560" s="54"/>
      <c r="BJ560" s="54"/>
      <c r="BK560" s="54"/>
      <c r="BL560" s="54"/>
      <c r="BM560" s="54"/>
      <c r="BN560" s="54"/>
      <c r="BO560" s="54"/>
      <c r="BP560" s="54"/>
      <c r="BQ560" s="54"/>
      <c r="BR560" s="54"/>
      <c r="BS560" s="54"/>
      <c r="BT560" s="54"/>
      <c r="BU560" s="54"/>
      <c r="BV560" s="54"/>
      <c r="BW560" s="54"/>
      <c r="BX560" s="54"/>
      <c r="BY560" s="54"/>
      <c r="BZ560" s="54"/>
      <c r="CA560" s="54"/>
      <c r="CB560" s="54"/>
      <c r="CC560" s="54"/>
      <c r="CD560" s="54"/>
      <c r="CE560" s="18"/>
    </row>
    <row r="561" spans="1:83" s="4" customFormat="1" ht="12" customHeight="1" x14ac:dyDescent="0.15">
      <c r="A561" s="16"/>
      <c r="C561" s="5"/>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BI561" s="54"/>
      <c r="BJ561" s="54"/>
      <c r="BK561" s="54"/>
      <c r="BL561" s="54"/>
      <c r="BM561" s="54"/>
      <c r="BN561" s="54"/>
      <c r="BO561" s="54"/>
      <c r="BP561" s="54"/>
      <c r="BQ561" s="54"/>
      <c r="BR561" s="54"/>
      <c r="BS561" s="54"/>
      <c r="BT561" s="54"/>
      <c r="BU561" s="54"/>
      <c r="BV561" s="54"/>
      <c r="BW561" s="54"/>
      <c r="BX561" s="54"/>
      <c r="BY561" s="54"/>
      <c r="BZ561" s="54"/>
      <c r="CA561" s="54"/>
      <c r="CB561" s="54"/>
      <c r="CC561" s="54"/>
      <c r="CD561" s="54"/>
      <c r="CE561" s="18"/>
    </row>
    <row r="562" spans="1:83" s="9" customFormat="1" ht="12.75" customHeight="1" x14ac:dyDescent="0.15">
      <c r="A562" s="16"/>
      <c r="B562" s="8"/>
      <c r="C562" s="29"/>
      <c r="D562" s="2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BI562" s="12"/>
      <c r="BJ562" s="12"/>
      <c r="BK562" s="12"/>
      <c r="BL562" s="12"/>
      <c r="BM562" s="12"/>
      <c r="BN562" s="12"/>
      <c r="BO562" s="12"/>
      <c r="BP562" s="12"/>
      <c r="BQ562" s="12"/>
      <c r="BR562" s="12"/>
      <c r="BS562" s="12"/>
      <c r="BT562" s="12"/>
      <c r="BU562" s="12"/>
      <c r="BV562" s="12"/>
      <c r="BW562" s="12"/>
      <c r="BX562" s="12"/>
      <c r="BY562" s="12"/>
      <c r="BZ562" s="12"/>
      <c r="CA562" s="12"/>
      <c r="CB562" s="12"/>
      <c r="CC562" s="12"/>
      <c r="CD562" s="12"/>
      <c r="CE562" s="18"/>
    </row>
    <row r="563" spans="1:83" s="9" customFormat="1" ht="12.75" customHeight="1" x14ac:dyDescent="0.15">
      <c r="A563" s="16"/>
      <c r="B563" s="8"/>
      <c r="C563" s="29"/>
      <c r="D563" s="21"/>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BI563" s="12"/>
      <c r="BJ563" s="12"/>
      <c r="BK563" s="12"/>
      <c r="BL563" s="12"/>
      <c r="BM563" s="12"/>
      <c r="BN563" s="12"/>
      <c r="BO563" s="12"/>
      <c r="BP563" s="12"/>
      <c r="BQ563" s="12"/>
      <c r="BR563" s="12"/>
      <c r="BS563" s="12"/>
      <c r="BT563" s="12"/>
      <c r="BU563" s="12"/>
      <c r="BV563" s="12"/>
      <c r="BW563" s="12"/>
      <c r="BX563" s="12"/>
      <c r="BY563" s="12"/>
      <c r="BZ563" s="12"/>
      <c r="CA563" s="12"/>
      <c r="CB563" s="12"/>
      <c r="CC563" s="12"/>
      <c r="CD563" s="12"/>
      <c r="CE563" s="18"/>
    </row>
    <row r="564" spans="1:83" s="4" customFormat="1" ht="12" customHeight="1" x14ac:dyDescent="0.15">
      <c r="A564" s="16"/>
      <c r="C564" s="58"/>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BI564" s="54"/>
      <c r="BJ564" s="54"/>
      <c r="BK564" s="54"/>
      <c r="BL564" s="54"/>
      <c r="BM564" s="54"/>
      <c r="BN564" s="54"/>
      <c r="BO564" s="54"/>
      <c r="BP564" s="54"/>
      <c r="BQ564" s="54"/>
      <c r="BR564" s="54"/>
      <c r="BS564" s="54"/>
      <c r="BT564" s="54"/>
      <c r="BU564" s="54"/>
      <c r="BV564" s="54"/>
      <c r="BW564" s="54"/>
      <c r="BX564" s="54"/>
      <c r="BY564" s="54"/>
      <c r="BZ564" s="54"/>
      <c r="CA564" s="54"/>
      <c r="CB564" s="54"/>
      <c r="CC564" s="54"/>
      <c r="CD564" s="54"/>
      <c r="CE564" s="18"/>
    </row>
    <row r="565" spans="1:83" s="9" customFormat="1" ht="12.75" customHeight="1" x14ac:dyDescent="0.15">
      <c r="A565" s="16"/>
      <c r="B565" s="8"/>
      <c r="C565" s="29"/>
      <c r="D565" s="21"/>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BI565" s="12"/>
      <c r="BJ565" s="12"/>
      <c r="BK565" s="12"/>
      <c r="BL565" s="12"/>
      <c r="BM565" s="12"/>
      <c r="BN565" s="12"/>
      <c r="BO565" s="12"/>
      <c r="BP565" s="12"/>
      <c r="BQ565" s="12"/>
      <c r="BR565" s="12"/>
      <c r="BS565" s="12"/>
      <c r="BT565" s="12"/>
      <c r="BU565" s="12"/>
      <c r="BV565" s="12"/>
      <c r="BW565" s="12"/>
      <c r="BX565" s="12"/>
      <c r="BY565" s="12"/>
      <c r="BZ565" s="12"/>
      <c r="CA565" s="12"/>
      <c r="CB565" s="12"/>
      <c r="CC565" s="12"/>
      <c r="CD565" s="12"/>
      <c r="CE565" s="18"/>
    </row>
    <row r="566" spans="1:83" s="9" customFormat="1" ht="12.75" customHeight="1" x14ac:dyDescent="0.15">
      <c r="A566" s="16"/>
      <c r="B566" s="8"/>
      <c r="C566" s="29"/>
      <c r="D566" s="21"/>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BI566" s="12"/>
      <c r="BJ566" s="12"/>
      <c r="BK566" s="12"/>
      <c r="BL566" s="12"/>
      <c r="BM566" s="12"/>
      <c r="BN566" s="12"/>
      <c r="BO566" s="12"/>
      <c r="BP566" s="12"/>
      <c r="BQ566" s="12"/>
      <c r="BR566" s="12"/>
      <c r="BS566" s="12"/>
      <c r="BT566" s="12"/>
      <c r="BU566" s="12"/>
      <c r="BV566" s="12"/>
      <c r="BW566" s="12"/>
      <c r="BX566" s="12"/>
      <c r="BY566" s="12"/>
      <c r="BZ566" s="12"/>
      <c r="CA566" s="12"/>
      <c r="CB566" s="12"/>
      <c r="CC566" s="12"/>
      <c r="CD566" s="12"/>
      <c r="CE566" s="18"/>
    </row>
    <row r="567" spans="1:83" s="9" customFormat="1" ht="12.75" customHeight="1" x14ac:dyDescent="0.15">
      <c r="A567" s="16"/>
      <c r="B567" s="8"/>
      <c r="C567" s="29"/>
      <c r="D567" s="21"/>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8" t="s">
        <v>878</v>
      </c>
      <c r="AW567" s="12"/>
      <c r="AX567" s="12"/>
      <c r="BI567" s="12"/>
      <c r="BJ567" s="12"/>
      <c r="BK567" s="12"/>
      <c r="BL567" s="12"/>
      <c r="BM567" s="12"/>
      <c r="BN567" s="12"/>
      <c r="BO567" s="12"/>
      <c r="BP567" s="12"/>
      <c r="BQ567" s="12"/>
      <c r="BR567" s="12"/>
      <c r="BS567" s="12"/>
      <c r="BT567" s="12"/>
      <c r="BU567" s="12"/>
      <c r="BV567" s="12"/>
      <c r="BW567" s="12"/>
      <c r="BX567" s="12"/>
      <c r="BY567" s="12"/>
      <c r="BZ567" s="12"/>
      <c r="CA567" s="12"/>
      <c r="CB567" s="12"/>
      <c r="CC567" s="12"/>
      <c r="CD567" s="12"/>
      <c r="CE567" s="18"/>
    </row>
    <row r="568" spans="1:83" s="9" customFormat="1" ht="12.75" customHeight="1" x14ac:dyDescent="0.15">
      <c r="A568" s="16"/>
      <c r="B568" s="8"/>
      <c r="C568" s="29"/>
      <c r="D568" s="21"/>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BI568" s="12"/>
      <c r="BJ568" s="12"/>
      <c r="BK568" s="12"/>
      <c r="BL568" s="12"/>
      <c r="BM568" s="12"/>
      <c r="BN568" s="12"/>
      <c r="BO568" s="12"/>
      <c r="BP568" s="12"/>
      <c r="BQ568" s="12"/>
      <c r="BR568" s="12"/>
      <c r="BS568" s="12"/>
      <c r="BT568" s="12"/>
      <c r="BU568" s="12"/>
      <c r="BV568" s="12"/>
      <c r="BW568" s="12"/>
      <c r="BX568" s="12"/>
      <c r="BY568" s="12"/>
      <c r="BZ568" s="12"/>
      <c r="CA568" s="12"/>
      <c r="CB568" s="12"/>
      <c r="CC568" s="12"/>
      <c r="CD568" s="12"/>
      <c r="CE568" s="18"/>
    </row>
    <row r="569" spans="1:83" s="9" customFormat="1" ht="12.75" customHeight="1" x14ac:dyDescent="0.15">
      <c r="A569" s="16"/>
      <c r="B569" s="8"/>
      <c r="C569" s="29"/>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BI569" s="12"/>
      <c r="BJ569" s="12"/>
      <c r="BK569" s="12"/>
      <c r="BL569" s="12"/>
      <c r="BM569" s="12"/>
      <c r="BN569" s="12"/>
      <c r="BO569" s="12"/>
      <c r="BP569" s="12"/>
      <c r="BQ569" s="12"/>
      <c r="BR569" s="12"/>
      <c r="BS569" s="12"/>
      <c r="BT569" s="12"/>
      <c r="BU569" s="12"/>
      <c r="BV569" s="12"/>
      <c r="BW569" s="12"/>
      <c r="BX569" s="12"/>
      <c r="BY569" s="12"/>
      <c r="BZ569" s="12"/>
      <c r="CA569" s="12"/>
      <c r="CB569" s="12"/>
      <c r="CC569" s="12"/>
      <c r="CD569" s="12"/>
      <c r="CE569" s="18"/>
    </row>
    <row r="570" spans="1:83" s="9" customFormat="1" ht="12.75" customHeight="1" x14ac:dyDescent="0.15">
      <c r="A570" s="16"/>
      <c r="B570" s="8"/>
      <c r="C570" s="29"/>
      <c r="D570" s="50"/>
      <c r="E570" s="50"/>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BI570" s="12"/>
      <c r="BJ570" s="12"/>
      <c r="BK570" s="12"/>
      <c r="BL570" s="12"/>
      <c r="BM570" s="12"/>
      <c r="BN570" s="12"/>
      <c r="BO570" s="12"/>
      <c r="BP570" s="12"/>
      <c r="BQ570" s="12"/>
      <c r="BR570" s="12"/>
      <c r="BS570" s="12"/>
      <c r="BT570" s="12"/>
      <c r="BU570" s="12"/>
      <c r="BV570" s="12"/>
      <c r="BW570" s="12"/>
      <c r="BX570" s="12"/>
      <c r="BY570" s="12"/>
      <c r="BZ570" s="12"/>
      <c r="CA570" s="12"/>
      <c r="CB570" s="12"/>
      <c r="CC570" s="12"/>
      <c r="CD570" s="12"/>
      <c r="CE570" s="18"/>
    </row>
    <row r="571" spans="1:83" s="9" customFormat="1" ht="12.75" customHeight="1" x14ac:dyDescent="0.15">
      <c r="A571" s="16"/>
      <c r="B571" s="8"/>
      <c r="D571" s="50"/>
      <c r="E571" s="50"/>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389"/>
      <c r="AU571" s="389"/>
      <c r="AV571" s="389"/>
      <c r="AW571" s="389"/>
      <c r="AX571" s="389"/>
      <c r="AY571" s="385"/>
      <c r="AZ571" s="385"/>
      <c r="BA571" s="385"/>
      <c r="BB571" s="385"/>
      <c r="BC571" s="385"/>
      <c r="BD571" s="385"/>
      <c r="BE571" s="385"/>
      <c r="BF571" s="385"/>
      <c r="BG571" s="385"/>
      <c r="BH571" s="385"/>
      <c r="BI571" s="389"/>
      <c r="BJ571" s="389"/>
      <c r="BK571" s="389"/>
      <c r="BL571" s="389"/>
      <c r="BM571" s="389"/>
      <c r="BN571" s="389"/>
      <c r="BO571" s="389"/>
      <c r="BP571" s="389"/>
      <c r="BQ571" s="389"/>
      <c r="BR571" s="389"/>
      <c r="BS571" s="389"/>
      <c r="BT571" s="389"/>
      <c r="BU571" s="12"/>
      <c r="BV571" s="12"/>
      <c r="BW571" s="12"/>
      <c r="BX571" s="12"/>
      <c r="BY571" s="12"/>
      <c r="BZ571" s="12"/>
      <c r="CA571" s="12"/>
      <c r="CB571" s="12"/>
      <c r="CC571" s="12"/>
      <c r="CD571" s="12"/>
      <c r="CE571" s="18"/>
    </row>
    <row r="572" spans="1:83" s="9" customFormat="1" ht="12.75" customHeight="1" x14ac:dyDescent="0.15">
      <c r="A572" s="16"/>
      <c r="B572" s="8"/>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BI572" s="12"/>
      <c r="BJ572" s="12"/>
      <c r="BK572" s="12"/>
      <c r="BL572" s="12"/>
      <c r="BM572" s="12"/>
      <c r="BN572" s="12"/>
      <c r="BO572" s="12"/>
      <c r="BP572" s="12"/>
      <c r="BQ572" s="12"/>
      <c r="BR572" s="12"/>
      <c r="BS572" s="12"/>
      <c r="BT572" s="12"/>
      <c r="BU572" s="12"/>
      <c r="BV572" s="12"/>
      <c r="BW572" s="12"/>
      <c r="BX572" s="12"/>
      <c r="BY572" s="12"/>
      <c r="BZ572" s="12"/>
      <c r="CA572" s="12"/>
      <c r="CB572" s="12"/>
      <c r="CC572" s="12"/>
      <c r="CD572" s="12"/>
      <c r="CE572" s="18"/>
    </row>
    <row r="573" spans="1:83" s="9" customFormat="1" ht="12.75" customHeight="1" x14ac:dyDescent="0.15">
      <c r="A573" s="16"/>
      <c r="B573" s="8"/>
      <c r="C573" s="22"/>
      <c r="D573" s="50"/>
      <c r="E573" s="50"/>
      <c r="F573" s="12"/>
      <c r="G573" s="12"/>
      <c r="H573" s="12"/>
      <c r="I573" s="12"/>
      <c r="J573" s="12"/>
      <c r="K573" s="12"/>
      <c r="L573" s="12"/>
      <c r="M573" s="12"/>
      <c r="N573" s="12"/>
      <c r="O573" s="12"/>
      <c r="P573" s="12"/>
      <c r="Q573" s="12"/>
      <c r="R573" s="12"/>
      <c r="S573" s="12"/>
      <c r="T573" s="12"/>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49"/>
      <c r="AU573" s="49"/>
      <c r="AV573" s="49"/>
      <c r="AW573" s="49"/>
      <c r="AX573" s="49"/>
      <c r="BI573" s="49"/>
      <c r="BJ573" s="49"/>
      <c r="BK573" s="49"/>
      <c r="BL573" s="49"/>
      <c r="BM573" s="49"/>
      <c r="BN573" s="49"/>
      <c r="BO573" s="49"/>
      <c r="BP573" s="49"/>
      <c r="BQ573" s="49"/>
      <c r="BR573" s="49"/>
      <c r="BS573" s="49"/>
      <c r="BT573" s="49"/>
      <c r="BU573" s="49"/>
      <c r="BV573" s="49"/>
      <c r="BW573" s="49"/>
      <c r="BX573" s="49"/>
      <c r="BY573" s="49"/>
      <c r="BZ573" s="49"/>
      <c r="CA573" s="49"/>
      <c r="CB573" s="49"/>
      <c r="CC573" s="49"/>
      <c r="CD573" s="49"/>
      <c r="CE573" s="18"/>
    </row>
    <row r="574" spans="1:83" s="9" customFormat="1" ht="12.75" customHeight="1" x14ac:dyDescent="0.15">
      <c r="A574" s="16"/>
      <c r="B574" s="8"/>
      <c r="C574" s="22"/>
      <c r="D574" s="12"/>
      <c r="E574" s="12"/>
      <c r="F574" s="12"/>
      <c r="G574" s="12"/>
      <c r="H574" s="12"/>
      <c r="I574" s="12"/>
      <c r="J574" s="12"/>
      <c r="K574" s="12"/>
      <c r="L574" s="12"/>
      <c r="M574" s="12"/>
      <c r="N574" s="12"/>
      <c r="O574" s="12"/>
      <c r="P574" s="12"/>
      <c r="Q574" s="12"/>
      <c r="R574" s="12"/>
      <c r="S574" s="12"/>
      <c r="T574" s="12"/>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49"/>
      <c r="AU574" s="49"/>
      <c r="AV574" s="49"/>
      <c r="AW574" s="49"/>
      <c r="AX574" s="49"/>
      <c r="BI574" s="49"/>
      <c r="BJ574" s="49"/>
      <c r="BK574" s="49"/>
      <c r="BL574" s="49"/>
      <c r="BM574" s="49"/>
      <c r="BN574" s="49"/>
      <c r="BO574" s="49"/>
      <c r="BP574" s="49"/>
      <c r="BQ574" s="49"/>
      <c r="BR574" s="49"/>
      <c r="BS574" s="49"/>
      <c r="BT574" s="49"/>
      <c r="BU574" s="49"/>
      <c r="BV574" s="49"/>
      <c r="BW574" s="49"/>
      <c r="BX574" s="49"/>
      <c r="BY574" s="49"/>
      <c r="BZ574" s="49"/>
      <c r="CA574" s="49"/>
      <c r="CB574" s="49"/>
      <c r="CC574" s="49"/>
      <c r="CD574" s="49"/>
      <c r="CE574" s="18"/>
    </row>
    <row r="575" spans="1:83" s="9" customFormat="1" ht="12.75" customHeight="1" x14ac:dyDescent="0.15">
      <c r="A575" s="16"/>
      <c r="B575" s="8"/>
      <c r="C575" s="22"/>
      <c r="D575" s="12"/>
      <c r="E575" s="12"/>
      <c r="F575" s="12"/>
      <c r="G575" s="12"/>
      <c r="H575" s="12"/>
      <c r="I575" s="12"/>
      <c r="J575" s="12"/>
      <c r="K575" s="12"/>
      <c r="L575" s="12"/>
      <c r="M575" s="12"/>
      <c r="N575" s="12"/>
      <c r="O575" s="12"/>
      <c r="P575" s="12"/>
      <c r="Q575" s="12"/>
      <c r="R575" s="12"/>
      <c r="S575" s="12"/>
      <c r="T575" s="12"/>
      <c r="U575" s="49"/>
      <c r="V575" s="49"/>
      <c r="W575" s="49"/>
      <c r="X575" s="49"/>
      <c r="Y575" s="49"/>
      <c r="Z575" s="49"/>
      <c r="AA575" s="49"/>
      <c r="AB575" s="49"/>
      <c r="AC575" s="49"/>
      <c r="AD575" s="49"/>
      <c r="AE575" s="49"/>
      <c r="AF575" s="49"/>
      <c r="AG575" s="49"/>
      <c r="AH575" s="49"/>
      <c r="AI575" s="49"/>
      <c r="AJ575" s="49"/>
      <c r="AK575" s="49"/>
      <c r="AL575" s="49"/>
      <c r="AM575" s="49"/>
      <c r="AN575" s="49"/>
      <c r="AO575" s="49"/>
      <c r="AP575" s="49"/>
      <c r="AQ575" s="49"/>
      <c r="AR575" s="49"/>
      <c r="AS575" s="49"/>
      <c r="AT575" s="49"/>
      <c r="AU575" s="49"/>
      <c r="AV575" s="49"/>
      <c r="AW575" s="49"/>
      <c r="AX575" s="49"/>
      <c r="BI575" s="49"/>
      <c r="BJ575" s="49"/>
      <c r="BK575" s="49"/>
      <c r="BL575" s="49"/>
      <c r="BM575" s="49"/>
      <c r="BN575" s="49"/>
      <c r="BO575" s="49"/>
      <c r="BP575" s="49"/>
      <c r="BQ575" s="49"/>
      <c r="BR575" s="49"/>
      <c r="BS575" s="49"/>
      <c r="BT575" s="49"/>
      <c r="BU575" s="49"/>
      <c r="BV575" s="49"/>
      <c r="BW575" s="49"/>
      <c r="BX575" s="49"/>
      <c r="BY575" s="49"/>
      <c r="BZ575" s="49"/>
      <c r="CA575" s="49"/>
      <c r="CB575" s="49"/>
      <c r="CC575" s="49"/>
      <c r="CD575" s="49"/>
      <c r="CE575" s="18"/>
    </row>
    <row r="576" spans="1:83" s="9" customFormat="1" ht="12.75" customHeight="1" x14ac:dyDescent="0.15">
      <c r="A576" s="16"/>
      <c r="B576" s="8"/>
      <c r="C576" s="22"/>
      <c r="D576" s="12"/>
      <c r="E576" s="12"/>
      <c r="F576" s="12"/>
      <c r="G576" s="12"/>
      <c r="H576" s="12"/>
      <c r="I576" s="12"/>
      <c r="J576" s="12"/>
      <c r="K576" s="12"/>
      <c r="L576" s="12"/>
      <c r="M576" s="12"/>
      <c r="N576" s="12"/>
      <c r="O576" s="12"/>
      <c r="P576" s="12"/>
      <c r="Q576" s="12"/>
      <c r="R576" s="12"/>
      <c r="S576" s="12"/>
      <c r="T576" s="12"/>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49"/>
      <c r="AU576" s="49"/>
      <c r="AV576" s="49"/>
      <c r="AW576" s="49"/>
      <c r="AX576" s="49"/>
      <c r="BI576" s="49"/>
      <c r="BJ576" s="49"/>
      <c r="BK576" s="49"/>
      <c r="BL576" s="49"/>
      <c r="BM576" s="49"/>
      <c r="BN576" s="49"/>
      <c r="BO576" s="49"/>
      <c r="BP576" s="49"/>
      <c r="BQ576" s="49"/>
      <c r="BR576" s="49"/>
      <c r="BS576" s="49"/>
      <c r="BT576" s="49"/>
      <c r="BU576" s="49"/>
      <c r="BV576" s="49"/>
      <c r="BW576" s="49"/>
      <c r="BX576" s="49"/>
      <c r="BY576" s="49"/>
      <c r="BZ576" s="49"/>
      <c r="CA576" s="49"/>
      <c r="CB576" s="49"/>
      <c r="CC576" s="49"/>
      <c r="CD576" s="49"/>
      <c r="CE576" s="18"/>
    </row>
    <row r="577" spans="1:83" s="9" customFormat="1" ht="12.75" customHeight="1" x14ac:dyDescent="0.15">
      <c r="A577" s="16"/>
      <c r="B577" s="8"/>
      <c r="C577" s="22"/>
      <c r="D577" s="12"/>
      <c r="E577" s="12"/>
      <c r="F577" s="12"/>
      <c r="G577" s="12"/>
      <c r="H577" s="12"/>
      <c r="I577" s="12"/>
      <c r="J577" s="12"/>
      <c r="K577" s="12"/>
      <c r="L577" s="12"/>
      <c r="M577" s="12"/>
      <c r="N577" s="12"/>
      <c r="O577" s="12"/>
      <c r="P577" s="12"/>
      <c r="Q577" s="12"/>
      <c r="R577" s="12"/>
      <c r="S577" s="12"/>
      <c r="T577" s="12"/>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49"/>
      <c r="AU577" s="49"/>
      <c r="AV577" s="49"/>
      <c r="AW577" s="49"/>
      <c r="AX577" s="49"/>
      <c r="BI577" s="49"/>
      <c r="BJ577" s="49"/>
      <c r="BK577" s="49"/>
      <c r="BL577" s="49"/>
      <c r="BM577" s="49"/>
      <c r="BN577" s="49"/>
      <c r="BO577" s="49"/>
      <c r="BP577" s="49"/>
      <c r="BQ577" s="49"/>
      <c r="BR577" s="49"/>
      <c r="BS577" s="49"/>
      <c r="BT577" s="49"/>
      <c r="BU577" s="49"/>
      <c r="BV577" s="49"/>
      <c r="BW577" s="49"/>
      <c r="BX577" s="49"/>
      <c r="BY577" s="49"/>
      <c r="BZ577" s="49"/>
      <c r="CA577" s="49"/>
      <c r="CB577" s="49"/>
      <c r="CC577" s="49"/>
      <c r="CD577" s="49"/>
      <c r="CE577" s="18"/>
    </row>
    <row r="578" spans="1:83" s="9" customFormat="1" ht="12.75" customHeight="1" x14ac:dyDescent="0.15">
      <c r="A578" s="16"/>
      <c r="B578" s="8"/>
      <c r="D578" s="50"/>
      <c r="E578" s="50"/>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BI578" s="12"/>
      <c r="BJ578" s="12"/>
      <c r="BK578" s="12"/>
      <c r="BL578" s="12"/>
      <c r="BM578" s="12"/>
      <c r="BN578" s="12"/>
      <c r="BO578" s="12"/>
      <c r="BP578" s="12"/>
      <c r="BQ578" s="12"/>
      <c r="BR578" s="12"/>
      <c r="BS578" s="12"/>
      <c r="BT578" s="12"/>
      <c r="BU578" s="12"/>
      <c r="BV578" s="12"/>
      <c r="BW578" s="12"/>
      <c r="BX578" s="12"/>
      <c r="BY578" s="12"/>
      <c r="BZ578" s="12"/>
      <c r="CA578" s="12"/>
      <c r="CB578" s="12"/>
      <c r="CC578" s="12"/>
      <c r="CD578" s="12"/>
      <c r="CE578" s="18"/>
    </row>
    <row r="579" spans="1:83" s="9" customFormat="1" ht="12.75" customHeight="1" x14ac:dyDescent="0.15">
      <c r="A579" s="16"/>
      <c r="B579" s="8"/>
      <c r="D579" s="50"/>
      <c r="E579" s="50"/>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BI579" s="12"/>
      <c r="BJ579" s="12"/>
      <c r="BK579" s="12"/>
      <c r="BL579" s="12"/>
      <c r="BM579" s="12"/>
      <c r="BN579" s="12"/>
      <c r="BO579" s="12"/>
      <c r="BP579" s="12"/>
      <c r="BQ579" s="12"/>
      <c r="BR579" s="12"/>
      <c r="BS579" s="12"/>
      <c r="BT579" s="12"/>
      <c r="BU579" s="12"/>
      <c r="BV579" s="12"/>
      <c r="BW579" s="12"/>
      <c r="BX579" s="12"/>
      <c r="BY579" s="12"/>
      <c r="BZ579" s="12"/>
      <c r="CA579" s="12"/>
      <c r="CB579" s="12"/>
      <c r="CC579" s="12"/>
      <c r="CD579" s="12"/>
      <c r="CE579" s="18"/>
    </row>
    <row r="580" spans="1:83" s="9" customFormat="1" ht="12.75" customHeight="1" x14ac:dyDescent="0.15">
      <c r="A580" s="16"/>
      <c r="B580" s="8"/>
      <c r="C580" s="22"/>
      <c r="D580" s="50"/>
      <c r="E580" s="50"/>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BI580" s="12"/>
      <c r="BJ580" s="12"/>
      <c r="BK580" s="12"/>
      <c r="BL580" s="12"/>
      <c r="BM580" s="12"/>
      <c r="BN580" s="12"/>
      <c r="BO580" s="12"/>
      <c r="BP580" s="12"/>
      <c r="BQ580" s="12"/>
      <c r="BR580" s="12"/>
      <c r="BS580" s="12"/>
      <c r="BT580" s="12"/>
      <c r="BU580" s="12"/>
      <c r="BV580" s="12"/>
      <c r="BW580" s="12"/>
      <c r="BX580" s="12"/>
      <c r="BY580" s="12"/>
      <c r="BZ580" s="12"/>
      <c r="CA580" s="12"/>
      <c r="CB580" s="12"/>
      <c r="CC580" s="12"/>
      <c r="CD580" s="12"/>
      <c r="CE580" s="18"/>
    </row>
    <row r="581" spans="1:83" s="9" customFormat="1" ht="12.75" customHeight="1" x14ac:dyDescent="0.15">
      <c r="A581" s="16"/>
      <c r="B581" s="8"/>
      <c r="D581" s="2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BI581" s="12"/>
      <c r="BJ581" s="12"/>
      <c r="BK581" s="12"/>
      <c r="BL581" s="12"/>
      <c r="BM581" s="12"/>
      <c r="BN581" s="12"/>
      <c r="BO581" s="12"/>
      <c r="BP581" s="12"/>
      <c r="BQ581" s="12"/>
      <c r="BR581" s="12"/>
      <c r="BS581" s="12"/>
      <c r="BT581" s="12"/>
      <c r="BU581" s="12"/>
      <c r="BV581" s="12"/>
      <c r="BW581" s="12"/>
      <c r="BX581" s="12"/>
      <c r="BY581" s="12"/>
      <c r="BZ581" s="12"/>
      <c r="CA581" s="12"/>
      <c r="CB581" s="12"/>
      <c r="CC581" s="12"/>
      <c r="CD581" s="12"/>
      <c r="CE581" s="18"/>
    </row>
    <row r="582" spans="1:83" s="9" customFormat="1" ht="12.75" customHeight="1" x14ac:dyDescent="0.15">
      <c r="A582" s="16"/>
      <c r="B582" s="8"/>
      <c r="D582" s="2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BI582" s="12"/>
      <c r="BJ582" s="12"/>
      <c r="BK582" s="12"/>
      <c r="BL582" s="12"/>
      <c r="BM582" s="12"/>
      <c r="BN582" s="12"/>
      <c r="BO582" s="12"/>
      <c r="BP582" s="12"/>
      <c r="BQ582" s="12"/>
      <c r="BR582" s="12"/>
      <c r="BS582" s="12"/>
      <c r="BT582" s="12"/>
      <c r="BU582" s="12"/>
      <c r="BV582" s="12"/>
      <c r="BW582" s="12"/>
      <c r="BX582" s="12"/>
      <c r="BY582" s="12"/>
      <c r="BZ582" s="12"/>
      <c r="CA582" s="12"/>
      <c r="CB582" s="12"/>
      <c r="CC582" s="12"/>
      <c r="CD582" s="12"/>
      <c r="CE582" s="18"/>
    </row>
    <row r="583" spans="1:83" s="9" customFormat="1" ht="12.75" customHeight="1" x14ac:dyDescent="0.15">
      <c r="A583" s="16"/>
      <c r="B583" s="8"/>
      <c r="D583" s="2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BI583" s="12"/>
      <c r="BJ583" s="12"/>
      <c r="BK583" s="12"/>
      <c r="BL583" s="12"/>
      <c r="BM583" s="12"/>
      <c r="BN583" s="12"/>
      <c r="BO583" s="12"/>
      <c r="BP583" s="12"/>
      <c r="BQ583" s="12"/>
      <c r="BR583" s="12"/>
      <c r="BS583" s="12"/>
      <c r="BT583" s="12"/>
      <c r="BU583" s="12"/>
      <c r="BV583" s="12"/>
      <c r="BW583" s="12"/>
      <c r="BX583" s="12"/>
      <c r="BY583" s="12"/>
      <c r="BZ583" s="12"/>
      <c r="CA583" s="12"/>
      <c r="CB583" s="12"/>
      <c r="CC583" s="12"/>
      <c r="CD583" s="12"/>
      <c r="CE583" s="18"/>
    </row>
    <row r="584" spans="1:83" s="9" customFormat="1" ht="12.75" customHeight="1" x14ac:dyDescent="0.15">
      <c r="A584" s="16"/>
      <c r="B584" s="8"/>
      <c r="D584" s="2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BI584" s="12"/>
      <c r="BJ584" s="12"/>
      <c r="BK584" s="12"/>
      <c r="BL584" s="12"/>
      <c r="BM584" s="12"/>
      <c r="BN584" s="12"/>
      <c r="BO584" s="12"/>
      <c r="BP584" s="12"/>
      <c r="BQ584" s="12"/>
      <c r="BR584" s="12"/>
      <c r="BS584" s="12"/>
      <c r="BT584" s="12"/>
      <c r="BU584" s="12"/>
      <c r="BV584" s="12"/>
      <c r="BW584" s="12"/>
      <c r="BX584" s="12"/>
      <c r="BY584" s="12"/>
      <c r="BZ584" s="12"/>
      <c r="CA584" s="12"/>
      <c r="CB584" s="12"/>
      <c r="CC584" s="12"/>
      <c r="CD584" s="12"/>
      <c r="CE584" s="18"/>
    </row>
    <row r="585" spans="1:83" s="9" customFormat="1" ht="12" customHeight="1" thickBot="1" x14ac:dyDescent="0.2">
      <c r="A585" s="25"/>
      <c r="B585" s="30"/>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c r="AN585" s="26"/>
      <c r="AO585" s="26"/>
      <c r="AP585" s="26"/>
      <c r="AQ585" s="26"/>
      <c r="AR585" s="26"/>
      <c r="AS585" s="26"/>
      <c r="AT585" s="26"/>
      <c r="AU585" s="26"/>
      <c r="AV585" s="26"/>
      <c r="AW585" s="26"/>
      <c r="AX585" s="26"/>
      <c r="AY585" s="26"/>
      <c r="AZ585" s="27"/>
      <c r="BA585" s="27"/>
      <c r="BB585" s="27"/>
      <c r="BC585" s="27"/>
      <c r="BD585" s="27"/>
      <c r="BE585" s="27"/>
      <c r="BF585" s="27"/>
      <c r="BG585" s="27"/>
      <c r="BH585" s="27"/>
      <c r="BI585" s="27"/>
      <c r="BJ585" s="27"/>
      <c r="BK585" s="27"/>
      <c r="BL585" s="27"/>
      <c r="BM585" s="27"/>
      <c r="BN585" s="27"/>
      <c r="BO585" s="27"/>
      <c r="BP585" s="27"/>
      <c r="BQ585" s="27"/>
      <c r="BR585" s="27"/>
      <c r="BS585" s="27"/>
      <c r="BT585" s="27"/>
      <c r="BU585" s="27"/>
      <c r="BV585" s="27"/>
      <c r="BW585" s="27"/>
      <c r="BX585" s="27"/>
      <c r="BY585" s="27"/>
      <c r="BZ585" s="27"/>
      <c r="CA585" s="27"/>
      <c r="CB585" s="27"/>
      <c r="CC585" s="26"/>
      <c r="CD585" s="26"/>
      <c r="CE585" s="28"/>
    </row>
  </sheetData>
  <mergeCells count="392">
    <mergeCell ref="D34:F38"/>
    <mergeCell ref="G34:L38"/>
    <mergeCell ref="M34:AD38"/>
    <mergeCell ref="AE34:CB38"/>
    <mergeCell ref="D17:F18"/>
    <mergeCell ref="G17:L18"/>
    <mergeCell ref="AE17:CB18"/>
    <mergeCell ref="D19:F24"/>
    <mergeCell ref="G19:L24"/>
    <mergeCell ref="M19:AD24"/>
    <mergeCell ref="AE19:CB24"/>
    <mergeCell ref="D29:F33"/>
    <mergeCell ref="D25:F28"/>
    <mergeCell ref="G25:L28"/>
    <mergeCell ref="M25:AD28"/>
    <mergeCell ref="AE25:CB28"/>
    <mergeCell ref="M17:AD18"/>
    <mergeCell ref="G29:L33"/>
    <mergeCell ref="M29:AD33"/>
    <mergeCell ref="AE29:CB33"/>
    <mergeCell ref="A1:CE1"/>
    <mergeCell ref="A3:H3"/>
    <mergeCell ref="I3:AC3"/>
    <mergeCell ref="AD3:AL3"/>
    <mergeCell ref="AM3:BQ3"/>
    <mergeCell ref="BR3:BS5"/>
    <mergeCell ref="BD5:BJ5"/>
    <mergeCell ref="BK5:BM5"/>
    <mergeCell ref="BN5:BQ5"/>
    <mergeCell ref="BT3:BX5"/>
    <mergeCell ref="BY3:BZ5"/>
    <mergeCell ref="CA3:CE5"/>
    <mergeCell ref="A4:H5"/>
    <mergeCell ref="AO5:AR5"/>
    <mergeCell ref="AS5:AY5"/>
    <mergeCell ref="I4:AC5"/>
    <mergeCell ref="AD4:AL4"/>
    <mergeCell ref="AM4:BQ4"/>
    <mergeCell ref="AD5:AG5"/>
    <mergeCell ref="AH5:AN5"/>
    <mergeCell ref="AZ5:BC5"/>
    <mergeCell ref="D50:F51"/>
    <mergeCell ref="G50:M51"/>
    <mergeCell ref="N50:Q51"/>
    <mergeCell ref="R50:X51"/>
    <mergeCell ref="Y50:AE51"/>
    <mergeCell ref="D52:F83"/>
    <mergeCell ref="D86:CB86"/>
    <mergeCell ref="D87:H87"/>
    <mergeCell ref="I87:AG87"/>
    <mergeCell ref="AH87:CB87"/>
    <mergeCell ref="AF50:CB51"/>
    <mergeCell ref="D90:H91"/>
    <mergeCell ref="I90:AG91"/>
    <mergeCell ref="AH90:CB91"/>
    <mergeCell ref="D88:H89"/>
    <mergeCell ref="I88:AG89"/>
    <mergeCell ref="D92:H93"/>
    <mergeCell ref="I92:AG93"/>
    <mergeCell ref="AH92:CB93"/>
    <mergeCell ref="D94:H96"/>
    <mergeCell ref="I94:AG96"/>
    <mergeCell ref="AH94:CB96"/>
    <mergeCell ref="AH88:CB89"/>
    <mergeCell ref="D97:H98"/>
    <mergeCell ref="I97:AG98"/>
    <mergeCell ref="AH97:CB98"/>
    <mergeCell ref="D105:CB105"/>
    <mergeCell ref="AG106:CB106"/>
    <mergeCell ref="D107:F107"/>
    <mergeCell ref="AG107:AR107"/>
    <mergeCell ref="AS107:BD107"/>
    <mergeCell ref="BE107:BP107"/>
    <mergeCell ref="BQ107:CB107"/>
    <mergeCell ref="D99:H100"/>
    <mergeCell ref="I99:AG100"/>
    <mergeCell ref="AH99:CB100"/>
    <mergeCell ref="D101:H103"/>
    <mergeCell ref="I101:AG103"/>
    <mergeCell ref="AH101:CB103"/>
    <mergeCell ref="D111:F111"/>
    <mergeCell ref="AA111:AF111"/>
    <mergeCell ref="BE109:BP109"/>
    <mergeCell ref="BQ109:CB109"/>
    <mergeCell ref="D108:F108"/>
    <mergeCell ref="AA108:AF108"/>
    <mergeCell ref="AG108:AR108"/>
    <mergeCell ref="AS108:BD108"/>
    <mergeCell ref="BE108:BP108"/>
    <mergeCell ref="BQ108:CB108"/>
    <mergeCell ref="D109:F109"/>
    <mergeCell ref="AA109:AF109"/>
    <mergeCell ref="AG112:AR112"/>
    <mergeCell ref="AS112:BD112"/>
    <mergeCell ref="AG109:AR109"/>
    <mergeCell ref="AS109:BD109"/>
    <mergeCell ref="AG111:AR111"/>
    <mergeCell ref="AS111:BD111"/>
    <mergeCell ref="BE112:BP112"/>
    <mergeCell ref="BQ112:CB112"/>
    <mergeCell ref="D113:F113"/>
    <mergeCell ref="AA113:AF113"/>
    <mergeCell ref="AG113:AR113"/>
    <mergeCell ref="AS113:BD113"/>
    <mergeCell ref="BE113:BP113"/>
    <mergeCell ref="BQ113:CB113"/>
    <mergeCell ref="D112:F112"/>
    <mergeCell ref="AA112:AF112"/>
    <mergeCell ref="BE111:BP111"/>
    <mergeCell ref="BQ111:CB111"/>
    <mergeCell ref="D110:F110"/>
    <mergeCell ref="AA110:AF110"/>
    <mergeCell ref="AG110:AR110"/>
    <mergeCell ref="AS110:BD110"/>
    <mergeCell ref="BE110:BP110"/>
    <mergeCell ref="BQ110:CB110"/>
    <mergeCell ref="D117:F117"/>
    <mergeCell ref="AA117:AF117"/>
    <mergeCell ref="BE115:BP115"/>
    <mergeCell ref="BQ115:CB115"/>
    <mergeCell ref="D114:F114"/>
    <mergeCell ref="AA114:AF114"/>
    <mergeCell ref="AG114:AR114"/>
    <mergeCell ref="AS114:BD114"/>
    <mergeCell ref="BE114:BP114"/>
    <mergeCell ref="BQ114:CB114"/>
    <mergeCell ref="D115:F115"/>
    <mergeCell ref="AA115:AF115"/>
    <mergeCell ref="AG118:AR118"/>
    <mergeCell ref="AS118:BD118"/>
    <mergeCell ref="AG115:AR115"/>
    <mergeCell ref="AS115:BD115"/>
    <mergeCell ref="AG117:AR117"/>
    <mergeCell ref="AS117:BD117"/>
    <mergeCell ref="BE118:BP118"/>
    <mergeCell ref="BQ118:CB118"/>
    <mergeCell ref="D119:F119"/>
    <mergeCell ref="AA119:AF119"/>
    <mergeCell ref="AG119:AR119"/>
    <mergeCell ref="AS119:BD119"/>
    <mergeCell ref="BE119:BP119"/>
    <mergeCell ref="BQ119:CB119"/>
    <mergeCell ref="D118:F118"/>
    <mergeCell ref="AA118:AF118"/>
    <mergeCell ref="BE117:BP117"/>
    <mergeCell ref="BQ117:CB117"/>
    <mergeCell ref="D116:F116"/>
    <mergeCell ref="AA116:AF116"/>
    <mergeCell ref="AG116:AR116"/>
    <mergeCell ref="AS116:BD116"/>
    <mergeCell ref="BE116:BP116"/>
    <mergeCell ref="BQ116:CB116"/>
    <mergeCell ref="BE121:BP121"/>
    <mergeCell ref="BQ121:CB121"/>
    <mergeCell ref="D120:F120"/>
    <mergeCell ref="AA120:AF120"/>
    <mergeCell ref="AG120:AR120"/>
    <mergeCell ref="AS120:BD120"/>
    <mergeCell ref="BE120:BP120"/>
    <mergeCell ref="BQ120:CB120"/>
    <mergeCell ref="D121:F121"/>
    <mergeCell ref="AA121:AF121"/>
    <mergeCell ref="AG121:AR121"/>
    <mergeCell ref="AS121:BD121"/>
    <mergeCell ref="D165:H173"/>
    <mergeCell ref="I165:AG173"/>
    <mergeCell ref="AH165:CB173"/>
    <mergeCell ref="D127:F128"/>
    <mergeCell ref="G127:M128"/>
    <mergeCell ref="N127:Q128"/>
    <mergeCell ref="R127:X128"/>
    <mergeCell ref="Y127:AE128"/>
    <mergeCell ref="AF127:CB128"/>
    <mergeCell ref="D129:F160"/>
    <mergeCell ref="D163:CB163"/>
    <mergeCell ref="D164:H164"/>
    <mergeCell ref="I164:AG164"/>
    <mergeCell ref="AH164:CB164"/>
    <mergeCell ref="D174:H174"/>
    <mergeCell ref="I174:AG174"/>
    <mergeCell ref="AH174:CB174"/>
    <mergeCell ref="D175:H177"/>
    <mergeCell ref="I175:AG177"/>
    <mergeCell ref="AH175:CB177"/>
    <mergeCell ref="D188:CB188"/>
    <mergeCell ref="D189:H189"/>
    <mergeCell ref="I189:AG189"/>
    <mergeCell ref="AH189:CB189"/>
    <mergeCell ref="D178:H182"/>
    <mergeCell ref="S178:AG178"/>
    <mergeCell ref="AH178:CB178"/>
    <mergeCell ref="AH179:CB182"/>
    <mergeCell ref="D183:H185"/>
    <mergeCell ref="I183:AG185"/>
    <mergeCell ref="AH183:CB185"/>
    <mergeCell ref="D190:H196"/>
    <mergeCell ref="I190:AG196"/>
    <mergeCell ref="AH190:CB196"/>
    <mergeCell ref="D197:H197"/>
    <mergeCell ref="I197:AG197"/>
    <mergeCell ref="AH197:CB197"/>
    <mergeCell ref="AC232:CB232"/>
    <mergeCell ref="D229:CB229"/>
    <mergeCell ref="D230:H230"/>
    <mergeCell ref="I230:AB230"/>
    <mergeCell ref="AC230:CB230"/>
    <mergeCell ref="D198:H200"/>
    <mergeCell ref="S198:AG198"/>
    <mergeCell ref="AH198:CB198"/>
    <mergeCell ref="AH199:CB200"/>
    <mergeCell ref="D201:H201"/>
    <mergeCell ref="I201:AG201"/>
    <mergeCell ref="AH201:CB201"/>
    <mergeCell ref="D236:H236"/>
    <mergeCell ref="D235:H235"/>
    <mergeCell ref="I235:AB237"/>
    <mergeCell ref="AC235:CB237"/>
    <mergeCell ref="D237:H237"/>
    <mergeCell ref="D231:H231"/>
    <mergeCell ref="I231:AB231"/>
    <mergeCell ref="AC231:CB231"/>
    <mergeCell ref="D232:H232"/>
    <mergeCell ref="I232:AB232"/>
    <mergeCell ref="I233:AB233"/>
    <mergeCell ref="AC233:CB233"/>
    <mergeCell ref="D234:H234"/>
    <mergeCell ref="I234:AB234"/>
    <mergeCell ref="AC234:CB234"/>
    <mergeCell ref="D233:H233"/>
    <mergeCell ref="D272:H272"/>
    <mergeCell ref="I272:AG272"/>
    <mergeCell ref="D270:CB270"/>
    <mergeCell ref="D271:H271"/>
    <mergeCell ref="I271:AG271"/>
    <mergeCell ref="D273:H273"/>
    <mergeCell ref="I273:AG273"/>
    <mergeCell ref="AH271:CD271"/>
    <mergeCell ref="AH273:CD273"/>
    <mergeCell ref="AH272:CD272"/>
    <mergeCell ref="AH274:CD274"/>
    <mergeCell ref="D275:H275"/>
    <mergeCell ref="I275:AG275"/>
    <mergeCell ref="D276:H276"/>
    <mergeCell ref="I276:AG276"/>
    <mergeCell ref="AH275:CD275"/>
    <mergeCell ref="AH276:CD276"/>
    <mergeCell ref="D370:E370"/>
    <mergeCell ref="D371:E371"/>
    <mergeCell ref="D274:H274"/>
    <mergeCell ref="I274:AG274"/>
    <mergeCell ref="I310:AB310"/>
    <mergeCell ref="AC310:CB310"/>
    <mergeCell ref="D311:H311"/>
    <mergeCell ref="I311:AB311"/>
    <mergeCell ref="AC311:CB311"/>
    <mergeCell ref="D312:H312"/>
    <mergeCell ref="I312:AB312"/>
    <mergeCell ref="AC312:CB312"/>
    <mergeCell ref="D313:H313"/>
    <mergeCell ref="I313:AB315"/>
    <mergeCell ref="AC313:CB315"/>
    <mergeCell ref="D314:H314"/>
    <mergeCell ref="D315:H315"/>
    <mergeCell ref="D277:H277"/>
    <mergeCell ref="D373:E373"/>
    <mergeCell ref="D375:E375"/>
    <mergeCell ref="D377:E377"/>
    <mergeCell ref="D378:E378"/>
    <mergeCell ref="D389:E390"/>
    <mergeCell ref="F389:Q390"/>
    <mergeCell ref="D382:E382"/>
    <mergeCell ref="D383:E383"/>
    <mergeCell ref="D384:E384"/>
    <mergeCell ref="D385:E385"/>
    <mergeCell ref="D386:E386"/>
    <mergeCell ref="D387:E387"/>
    <mergeCell ref="D307:CB307"/>
    <mergeCell ref="D308:H308"/>
    <mergeCell ref="I308:AB308"/>
    <mergeCell ref="AC308:CB308"/>
    <mergeCell ref="D309:H309"/>
    <mergeCell ref="I309:AB309"/>
    <mergeCell ref="AC309:CB309"/>
    <mergeCell ref="D310:H310"/>
    <mergeCell ref="AH277:CD277"/>
    <mergeCell ref="I277:AG277"/>
    <mergeCell ref="R389:AD390"/>
    <mergeCell ref="D475:CD476"/>
    <mergeCell ref="P479:CD482"/>
    <mergeCell ref="P483:CD486"/>
    <mergeCell ref="D491:J493"/>
    <mergeCell ref="P491:CD493"/>
    <mergeCell ref="F451:H451"/>
    <mergeCell ref="D372:E372"/>
    <mergeCell ref="D380:E380"/>
    <mergeCell ref="D381:E381"/>
    <mergeCell ref="D392:E392"/>
    <mergeCell ref="F392:Q392"/>
    <mergeCell ref="D393:E393"/>
    <mergeCell ref="BE455:BM455"/>
    <mergeCell ref="BN455:BV455"/>
    <mergeCell ref="D391:E391"/>
    <mergeCell ref="F449:H449"/>
    <mergeCell ref="I449:W449"/>
    <mergeCell ref="X449:AF449"/>
    <mergeCell ref="AG449:BD449"/>
    <mergeCell ref="BE449:BM449"/>
    <mergeCell ref="BN449:BV449"/>
    <mergeCell ref="F450:H450"/>
    <mergeCell ref="X450:AF450"/>
    <mergeCell ref="BE450:BM450"/>
    <mergeCell ref="D539:E539"/>
    <mergeCell ref="D512:CD514"/>
    <mergeCell ref="D518:E518"/>
    <mergeCell ref="D519:E519"/>
    <mergeCell ref="D520:E520"/>
    <mergeCell ref="D521:E521"/>
    <mergeCell ref="D525:E525"/>
    <mergeCell ref="D526:E526"/>
    <mergeCell ref="D527:E527"/>
    <mergeCell ref="D528:E528"/>
    <mergeCell ref="D533:CD535"/>
    <mergeCell ref="D394:E394"/>
    <mergeCell ref="X452:AF452"/>
    <mergeCell ref="BE452:BM452"/>
    <mergeCell ref="BN452:BV452"/>
    <mergeCell ref="F453:H453"/>
    <mergeCell ref="X453:AF453"/>
    <mergeCell ref="BE453:BM453"/>
    <mergeCell ref="F456:H456"/>
    <mergeCell ref="X456:AF456"/>
    <mergeCell ref="BE456:BM456"/>
    <mergeCell ref="BN456:BV456"/>
    <mergeCell ref="BN453:BV453"/>
    <mergeCell ref="AE389:CD390"/>
    <mergeCell ref="AC406:CD412"/>
    <mergeCell ref="AC413:CD418"/>
    <mergeCell ref="AC419:CD421"/>
    <mergeCell ref="AC422:CD424"/>
    <mergeCell ref="X451:AF451"/>
    <mergeCell ref="BE451:BM451"/>
    <mergeCell ref="BN451:BV451"/>
    <mergeCell ref="F452:H452"/>
    <mergeCell ref="BN450:BV450"/>
    <mergeCell ref="F461:H461"/>
    <mergeCell ref="X461:BD461"/>
    <mergeCell ref="BE461:BM461"/>
    <mergeCell ref="BN461:BV461"/>
    <mergeCell ref="D348:CB348"/>
    <mergeCell ref="D349:H349"/>
    <mergeCell ref="I349:AG349"/>
    <mergeCell ref="AH349:CD349"/>
    <mergeCell ref="D350:H350"/>
    <mergeCell ref="I350:AG350"/>
    <mergeCell ref="AH350:CD350"/>
    <mergeCell ref="D351:H351"/>
    <mergeCell ref="I351:AG351"/>
    <mergeCell ref="AH351:CD351"/>
    <mergeCell ref="D352:H352"/>
    <mergeCell ref="I352:AG352"/>
    <mergeCell ref="AH352:CD352"/>
    <mergeCell ref="D355:H355"/>
    <mergeCell ref="I355:AG355"/>
    <mergeCell ref="AH355:CD355"/>
    <mergeCell ref="F457:H457"/>
    <mergeCell ref="X457:AF457"/>
    <mergeCell ref="BE457:BM457"/>
    <mergeCell ref="BN457:BV457"/>
    <mergeCell ref="D353:H353"/>
    <mergeCell ref="I353:AG353"/>
    <mergeCell ref="AH353:CD353"/>
    <mergeCell ref="D354:H354"/>
    <mergeCell ref="I354:AG354"/>
    <mergeCell ref="AH354:CD354"/>
    <mergeCell ref="F460:H460"/>
    <mergeCell ref="X460:AF460"/>
    <mergeCell ref="BE460:BM460"/>
    <mergeCell ref="BN460:BV460"/>
    <mergeCell ref="F458:H458"/>
    <mergeCell ref="X458:AF458"/>
    <mergeCell ref="BE458:BM458"/>
    <mergeCell ref="BN458:BV458"/>
    <mergeCell ref="F459:H459"/>
    <mergeCell ref="X459:BD459"/>
    <mergeCell ref="BE459:BM459"/>
    <mergeCell ref="BN459:BV459"/>
    <mergeCell ref="F454:H454"/>
    <mergeCell ref="X454:AF454"/>
    <mergeCell ref="BE454:BM454"/>
    <mergeCell ref="BN454:BV454"/>
    <mergeCell ref="F455:H455"/>
    <mergeCell ref="X455:AF455"/>
  </mergeCells>
  <phoneticPr fontId="21"/>
  <pageMargins left="0.59055118110236227" right="0.59055118110236227" top="0.59055118110236227" bottom="0" header="0.43307086614173229" footer="0"/>
  <pageSetup paperSize="9" fitToHeight="0" orientation="landscape" r:id="rId1"/>
  <headerFooter alignWithMargins="0">
    <oddHeader>&amp;R
（&amp;P　／　&amp;N）　　　　　　　　　</oddHeader>
    <oddFooter>&amp;L&amp;9Copyright c 2014 The Japan Research Institute, Limited.</oddFooter>
  </headerFooter>
  <rowBreaks count="14" manualBreakCount="14">
    <brk id="45" max="82" man="1"/>
    <brk id="84" max="82" man="1"/>
    <brk id="122" max="82" man="1"/>
    <brk id="161" max="82" man="1"/>
    <brk id="201" max="82" man="1"/>
    <brk id="240" max="82" man="1"/>
    <brk id="279" max="82" man="1"/>
    <brk id="318" max="82" man="1"/>
    <brk id="357" max="82" man="1"/>
    <brk id="394" max="82" man="1"/>
    <brk id="433" max="82" man="1"/>
    <brk id="472" max="82" man="1"/>
    <brk id="509" max="82" man="1"/>
    <brk id="546"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11</vt:i4>
      </vt:variant>
    </vt:vector>
  </HeadingPairs>
  <TitlesOfParts>
    <vt:vector size="17" baseType="lpstr">
      <vt:lpstr>表紙</vt:lpstr>
      <vt:lpstr>目次</vt:lpstr>
      <vt:lpstr>更新履歴</vt:lpstr>
      <vt:lpstr>1. 本番環境</vt:lpstr>
      <vt:lpstr>2. 研修環境</vt:lpstr>
      <vt:lpstr>3. 開発環境</vt:lpstr>
      <vt:lpstr>'1. 本番環境'!Print_Area</vt:lpstr>
      <vt:lpstr>'2. 研修環境'!Print_Area</vt:lpstr>
      <vt:lpstr>'3. 開発環境'!Print_Area</vt:lpstr>
      <vt:lpstr>更新履歴!Print_Area</vt:lpstr>
      <vt:lpstr>表紙!Print_Area</vt:lpstr>
      <vt:lpstr>目次!Print_Area</vt:lpstr>
      <vt:lpstr>'1. 本番環境'!Print_Titles</vt:lpstr>
      <vt:lpstr>'2. 研修環境'!Print_Titles</vt:lpstr>
      <vt:lpstr>'3. 開発環境'!Print_Titles</vt:lpstr>
      <vt:lpstr>更新履歴!Print_Titles</vt:lpstr>
      <vt:lpstr>目次!Print_Titles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菊地 秀夫-MSYS</cp:lastModifiedBy>
  <cp:lastPrinted>2019-01-11T11:15:24Z</cp:lastPrinted>
  <dcterms:created xsi:type="dcterms:W3CDTF">2011-04-04T11:03:30Z</dcterms:created>
  <dcterms:modified xsi:type="dcterms:W3CDTF">2019-06-30T15:16:22Z</dcterms:modified>
</cp:coreProperties>
</file>