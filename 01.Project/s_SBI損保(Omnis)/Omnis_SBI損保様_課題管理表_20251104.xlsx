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revisions/revisionHeaders.xml" ContentType="application/vnd.openxmlformats-officedocument.spreadsheetml.revisionHeaders+xml"/>
  <Override PartName="/xl/revisions/revisionLog9.xml" ContentType="application/vnd.openxmlformats-officedocument.spreadsheetml.revisionLog+xml"/>
  <Override PartName="/xl/revisions/userNames.xml" ContentType="application/vnd.openxmlformats-officedocument.spreadsheetml.userNames+xml"/>
  <Override PartName="/docProps/core.xml" ContentType="application/vnd.openxmlformats-package.core-properties+xml"/>
  <Override PartName="/docProps/app.xml" ContentType="application/vnd.openxmlformats-officedocument.extended-properties+xml"/>
  <Override PartName="/xl/revisions/revisionLog8.xml" ContentType="application/vnd.openxmlformats-officedocument.spreadsheetml.revisionLog+xml"/>
  <Override PartName="/xl/revisions/revisionLog3.xml" ContentType="application/vnd.openxmlformats-officedocument.spreadsheetml.revisionLog+xml"/>
  <Override PartName="/xl/revisions/revisionLog7.xml" ContentType="application/vnd.openxmlformats-officedocument.spreadsheetml.revisionLog+xml"/>
  <Override PartName="/xl/revisions/revisionLog2.xml" ContentType="application/vnd.openxmlformats-officedocument.spreadsheetml.revisionLog+xml"/>
  <Override PartName="/xl/revisions/revisionLog1.xml" ContentType="application/vnd.openxmlformats-officedocument.spreadsheetml.revisionLog+xml"/>
  <Override PartName="/xl/revisions/revisionLog6.xml" ContentType="application/vnd.openxmlformats-officedocument.spreadsheetml.revisionLog+xml"/>
  <Override PartName="/xl/revisions/revisionLog5.xml" ContentType="application/vnd.openxmlformats-officedocument.spreadsheetml.revisionLog+xml"/>
  <Override PartName="/xl/revisions/revisionLog4.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Z:\C90A\個人用\Omnis\510_構築_標準導入\450_SBI損保\020_キャプチャーサーバ構築\02.課題管理表\"/>
    </mc:Choice>
  </mc:AlternateContent>
  <xr:revisionPtr revIDLastSave="0" documentId="13_ncr:81_{88A8D415-FDBE-4E87-B35D-0A82DAD23EED}" xr6:coauthVersionLast="47" xr6:coauthVersionMax="47" xr10:uidLastSave="{00000000-0000-0000-0000-000000000000}"/>
  <bookViews>
    <workbookView xWindow="-120" yWindow="-120" windowWidth="29040" windowHeight="17520" xr2:uid="{00000000-000D-0000-FFFF-FFFF00000000}"/>
  </bookViews>
  <sheets>
    <sheet name="Animo" sheetId="1" r:id="rId1"/>
  </sheets>
  <definedNames>
    <definedName name="Z_04E92500_75E2_4221_A5A5_64FBD2AE3328_.wvu.Rows" localSheetId="0" hidden="1">Animo!$2:$2,Animo!$4:$4,Animo!$7:$9,Animo!$11:$14,Animo!$17:$19</definedName>
  </definedNames>
  <calcPr calcId="191029"/>
  <customWorkbookViews>
    <customWorkbookView name="梅村 光雄 - 個人用ビュー" guid="{889DFE70-51E2-4577-A223-B91FC2FEDECF}" mergeInterval="0" personalView="1" maximized="1" xWindow="-8" yWindow="-8" windowWidth="1936" windowHeight="1168" activeSheetId="1"/>
    <customWorkbookView name="嶋本 行宏 - 個人用ビュー" guid="{0415A62C-54AA-40EC-B028-BE5A94400362}" mergeInterval="0" personalView="1" maximized="1" xWindow="-8" yWindow="-8" windowWidth="1936" windowHeight="1056" activeSheetId="1"/>
    <customWorkbookView name="森 隆之-MSYS - 個人用ビュー" guid="{AD867224-8E89-490F-B854-C8FC5124F921}" mergeInterval="0" personalView="1" maximized="1" xWindow="-8" yWindow="-8" windowWidth="1936" windowHeight="1056" activeSheetId="2"/>
    <customWorkbookView name="樋口 健一郎-MSYS - 個人用ビュー" guid="{0E517E32-69EF-4442-8249-0D1EE6DA2220}" mergeInterval="0" personalView="1" maximized="1" xWindow="-8" yWindow="-8" windowWidth="1936" windowHeight="1056" activeSheetId="1"/>
    <customWorkbookView name="梅村 光雄-MSYS - 個人用ビュー" guid="{C9438993-DB8D-4549-B5BC-3BED215A5292}" mergeInterval="0" personalView="1" maximized="1" xWindow="-8" yWindow="-8" windowWidth="1936" windowHeight="1056" activeSheetId="2"/>
    <customWorkbookView name="小林 陽一 - 個人用ビュー" guid="{04E92500-75E2-4221-A5A5-64FBD2AE3328}" mergeInterval="0" personalView="1" xWindow="71" yWindow="26" windowWidth="1678" windowHeight="956"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1" l="1"/>
  <c r="A5" i="1"/>
  <c r="A6" i="1"/>
  <c r="A7" i="1"/>
  <c r="A8" i="1"/>
  <c r="A9" i="1"/>
  <c r="A10" i="1"/>
  <c r="A11" i="1"/>
  <c r="A12" i="1"/>
  <c r="A13" i="1"/>
  <c r="A14" i="1"/>
  <c r="A15" i="1"/>
  <c r="A16" i="1"/>
  <c r="A17" i="1"/>
  <c r="A18" i="1"/>
  <c r="A19" i="1"/>
  <c r="A20" i="1"/>
  <c r="A21" i="1"/>
  <c r="A22" i="1"/>
  <c r="A23" i="1"/>
  <c r="A24" i="1"/>
  <c r="A25" i="1"/>
  <c r="A27" i="1" l="1"/>
  <c r="A26" i="1"/>
  <c r="A2" i="1"/>
  <c r="A3" i="1" l="1"/>
</calcChain>
</file>

<file path=xl/sharedStrings.xml><?xml version="1.0" encoding="utf-8"?>
<sst xmlns="http://schemas.openxmlformats.org/spreadsheetml/2006/main" count="128" uniqueCount="77">
  <si>
    <t>No</t>
    <phoneticPr fontId="1"/>
  </si>
  <si>
    <t>ステータス</t>
    <phoneticPr fontId="1"/>
  </si>
  <si>
    <t>MBI小林</t>
    <rPh sb="3" eb="5">
      <t>コバヤシ</t>
    </rPh>
    <phoneticPr fontId="1"/>
  </si>
  <si>
    <t>項目</t>
    <rPh sb="0" eb="2">
      <t>コウモク</t>
    </rPh>
    <phoneticPr fontId="1"/>
  </si>
  <si>
    <t>済み</t>
  </si>
  <si>
    <t>Animoインストールモジュール
手順書
ライセンス</t>
    <rPh sb="17" eb="20">
      <t>テジュンショ</t>
    </rPh>
    <phoneticPr fontId="1"/>
  </si>
  <si>
    <t>東京DC用２台、大阪DC用１台構築準備</t>
    <rPh sb="0" eb="2">
      <t>トウキョウ</t>
    </rPh>
    <rPh sb="4" eb="5">
      <t>ヨウ</t>
    </rPh>
    <rPh sb="6" eb="7">
      <t>ダイ</t>
    </rPh>
    <rPh sb="8" eb="10">
      <t>オオサカ</t>
    </rPh>
    <rPh sb="12" eb="13">
      <t>ヨウ</t>
    </rPh>
    <rPh sb="14" eb="15">
      <t>ダイ</t>
    </rPh>
    <rPh sb="15" eb="17">
      <t>コウチク</t>
    </rPh>
    <rPh sb="17" eb="19">
      <t>ジュンビ</t>
    </rPh>
    <phoneticPr fontId="1"/>
  </si>
  <si>
    <t>2025/9/24
2025/9/29</t>
    <phoneticPr fontId="1"/>
  </si>
  <si>
    <t>待ち</t>
  </si>
  <si>
    <t>東京DC構築用パラメータ情報</t>
    <rPh sb="0" eb="2">
      <t>トウキョウ</t>
    </rPh>
    <rPh sb="4" eb="7">
      <t>コウチクヨウ</t>
    </rPh>
    <rPh sb="12" eb="14">
      <t>ジョウホウ</t>
    </rPh>
    <phoneticPr fontId="1"/>
  </si>
  <si>
    <t>東京DC納品スケジュール</t>
    <rPh sb="0" eb="2">
      <t>トウキョウ</t>
    </rPh>
    <rPh sb="4" eb="6">
      <t>ノウヒン</t>
    </rPh>
    <phoneticPr fontId="1"/>
  </si>
  <si>
    <t>保留</t>
  </si>
  <si>
    <t>故障HDD返却</t>
    <phoneticPr fontId="1"/>
  </si>
  <si>
    <t>Omnisサーバー機器用意</t>
    <rPh sb="9" eb="11">
      <t>キキ</t>
    </rPh>
    <rPh sb="11" eb="13">
      <t>ヨウイ</t>
    </rPh>
    <phoneticPr fontId="1"/>
  </si>
  <si>
    <t>納品時のKVM貸与</t>
    <rPh sb="0" eb="3">
      <t>ノウヒンジ</t>
    </rPh>
    <rPh sb="7" eb="9">
      <t>タイヨ</t>
    </rPh>
    <phoneticPr fontId="1"/>
  </si>
  <si>
    <t>通録アプリケーション準備</t>
    <rPh sb="0" eb="2">
      <t>ツウロク</t>
    </rPh>
    <rPh sb="10" eb="12">
      <t>ジュンビ</t>
    </rPh>
    <phoneticPr fontId="1"/>
  </si>
  <si>
    <t>ANIMO分割構成での挙動に関しての質問</t>
    <rPh sb="5" eb="9">
      <t>ブンカツコウセイ</t>
    </rPh>
    <rPh sb="11" eb="13">
      <t>キョドウ</t>
    </rPh>
    <rPh sb="14" eb="15">
      <t>カン</t>
    </rPh>
    <rPh sb="18" eb="20">
      <t>シツモン</t>
    </rPh>
    <phoneticPr fontId="1"/>
  </si>
  <si>
    <t>Animo質疑応答</t>
    <rPh sb="5" eb="9">
      <t>シツギオウトウ</t>
    </rPh>
    <phoneticPr fontId="1"/>
  </si>
  <si>
    <t>サーバー機器DC搬入</t>
    <rPh sb="4" eb="6">
      <t>キキ</t>
    </rPh>
    <rPh sb="8" eb="10">
      <t>ハンニュウ</t>
    </rPh>
    <phoneticPr fontId="1"/>
  </si>
  <si>
    <t>ANIMO岩井様</t>
    <rPh sb="5" eb="8">
      <t>イワイサマ</t>
    </rPh>
    <phoneticPr fontId="1"/>
  </si>
  <si>
    <t>構築パラメータシート</t>
    <rPh sb="0" eb="2">
      <t>コウチク</t>
    </rPh>
    <phoneticPr fontId="1"/>
  </si>
  <si>
    <t>MBIで入れ替えた故障HDDのMSYSへの返却</t>
    <rPh sb="4" eb="5">
      <t>イ</t>
    </rPh>
    <rPh sb="6" eb="7">
      <t>カ</t>
    </rPh>
    <rPh sb="9" eb="11">
      <t>コショウ</t>
    </rPh>
    <rPh sb="21" eb="23">
      <t>ヘンキャク</t>
    </rPh>
    <phoneticPr fontId="1"/>
  </si>
  <si>
    <t>構築見積</t>
    <rPh sb="0" eb="4">
      <t>コウチクミツ</t>
    </rPh>
    <phoneticPr fontId="1"/>
  </si>
  <si>
    <t>発注</t>
    <rPh sb="0" eb="2">
      <t>ハッチュウ</t>
    </rPh>
    <phoneticPr fontId="1"/>
  </si>
  <si>
    <t>MBI野口</t>
    <rPh sb="3" eb="5">
      <t>ノグチ</t>
    </rPh>
    <phoneticPr fontId="1"/>
  </si>
  <si>
    <t>2025/10/3
2025/10/1
2025/10/2</t>
    <phoneticPr fontId="1"/>
  </si>
  <si>
    <t>サーバー構築発注</t>
    <rPh sb="4" eb="6">
      <t>コウチク</t>
    </rPh>
    <rPh sb="6" eb="8">
      <t>ハッチュウ</t>
    </rPh>
    <phoneticPr fontId="1"/>
  </si>
  <si>
    <t>起票日</t>
    <rPh sb="0" eb="2">
      <t>キヒョウ</t>
    </rPh>
    <rPh sb="2" eb="3">
      <t>ビ</t>
    </rPh>
    <phoneticPr fontId="1"/>
  </si>
  <si>
    <t>起票者</t>
    <rPh sb="0" eb="2">
      <t>キヒョウ</t>
    </rPh>
    <rPh sb="2" eb="3">
      <t>シャ</t>
    </rPh>
    <phoneticPr fontId="1"/>
  </si>
  <si>
    <t>課題内容</t>
    <rPh sb="0" eb="2">
      <t>カダイ</t>
    </rPh>
    <rPh sb="2" eb="4">
      <t>ナイヨウ</t>
    </rPh>
    <phoneticPr fontId="1"/>
  </si>
  <si>
    <t>対応期限</t>
    <rPh sb="0" eb="2">
      <t>タイオウ</t>
    </rPh>
    <rPh sb="2" eb="4">
      <t>キゲン</t>
    </rPh>
    <phoneticPr fontId="1"/>
  </si>
  <si>
    <t>対応日</t>
    <rPh sb="0" eb="2">
      <t>タイオウ</t>
    </rPh>
    <rPh sb="2" eb="3">
      <t>ヒ</t>
    </rPh>
    <phoneticPr fontId="1"/>
  </si>
  <si>
    <t>対応者</t>
    <rPh sb="0" eb="2">
      <t>タイオウ</t>
    </rPh>
    <rPh sb="2" eb="3">
      <t>シャ</t>
    </rPh>
    <phoneticPr fontId="1"/>
  </si>
  <si>
    <t>備考</t>
    <rPh sb="0" eb="2">
      <t>ビコウ</t>
    </rPh>
    <phoneticPr fontId="1"/>
  </si>
  <si>
    <t>①『VoiceTrackingManager構築手順書（64bitOS_PosgtreSQL)(V3.19).docx』に
「パブリッシャの同期対象のテーブル（エージェント、ユーザ、ロール、グループ）」
　とあります通り、「ステーション」情報は同期対象ではなく、VTRecServer 側のDB
　で管理されます。
　⇒ご認識のとおりです。
②VTRecServer のwav データは通話終了のタイミングで VTManager の dataフォルダ下
　へデータ変換されて移ります。
　が、VTRecServer の dataフォルダ にはデータが移りません。
　⇒他案件でもこの設定でしょうか。
　　通話録音として利用する訳ではなく、キャプチャサーバとして
　　利用するだけですので、
　　VTManagerのdataフォルダに保存する必要はない認識です。
③VTRecServer.ini の PrimaryServerURL=http://x.x.x.x/api/call　でOmnis への
　データアップロード先が決まりますが、VTManager  に集約された dataファルダ下のデータ
　はアップロード対象となりますでしょうか。
　（検証環境にOmnisが無いものでアップロード確認がとれてません）
　⇒VTManagerのdataフォルダに保存するか否かは関係ありません。
　　PrimaryServerURLに指定したURLへリアルタイムで音声が
　　送信されます。
④もし、③でVTManager  に集約された dataファルダ下のデータはアップロード対象とはならず、
　VTRecServer の dataファルダ下のデータがアップロード対象となる場合は、
　VTRecServer.ini の ContainsVTServer=1 と設定することで VTRecServer の dataフォルダ
　にも(通録)データが残ります。
　⇒他案件ではContainsVTServer=1で設定しているのでしょうか。
⑤SBI損害保険様の東京DCにVTManagerとVTRecServerを設置し、
　大阪DCにVTRecServer2を設置予定となっております。
　この場合、VTManagerでエージェント、ユーザ、ロール、グループを共有管理、
　（現運用ではユーザroot/ロールadminのみを使用）
　VTRecServerとVTRecServer2で個々にステーション管理を行い、
　VTRecServerで通録されたwavデータは、VTManagerのdataへ集約されて送られ、
　Omnis(PrimaryServerURL)へはVTRecServerより個別にアップロードされますでしょうか。
　⇒個別にステーション管理を行なう必要があります。
　　それぞれのVTRecServerから送信されます。</t>
    <phoneticPr fontId="1"/>
  </si>
  <si>
    <t>Animo質疑応答(2)</t>
    <rPh sb="5" eb="9">
      <t>シツギオウトウ</t>
    </rPh>
    <phoneticPr fontId="1"/>
  </si>
  <si>
    <t>ANIMO分割構成での挙動に関しての質問(2)</t>
    <rPh sb="5" eb="9">
      <t>ブンカツコウセイ</t>
    </rPh>
    <rPh sb="11" eb="13">
      <t>キョドウ</t>
    </rPh>
    <rPh sb="14" eb="15">
      <t>カン</t>
    </rPh>
    <rPh sb="18" eb="20">
      <t>シツモン</t>
    </rPh>
    <phoneticPr fontId="1"/>
  </si>
  <si>
    <t>通録の音声保存期間</t>
    <phoneticPr fontId="1"/>
  </si>
  <si>
    <t>通録の音声保存期間は1カ月間としたく31日間で設定。</t>
    <phoneticPr fontId="1"/>
  </si>
  <si>
    <t>2025/10/20週への納品予定のリスケ提示</t>
    <rPh sb="10" eb="11">
      <t>シュウ</t>
    </rPh>
    <rPh sb="13" eb="17">
      <t>ノウヒンヨテイ</t>
    </rPh>
    <rPh sb="21" eb="23">
      <t>テイジ</t>
    </rPh>
    <phoneticPr fontId="1"/>
  </si>
  <si>
    <t>運搬業者を使用してのDCサーバー受け入れの可否</t>
    <rPh sb="0" eb="4">
      <t>ウンパンギョウシャ</t>
    </rPh>
    <rPh sb="5" eb="7">
      <t>シヨウ</t>
    </rPh>
    <rPh sb="16" eb="17">
      <t>ウ</t>
    </rPh>
    <rPh sb="18" eb="19">
      <t>イ</t>
    </rPh>
    <rPh sb="21" eb="23">
      <t>カヒ</t>
    </rPh>
    <phoneticPr fontId="1"/>
  </si>
  <si>
    <t>DCにてKeyboardVideomonitorMouse２セット用意の確認</t>
    <rPh sb="36" eb="38">
      <t>カクニン</t>
    </rPh>
    <phoneticPr fontId="1"/>
  </si>
  <si>
    <t>2025/10/3
2025/10/6</t>
    <phoneticPr fontId="1"/>
  </si>
  <si>
    <t>通録250内線超過確認</t>
    <rPh sb="5" eb="7">
      <t>ナイセン</t>
    </rPh>
    <rPh sb="7" eb="11">
      <t>チョウカカクニン</t>
    </rPh>
    <phoneticPr fontId="1"/>
  </si>
  <si>
    <t>東京DC　VTRecServer 通録ライセンスはPoc用（80内線まで通録可能）のため250内線を超えてサービスが切り替わるか（～450）未確認</t>
    <phoneticPr fontId="1"/>
  </si>
  <si>
    <t>サーバー機器OS正規版設定</t>
    <rPh sb="4" eb="6">
      <t>キキ</t>
    </rPh>
    <rPh sb="8" eb="10">
      <t>セイキ</t>
    </rPh>
    <rPh sb="10" eb="11">
      <t>バン</t>
    </rPh>
    <rPh sb="11" eb="13">
      <t>セッテイ</t>
    </rPh>
    <phoneticPr fontId="1"/>
  </si>
  <si>
    <t>Windows Server 2025正規版へアップグレード（３台）</t>
    <phoneticPr fontId="1"/>
  </si>
  <si>
    <t>現地本番にて確認</t>
    <rPh sb="0" eb="2">
      <t>ゲンチ</t>
    </rPh>
    <rPh sb="2" eb="4">
      <t>ホンバン</t>
    </rPh>
    <rPh sb="6" eb="8">
      <t>カクニン</t>
    </rPh>
    <phoneticPr fontId="1"/>
  </si>
  <si>
    <t>25/09/26 （平松）
提示完了</t>
    <rPh sb="10" eb="12">
      <t>ヒラマツ</t>
    </rPh>
    <rPh sb="14" eb="16">
      <t>テイジ</t>
    </rPh>
    <rPh sb="16" eb="18">
      <t>カンリョウ</t>
    </rPh>
    <phoneticPr fontId="1"/>
  </si>
  <si>
    <t>25/10/07(平松）
発注完了</t>
    <rPh sb="13" eb="15">
      <t>ハッチュウ</t>
    </rPh>
    <rPh sb="15" eb="17">
      <t>カンリョウ</t>
    </rPh>
    <phoneticPr fontId="1"/>
  </si>
  <si>
    <t>25/10/07(平松）
10/01、10/03にいずれも提示いただきました。</t>
    <rPh sb="29" eb="31">
      <t>テイジ</t>
    </rPh>
    <phoneticPr fontId="1"/>
  </si>
  <si>
    <t>25/10/07(平松）
平松回答済のためクローズ。</t>
    <rPh sb="13" eb="15">
      <t>ヒラマツ</t>
    </rPh>
    <rPh sb="15" eb="17">
      <t>カイトウ</t>
    </rPh>
    <rPh sb="17" eb="18">
      <t>スミ</t>
    </rPh>
    <phoneticPr fontId="1"/>
  </si>
  <si>
    <t>MSYS平松</t>
    <rPh sb="4" eb="6">
      <t>ヒラマツ</t>
    </rPh>
    <phoneticPr fontId="1"/>
  </si>
  <si>
    <t>MSYS梅村</t>
    <rPh sb="4" eb="6">
      <t>ウメムラ</t>
    </rPh>
    <phoneticPr fontId="1"/>
  </si>
  <si>
    <t>各サーバに搭載しているiLOのバージョンをご教示いただけますでしょうか。</t>
    <rPh sb="0" eb="1">
      <t>カク</t>
    </rPh>
    <rPh sb="5" eb="7">
      <t>トウサイ</t>
    </rPh>
    <rPh sb="22" eb="24">
      <t>キョウジ</t>
    </rPh>
    <phoneticPr fontId="1"/>
  </si>
  <si>
    <t>iLOバージョン</t>
    <phoneticPr fontId="1"/>
  </si>
  <si>
    <t>本番用設定</t>
    <phoneticPr fontId="1"/>
  </si>
  <si>
    <t>東京DC　Poc設定</t>
    <rPh sb="8" eb="10">
      <t>セッテイ</t>
    </rPh>
    <phoneticPr fontId="1"/>
  </si>
  <si>
    <t>パラメータシート待ち</t>
    <rPh sb="8" eb="9">
      <t>マ</t>
    </rPh>
    <phoneticPr fontId="1"/>
  </si>
  <si>
    <t>MBIタスクのため回答不要</t>
  </si>
  <si>
    <t>MBIタスクのため回答不要</t>
    <rPh sb="9" eb="11">
      <t>カイトウ</t>
    </rPh>
    <rPh sb="11" eb="13">
      <t>フヨウ</t>
    </rPh>
    <phoneticPr fontId="1"/>
  </si>
  <si>
    <t>サーバー梱包材は後日、故障HDDと共に
御社へご返却申し上げます。</t>
    <phoneticPr fontId="1"/>
  </si>
  <si>
    <t>ファームウェアは３台共通で
iLO 5　3.14 Jun 16 2025
※iLO SNMP障害テストはアプリ監視AnimoLogmon試験の際に確認済みです。</t>
    <rPh sb="9" eb="12">
      <t>ダイキョウツウ</t>
    </rPh>
    <rPh sb="47" eb="49">
      <t>ショウガイ</t>
    </rPh>
    <rPh sb="56" eb="58">
      <t>カンシ</t>
    </rPh>
    <rPh sb="69" eb="71">
      <t>シケン</t>
    </rPh>
    <rPh sb="72" eb="73">
      <t>サイ</t>
    </rPh>
    <rPh sb="74" eb="77">
      <t>カクニンズ</t>
    </rPh>
    <phoneticPr fontId="1"/>
  </si>
  <si>
    <t>⑥VTManagerとVTRecServerの分離構成でも
VTRecServerにVTManagerのモジュールをインストール稼働
させておりますが、一体型とパフォーマンスは変わるもの
なのでしょうか。
⇒大きく変わりません。
変わらないようなスペックのサーバにして頂いています。</t>
    <phoneticPr fontId="1"/>
  </si>
  <si>
    <t xml:space="preserve">25/10/09（平松）
イクイニックスの各階に貸出用KVMが2台あるが、
必ず利用できるわけではないため、MBIには1セット持参いただきたくことは可能でしょうか。
2台あれば効率良いとのことですので、貸出用が利用できる場合は、それを利用ください。
⇒(2025/10/10MB返答)携帯用の簡易KVMを持参します。
⇒（2025/10/14MSYS平松)
お手数をおかけいたしますがご対応よろしくお願いいたします。
</t>
    <rPh sb="74" eb="76">
      <t>カノウ</t>
    </rPh>
    <rPh sb="139" eb="141">
      <t>ヘントウ</t>
    </rPh>
    <rPh sb="142" eb="145">
      <t>ケイタイヨウ</t>
    </rPh>
    <rPh sb="146" eb="148">
      <t>カンイ</t>
    </rPh>
    <rPh sb="152" eb="154">
      <t>ジサン</t>
    </rPh>
    <rPh sb="180" eb="182">
      <t>テスウ</t>
    </rPh>
    <rPh sb="193" eb="195">
      <t>タイオウ</t>
    </rPh>
    <rPh sb="200" eb="201">
      <t>ネガ</t>
    </rPh>
    <phoneticPr fontId="1"/>
  </si>
  <si>
    <t>キャプチャサーバ設定値確認</t>
    <rPh sb="8" eb="10">
      <t>セッテイ</t>
    </rPh>
    <rPh sb="10" eb="11">
      <t>チ</t>
    </rPh>
    <rPh sb="11" eb="13">
      <t>カクニン</t>
    </rPh>
    <phoneticPr fontId="1"/>
  </si>
  <si>
    <t>StationMonitor.iniのDBTypeは「1]に設定されているでしょうか？</t>
    <rPh sb="30" eb="32">
      <t>セッテイ</t>
    </rPh>
    <phoneticPr fontId="1"/>
  </si>
  <si>
    <t>　　StationMonitor.ini　DBType=1
　デフォルト値となっており、そのまま使用させて頂いております。</t>
    <phoneticPr fontId="1"/>
  </si>
  <si>
    <t>VTRecServer.iniのSetStartCallInfoは「1]に設定されているでしょうか？</t>
    <rPh sb="37" eb="39">
      <t>セッテイ</t>
    </rPh>
    <phoneticPr fontId="1"/>
  </si>
  <si>
    <t>;録音開始時の呼情報(発信者番号やダイヤル番号など)送信(0:無効、1:有効、デフォルト0)
SetStartCallInfo=1 としております。</t>
    <phoneticPr fontId="1"/>
  </si>
  <si>
    <t>Windows Server 2025購入待ち
インストール済み</t>
    <rPh sb="19" eb="22">
      <t>コウニュウマ</t>
    </rPh>
    <rPh sb="31" eb="32">
      <t>ズ</t>
    </rPh>
    <phoneticPr fontId="1"/>
  </si>
  <si>
    <t>Animo質疑応答(3)</t>
    <rPh sb="5" eb="9">
      <t>シツギオウトウ</t>
    </rPh>
    <phoneticPr fontId="1"/>
  </si>
  <si>
    <r>
      <t xml:space="preserve">Windows Server 2025 見積
東京DC用サーバー構築見積
</t>
    </r>
    <r>
      <rPr>
        <strike/>
        <sz val="11"/>
        <rFont val="ＭＳ Ｐゴシック"/>
        <family val="3"/>
        <charset val="128"/>
      </rPr>
      <t>大阪DC用サーバー構築見積</t>
    </r>
    <r>
      <rPr>
        <sz val="11"/>
        <rFont val="ＭＳ Ｐゴシック"/>
        <family val="3"/>
        <charset val="128"/>
      </rPr>
      <t xml:space="preserve">
→PoC用課題管理表のため、削除しました。</t>
    </r>
    <rPh sb="20" eb="22">
      <t>ミツモリ</t>
    </rPh>
    <rPh sb="23" eb="25">
      <t>トウキョウ</t>
    </rPh>
    <rPh sb="27" eb="28">
      <t>ヨウ</t>
    </rPh>
    <rPh sb="32" eb="36">
      <t>コウチクミツ</t>
    </rPh>
    <rPh sb="37" eb="39">
      <t>オオサカ</t>
    </rPh>
    <rPh sb="41" eb="42">
      <t>ヨウ</t>
    </rPh>
    <rPh sb="46" eb="50">
      <t>コウチクミツ</t>
    </rPh>
    <rPh sb="55" eb="56">
      <t>ヨウ</t>
    </rPh>
    <rPh sb="56" eb="61">
      <t>カダイカンリヒョウ</t>
    </rPh>
    <rPh sb="65" eb="67">
      <t>サクジョ</t>
    </rPh>
    <phoneticPr fontId="1"/>
  </si>
  <si>
    <r>
      <t xml:space="preserve">➉SBI損保様大阪DCの通録サーバーを先行構築しておりまして、
　CreateSubscription.bat　実行時に
　CreateSubscription.log　で
　「ERROR:  could not create replication slot "agent_user_role_group_sub_vtrecserver2": ERROR:  replication slot "agent_user_role_group_sub_vtrecserver2" already exists」
　というエラーが出たあと、
　VoiceTracking Managerへのログイン時に
　　root
　　••••••••（password）
　ユーザIDまたはパスワードが間違っています
　とエラーになってしまいます。（初期パスワードから変更しておりません）
　なにか救済措置はないでしょうか。
　vs_config.xmlにあります
    &lt;!-- 強制ログインユーザー --&gt;
    &lt;Extension_User_Name_Data&gt;
        &lt;user&gt;VTConnector&lt;/user&gt;
        &lt;user&gt;VTWebKeepAlive&lt;/user&gt;
　こちらのパスワードをお教え頂くわけにはいかないでしょうか。
</t>
    </r>
    <r>
      <rPr>
        <sz val="11"/>
        <color rgb="FFFF0000"/>
        <rFont val="ＭＳ Ｐゴシック"/>
        <family val="3"/>
        <charset val="128"/>
      </rPr>
      <t>25/10/28（小林）
CreateSubscription.bat　ですが、
東京DC VTRecServerでは
@rem サブスクライバの識別子(サーバ毎に異なる値を設定する)
set SUBSCRIPTION_NAME=VTRecServer
大阪DC VTRecServer2では
@rem サブスクライバの識別子(サーバ毎に異なる値を設定する)
set SUBSCRIPTION_NAME=VTRecServer2
としておりました。
SUBSCRIPTION_NAMEに文字数制限はありますでしょうか？
ERROR:  replication slot "agent_user_role_group_sub_vtrecserver2" already exists
は既存の"agent_user_role_group_sub_vtrecserver"と重複するためエラーになったと考えられます。
結果、VoiceTracking Managerへのrootログインできなくなりました。
現在、（壊れてしまった？）rootユーザーを作成し直して、復旧させました。
SUBSCRIPTION_NAMEはRec01とRec02と短くして、再度DBのレプリケーションを行いました。</t>
    </r>
    <rPh sb="590" eb="592">
      <t>コバヤシ</t>
    </rPh>
    <phoneticPr fontId="1"/>
  </si>
  <si>
    <r>
      <t xml:space="preserve">25/10/10（梅村）
お客様からのIPアドレスの連携待ちのためそれまでお待ちください。
⇒（2025/10/14MSYS平松)
サーバ用のIPアドレスを受領しましたのでご連携いたします。
登録する内線についてはもう少々お待ちください。
①管理サーバ　　　　　　　　: 10.208.50.18
②管理サーバ iLO          : 10.208.50.19
③キャプチャーサーバ        : 10.208.50.251
④キャプチャーサーバ iLO   : 10.208.50.252
2025/10/15（平松）
Nic1(DATAポート）、iLO のデフォルトゲートウェイIP Addressの確認。
SNMPとOmnisのIP Addressの確認
NTP情報の確認
25/10/27（梅村）
パラメータシート追記しました。追記個所は以下の通りです。
154行目：SNMP IP
180行目：リアルプロセスURL
181行目：Omnis URL
182行目：OmnisユーザID/パスワード
25/10/28（野田）
梅村に代わり証明書のファイルを送付させていただきます。
</t>
    </r>
    <r>
      <rPr>
        <sz val="11"/>
        <color rgb="FFFF0000"/>
        <rFont val="ＭＳ Ｐゴシック"/>
        <family val="3"/>
        <charset val="128"/>
      </rPr>
      <t>25/11/4（梅村）残：NTP IPアドレス。内部課題管理#6</t>
    </r>
    <rPh sb="9" eb="11">
      <t>ウメムラ</t>
    </rPh>
    <rPh sb="14" eb="16">
      <t>キャクサマ</t>
    </rPh>
    <rPh sb="26" eb="28">
      <t>レンケイ</t>
    </rPh>
    <rPh sb="28" eb="29">
      <t>マ</t>
    </rPh>
    <rPh sb="38" eb="39">
      <t>マ</t>
    </rPh>
    <rPh sb="69" eb="70">
      <t>ヨウ</t>
    </rPh>
    <rPh sb="78" eb="80">
      <t>ジュリョウ</t>
    </rPh>
    <rPh sb="87" eb="89">
      <t>レンケイ</t>
    </rPh>
    <rPh sb="96" eb="98">
      <t>トウロク</t>
    </rPh>
    <rPh sb="100" eb="102">
      <t>ナイセン</t>
    </rPh>
    <rPh sb="109" eb="111">
      <t>ショウショウ</t>
    </rPh>
    <rPh sb="112" eb="113">
      <t>マ</t>
    </rPh>
    <rPh sb="262" eb="264">
      <t>ヒラマツ</t>
    </rPh>
    <rPh sb="307" eb="309">
      <t>カクニン</t>
    </rPh>
    <rPh sb="333" eb="335">
      <t>カクニン</t>
    </rPh>
    <rPh sb="339" eb="341">
      <t>ジョウホウ</t>
    </rPh>
    <rPh sb="342" eb="344">
      <t>カクニン</t>
    </rPh>
    <rPh sb="468" eb="470">
      <t>ノダ</t>
    </rPh>
    <rPh sb="509" eb="510">
      <t>ウメ</t>
    </rPh>
    <rPh sb="510" eb="511">
      <t>ムラ</t>
    </rPh>
    <rPh sb="512" eb="513">
      <t>ザン</t>
    </rPh>
    <rPh sb="525" eb="527">
      <t>ナイブ</t>
    </rPh>
    <rPh sb="527" eb="529">
      <t>カダイ</t>
    </rPh>
    <rPh sb="529" eb="531">
      <t>カンリ</t>
    </rPh>
    <phoneticPr fontId="1"/>
  </si>
  <si>
    <r>
      <t xml:space="preserve">25/10/10（梅村）
11月3日週の設置作業日にTY8へ納品してください。
現地作業の正確な日付は顧客との調整が必要なため少々お待ちください。
日程提示の期限はございますでしょうか。
⇒(2025/10/10MB返答)人員調整がございますので、
２週間前を目安にご提示願いますか。
</t>
    </r>
    <r>
      <rPr>
        <sz val="11"/>
        <color rgb="FFFF0000"/>
        <rFont val="ＭＳ Ｐゴシック"/>
        <family val="3"/>
        <charset val="128"/>
      </rPr>
      <t>25/11/4（梅村）課題管理票#7</t>
    </r>
    <r>
      <rPr>
        <sz val="11"/>
        <rFont val="ＭＳ Ｐゴシック"/>
        <family val="3"/>
        <charset val="128"/>
      </rPr>
      <t xml:space="preserve">
</t>
    </r>
    <rPh sb="9" eb="11">
      <t>ウメムラ</t>
    </rPh>
    <rPh sb="15" eb="16">
      <t>ガツ</t>
    </rPh>
    <rPh sb="17" eb="18">
      <t>ニチ</t>
    </rPh>
    <rPh sb="18" eb="19">
      <t>シュウ</t>
    </rPh>
    <rPh sb="20" eb="24">
      <t>セッチサギョウ</t>
    </rPh>
    <rPh sb="24" eb="25">
      <t>ビ</t>
    </rPh>
    <rPh sb="30" eb="32">
      <t>ノウヒン</t>
    </rPh>
    <rPh sb="40" eb="44">
      <t>ゲンチサギョウ</t>
    </rPh>
    <rPh sb="45" eb="47">
      <t>セイカク</t>
    </rPh>
    <rPh sb="48" eb="50">
      <t>ヒヅケ</t>
    </rPh>
    <rPh sb="51" eb="53">
      <t>コキャク</t>
    </rPh>
    <rPh sb="55" eb="57">
      <t>チョウセイ</t>
    </rPh>
    <rPh sb="58" eb="60">
      <t>ヒツヨウ</t>
    </rPh>
    <rPh sb="63" eb="67">
      <t>ショウショウオマ</t>
    </rPh>
    <rPh sb="74" eb="76">
      <t>ニッテイ</t>
    </rPh>
    <rPh sb="76" eb="78">
      <t>テイジ</t>
    </rPh>
    <rPh sb="79" eb="81">
      <t>キゲン</t>
    </rPh>
    <rPh sb="111" eb="115">
      <t>ジンインチョウセイ</t>
    </rPh>
    <rPh sb="126" eb="129">
      <t>シュウカンマエ</t>
    </rPh>
    <rPh sb="130" eb="132">
      <t>メヤス</t>
    </rPh>
    <rPh sb="134" eb="136">
      <t>テイジ</t>
    </rPh>
    <rPh sb="136" eb="137">
      <t>ネガ</t>
    </rPh>
    <rPh sb="152" eb="154">
      <t>ウメムラ</t>
    </rPh>
    <rPh sb="155" eb="159">
      <t>カダイカンリ</t>
    </rPh>
    <rPh sb="159" eb="160">
      <t>ヒョウ</t>
    </rPh>
    <phoneticPr fontId="1"/>
  </si>
  <si>
    <r>
      <t xml:space="preserve">25/10/09（平松）
おそらく一時受け取り可能。
ハーフラックの完成が10月中旬の予定のため、完成後現状確認に行きます。
現地確認の際に、正確な対応方法を確認いたしますので、少々お待ちください。
</t>
    </r>
    <r>
      <rPr>
        <sz val="11"/>
        <color rgb="FFFF0000"/>
        <rFont val="ＭＳ Ｐゴシック"/>
        <family val="3"/>
        <charset val="128"/>
      </rPr>
      <t>25/11/4（梅村）課題管理票#12</t>
    </r>
    <rPh sb="9" eb="11">
      <t>ヒラマツ</t>
    </rPh>
    <rPh sb="17" eb="19">
      <t>イチジ</t>
    </rPh>
    <rPh sb="19" eb="20">
      <t>ウ</t>
    </rPh>
    <rPh sb="21" eb="22">
      <t>ト</t>
    </rPh>
    <rPh sb="23" eb="25">
      <t>カノウ</t>
    </rPh>
    <rPh sb="34" eb="36">
      <t>カンセイ</t>
    </rPh>
    <rPh sb="39" eb="40">
      <t>ガツ</t>
    </rPh>
    <rPh sb="40" eb="42">
      <t>チュウジュン</t>
    </rPh>
    <rPh sb="43" eb="45">
      <t>ヨテイ</t>
    </rPh>
    <rPh sb="49" eb="52">
      <t>カンセイゴ</t>
    </rPh>
    <rPh sb="52" eb="54">
      <t>ゲンジョウ</t>
    </rPh>
    <rPh sb="54" eb="56">
      <t>カクニン</t>
    </rPh>
    <rPh sb="57" eb="58">
      <t>イ</t>
    </rPh>
    <rPh sb="63" eb="67">
      <t>ゲンチカクニン</t>
    </rPh>
    <rPh sb="68" eb="69">
      <t>サイ</t>
    </rPh>
    <rPh sb="71" eb="73">
      <t>セイカク</t>
    </rPh>
    <rPh sb="74" eb="76">
      <t>タイオウ</t>
    </rPh>
    <rPh sb="76" eb="78">
      <t>ホウホウ</t>
    </rPh>
    <rPh sb="79" eb="81">
      <t>カクニン</t>
    </rPh>
    <rPh sb="89" eb="91">
      <t>ショウショウ</t>
    </rPh>
    <rPh sb="92" eb="93">
      <t>マ</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</si>
</sst>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6" x14ac:knownFonts="1">
    <font>
      <sz val="11"/>
      <color theme="1"/>
      <name val="ＭＳ Ｐゴシック"/>
      <family val="2"/>
      <charset val="128"/>
    </font>
    <font>
      <sz val="6"/>
      <name val="ＭＳ Ｐゴシック"/>
      <family val="2"/>
      <charset val="128"/>
    </font>
    <font>
      <sz val="11"/>
      <color rgb="FFFF0000"/>
      <name val="ＭＳ Ｐゴシック"/>
      <family val="3"/>
      <charset val="128"/>
    </font>
    <font>
      <b/>
      <sz val="11"/>
      <name val="ＭＳ Ｐゴシック"/>
      <family val="3"/>
      <charset val="128"/>
    </font>
    <font>
      <sz val="11"/>
      <name val="ＭＳ Ｐゴシック"/>
      <family val="3"/>
      <charset val="128"/>
    </font>
    <font>
      <strike/>
      <sz val="11"/>
      <name val="ＭＳ Ｐゴシック"/>
      <family val="3"/>
      <charset val="128"/>
    </font>
  </fonts>
  <fills count="6">
    <fill>
      <patternFill patternType="none"/>
    </fill>
    <fill>
      <patternFill patternType="gray125"/>
    </fill>
    <fill>
      <patternFill patternType="solid">
        <fgColor theme="1" tint="0.34998626667073579"/>
        <bgColor indexed="64"/>
      </patternFill>
    </fill>
    <fill>
      <patternFill patternType="solid">
        <fgColor theme="0" tint="-0.249977111117893"/>
        <bgColor indexed="64"/>
      </patternFill>
    </fill>
    <fill>
      <patternFill patternType="solid">
        <fgColor theme="0" tint="-0.24994659260841701"/>
        <bgColor indexed="64"/>
      </patternFill>
    </fill>
    <fill>
      <patternFill patternType="solid">
        <fgColor theme="0" tint="-0.14996795556505021"/>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dashed">
        <color auto="1"/>
      </bottom>
      <diagonal/>
    </border>
    <border>
      <left style="thin">
        <color auto="1"/>
      </left>
      <right style="thin">
        <color auto="1"/>
      </right>
      <top/>
      <bottom style="thin">
        <color auto="1"/>
      </bottom>
      <diagonal/>
    </border>
    <border>
      <left style="thin">
        <color auto="1"/>
      </left>
      <right style="thin">
        <color auto="1"/>
      </right>
      <top/>
      <bottom style="dashed">
        <color auto="1"/>
      </bottom>
      <diagonal/>
    </border>
  </borders>
  <cellStyleXfs count="1">
    <xf numFmtId="0" fontId="0" fillId="0" borderId="0">
      <alignment vertical="center"/>
    </xf>
  </cellStyleXfs>
  <cellXfs count="30">
    <xf numFmtId="0" fontId="0" fillId="0" borderId="0" xfId="0">
      <alignment vertical="center"/>
    </xf>
    <xf numFmtId="49" fontId="3" fillId="2" borderId="1" xfId="0" applyNumberFormat="1" applyFont="1" applyFill="1" applyBorder="1" applyAlignment="1">
      <alignment horizontal="center" vertical="center" shrinkToFit="1"/>
    </xf>
    <xf numFmtId="0" fontId="3" fillId="0" borderId="0" xfId="0" applyFont="1" applyAlignment="1">
      <alignment horizontal="center" vertical="center" shrinkToFit="1"/>
    </xf>
    <xf numFmtId="0" fontId="4" fillId="3" borderId="1" xfId="0" applyFont="1" applyFill="1" applyBorder="1" applyAlignment="1">
      <alignment horizontal="right" vertical="top" wrapText="1"/>
    </xf>
    <xf numFmtId="49" fontId="4" fillId="3" borderId="1" xfId="0" applyNumberFormat="1" applyFont="1" applyFill="1" applyBorder="1" applyAlignment="1">
      <alignment horizontal="left" vertical="top" wrapText="1"/>
    </xf>
    <xf numFmtId="176" fontId="4" fillId="3" borderId="1" xfId="0" applyNumberFormat="1" applyFont="1" applyFill="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right" vertical="top" wrapText="1"/>
    </xf>
    <xf numFmtId="49" fontId="4" fillId="0" borderId="1" xfId="0" applyNumberFormat="1" applyFont="1" applyBorder="1" applyAlignment="1">
      <alignment horizontal="left" vertical="top" wrapText="1"/>
    </xf>
    <xf numFmtId="176" fontId="4" fillId="0" borderId="1" xfId="0" applyNumberFormat="1" applyFont="1" applyBorder="1" applyAlignment="1">
      <alignment horizontal="left" vertical="top" wrapText="1"/>
    </xf>
    <xf numFmtId="14" fontId="4" fillId="0" borderId="1" xfId="0" applyNumberFormat="1" applyFont="1" applyBorder="1" applyAlignment="1">
      <alignment horizontal="left" vertical="top" wrapText="1"/>
    </xf>
    <xf numFmtId="14" fontId="4" fillId="3" borderId="1" xfId="0" applyNumberFormat="1" applyFont="1" applyFill="1" applyBorder="1" applyAlignment="1">
      <alignment horizontal="left" vertical="top" wrapText="1"/>
    </xf>
    <xf numFmtId="0" fontId="4" fillId="3" borderId="2" xfId="0" applyFont="1" applyFill="1" applyBorder="1" applyAlignment="1">
      <alignment horizontal="right" vertical="top" wrapText="1"/>
    </xf>
    <xf numFmtId="49" fontId="4" fillId="3" borderId="2" xfId="0" applyNumberFormat="1" applyFont="1" applyFill="1" applyBorder="1" applyAlignment="1">
      <alignment horizontal="left" vertical="top" wrapText="1"/>
    </xf>
    <xf numFmtId="176" fontId="4" fillId="3" borderId="2" xfId="0" applyNumberFormat="1" applyFont="1" applyFill="1" applyBorder="1" applyAlignment="1">
      <alignment horizontal="left" vertical="top" wrapText="1"/>
    </xf>
    <xf numFmtId="14" fontId="4" fillId="3" borderId="2" xfId="0" applyNumberFormat="1" applyFont="1" applyFill="1" applyBorder="1" applyAlignment="1">
      <alignment horizontal="left" vertical="top" wrapText="1"/>
    </xf>
    <xf numFmtId="0" fontId="4" fillId="3" borderId="3" xfId="0" applyFont="1" applyFill="1" applyBorder="1" applyAlignment="1">
      <alignment horizontal="right" vertical="top" wrapText="1"/>
    </xf>
    <xf numFmtId="49" fontId="4" fillId="3" borderId="3" xfId="0" applyNumberFormat="1" applyFont="1" applyFill="1" applyBorder="1" applyAlignment="1">
      <alignment horizontal="left" vertical="top" wrapText="1"/>
    </xf>
    <xf numFmtId="49" fontId="4" fillId="3" borderId="4" xfId="0" applyNumberFormat="1" applyFont="1" applyFill="1" applyBorder="1" applyAlignment="1">
      <alignment horizontal="left" vertical="top" wrapText="1"/>
    </xf>
    <xf numFmtId="176" fontId="4" fillId="3" borderId="3" xfId="0" applyNumberFormat="1" applyFont="1" applyFill="1" applyBorder="1" applyAlignment="1">
      <alignment horizontal="left" vertical="top" wrapText="1"/>
    </xf>
    <xf numFmtId="14" fontId="4" fillId="3" borderId="3" xfId="0" applyNumberFormat="1" applyFont="1" applyFill="1" applyBorder="1" applyAlignment="1">
      <alignment horizontal="left" vertical="top" wrapText="1"/>
    </xf>
    <xf numFmtId="0" fontId="4" fillId="4" borderId="1" xfId="0" applyFont="1" applyFill="1" applyBorder="1" applyAlignment="1">
      <alignment horizontal="right" vertical="top" wrapText="1"/>
    </xf>
    <xf numFmtId="49" fontId="4" fillId="4" borderId="1" xfId="0" applyNumberFormat="1" applyFont="1" applyFill="1" applyBorder="1" applyAlignment="1">
      <alignment horizontal="left" vertical="top" wrapText="1"/>
    </xf>
    <xf numFmtId="176" fontId="4" fillId="4" borderId="1" xfId="0" applyNumberFormat="1" applyFont="1" applyFill="1" applyBorder="1" applyAlignment="1">
      <alignment horizontal="left" vertical="top" wrapText="1"/>
    </xf>
    <xf numFmtId="14" fontId="4" fillId="4" borderId="1" xfId="0" applyNumberFormat="1" applyFont="1" applyFill="1" applyBorder="1" applyAlignment="1">
      <alignment horizontal="left" vertical="top" wrapText="1"/>
    </xf>
    <xf numFmtId="0" fontId="4" fillId="0" borderId="0" xfId="0" applyFont="1" applyAlignment="1">
      <alignment horizontal="right" vertical="top" wrapText="1"/>
    </xf>
    <xf numFmtId="0" fontId="4" fillId="5" borderId="1" xfId="0" applyFont="1" applyFill="1" applyBorder="1" applyAlignment="1">
      <alignment horizontal="right" vertical="top" wrapText="1"/>
    </xf>
    <xf numFmtId="49" fontId="4" fillId="5" borderId="1" xfId="0" applyNumberFormat="1" applyFont="1" applyFill="1" applyBorder="1" applyAlignment="1">
      <alignment horizontal="left" vertical="top" wrapText="1"/>
    </xf>
    <xf numFmtId="176" fontId="4" fillId="5" borderId="1" xfId="0" applyNumberFormat="1" applyFont="1" applyFill="1" applyBorder="1" applyAlignment="1">
      <alignment horizontal="left" vertical="top" wrapText="1"/>
    </xf>
    <xf numFmtId="14" fontId="4" fillId="5" borderId="1" xfId="0" applyNumberFormat="1" applyFont="1" applyFill="1" applyBorder="1" applyAlignment="1">
      <alignment horizontal="left" vertical="top" wrapText="1"/>
    </xf>
  </cellXfs>
  <cellStyles count="1">
    <cellStyle name="標準"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usernames" Target="revisions/userNam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revisionHeaders" Target="revisions/revisionHeaders.xml"/><Relationship Id="rId5" Type="http://schemas.openxmlformats.org/officeDocument/2006/relationships/calcChain" Target="calcChain.xml"/><Relationship Id="rId4" Type="http://schemas.openxmlformats.org/officeDocument/2006/relationships/sharedStrings" Target="sharedStrings.xml"/></Relationships>
</file>

<file path=xl/revisions/_rels/revisionHeaders.xml.rels><?xml version="1.0" encoding="UTF-8" standalone="yes"?>
<Relationships xmlns="http://schemas.openxmlformats.org/package/2006/relationships"><Relationship Id="rId8" Type="http://schemas.openxmlformats.org/officeDocument/2006/relationships/revisionLog" Target="revisionLog8.xml"/><Relationship Id="rId3" Type="http://schemas.openxmlformats.org/officeDocument/2006/relationships/revisionLog" Target="revisionLog3.xml"/><Relationship Id="rId7" Type="http://schemas.openxmlformats.org/officeDocument/2006/relationships/revisionLog" Target="revisionLog7.xml"/><Relationship Id="rId2" Type="http://schemas.openxmlformats.org/officeDocument/2006/relationships/revisionLog" Target="revisionLog2.xml"/><Relationship Id="rId1" Type="http://schemas.openxmlformats.org/officeDocument/2006/relationships/revisionLog" Target="revisionLog1.xml"/><Relationship Id="rId6" Type="http://schemas.openxmlformats.org/officeDocument/2006/relationships/revisionLog" Target="revisionLog6.xml"/><Relationship Id="rId5" Type="http://schemas.openxmlformats.org/officeDocument/2006/relationships/revisionLog" Target="revisionLog5.xml"/><Relationship Id="rId4" Type="http://schemas.openxmlformats.org/officeDocument/2006/relationships/revisionLog" Target="revisionLog4.xml"/><Relationship Id="rId9" Type="http://schemas.openxmlformats.org/officeDocument/2006/relationships/revisionLog" Target="revisionLog9.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9E0FA59D-753E-4806-B57A-77C8CDA4959B}" diskRevisions="1" revisionId="41" version="4">
  <header guid="{45AF3276-1BCD-4761-8AA5-6DE94A3C93CC}" dateTime="2025-10-17T14:48:06" maxSheetId="2" userName="梅村 光雄" r:id="rId1">
    <sheetIdMap count="1">
      <sheetId val="1"/>
    </sheetIdMap>
  </header>
  <header guid="{7434E9A9-FDE5-4CFC-8DE1-7B6C9B13ECC8}" dateTime="2025-10-23T12:28:25" maxSheetId="2" userName="梅村 光雄" r:id="rId2" minRId="1" maxRId="14">
    <sheetIdMap count="1">
      <sheetId val="1"/>
    </sheetIdMap>
  </header>
  <header guid="{31CF471D-3679-4C78-A242-93EFBB2F18D7}" dateTime="2025-10-23T12:28:49" maxSheetId="2" userName="梅村 光雄" r:id="rId3">
    <sheetIdMap count="1">
      <sheetId val="1"/>
    </sheetIdMap>
  </header>
  <header guid="{03E150DE-1322-4715-B0D3-3345F0D94C74}" dateTime="2025-10-23T14:45:00" maxSheetId="2" userName="小林 陽一" r:id="rId4" minRId="15" maxRId="17">
    <sheetIdMap count="1">
      <sheetId val="1"/>
    </sheetIdMap>
  </header>
  <header guid="{40E3E836-756F-4A35-A9BF-C17893D585C6}" dateTime="2025-10-24T08:21:00" maxSheetId="2" userName="小林 陽一" r:id="rId5" minRId="18" maxRId="29">
    <sheetIdMap count="1">
      <sheetId val="1"/>
    </sheetIdMap>
  </header>
  <header guid="{EC18B0A0-40D6-4FCE-A8F6-A240A9D88CE5}" dateTime="2025-10-28T15:28:13" maxSheetId="2" userName="小林 陽一" r:id="rId6" minRId="30" maxRId="33">
    <sheetIdMap count="1">
      <sheetId val="1"/>
    </sheetIdMap>
  </header>
  <header guid="{849F3CB7-4ED1-472F-8EE0-1706D26ADC8A}" dateTime="2025-11-04T11:21:50" maxSheetId="2" userName="梅村 光雄" r:id="rId7" minRId="35">
    <sheetIdMap count="1">
      <sheetId val="1"/>
    </sheetIdMap>
  </header>
  <header guid="{866698ED-3B3E-42BE-9661-508D382572A2}" dateTime="2025-11-04T11:31:44" maxSheetId="2" userName="梅村 光雄" r:id="rId8" minRId="36" maxRId="39">
    <sheetIdMap count="1">
      <sheetId val="1"/>
    </sheetIdMap>
  </header>
  <header guid="{9E0FA59D-753E-4806-B57A-77C8CDA4959B}" dateTime="2025-11-04T11:34:03" maxSheetId="2" userName="梅村 光雄" r:id="rId9" minRId="40" maxRId="41">
    <sheetIdMap count="1">
      <sheetId val="1"/>
    </sheetIdMap>
  </header>
</headers>
</file>

<file path=xl/revisions/revisionLog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file>

<file path=xl/revisions/revisionLog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 sId="1">
    <nc r="C18" t="inlineStr">
      <is>
        <t>キャプチャサーバ設定値確認</t>
        <rPh sb="8" eb="10">
          <t>セッテイ</t>
        </rPh>
        <rPh sb="10" eb="11">
          <t>チ</t>
        </rPh>
        <rPh sb="11" eb="13">
          <t>カクニン</t>
        </rPh>
        <phoneticPr fontId="0"/>
      </is>
    </nc>
  </rcc>
  <rcc rId="2" sId="1">
    <nc r="D18" t="inlineStr">
      <is>
        <t>StationMonitor.iniのDBTypeは「1]に設定されているでしょうか？</t>
        <rPh sb="30" eb="32">
          <t>セッテイ</t>
        </rPh>
        <phoneticPr fontId="0"/>
      </is>
    </nc>
  </rcc>
  <rcc rId="3" sId="1">
    <nc r="B18" t="inlineStr">
      <is>
        <t>済み</t>
      </is>
    </nc>
  </rcc>
  <rcc rId="4" sId="1">
    <nc r="I18" t="inlineStr">
      <is>
        <t>MBI小林</t>
        <rPh sb="3" eb="5">
          <t>コバヤシ</t>
        </rPh>
        <phoneticPr fontId="0"/>
      </is>
    </nc>
  </rcc>
  <rcc rId="5" sId="1">
    <nc r="J18" t="inlineStr">
      <is>
        <t>　　StationMonitor.ini　DBType=1
　デフォルト値となっており、そのまま使用させて頂いております。</t>
        <phoneticPr fontId="0"/>
      </is>
    </nc>
  </rcc>
  <rcc rId="6" sId="1" numFmtId="19">
    <nc r="H18">
      <v>45953</v>
    </nc>
  </rcc>
  <rcc rId="7" sId="1" numFmtId="19">
    <nc r="E18">
      <v>45953</v>
    </nc>
  </rcc>
  <rcc rId="8" sId="1">
    <nc r="F18" t="inlineStr">
      <is>
        <t>MSYS梅村</t>
        <rPh sb="4" eb="6">
          <t>ウメムラ</t>
        </rPh>
        <phoneticPr fontId="0"/>
      </is>
    </nc>
  </rcc>
  <rfmt sheetId="1" sqref="A18:J18">
    <dxf>
      <fill>
        <patternFill patternType="solid">
          <bgColor theme="0" tint="-0.249977111117893"/>
        </patternFill>
      </fill>
    </dxf>
  </rfmt>
  <rcc rId="9" sId="1">
    <nc r="B19" t="inlineStr">
      <is>
        <t>待ち</t>
      </is>
    </nc>
  </rcc>
  <rcc rId="10" sId="1" odxf="1" dxf="1">
    <nc r="C19" t="inlineStr">
      <is>
        <t>キャプチャサーバ設定値確認</t>
        <rPh sb="8" eb="10">
          <t>セッテイ</t>
        </rPh>
        <rPh sb="10" eb="11">
          <t>チ</t>
        </rPh>
        <rPh sb="11" eb="13">
          <t>カクニン</t>
        </rPh>
        <phoneticPr fontId="0"/>
      </is>
    </nc>
    <odxf>
      <fill>
        <patternFill patternType="none">
          <bgColor indexed="65"/>
        </patternFill>
      </fill>
    </odxf>
    <ndxf>
      <fill>
        <patternFill patternType="solid">
          <bgColor theme="0" tint="-0.249977111117893"/>
        </patternFill>
      </fill>
    </ndxf>
  </rcc>
  <rfmt sheetId="1" sqref="D19" start="0" length="0">
    <dxf>
      <fill>
        <patternFill patternType="solid">
          <bgColor theme="0" tint="-0.249977111117893"/>
        </patternFill>
      </fill>
    </dxf>
  </rfmt>
  <rcc rId="11" sId="1" odxf="1" dxf="1" numFmtId="19">
    <nc r="E19">
      <v>45953</v>
    </nc>
    <odxf>
      <fill>
        <patternFill patternType="none">
          <bgColor indexed="65"/>
        </patternFill>
      </fill>
    </odxf>
    <ndxf>
      <fill>
        <patternFill patternType="solid">
          <bgColor theme="0" tint="-0.249977111117893"/>
        </patternFill>
      </fill>
    </ndxf>
  </rcc>
  <rcc rId="12" sId="1" odxf="1" dxf="1">
    <nc r="F19" t="inlineStr">
      <is>
        <t>MSYS梅村</t>
        <rPh sb="4" eb="6">
          <t>ウメムラ</t>
        </rPh>
        <phoneticPr fontId="0"/>
      </is>
    </nc>
    <odxf>
      <fill>
        <patternFill patternType="none">
          <bgColor indexed="65"/>
        </patternFill>
      </fill>
    </odxf>
    <ndxf>
      <fill>
        <patternFill patternType="solid">
          <bgColor theme="0" tint="-0.249977111117893"/>
        </patternFill>
      </fill>
    </ndxf>
  </rcc>
  <rfmt sheetId="1" sqref="G19" start="0" length="0">
    <dxf>
      <fill>
        <patternFill patternType="solid">
          <bgColor theme="0" tint="-0.249977111117893"/>
        </patternFill>
      </fill>
    </dxf>
  </rfmt>
  <rfmt sheetId="1" sqref="C19:G19">
    <dxf>
      <fill>
        <patternFill patternType="none">
          <bgColor auto="1"/>
        </patternFill>
      </fill>
    </dxf>
  </rfmt>
  <rcc rId="13" sId="1">
    <nc r="D19" t="inlineStr">
      <is>
        <t>VTRecServer.iniのDBTypeは「1]に設定されているでしょうか？</t>
        <rPh sb="27" eb="29">
          <t>セッテイ</t>
        </rPh>
        <phoneticPr fontId="0"/>
      </is>
    </nc>
  </rcc>
  <rcc rId="14" sId="1">
    <nc r="D19" t="inlineStr">
      <is>
        <t>VTRecServer.iniのSetStartCallInfoは「1]に設定されているでしょうか？</t>
        <rPh sb="37" eb="39">
          <t>セッテイ</t>
        </rPh>
        <phoneticPr fontId="0"/>
      </is>
    </nc>
  </rcc>
</revisions>
</file>

<file path=xl/revisions/revisionLog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B19:F19" start="0" length="2147483647">
    <dxf>
      <font>
        <color rgb="FFFF0000"/>
      </font>
    </dxf>
  </rfmt>
</revisions>
</file>

<file path=xl/revisions/revisionLog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 sId="1" numFmtId="19">
    <nc r="H19">
      <v>45953</v>
    </nc>
  </rcc>
  <rcc rId="16" sId="1" odxf="1" dxf="1">
    <nc r="I19" t="inlineStr">
      <is>
        <t>MBI小林</t>
        <rPh sb="3" eb="5">
          <t>コバヤシ</t>
        </rPh>
        <phoneticPr fontId="0"/>
      </is>
    </nc>
    <odxf>
      <fill>
        <patternFill patternType="none">
          <bgColor indexed="65"/>
        </patternFill>
      </fill>
    </odxf>
    <ndxf>
      <fill>
        <patternFill patternType="solid">
          <bgColor theme="0" tint="-0.249977111117893"/>
        </patternFill>
      </fill>
    </ndxf>
  </rcc>
  <rfmt sheetId="1" sqref="I19">
    <dxf>
      <fill>
        <patternFill patternType="none">
          <bgColor auto="1"/>
        </patternFill>
      </fill>
    </dxf>
  </rfmt>
  <rcc rId="17" sId="1">
    <nc r="J19" t="inlineStr">
      <is>
        <t>;録音開始時の呼情報(発信者番号やダイヤル番号など)送信(0:無効、1:有効、デフォルト0)
SetStartCallInfo=1 としております。</t>
        <phoneticPr fontId="0"/>
      </is>
    </nc>
  </rcc>
  <rcv guid="{04E92500-75E2-4221-A5A5-64FBD2AE3328}" action="delete"/>
  <rcv guid="{04E92500-75E2-4221-A5A5-64FBD2AE3328}" action="add"/>
  <rcv guid="{04E92500-75E2-4221-A5A5-64FBD2AE3328}" action="add"/>
</revisions>
</file>

<file path=xl/revisions/revisionLog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 sId="1">
    <nc r="J20" t="inlineStr">
      <is>
        <t>➉SBI損保様大阪DCの通録サーバーを先行構築しておりまして、
　CreateSubscription.bat　実行時に
　CreateSubscription.log　で
　「ERROR:  could not create replication slot "agent_user_role_group_sub_vtrecserver2": ERROR:  replication slot "agent_user_role_group_sub_vtrecserver2" already exists」
　というエラーが出たあと、
　VoiceTracking Managerへのログイン時に
　　root
　　••••••••（password）
　ユーザIDまたはパスワードが間違っています
　とエラーになってしまいます。（初期パスワードから変更しておりません）
　なにか救済措置はないでしょうか。
　vs_config.xmlにあります
    &lt;!-- 強制ログインユーザー --&gt;
    &lt;Extension_User_Name_Data&gt;
        &lt;user&gt;VTConnector&lt;/user&gt;
        &lt;user&gt;VTWebKeepAlive&lt;/user&gt;
　こちらのパスワードをお教え頂くわけにはいかないでしょうか。</t>
        <phoneticPr fontId="0"/>
      </is>
    </nc>
  </rcc>
  <rcc rId="19" sId="1">
    <nc r="D20" t="inlineStr">
      <is>
        <t>ANIMO分割構成での挙動に関しての質問(2)</t>
        <rPh sb="5" eb="9">
          <t>ブンカツコウセイ</t>
        </rPh>
        <rPh sb="11" eb="13">
          <t>キョドウ</t>
        </rPh>
        <rPh sb="14" eb="15">
          <t>カン</t>
        </rPh>
        <rPh sb="18" eb="20">
          <t>シツモン</t>
        </rPh>
        <phoneticPr fontId="0"/>
      </is>
    </nc>
  </rcc>
  <rcc rId="20" sId="1">
    <nc r="F20" t="inlineStr">
      <is>
        <t>MBI小林</t>
        <rPh sb="3" eb="5">
          <t>コバヤシ</t>
        </rPh>
        <phoneticPr fontId="0"/>
      </is>
    </nc>
  </rcc>
  <rcc rId="21" sId="1">
    <nc r="I20" t="inlineStr">
      <is>
        <t>ANIMO岩井様</t>
        <rPh sb="5" eb="8">
          <t>イワイサマ</t>
        </rPh>
        <phoneticPr fontId="0"/>
      </is>
    </nc>
  </rcc>
  <rcc rId="22" sId="1">
    <nc r="B20" t="inlineStr">
      <is>
        <t>待ち</t>
      </is>
    </nc>
  </rcc>
  <rcc rId="23" sId="1">
    <oc r="B19" t="inlineStr">
      <is>
        <t>待ち</t>
      </is>
    </oc>
    <nc r="B19" t="inlineStr">
      <is>
        <t>済み</t>
      </is>
    </nc>
  </rcc>
  <rcc rId="24" sId="1">
    <oc r="B14" t="inlineStr">
      <is>
        <t>待ち</t>
      </is>
    </oc>
    <nc r="B14" t="inlineStr">
      <is>
        <t>済み</t>
      </is>
    </nc>
  </rcc>
  <rcc rId="25" sId="1">
    <nc r="I14" t="inlineStr">
      <is>
        <t>MBI小林</t>
        <rPh sb="3" eb="5">
          <t>コバヤシ</t>
        </rPh>
        <phoneticPr fontId="0"/>
      </is>
    </nc>
  </rcc>
  <rcc rId="26" sId="1" numFmtId="19">
    <nc r="H14">
      <v>45932</v>
    </nc>
  </rcc>
  <rcc rId="27" sId="1">
    <oc r="J14" t="inlineStr">
      <is>
        <t>Windows Server 2025購入待ち</t>
        <rPh sb="19" eb="22">
          <t>コウニュウマ</t>
        </rPh>
        <phoneticPr fontId="0"/>
      </is>
    </oc>
    <nc r="J14" t="inlineStr">
      <is>
        <t>Windows Server 2025購入待ち
インストール済み</t>
        <rPh sb="19" eb="22">
          <t>コウニュウマ</t>
        </rPh>
        <rPh sb="31" eb="32">
          <t>ズ</t>
        </rPh>
        <phoneticPr fontId="0"/>
      </is>
    </nc>
  </rcc>
  <rfmt sheetId="1" sqref="A14:J14">
    <dxf>
      <fill>
        <patternFill patternType="solid">
          <bgColor theme="0" tint="-0.24994659260841701"/>
        </patternFill>
      </fill>
    </dxf>
  </rfmt>
  <rfmt sheetId="1" sqref="A19:J19">
    <dxf>
      <fill>
        <patternFill patternType="solid">
          <bgColor theme="0" tint="-0.24994659260841701"/>
        </patternFill>
      </fill>
    </dxf>
  </rfmt>
  <rcc rId="28" sId="1" numFmtId="19">
    <nc r="E20">
      <v>45953</v>
    </nc>
  </rcc>
  <rcc rId="29" sId="1">
    <nc r="C20" t="inlineStr">
      <is>
        <t>Animo質疑応答(3)</t>
        <rPh sb="5" eb="9">
          <t>シツギオウトウ</t>
        </rPh>
        <phoneticPr fontId="0"/>
      </is>
    </nc>
  </rcc>
</revisions>
</file>

<file path=xl/revisions/revisionLog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1:XFD1048576" start="0" length="2147483647">
    <dxf>
      <font>
        <color auto="1"/>
      </font>
    </dxf>
  </rfmt>
  <rcc rId="30" sId="1">
    <nc r="J10" t="inlineStr">
      <is>
        <t>25/10/10（梅村）
お客様からのIPアドレスの連携待ちのためそれまでお待ちください。
⇒（2025/10/14MSYS平松)
サーバ用のIPアドレスを受領しましたのでご連携いたします。
登録する内線についてはもう少々お待ちください。
①管理サーバ　　　　　　　　: 10.208.50.18
②管理サーバ iLO          : 10.208.50.19
③キャプチャーサーバ        : 10.208.50.251
④キャプチャーサーバ iLO   : 10.208.50.252
2025/10/15（平松）
Nic1(DATAポート）、iLO のデフォルトゲートウェイIP Addressの確認。
SNMPとOmnisのIP Addressの確認
NTP情報の確認
25/10/27（梅村）
パラメータシート追記しました。追記個所は以下の通りです。
154行目：SNMP IP
180行目：リアルプロセスURL
181行目：Omnis URL
182行目：OmnisユーザID/パスワード</t>
        <rPh sb="9" eb="11">
          <t>ウメムラ</t>
        </rPh>
        <rPh sb="14" eb="16">
          <t>キャクサマ</t>
        </rPh>
        <rPh sb="26" eb="28">
          <t>レンケイ</t>
        </rPh>
        <rPh sb="28" eb="29">
          <t>マ</t>
        </rPh>
        <rPh sb="38" eb="39">
          <t>マ</t>
        </rPh>
        <rPh sb="69" eb="70">
          <t>ヨウ</t>
        </rPh>
        <rPh sb="78" eb="80">
          <t>ジュリョウ</t>
        </rPh>
        <rPh sb="87" eb="89">
          <t>レンケイ</t>
        </rPh>
        <rPh sb="96" eb="98">
          <t>トウロク</t>
        </rPh>
        <rPh sb="100" eb="102">
          <t>ナイセン</t>
        </rPh>
        <rPh sb="109" eb="111">
          <t>ショウショウ</t>
        </rPh>
        <rPh sb="112" eb="113">
          <t>マ</t>
        </rPh>
        <rPh sb="262" eb="264">
          <t>ヒラマツ</t>
        </rPh>
        <rPh sb="307" eb="309">
          <t>カクニン</t>
        </rPh>
        <rPh sb="333" eb="335">
          <t>カクニン</t>
        </rPh>
        <rPh sb="339" eb="341">
          <t>ジョウホウ</t>
        </rPh>
        <rPh sb="342" eb="344">
          <t>カクニン</t>
        </rPh>
        <phoneticPr fontId="0"/>
      </is>
    </nc>
  </rcc>
  <rcc rId="31" sId="1">
    <oc r="J10" t="inlineStr">
      <is>
        <t>25/10/10（梅村）
お客様からのIPアドレスの連携待ちのためそれまでお待ちください。
⇒（2025/10/14MSYS平松)
サーバ用のIPアドレスを受領しましたのでご連携いたします。
登録する内線についてはもう少々お待ちください。
①管理サーバ　　　　　　　　: 10.208.50.18
②管理サーバ iLO          : 10.208.50.19
③キャプチャーサーバ        : 10.208.50.251
④キャプチャーサーバ iLO   : 10.208.50.252
2025/10/15（平松）
Nic1(DATAポート）、iLO のデフォルトゲートウェイIP Addressの確認。
SNMPとOmnisのIP Addressの確認
NTP情報の確認</t>
        <rPh sb="9" eb="11">
          <t>ウメムラ</t>
        </rPh>
        <rPh sb="14" eb="16">
          <t>キャクサマ</t>
        </rPh>
        <rPh sb="26" eb="28">
          <t>レンケイ</t>
        </rPh>
        <rPh sb="28" eb="29">
          <t>マ</t>
        </rPh>
        <rPh sb="38" eb="39">
          <t>マ</t>
        </rPh>
        <rPh sb="69" eb="70">
          <t>ヨウ</t>
        </rPh>
        <rPh sb="78" eb="80">
          <t>ジュリョウ</t>
        </rPh>
        <rPh sb="87" eb="89">
          <t>レンケイ</t>
        </rPh>
        <rPh sb="96" eb="98">
          <t>トウロク</t>
        </rPh>
        <rPh sb="100" eb="102">
          <t>ナイセン</t>
        </rPh>
        <rPh sb="109" eb="111">
          <t>ショウショウ</t>
        </rPh>
        <rPh sb="112" eb="113">
          <t>マ</t>
        </rPh>
        <rPh sb="262" eb="264">
          <t>ヒラマツ</t>
        </rPh>
        <rPh sb="307" eb="309">
          <t>カクニン</t>
        </rPh>
        <rPh sb="333" eb="335">
          <t>カクニン</t>
        </rPh>
        <rPh sb="339" eb="341">
          <t>ジョウホウ</t>
        </rPh>
        <rPh sb="342" eb="344">
          <t>カクニン</t>
        </rPh>
        <phoneticPr fontId="0"/>
      </is>
    </oc>
    <nc r="J10" t="inlineStr">
      <is>
        <r>
          <t xml:space="preserve">25/10/10（梅村）
お客様からのIPアドレスの連携待ちのためそれまでお待ちください。
⇒（2025/10/14MSYS平松)
サーバ用のIPアドレスを受領しましたのでご連携いたします。
登録する内線についてはもう少々お待ちください。
①管理サーバ　　　　　　　　: 10.208.50.18
②管理サーバ iLO          : 10.208.50.19
③キャプチャーサーバ        : 10.208.50.251
④キャプチャーサーバ iLO   : 10.208.50.252
2025/10/15（平松）
Nic1(DATAポート）、iLO のデフォルトゲートウェイIP Addressの確認。
SNMPとOmnisのIP Addressの確認
NTP情報の確認
</t>
        </r>
        <r>
          <rPr>
            <sz val="11"/>
            <color rgb="FFFF0000"/>
            <rFont val="ＭＳ Ｐゴシック"/>
            <family val="3"/>
            <charset val="128"/>
          </rPr>
          <t>25/10/27（梅村）
パラメータシート追記しました。追記個所は以下の通りです。
154行目：SNMP IP
180行目：リアルプロセスURL
181行目：Omnis URL
182行目：OmnisユーザID/パスワード
25/10/28（野田）
梅村に代わり証明書のファイルを送付させていただきます。</t>
        </r>
        <rPh sb="9" eb="11">
          <t>ウメムラ</t>
        </rPh>
        <rPh sb="14" eb="16">
          <t>キャクサマ</t>
        </rPh>
        <rPh sb="26" eb="28">
          <t>レンケイ</t>
        </rPh>
        <rPh sb="28" eb="29">
          <t>マ</t>
        </rPh>
        <rPh sb="38" eb="39">
          <t>マ</t>
        </rPh>
        <rPh sb="69" eb="70">
          <t>ヨウ</t>
        </rPh>
        <rPh sb="78" eb="80">
          <t>ジュリョウ</t>
        </rPh>
        <rPh sb="87" eb="89">
          <t>レンケイ</t>
        </rPh>
        <rPh sb="96" eb="98">
          <t>トウロク</t>
        </rPh>
        <rPh sb="100" eb="102">
          <t>ナイセン</t>
        </rPh>
        <rPh sb="109" eb="111">
          <t>ショウショウ</t>
        </rPh>
        <rPh sb="112" eb="113">
          <t>マ</t>
        </rPh>
        <rPh sb="262" eb="264">
          <t>ヒラマツ</t>
        </rPh>
        <rPh sb="307" eb="309">
          <t>カクニン</t>
        </rPh>
        <rPh sb="333" eb="335">
          <t>カクニン</t>
        </rPh>
        <rPh sb="339" eb="341">
          <t>ジョウホウ</t>
        </rPh>
        <rPh sb="342" eb="344">
          <t>カクニン</t>
        </rPh>
        <rPh sb="468" eb="470">
          <t>ノダ</t>
        </rPh>
        <phoneticPr fontId="0"/>
      </is>
    </nc>
  </rcc>
  <rcc rId="32" sId="1">
    <oc r="J20" t="inlineStr">
      <is>
        <t>➉SBI損保様大阪DCの通録サーバーを先行構築しておりまして、
　CreateSubscription.bat　実行時に
　CreateSubscription.log　で
　「ERROR:  could not create replication slot "agent_user_role_group_sub_vtrecserver2": ERROR:  replication slot "agent_user_role_group_sub_vtrecserver2" already exists」
　というエラーが出たあと、
　VoiceTracking Managerへのログイン時に
　　root
　　••••••••（password）
　ユーザIDまたはパスワードが間違っています
　とエラーになってしまいます。（初期パスワードから変更しておりません）
　なにか救済措置はないでしょうか。
　vs_config.xmlにあります
    &lt;!-- 強制ログインユーザー --&gt;
    &lt;Extension_User_Name_Data&gt;
        &lt;user&gt;VTConnector&lt;/user&gt;
        &lt;user&gt;VTWebKeepAlive&lt;/user&gt;
　こちらのパスワードをお教え頂くわけにはいかないでしょうか。</t>
        <phoneticPr fontId="0"/>
      </is>
    </oc>
    <nc r="J20" t="inlineStr">
      <is>
        <r>
          <t xml:space="preserve">➉SBI損保様大阪DCの通録サーバーを先行構築しておりまして、
　CreateSubscription.bat　実行時に
　CreateSubscription.log　で
　「ERROR:  could not create replication slot "agent_user_role_group_sub_vtrecserver2": ERROR:  replication slot "agent_user_role_group_sub_vtrecserver2" already exists」
　というエラーが出たあと、
　VoiceTracking Managerへのログイン時に
　　root
　　••••••••（password）
　ユーザIDまたはパスワードが間違っています
　とエラーになってしまいます。（初期パスワードから変更しておりません）
　なにか救済措置はないでしょうか。
　vs_config.xmlにあります
    &lt;!-- 強制ログインユーザー --&gt;
    &lt;Extension_User_Name_Data&gt;
        &lt;user&gt;VTConnector&lt;/user&gt;
        &lt;user&gt;VTWebKeepAlive&lt;/user&gt;
　こちらのパスワードをお教え頂くわけにはいかないでしょうか。
</t>
        </r>
        <r>
          <rPr>
            <sz val="11"/>
            <color rgb="FFFF0000"/>
            <rFont val="ＭＳ Ｐゴシック"/>
            <family val="3"/>
            <charset val="128"/>
          </rPr>
          <t>25/10/28（小林）
CreateSubscription.bat　ですが、
東京DC VTRecServerでは
@rem サブスクライバの識別子(サーバ毎に異なる値を設定する)
set SUBSCRIPTION_NAME=VTRecServer
大阪DC VTRecServer2では
@rem サブスクライバの識別子(サーバ毎に異なる値を設定する)
set SUBSCRIPTION_NAME=VTRecServer2
としておりました。
SUBSCRIPTION_NAMEに文字数制限はありますでしょうか？
ERROR:  replication slot "agent_user_role_group_sub_vtrecserver2" already exists
は既存の"agent_user_role_group_sub_vtrecserver"と重複するためエラーになったと考えられます。
結果、VoiceTracking Managerへのrootログインできなくなりました。
現在、（壊れてしまった？）rootユーザーを作成し直して、復旧させました。
SUBSCRIPTION_NAMEはRec01とRec02と短くして、再度DBのレプリケーションを行いました。</t>
        </r>
        <rPh sb="590" eb="592">
          <t>コバヤシ</t>
        </rPh>
        <phoneticPr fontId="0"/>
      </is>
    </nc>
  </rcc>
  <rcc rId="33" sId="1">
    <oc r="B20" t="inlineStr">
      <is>
        <t>待ち</t>
      </is>
    </oc>
    <nc r="B20" t="inlineStr">
      <is>
        <t>済み</t>
      </is>
    </nc>
  </rcc>
  <rfmt sheetId="1" sqref="A20:J20">
    <dxf>
      <fill>
        <patternFill patternType="solid">
          <bgColor theme="0" tint="-0.14996795556505021"/>
        </patternFill>
      </fill>
    </dxf>
  </rfmt>
  <rcv guid="{04E92500-75E2-4221-A5A5-64FBD2AE3328}" action="delete"/>
  <rdn rId="0" localSheetId="1" customView="1" name="Z_04E92500_75E2_4221_A5A5_64FBD2AE3328_.wvu.Rows" hidden="1" oldHidden="1">
    <formula>Animo!$2:$2,Animo!$4:$4,Animo!$7:$9,Animo!$11:$14,Animo!$17:$19</formula>
  </rdn>
  <rcv guid="{04E92500-75E2-4221-A5A5-64FBD2AE3328}" action="add"/>
</revisions>
</file>

<file path=xl/revisions/revisionLog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J10" start="0" length="2147483647">
    <dxf>
      <font>
        <color auto="1"/>
      </font>
    </dxf>
  </rfmt>
  <rcc rId="35" sId="1">
    <oc r="J10" t="inlineStr">
      <is>
        <t>25/10/10（梅村）
お客様からのIPアドレスの連携待ちのためそれまでお待ちください。
⇒（2025/10/14MSYS平松)
サーバ用のIPアドレスを受領しましたのでご連携いたします。
登録する内線についてはもう少々お待ちください。
①管理サーバ　　　　　　　　: 10.208.50.18
②管理サーバ iLO          : 10.208.50.19
③キャプチャーサーバ        : 10.208.50.251
④キャプチャーサーバ iLO   : 10.208.50.252
2025/10/15（平松）
Nic1(DATAポート）、iLO のデフォルトゲートウェイIP Addressの確認。
SNMPとOmnisのIP Addressの確認
NTP情報の確認
25/10/27（梅村）
パラメータシート追記しました。追記個所は以下の通りです。
154行目：SNMP IP
180行目：リアルプロセスURL
181行目：Omnis URL
182行目：OmnisユーザID/パスワード
25/10/28（野田）
梅村に代わり証明書のファイルを送付させていただきます。</t>
        <rPh sb="9" eb="11">
          <t>ウメムラ</t>
        </rPh>
        <rPh sb="14" eb="16">
          <t>キャクサマ</t>
        </rPh>
        <rPh sb="26" eb="28">
          <t>レンケイ</t>
        </rPh>
        <rPh sb="28" eb="29">
          <t>マ</t>
        </rPh>
        <rPh sb="38" eb="39">
          <t>マ</t>
        </rPh>
        <rPh sb="69" eb="70">
          <t>ヨウ</t>
        </rPh>
        <rPh sb="78" eb="80">
          <t>ジュリョウ</t>
        </rPh>
        <rPh sb="87" eb="89">
          <t>レンケイ</t>
        </rPh>
        <rPh sb="96" eb="98">
          <t>トウロク</t>
        </rPh>
        <rPh sb="100" eb="102">
          <t>ナイセン</t>
        </rPh>
        <rPh sb="109" eb="111">
          <t>ショウショウ</t>
        </rPh>
        <rPh sb="112" eb="113">
          <t>マ</t>
        </rPh>
        <rPh sb="262" eb="264">
          <t>ヒラマツ</t>
        </rPh>
        <rPh sb="307" eb="309">
          <t>カクニン</t>
        </rPh>
        <rPh sb="333" eb="335">
          <t>カクニン</t>
        </rPh>
        <rPh sb="339" eb="341">
          <t>ジョウホウ</t>
        </rPh>
        <rPh sb="342" eb="344">
          <t>カクニン</t>
        </rPh>
        <rPh sb="468" eb="470">
          <t>ノダ</t>
        </rPh>
        <phoneticPr fontId="0"/>
      </is>
    </oc>
    <nc r="J10" t="inlineStr">
      <is>
        <r>
          <t xml:space="preserve">25/10/10（梅村）
お客様からのIPアドレスの連携待ちのためそれまでお待ちください。
⇒（2025/10/14MSYS平松)
サーバ用のIPアドレスを受領しましたのでご連携いたします。
登録する内線についてはもう少々お待ちください。
①管理サーバ　　　　　　　　: 10.208.50.18
②管理サーバ iLO          : 10.208.50.19
③キャプチャーサーバ        : 10.208.50.251
④キャプチャーサーバ iLO   : 10.208.50.252
2025/10/15（平松）
Nic1(DATAポート）、iLO のデフォルトゲートウェイIP Addressの確認。
SNMPとOmnisのIP Addressの確認
NTP情報の確認
25/10/27（梅村）
パラメータシート追記しました。追記個所は以下の通りです。
154行目：SNMP IP
180行目：リアルプロセスURL
181行目：Omnis URL
182行目：OmnisユーザID/パスワード
25/10/28（野田）
梅村に代わり証明書のファイルを送付させていただきます。
</t>
        </r>
        <r>
          <rPr>
            <sz val="11"/>
            <color rgb="FFFF0000"/>
            <rFont val="ＭＳ Ｐゴシック"/>
            <family val="3"/>
            <charset val="128"/>
          </rPr>
          <t>25/11/4（梅村）残：NTP IPアドレス</t>
        </r>
        <rPh sb="9" eb="11">
          <t>ウメムラ</t>
        </rPh>
        <rPh sb="14" eb="16">
          <t>キャクサマ</t>
        </rPh>
        <rPh sb="26" eb="28">
          <t>レンケイ</t>
        </rPh>
        <rPh sb="28" eb="29">
          <t>マ</t>
        </rPh>
        <rPh sb="38" eb="39">
          <t>マ</t>
        </rPh>
        <rPh sb="69" eb="70">
          <t>ヨウ</t>
        </rPh>
        <rPh sb="78" eb="80">
          <t>ジュリョウ</t>
        </rPh>
        <rPh sb="87" eb="89">
          <t>レンケイ</t>
        </rPh>
        <rPh sb="96" eb="98">
          <t>トウロク</t>
        </rPh>
        <rPh sb="100" eb="102">
          <t>ナイセン</t>
        </rPh>
        <rPh sb="109" eb="111">
          <t>ショウショウ</t>
        </rPh>
        <rPh sb="112" eb="113">
          <t>マ</t>
        </rPh>
        <rPh sb="262" eb="264">
          <t>ヒラマツ</t>
        </rPh>
        <rPh sb="307" eb="309">
          <t>カクニン</t>
        </rPh>
        <rPh sb="333" eb="335">
          <t>カクニン</t>
        </rPh>
        <rPh sb="339" eb="341">
          <t>ジョウホウ</t>
        </rPh>
        <rPh sb="342" eb="344">
          <t>カクニン</t>
        </rPh>
        <rPh sb="468" eb="470">
          <t>ノダ</t>
        </rPh>
        <rPh sb="509" eb="510">
          <t>ウメ</t>
        </rPh>
        <rPh sb="510" eb="511">
          <t>ムラ</t>
        </rPh>
        <rPh sb="512" eb="513">
          <t>ザン</t>
        </rPh>
        <phoneticPr fontId="0"/>
      </is>
    </nc>
  </rcc>
  <rcv guid="{889DFE70-51E2-4577-A223-B91FC2FEDECF}" action="delete"/>
  <rcv guid="{889DFE70-51E2-4577-A223-B91FC2FEDECF}" action="add"/>
</revisions>
</file>

<file path=xl/revisions/revisionLog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6" sId="1">
    <oc r="J10" t="inlineStr">
      <is>
        <r>
          <t xml:space="preserve">25/10/10（梅村）
お客様からのIPアドレスの連携待ちのためそれまでお待ちください。
⇒（2025/10/14MSYS平松)
サーバ用のIPアドレスを受領しましたのでご連携いたします。
登録する内線についてはもう少々お待ちください。
①管理サーバ　　　　　　　　: 10.208.50.18
②管理サーバ iLO          : 10.208.50.19
③キャプチャーサーバ        : 10.208.50.251
④キャプチャーサーバ iLO   : 10.208.50.252
2025/10/15（平松）
Nic1(DATAポート）、iLO のデフォルトゲートウェイIP Addressの確認。
SNMPとOmnisのIP Addressの確認
NTP情報の確認
25/10/27（梅村）
パラメータシート追記しました。追記個所は以下の通りです。
154行目：SNMP IP
180行目：リアルプロセスURL
181行目：Omnis URL
182行目：OmnisユーザID/パスワード
25/10/28（野田）
梅村に代わり証明書のファイルを送付させていただきます。
</t>
        </r>
        <r>
          <rPr>
            <sz val="11"/>
            <color rgb="FFFF0000"/>
            <rFont val="ＭＳ Ｐゴシック"/>
            <family val="3"/>
            <charset val="128"/>
          </rPr>
          <t>25/11/4（梅村）残：NTP IPアドレス</t>
        </r>
        <rPh sb="9" eb="11">
          <t>ウメムラ</t>
        </rPh>
        <rPh sb="14" eb="16">
          <t>キャクサマ</t>
        </rPh>
        <rPh sb="26" eb="28">
          <t>レンケイ</t>
        </rPh>
        <rPh sb="28" eb="29">
          <t>マ</t>
        </rPh>
        <rPh sb="38" eb="39">
          <t>マ</t>
        </rPh>
        <rPh sb="69" eb="70">
          <t>ヨウ</t>
        </rPh>
        <rPh sb="78" eb="80">
          <t>ジュリョウ</t>
        </rPh>
        <rPh sb="87" eb="89">
          <t>レンケイ</t>
        </rPh>
        <rPh sb="96" eb="98">
          <t>トウロク</t>
        </rPh>
        <rPh sb="100" eb="102">
          <t>ナイセン</t>
        </rPh>
        <rPh sb="109" eb="111">
          <t>ショウショウ</t>
        </rPh>
        <rPh sb="112" eb="113">
          <t>マ</t>
        </rPh>
        <rPh sb="262" eb="264">
          <t>ヒラマツ</t>
        </rPh>
        <rPh sb="307" eb="309">
          <t>カクニン</t>
        </rPh>
        <rPh sb="333" eb="335">
          <t>カクニン</t>
        </rPh>
        <rPh sb="339" eb="341">
          <t>ジョウホウ</t>
        </rPh>
        <rPh sb="342" eb="344">
          <t>カクニン</t>
        </rPh>
        <rPh sb="468" eb="470">
          <t>ノダ</t>
        </rPh>
        <rPh sb="509" eb="510">
          <t>ウメ</t>
        </rPh>
        <rPh sb="510" eb="511">
          <t>ムラ</t>
        </rPh>
        <rPh sb="512" eb="513">
          <t>ザン</t>
        </rPh>
        <phoneticPr fontId="1"/>
      </is>
    </oc>
    <nc r="J10" t="inlineStr">
      <is>
        <r>
          <t xml:space="preserve">25/10/10（梅村）
お客様からのIPアドレスの連携待ちのためそれまでお待ちください。
⇒（2025/10/14MSYS平松)
サーバ用のIPアドレスを受領しましたのでご連携いたします。
登録する内線についてはもう少々お待ちください。
①管理サーバ　　　　　　　　: 10.208.50.18
②管理サーバ iLO          : 10.208.50.19
③キャプチャーサーバ        : 10.208.50.251
④キャプチャーサーバ iLO   : 10.208.50.252
2025/10/15（平松）
Nic1(DATAポート）、iLO のデフォルトゲートウェイIP Addressの確認。
SNMPとOmnisのIP Addressの確認
NTP情報の確認
25/10/27（梅村）
パラメータシート追記しました。追記個所は以下の通りです。
154行目：SNMP IP
180行目：リアルプロセスURL
181行目：Omnis URL
182行目：OmnisユーザID/パスワード
25/10/28（野田）
梅村に代わり証明書のファイルを送付させていただきます。
</t>
        </r>
        <r>
          <rPr>
            <sz val="11"/>
            <color rgb="FFFF0000"/>
            <rFont val="ＭＳ Ｐゴシック"/>
            <family val="3"/>
            <charset val="128"/>
          </rPr>
          <t>25/11/4（梅村）残：NTP IPアドレス。内部課題管理#6</t>
        </r>
        <rPh sb="9" eb="11">
          <t>ウメムラ</t>
        </rPh>
        <rPh sb="14" eb="16">
          <t>キャクサマ</t>
        </rPh>
        <rPh sb="26" eb="28">
          <t>レンケイ</t>
        </rPh>
        <rPh sb="28" eb="29">
          <t>マ</t>
        </rPh>
        <rPh sb="38" eb="39">
          <t>マ</t>
        </rPh>
        <rPh sb="69" eb="70">
          <t>ヨウ</t>
        </rPh>
        <rPh sb="78" eb="80">
          <t>ジュリョウ</t>
        </rPh>
        <rPh sb="87" eb="89">
          <t>レンケイ</t>
        </rPh>
        <rPh sb="96" eb="98">
          <t>トウロク</t>
        </rPh>
        <rPh sb="100" eb="102">
          <t>ナイセン</t>
        </rPh>
        <rPh sb="109" eb="111">
          <t>ショウショウ</t>
        </rPh>
        <rPh sb="112" eb="113">
          <t>マ</t>
        </rPh>
        <rPh sb="262" eb="264">
          <t>ヒラマツ</t>
        </rPh>
        <rPh sb="307" eb="309">
          <t>カクニン</t>
        </rPh>
        <rPh sb="333" eb="335">
          <t>カクニン</t>
        </rPh>
        <rPh sb="339" eb="341">
          <t>ジョウホウ</t>
        </rPh>
        <rPh sb="342" eb="344">
          <t>カクニン</t>
        </rPh>
        <rPh sb="468" eb="470">
          <t>ノダ</t>
        </rPh>
        <rPh sb="509" eb="510">
          <t>ウメ</t>
        </rPh>
        <rPh sb="510" eb="511">
          <t>ムラ</t>
        </rPh>
        <rPh sb="512" eb="513">
          <t>ザン</t>
        </rPh>
        <rPh sb="525" eb="527">
          <t>ナイブ</t>
        </rPh>
        <rPh sb="527" eb="529">
          <t>カダイ</t>
        </rPh>
        <rPh sb="529" eb="531">
          <t>カンリ</t>
        </rPh>
        <phoneticPr fontId="1"/>
      </is>
    </nc>
  </rcc>
  <rcc rId="37" sId="1">
    <oc r="B10" t="inlineStr">
      <is>
        <t>待ち</t>
      </is>
    </oc>
    <nc r="B10" t="inlineStr">
      <is>
        <t>済み</t>
      </is>
    </nc>
  </rcc>
  <rfmt sheetId="1" sqref="A10:J10">
    <dxf>
      <fill>
        <patternFill patternType="solid">
          <bgColor theme="0" tint="-0.249977111117893"/>
        </patternFill>
      </fill>
    </dxf>
  </rfmt>
  <rcc rId="38" sId="1">
    <oc r="J5" t="inlineStr">
      <is>
        <t xml:space="preserve">25/10/10（梅村）
11月3日週の設置作業日にTY8へ納品してください。
現地作業の正確な日付は顧客との調整が必要なため少々お待ちください。
日程提示の期限はございますでしょうか。
⇒(2025/10/10MB返答)人員調整がございますので、
２週間前を目安にご提示願いますか。
</t>
        <rPh sb="9" eb="11">
          <t>ウメムラ</t>
        </rPh>
        <rPh sb="15" eb="16">
          <t>ガツ</t>
        </rPh>
        <rPh sb="17" eb="18">
          <t>ニチ</t>
        </rPh>
        <rPh sb="18" eb="19">
          <t>シュウ</t>
        </rPh>
        <rPh sb="20" eb="24">
          <t>セッチサギョウ</t>
        </rPh>
        <rPh sb="24" eb="25">
          <t>ビ</t>
        </rPh>
        <rPh sb="30" eb="32">
          <t>ノウヒン</t>
        </rPh>
        <rPh sb="40" eb="44">
          <t>ゲンチサギョウ</t>
        </rPh>
        <rPh sb="45" eb="47">
          <t>セイカク</t>
        </rPh>
        <rPh sb="48" eb="50">
          <t>ヒヅケ</t>
        </rPh>
        <rPh sb="51" eb="53">
          <t>コキャク</t>
        </rPh>
        <rPh sb="55" eb="57">
          <t>チョウセイ</t>
        </rPh>
        <rPh sb="58" eb="60">
          <t>ヒツヨウ</t>
        </rPh>
        <rPh sb="63" eb="67">
          <t>ショウショウオマ</t>
        </rPh>
        <rPh sb="74" eb="76">
          <t>ニッテイ</t>
        </rPh>
        <rPh sb="76" eb="78">
          <t>テイジ</t>
        </rPh>
        <rPh sb="79" eb="81">
          <t>キゲン</t>
        </rPh>
        <rPh sb="111" eb="115">
          <t>ジンインチョウセイ</t>
        </rPh>
        <rPh sb="126" eb="129">
          <t>シュウカンマエ</t>
        </rPh>
        <rPh sb="130" eb="132">
          <t>メヤス</t>
        </rPh>
        <rPh sb="134" eb="136">
          <t>テイジ</t>
        </rPh>
        <rPh sb="136" eb="137">
          <t>ネガ</t>
        </rPh>
        <phoneticPr fontId="0"/>
      </is>
    </oc>
    <nc r="J5" t="inlineStr">
      <is>
        <r>
          <t xml:space="preserve">25/10/10（梅村）
11月3日週の設置作業日にTY8へ納品してください。
現地作業の正確な日付は顧客との調整が必要なため少々お待ちください。
日程提示の期限はございますでしょうか。
⇒(2025/10/10MB返答)人員調整がございますので、
２週間前を目安にご提示願いますか。
</t>
        </r>
        <r>
          <rPr>
            <sz val="11"/>
            <color rgb="FFFF0000"/>
            <rFont val="ＭＳ Ｐゴシック"/>
            <family val="3"/>
            <charset val="128"/>
          </rPr>
          <t>25/11/4（梅村）課題管理票#7</t>
        </r>
        <r>
          <rPr>
            <sz val="11"/>
            <rFont val="ＭＳ Ｐゴシック"/>
            <family val="3"/>
            <charset val="128"/>
          </rPr>
          <t xml:space="preserve">
</t>
        </r>
        <rPh sb="9" eb="11">
          <t>ウメムラ</t>
        </rPh>
        <rPh sb="15" eb="16">
          <t>ガツ</t>
        </rPh>
        <rPh sb="17" eb="18">
          <t>ニチ</t>
        </rPh>
        <rPh sb="18" eb="19">
          <t>シュウ</t>
        </rPh>
        <rPh sb="20" eb="24">
          <t>セッチサギョウ</t>
        </rPh>
        <rPh sb="24" eb="25">
          <t>ビ</t>
        </rPh>
        <rPh sb="30" eb="32">
          <t>ノウヒン</t>
        </rPh>
        <rPh sb="40" eb="44">
          <t>ゲンチサギョウ</t>
        </rPh>
        <rPh sb="45" eb="47">
          <t>セイカク</t>
        </rPh>
        <rPh sb="48" eb="50">
          <t>ヒヅケ</t>
        </rPh>
        <rPh sb="51" eb="53">
          <t>コキャク</t>
        </rPh>
        <rPh sb="55" eb="57">
          <t>チョウセイ</t>
        </rPh>
        <rPh sb="58" eb="60">
          <t>ヒツヨウ</t>
        </rPh>
        <rPh sb="63" eb="67">
          <t>ショウショウオマ</t>
        </rPh>
        <rPh sb="74" eb="76">
          <t>ニッテイ</t>
        </rPh>
        <rPh sb="76" eb="78">
          <t>テイジ</t>
        </rPh>
        <rPh sb="79" eb="81">
          <t>キゲン</t>
        </rPh>
        <rPh sb="111" eb="115">
          <t>ジンインチョウセイ</t>
        </rPh>
        <rPh sb="126" eb="129">
          <t>シュウカンマエ</t>
        </rPh>
        <rPh sb="130" eb="132">
          <t>メヤス</t>
        </rPh>
        <rPh sb="134" eb="136">
          <t>テイジ</t>
        </rPh>
        <rPh sb="136" eb="137">
          <t>ネガ</t>
        </rPh>
        <rPh sb="152" eb="154">
          <t>ウメムラ</t>
        </rPh>
        <rPh sb="155" eb="159">
          <t>カダイカンリ</t>
        </rPh>
        <rPh sb="159" eb="160">
          <t>ヒョウ</t>
        </rPh>
        <phoneticPr fontId="0"/>
      </is>
    </nc>
  </rcc>
  <rcc rId="39" sId="1">
    <oc r="B5" t="inlineStr">
      <is>
        <t>待ち</t>
      </is>
    </oc>
    <nc r="B5" t="inlineStr">
      <is>
        <t>済み</t>
      </is>
    </nc>
  </rcc>
  <rfmt sheetId="1" sqref="A5:J5">
    <dxf>
      <fill>
        <patternFill patternType="solid">
          <bgColor theme="0" tint="-0.249977111117893"/>
        </patternFill>
      </fill>
    </dxf>
  </rfmt>
  <rcv guid="{889DFE70-51E2-4577-A223-B91FC2FEDECF}" action="delete"/>
  <rcv guid="{889DFE70-51E2-4577-A223-B91FC2FEDECF}" action="add"/>
</revisions>
</file>

<file path=xl/revisions/revisionLog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0" sId="1">
    <oc r="J6" t="inlineStr">
      <is>
        <t>25/10/09（平松）
おそらく一時受け取り可能。
ハーフラックの完成が10月中旬の予定のため、完成後現状確認に行きます。
現地確認の際に、正確な対応方法を確認いたしますので、少々お待ちください。</t>
        <rPh sb="9" eb="11">
          <t>ヒラマツ</t>
        </rPh>
        <rPh sb="17" eb="19">
          <t>イチジ</t>
        </rPh>
        <rPh sb="19" eb="20">
          <t>ウ</t>
        </rPh>
        <rPh sb="21" eb="22">
          <t>ト</t>
        </rPh>
        <rPh sb="23" eb="25">
          <t>カノウ</t>
        </rPh>
        <rPh sb="34" eb="36">
          <t>カンセイ</t>
        </rPh>
        <rPh sb="39" eb="40">
          <t>ガツ</t>
        </rPh>
        <rPh sb="40" eb="42">
          <t>チュウジュン</t>
        </rPh>
        <rPh sb="43" eb="45">
          <t>ヨテイ</t>
        </rPh>
        <rPh sb="49" eb="52">
          <t>カンセイゴ</t>
        </rPh>
        <rPh sb="52" eb="54">
          <t>ゲンジョウ</t>
        </rPh>
        <rPh sb="54" eb="56">
          <t>カクニン</t>
        </rPh>
        <rPh sb="57" eb="58">
          <t>イ</t>
        </rPh>
        <rPh sb="63" eb="67">
          <t>ゲンチカクニン</t>
        </rPh>
        <rPh sb="68" eb="69">
          <t>サイ</t>
        </rPh>
        <rPh sb="71" eb="73">
          <t>セイカク</t>
        </rPh>
        <rPh sb="74" eb="76">
          <t>タイオウ</t>
        </rPh>
        <rPh sb="76" eb="78">
          <t>ホウホウ</t>
        </rPh>
        <rPh sb="79" eb="81">
          <t>カクニン</t>
        </rPh>
        <rPh sb="89" eb="91">
          <t>ショウショウ</t>
        </rPh>
        <rPh sb="92" eb="93">
          <t>マ</t>
        </rPh>
        <phoneticPr fontId="0"/>
      </is>
    </oc>
    <nc r="J6" t="inlineStr">
      <is>
        <r>
          <t xml:space="preserve">25/10/09（平松）
おそらく一時受け取り可能。
ハーフラックの完成が10月中旬の予定のため、完成後現状確認に行きます。
現地確認の際に、正確な対応方法を確認いたしますので、少々お待ちください。
</t>
        </r>
        <r>
          <rPr>
            <sz val="11"/>
            <color rgb="FFFF0000"/>
            <rFont val="ＭＳ Ｐゴシック"/>
            <family val="3"/>
            <charset val="128"/>
          </rPr>
          <t>25/11/4（梅村）課題管理票#12</t>
        </r>
        <rPh sb="9" eb="11">
          <t>ヒラマツ</t>
        </rPh>
        <rPh sb="17" eb="19">
          <t>イチジ</t>
        </rPh>
        <rPh sb="19" eb="20">
          <t>ウ</t>
        </rPh>
        <rPh sb="21" eb="22">
          <t>ト</t>
        </rPh>
        <rPh sb="23" eb="25">
          <t>カノウ</t>
        </rPh>
        <rPh sb="34" eb="36">
          <t>カンセイ</t>
        </rPh>
        <rPh sb="39" eb="40">
          <t>ガツ</t>
        </rPh>
        <rPh sb="40" eb="42">
          <t>チュウジュン</t>
        </rPh>
        <rPh sb="43" eb="45">
          <t>ヨテイ</t>
        </rPh>
        <rPh sb="49" eb="52">
          <t>カンセイゴ</t>
        </rPh>
        <rPh sb="52" eb="54">
          <t>ゲンジョウ</t>
        </rPh>
        <rPh sb="54" eb="56">
          <t>カクニン</t>
        </rPh>
        <rPh sb="57" eb="58">
          <t>イ</t>
        </rPh>
        <rPh sb="63" eb="67">
          <t>ゲンチカクニン</t>
        </rPh>
        <rPh sb="68" eb="69">
          <t>サイ</t>
        </rPh>
        <rPh sb="71" eb="73">
          <t>セイカク</t>
        </rPh>
        <rPh sb="74" eb="76">
          <t>タイオウ</t>
        </rPh>
        <rPh sb="76" eb="78">
          <t>ホウホウ</t>
        </rPh>
        <rPh sb="79" eb="81">
          <t>カクニン</t>
        </rPh>
        <rPh sb="89" eb="91">
          <t>ショウショウ</t>
        </rPh>
        <rPh sb="92" eb="93">
          <t>マ</t>
        </rPh>
        <phoneticPr fontId="0"/>
      </is>
    </nc>
  </rcc>
  <rcc rId="41" sId="1">
    <oc r="B6" t="inlineStr">
      <is>
        <t>待ち</t>
      </is>
    </oc>
    <nc r="B6" t="inlineStr">
      <is>
        <t>済み</t>
      </is>
    </nc>
  </rcc>
  <rfmt sheetId="1" sqref="A6:J6">
    <dxf>
      <fill>
        <patternFill>
          <bgColor theme="0" tint="-0.249977111117893"/>
        </patternFill>
      </fill>
    </dxf>
  </rfmt>
  <rcv guid="{889DFE70-51E2-4577-A223-B91FC2FEDECF}" action="delete"/>
  <rcv guid="{889DFE70-51E2-4577-A223-B91FC2FEDECF}" action="add"/>
</revisions>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2">
  <userInfo guid="{9E0FA59D-753E-4806-B57A-77C8CDA4959B}" name="野田　雄資-MSYS" id="-1665761170" dateTime="2025-11-06T13:03:07"/>
  <userInfo guid="{9E0FA59D-753E-4806-B57A-77C8CDA4959B}" name="野田　雄資-MSYS" id="-1665751317" dateTime="2025-11-06T13:40:42"/>
</user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7" Type="http://schemas.openxmlformats.org/officeDocument/2006/relationships/printerSettings" Target="../printerSettings/printerSettings7.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7"/>
  <sheetViews>
    <sheetView tabSelected="1" zoomScale="70" zoomScaleNormal="70" workbookViewId="0">
      <pane ySplit="1" topLeftCell="A2" activePane="bottomLeft" state="frozen"/>
      <selection pane="bottomLeft" activeCell="J8" sqref="J8"/>
    </sheetView>
  </sheetViews>
  <sheetFormatPr defaultColWidth="9" defaultRowHeight="13.5" x14ac:dyDescent="0.15"/>
  <cols>
    <col min="1" max="1" width="5.5" style="25" customWidth="1"/>
    <col min="2" max="2" width="9" style="6"/>
    <col min="3" max="3" width="28.625" style="6" customWidth="1"/>
    <col min="4" max="4" width="52.125" style="6" customWidth="1"/>
    <col min="5" max="5" width="16.5" style="6" customWidth="1"/>
    <col min="6" max="6" width="13.125" style="6" customWidth="1"/>
    <col min="7" max="7" width="11.625" style="6" bestFit="1" customWidth="1"/>
    <col min="8" max="8" width="13.5" style="6" customWidth="1"/>
    <col min="9" max="9" width="13.375" style="6" customWidth="1"/>
    <col min="10" max="10" width="70.125" style="6" customWidth="1"/>
    <col min="11" max="16384" width="9" style="6"/>
  </cols>
  <sheetData>
    <row r="1" spans="1:11" s="2" customFormat="1" ht="24" customHeight="1" x14ac:dyDescent="0.15">
      <c r="A1" s="1" t="s">
        <v>0</v>
      </c>
      <c r="B1" s="1" t="s">
        <v>1</v>
      </c>
      <c r="C1" s="1" t="s">
        <v>3</v>
      </c>
      <c r="D1" s="1" t="s">
        <v>29</v>
      </c>
      <c r="E1" s="1" t="s">
        <v>27</v>
      </c>
      <c r="F1" s="1" t="s">
        <v>28</v>
      </c>
      <c r="G1" s="1" t="s">
        <v>30</v>
      </c>
      <c r="H1" s="1" t="s">
        <v>31</v>
      </c>
      <c r="I1" s="1" t="s">
        <v>32</v>
      </c>
      <c r="J1" s="1" t="s">
        <v>33</v>
      </c>
    </row>
    <row r="2" spans="1:11" x14ac:dyDescent="0.15">
      <c r="A2" s="3">
        <f>ROW()-1</f>
        <v>1</v>
      </c>
      <c r="B2" s="4" t="s">
        <v>4</v>
      </c>
      <c r="C2" s="4" t="s">
        <v>13</v>
      </c>
      <c r="D2" s="4" t="s">
        <v>6</v>
      </c>
      <c r="E2" s="5"/>
      <c r="F2" s="4" t="s">
        <v>2</v>
      </c>
      <c r="G2" s="5"/>
      <c r="H2" s="5">
        <v>45918</v>
      </c>
      <c r="I2" s="4" t="s">
        <v>52</v>
      </c>
      <c r="J2" s="4"/>
    </row>
    <row r="3" spans="1:11" ht="40.5" x14ac:dyDescent="0.15">
      <c r="A3" s="7">
        <f t="shared" ref="A3:A27" si="0">ROW()-1</f>
        <v>2</v>
      </c>
      <c r="B3" s="8" t="s">
        <v>11</v>
      </c>
      <c r="C3" s="8" t="s">
        <v>12</v>
      </c>
      <c r="D3" s="8" t="s">
        <v>21</v>
      </c>
      <c r="E3" s="9"/>
      <c r="F3" s="8" t="s">
        <v>2</v>
      </c>
      <c r="G3" s="10"/>
      <c r="H3" s="10">
        <v>45940</v>
      </c>
      <c r="I3" s="8" t="s">
        <v>2</v>
      </c>
      <c r="J3" s="8" t="s">
        <v>61</v>
      </c>
      <c r="K3" s="6" t="s">
        <v>60</v>
      </c>
    </row>
    <row r="4" spans="1:11" ht="40.5" x14ac:dyDescent="0.15">
      <c r="A4" s="3">
        <f>ROW()-1</f>
        <v>3</v>
      </c>
      <c r="B4" s="4" t="s">
        <v>4</v>
      </c>
      <c r="C4" s="4" t="s">
        <v>5</v>
      </c>
      <c r="D4" s="4" t="s">
        <v>15</v>
      </c>
      <c r="E4" s="5"/>
      <c r="F4" s="4" t="s">
        <v>2</v>
      </c>
      <c r="G4" s="5"/>
      <c r="H4" s="5" t="s">
        <v>7</v>
      </c>
      <c r="I4" s="4" t="s">
        <v>52</v>
      </c>
      <c r="J4" s="4" t="s">
        <v>48</v>
      </c>
    </row>
    <row r="5" spans="1:11" ht="129" customHeight="1" x14ac:dyDescent="0.15">
      <c r="A5" s="3">
        <f t="shared" si="0"/>
        <v>4</v>
      </c>
      <c r="B5" s="4" t="s">
        <v>4</v>
      </c>
      <c r="C5" s="4" t="s">
        <v>10</v>
      </c>
      <c r="D5" s="4" t="s">
        <v>39</v>
      </c>
      <c r="E5" s="5"/>
      <c r="F5" s="4" t="s">
        <v>2</v>
      </c>
      <c r="G5" s="11"/>
      <c r="H5" s="11">
        <v>45961</v>
      </c>
      <c r="I5" s="4" t="s">
        <v>53</v>
      </c>
      <c r="J5" s="4" t="s">
        <v>75</v>
      </c>
    </row>
    <row r="6" spans="1:11" ht="96" customHeight="1" x14ac:dyDescent="0.15">
      <c r="A6" s="3">
        <f t="shared" si="0"/>
        <v>5</v>
      </c>
      <c r="B6" s="4" t="s">
        <v>4</v>
      </c>
      <c r="C6" s="4" t="s">
        <v>18</v>
      </c>
      <c r="D6" s="4" t="s">
        <v>40</v>
      </c>
      <c r="E6" s="5"/>
      <c r="F6" s="4" t="s">
        <v>2</v>
      </c>
      <c r="G6" s="11"/>
      <c r="H6" s="11">
        <v>45961</v>
      </c>
      <c r="I6" s="4" t="s">
        <v>52</v>
      </c>
      <c r="J6" s="4" t="s">
        <v>76</v>
      </c>
    </row>
    <row r="7" spans="1:11" ht="101.45" customHeight="1" x14ac:dyDescent="0.15">
      <c r="A7" s="3">
        <f t="shared" si="0"/>
        <v>6</v>
      </c>
      <c r="B7" s="4" t="s">
        <v>4</v>
      </c>
      <c r="C7" s="4" t="s">
        <v>14</v>
      </c>
      <c r="D7" s="4" t="s">
        <v>41</v>
      </c>
      <c r="E7" s="5"/>
      <c r="F7" s="4" t="s">
        <v>2</v>
      </c>
      <c r="G7" s="11"/>
      <c r="H7" s="11"/>
      <c r="I7" s="4" t="s">
        <v>52</v>
      </c>
      <c r="J7" s="4" t="s">
        <v>64</v>
      </c>
    </row>
    <row r="8" spans="1:11" ht="66" customHeight="1" x14ac:dyDescent="0.15">
      <c r="A8" s="3">
        <f t="shared" si="0"/>
        <v>7</v>
      </c>
      <c r="B8" s="4" t="s">
        <v>4</v>
      </c>
      <c r="C8" s="4" t="s">
        <v>22</v>
      </c>
      <c r="D8" s="4" t="s">
        <v>72</v>
      </c>
      <c r="E8" s="5"/>
      <c r="F8" s="4" t="s">
        <v>52</v>
      </c>
      <c r="G8" s="11"/>
      <c r="H8" s="11" t="s">
        <v>25</v>
      </c>
      <c r="I8" s="4" t="s">
        <v>24</v>
      </c>
      <c r="J8" s="4" t="s">
        <v>50</v>
      </c>
    </row>
    <row r="9" spans="1:11" ht="44.45" customHeight="1" x14ac:dyDescent="0.15">
      <c r="A9" s="3">
        <f t="shared" si="0"/>
        <v>8</v>
      </c>
      <c r="B9" s="4" t="s">
        <v>4</v>
      </c>
      <c r="C9" s="4" t="s">
        <v>23</v>
      </c>
      <c r="D9" s="4" t="s">
        <v>26</v>
      </c>
      <c r="E9" s="5"/>
      <c r="F9" s="4" t="s">
        <v>24</v>
      </c>
      <c r="G9" s="11"/>
      <c r="H9" s="11">
        <v>45937</v>
      </c>
      <c r="I9" s="4" t="s">
        <v>52</v>
      </c>
      <c r="J9" s="4" t="s">
        <v>49</v>
      </c>
    </row>
    <row r="10" spans="1:11" ht="374.25" customHeight="1" x14ac:dyDescent="0.15">
      <c r="A10" s="3">
        <f t="shared" si="0"/>
        <v>9</v>
      </c>
      <c r="B10" s="4" t="s">
        <v>4</v>
      </c>
      <c r="C10" s="4" t="s">
        <v>20</v>
      </c>
      <c r="D10" s="4" t="s">
        <v>9</v>
      </c>
      <c r="E10" s="5"/>
      <c r="F10" s="4" t="s">
        <v>2</v>
      </c>
      <c r="G10" s="11">
        <v>45933</v>
      </c>
      <c r="H10" s="11">
        <v>45961</v>
      </c>
      <c r="I10" s="4" t="s">
        <v>53</v>
      </c>
      <c r="J10" s="4" t="s">
        <v>74</v>
      </c>
    </row>
    <row r="11" spans="1:11" ht="409.15" customHeight="1" x14ac:dyDescent="0.15">
      <c r="A11" s="12">
        <f t="shared" si="0"/>
        <v>10</v>
      </c>
      <c r="B11" s="13" t="s">
        <v>4</v>
      </c>
      <c r="C11" s="13" t="s">
        <v>17</v>
      </c>
      <c r="D11" s="13" t="s">
        <v>16</v>
      </c>
      <c r="E11" s="14" t="s">
        <v>42</v>
      </c>
      <c r="F11" s="13" t="s">
        <v>2</v>
      </c>
      <c r="G11" s="15"/>
      <c r="H11" s="15">
        <v>45936</v>
      </c>
      <c r="I11" s="13" t="s">
        <v>19</v>
      </c>
      <c r="J11" s="13" t="s">
        <v>34</v>
      </c>
    </row>
    <row r="12" spans="1:11" ht="106.9" customHeight="1" x14ac:dyDescent="0.15">
      <c r="A12" s="16">
        <f t="shared" si="0"/>
        <v>11</v>
      </c>
      <c r="B12" s="17" t="s">
        <v>4</v>
      </c>
      <c r="C12" s="18" t="s">
        <v>35</v>
      </c>
      <c r="D12" s="18" t="s">
        <v>36</v>
      </c>
      <c r="E12" s="19">
        <v>45937</v>
      </c>
      <c r="F12" s="17" t="s">
        <v>2</v>
      </c>
      <c r="G12" s="20"/>
      <c r="H12" s="20"/>
      <c r="I12" s="13" t="s">
        <v>19</v>
      </c>
      <c r="J12" s="17" t="s">
        <v>63</v>
      </c>
    </row>
    <row r="13" spans="1:11" ht="28.9" customHeight="1" x14ac:dyDescent="0.15">
      <c r="A13" s="3">
        <f t="shared" si="0"/>
        <v>12</v>
      </c>
      <c r="B13" s="4" t="s">
        <v>4</v>
      </c>
      <c r="C13" s="4" t="s">
        <v>37</v>
      </c>
      <c r="D13" s="4" t="s">
        <v>38</v>
      </c>
      <c r="E13" s="5">
        <v>45937</v>
      </c>
      <c r="F13" s="4" t="s">
        <v>52</v>
      </c>
      <c r="G13" s="11"/>
      <c r="H13" s="11">
        <v>45937</v>
      </c>
      <c r="I13" s="4" t="s">
        <v>2</v>
      </c>
      <c r="J13" s="4" t="s">
        <v>51</v>
      </c>
    </row>
    <row r="14" spans="1:11" ht="60" customHeight="1" x14ac:dyDescent="0.15">
      <c r="A14" s="21">
        <f t="shared" si="0"/>
        <v>13</v>
      </c>
      <c r="B14" s="22" t="s">
        <v>4</v>
      </c>
      <c r="C14" s="22" t="s">
        <v>45</v>
      </c>
      <c r="D14" s="22" t="s">
        <v>46</v>
      </c>
      <c r="E14" s="23">
        <v>45938</v>
      </c>
      <c r="F14" s="22" t="s">
        <v>2</v>
      </c>
      <c r="G14" s="24"/>
      <c r="H14" s="24">
        <v>45932</v>
      </c>
      <c r="I14" s="22" t="s">
        <v>2</v>
      </c>
      <c r="J14" s="22" t="s">
        <v>70</v>
      </c>
      <c r="K14" s="6" t="s">
        <v>59</v>
      </c>
    </row>
    <row r="15" spans="1:11" ht="45.6" customHeight="1" x14ac:dyDescent="0.15">
      <c r="A15" s="7">
        <f t="shared" si="0"/>
        <v>14</v>
      </c>
      <c r="B15" s="8" t="s">
        <v>8</v>
      </c>
      <c r="C15" s="8" t="s">
        <v>43</v>
      </c>
      <c r="D15" s="8" t="s">
        <v>44</v>
      </c>
      <c r="E15" s="9">
        <v>45938</v>
      </c>
      <c r="F15" s="8" t="s">
        <v>2</v>
      </c>
      <c r="G15" s="10"/>
      <c r="H15" s="10"/>
      <c r="I15" s="8"/>
      <c r="J15" s="8" t="s">
        <v>47</v>
      </c>
      <c r="K15" s="6" t="s">
        <v>59</v>
      </c>
    </row>
    <row r="16" spans="1:11" ht="42.6" customHeight="1" x14ac:dyDescent="0.15">
      <c r="A16" s="7">
        <f t="shared" si="0"/>
        <v>15</v>
      </c>
      <c r="B16" s="8" t="s">
        <v>8</v>
      </c>
      <c r="C16" s="8" t="s">
        <v>56</v>
      </c>
      <c r="D16" s="8" t="s">
        <v>57</v>
      </c>
      <c r="E16" s="9">
        <v>45938</v>
      </c>
      <c r="F16" s="8" t="s">
        <v>2</v>
      </c>
      <c r="G16" s="10"/>
      <c r="H16" s="10"/>
      <c r="I16" s="8"/>
      <c r="J16" s="8" t="s">
        <v>58</v>
      </c>
      <c r="K16" s="6" t="s">
        <v>59</v>
      </c>
    </row>
    <row r="17" spans="1:10" ht="55.9" customHeight="1" x14ac:dyDescent="0.15">
      <c r="A17" s="21">
        <f>ROW()-1</f>
        <v>16</v>
      </c>
      <c r="B17" s="22" t="s">
        <v>4</v>
      </c>
      <c r="C17" s="22" t="s">
        <v>55</v>
      </c>
      <c r="D17" s="22" t="s">
        <v>54</v>
      </c>
      <c r="E17" s="23">
        <v>45940</v>
      </c>
      <c r="F17" s="22" t="s">
        <v>52</v>
      </c>
      <c r="G17" s="24"/>
      <c r="H17" s="24">
        <v>45940</v>
      </c>
      <c r="I17" s="22" t="s">
        <v>2</v>
      </c>
      <c r="J17" s="22" t="s">
        <v>62</v>
      </c>
    </row>
    <row r="18" spans="1:10" ht="27" x14ac:dyDescent="0.15">
      <c r="A18" s="3">
        <f>ROW()-1</f>
        <v>17</v>
      </c>
      <c r="B18" s="4" t="s">
        <v>4</v>
      </c>
      <c r="C18" s="4" t="s">
        <v>65</v>
      </c>
      <c r="D18" s="4" t="s">
        <v>66</v>
      </c>
      <c r="E18" s="5">
        <v>45953</v>
      </c>
      <c r="F18" s="4" t="s">
        <v>53</v>
      </c>
      <c r="G18" s="11"/>
      <c r="H18" s="11">
        <v>45953</v>
      </c>
      <c r="I18" s="4" t="s">
        <v>2</v>
      </c>
      <c r="J18" s="4" t="s">
        <v>67</v>
      </c>
    </row>
    <row r="19" spans="1:10" ht="43.9" customHeight="1" x14ac:dyDescent="0.15">
      <c r="A19" s="21">
        <f t="shared" si="0"/>
        <v>18</v>
      </c>
      <c r="B19" s="22" t="s">
        <v>4</v>
      </c>
      <c r="C19" s="22" t="s">
        <v>65</v>
      </c>
      <c r="D19" s="22" t="s">
        <v>68</v>
      </c>
      <c r="E19" s="23">
        <v>45953</v>
      </c>
      <c r="F19" s="22" t="s">
        <v>53</v>
      </c>
      <c r="G19" s="24"/>
      <c r="H19" s="24">
        <v>45953</v>
      </c>
      <c r="I19" s="22" t="s">
        <v>2</v>
      </c>
      <c r="J19" s="22" t="s">
        <v>69</v>
      </c>
    </row>
    <row r="20" spans="1:10" ht="408.6" customHeight="1" x14ac:dyDescent="0.15">
      <c r="A20" s="26">
        <f t="shared" si="0"/>
        <v>19</v>
      </c>
      <c r="B20" s="27" t="s">
        <v>4</v>
      </c>
      <c r="C20" s="27" t="s">
        <v>71</v>
      </c>
      <c r="D20" s="27" t="s">
        <v>36</v>
      </c>
      <c r="E20" s="28">
        <v>45953</v>
      </c>
      <c r="F20" s="27" t="s">
        <v>2</v>
      </c>
      <c r="G20" s="29"/>
      <c r="H20" s="29"/>
      <c r="I20" s="27" t="s">
        <v>19</v>
      </c>
      <c r="J20" s="27" t="s">
        <v>73</v>
      </c>
    </row>
    <row r="21" spans="1:10" x14ac:dyDescent="0.15">
      <c r="A21" s="7">
        <f t="shared" si="0"/>
        <v>20</v>
      </c>
      <c r="B21" s="8"/>
      <c r="C21" s="8"/>
      <c r="D21" s="8"/>
      <c r="E21" s="9"/>
      <c r="F21" s="8"/>
      <c r="G21" s="10"/>
      <c r="H21" s="10"/>
      <c r="I21" s="8"/>
      <c r="J21" s="8"/>
    </row>
    <row r="22" spans="1:10" x14ac:dyDescent="0.15">
      <c r="A22" s="7">
        <f t="shared" si="0"/>
        <v>21</v>
      </c>
      <c r="B22" s="8"/>
      <c r="C22" s="8"/>
      <c r="D22" s="8"/>
      <c r="E22" s="9"/>
      <c r="F22" s="8"/>
      <c r="G22" s="10"/>
      <c r="H22" s="10"/>
      <c r="I22" s="8"/>
      <c r="J22" s="8"/>
    </row>
    <row r="23" spans="1:10" x14ac:dyDescent="0.15">
      <c r="A23" s="7">
        <f t="shared" si="0"/>
        <v>22</v>
      </c>
      <c r="B23" s="8"/>
      <c r="C23" s="8"/>
      <c r="D23" s="8"/>
      <c r="E23" s="9"/>
      <c r="F23" s="8"/>
      <c r="G23" s="10"/>
      <c r="H23" s="10"/>
      <c r="I23" s="8"/>
      <c r="J23" s="8"/>
    </row>
    <row r="24" spans="1:10" x14ac:dyDescent="0.15">
      <c r="A24" s="7">
        <f t="shared" si="0"/>
        <v>23</v>
      </c>
      <c r="B24" s="8"/>
      <c r="C24" s="8"/>
      <c r="D24" s="8"/>
      <c r="E24" s="9"/>
      <c r="F24" s="8"/>
      <c r="G24" s="10"/>
      <c r="H24" s="10"/>
      <c r="I24" s="8"/>
      <c r="J24" s="8"/>
    </row>
    <row r="25" spans="1:10" x14ac:dyDescent="0.15">
      <c r="A25" s="7">
        <f t="shared" si="0"/>
        <v>24</v>
      </c>
      <c r="B25" s="8"/>
      <c r="C25" s="8"/>
      <c r="D25" s="8"/>
      <c r="E25" s="9"/>
      <c r="F25" s="8"/>
      <c r="G25" s="10"/>
      <c r="H25" s="10"/>
      <c r="I25" s="8"/>
      <c r="J25" s="8"/>
    </row>
    <row r="26" spans="1:10" x14ac:dyDescent="0.15">
      <c r="A26" s="7">
        <f t="shared" si="0"/>
        <v>25</v>
      </c>
      <c r="B26" s="8"/>
      <c r="C26" s="8"/>
      <c r="D26" s="8"/>
      <c r="E26" s="9"/>
      <c r="F26" s="8"/>
      <c r="G26" s="10"/>
      <c r="H26" s="10"/>
      <c r="I26" s="8"/>
      <c r="J26" s="8"/>
    </row>
    <row r="27" spans="1:10" x14ac:dyDescent="0.15">
      <c r="A27" s="7">
        <f t="shared" si="0"/>
        <v>26</v>
      </c>
      <c r="B27" s="8"/>
      <c r="C27" s="8"/>
      <c r="D27" s="8"/>
      <c r="E27" s="9"/>
      <c r="F27" s="8"/>
      <c r="G27" s="10"/>
      <c r="H27" s="10"/>
      <c r="I27" s="8"/>
      <c r="J27" s="8"/>
    </row>
  </sheetData>
  <customSheetViews>
    <customSheetView guid="{889DFE70-51E2-4577-A223-B91FC2FEDECF}" scale="70">
      <pane ySplit="1" topLeftCell="A2" activePane="bottomLeft" state="frozen"/>
      <selection pane="bottomLeft" activeCell="J8" sqref="J8"/>
      <pageMargins left="0.7" right="0.7" top="0.75" bottom="0.75" header="0.3" footer="0.3"/>
      <pageSetup paperSize="9" orientation="portrait" r:id="rId1"/>
    </customSheetView>
    <customSheetView guid="{0415A62C-54AA-40EC-B028-BE5A94400362}">
      <pane ySplit="1" topLeftCell="A17" activePane="bottomLeft" state="frozen"/>
      <selection pane="bottomLeft" activeCell="A19" sqref="A19"/>
      <pageMargins left="0.7" right="0.7" top="0.75" bottom="0.75" header="0.3" footer="0.3"/>
      <pageSetup paperSize="9" orientation="portrait" r:id="rId2"/>
    </customSheetView>
    <customSheetView guid="{AD867224-8E89-490F-B854-C8FC5124F921}">
      <pane ySplit="1" topLeftCell="A2" activePane="bottomLeft" state="frozen"/>
      <selection pane="bottomLeft"/>
      <pageMargins left="0.7" right="0.7" top="0.75" bottom="0.75" header="0.3" footer="0.3"/>
      <pageSetup paperSize="9" orientation="portrait" r:id="rId3"/>
    </customSheetView>
    <customSheetView guid="{0E517E32-69EF-4442-8249-0D1EE6DA2220}">
      <pane ySplit="1" topLeftCell="A17" activePane="bottomLeft" state="frozen"/>
      <selection pane="bottomLeft" activeCell="A18" sqref="A18"/>
      <pageMargins left="0.7" right="0.7" top="0.75" bottom="0.75" header="0.3" footer="0.3"/>
      <pageSetup paperSize="9" orientation="portrait" r:id="rId4"/>
    </customSheetView>
    <customSheetView guid="{C9438993-DB8D-4549-B5BC-3BED215A5292}">
      <pane ySplit="1" topLeftCell="A2" activePane="bottomLeft" state="frozen"/>
      <selection pane="bottomLeft"/>
      <pageMargins left="0.7" right="0.7" top="0.75" bottom="0.75" header="0.3" footer="0.3"/>
      <pageSetup paperSize="9" orientation="portrait" r:id="rId5"/>
    </customSheetView>
    <customSheetView guid="{04E92500-75E2-4221-A5A5-64FBD2AE3328}" scale="70" hiddenRows="1">
      <pane ySplit="1" topLeftCell="A10" activePane="bottomLeft" state="frozen"/>
      <selection pane="bottomLeft" activeCell="J20" sqref="J20"/>
      <pageMargins left="0.7" right="0.7" top="0.75" bottom="0.75" header="0.3" footer="0.3"/>
      <pageSetup paperSize="9" orientation="portrait" r:id="rId6"/>
    </customSheetView>
  </customSheetViews>
  <phoneticPr fontId="1"/>
  <dataValidations count="2">
    <dataValidation allowBlank="1" showInputMessage="1" sqref="C1:D1048576" xr:uid="{00000000-0002-0000-0000-000000000000}"/>
    <dataValidation type="list" allowBlank="1" showInputMessage="1" sqref="B1:B1048576" xr:uid="{FE38452D-5A51-46F8-B5D5-AA5222D6E776}">
      <formula1>"待ち,保留,済み"</formula1>
    </dataValidation>
  </dataValidations>
  <pageMargins left="0.7" right="0.7" top="0.75" bottom="0.75" header="0.3" footer="0.3"/>
  <pageSetup paperSize="9" orientation="portrait"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Animo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小林 陽一</dc:creator>
  <cp:lastModifiedBy>Umemura Mitsuo-I-DIGIO</cp:lastModifiedBy>
  <dcterms:created xsi:type="dcterms:W3CDTF">2020-10-22T03:34:07Z</dcterms:created>
  <dcterms:modified xsi:type="dcterms:W3CDTF">2025-11-04T02:34:03Z</dcterms:modified>
</cp:coreProperties>
</file>