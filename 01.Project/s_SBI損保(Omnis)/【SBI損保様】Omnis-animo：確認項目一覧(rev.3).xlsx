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21526.MJSDM\Dashboard\01.Develop\01.Project\s_SBI損保(Omnis)\"/>
    </mc:Choice>
  </mc:AlternateContent>
  <xr:revisionPtr revIDLastSave="0" documentId="13_ncr:1_{539D6785-CBDD-48BD-8701-7D4BCBB77D61}" xr6:coauthVersionLast="47" xr6:coauthVersionMax="47" xr10:uidLastSave="{00000000-0000-0000-0000-000000000000}"/>
  <bookViews>
    <workbookView xWindow="-120" yWindow="-16320" windowWidth="29040" windowHeight="15720" xr2:uid="{00000000-000D-0000-FFFF-FFFF00000000}"/>
  </bookViews>
  <sheets>
    <sheet name="Sheet1" sheetId="1" r:id="rId1"/>
  </sheets>
  <definedNames>
    <definedName name="_xlnm._FilterDatabase" localSheetId="0" hidden="1">Sheet1!$A$2:$H$45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22" i="1"/>
  <c r="A16" i="1"/>
  <c r="A21" i="1"/>
  <c r="A15" i="1"/>
  <c r="A7" i="1"/>
  <c r="A11" i="1"/>
  <c r="A10" i="1"/>
  <c r="A9" i="1"/>
  <c r="A6" i="1"/>
  <c r="A41" i="1"/>
  <c r="A40" i="1"/>
  <c r="A44" i="1"/>
  <c r="A43" i="1"/>
  <c r="A42" i="1"/>
  <c r="A39" i="1"/>
  <c r="A38" i="1"/>
  <c r="A37" i="1"/>
  <c r="A36" i="1"/>
  <c r="A35" i="1"/>
  <c r="A34" i="1"/>
  <c r="A33" i="1"/>
  <c r="A32" i="1"/>
  <c r="A31" i="1" l="1"/>
  <c r="A30" i="1"/>
  <c r="A29" i="1"/>
  <c r="A28" i="1"/>
  <c r="A27" i="1"/>
  <c r="A5" i="1"/>
  <c r="A4" i="1"/>
  <c r="A3" i="1"/>
  <c r="A45" i="1"/>
  <c r="A26" i="1"/>
  <c r="A20" i="1"/>
  <c r="A25" i="1"/>
  <c r="A19" i="1"/>
  <c r="A24" i="1"/>
  <c r="A18" i="1"/>
  <c r="A23" i="1"/>
  <c r="A17" i="1"/>
  <c r="A14" i="1"/>
  <c r="A13" i="1"/>
  <c r="A12" i="1"/>
</calcChain>
</file>

<file path=xl/sharedStrings.xml><?xml version="1.0" encoding="utf-8"?>
<sst xmlns="http://schemas.openxmlformats.org/spreadsheetml/2006/main" count="274" uniqueCount="90">
  <si>
    <t>No.</t>
    <phoneticPr fontId="1"/>
  </si>
  <si>
    <t>対象</t>
    <rPh sb="0" eb="2">
      <t>タイショウ</t>
    </rPh>
    <phoneticPr fontId="1"/>
  </si>
  <si>
    <t>ファイル</t>
    <phoneticPr fontId="1"/>
  </si>
  <si>
    <t>設定項目</t>
    <rPh sb="0" eb="4">
      <t>セッテイコウモク</t>
    </rPh>
    <phoneticPr fontId="1"/>
  </si>
  <si>
    <t>コメント</t>
    <phoneticPr fontId="1"/>
  </si>
  <si>
    <t>vs_config.xml</t>
    <phoneticPr fontId="1"/>
  </si>
  <si>
    <t>VTManager</t>
    <phoneticPr fontId="1"/>
  </si>
  <si>
    <t>"RecordableStationLimit" value="690"</t>
    <phoneticPr fontId="1"/>
  </si>
  <si>
    <t>"ShowStation" value="1"</t>
    <phoneticPr fontId="1"/>
  </si>
  <si>
    <t xml:space="preserve"> ”0”推奨
管理サーバのステーション管理で690内線登録可能になっています。
</t>
    <rPh sb="7" eb="9">
      <t>カンリ</t>
    </rPh>
    <rPh sb="19" eb="21">
      <t>カンリ</t>
    </rPh>
    <rPh sb="25" eb="27">
      <t>ナイセン</t>
    </rPh>
    <rPh sb="27" eb="29">
      <t>トウロク</t>
    </rPh>
    <rPh sb="29" eb="31">
      <t>カノウ</t>
    </rPh>
    <phoneticPr fontId="1"/>
  </si>
  <si>
    <t>⇒ "0"
ステーション管理は不要なため非表示へ</t>
    <rPh sb="12" eb="14">
      <t>カンリ</t>
    </rPh>
    <rPh sb="15" eb="17">
      <t>フヨウ</t>
    </rPh>
    <rPh sb="20" eb="23">
      <t>ヒヒョウジ</t>
    </rPh>
    <phoneticPr fontId="1"/>
  </si>
  <si>
    <t>確認・変更項目</t>
    <rPh sb="0" eb="2">
      <t>カクニン</t>
    </rPh>
    <rPh sb="3" eb="5">
      <t>ヘンコウ</t>
    </rPh>
    <rPh sb="5" eb="7">
      <t>コウモク</t>
    </rPh>
    <phoneticPr fontId="1"/>
  </si>
  <si>
    <t>管理サーバでステーション管理は行わないので不要です。
ユーザ様が内線登録されるのであれば、誤解を招くので非表示にしたほうがいいと思います。</t>
    <rPh sb="0" eb="2">
      <t>カンリ</t>
    </rPh>
    <rPh sb="12" eb="14">
      <t>カンリ</t>
    </rPh>
    <rPh sb="15" eb="16">
      <t>オコナ</t>
    </rPh>
    <rPh sb="21" eb="23">
      <t>フヨウ</t>
    </rPh>
    <rPh sb="30" eb="31">
      <t>サマ</t>
    </rPh>
    <rPh sb="32" eb="36">
      <t>ナイセントウロク</t>
    </rPh>
    <rPh sb="45" eb="47">
      <t>ゴカイ</t>
    </rPh>
    <rPh sb="48" eb="49">
      <t>マネ</t>
    </rPh>
    <rPh sb="52" eb="55">
      <t>ヒヒョウジ</t>
    </rPh>
    <rPh sb="64" eb="65">
      <t>オモ</t>
    </rPh>
    <phoneticPr fontId="1"/>
  </si>
  <si>
    <t>"ShowAgent" value="1"</t>
    <phoneticPr fontId="1"/>
  </si>
  <si>
    <t>VTManagerで検索再生を行わないのであれば表示不要</t>
    <phoneticPr fontId="1"/>
  </si>
  <si>
    <t>⇒ "0"
エージェント管理は不要ため非表示へ</t>
    <rPh sb="12" eb="14">
      <t>カンリ</t>
    </rPh>
    <rPh sb="15" eb="17">
      <t>フヨウ</t>
    </rPh>
    <rPh sb="19" eb="22">
      <t>ヒヒョウジ</t>
    </rPh>
    <phoneticPr fontId="1"/>
  </si>
  <si>
    <t>VTRecServer2</t>
    <phoneticPr fontId="1"/>
  </si>
  <si>
    <t>VTRecServer</t>
    <phoneticPr fontId="1"/>
  </si>
  <si>
    <t>⇒ "0"
ユーザ管理は不要ため非表示へ</t>
    <rPh sb="9" eb="11">
      <t>カンリ</t>
    </rPh>
    <rPh sb="12" eb="14">
      <t>フヨウ</t>
    </rPh>
    <rPh sb="16" eb="19">
      <t>ヒヒョウジ</t>
    </rPh>
    <phoneticPr fontId="1"/>
  </si>
  <si>
    <t>"ShowGroupMng" value="1"</t>
    <phoneticPr fontId="1"/>
  </si>
  <si>
    <t>"ShowUserMng" value="1"</t>
    <phoneticPr fontId="1"/>
  </si>
  <si>
    <t>⇒ "0"
グループ管理は不要ため非表示へ</t>
    <rPh sb="10" eb="12">
      <t>カンリ</t>
    </rPh>
    <rPh sb="13" eb="15">
      <t>フヨウ</t>
    </rPh>
    <rPh sb="17" eb="20">
      <t>ヒヒョウジ</t>
    </rPh>
    <phoneticPr fontId="1"/>
  </si>
  <si>
    <t>"ShowPasswordChange" value="1"</t>
    <phoneticPr fontId="1"/>
  </si>
  <si>
    <t>⇒ "0"
パスワード変更ボタンは不要ため非表示へ</t>
    <rPh sb="11" eb="13">
      <t>ヘンコウ</t>
    </rPh>
    <rPh sb="17" eb="19">
      <t>フヨウ</t>
    </rPh>
    <rPh sb="21" eb="24">
      <t>ヒヒョウジ</t>
    </rPh>
    <phoneticPr fontId="1"/>
  </si>
  <si>
    <t>録音機能のみのため不要
⇒登録・更新時にエラーになります</t>
    <rPh sb="0" eb="4">
      <t>ロクオンキノウ</t>
    </rPh>
    <rPh sb="9" eb="11">
      <t>フヨウ</t>
    </rPh>
    <rPh sb="13" eb="15">
      <t>トウロク</t>
    </rPh>
    <rPh sb="16" eb="19">
      <t>コウシンジ</t>
    </rPh>
    <phoneticPr fontId="1"/>
  </si>
  <si>
    <t>⇒ "0"
ユーザ管理は不要なため非表示へ</t>
    <rPh sb="9" eb="11">
      <t>カンリ</t>
    </rPh>
    <rPh sb="12" eb="14">
      <t>フヨウ</t>
    </rPh>
    <rPh sb="17" eb="20">
      <t>ヒヒョウジ</t>
    </rPh>
    <phoneticPr fontId="1"/>
  </si>
  <si>
    <t>VTVoice</t>
    <phoneticPr fontId="1"/>
  </si>
  <si>
    <t>⇒ "0"
グループ・ロール管理は不要なため非表示へ</t>
    <rPh sb="14" eb="16">
      <t>カンリ</t>
    </rPh>
    <rPh sb="17" eb="19">
      <t>フヨウ</t>
    </rPh>
    <rPh sb="22" eb="25">
      <t>ヒヒョウジ</t>
    </rPh>
    <phoneticPr fontId="1"/>
  </si>
  <si>
    <t>Postgres</t>
    <phoneticPr fontId="1"/>
  </si>
  <si>
    <t>subscriber</t>
    <phoneticPr fontId="1"/>
  </si>
  <si>
    <t>スキーマ</t>
    <phoneticPr fontId="1"/>
  </si>
  <si>
    <t xml:space="preserve">Pub：VTManager ┬ Sub：VTRecserver
　　　　　　 　    └ Sub：VTRecserver2
上記構成であっていますか
</t>
    <rPh sb="63" eb="65">
      <t>ジョウキ</t>
    </rPh>
    <rPh sb="65" eb="67">
      <t>コウセイ</t>
    </rPh>
    <phoneticPr fontId="1"/>
  </si>
  <si>
    <t>VTRecserverがPUBLICATIONされているようです</t>
    <phoneticPr fontId="1"/>
  </si>
  <si>
    <t>VTBackup</t>
    <phoneticPr fontId="1"/>
  </si>
  <si>
    <t>VTDelete.bat</t>
    <phoneticPr fontId="1"/>
  </si>
  <si>
    <t>PacketDump.bat</t>
    <phoneticPr fontId="1"/>
  </si>
  <si>
    <t>\Device\～</t>
    <phoneticPr fontId="1"/>
  </si>
  <si>
    <t>インターフェースが指定されていません</t>
    <rPh sb="9" eb="11">
      <t>シテイ</t>
    </rPh>
    <phoneticPr fontId="1"/>
  </si>
  <si>
    <t>PacketDumpタスクが実行されていますが、空振りしています</t>
    <rPh sb="14" eb="16">
      <t>ジッコウ</t>
    </rPh>
    <rPh sb="24" eb="26">
      <t>カラブ</t>
    </rPh>
    <phoneticPr fontId="1"/>
  </si>
  <si>
    <t>ProcessMonitor.bat</t>
    <phoneticPr fontId="1"/>
  </si>
  <si>
    <t xml:space="preserve">rem cscript ProcessMonitor.vbs "C:\VTRecServer2\VTRecServer.exe" 700 500
</t>
    <phoneticPr fontId="1"/>
  </si>
  <si>
    <t xml:space="preserve">⇒有効化
VTRecServer2のプロセス監視がコメントアウトされています。
</t>
    <rPh sb="1" eb="4">
      <t>ユウコウカ</t>
    </rPh>
    <rPh sb="22" eb="24">
      <t>カンシ</t>
    </rPh>
    <phoneticPr fontId="1"/>
  </si>
  <si>
    <t>二つ目の録音サービスが監視できていません。</t>
    <rPh sb="0" eb="1">
      <t>フタ</t>
    </rPh>
    <rPh sb="2" eb="3">
      <t>メ</t>
    </rPh>
    <rPh sb="4" eb="6">
      <t>ロクオン</t>
    </rPh>
    <rPh sb="11" eb="13">
      <t>カンシ</t>
    </rPh>
    <phoneticPr fontId="1"/>
  </si>
  <si>
    <t>タスク</t>
    <phoneticPr fontId="1"/>
  </si>
  <si>
    <t>-</t>
    <phoneticPr fontId="1"/>
  </si>
  <si>
    <t>PacketDump</t>
    <phoneticPr fontId="1"/>
  </si>
  <si>
    <t>ProcessMonitor</t>
    <phoneticPr fontId="1"/>
  </si>
  <si>
    <t>不要</t>
    <rPh sb="0" eb="2">
      <t>フヨウ</t>
    </rPh>
    <phoneticPr fontId="1"/>
  </si>
  <si>
    <t>Spanのバックアップを取得していないのであれば不要です</t>
    <rPh sb="12" eb="14">
      <t>シュトク</t>
    </rPh>
    <rPh sb="24" eb="26">
      <t>フヨウ</t>
    </rPh>
    <phoneticPr fontId="1"/>
  </si>
  <si>
    <t>UsedAmountDaily</t>
    <phoneticPr fontId="1"/>
  </si>
  <si>
    <t>UsedAmountMonthly</t>
    <phoneticPr fontId="1"/>
  </si>
  <si>
    <t>課金集計していなので不要です</t>
    <rPh sb="0" eb="4">
      <t>カキンシュウケイ</t>
    </rPh>
    <rPh sb="10" eb="12">
      <t>フヨウ</t>
    </rPh>
    <phoneticPr fontId="1"/>
  </si>
  <si>
    <t>VTEraser</t>
    <phoneticPr fontId="1"/>
  </si>
  <si>
    <t>個別削除バッチは稼働していないので不要です</t>
    <rPh sb="0" eb="4">
      <t>コベツサクジョ</t>
    </rPh>
    <rPh sb="8" eb="10">
      <t>カドウ</t>
    </rPh>
    <rPh sb="17" eb="19">
      <t>フヨウ</t>
    </rPh>
    <phoneticPr fontId="1"/>
  </si>
  <si>
    <t>課金集計していなので不要です
管理サーバで実行するバッチのため録音サーバでは不要</t>
    <rPh sb="0" eb="4">
      <t>カキンシュウケイ</t>
    </rPh>
    <rPh sb="10" eb="12">
      <t>フヨウ</t>
    </rPh>
    <rPh sb="15" eb="17">
      <t>カンリ</t>
    </rPh>
    <rPh sb="21" eb="23">
      <t>ジッコウ</t>
    </rPh>
    <rPh sb="31" eb="33">
      <t>ロクオン</t>
    </rPh>
    <rPh sb="38" eb="40">
      <t>フヨウ</t>
    </rPh>
    <phoneticPr fontId="1"/>
  </si>
  <si>
    <t>個別削除バッチは稼働していないので不要です
管理サーバで実行するバッチのため録音サーバでは不要</t>
    <rPh sb="0" eb="4">
      <t>コベツサクジョ</t>
    </rPh>
    <rPh sb="8" eb="10">
      <t>カドウ</t>
    </rPh>
    <rPh sb="17" eb="19">
      <t>フヨウ</t>
    </rPh>
    <phoneticPr fontId="1"/>
  </si>
  <si>
    <t>192.168.10.0/24</t>
    <phoneticPr fontId="1"/>
  </si>
  <si>
    <t>pg_hba.conf</t>
    <phoneticPr fontId="1"/>
  </si>
  <si>
    <t>最終的に削除</t>
    <rPh sb="0" eb="3">
      <t>サイシュウテキ</t>
    </rPh>
    <rPh sb="4" eb="6">
      <t>サクジョ</t>
    </rPh>
    <phoneticPr fontId="1"/>
  </si>
  <si>
    <t>Rec2のIP割り振り前のため追加いただいていると思います。
導入前に削除いただいたうえで同確認いただいたほうがいいです。</t>
    <rPh sb="7" eb="8">
      <t>ワ</t>
    </rPh>
    <rPh sb="9" eb="10">
      <t>フ</t>
    </rPh>
    <rPh sb="11" eb="12">
      <t>マエ</t>
    </rPh>
    <rPh sb="15" eb="17">
      <t>ツイカ</t>
    </rPh>
    <rPh sb="25" eb="26">
      <t>オモ</t>
    </rPh>
    <rPh sb="31" eb="34">
      <t>ドウニュウマエ</t>
    </rPh>
    <rPh sb="35" eb="37">
      <t>サクジョ</t>
    </rPh>
    <rPh sb="45" eb="46">
      <t>ドウ</t>
    </rPh>
    <rPh sb="46" eb="48">
      <t>カクニン</t>
    </rPh>
    <phoneticPr fontId="1"/>
  </si>
  <si>
    <t>AnimoLogmon</t>
    <phoneticPr fontId="1"/>
  </si>
  <si>
    <t>AnimoLogmon.xml</t>
    <phoneticPr fontId="1"/>
  </si>
  <si>
    <t>ServiceVTRecServer2Down</t>
    <phoneticPr fontId="1"/>
  </si>
  <si>
    <t>ServiceVTRecServer2Up</t>
    <phoneticPr fontId="1"/>
  </si>
  <si>
    <t>有効化</t>
    <rPh sb="0" eb="3">
      <t>ユウコウカ</t>
    </rPh>
    <phoneticPr fontId="1"/>
  </si>
  <si>
    <t>2つ目の録音サービスのサービス監視が無効になっています</t>
    <rPh sb="2" eb="3">
      <t>メ</t>
    </rPh>
    <rPh sb="4" eb="6">
      <t>ロクオン</t>
    </rPh>
    <rPh sb="15" eb="17">
      <t>カンシ</t>
    </rPh>
    <rPh sb="18" eb="20">
      <t>ムコウ</t>
    </rPh>
    <phoneticPr fontId="1"/>
  </si>
  <si>
    <t>未設定</t>
    <rPh sb="0" eb="3">
      <t>ミセッテイ</t>
    </rPh>
    <phoneticPr fontId="1"/>
  </si>
  <si>
    <t xml:space="preserve">set VT_DELETE_DIR5="D:\VTRecServer\wav"
set VT_DELETE_DIR5_DATECOUNT=31
set VT_DELETE_DIR6="D:\VoiceTracking\data"
set VT_DELETE_DIR6_DATECOUNT=31
VTDelete.exe %VT_DELETE_DIR5% %VT_DELETE_DIR5_DATECOUNT% %VTDEL_LOGLEVEL%
VTDelete.exe %VT_DELETE_DIR6% %VT_DELETE_DIR6_DATECOUNT% %VTDEL_LOGLEVEL%
</t>
    <phoneticPr fontId="1"/>
  </si>
  <si>
    <t xml:space="preserve">rec2：
TServerName1=AVAYA#MCPAACMVIP#CSTA#MCPCAES04
TServerName2=AVAYA#MCPAACMVIP#CSTA-S#MCPCAES04
rec1：
TServerName1=AVAYA#AURA10ACM#CSTA#AURA10AES02
TServerName2=AVAYA#AURA10ACM#CSTA-S#AURA10AES02
</t>
    <phoneticPr fontId="1"/>
  </si>
  <si>
    <t>rec2のAES設定は正しいでしょうか</t>
    <phoneticPr fontId="1"/>
  </si>
  <si>
    <t>AES接続先の見直しをお願いします</t>
    <rPh sb="3" eb="6">
      <t>セツゾクサキ</t>
    </rPh>
    <rPh sb="7" eb="9">
      <t>ミナオ</t>
    </rPh>
    <rPh sb="12" eb="13">
      <t>ネガ</t>
    </rPh>
    <phoneticPr fontId="1"/>
  </si>
  <si>
    <t>VTRecServer.ini</t>
    <phoneticPr fontId="1"/>
  </si>
  <si>
    <t>TSAPIClient.ini</t>
    <phoneticPr fontId="1"/>
  </si>
  <si>
    <t>VTRecServer
VTRecServer2</t>
    <phoneticPr fontId="1"/>
  </si>
  <si>
    <t>サーバ（ホスト名）</t>
    <rPh sb="7" eb="8">
      <t>メイ</t>
    </rPh>
    <phoneticPr fontId="1"/>
  </si>
  <si>
    <t xml:space="preserve">NumberOfRecorder
Rec1：80
Rec2：200
</t>
    <phoneticPr fontId="1"/>
  </si>
  <si>
    <t xml:space="preserve">ライセンスファイルはAnimoからすでに提供済みのものなのでしょうか。
</t>
    <phoneticPr fontId="1"/>
  </si>
  <si>
    <t>;PrimaryServerURL=http://10.100.0.2/api/call</t>
    <phoneticPr fontId="1"/>
  </si>
  <si>
    <t>omnis-SBI-Tokyo-1.lic
omnis-SBI-Tokyo-2.lic</t>
    <phoneticPr fontId="1"/>
  </si>
  <si>
    <t>コメントアウトしていますが正しいでしょうか</t>
    <rPh sb="13" eb="14">
      <t>タダ</t>
    </rPh>
    <phoneticPr fontId="1"/>
  </si>
  <si>
    <t xml:space="preserve">※録音サービス2つ起動し、251内線以上録音する場合はRec1側の対象内線数は250に指定する必要があります。
</t>
    <rPh sb="1" eb="3">
      <t>ロクオン</t>
    </rPh>
    <rPh sb="9" eb="11">
      <t>キドウ</t>
    </rPh>
    <rPh sb="16" eb="20">
      <t>ナイセンイジョウ</t>
    </rPh>
    <rPh sb="20" eb="22">
      <t>ロクオン</t>
    </rPh>
    <rPh sb="24" eb="26">
      <t>バアイ</t>
    </rPh>
    <rPh sb="31" eb="32">
      <t>ガワ</t>
    </rPh>
    <rPh sb="33" eb="38">
      <t>タイショウナイセンスウ</t>
    </rPh>
    <rPh sb="43" eb="45">
      <t>シテイ</t>
    </rPh>
    <rPh sb="47" eb="49">
      <t>ヒツヨウ</t>
    </rPh>
    <phoneticPr fontId="1"/>
  </si>
  <si>
    <t>納入スケジュール不明ですが、250以上になるタイミングで修正が必要です(Licファイルにも依存します）
現状ですとRec2のサービス稼働確認が取れません。
⇒PoC期間用に80Lic提供いただいている理解でしょうか。</t>
    <rPh sb="0" eb="2">
      <t>ノウニュウ</t>
    </rPh>
    <rPh sb="8" eb="10">
      <t>フメイ</t>
    </rPh>
    <rPh sb="17" eb="19">
      <t>イジョウ</t>
    </rPh>
    <rPh sb="28" eb="30">
      <t>シュウセイ</t>
    </rPh>
    <rPh sb="31" eb="33">
      <t>ヒツヨウ</t>
    </rPh>
    <rPh sb="45" eb="47">
      <t>イゾン</t>
    </rPh>
    <rPh sb="52" eb="54">
      <t>ゲンジョウ</t>
    </rPh>
    <rPh sb="66" eb="70">
      <t>カドウカクニン</t>
    </rPh>
    <rPh sb="71" eb="72">
      <t>ト</t>
    </rPh>
    <rPh sb="82" eb="84">
      <t>キカン</t>
    </rPh>
    <rPh sb="84" eb="85">
      <t>ヨウ</t>
    </rPh>
    <rPh sb="91" eb="93">
      <t>テイキョウ</t>
    </rPh>
    <rPh sb="100" eb="102">
      <t>リカイ</t>
    </rPh>
    <phoneticPr fontId="1"/>
  </si>
  <si>
    <r>
      <t xml:space="preserve">omnis-SBI-Tokyo-1.lic：80
omnis-SBI-Tokyo-2.lic：200
</t>
    </r>
    <r>
      <rPr>
        <sz val="11"/>
        <color rgb="FFFF0000"/>
        <rFont val="Yu Gothic"/>
        <family val="3"/>
        <charset val="128"/>
        <scheme val="minor"/>
      </rPr>
      <t xml:space="preserve">⇒PoC期間用に80Lic提供いただいている理解でしょうか。
</t>
    </r>
    <phoneticPr fontId="1"/>
  </si>
  <si>
    <t>VTRecServerと同一構成の認識です。
録音サーバローカルに音声ファイルを保持するのであれば必要です。</t>
    <rPh sb="12" eb="16">
      <t>ドウイツコウセイ</t>
    </rPh>
    <rPh sb="17" eb="19">
      <t>ニンシキ</t>
    </rPh>
    <rPh sb="23" eb="25">
      <t>ロクオン</t>
    </rPh>
    <rPh sb="33" eb="35">
      <t>オンセイ</t>
    </rPh>
    <rPh sb="40" eb="42">
      <t>ホジ</t>
    </rPh>
    <rPh sb="49" eb="51">
      <t>ヒツヨウ</t>
    </rPh>
    <phoneticPr fontId="1"/>
  </si>
  <si>
    <t>管理画面でステーションメニューを閉じればこのままでもいいですが、遷移可能な場合、操作上は内線登録可能なため不可にしておいたほうがいいと思います。</t>
    <rPh sb="0" eb="2">
      <t>カンリ</t>
    </rPh>
    <rPh sb="2" eb="4">
      <t>ガメン</t>
    </rPh>
    <rPh sb="16" eb="17">
      <t>ト</t>
    </rPh>
    <rPh sb="32" eb="34">
      <t>センイ</t>
    </rPh>
    <rPh sb="34" eb="36">
      <t>カノウ</t>
    </rPh>
    <rPh sb="37" eb="39">
      <t>バアイ</t>
    </rPh>
    <rPh sb="40" eb="42">
      <t>ソウサ</t>
    </rPh>
    <rPh sb="42" eb="43">
      <t>ウエ</t>
    </rPh>
    <rPh sb="44" eb="48">
      <t>ナイセントウロク</t>
    </rPh>
    <rPh sb="48" eb="50">
      <t>カノウ</t>
    </rPh>
    <rPh sb="53" eb="55">
      <t>フカ</t>
    </rPh>
    <rPh sb="67" eb="68">
      <t>オモ</t>
    </rPh>
    <phoneticPr fontId="1"/>
  </si>
  <si>
    <t>録音系サービスは実行しないので不要です</t>
    <rPh sb="0" eb="2">
      <t>ロクオン</t>
    </rPh>
    <rPh sb="2" eb="3">
      <t>ケイ</t>
    </rPh>
    <rPh sb="8" eb="10">
      <t>ジッコウ</t>
    </rPh>
    <rPh sb="15" eb="17">
      <t>フヨウ</t>
    </rPh>
    <phoneticPr fontId="1"/>
  </si>
  <si>
    <t>Rec2のIP割り振り前のため追加いただいていると思います。
導入前に削除いただいたうえで動作確認いただいたほうがいいです。</t>
    <rPh sb="7" eb="8">
      <t>ワ</t>
    </rPh>
    <rPh sb="9" eb="10">
      <t>フ</t>
    </rPh>
    <rPh sb="11" eb="12">
      <t>マエ</t>
    </rPh>
    <rPh sb="15" eb="17">
      <t>ツイカ</t>
    </rPh>
    <rPh sb="25" eb="26">
      <t>オモ</t>
    </rPh>
    <rPh sb="31" eb="34">
      <t>ドウニュウマエ</t>
    </rPh>
    <rPh sb="35" eb="37">
      <t>サクジョ</t>
    </rPh>
    <rPh sb="45" eb="47">
      <t>ドウサ</t>
    </rPh>
    <rPh sb="47" eb="49">
      <t>カクニン</t>
    </rPh>
    <phoneticPr fontId="1"/>
  </si>
  <si>
    <t>修正箇所</t>
    <rPh sb="0" eb="4">
      <t>シュウセイカショ</t>
    </rPh>
    <phoneticPr fontId="1"/>
  </si>
  <si>
    <t>●</t>
    <phoneticPr fontId="1"/>
  </si>
  <si>
    <t>〇
POC終了時に対応</t>
    <rPh sb="5" eb="7">
      <t>シュウリョウ</t>
    </rPh>
    <rPh sb="7" eb="8">
      <t>ジ</t>
    </rPh>
    <rPh sb="9" eb="11">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</si>
</sst>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sz val="11"/>
      <color rgb="FFFF0000"/>
      <name val="Yu Gothic"/>
      <family val="3"/>
      <charset val="128"/>
      <scheme val="minor"/>
    </font>
  </fonts>
  <fills count="6">
    <fill>
      <patternFill patternType="none"/>
    </fill>
    <fill>
      <patternFill patternType="gray125"/>
    </fill>
    <fill>
      <patternFill patternType="solid">
        <fgColor theme="0" tint="-0.14996795556505021"/>
        <bgColor indexed="64"/>
      </patternFill>
    </fill>
    <fill>
      <patternFill patternType="solid">
        <fgColor rgb="FFFFEFFD"/>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2" borderId="1" xfId="0" applyFill="1" applyBorder="1" applyAlignment="1">
      <alignment vertical="top"/>
    </xf>
    <xf numFmtId="0" fontId="0" fillId="0" borderId="0" xfId="0"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0" fillId="3" borderId="1" xfId="0" quotePrefix="1"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1" xfId="0" quotePrefix="1" applyFill="1" applyBorder="1" applyAlignment="1">
      <alignment vertical="top"/>
    </xf>
    <xf numFmtId="0" fontId="0" fillId="5" borderId="1" xfId="0" applyFill="1" applyBorder="1" applyAlignment="1">
      <alignment vertical="top"/>
    </xf>
    <xf numFmtId="0" fontId="0" fillId="5" borderId="1" xfId="0" applyFill="1" applyBorder="1" applyAlignment="1">
      <alignment vertical="top" wrapText="1"/>
    </xf>
    <xf numFmtId="0" fontId="0" fillId="5" borderId="1" xfId="0" quotePrefix="1" applyFill="1" applyBorder="1" applyAlignment="1">
      <alignment vertical="top"/>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2" fillId="4" borderId="1" xfId="0" applyFont="1" applyFill="1" applyBorder="1" applyAlignment="1">
      <alignment horizontal="center" vertical="center" wrapText="1"/>
    </xf>
    <xf numFmtId="0" fontId="0" fillId="3" borderId="1" xfId="0" applyFill="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FEFFD"/>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H45"/>
  <sheetViews>
    <sheetView tabSelected="1" workbookViewId="0">
      <pane ySplit="2" topLeftCell="A5" activePane="bottomLeft" state="frozen"/>
      <selection pane="bottomLeft" activeCell="H40" sqref="H40"/>
    </sheetView>
  </sheetViews>
  <sheetFormatPr defaultRowHeight="18"/>
  <cols>
    <col min="1" max="1" width="4.3984375" bestFit="1" customWidth="1"/>
    <col min="2" max="2" width="19.19921875" bestFit="1" customWidth="1"/>
    <col min="3" max="3" width="14.19921875" bestFit="1" customWidth="1"/>
    <col min="4" max="4" width="19.09765625" bestFit="1" customWidth="1"/>
    <col min="5" max="5" width="46.59765625" bestFit="1" customWidth="1"/>
    <col min="6" max="6" width="48.5" bestFit="1" customWidth="1"/>
    <col min="7" max="7" width="57.09765625" bestFit="1" customWidth="1"/>
    <col min="8" max="8" width="11" bestFit="1" customWidth="1"/>
  </cols>
  <sheetData>
    <row r="2" spans="1:8" s="2" customFormat="1">
      <c r="A2" s="1" t="s">
        <v>0</v>
      </c>
      <c r="B2" s="1" t="s">
        <v>74</v>
      </c>
      <c r="C2" s="1" t="s">
        <v>1</v>
      </c>
      <c r="D2" s="1" t="s">
        <v>2</v>
      </c>
      <c r="E2" s="1" t="s">
        <v>3</v>
      </c>
      <c r="F2" s="1" t="s">
        <v>11</v>
      </c>
      <c r="G2" s="1" t="s">
        <v>4</v>
      </c>
      <c r="H2" s="1" t="s">
        <v>87</v>
      </c>
    </row>
    <row r="3" spans="1:8" s="2" customFormat="1" hidden="1">
      <c r="A3" s="6">
        <f t="shared" ref="A3:A34" si="0">ROW()-2</f>
        <v>1</v>
      </c>
      <c r="B3" s="6" t="s">
        <v>17</v>
      </c>
      <c r="C3" s="6" t="s">
        <v>33</v>
      </c>
      <c r="D3" s="6" t="s">
        <v>35</v>
      </c>
      <c r="E3" s="6" t="s">
        <v>36</v>
      </c>
      <c r="F3" s="6" t="s">
        <v>37</v>
      </c>
      <c r="G3" s="7" t="s">
        <v>38</v>
      </c>
      <c r="H3" s="13"/>
    </row>
    <row r="4" spans="1:8" s="2" customFormat="1" hidden="1">
      <c r="A4" s="10">
        <f t="shared" si="0"/>
        <v>2</v>
      </c>
      <c r="B4" s="10" t="s">
        <v>16</v>
      </c>
      <c r="C4" s="10" t="s">
        <v>33</v>
      </c>
      <c r="D4" s="10" t="s">
        <v>35</v>
      </c>
      <c r="E4" s="10" t="s">
        <v>36</v>
      </c>
      <c r="F4" s="10" t="s">
        <v>37</v>
      </c>
      <c r="G4" s="11" t="s">
        <v>38</v>
      </c>
      <c r="H4" s="14"/>
    </row>
    <row r="5" spans="1:8" s="2" customFormat="1" ht="72">
      <c r="A5" s="6">
        <f t="shared" si="0"/>
        <v>3</v>
      </c>
      <c r="B5" s="6" t="s">
        <v>17</v>
      </c>
      <c r="C5" s="6" t="s">
        <v>33</v>
      </c>
      <c r="D5" s="6" t="s">
        <v>39</v>
      </c>
      <c r="E5" s="7" t="s">
        <v>40</v>
      </c>
      <c r="F5" s="7" t="s">
        <v>41</v>
      </c>
      <c r="G5" s="7" t="s">
        <v>42</v>
      </c>
      <c r="H5" s="13" t="s">
        <v>88</v>
      </c>
    </row>
    <row r="6" spans="1:8" s="2" customFormat="1" ht="216" hidden="1">
      <c r="A6" s="10">
        <f t="shared" si="0"/>
        <v>4</v>
      </c>
      <c r="B6" s="10" t="s">
        <v>16</v>
      </c>
      <c r="C6" s="10" t="s">
        <v>33</v>
      </c>
      <c r="D6" s="10" t="s">
        <v>34</v>
      </c>
      <c r="E6" s="11" t="s">
        <v>67</v>
      </c>
      <c r="F6" s="10" t="s">
        <v>66</v>
      </c>
      <c r="G6" s="11" t="s">
        <v>83</v>
      </c>
      <c r="H6" s="14"/>
    </row>
    <row r="7" spans="1:8" s="2" customFormat="1">
      <c r="A7" s="6">
        <f t="shared" si="0"/>
        <v>5</v>
      </c>
      <c r="B7" s="6" t="s">
        <v>17</v>
      </c>
      <c r="C7" s="6" t="s">
        <v>17</v>
      </c>
      <c r="D7" s="6" t="s">
        <v>71</v>
      </c>
      <c r="E7" s="6" t="s">
        <v>77</v>
      </c>
      <c r="F7" s="6" t="s">
        <v>79</v>
      </c>
      <c r="G7" s="7"/>
      <c r="H7" s="13" t="s">
        <v>88</v>
      </c>
    </row>
    <row r="8" spans="1:8" s="2" customFormat="1">
      <c r="A8" s="10">
        <f t="shared" si="0"/>
        <v>6</v>
      </c>
      <c r="B8" s="10" t="s">
        <v>16</v>
      </c>
      <c r="C8" s="10" t="s">
        <v>17</v>
      </c>
      <c r="D8" s="10" t="s">
        <v>71</v>
      </c>
      <c r="E8" s="10" t="s">
        <v>77</v>
      </c>
      <c r="F8" s="10" t="s">
        <v>79</v>
      </c>
      <c r="G8" s="11"/>
      <c r="H8" s="14" t="s">
        <v>88</v>
      </c>
    </row>
    <row r="9" spans="1:8" s="2" customFormat="1" ht="216">
      <c r="A9" s="6">
        <f t="shared" si="0"/>
        <v>7</v>
      </c>
      <c r="B9" s="6" t="s">
        <v>17</v>
      </c>
      <c r="C9" s="7" t="s">
        <v>73</v>
      </c>
      <c r="D9" s="6" t="s">
        <v>72</v>
      </c>
      <c r="E9" s="7" t="s">
        <v>68</v>
      </c>
      <c r="F9" s="6" t="s">
        <v>69</v>
      </c>
      <c r="G9" s="7" t="s">
        <v>70</v>
      </c>
      <c r="H9" s="13" t="s">
        <v>88</v>
      </c>
    </row>
    <row r="10" spans="1:8" s="2" customFormat="1" ht="72">
      <c r="A10" s="6">
        <f t="shared" si="0"/>
        <v>8</v>
      </c>
      <c r="B10" s="6" t="s">
        <v>17</v>
      </c>
      <c r="C10" s="7" t="s">
        <v>73</v>
      </c>
      <c r="D10" s="6" t="s">
        <v>71</v>
      </c>
      <c r="E10" s="7" t="s">
        <v>75</v>
      </c>
      <c r="F10" s="8" t="s">
        <v>80</v>
      </c>
      <c r="G10" s="8" t="s">
        <v>81</v>
      </c>
      <c r="H10" s="15" t="s">
        <v>89</v>
      </c>
    </row>
    <row r="11" spans="1:8" s="2" customFormat="1" ht="72" hidden="1">
      <c r="A11" s="6">
        <f t="shared" si="0"/>
        <v>9</v>
      </c>
      <c r="B11" s="6" t="s">
        <v>17</v>
      </c>
      <c r="C11" s="7" t="s">
        <v>73</v>
      </c>
      <c r="D11" s="6" t="s">
        <v>71</v>
      </c>
      <c r="E11" s="7" t="s">
        <v>78</v>
      </c>
      <c r="F11" s="7" t="s">
        <v>76</v>
      </c>
      <c r="G11" s="7" t="s">
        <v>82</v>
      </c>
      <c r="H11" s="13"/>
    </row>
    <row r="12" spans="1:8" s="2" customFormat="1" ht="72" hidden="1">
      <c r="A12" s="3">
        <f t="shared" si="0"/>
        <v>10</v>
      </c>
      <c r="B12" s="3" t="s">
        <v>6</v>
      </c>
      <c r="C12" s="3" t="s">
        <v>26</v>
      </c>
      <c r="D12" s="3" t="s">
        <v>5</v>
      </c>
      <c r="E12" s="3" t="s">
        <v>7</v>
      </c>
      <c r="F12" s="4" t="s">
        <v>9</v>
      </c>
      <c r="G12" s="4" t="s">
        <v>84</v>
      </c>
      <c r="H12" s="16"/>
    </row>
    <row r="13" spans="1:8" s="2" customFormat="1" ht="54" hidden="1">
      <c r="A13" s="3">
        <f t="shared" si="0"/>
        <v>11</v>
      </c>
      <c r="B13" s="3" t="s">
        <v>6</v>
      </c>
      <c r="C13" s="3" t="s">
        <v>26</v>
      </c>
      <c r="D13" s="3" t="s">
        <v>5</v>
      </c>
      <c r="E13" s="3" t="s">
        <v>8</v>
      </c>
      <c r="F13" s="4" t="s">
        <v>10</v>
      </c>
      <c r="G13" s="4" t="s">
        <v>12</v>
      </c>
      <c r="H13" s="16"/>
    </row>
    <row r="14" spans="1:8" s="2" customFormat="1" ht="36" hidden="1">
      <c r="A14" s="3">
        <f t="shared" si="0"/>
        <v>12</v>
      </c>
      <c r="B14" s="3" t="s">
        <v>6</v>
      </c>
      <c r="C14" s="3" t="s">
        <v>26</v>
      </c>
      <c r="D14" s="3" t="s">
        <v>5</v>
      </c>
      <c r="E14" s="3" t="s">
        <v>13</v>
      </c>
      <c r="F14" s="4" t="s">
        <v>15</v>
      </c>
      <c r="G14" s="4" t="s">
        <v>14</v>
      </c>
      <c r="H14" s="16"/>
    </row>
    <row r="15" spans="1:8" s="2" customFormat="1" ht="36" hidden="1">
      <c r="A15" s="6">
        <f t="shared" si="0"/>
        <v>13</v>
      </c>
      <c r="B15" s="6" t="s">
        <v>17</v>
      </c>
      <c r="C15" s="6" t="s">
        <v>26</v>
      </c>
      <c r="D15" s="6" t="s">
        <v>5</v>
      </c>
      <c r="E15" s="6" t="s">
        <v>20</v>
      </c>
      <c r="F15" s="7" t="s">
        <v>25</v>
      </c>
      <c r="G15" s="7" t="s">
        <v>24</v>
      </c>
      <c r="H15" s="13"/>
    </row>
    <row r="16" spans="1:8" s="2" customFormat="1" ht="36" hidden="1">
      <c r="A16" s="6">
        <f t="shared" si="0"/>
        <v>14</v>
      </c>
      <c r="B16" s="6" t="s">
        <v>17</v>
      </c>
      <c r="C16" s="6" t="s">
        <v>26</v>
      </c>
      <c r="D16" s="6" t="s">
        <v>5</v>
      </c>
      <c r="E16" s="6" t="s">
        <v>19</v>
      </c>
      <c r="F16" s="7" t="s">
        <v>27</v>
      </c>
      <c r="G16" s="7" t="s">
        <v>24</v>
      </c>
      <c r="H16" s="13"/>
    </row>
    <row r="17" spans="1:8" s="2" customFormat="1" ht="36" hidden="1">
      <c r="A17" s="6">
        <f t="shared" si="0"/>
        <v>15</v>
      </c>
      <c r="B17" s="6" t="s">
        <v>17</v>
      </c>
      <c r="C17" s="6" t="s">
        <v>26</v>
      </c>
      <c r="D17" s="6" t="s">
        <v>5</v>
      </c>
      <c r="E17" s="6" t="s">
        <v>13</v>
      </c>
      <c r="F17" s="7" t="s">
        <v>15</v>
      </c>
      <c r="G17" s="7" t="s">
        <v>24</v>
      </c>
      <c r="H17" s="13"/>
    </row>
    <row r="18" spans="1:8" s="2" customFormat="1" ht="36" hidden="1">
      <c r="A18" s="6">
        <f t="shared" si="0"/>
        <v>16</v>
      </c>
      <c r="B18" s="6" t="s">
        <v>17</v>
      </c>
      <c r="C18" s="6" t="s">
        <v>26</v>
      </c>
      <c r="D18" s="6" t="s">
        <v>5</v>
      </c>
      <c r="E18" s="6" t="s">
        <v>20</v>
      </c>
      <c r="F18" s="7" t="s">
        <v>18</v>
      </c>
      <c r="G18" s="7" t="s">
        <v>24</v>
      </c>
      <c r="H18" s="13"/>
    </row>
    <row r="19" spans="1:8" s="2" customFormat="1" ht="36" hidden="1">
      <c r="A19" s="6">
        <f t="shared" si="0"/>
        <v>17</v>
      </c>
      <c r="B19" s="6" t="s">
        <v>17</v>
      </c>
      <c r="C19" s="6" t="s">
        <v>26</v>
      </c>
      <c r="D19" s="6" t="s">
        <v>5</v>
      </c>
      <c r="E19" s="6" t="s">
        <v>19</v>
      </c>
      <c r="F19" s="7" t="s">
        <v>21</v>
      </c>
      <c r="G19" s="7" t="s">
        <v>24</v>
      </c>
      <c r="H19" s="13"/>
    </row>
    <row r="20" spans="1:8" s="2" customFormat="1" ht="36" hidden="1">
      <c r="A20" s="6">
        <f t="shared" si="0"/>
        <v>18</v>
      </c>
      <c r="B20" s="6" t="s">
        <v>17</v>
      </c>
      <c r="C20" s="6" t="s">
        <v>26</v>
      </c>
      <c r="D20" s="6" t="s">
        <v>5</v>
      </c>
      <c r="E20" s="6" t="s">
        <v>22</v>
      </c>
      <c r="F20" s="7" t="s">
        <v>23</v>
      </c>
      <c r="G20" s="7" t="s">
        <v>24</v>
      </c>
      <c r="H20" s="13"/>
    </row>
    <row r="21" spans="1:8" s="2" customFormat="1" ht="36" hidden="1">
      <c r="A21" s="10">
        <f t="shared" si="0"/>
        <v>19</v>
      </c>
      <c r="B21" s="10" t="s">
        <v>16</v>
      </c>
      <c r="C21" s="10" t="s">
        <v>26</v>
      </c>
      <c r="D21" s="10" t="s">
        <v>5</v>
      </c>
      <c r="E21" s="10" t="s">
        <v>20</v>
      </c>
      <c r="F21" s="11" t="s">
        <v>25</v>
      </c>
      <c r="G21" s="11" t="s">
        <v>24</v>
      </c>
      <c r="H21" s="14"/>
    </row>
    <row r="22" spans="1:8" s="2" customFormat="1" ht="36" hidden="1">
      <c r="A22" s="10">
        <f t="shared" si="0"/>
        <v>20</v>
      </c>
      <c r="B22" s="10" t="s">
        <v>16</v>
      </c>
      <c r="C22" s="10" t="s">
        <v>26</v>
      </c>
      <c r="D22" s="10" t="s">
        <v>5</v>
      </c>
      <c r="E22" s="10" t="s">
        <v>19</v>
      </c>
      <c r="F22" s="11" t="s">
        <v>27</v>
      </c>
      <c r="G22" s="11" t="s">
        <v>24</v>
      </c>
      <c r="H22" s="14"/>
    </row>
    <row r="23" spans="1:8" s="2" customFormat="1" ht="36" hidden="1">
      <c r="A23" s="10">
        <f t="shared" si="0"/>
        <v>21</v>
      </c>
      <c r="B23" s="10" t="s">
        <v>16</v>
      </c>
      <c r="C23" s="10" t="s">
        <v>26</v>
      </c>
      <c r="D23" s="10" t="s">
        <v>5</v>
      </c>
      <c r="E23" s="10" t="s">
        <v>13</v>
      </c>
      <c r="F23" s="11" t="s">
        <v>15</v>
      </c>
      <c r="G23" s="11" t="s">
        <v>24</v>
      </c>
      <c r="H23" s="14"/>
    </row>
    <row r="24" spans="1:8" s="2" customFormat="1" ht="36" hidden="1">
      <c r="A24" s="10">
        <f t="shared" si="0"/>
        <v>22</v>
      </c>
      <c r="B24" s="10" t="s">
        <v>16</v>
      </c>
      <c r="C24" s="10" t="s">
        <v>26</v>
      </c>
      <c r="D24" s="10" t="s">
        <v>5</v>
      </c>
      <c r="E24" s="10" t="s">
        <v>20</v>
      </c>
      <c r="F24" s="11" t="s">
        <v>18</v>
      </c>
      <c r="G24" s="11" t="s">
        <v>24</v>
      </c>
      <c r="H24" s="14"/>
    </row>
    <row r="25" spans="1:8" s="2" customFormat="1" ht="36" hidden="1">
      <c r="A25" s="10">
        <f t="shared" si="0"/>
        <v>23</v>
      </c>
      <c r="B25" s="10" t="s">
        <v>16</v>
      </c>
      <c r="C25" s="10" t="s">
        <v>26</v>
      </c>
      <c r="D25" s="10" t="s">
        <v>5</v>
      </c>
      <c r="E25" s="10" t="s">
        <v>19</v>
      </c>
      <c r="F25" s="11" t="s">
        <v>21</v>
      </c>
      <c r="G25" s="11" t="s">
        <v>24</v>
      </c>
      <c r="H25" s="14"/>
    </row>
    <row r="26" spans="1:8" s="2" customFormat="1" ht="36" hidden="1">
      <c r="A26" s="10">
        <f t="shared" si="0"/>
        <v>24</v>
      </c>
      <c r="B26" s="10" t="s">
        <v>16</v>
      </c>
      <c r="C26" s="10" t="s">
        <v>26</v>
      </c>
      <c r="D26" s="10" t="s">
        <v>5</v>
      </c>
      <c r="E26" s="10" t="s">
        <v>22</v>
      </c>
      <c r="F26" s="11" t="s">
        <v>23</v>
      </c>
      <c r="G26" s="11" t="s">
        <v>24</v>
      </c>
      <c r="H26" s="14"/>
    </row>
    <row r="27" spans="1:8" s="2" customFormat="1" hidden="1">
      <c r="A27" s="3">
        <f t="shared" si="0"/>
        <v>25</v>
      </c>
      <c r="B27" s="3" t="s">
        <v>6</v>
      </c>
      <c r="C27" s="3" t="s">
        <v>43</v>
      </c>
      <c r="D27" s="5" t="s">
        <v>44</v>
      </c>
      <c r="E27" s="3" t="s">
        <v>45</v>
      </c>
      <c r="F27" s="3" t="s">
        <v>47</v>
      </c>
      <c r="G27" s="4" t="s">
        <v>48</v>
      </c>
      <c r="H27" s="16"/>
    </row>
    <row r="28" spans="1:8" s="2" customFormat="1" hidden="1">
      <c r="A28" s="3">
        <f t="shared" si="0"/>
        <v>26</v>
      </c>
      <c r="B28" s="3" t="s">
        <v>6</v>
      </c>
      <c r="C28" s="3" t="s">
        <v>43</v>
      </c>
      <c r="D28" s="5" t="s">
        <v>44</v>
      </c>
      <c r="E28" s="3" t="s">
        <v>46</v>
      </c>
      <c r="F28" s="3" t="s">
        <v>47</v>
      </c>
      <c r="G28" s="4" t="s">
        <v>85</v>
      </c>
      <c r="H28" s="16"/>
    </row>
    <row r="29" spans="1:8" s="2" customFormat="1" hidden="1">
      <c r="A29" s="3">
        <f t="shared" si="0"/>
        <v>27</v>
      </c>
      <c r="B29" s="3" t="s">
        <v>6</v>
      </c>
      <c r="C29" s="3" t="s">
        <v>43</v>
      </c>
      <c r="D29" s="5" t="s">
        <v>44</v>
      </c>
      <c r="E29" s="3" t="s">
        <v>49</v>
      </c>
      <c r="F29" s="3" t="s">
        <v>47</v>
      </c>
      <c r="G29" s="4" t="s">
        <v>51</v>
      </c>
      <c r="H29" s="16"/>
    </row>
    <row r="30" spans="1:8" s="2" customFormat="1" hidden="1">
      <c r="A30" s="3">
        <f t="shared" si="0"/>
        <v>28</v>
      </c>
      <c r="B30" s="3" t="s">
        <v>6</v>
      </c>
      <c r="C30" s="3" t="s">
        <v>43</v>
      </c>
      <c r="D30" s="5" t="s">
        <v>44</v>
      </c>
      <c r="E30" s="3" t="s">
        <v>50</v>
      </c>
      <c r="F30" s="3" t="s">
        <v>47</v>
      </c>
      <c r="G30" s="4" t="s">
        <v>51</v>
      </c>
      <c r="H30" s="16"/>
    </row>
    <row r="31" spans="1:8" s="2" customFormat="1" hidden="1">
      <c r="A31" s="3">
        <f t="shared" si="0"/>
        <v>29</v>
      </c>
      <c r="B31" s="3" t="s">
        <v>6</v>
      </c>
      <c r="C31" s="3" t="s">
        <v>43</v>
      </c>
      <c r="D31" s="5" t="s">
        <v>44</v>
      </c>
      <c r="E31" s="3" t="s">
        <v>52</v>
      </c>
      <c r="F31" s="3" t="s">
        <v>47</v>
      </c>
      <c r="G31" s="4" t="s">
        <v>53</v>
      </c>
      <c r="H31" s="16"/>
    </row>
    <row r="32" spans="1:8" s="2" customFormat="1" hidden="1">
      <c r="A32" s="6">
        <f t="shared" si="0"/>
        <v>30</v>
      </c>
      <c r="B32" s="6" t="s">
        <v>17</v>
      </c>
      <c r="C32" s="6" t="s">
        <v>43</v>
      </c>
      <c r="D32" s="9" t="s">
        <v>44</v>
      </c>
      <c r="E32" s="6" t="s">
        <v>45</v>
      </c>
      <c r="F32" s="6" t="s">
        <v>47</v>
      </c>
      <c r="G32" s="7" t="s">
        <v>48</v>
      </c>
      <c r="H32" s="13"/>
    </row>
    <row r="33" spans="1:8" s="2" customFormat="1" ht="36" hidden="1">
      <c r="A33" s="6">
        <f t="shared" si="0"/>
        <v>31</v>
      </c>
      <c r="B33" s="6" t="s">
        <v>17</v>
      </c>
      <c r="C33" s="6" t="s">
        <v>43</v>
      </c>
      <c r="D33" s="9" t="s">
        <v>44</v>
      </c>
      <c r="E33" s="6" t="s">
        <v>49</v>
      </c>
      <c r="F33" s="6" t="s">
        <v>47</v>
      </c>
      <c r="G33" s="7" t="s">
        <v>54</v>
      </c>
      <c r="H33" s="13"/>
    </row>
    <row r="34" spans="1:8" s="2" customFormat="1" ht="36" hidden="1">
      <c r="A34" s="6">
        <f t="shared" si="0"/>
        <v>32</v>
      </c>
      <c r="B34" s="6" t="s">
        <v>17</v>
      </c>
      <c r="C34" s="6" t="s">
        <v>43</v>
      </c>
      <c r="D34" s="9" t="s">
        <v>44</v>
      </c>
      <c r="E34" s="6" t="s">
        <v>50</v>
      </c>
      <c r="F34" s="6" t="s">
        <v>47</v>
      </c>
      <c r="G34" s="7" t="s">
        <v>54</v>
      </c>
      <c r="H34" s="13"/>
    </row>
    <row r="35" spans="1:8" s="2" customFormat="1" ht="36" hidden="1">
      <c r="A35" s="6">
        <f t="shared" ref="A35:A45" si="1">ROW()-2</f>
        <v>33</v>
      </c>
      <c r="B35" s="6" t="s">
        <v>17</v>
      </c>
      <c r="C35" s="6" t="s">
        <v>43</v>
      </c>
      <c r="D35" s="9" t="s">
        <v>44</v>
      </c>
      <c r="E35" s="6" t="s">
        <v>52</v>
      </c>
      <c r="F35" s="6" t="s">
        <v>47</v>
      </c>
      <c r="G35" s="7" t="s">
        <v>55</v>
      </c>
      <c r="H35" s="13"/>
    </row>
    <row r="36" spans="1:8" s="2" customFormat="1" hidden="1">
      <c r="A36" s="10">
        <f t="shared" si="1"/>
        <v>34</v>
      </c>
      <c r="B36" s="10" t="s">
        <v>16</v>
      </c>
      <c r="C36" s="10" t="s">
        <v>43</v>
      </c>
      <c r="D36" s="12" t="s">
        <v>44</v>
      </c>
      <c r="E36" s="10" t="s">
        <v>45</v>
      </c>
      <c r="F36" s="10" t="s">
        <v>47</v>
      </c>
      <c r="G36" s="11" t="s">
        <v>48</v>
      </c>
      <c r="H36" s="14"/>
    </row>
    <row r="37" spans="1:8" s="2" customFormat="1" ht="36" hidden="1">
      <c r="A37" s="10">
        <f t="shared" si="1"/>
        <v>35</v>
      </c>
      <c r="B37" s="10" t="s">
        <v>16</v>
      </c>
      <c r="C37" s="10" t="s">
        <v>43</v>
      </c>
      <c r="D37" s="12" t="s">
        <v>44</v>
      </c>
      <c r="E37" s="10" t="s">
        <v>49</v>
      </c>
      <c r="F37" s="10" t="s">
        <v>47</v>
      </c>
      <c r="G37" s="11" t="s">
        <v>54</v>
      </c>
      <c r="H37" s="14"/>
    </row>
    <row r="38" spans="1:8" s="2" customFormat="1" ht="36" hidden="1">
      <c r="A38" s="10">
        <f t="shared" si="1"/>
        <v>36</v>
      </c>
      <c r="B38" s="10" t="s">
        <v>16</v>
      </c>
      <c r="C38" s="10" t="s">
        <v>43</v>
      </c>
      <c r="D38" s="12" t="s">
        <v>44</v>
      </c>
      <c r="E38" s="10" t="s">
        <v>50</v>
      </c>
      <c r="F38" s="10" t="s">
        <v>47</v>
      </c>
      <c r="G38" s="11" t="s">
        <v>54</v>
      </c>
      <c r="H38" s="14"/>
    </row>
    <row r="39" spans="1:8" s="2" customFormat="1" ht="36" hidden="1">
      <c r="A39" s="10">
        <f t="shared" si="1"/>
        <v>37</v>
      </c>
      <c r="B39" s="10" t="s">
        <v>16</v>
      </c>
      <c r="C39" s="10" t="s">
        <v>43</v>
      </c>
      <c r="D39" s="12" t="s">
        <v>44</v>
      </c>
      <c r="E39" s="10" t="s">
        <v>52</v>
      </c>
      <c r="F39" s="10" t="s">
        <v>47</v>
      </c>
      <c r="G39" s="11" t="s">
        <v>55</v>
      </c>
      <c r="H39" s="14"/>
    </row>
    <row r="40" spans="1:8" s="2" customFormat="1">
      <c r="A40" s="6">
        <f t="shared" si="1"/>
        <v>38</v>
      </c>
      <c r="B40" s="6" t="s">
        <v>17</v>
      </c>
      <c r="C40" s="6" t="s">
        <v>60</v>
      </c>
      <c r="D40" s="6" t="s">
        <v>61</v>
      </c>
      <c r="E40" s="6" t="s">
        <v>62</v>
      </c>
      <c r="F40" s="6" t="s">
        <v>64</v>
      </c>
      <c r="G40" s="7" t="s">
        <v>65</v>
      </c>
      <c r="H40" s="13" t="s">
        <v>88</v>
      </c>
    </row>
    <row r="41" spans="1:8" s="2" customFormat="1">
      <c r="A41" s="6">
        <f t="shared" si="1"/>
        <v>39</v>
      </c>
      <c r="B41" s="6" t="s">
        <v>17</v>
      </c>
      <c r="C41" s="6" t="s">
        <v>60</v>
      </c>
      <c r="D41" s="6" t="s">
        <v>61</v>
      </c>
      <c r="E41" s="6" t="s">
        <v>63</v>
      </c>
      <c r="F41" s="6" t="s">
        <v>64</v>
      </c>
      <c r="G41" s="7" t="s">
        <v>65</v>
      </c>
      <c r="H41" s="13" t="s">
        <v>88</v>
      </c>
    </row>
    <row r="42" spans="1:8" s="2" customFormat="1" ht="50.4" customHeight="1">
      <c r="A42" s="3">
        <f t="shared" si="1"/>
        <v>40</v>
      </c>
      <c r="B42" s="3" t="s">
        <v>6</v>
      </c>
      <c r="C42" s="3" t="s">
        <v>28</v>
      </c>
      <c r="D42" s="3" t="s">
        <v>57</v>
      </c>
      <c r="E42" s="3" t="s">
        <v>56</v>
      </c>
      <c r="F42" s="3" t="s">
        <v>58</v>
      </c>
      <c r="G42" s="4" t="s">
        <v>86</v>
      </c>
      <c r="H42" s="16" t="s">
        <v>88</v>
      </c>
    </row>
    <row r="43" spans="1:8" s="2" customFormat="1" ht="36">
      <c r="A43" s="6">
        <f t="shared" si="1"/>
        <v>41</v>
      </c>
      <c r="B43" s="6" t="s">
        <v>17</v>
      </c>
      <c r="C43" s="6" t="s">
        <v>28</v>
      </c>
      <c r="D43" s="6" t="s">
        <v>57</v>
      </c>
      <c r="E43" s="6" t="s">
        <v>56</v>
      </c>
      <c r="F43" s="6" t="s">
        <v>58</v>
      </c>
      <c r="G43" s="7" t="s">
        <v>59</v>
      </c>
      <c r="H43" s="13" t="s">
        <v>88</v>
      </c>
    </row>
    <row r="44" spans="1:8" s="2" customFormat="1" ht="36">
      <c r="A44" s="10">
        <f t="shared" si="1"/>
        <v>42</v>
      </c>
      <c r="B44" s="10" t="s">
        <v>16</v>
      </c>
      <c r="C44" s="10" t="s">
        <v>28</v>
      </c>
      <c r="D44" s="10" t="s">
        <v>57</v>
      </c>
      <c r="E44" s="10" t="s">
        <v>56</v>
      </c>
      <c r="F44" s="10" t="s">
        <v>58</v>
      </c>
      <c r="G44" s="11" t="s">
        <v>59</v>
      </c>
      <c r="H44" s="14" t="s">
        <v>88</v>
      </c>
    </row>
    <row r="45" spans="1:8" s="2" customFormat="1" ht="72" hidden="1">
      <c r="A45" s="6">
        <f t="shared" si="1"/>
        <v>43</v>
      </c>
      <c r="B45" s="6" t="s">
        <v>17</v>
      </c>
      <c r="C45" s="6" t="s">
        <v>28</v>
      </c>
      <c r="D45" s="6" t="s">
        <v>30</v>
      </c>
      <c r="E45" s="6" t="s">
        <v>29</v>
      </c>
      <c r="F45" s="6" t="s">
        <v>32</v>
      </c>
      <c r="G45" s="7" t="s">
        <v>31</v>
      </c>
      <c r="H45" s="13"/>
    </row>
  </sheetData>
  <autoFilter ref="A2:H45" xr:uid="{00000000-0001-0000-0000-000000000000}">
    <filterColumn colId="7">
      <customFilters>
        <customFilter operator="notEqual" val=" "/>
      </customFilters>
    </filterColumn>
  </autoFilter>
  <sortState xmlns:xlrd2="http://schemas.microsoft.com/office/spreadsheetml/2017/richdata2" ref="A3:H39">
    <sortCondition ref="C3:C39"/>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雅美-MSYS</dc:creator>
  <cp:lastModifiedBy>Sato Masami-I-DIGIO</cp:lastModifiedBy>
  <dcterms:created xsi:type="dcterms:W3CDTF">2015-06-05T18:19:34Z</dcterms:created>
  <dcterms:modified xsi:type="dcterms:W3CDTF">2025-11-12T07:01:20Z</dcterms:modified>
</cp:coreProperties>
</file>