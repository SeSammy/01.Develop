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Z:\＃X_MSY10055\＃＃＃案件ショートカット\Omnis\510_構築_標準導入\450_SBI損保\020_キャプチャーサーバ構築\01.パラメータシート\"/>
    </mc:Choice>
  </mc:AlternateContent>
  <xr:revisionPtr revIDLastSave="0" documentId="8_{1B6807B7-B63B-4F50-83E1-FE4F616C343B}" xr6:coauthVersionLast="47" xr6:coauthVersionMax="47" xr10:uidLastSave="{00000000-0000-0000-0000-000000000000}"/>
  <bookViews>
    <workbookView xWindow="40500" yWindow="1965" windowWidth="15870" windowHeight="12645" tabRatio="846" activeTab="1" xr2:uid="{00000000-000D-0000-FFFF-FFFF00000000}"/>
  </bookViews>
  <sheets>
    <sheet name="東京DC_VTManager" sheetId="4" r:id="rId1"/>
    <sheet name="東京DC_VTRecServer" sheetId="3" r:id="rId2"/>
    <sheet name="大阪DC_VTRecServer2" sheetId="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______________________________________________GP2" hidden="1">{"'受注'!$A$6:$R$15","'受注'!$A$18:$H$26","'受注'!$J$18:$P$26"}</definedName>
    <definedName name="______________________________________________GP2" hidden="1">{"'受注'!$A$6:$R$15","'受注'!$A$18:$H$26","'受注'!$J$18:$P$26"}</definedName>
    <definedName name="________________________________________GP2" hidden="1">{"'受注'!$A$6:$R$15","'受注'!$A$18:$H$26","'受注'!$J$18:$P$26"}</definedName>
    <definedName name="______________________________________GP2" hidden="1">{"'受注'!$A$6:$R$15","'受注'!$A$18:$H$26","'受注'!$J$18:$P$26"}</definedName>
    <definedName name="_____________________________________GP2" hidden="1">{"'受注'!$A$6:$R$15","'受注'!$A$18:$H$26","'受注'!$J$18:$P$26"}</definedName>
    <definedName name="______________________________GP2" hidden="1">{"'受注'!$A$6:$R$15","'受注'!$A$18:$H$26","'受注'!$J$18:$P$26"}</definedName>
    <definedName name="__________________________GP2" hidden="1">{"'受注'!$A$6:$R$15","'受注'!$A$18:$H$26","'受注'!$J$18:$P$26"}</definedName>
    <definedName name="________________________GP2" hidden="1">{"'受注'!$A$6:$R$15","'受注'!$A$18:$H$26","'受注'!$J$18:$P$26"}</definedName>
    <definedName name="______________________GP2" hidden="1">{"'受注'!$A$6:$R$15","'受注'!$A$18:$H$26","'受注'!$J$18:$P$26"}</definedName>
    <definedName name="____________________GP2" hidden="1">{"'受注'!$A$6:$R$15","'受注'!$A$18:$H$26","'受注'!$J$18:$P$26"}</definedName>
    <definedName name="___________________GP2" hidden="1">{"'受注'!$A$6:$R$15","'受注'!$A$18:$H$26","'受注'!$J$18:$P$26"}</definedName>
    <definedName name="__________________GP2" hidden="1">{"'受注'!$A$6:$R$15","'受注'!$A$18:$H$26","'受注'!$J$18:$P$26"}</definedName>
    <definedName name="_________________GP2" hidden="1">{"'受注'!$A$6:$R$15","'受注'!$A$18:$H$26","'受注'!$J$18:$P$26"}</definedName>
    <definedName name="________________GP2" hidden="1">{"'受注'!$A$6:$R$15","'受注'!$A$18:$H$26","'受注'!$J$18:$P$26"}</definedName>
    <definedName name="______________GP2" hidden="1">{"'受注'!$A$6:$R$15","'受注'!$A$18:$H$26","'受注'!$J$18:$P$26"}</definedName>
    <definedName name="_____________GP2" hidden="1">{"'受注'!$A$6:$R$15","'受注'!$A$18:$H$26","'受注'!$J$18:$P$26"}</definedName>
    <definedName name="____________GP2" hidden="1">{"'受注'!$A$6:$R$15","'受注'!$A$18:$H$26","'受注'!$J$18:$P$26"}</definedName>
    <definedName name="___________GP2" hidden="1">{"'受注'!$A$6:$R$15","'受注'!$A$18:$H$26","'受注'!$J$18:$P$26"}</definedName>
    <definedName name="__________GP2" hidden="1">{"'受注'!$A$6:$R$15","'受注'!$A$18:$H$26","'受注'!$J$18:$P$26"}</definedName>
    <definedName name="_________GP2" hidden="1">{"'受注'!$A$6:$R$15","'受注'!$A$18:$H$26","'受注'!$J$18:$P$26"}</definedName>
    <definedName name="________GP2" hidden="1">{"'受注'!$A$6:$R$15","'受注'!$A$18:$H$26","'受注'!$J$18:$P$26"}</definedName>
    <definedName name="_______GP2" hidden="1">{"'受注'!$A$6:$R$15","'受注'!$A$18:$H$26","'受注'!$J$18:$P$26"}</definedName>
    <definedName name="______GP2" hidden="1">{"'受注'!$A$6:$R$15","'受注'!$A$18:$H$26","'受注'!$J$18:$P$26"}</definedName>
    <definedName name="_____GP2" hidden="1">{"'受注'!$A$6:$R$15","'受注'!$A$18:$H$26","'受注'!$J$18:$P$26"}</definedName>
    <definedName name="____25F_ACD_MDF_端子表_S">#REF!</definedName>
    <definedName name="____GP2" hidden="1">{"'受注'!$A$6:$R$15","'受注'!$A$18:$H$26","'受注'!$J$18:$P$26"}</definedName>
    <definedName name="___25F_ACD_MDF_端子表_S">#REF!</definedName>
    <definedName name="___aka1" hidden="1">{"'販売停止一覧（ｾｰﾙｽﾏﾆｭｱﾙ価格編H12-02以降）'!$A$5:$F$474"}</definedName>
    <definedName name="___aka2" hidden="1">{"'販売停止確定情報'!$A$1:$A$3","'販売停止確定情報'!$A$5:$F$93"}</definedName>
    <definedName name="___aka3" hidden="1">{"'販売停止一覧（ｾｰﾙｽﾏﾆｭｱﾙ価格編H12-02以降）'!$A$5:$F$474"}</definedName>
    <definedName name="___aka4" hidden="1">{"'販売停止一覧（ｾｰﾙｽﾏﾆｭｱﾙ価格編H12-02以降）'!$A$5:$F$474"}</definedName>
    <definedName name="___GP2" hidden="1">{"'受注'!$A$6:$R$15","'受注'!$A$18:$H$26","'受注'!$J$18:$P$26"}</definedName>
    <definedName name="___ri7" hidden="1">{#N/A,#N/A,FALSE,"Windows";#N/A,#N/A,FALSE,"Windows (2)";#N/A,#N/A,FALSE,"Windows(Note)";#N/A,#N/A,FALSE,"Windows(Note) (2)";#N/A,#N/A,FALSE,"Macintosh";#N/A,#N/A,FALSE,"Macintosh (2)"}</definedName>
    <definedName name="___ss2" hidden="1">{#N/A,#N/A,TRUE,"ﾊﾟﾀｰﾝ1";#N/A,#N/A,TRUE,"ﾊﾟﾀｰﾝ2";#N/A,#N/A,TRUE,"ﾊﾟﾀｰﾝ3";#N/A,#N/A,TRUE,"ﾊﾟﾀｰﾝ4"}</definedName>
    <definedName name="___WK1" hidden="1">{#N/A,#N/A,FALSE,"予算表";#N/A,#N/A,FALSE,"人件費"}</definedName>
    <definedName name="___WK2" hidden="1">{#N/A,#N/A,FALSE,"予算表";#N/A,#N/A,FALSE,"人件費"}</definedName>
    <definedName name="___wrn2" hidden="1">{#N/A,#N/A,FALSE,"表一覧"}</definedName>
    <definedName name="__25F_ACD_MDF_端子表_S">#REF!</definedName>
    <definedName name="__GP2" hidden="1">{"'受注'!$A$6:$R$15","'受注'!$A$18:$H$26","'受注'!$J$18:$P$26"}</definedName>
    <definedName name="__WK1" hidden="1">{#N/A,#N/A,FALSE,"予算表";#N/A,#N/A,FALSE,"人件費"}</definedName>
    <definedName name="__WK2" hidden="1">{#N/A,#N/A,FALSE,"予算表";#N/A,#N/A,FALSE,"人件費"}</definedName>
    <definedName name="_110Rc_1h_HDDqty">[1]Data!#REF!</definedName>
    <definedName name="_110Rc_1h_W">[1]Data!#REF!</definedName>
    <definedName name="_110Ri_1">[1]Data!$O$3:$O$6</definedName>
    <definedName name="_120Rh_1_2.5__W">[1]Data!#REF!</definedName>
    <definedName name="_120Rh_1_3.5__W">[1]Data!#REF!</definedName>
    <definedName name="_120Rh_1_3.5_nonRed_W">[1]Data!#REF!</definedName>
    <definedName name="_120Rj_2">[1]Data!$K$3:$K$8</definedName>
    <definedName name="_120Rj_2_W">[1]Data!#REF!</definedName>
    <definedName name="_140Rf_4_W">[1]Data!#REF!</definedName>
    <definedName name="_1GP2_" hidden="1">{"'受注'!$A$6:$R$15","'受注'!$A$18:$H$26","'受注'!$J$18:$P$26"}</definedName>
    <definedName name="_20GP2_" hidden="1">{"'受注'!$A$6:$R$15","'受注'!$A$18:$H$26","'受注'!$J$18:$P$26"}</definedName>
    <definedName name="_25F_ACD_MDF_端子表_S">#REF!</definedName>
    <definedName name="_2p1_" hidden="1">{#N/A,#N/A,FALSE,"予算表";#N/A,#N/A,FALSE,"人件費"}</definedName>
    <definedName name="_2印">[2]社員リスト!#REF!</definedName>
    <definedName name="_3p2_" hidden="1">{#N/A,#N/A,FALSE,"予算表";#N/A,#N/A,FALSE,"人件費"}</definedName>
    <definedName name="_4GP2_" hidden="1">{"'受注'!$A$6:$R$15","'受注'!$A$18:$H$26","'受注'!$J$18:$P$26"}</definedName>
    <definedName name="_4p3_" hidden="1">{#N/A,#N/A,FALSE,"予算表";#N/A,#N/A,FALSE,"人件費"}</definedName>
    <definedName name="_4wayCPU_W">[1]Data!#REF!</definedName>
    <definedName name="_5GP2_" hidden="1">{"'受注'!$A$6:$R$15","'受注'!$A$18:$H$26","'受注'!$J$18:$P$26"}</definedName>
    <definedName name="_5p4_" hidden="1">{#N/A,#N/A,FALSE,"予算表";#N/A,#N/A,FALSE,"人件費"}</definedName>
    <definedName name="_6p5_" hidden="1">{#N/A,#N/A,FALSE,"予算表";#N/A,#N/A,FALSE,"人件費"}</definedName>
    <definedName name="_7GP2_" hidden="1">{"'受注'!$A$6:$R$15","'受注'!$A$18:$H$26","'受注'!$J$18:$P$26"}</definedName>
    <definedName name="_9GP2_" hidden="1">{"'受注'!$A$6:$R$15","'受注'!$A$18:$H$26","'受注'!$J$18:$P$26"}</definedName>
    <definedName name="_A">CELL("filename",INDIRECT("A1"))</definedName>
    <definedName name="_aaa1" hidden="1">{#N/A,#N/A,FALSE,"予算表";#N/A,#N/A,FALSE,"人件費"}</definedName>
    <definedName name="_aaa2" hidden="1">{#N/A,#N/A,FALSE,"予算表";#N/A,#N/A,FALSE,"人件費"}</definedName>
    <definedName name="_aka1" hidden="1">{"'販売停止一覧（ｾｰﾙｽﾏﾆｭｱﾙ価格編H12-02以降）'!$A$5:$F$474"}</definedName>
    <definedName name="_aka2" hidden="1">{"'販売停止確定情報'!$A$1:$A$3","'販売停止確定情報'!$A$5:$F$93"}</definedName>
    <definedName name="_aka3" hidden="1">{"'販売停止一覧（ｾｰﾙｽﾏﾆｭｱﾙ価格編H12-02以降）'!$A$5:$F$474"}</definedName>
    <definedName name="_aka4" hidden="1">{"'販売停止一覧（ｾｰﾙｽﾏﾆｭｱﾙ価格編H12-02以降）'!$A$5:$F$474"}</definedName>
    <definedName name="_CD">LEFT(_A,FIND("*",SUBSTITUTE(_A,"\","*",LEN(_A)-LEN(SUBSTITUTE(_A,"\","")))))</definedName>
    <definedName name="_Err1">'[3](Master）住所変換'!$B$10</definedName>
    <definedName name="_Err2">'[3](Master）住所変換'!$B$11</definedName>
    <definedName name="_Err3">'[3](Master）住所変換'!$B$12</definedName>
    <definedName name="_Fill" hidden="1">#REF!</definedName>
    <definedName name="_xlnm._FilterDatabase" hidden="1">#REF!</definedName>
    <definedName name="_GP2" hidden="1">{"'受注'!$A$6:$R$15","'受注'!$A$18:$H$26","'受注'!$J$18:$P$26"}</definedName>
    <definedName name="_Key1" hidden="1">#REF!</definedName>
    <definedName name="_Key11" hidden="1">#N/A</definedName>
    <definedName name="_Key2" hidden="1">#REF!</definedName>
    <definedName name="_MK1" hidden="1">{#N/A,#N/A,FALSE,"予算表";#N/A,#N/A,FALSE,"人件費"}</definedName>
    <definedName name="_nw1" hidden="1">{#N/A,#N/A,FALSE,"予算表";#N/A,#N/A,FALSE,"人件費"}</definedName>
    <definedName name="_nw21" hidden="1">{#N/A,#N/A,FALSE,"予算表";#N/A,#N/A,FALSE,"人件費"}</definedName>
    <definedName name="_nw23" hidden="1">{#N/A,#N/A,FALSE,"予算表";#N/A,#N/A,FALSE,"人件費"}</definedName>
    <definedName name="_nw24" hidden="1">{#N/A,#N/A,FALSE,"予算表";#N/A,#N/A,FALSE,"人件費"}</definedName>
    <definedName name="_nw25" hidden="1">{#N/A,#N/A,FALSE,"予算表";#N/A,#N/A,FALSE,"人件費"}</definedName>
    <definedName name="_nw26" hidden="1">{#N/A,#N/A,FALSE,"予算表";#N/A,#N/A,FALSE,"人件費"}</definedName>
    <definedName name="_nw28" hidden="1">{#N/A,#N/A,FALSE,"予算表";#N/A,#N/A,FALSE,"人件費"}</definedName>
    <definedName name="_nw29" hidden="1">{#N/A,#N/A,FALSE,"予算表";#N/A,#N/A,FALSE,"人件費"}</definedName>
    <definedName name="_nw5" hidden="1">{"'フローチャート'!$A$1:$AO$191"}</definedName>
    <definedName name="_nw8" hidden="1">{#N/A,#N/A,FALSE,"予算表";#N/A,#N/A,FALSE,"人件費"}</definedName>
    <definedName name="_Order1" hidden="1">255</definedName>
    <definedName name="_Order2" hidden="1">0</definedName>
    <definedName name="_Parse_Out" hidden="1">#REF!</definedName>
    <definedName name="_Regression_Int" hidden="1">1</definedName>
    <definedName name="_Regression_X" hidden="1">#REF!</definedName>
    <definedName name="_ri7" hidden="1">{#N/A,#N/A,FALSE,"Windows";#N/A,#N/A,FALSE,"Windows (2)";#N/A,#N/A,FALSE,"Windows(Note)";#N/A,#N/A,FALSE,"Windows(Note) (2)";#N/A,#N/A,FALSE,"Macintosh";#N/A,#N/A,FALSE,"Macintosh (2)"}</definedName>
    <definedName name="_Sort" hidden="1">#REF!</definedName>
    <definedName name="_Sort1" hidden="1">#N/A</definedName>
    <definedName name="_ss2" hidden="1">{#N/A,#N/A,TRUE,"ﾊﾟﾀｰﾝ1";#N/A,#N/A,TRUE,"ﾊﾟﾀｰﾝ2";#N/A,#N/A,TRUE,"ﾊﾟﾀｰﾝ3";#N/A,#N/A,TRUE,"ﾊﾟﾀｰﾝ4"}</definedName>
    <definedName name="_Table1_In1" hidden="1">#REF!</definedName>
    <definedName name="_Table1_Out" hidden="1">#REF!</definedName>
    <definedName name="_WK1" hidden="1">{#N/A,#N/A,FALSE,"予算表";#N/A,#N/A,FALSE,"人件費"}</definedName>
    <definedName name="_WK2" hidden="1">{#N/A,#N/A,FALSE,"予算表";#N/A,#N/A,FALSE,"人件費"}</definedName>
    <definedName name="_WK3" hidden="1">{#N/A,#N/A,FALSE,"予算表";#N/A,#N/A,FALSE,"人件費"}</definedName>
    <definedName name="_wrn2" hidden="1">{#N/A,#N/A,FALSE,"表一覧"}</definedName>
    <definedName name="・" hidden="1">{"'端末管理項目 (2)'!$B$1:$G$14"}</definedName>
    <definedName name="A" hidden="1">{"'端末管理項目 (2)'!$B$1:$G$14"}</definedName>
    <definedName name="AA" hidden="1">{"'端末管理項目 (2)'!$B$1:$G$14"}</definedName>
    <definedName name="AAA" hidden="1">{"'端末管理項目 (2)'!$B$1:$G$14"}</definedName>
    <definedName name="aaaa">#REF!</definedName>
    <definedName name="aaaaaaaaaaaaaaaaaaaaaaaaaaaaaaaa" hidden="1">{"'変更後'!$B$6:$N$12"}</definedName>
    <definedName name="aaaz" hidden="1">{"'一覧'!$A$1:$M$28"}</definedName>
    <definedName name="ab" hidden="1">{"'表紙'!$A$1:$M$17"}</definedName>
    <definedName name="abc" hidden="1">{"'販売停止確定情報'!$A$1:$A$3","'販売停止確定情報'!$A$5:$F$93"}</definedName>
    <definedName name="Access_Button" hidden="1">"価格H_hard_諸元___2__List"</definedName>
    <definedName name="AccessDatabase" hidden="1">"C:\MTAKAHAS\価格H.mdb"</definedName>
    <definedName name="ACDPilot">OFFSET([4]パイロット【システム構成】!#REF!,0,0,COUNTA([4]パイロット【システム構成】!#REF!),1)</definedName>
    <definedName name="ＡＣＤパターン2階" hidden="1">#REF!</definedName>
    <definedName name="aewr" hidden="1">{#N/A,#N/A,TRUE,"ﾊﾟﾀｰﾝ1";#N/A,#N/A,TRUE,"ﾊﾟﾀｰﾝ2";#N/A,#N/A,TRUE,"ﾊﾟﾀｰﾝ3";#N/A,#N/A,TRUE,"ﾊﾟﾀｰﾝ4"}</definedName>
    <definedName name="AFRSN1122" hidden="1">#REF!</definedName>
    <definedName name="AgentG">OFFSET([4]エージェントグループ【グループ管理】!#REF!,0,0,COUNTA([4]エージェントグループ【グループ管理】!#REF!),1)</definedName>
    <definedName name="agree">[5]Sheet2!$B$156</definedName>
    <definedName name="ai" hidden="1">{"'表紙'!$A$1:$M$17"}</definedName>
    <definedName name="AIVSL" hidden="1">{"'受注'!$A$6:$R$15","'受注'!$A$18:$H$26","'受注'!$J$18:$P$26"}</definedName>
    <definedName name="aka" hidden="1">{"'販売停止一覧（ｾｰﾙｽﾏﾆｭｱﾙ価格編H12-02以降）'!$A$5:$F$474"}</definedName>
    <definedName name="ＡＫＹＤ" hidden="1">{"'受注'!$A$6:$R$15","'受注'!$A$18:$H$26","'受注'!$J$18:$P$26"}</definedName>
    <definedName name="aob" hidden="1">{"'変更後'!$B$6:$N$12"}</definedName>
    <definedName name="aw" hidden="1">{#N/A,#N/A,FALSE,"予算表";#N/A,#N/A,FALSE,"人件費"}</definedName>
    <definedName name="awe" hidden="1">{#N/A,#N/A,FALSE,"予算表";#N/A,#N/A,FALSE,"人件費"}</definedName>
    <definedName name="awer" hidden="1">{#N/A,#N/A,FALSE,"予算表";#N/A,#N/A,FALSE,"人件費"}</definedName>
    <definedName name="awvaev" hidden="1">{"'表紙'!$A$1:$M$17"}</definedName>
    <definedName name="Ａ基礎１">#REF!</definedName>
    <definedName name="Ａ基礎１０">#REF!</definedName>
    <definedName name="Ａ基礎１１">#REF!</definedName>
    <definedName name="Ａ基礎１２">#REF!</definedName>
    <definedName name="Ａ基礎１３">#REF!</definedName>
    <definedName name="Ａ基礎１４">#REF!</definedName>
    <definedName name="Ａ基礎１５">#REF!</definedName>
    <definedName name="Ａ基礎１６">#REF!</definedName>
    <definedName name="Ａ基礎１７">#REF!</definedName>
    <definedName name="Ａ基礎１８">#REF!</definedName>
    <definedName name="Ａ基礎１９">#REF!</definedName>
    <definedName name="Ａ基礎２">#REF!</definedName>
    <definedName name="Ａ基礎２０">#REF!</definedName>
    <definedName name="Ａ基礎２１">#REF!</definedName>
    <definedName name="Ａ基礎２２">#REF!</definedName>
    <definedName name="Ａ基礎３">#REF!</definedName>
    <definedName name="Ａ基礎４">#REF!</definedName>
    <definedName name="Ａ基礎５">#REF!</definedName>
    <definedName name="Ａ基礎６">#REF!</definedName>
    <definedName name="Ａ基礎７">#REF!</definedName>
    <definedName name="Ａ基礎８">#REF!</definedName>
    <definedName name="Ａ基礎９">#REF!</definedName>
    <definedName name="b" hidden="1">{"'端末管理項目 (2)'!$B$1:$G$14"}</definedName>
    <definedName name="Backup">[1]Data!$G$41:$G$42</definedName>
    <definedName name="bb" hidden="1">{"'一覧'!$A$1:$M$28"}</definedName>
    <definedName name="bbb" hidden="1">{"'一覧'!$A$1:$M$28"}</definedName>
    <definedName name="BLOCK">#REF!</definedName>
    <definedName name="boai" hidden="1">{"'変更後'!$B$6:$N$12"}</definedName>
    <definedName name="bpiae" hidden="1">{"'変更後'!$B$6:$N$12"}</definedName>
    <definedName name="Btn_ToDict">"ボタン 17"</definedName>
    <definedName name="cc" hidden="1">{"'一覧'!$A$1:$M$28"}</definedName>
    <definedName name="ccc" hidden="1">{#N/A,#N/A,FALSE,"Windows";#N/A,#N/A,FALSE,"Windows (2)";#N/A,#N/A,FALSE,"Windows(Note)";#N/A,#N/A,FALSE,"Windows(Note) (2)";#N/A,#N/A,FALSE,"Macintosh";#N/A,#N/A,FALSE,"Macintosh (2)"}</definedName>
    <definedName name="CCVACT">[4]CCVStep一覧!$A$3:$A$31</definedName>
    <definedName name="cel" hidden="1">{#N/A,#N/A,FALSE,"予算表";#N/A,#N/A,FALSE,"人件費"}</definedName>
    <definedName name="celerra10" hidden="1">{#N/A,#N/A,FALSE,"予算表";#N/A,#N/A,FALSE,"人件費"}</definedName>
    <definedName name="celerra11" hidden="1">{#N/A,#N/A,FALSE,"予算表";#N/A,#N/A,FALSE,"人件費"}</definedName>
    <definedName name="celerra12" hidden="1">{#N/A,#N/A,FALSE,"予算表";#N/A,#N/A,FALSE,"人件費"}</definedName>
    <definedName name="celerra14" hidden="1">{#N/A,#N/A,FALSE,"予算表";#N/A,#N/A,FALSE,"人件費"}</definedName>
    <definedName name="celerra15" hidden="1">{#N/A,#N/A,FALSE,"予算表";#N/A,#N/A,FALSE,"人件費"}</definedName>
    <definedName name="celerra9" hidden="1">{#N/A,#N/A,FALSE,"予算表";#N/A,#N/A,FALSE,"人件費"}</definedName>
    <definedName name="ContactCenterG">OFFSET([4]コンタクトセンターグループ【グループ管理】!#REF!,0,0,COUNTA([4]コンタクトセンターグループ【グループ管理】!#REF!),1)</definedName>
    <definedName name="Cost">SUM(#REF!)</definedName>
    <definedName name="CPU_chk">'[1]Data (2)'!$D$4:$G$30</definedName>
    <definedName name="CPU_SP1U_W">[1]Data!#REF!</definedName>
    <definedName name="CPU_SP1UnonRed_W">[1]Data!#REF!</definedName>
    <definedName name="CPU_SP2U">[1]Data!$E$12:$E$18</definedName>
    <definedName name="CPU_SP2U_W">[1]Data!#REF!</definedName>
    <definedName name="ｃｖｇ" hidden="1">{#N/A,#N/A,FALSE,"Windows";#N/A,#N/A,FALSE,"Windows (2)";#N/A,#N/A,FALSE,"Windows(Note)";#N/A,#N/A,FALSE,"Windows(Note) (2)";#N/A,#N/A,FALSE,"Macintosh";#N/A,#N/A,FALSE,"Macintosh (2)"}</definedName>
    <definedName name="d" hidden="1">{"'端末管理項目 (2)'!$B$1:$G$14"}</definedName>
    <definedName name="ddd" hidden="1">{#N/A,#N/A,FALSE,"Windows";#N/A,#N/A,FALSE,"Windows (2)";#N/A,#N/A,FALSE,"Windows(Note)";#N/A,#N/A,FALSE,"Windows(Note) (2)";#N/A,#N/A,FALSE,"Macintosh";#N/A,#N/A,FALSE,"Macintosh (2)"}</definedName>
    <definedName name="ddf" hidden="1">{#N/A,#N/A,TRUE,"ﾊﾟﾀｰﾝ1";#N/A,#N/A,TRUE,"ﾊﾟﾀｰﾝ2";#N/A,#N/A,TRUE,"ﾊﾟﾀｰﾝ3";#N/A,#N/A,TRUE,"ﾊﾟﾀｰﾝ4"}</definedName>
    <definedName name="der" hidden="1">{#N/A,#N/A,TRUE,"ﾊﾟﾀｰﾝ1";#N/A,#N/A,TRUE,"ﾊﾟﾀｰﾝ2";#N/A,#N/A,TRUE,"ﾊﾟﾀｰﾝ3";#N/A,#N/A,TRUE,"ﾊﾟﾀｰﾝ4"}</definedName>
    <definedName name="df" hidden="1">{#N/A,#N/A,FALSE,"Windows";#N/A,#N/A,FALSE,"Windows (2)";#N/A,#N/A,FALSE,"Windows(Note)";#N/A,#N/A,FALSE,"Windows(Note) (2)";#N/A,#N/A,FALSE,"Macintosh";#N/A,#N/A,FALSE,"Macintosh (2)"}</definedName>
    <definedName name="DHCPパラメタ" hidden="1">{#N/A,#N/A,FALSE,"表一覧"}</definedName>
    <definedName name="DHCPパラメタ2" hidden="1">{#N/A,#N/A,FALSE,"表一覧"}</definedName>
    <definedName name="DICT">[6]ディクショナリ!$B$2:$G$555</definedName>
    <definedName name="DSU設置ラック" hidden="1">{"'一覧'!$A$1:$M$28"}</definedName>
    <definedName name="e" hidden="1">{"'端末管理項目 (2)'!$B$1:$G$14"}</definedName>
    <definedName name="ee" hidden="1">{0,0,0}</definedName>
    <definedName name="eee" hidden="1">{#N/A,#N/A,TRUE,"ﾊﾟﾀｰﾝ1";#N/A,#N/A,TRUE,"ﾊﾟﾀｰﾝ2";#N/A,#N/A,TRUE,"ﾊﾟﾀｰﾝ3";#N/A,#N/A,TRUE,"ﾊﾟﾀｰﾝ4"}</definedName>
    <definedName name="eeewq" hidden="1">{#N/A,#N/A,FALSE,"Windows";#N/A,#N/A,FALSE,"Windows (2)";#N/A,#N/A,FALSE,"Windows(Note)";#N/A,#N/A,FALSE,"Windows(Note) (2)";#N/A,#N/A,FALSE,"Macintosh";#N/A,#N/A,FALSE,"Macintosh (2)"}</definedName>
    <definedName name="en" hidden="1">{#N/A,#N/A,TRUE,"ﾊﾟﾀｰﾝ1";#N/A,#N/A,TRUE,"ﾊﾟﾀｰﾝ2";#N/A,#N/A,TRUE,"ﾊﾟﾀｰﾝ3";#N/A,#N/A,TRUE,"ﾊﾟﾀｰﾝ4"}</definedName>
    <definedName name="er" hidden="1">{#N/A,#N/A,TRUE,"ﾊﾟﾀｰﾝ1";#N/A,#N/A,TRUE,"ﾊﾟﾀｰﾝ2";#N/A,#N/A,TRUE,"ﾊﾟﾀｰﾝ3";#N/A,#N/A,TRUE,"ﾊﾟﾀｰﾝ4"}</definedName>
    <definedName name="erh" hidden="1">{#N/A,#N/A,FALSE,"Windows";#N/A,#N/A,FALSE,"Windows (2)";#N/A,#N/A,FALSE,"Windows(Note)";#N/A,#N/A,FALSE,"Windows(Note) (2)";#N/A,#N/A,FALSE,"Macintosh";#N/A,#N/A,FALSE,"Macintosh (2)"}</definedName>
    <definedName name="etw" hidden="1">{#N/A,#N/A,FALSE,"Windows";#N/A,#N/A,FALSE,"Windows (2)";#N/A,#N/A,FALSE,"Windows(Note)";#N/A,#N/A,FALSE,"Windows(Note) (2)";#N/A,#N/A,FALSE,"Macintosh";#N/A,#N/A,FALSE,"Macintosh (2)"}</definedName>
    <definedName name="ew" hidden="1">{#N/A,#N/A,FALSE,"Windows";#N/A,#N/A,FALSE,"Windows (2)";#N/A,#N/A,FALSE,"Windows(Note)";#N/A,#N/A,FALSE,"Windows(Note) (2)";#N/A,#N/A,FALSE,"Macintosh";#N/A,#N/A,FALSE,"Macintosh (2)"}</definedName>
    <definedName name="ewr" hidden="1">{#N/A,#N/A,TRUE,"ﾊﾟﾀｰﾝ1";#N/A,#N/A,TRUE,"ﾊﾟﾀｰﾝ2";#N/A,#N/A,TRUE,"ﾊﾟﾀｰﾝ3";#N/A,#N/A,TRUE,"ﾊﾟﾀｰﾝ4"}</definedName>
    <definedName name="ewt" hidden="1">{#N/A,#N/A,FALSE,"Windows";#N/A,#N/A,FALSE,"Windows (2)";#N/A,#N/A,FALSE,"Windows(Note)";#N/A,#N/A,FALSE,"Windows(Note) (2)";#N/A,#N/A,FALSE,"Macintosh";#N/A,#N/A,FALSE,"Macintosh (2)"}</definedName>
    <definedName name="Ｅｘｃｅｌ">#REF!</definedName>
    <definedName name="ｆ" hidden="1">{"'端末管理項目 (2)'!$B$1:$G$14"}</definedName>
    <definedName name="fd" hidden="1">{#N/A,#N/A,TRUE,"ﾊﾟﾀｰﾝ1";#N/A,#N/A,TRUE,"ﾊﾟﾀｰﾝ2";#N/A,#N/A,TRUE,"ﾊﾟﾀｰﾝ3";#N/A,#N/A,TRUE,"ﾊﾟﾀｰﾝ4"}</definedName>
    <definedName name="ff" hidden="1">{#N/A,#N/A,TRUE,"ﾊﾟﾀｰﾝ1";#N/A,#N/A,TRUE,"ﾊﾟﾀｰﾝ2";#N/A,#N/A,TRUE,"ﾊﾟﾀｰﾝ3";#N/A,#N/A,TRUE,"ﾊﾟﾀｰﾝ4"}</definedName>
    <definedName name="FoxcoveHDD_W">[1]Data!#REF!</definedName>
    <definedName name="G" hidden="1">{"'受注'!$A$6:$R$15","'受注'!$A$18:$H$26","'受注'!$J$18:$P$26"}</definedName>
    <definedName name="GP" hidden="1">{"'受注'!$A$6:$R$15","'受注'!$A$18:$H$26","'受注'!$J$18:$P$26"}</definedName>
    <definedName name="h" hidden="1">{"'端末管理項目 (2)'!$B$1:$G$14"}</definedName>
    <definedName name="ｈ」」" hidden="1">{"'端末管理項目 (2)'!$B$1:$G$14"}</definedName>
    <definedName name="hh" hidden="1">{"'受注'!$A$6:$R$15","'受注'!$A$18:$H$26","'受注'!$J$18:$P$26"}</definedName>
    <definedName name="hhhhhhhhhhh" hidden="1">{#N/A,#N/A,FALSE,"Windows";#N/A,#N/A,FALSE,"Windows (2)";#N/A,#N/A,FALSE,"Windows(Note)";#N/A,#N/A,FALSE,"Windows(Note) (2)";#N/A,#N/A,FALSE,"Macintosh";#N/A,#N/A,FALSE,"Macintosh (2)"}</definedName>
    <definedName name="hj" hidden="1">{0,0,0}</definedName>
    <definedName name="HTML_CodePage" hidden="1">932</definedName>
    <definedName name="HTML_Control" hidden="1">{"'分担ﾙｰﾙ'!$A$1:$M$72","'分担ﾙｰﾙ'!$A$19:$M$71"}</definedName>
    <definedName name="HTML_Control1" hidden="1">{"'表紙'!$A$1:$M$17"}</definedName>
    <definedName name="HTML_Control2" hidden="1">{"'端末管理項目 (2)'!$B$1:$G$14"}</definedName>
    <definedName name="HTML_Cor" hidden="1">{"'変更後'!$B$6:$N$12"}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PathTemplate" hidden="1">"C:\My Documents"</definedName>
    <definedName name="HTML_Title" hidden="1">"開閉ﾙｰﾙ"</definedName>
    <definedName name="HTML1_1" hidden="1">"[nt.xls]EXPRESS5800_110PRO!$A$1:$I$60"</definedName>
    <definedName name="HTML1_10" hidden="1">""</definedName>
    <definedName name="HTML1_11" hidden="1">-4146</definedName>
    <definedName name="HTML1_12" hidden="1">"A:\My Documents\EXCEL\MyHTML.htm"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"nt0001"</definedName>
    <definedName name="HTML1_4" hidden="1">"EXPRESS5800_110PRO"</definedName>
    <definedName name="HTML1_5" hidden="1">""</definedName>
    <definedName name="HTML1_6" hidden="1">1</definedName>
    <definedName name="HTML1_7" hidden="1">1</definedName>
    <definedName name="HTML1_8" hidden="1">"96/09/11"</definedName>
    <definedName name="HTML1_9" hidden="1">"岡島 達治"</definedName>
    <definedName name="HTML2_1" hidden="1">"[nt.xls]EXPRESS5800_110PRO!$A$1:$H$61"</definedName>
    <definedName name="HTML2_10" hidden="1">""</definedName>
    <definedName name="HTML2_11" hidden="1">1</definedName>
    <definedName name="HTML2_12" hidden="1">"A:\My Documents\EXCEL\MyHTML.htm"</definedName>
    <definedName name="HTML2_2" hidden="1">1</definedName>
    <definedName name="HTML2_3" hidden="1">"nt0001"</definedName>
    <definedName name="HTML2_4" hidden="1">"EXPRESS5800_110PRO"</definedName>
    <definedName name="HTML2_5" hidden="1">""</definedName>
    <definedName name="HTML2_6" hidden="1">-4146</definedName>
    <definedName name="HTML2_7" hidden="1">-4146</definedName>
    <definedName name="HTML2_8" hidden="1">"96/09/11"</definedName>
    <definedName name="HTML2_9" hidden="1">"岡島 達治"</definedName>
    <definedName name="HTML3_1" hidden="1">"'[nt.xls]ＳＣＡＴ－ＮＴ　構成表'!$A$1:$H$260"</definedName>
    <definedName name="HTML3_10" hidden="1">""</definedName>
    <definedName name="HTML3_11" hidden="1">1</definedName>
    <definedName name="HTML3_12" hidden="1">"A:\My Documents\EXCEL\MyHTML.htm"</definedName>
    <definedName name="HTML3_2" hidden="1">1</definedName>
    <definedName name="HTML3_3" hidden="1">""</definedName>
    <definedName name="HTML3_4" hidden="1">"ＳＣＡＴ－ＮＴ　構成表"</definedName>
    <definedName name="HTML3_5" hidden="1">""</definedName>
    <definedName name="HTML3_6" hidden="1">1</definedName>
    <definedName name="HTML3_7" hidden="1">-4146</definedName>
    <definedName name="HTML3_8" hidden="1">"96/09/11"</definedName>
    <definedName name="HTML3_9" hidden="1">"岡島 達治"</definedName>
    <definedName name="HTML4_1" hidden="1">"'[nt.xls]ＳＣＡＴ－ＮＴ　構成表'!$A$2:$H$60"</definedName>
    <definedName name="HTML4_10" hidden="1">""</definedName>
    <definedName name="HTML4_11" hidden="1">1</definedName>
    <definedName name="HTML4_12" hidden="1">"A:\My Documents\EXCEL\MyHTML.htm"</definedName>
    <definedName name="HTML4_2" hidden="1">1</definedName>
    <definedName name="HTML4_3" hidden="1">"nt"</definedName>
    <definedName name="HTML4_4" hidden="1">"ＳＣＡＴ－ＮＴ　構成表"</definedName>
    <definedName name="HTML4_5" hidden="1">""</definedName>
    <definedName name="HTML4_6" hidden="1">-4146</definedName>
    <definedName name="HTML4_7" hidden="1">-4146</definedName>
    <definedName name="HTML4_8" hidden="1">"96/09/11"</definedName>
    <definedName name="HTML4_9" hidden="1">"岡島 達治"</definedName>
    <definedName name="HTML5_1" hidden="1">"'[nt.xls]ＳＣＡＴ－ＮＴ　構成表'!$A$1:$H$155"</definedName>
    <definedName name="HTML5_10" hidden="1">""</definedName>
    <definedName name="HTML5_11" hidden="1">1</definedName>
    <definedName name="HTML5_12" hidden="1">"A:\My Documents\EXCEL\MyHTML.htm"</definedName>
    <definedName name="HTML5_2" hidden="1">1</definedName>
    <definedName name="HTML5_3" hidden="1">"nt"</definedName>
    <definedName name="HTML5_4" hidden="1">"ＳＣＡＴ－ＮＴ　構成表"</definedName>
    <definedName name="HTML5_5" hidden="1">""</definedName>
    <definedName name="HTML5_6" hidden="1">-4146</definedName>
    <definedName name="HTML5_7" hidden="1">-4146</definedName>
    <definedName name="HTML5_8" hidden="1">"96/09/11"</definedName>
    <definedName name="HTML5_9" hidden="1">"岡島 達治"</definedName>
    <definedName name="HTML6_1" hidden="1">"'[nt.xls]ＳＣＡＴ－ＮＴ　構成表'!$A$1:$H$112"</definedName>
    <definedName name="HTML6_10" hidden="1">""</definedName>
    <definedName name="HTML6_11" hidden="1">1</definedName>
    <definedName name="HTML6_12" hidden="1">"A:\My Documents\EXCEL\MyHTML.htm"</definedName>
    <definedName name="HTML6_2" hidden="1">1</definedName>
    <definedName name="HTML6_3" hidden="1">"nt"</definedName>
    <definedName name="HTML6_4" hidden="1">"ＳＣＡＴ－ＮＴ　構成表"</definedName>
    <definedName name="HTML6_5" hidden="1">""</definedName>
    <definedName name="HTML6_6" hidden="1">-4146</definedName>
    <definedName name="HTML6_7" hidden="1">-4146</definedName>
    <definedName name="HTML6_8" hidden="1">"96/09/11"</definedName>
    <definedName name="HTML6_9" hidden="1">"岡島 達治"</definedName>
    <definedName name="HTML7_1" hidden="1">"'[nt.xls]ＳＣＡＴ－ＮＴ　構成表'!$A$1:$G$260"</definedName>
    <definedName name="HTML7_10" hidden="1">""</definedName>
    <definedName name="HTML7_11" hidden="1">1</definedName>
    <definedName name="HTML7_12" hidden="1">"A:\My Documents\EXCEL\MyHTML.htm"</definedName>
    <definedName name="HTML7_2" hidden="1">1</definedName>
    <definedName name="HTML7_3" hidden="1">""</definedName>
    <definedName name="HTML7_4" hidden="1">"ＳＣＡＴ－ＮＴ　構成表"</definedName>
    <definedName name="HTML7_5" hidden="1">""</definedName>
    <definedName name="HTML7_6" hidden="1">-4146</definedName>
    <definedName name="HTML7_7" hidden="1">-4146</definedName>
    <definedName name="HTML7_8" hidden="1">"96/09/11"</definedName>
    <definedName name="HTML7_9" hidden="1">"岡島 達治"</definedName>
    <definedName name="HTML8_1" hidden="1">"'[nt.xls]ＳＣＡＴ－ＮＴ　構成表'!$A$1:$G$250"</definedName>
    <definedName name="HTML8_10" hidden="1">""</definedName>
    <definedName name="HTML8_11" hidden="1">1</definedName>
    <definedName name="HTML8_12" hidden="1">"A:\My Documents\EXCEL\MyHTML.htm"</definedName>
    <definedName name="HTML8_2" hidden="1">1</definedName>
    <definedName name="HTML8_3" hidden="1">""</definedName>
    <definedName name="HTML8_4" hidden="1">"ＳＣＡＴ－ＮＴ　構成表"</definedName>
    <definedName name="HTML8_5" hidden="1">""</definedName>
    <definedName name="HTML8_6" hidden="1">-4146</definedName>
    <definedName name="HTML8_7" hidden="1">-4146</definedName>
    <definedName name="HTML8_8" hidden="1">"96/09/11"</definedName>
    <definedName name="HTML8_9" hidden="1">"岡島 達治"</definedName>
    <definedName name="HTMLCount" hidden="1">8</definedName>
    <definedName name="hyj" hidden="1">{#N/A,#N/A,FALSE,"予算表";#N/A,#N/A,FALSE,"人件費"}</definedName>
    <definedName name="i" hidden="1">{"'受注'!$A$6:$R$15","'受注'!$A$18:$H$26","'受注'!$J$18:$P$26"}</definedName>
    <definedName name="i110Rc_1h_HDDqty">[1]Data!#REF!</definedName>
    <definedName name="i110Rc_1h_W">[1]Data!#REF!</definedName>
    <definedName name="iao" hidden="1">{"'変更後'!$B$6:$N$12"}</definedName>
    <definedName name="iii" hidden="1">{#N/A,#N/A,TRUE,"ﾊﾟﾀｰﾝ1";#N/A,#N/A,TRUE,"ﾊﾟﾀｰﾝ2";#N/A,#N/A,TRUE,"ﾊﾟﾀｰﾝ3";#N/A,#N/A,TRUE,"ﾊﾟﾀｰﾝ4"}</definedName>
    <definedName name="iiii" hidden="1">{#N/A,#N/A,TRUE,"ﾊﾟﾀｰﾝ1";#N/A,#N/A,TRUE,"ﾊﾟﾀｰﾝ2";#N/A,#N/A,TRUE,"ﾊﾟﾀｰﾝ3";#N/A,#N/A,TRUE,"ﾊﾟﾀｰﾝ4"}</definedName>
    <definedName name="Inst6" hidden="1">{#N/A,#N/A,TRUE,"ﾊﾟﾀｰﾝ1";#N/A,#N/A,TRUE,"ﾊﾟﾀｰﾝ2";#N/A,#N/A,TRUE,"ﾊﾟﾀｰﾝ3";#N/A,#N/A,TRUE,"ﾊﾟﾀｰﾝ4"}</definedName>
    <definedName name="ipsoftphone" hidden="1">{"'端末管理項目 (2)'!$B$1:$G$14"}</definedName>
    <definedName name="IPトランク" hidden="1">{"'端末管理項目 (2)'!$B$1:$G$14"}</definedName>
    <definedName name="itl" hidden="1">{#N/A,#N/A,FALSE,"Windows";#N/A,#N/A,FALSE,"Windows (2)";#N/A,#N/A,FALSE,"Windows(Note)";#N/A,#N/A,FALSE,"Windows(Note) (2)";#N/A,#N/A,FALSE,"Macintosh";#N/A,#N/A,FALSE,"Macintosh (2)"}</definedName>
    <definedName name="iuop" hidden="1">{#N/A,#N/A,TRUE,"ﾊﾟﾀｰﾝ1";#N/A,#N/A,TRUE,"ﾊﾟﾀｰﾝ2";#N/A,#N/A,TRUE,"ﾊﾟﾀｰﾝ3";#N/A,#N/A,TRUE,"ﾊﾟﾀｰﾝ4"}</definedName>
    <definedName name="j" hidden="1">{"'端末管理項目 (2)'!$B$1:$G$14"}</definedName>
    <definedName name="jyuuuk" hidden="1">{#N/A,#N/A,TRUE,"ﾊﾟﾀｰﾝ1";#N/A,#N/A,TRUE,"ﾊﾟﾀｰﾝ2";#N/A,#N/A,TRUE,"ﾊﾟﾀｰﾝ3";#N/A,#N/A,TRUE,"ﾊﾟﾀｰﾝ4"}</definedName>
    <definedName name="k" hidden="1">{#N/A,#N/A,FALSE,"Windows";#N/A,#N/A,FALSE,"Windows (2)";#N/A,#N/A,FALSE,"Windows(Note)";#N/A,#N/A,FALSE,"Windows(Note) (2)";#N/A,#N/A,FALSE,"Macintosh";#N/A,#N/A,FALSE,"Macintosh (2)"}</definedName>
    <definedName name="ka" hidden="1">{#N/A,#N/A,FALSE,"Windows";#N/A,#N/A,FALSE,"Windows (2)";#N/A,#N/A,FALSE,"Windows(Note)";#N/A,#N/A,FALSE,"Windows(Note) (2)";#N/A,#N/A,FALSE,"Macintosh";#N/A,#N/A,FALSE,"Macintosh (2)"}</definedName>
    <definedName name="kkkk" hidden="1">{"'受注'!$A$6:$R$15","'受注'!$A$18:$H$26","'受注'!$J$18:$P$26"}</definedName>
    <definedName name="koi" hidden="1">{"'変更後'!$B$6:$N$12"}</definedName>
    <definedName name="kty" hidden="1">{#N/A,#N/A,TRUE,"ﾊﾟﾀｰﾝ1";#N/A,#N/A,TRUE,"ﾊﾟﾀｰﾝ2";#N/A,#N/A,TRUE,"ﾊﾟﾀｰﾝ3";#N/A,#N/A,TRUE,"ﾊﾟﾀｰﾝ4"}</definedName>
    <definedName name="l" hidden="1">{#N/A,#N/A,TRUE,"ﾊﾟﾀｰﾝ1";#N/A,#N/A,TRUE,"ﾊﾟﾀｰﾝ2";#N/A,#N/A,TRUE,"ﾊﾟﾀｰﾝ3";#N/A,#N/A,TRUE,"ﾊﾟﾀｰﾝ4"}</definedName>
    <definedName name="l8y7" hidden="1">{#N/A,#N/A,TRUE,"ﾊﾟﾀｰﾝ1";#N/A,#N/A,TRUE,"ﾊﾟﾀｰﾝ2";#N/A,#N/A,TRUE,"ﾊﾟﾀｰﾝ3";#N/A,#N/A,TRUE,"ﾊﾟﾀｰﾝ4"}</definedName>
    <definedName name="LANG">[5]Sheet4!$A$3</definedName>
    <definedName name="li" hidden="1">{#N/A,#N/A,TRUE,"ﾊﾟﾀｰﾝ1";#N/A,#N/A,TRUE,"ﾊﾟﾀｰﾝ2";#N/A,#N/A,TRUE,"ﾊﾟﾀｰﾝ3";#N/A,#N/A,TRUE,"ﾊﾟﾀｰﾝ4"}</definedName>
    <definedName name="liuy" hidden="1">{#N/A,#N/A,FALSE,"Windows";#N/A,#N/A,FALSE,"Windows (2)";#N/A,#N/A,FALSE,"Windows(Note)";#N/A,#N/A,FALSE,"Windows(Note) (2)";#N/A,#N/A,FALSE,"Macintosh";#N/A,#N/A,FALSE,"Macintosh (2)"}</definedName>
    <definedName name="ｌｌｌｌ" hidden="1">{#N/A,#N/A,TRUE,"ﾊﾟﾀｰﾝ1";#N/A,#N/A,TRUE,"ﾊﾟﾀｰﾝ2";#N/A,#N/A,TRUE,"ﾊﾟﾀｰﾝ3";#N/A,#N/A,TRUE,"ﾊﾟﾀｰﾝ4"}</definedName>
    <definedName name="loy" hidden="1">{#N/A,#N/A,FALSE,"Windows";#N/A,#N/A,FALSE,"Windows (2)";#N/A,#N/A,FALSE,"Windows(Note)";#N/A,#N/A,FALSE,"Windows(Note) (2)";#N/A,#N/A,FALSE,"Macintosh";#N/A,#N/A,FALSE,"Macintosh (2)"}</definedName>
    <definedName name="ly." hidden="1">{#N/A,#N/A,FALSE,"Windows";#N/A,#N/A,FALSE,"Windows (2)";#N/A,#N/A,FALSE,"Windows(Note)";#N/A,#N/A,FALSE,"Windows(Note) (2)";#N/A,#N/A,FALSE,"Macintosh";#N/A,#N/A,FALSE,"Macintosh (2)"}</definedName>
    <definedName name="lyi" hidden="1">{#N/A,#N/A,FALSE,"表一覧"}</definedName>
    <definedName name="lyu" hidden="1">{#N/A,#N/A,FALSE,"表一覧"}</definedName>
    <definedName name="max構成消費電力">'[1]Data (2)'!$D$1:$F$34</definedName>
    <definedName name="mdashi4">#REF!</definedName>
    <definedName name="mem110Ri_1">[1]Data!$I$22:$I$25</definedName>
    <definedName name="mem4Way_W">[1]Data!#REF!</definedName>
    <definedName name="MemBoard_W">[1]Data!#REF!</definedName>
    <definedName name="MemHR_W">[1]Data!#REF!</definedName>
    <definedName name="MemSP">[1]Data!$C$22:$C$26</definedName>
    <definedName name="MemSP_Max">[1]Data!$D$22:$D$23</definedName>
    <definedName name="MemSP_W">[1]Data!#REF!</definedName>
    <definedName name="midasi">#REF!</definedName>
    <definedName name="muraki" hidden="1">{#N/A,#N/A,FALSE,"Windows";#N/A,#N/A,FALSE,"Windows (2)";#N/A,#N/A,FALSE,"Windows(Note)";#N/A,#N/A,FALSE,"Windows(Note) (2)";#N/A,#N/A,FALSE,"Macintosh";#N/A,#N/A,FALSE,"Macintosh (2)"}</definedName>
    <definedName name="n" hidden="1">{#N/A,#N/A,TRUE,"ﾊﾟﾀｰﾝ1";#N/A,#N/A,TRUE,"ﾊﾟﾀｰﾝ2";#N/A,#N/A,TRUE,"ﾊﾟﾀｰﾝ3";#N/A,#N/A,TRUE,"ﾊﾟﾀｰﾝ4"}</definedName>
    <definedName name="nnnnnnnnnnnnnnnnnnnnn" hidden="1">{#N/A,#N/A,FALSE,"Windows";#N/A,#N/A,FALSE,"Windows (2)";#N/A,#N/A,FALSE,"Windows(Note)";#N/A,#N/A,FALSE,"Windows(Note) (2)";#N/A,#N/A,FALSE,"Macintosh";#N/A,#N/A,FALSE,"Macintosh (2)"}</definedName>
    <definedName name="no" hidden="1">{#N/A,#N/A,FALSE,"Windows";#N/A,#N/A,FALSE,"Windows (2)";#N/A,#N/A,FALSE,"Windows(Note)";#N/A,#N/A,FALSE,"Windows(Note) (2)";#N/A,#N/A,FALSE,"Macintosh";#N/A,#N/A,FALSE,"Macintosh (2)"}</definedName>
    <definedName name="o" hidden="1">{#N/A,#N/A,TRUE,"ﾊﾟﾀｰﾝ1";#N/A,#N/A,TRUE,"ﾊﾟﾀｰﾝ2";#N/A,#N/A,TRUE,"ﾊﾟﾀｰﾝ3";#N/A,#N/A,TRUE,"ﾊﾟﾀｰﾝ4"}</definedName>
    <definedName name="o8to" hidden="1">{#N/A,#N/A,FALSE,"表一覧"}</definedName>
    <definedName name="oi" hidden="1">{#N/A,#N/A,FALSE,"予算表";#N/A,#N/A,FALSE,"人件費"}</definedName>
    <definedName name="oit" hidden="1">{#N/A,#N/A,FALSE,"Windows";#N/A,#N/A,FALSE,"Windows (2)";#N/A,#N/A,FALSE,"Windows(Note)";#N/A,#N/A,FALSE,"Windows(Note) (2)";#N/A,#N/A,FALSE,"Macintosh";#N/A,#N/A,FALSE,"Macintosh (2)"}</definedName>
    <definedName name="ooo" hidden="1">{#N/A,#N/A,FALSE,"Windows";#N/A,#N/A,FALSE,"Windows (2)";#N/A,#N/A,FALSE,"Windows(Note)";#N/A,#N/A,FALSE,"Windows(Note) (2)";#N/A,#N/A,FALSE,"Macintosh";#N/A,#N/A,FALSE,"Macintosh (2)"}</definedName>
    <definedName name="opu" hidden="1">{#N/A,#N/A,TRUE,"ﾊﾟﾀｰﾝ1";#N/A,#N/A,TRUE,"ﾊﾟﾀｰﾝ2";#N/A,#N/A,TRUE,"ﾊﾟﾀｰﾝ3";#N/A,#N/A,TRUE,"ﾊﾟﾀｰﾝ4"}</definedName>
    <definedName name="ot7o" hidden="1">{#N/A,#N/A,FALSE,"Windows";#N/A,#N/A,FALSE,"Windows (2)";#N/A,#N/A,FALSE,"Windows(Note)";#N/A,#N/A,FALSE,"Windows(Note) (2)";#N/A,#N/A,FALSE,"Macintosh";#N/A,#N/A,FALSE,"Macintosh (2)"}</definedName>
    <definedName name="p" hidden="1">{#N/A,#N/A,FALSE,"Windows";#N/A,#N/A,FALSE,"Windows (2)";#N/A,#N/A,FALSE,"Windows(Note)";#N/A,#N/A,FALSE,"Windows(Note) (2)";#N/A,#N/A,FALSE,"Macintosh";#N/A,#N/A,FALSE,"Macintosh (2)"}</definedName>
    <definedName name="PCI">[1]Data!$C$41:$C$47</definedName>
    <definedName name="PF">#REF!</definedName>
    <definedName name="pickupgp" hidden="1">{"'端末管理項目 (2)'!$B$1:$G$14"}</definedName>
    <definedName name="poilyul" hidden="1">{#N/A,#N/A,FALSE,"Windows";#N/A,#N/A,FALSE,"Windows (2)";#N/A,#N/A,FALSE,"Windows(Note)";#N/A,#N/A,FALSE,"Windows(Note) (2)";#N/A,#N/A,FALSE,"Macintosh";#N/A,#N/A,FALSE,"Macintosh (2)"}</definedName>
    <definedName name="popo" hidden="1">{#N/A,#N/A,FALSE,"Windows";#N/A,#N/A,FALSE,"Windows (2)";#N/A,#N/A,FALSE,"Windows(Note)";#N/A,#N/A,FALSE,"Windows(Note) (2)";#N/A,#N/A,FALSE,"Macintosh";#N/A,#N/A,FALSE,"Macintosh (2)"}</definedName>
    <definedName name="pp" hidden="1">{"'受注'!$A$6:$R$15","'受注'!$A$18:$H$26","'受注'!$J$18:$P$26"}</definedName>
    <definedName name="ppp" hidden="1">{#N/A,#N/A,FALSE,"表一覧"}</definedName>
    <definedName name="_xlnm.Print_Area" localSheetId="2">大阪DC_VTRecServer2!$A$1:$AY$221</definedName>
    <definedName name="_xlnm.Print_Area" localSheetId="0">東京DC_VTManager!$A$1:$AY$226</definedName>
    <definedName name="_xlnm.Print_Area" localSheetId="1">東京DC_VTRecServer!$A$1:$AY$221</definedName>
    <definedName name="_xlnm.Print_Area">[7]表題!$1:$1048576</definedName>
    <definedName name="_xlnm.Print_Titles">#REF!</definedName>
    <definedName name="Print_Titles_">#REF!</definedName>
    <definedName name="Print_Titles2">#REF!</definedName>
    <definedName name="ProjectG">OFFSET([4]受付グループ【グループ管理】!#REF!,0,0,COUNTA([4]受付グループ【グループ管理】!#REF!),1)</definedName>
    <definedName name="PSU2U">[1]Data!$E$45:$E$46</definedName>
    <definedName name="q" hidden="1">SUM(#REF!)</definedName>
    <definedName name="qpo" hidden="1">{"'受注'!$A$6:$R$15","'受注'!$A$18:$H$26","'受注'!$J$18:$P$26"}</definedName>
    <definedName name="qq" hidden="1">{#N/A,#N/A,FALSE,"予算表";#N/A,#N/A,FALSE,"人件費"}</definedName>
    <definedName name="qqq" hidden="1">{#N/A,#N/A,TRUE,"ﾊﾟﾀｰﾝ1";#N/A,#N/A,TRUE,"ﾊﾟﾀｰﾝ2";#N/A,#N/A,TRUE,"ﾊﾟﾀｰﾝ3";#N/A,#N/A,TRUE,"ﾊﾟﾀｰﾝ4"}</definedName>
    <definedName name="qqqq" hidden="1">{#N/A,#N/A,FALSE,"予算表";#N/A,#N/A,FALSE,"人件費"}</definedName>
    <definedName name="REV">"002"</definedName>
    <definedName name="rte" hidden="1">{"'表紙'!$A$1:$M$17"}</definedName>
    <definedName name="rthj" hidden="1">{"'Sheet1'!$F$11:$H$15"}</definedName>
    <definedName name="ruy" hidden="1">{#N/A,#N/A,TRUE,"ﾊﾟﾀｰﾝ1";#N/A,#N/A,TRUE,"ﾊﾟﾀｰﾝ2";#N/A,#N/A,TRUE,"ﾊﾟﾀｰﾝ3";#N/A,#N/A,TRUE,"ﾊﾟﾀｰﾝ4"}</definedName>
    <definedName name="s" hidden="1">{"'端末管理項目 (2)'!$B$1:$G$14"}</definedName>
    <definedName name="S_PilotG">OFFSET([4]パイロット統計グループ【グループ管理】!#REF!,0,0,COUNTA([4]パイロット統計グループ【グループ管理】!#REF!),1)</definedName>
    <definedName name="S_ProjectG">OFFSET([4]受付統計グループ【グループ管理】!#REF!,0,0,COUNTA([4]受付統計グループ【グループ管理】!#REF!),1)</definedName>
    <definedName name="SAS2.5__W">[1]Data!#REF!</definedName>
    <definedName name="SAS3.5">[1]Data!$C$31:$C$35</definedName>
    <definedName name="SAS3.5__W">[1]Data!#REF!</definedName>
    <definedName name="SATA">[1]Data!$A$31:$A$36</definedName>
    <definedName name="SATA_120Rj_2">[1]Data!$B$31:$B$34</definedName>
    <definedName name="SATA_W">[1]Data!#REF!</definedName>
    <definedName name="sdf" hidden="1">{"'表紙'!$A$1:$M$17"}</definedName>
    <definedName name="siyousho" hidden="1">{#N/A,#N/A,FALSE,"表一覧"}</definedName>
    <definedName name="siyousyo2" hidden="1">{#N/A,#N/A,FALSE,"表一覧"}</definedName>
    <definedName name="ss" hidden="1">{"'一覧'!$A$1:$M$28"}</definedName>
    <definedName name="sss" hidden="1">{"'端末管理項目 (2)'!$B$1:$G$14"}</definedName>
    <definedName name="ｓｓｓｓ" hidden="1">{"'一覧'!$A$1:$M$28"}</definedName>
    <definedName name="sssss" hidden="1">{#N/A,#N/A,FALSE,"予算表";#N/A,#N/A,FALSE,"人件費"}</definedName>
    <definedName name="sssssssssssssssssssssssssssssssssssss" hidden="1">{#N/A,#N/A,FALSE,"予算表";#N/A,#N/A,FALSE,"人件費"}</definedName>
    <definedName name="sybase" hidden="1">{#N/A,#N/A,FALSE,"Windows";#N/A,#N/A,FALSE,"Windows (2)";#N/A,#N/A,FALSE,"Windows(Note)";#N/A,#N/A,FALSE,"Windows(Note) (2)";#N/A,#N/A,FALSE,"Macintosh";#N/A,#N/A,FALSE,"Macintosh (2)"}</definedName>
    <definedName name="ｓふぁ">#REF!</definedName>
    <definedName name="ｔ" hidden="1">{#N/A,#N/A,FALSE,"Windows";#N/A,#N/A,FALSE,"Windows (2)";#N/A,#N/A,FALSE,"Windows(Note)";#N/A,#N/A,FALSE,"Windows(Note) (2)";#N/A,#N/A,FALSE,"Macintosh";#N/A,#N/A,FALSE,"Macintosh (2)"}</definedName>
    <definedName name="ta" hidden="1">{#N/A,#N/A,TRUE,"ﾊﾟﾀｰﾝ1";#N/A,#N/A,TRUE,"ﾊﾟﾀｰﾝ2";#N/A,#N/A,TRUE,"ﾊﾟﾀｰﾝ3";#N/A,#N/A,TRUE,"ﾊﾟﾀｰﾝ4"}</definedName>
    <definedName name="TABLE_6">#REF!</definedName>
    <definedName name="TABLEDICT">#REF!</definedName>
    <definedName name="TABLEDICT2">#REF!</definedName>
    <definedName name="TBLTEIGI">#REF!</definedName>
    <definedName name="test2" hidden="1">{#N/A,#N/A,TRUE,"ﾊﾟﾀｰﾝ1";#N/A,#N/A,TRUE,"ﾊﾟﾀｰﾝ2";#N/A,#N/A,TRUE,"ﾊﾟﾀｰﾝ3";#N/A,#N/A,TRUE,"ﾊﾟﾀｰﾝ4"}</definedName>
    <definedName name="ttt" hidden="1">{#N/A,#N/A,FALSE,"Windows";#N/A,#N/A,FALSE,"Windows (2)";#N/A,#N/A,FALSE,"Windows(Note)";#N/A,#N/A,FALSE,"Windows(Note) (2)";#N/A,#N/A,FALSE,"Macintosh";#N/A,#N/A,FALSE,"Macintosh (2)"}</definedName>
    <definedName name="type">#REF!</definedName>
    <definedName name="tyu" hidden="1">{#N/A,#N/A,TRUE,"ﾊﾟﾀｰﾝ1";#N/A,#N/A,TRUE,"ﾊﾟﾀｰﾝ2";#N/A,#N/A,TRUE,"ﾊﾟﾀｰﾝ3";#N/A,#N/A,TRUE,"ﾊﾟﾀｰﾝ4"}</definedName>
    <definedName name="tyw" hidden="1">{#N/A,#N/A,TRUE,"ﾊﾟﾀｰﾝ1";#N/A,#N/A,TRUE,"ﾊﾟﾀｰﾝ2";#N/A,#N/A,TRUE,"ﾊﾟﾀｰﾝ3";#N/A,#N/A,TRUE,"ﾊﾟﾀｰﾝ4"}</definedName>
    <definedName name="u" hidden="1">{#N/A,#N/A,FALSE,"Windows";#N/A,#N/A,FALSE,"Windows (2)";#N/A,#N/A,FALSE,"Windows(Note)";#N/A,#N/A,FALSE,"Windows(Note) (2)";#N/A,#N/A,FALSE,"Macintosh";#N/A,#N/A,FALSE,"Macintosh (2)"}</definedName>
    <definedName name="ueuy" hidden="1">{#N/A,#N/A,TRUE,"ﾊﾟﾀｰﾝ1";#N/A,#N/A,TRUE,"ﾊﾟﾀｰﾝ2";#N/A,#N/A,TRUE,"ﾊﾟﾀｰﾝ3";#N/A,#N/A,TRUE,"ﾊﾟﾀｰﾝ4"}</definedName>
    <definedName name="ui" hidden="1">{#N/A,#N/A,FALSE,"予算表";#N/A,#N/A,FALSE,"人件費"}</definedName>
    <definedName name="uiuitio" hidden="1">{#N/A,#N/A,FALSE,"予算表";#N/A,#N/A,FALSE,"人件費"}</definedName>
    <definedName name="uku" hidden="1">{#N/A,#N/A,FALSE,"Windows";#N/A,#N/A,FALSE,"Windows (2)";#N/A,#N/A,FALSE,"Windows(Note)";#N/A,#N/A,FALSE,"Windows(Note) (2)";#N/A,#N/A,FALSE,"Macintosh";#N/A,#N/A,FALSE,"Macintosh (2)"}</definedName>
    <definedName name="uuuuuu" hidden="1">{#N/A,#N/A,FALSE,"Windows";#N/A,#N/A,FALSE,"Windows (2)";#N/A,#N/A,FALSE,"Windows(Note)";#N/A,#N/A,FALSE,"Windows(Note) (2)";#N/A,#N/A,FALSE,"Macintosh";#N/A,#N/A,FALSE,"Macintosh (2)"}</definedName>
    <definedName name="uyio" hidden="1">{#N/A,#N/A,TRUE,"ﾊﾟﾀｰﾝ1";#N/A,#N/A,TRUE,"ﾊﾟﾀｰﾝ2";#N/A,#N/A,TRUE,"ﾊﾟﾀｰﾝ3";#N/A,#N/A,TRUE,"ﾊﾟﾀｰﾝ4"}</definedName>
    <definedName name="ｖ" hidden="1">{"'一覧'!$A$1:$M$28"}</definedName>
    <definedName name="VER">"5.0"</definedName>
    <definedName name="VIEWDICT">[8]Sheet1!$B$7:$J$35</definedName>
    <definedName name="vv" hidden="1">{0,0,0}</definedName>
    <definedName name="ｖｖｖ" hidden="1">{"'一覧'!$A$1:$M$28"}</definedName>
    <definedName name="w" hidden="1">{"'端末管理項目 (2)'!$B$1:$G$14"}</definedName>
    <definedName name="WBSコード一覧">OFFSET('[3](Master)WBSコード一覧'!$A$2:$A$42,0,0,COUNTIF('[3](Master)WBSコード一覧'!$A$2:$A$42,"*"),1)</definedName>
    <definedName name="we" hidden="1">{#N/A,#N/A,FALSE,"予算表";#N/A,#N/A,FALSE,"人件費"}</definedName>
    <definedName name="wer" hidden="1">{#N/A,#N/A,FALSE,"予算表";#N/A,#N/A,FALSE,"人件費"}</definedName>
    <definedName name="weyt" hidden="1">{"'表紙'!$A$1:$M$17"}</definedName>
    <definedName name="win.TOKY2" hidden="1">{#N/A,#N/A,FALSE,"Windows";#N/A,#N/A,FALSE,"Windows (2)";#N/A,#N/A,FALSE,"Windows(Note)";#N/A,#N/A,FALSE,"Windows(Note) (2)";#N/A,#N/A,FALSE,"Macintosh";#N/A,#N/A,FALSE,"Macintosh (2)"}</definedName>
    <definedName name="wintoko" hidden="1">{#N/A,#N/A,FALSE,"Windows";#N/A,#N/A,FALSE,"Windows (2)";#N/A,#N/A,FALSE,"Windows(Note)";#N/A,#N/A,FALSE,"Windows(Note) (2)";#N/A,#N/A,FALSE,"Macintosh";#N/A,#N/A,FALSE,"Macintosh (2)"}</definedName>
    <definedName name="wrn.test." hidden="1">{"test",#N/A,FALSE,"96-1"}</definedName>
    <definedName name="wrn.TOYO." hidden="1">{#N/A,#N/A,FALSE,"Windows";#N/A,#N/A,FALSE,"Windows (2)";#N/A,#N/A,FALSE,"Windows(Note)";#N/A,#N/A,FALSE,"Windows(Note) (2)";#N/A,#N/A,FALSE,"Macintosh";#N/A,#N/A,FALSE,"Macintosh (2)"}</definedName>
    <definedName name="wrn.仕様書表紙." hidden="1">{#N/A,#N/A,FALSE,"表一覧"}</definedName>
    <definedName name="wrn.予算表." hidden="1">{#N/A,#N/A,FALSE,"予算表";#N/A,#N/A,FALSE,"人件費"}</definedName>
    <definedName name="wrt" hidden="1">{#N/A,#N/A,TRUE,"ﾊﾟﾀｰﾝ1";#N/A,#N/A,TRUE,"ﾊﾟﾀｰﾝ2";#N/A,#N/A,TRUE,"ﾊﾟﾀｰﾝ3";#N/A,#N/A,TRUE,"ﾊﾟﾀｰﾝ4"}</definedName>
    <definedName name="wt" hidden="1">{#N/A,#N/A,TRUE,"ﾊﾟﾀｰﾝ1";#N/A,#N/A,TRUE,"ﾊﾟﾀｰﾝ2";#N/A,#N/A,TRUE,"ﾊﾟﾀｰﾝ3";#N/A,#N/A,TRUE,"ﾊﾟﾀｰﾝ4"}</definedName>
    <definedName name="wtg" hidden="1">{#N/A,#N/A,FALSE,"Windows";#N/A,#N/A,FALSE,"Windows (2)";#N/A,#N/A,FALSE,"Windows(Note)";#N/A,#N/A,FALSE,"Windows(Note) (2)";#N/A,#N/A,FALSE,"Macintosh";#N/A,#N/A,FALSE,"Macintosh (2)"}</definedName>
    <definedName name="ww" hidden="1">{#N/A,#N/A,FALSE,"予算表";#N/A,#N/A,FALSE,"人件費"}</definedName>
    <definedName name="www" hidden="1">{"'Sheet1'!$F$11:$H$15"}</definedName>
    <definedName name="wwww" hidden="1">{#N/A,#N/A,FALSE,"予算表";#N/A,#N/A,FALSE,"人件費"}</definedName>
    <definedName name="wwwww" hidden="1">{#N/A,#N/A,FALSE,"予算表";#N/A,#N/A,FALSE,"人件費"}</definedName>
    <definedName name="ｘ" hidden="1">{#N/A,#N/A,FALSE,"Windows";#N/A,#N/A,FALSE,"Windows (2)";#N/A,#N/A,FALSE,"Windows(Note)";#N/A,#N/A,FALSE,"Windows(Note) (2)";#N/A,#N/A,FALSE,"Macintosh";#N/A,#N/A,FALSE,"Macintosh (2)"}</definedName>
    <definedName name="xx" hidden="1">{#N/A,#N/A,FALSE,"Windows";#N/A,#N/A,FALSE,"Windows (2)";#N/A,#N/A,FALSE,"Windows(Note)";#N/A,#N/A,FALSE,"Windows(Note) (2)";#N/A,#N/A,FALSE,"Macintosh";#N/A,#N/A,FALSE,"Macintosh (2)"}</definedName>
    <definedName name="yi" hidden="1">{#N/A,#N/A,FALSE,"Windows";#N/A,#N/A,FALSE,"Windows (2)";#N/A,#N/A,FALSE,"Windows(Note)";#N/A,#N/A,FALSE,"Windows(Note) (2)";#N/A,#N/A,FALSE,"Macintosh";#N/A,#N/A,FALSE,"Macintosh (2)"}</definedName>
    <definedName name="ytjkt" hidden="1">{#N/A,#N/A,TRUE,"ﾊﾟﾀｰﾝ1";#N/A,#N/A,TRUE,"ﾊﾟﾀｰﾝ2";#N/A,#N/A,TRUE,"ﾊﾟﾀｰﾝ3";#N/A,#N/A,TRUE,"ﾊﾟﾀｰﾝ4"}</definedName>
    <definedName name="yu" hidden="1">{#N/A,#N/A,FALSE,"表一覧"}</definedName>
    <definedName name="yyy" hidden="1">{#N/A,#N/A,FALSE,"表一覧"}</definedName>
    <definedName name="z" hidden="1">#REF!</definedName>
    <definedName name="Z_13280533_4350_11D5_A867_000629D8585B_.wvu.Cols" hidden="1">#REF!</definedName>
    <definedName name="Z_13280533_4350_11D5_A867_000629D8585B_.wvu.PrintArea" hidden="1">#REF!</definedName>
    <definedName name="Z_13280533_4350_11D5_A867_000629D8585B_.wvu.PrintTitles" hidden="1">#REF!</definedName>
    <definedName name="Z_13280533_4350_11D5_A867_000629D8585B_.wvu.Rows" hidden="1">#REF!</definedName>
    <definedName name="Z_142CEB77_BB33_4D99_A066_1F8164B6472C_.wvu.PrintArea" hidden="1">#REF!</definedName>
    <definedName name="Z_19ED08AB_EEDF_4471_AE04_8CF61E98BB7D_.wvu.FilterData" hidden="1">#REF!</definedName>
    <definedName name="Z_19ED08AB_EEDF_4471_AE04_8CF61E98BB7D_.wvu.PrintArea" hidden="1">#REF!</definedName>
    <definedName name="Z_19ED08AB_EEDF_4471_AE04_8CF61E98BB7D_.wvu.PrintTitles" hidden="1">#REF!</definedName>
    <definedName name="Z_5FB656F4_BEB8_4FC8_8D33_80F0ABECF8ED_.wvu.PrintArea" hidden="1">#REF!</definedName>
    <definedName name="Z_99F75048_98B2_4F08_B0B0_30D559B2F208_.wvu.PrintArea" hidden="1">#REF!</definedName>
    <definedName name="Z_A24DF89B_A910_4C33_8816_51002FBBF2B8_.wvu.FilterData" hidden="1">#REF!</definedName>
    <definedName name="Z_A24DF89B_A910_4C33_8816_51002FBBF2B8_.wvu.PrintArea" hidden="1">#REF!</definedName>
    <definedName name="Z_A24DF89B_A910_4C33_8816_51002FBBF2B8_.wvu.PrintTitles" hidden="1">#REF!</definedName>
    <definedName name="Z_ECECA9E9_429F_11D5_96AC_0006291EBE14_.wvu.Cols" hidden="1">#REF!</definedName>
    <definedName name="Z_ECECA9E9_429F_11D5_96AC_0006291EBE14_.wvu.PrintArea" hidden="1">#REF!</definedName>
    <definedName name="Z_ECECA9E9_429F_11D5_96AC_0006291EBE14_.wvu.PrintTitles" hidden="1">#REF!</definedName>
    <definedName name="Z_ECECA9E9_429F_11D5_96AC_0006291EBE14_.wvu.Rows" hidden="1">#REF!</definedName>
    <definedName name="Z_ECECAA35_429F_11D5_96AC_0006291EBE14_.wvu.Cols" hidden="1">#REF!</definedName>
    <definedName name="Z_ECECAA35_429F_11D5_96AC_0006291EBE14_.wvu.PrintArea" hidden="1">#REF!</definedName>
    <definedName name="Z_ECECAA35_429F_11D5_96AC_0006291EBE14_.wvu.PrintTitles" hidden="1">#REF!</definedName>
    <definedName name="Z_ECECAA35_429F_11D5_96AC_0006291EBE14_.wvu.Rows" hidden="1">#REF!</definedName>
    <definedName name="Z_F052EB0C_7F88_4D62_AE11_2377AED8592A_.wvu.PrintArea" hidden="1">#REF!</definedName>
    <definedName name="ｚｚｚ" hidden="1">{#N/A,#N/A,FALSE,"Windows";#N/A,#N/A,FALSE,"Windows (2)";#N/A,#N/A,FALSE,"Windows(Note)";#N/A,#N/A,FALSE,"Windows(Note) (2)";#N/A,#N/A,FALSE,"Macintosh";#N/A,#N/A,FALSE,"Macintosh (2)"}</definedName>
    <definedName name="あ" hidden="1">{"'端末管理項目 (2)'!$B$1:$G$14"}</definedName>
    <definedName name="あ２" hidden="1">{"'端末管理項目 (2)'!$B$1:$G$14"}</definedName>
    <definedName name="あｂｃ" hidden="1">{"'変更後'!$B$6:$N$12"}</definedName>
    <definedName name="ぁぁ">#REF!</definedName>
    <definedName name="ああ">#REF!</definedName>
    <definedName name="ああｓｆｄ" hidden="1">{"'表紙'!$A$1:$M$17"}</definedName>
    <definedName name="あああ" hidden="1">{"'一覧'!$A$1:$M$28"}</definedName>
    <definedName name="ああああ" hidden="1">{"'一覧'!$A$1:$M$28"}</definedName>
    <definedName name="ああああああ" hidden="1">{"'変更後'!$B$6:$N$12"}</definedName>
    <definedName name="ああああああああ" hidden="1">{"'変更後'!$B$6:$N$12"}</definedName>
    <definedName name="あああああああああ" hidden="1">{#N/A,#N/A,FALSE,"Windows";#N/A,#N/A,FALSE,"Windows (2)";#N/A,#N/A,FALSE,"Windows(Note)";#N/A,#N/A,FALSE,"Windows(Note) (2)";#N/A,#N/A,FALSE,"Macintosh";#N/A,#N/A,FALSE,"Macintosh (2)"}</definedName>
    <definedName name="ああああああああああ" hidden="1">{"'変更後'!$B$6:$N$12"}</definedName>
    <definedName name="ああああああああああああ" hidden="1">{"'変更後'!$B$6:$N$12"}</definedName>
    <definedName name="あああああああああああああああああああああ" hidden="1">{"'変更後'!$B$6:$N$12"}</definedName>
    <definedName name="あいう">#REF!</definedName>
    <definedName name="あいうえ">#REF!</definedName>
    <definedName name="あさ" hidden="1">{"'表紙'!$A$1:$M$17"}</definedName>
    <definedName name="あら">#REF!</definedName>
    <definedName name="いい" hidden="1">{#N/A,#N/A,TRUE,"ﾊﾟﾀｰﾝ1";#N/A,#N/A,TRUE,"ﾊﾟﾀｰﾝ2";#N/A,#N/A,TRUE,"ﾊﾟﾀｰﾝ3";#N/A,#N/A,TRUE,"ﾊﾟﾀｰﾝ4"}</definedName>
    <definedName name="いいい" hidden="1">#REF!</definedName>
    <definedName name="いいお" hidden="1">{#N/A,#N/A,FALSE,"予算表";#N/A,#N/A,FALSE,"人件費"}</definedName>
    <definedName name="う" hidden="1">{#N/A,#N/A,FALSE,"Windows";#N/A,#N/A,FALSE,"Windows (2)";#N/A,#N/A,FALSE,"Windows(Note)";#N/A,#N/A,FALSE,"Windows(Note) (2)";#N/A,#N/A,FALSE,"Macintosh";#N/A,#N/A,FALSE,"Macintosh (2)"}</definedName>
    <definedName name="うう">#REF!</definedName>
    <definedName name="ううう" hidden="1">{#N/A,#N/A,FALSE,"Windows";#N/A,#N/A,FALSE,"Windows (2)";#N/A,#N/A,FALSE,"Windows(Note)";#N/A,#N/A,FALSE,"Windows(Note) (2)";#N/A,#N/A,FALSE,"Macintosh";#N/A,#N/A,FALSE,"Macintosh (2)"}</definedName>
    <definedName name="え" hidden="1">{"'変更後'!$B$6:$N$12"}</definedName>
    <definedName name="ええええ" hidden="1">{#N/A,#N/A,TRUE,"ﾊﾟﾀｰﾝ1";#N/A,#N/A,TRUE,"ﾊﾟﾀｰﾝ2";#N/A,#N/A,TRUE,"ﾊﾟﾀｰﾝ3";#N/A,#N/A,TRUE,"ﾊﾟﾀｰﾝ4"}</definedName>
    <definedName name="お" hidden="1">{#N/A,#N/A,FALSE,"予算表";#N/A,#N/A,FALSE,"人件費"}</definedName>
    <definedName name="おお" hidden="1">{#N/A,#N/A,FALSE,"Windows";#N/A,#N/A,FALSE,"Windows (2)";#N/A,#N/A,FALSE,"Windows(Note)";#N/A,#N/A,FALSE,"Windows(Note) (2)";#N/A,#N/A,FALSE,"Macintosh";#N/A,#N/A,FALSE,"Macintosh (2)"}</definedName>
    <definedName name="おおおおお" hidden="1">{#N/A,#N/A,FALSE,"Windows";#N/A,#N/A,FALSE,"Windows (2)";#N/A,#N/A,FALSE,"Windows(Note)";#N/A,#N/A,FALSE,"Windows(Note) (2)";#N/A,#N/A,FALSE,"Macintosh";#N/A,#N/A,FALSE,"Macintosh (2)"}</definedName>
    <definedName name="おおさか" hidden="1">{#N/A,#N/A,FALSE,"Windows";#N/A,#N/A,FALSE,"Windows (2)";#N/A,#N/A,FALSE,"Windows(Note)";#N/A,#N/A,FALSE,"Windows(Note) (2)";#N/A,#N/A,FALSE,"Macintosh";#N/A,#N/A,FALSE,"Macintosh (2)"}</definedName>
    <definedName name="か" hidden="1">{#N/A,#N/A,TRUE,"ﾊﾟﾀｰﾝ1";#N/A,#N/A,TRUE,"ﾊﾟﾀｰﾝ2";#N/A,#N/A,TRUE,"ﾊﾟﾀｰﾝ3";#N/A,#N/A,TRUE,"ﾊﾟﾀｰﾝ4"}</definedName>
    <definedName name="かか">#REF!</definedName>
    <definedName name="かき">#REF!</definedName>
    <definedName name="かく">#REF!</definedName>
    <definedName name="かこ">#REF!</definedName>
    <definedName name="かこあ">#REF!</definedName>
    <definedName name="グループ">#REF!</definedName>
    <definedName name="さえ">#REF!</definedName>
    <definedName name="ざけんじゃねーよ" hidden="1">{#N/A,#N/A,TRUE,"ﾊﾟﾀｰﾝ1";#N/A,#N/A,TRUE,"ﾊﾟﾀｰﾝ2";#N/A,#N/A,TRUE,"ﾊﾟﾀｰﾝ3";#N/A,#N/A,TRUE,"ﾊﾟﾀｰﾝ4"}</definedName>
    <definedName name="ささ">#REF!</definedName>
    <definedName name="させ">#REF!</definedName>
    <definedName name="さま">#REF!</definedName>
    <definedName name="シート" hidden="1">{#N/A,#N/A,FALSE,"予算表";#N/A,#N/A,FALSE,"人件費"}</definedName>
    <definedName name="ステータス">[9]Sheet1!$A$1:$A$4</definedName>
    <definedName name="てｓｔ" hidden="1">{"'変更後'!$B$6:$N$12"}</definedName>
    <definedName name="テスト" hidden="1">{"'一覧'!$A$1:$M$28"}</definedName>
    <definedName name="ととと" hidden="1">{#N/A,#N/A,FALSE,"予算表";#N/A,#N/A,FALSE,"人件費"}</definedName>
    <definedName name="ともか" hidden="1">{#N/A,#N/A,FALSE,"Windows";#N/A,#N/A,FALSE,"Windows (2)";#N/A,#N/A,FALSE,"Windows(Note)";#N/A,#N/A,FALSE,"Windows(Note) (2)";#N/A,#N/A,FALSE,"Macintosh";#N/A,#N/A,FALSE,"Macintosh (2)"}</definedName>
    <definedName name="パートナー要員単価ランクオフセット">OFFSET('[3](Master)パートナー要員単価ランク'!$A$2,0,0,COUNTA('[3](Master)パートナー要員単価ランク'!$A$2:$A$3000),3)</definedName>
    <definedName name="パートナー要員単価ランク名">OFFSET('[3](Master)パートナー要員単価ランク'!$A$2,0,0,COUNTA('[3](Master)パートナー要員単価ランク'!$A$2:$A$2999),1)</definedName>
    <definedName name="はか">#REF!</definedName>
    <definedName name="はは">#REF!</definedName>
    <definedName name="ははぁ">#REF!</definedName>
    <definedName name="ピックアップグループ" hidden="1">{"'端末管理項目 (2)'!$B$1:$G$14"}</definedName>
    <definedName name="フェーズ番号">[3]表紙!$D$6</definedName>
    <definedName name="マクロ2">[10]!マクロ2</definedName>
    <definedName name="みだし">#REF!</definedName>
    <definedName name="みだし２">#REF!</definedName>
    <definedName name="みだし３">#REF!</definedName>
    <definedName name="ミドルウェア１" hidden="1">{#N/A,#N/A,TRUE,"ﾊﾟﾀｰﾝ1";#N/A,#N/A,TRUE,"ﾊﾟﾀｰﾝ2";#N/A,#N/A,TRUE,"ﾊﾟﾀｰﾝ3";#N/A,#N/A,TRUE,"ﾊﾟﾀｰﾝ4"}</definedName>
    <definedName name="めぢぷろ" hidden="1">{"'端末管理項目 (2)'!$B$1:$G$14"}</definedName>
    <definedName name="メンバ">#REF!</definedName>
    <definedName name="もも">#REF!</definedName>
    <definedName name="もり">#REF!</definedName>
    <definedName name="をい">#REF!</definedName>
    <definedName name="んん" hidden="1">{#N/A,#N/A,FALSE,"予算表";#N/A,#N/A,FALSE,"人件費"}</definedName>
    <definedName name="営本" hidden="1">{"'Sheet1'!$F$11:$H$15"}</definedName>
    <definedName name="回線数" hidden="1">{"'端末管理項目 (2)'!$B$1:$G$14"}</definedName>
    <definedName name="概要" hidden="1">{"'表紙'!$A$1:$W$39"}</definedName>
    <definedName name="関西" hidden="1">{#N/A,#N/A,FALSE,"表一覧"}</definedName>
    <definedName name="関連表" hidden="1">#REF!</definedName>
    <definedName name="機器一覧" hidden="1">{"'受注'!$A$6:$R$15","'受注'!$A$18:$H$26","'受注'!$J$18:$P$26"}</definedName>
    <definedName name="業務分類">'[3](Master)業務分類'!$A$2:$A$11</definedName>
    <definedName name="区分住所判定範囲">'[3](Master）住所変換'!$B$2:$G$7</definedName>
    <definedName name="熊本" hidden="1">{"'端末管理項目 (2)'!$B$1:$G$14"}</definedName>
    <definedName name="型_番">#REF!</definedName>
    <definedName name="原価ｾﾝﾀｺｰﾄﾞ誘導">VLOOKUP([3]計画登録!B1,OFFSET('[3](Master)組織'!$A$4,0,0,COUNTA('[3](Master)組織'!$A$4:$A$110),2),2,0)</definedName>
    <definedName name="原価センタ名">OFFSET('[3](Master)組織'!$A$4,0,0,COUNTA('[3](Master)組織'!$A$4:$A$109),1)</definedName>
    <definedName name="作成">#REF!</definedName>
    <definedName name="札幌電力設定変更後" hidden="1">{"'端末管理項目 (2)'!$B$1:$G$14"}</definedName>
    <definedName name="支払条件仕入">'[3](Master)支払条件'!$C$2:$C$21</definedName>
    <definedName name="支払条件売上">'[3](Master)支払条件'!$A$2:$A$66</definedName>
    <definedName name="支払先">[11]プルダウン!$A$3:$A$55</definedName>
    <definedName name="資格">'[3](Master)当社職員単価ランク'!$A$3:$A$26</definedName>
    <definedName name="資産勘定科目">[11]プルダウン!$I$3:$I$26</definedName>
    <definedName name="収益合計">[3]計画登録!$AC$41</definedName>
    <definedName name="住所判定">[3]表紙!$D$11</definedName>
    <definedName name="祝日一覧">#REF!</definedName>
    <definedName name="商品分類">'[3](Master)商品分類'!$A$2:$A$12</definedName>
    <definedName name="消費税額">'[3]見積書（委任）'!$BZ$8</definedName>
    <definedName name="消費税等見出し">'[3]見積書（委任）'!$BZ$7</definedName>
    <definedName name="消費税率">'[3]見積書（委任）'!$BZ$6</definedName>
    <definedName name="消費税率ﾊﾟｰｾﾝﾄ">'[3]見積書（委任）'!$BZ$5</definedName>
    <definedName name="消費電力">'[1]Data (2)'!$D$1:$E$102</definedName>
    <definedName name="場所">[11]プルダウン!$F$3:$F$26</definedName>
    <definedName name="数量">#REF!</definedName>
    <definedName name="製造元">[11]プルダウン!$D$3:$D$26</definedName>
    <definedName name="請求サイクル">'[3](Master)請求サイクル'!$A$2:$A$14</definedName>
    <definedName name="全">"A5:R301"</definedName>
    <definedName name="組織コード">'[3](Master)組織コード'!$A$2:$A$54</definedName>
    <definedName name="組織住所判定範囲">'[3](Master）住所変換'!$C$2:$G$7</definedName>
    <definedName name="単位コード">'[3](Master)単位コード'!$A$2:$A$19</definedName>
    <definedName name="単体ﾃｽﾄ" hidden="1">{#N/A,#N/A,FALSE,"Windows";#N/A,#N/A,FALSE,"Windows (2)";#N/A,#N/A,FALSE,"Windows(Note)";#N/A,#N/A,FALSE,"Windows(Note) (2)";#N/A,#N/A,FALSE,"Macintosh";#N/A,#N/A,FALSE,"Macintosh (2)"}</definedName>
    <definedName name="定価">#REF!</definedName>
    <definedName name="店舗外FV" hidden="1">{"'ﾊ'!$A$1:$C$20"}</definedName>
    <definedName name="東京お客さまコールセンター電話番号">#REF!</definedName>
    <definedName name="当社職員単価">'[3](Master)当社職員単価ランク'!$A$3:$E$26</definedName>
    <definedName name="当社職員単価ランクオフセット">OFFSET('[3](Master)当社職員単価ランク'!$A$3,0,0,COUNTA('[3](Master)当社職員単価ランク'!$A$3:$A$99),3)</definedName>
    <definedName name="当社職員単価ランク名">OFFSET('[3](Master)当社職員単価ランク'!$A$3,0,0,COUNTA('[3](Master)当社職員単価ランク'!$A$3:$A$98),1)</definedName>
    <definedName name="納入価">#REF!</definedName>
    <definedName name="番号計画" hidden="1">{"'分担ﾙｰﾙ'!$A$1:$M$72","'分担ﾙｰﾙ'!$A$19:$M$71"}</definedName>
    <definedName name="費用">SUM(#REF!)</definedName>
    <definedName name="表紙" hidden="1">#REF!</definedName>
    <definedName name="表紙ルール" hidden="1">{"'変更後'!$B$6:$N$12"}</definedName>
    <definedName name="品__名">#REF!</definedName>
    <definedName name="品名コード">'[1]Data (2)'!$C$1:$D$102</definedName>
    <definedName name="品目コード仕入">'[3](Master)品目コード,原価要素'!$A$2:$A$26</definedName>
    <definedName name="品目コード売上">'[3](Master)品目コード,原価要素'!$C$2:$C$15</definedName>
    <definedName name="変更後" hidden="1">{"'Sheet1'!$F$11:$H$15"}</definedName>
    <definedName name="変更履歴" hidden="1">{"'変更後'!$B$6:$N$12"}</definedName>
    <definedName name="本人認証" hidden="1">{#N/A,#N/A,FALSE,"Windows";#N/A,#N/A,FALSE,"Windows (2)";#N/A,#N/A,FALSE,"Windows(Note)";#N/A,#N/A,FALSE,"Windows(Note) (2)";#N/A,#N/A,FALSE,"Macintosh";#N/A,#N/A,FALSE,"Macintosh (2)"}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4" l="1"/>
  <c r="O30" i="3"/>
  <c r="O30" i="4"/>
  <c r="X24" i="3"/>
  <c r="V97" i="5"/>
  <c r="O6" i="5"/>
  <c r="X24" i="5"/>
  <c r="O25" i="5"/>
  <c r="O30" i="5"/>
  <c r="B38" i="5"/>
  <c r="V81" i="5"/>
  <c r="V89" i="5"/>
  <c r="AJ90" i="5"/>
  <c r="V105" i="5"/>
  <c r="AJ106" i="5"/>
  <c r="V113" i="5"/>
  <c r="AJ114" i="5"/>
  <c r="V121" i="5"/>
  <c r="AJ122" i="5"/>
  <c r="V129" i="5"/>
  <c r="AJ130" i="5"/>
  <c r="V137" i="5"/>
  <c r="AJ138" i="5"/>
  <c r="D144" i="5"/>
  <c r="V145" i="5"/>
  <c r="M188" i="5"/>
  <c r="M192" i="5" s="1"/>
  <c r="M189" i="5" l="1"/>
  <c r="M212" i="5"/>
  <c r="M202" i="5"/>
  <c r="M201" i="5"/>
  <c r="M200" i="5"/>
  <c r="M215" i="5"/>
  <c r="M214" i="5"/>
  <c r="M213" i="5"/>
  <c r="M203" i="5"/>
  <c r="M191" i="5"/>
  <c r="M190" i="5"/>
  <c r="M211" i="5"/>
  <c r="M199" i="5"/>
  <c r="M210" i="5"/>
  <c r="M198" i="5"/>
  <c r="M209" i="5"/>
  <c r="M197" i="5"/>
  <c r="M208" i="5"/>
  <c r="M196" i="5"/>
  <c r="M207" i="5"/>
  <c r="M195" i="5"/>
  <c r="M218" i="5"/>
  <c r="M206" i="5"/>
  <c r="M194" i="5"/>
  <c r="M217" i="5"/>
  <c r="M205" i="5"/>
  <c r="M193" i="5"/>
  <c r="M216" i="5"/>
  <c r="M204" i="5"/>
  <c r="O6" i="4"/>
  <c r="X24" i="4"/>
  <c r="O25" i="4"/>
  <c r="V82" i="4"/>
  <c r="V90" i="4"/>
  <c r="AJ91" i="4"/>
  <c r="V98" i="4"/>
  <c r="V106" i="4"/>
  <c r="AJ107" i="4"/>
  <c r="V114" i="4"/>
  <c r="AJ115" i="4"/>
  <c r="V122" i="4"/>
  <c r="AJ123" i="4"/>
  <c r="V132" i="4"/>
  <c r="AJ133" i="4"/>
  <c r="V140" i="4"/>
  <c r="AJ141" i="4"/>
  <c r="D147" i="4"/>
  <c r="V148" i="4"/>
  <c r="M193" i="4"/>
  <c r="M202" i="4" l="1"/>
  <c r="M217" i="4"/>
  <c r="M206" i="4"/>
  <c r="M203" i="4"/>
  <c r="M218" i="4"/>
  <c r="M194" i="4"/>
  <c r="M209" i="4"/>
  <c r="M221" i="4"/>
  <c r="M195" i="4"/>
  <c r="M210" i="4"/>
  <c r="M222" i="4"/>
  <c r="M196" i="4"/>
  <c r="M211" i="4"/>
  <c r="M223" i="4"/>
  <c r="M197" i="4"/>
  <c r="M212" i="4"/>
  <c r="M198" i="4"/>
  <c r="M213" i="4"/>
  <c r="M199" i="4"/>
  <c r="M214" i="4"/>
  <c r="M200" i="4"/>
  <c r="M215" i="4"/>
  <c r="M201" i="4"/>
  <c r="M216" i="4"/>
  <c r="M207" i="4"/>
  <c r="M204" i="4"/>
  <c r="M219" i="4"/>
  <c r="M208" i="4"/>
  <c r="M205" i="4"/>
  <c r="M220" i="4"/>
  <c r="O6" i="3" l="1"/>
  <c r="D144" i="3" l="1"/>
  <c r="V145" i="3"/>
  <c r="AQ128" i="3" l="1"/>
  <c r="AI128" i="3"/>
  <c r="AE128" i="3"/>
  <c r="Z128" i="3"/>
  <c r="V128" i="3"/>
  <c r="T128" i="3"/>
  <c r="BB24" i="3" l="1"/>
  <c r="BB23" i="3"/>
  <c r="O25" i="3" s="1"/>
  <c r="F53" i="3" l="1"/>
  <c r="AJ138" i="3" l="1"/>
  <c r="V137" i="3"/>
  <c r="AJ130" i="3"/>
  <c r="V129" i="3"/>
  <c r="AJ122" i="3"/>
  <c r="V121" i="3"/>
  <c r="AJ114" i="3"/>
  <c r="V113" i="3"/>
  <c r="AJ106" i="3"/>
  <c r="V105" i="3"/>
  <c r="M188" i="3" l="1"/>
  <c r="M190" i="3" l="1"/>
  <c r="M189" i="3"/>
  <c r="M214" i="3"/>
  <c r="M218" i="3"/>
  <c r="M204" i="3"/>
  <c r="M208" i="3"/>
  <c r="M212" i="3"/>
  <c r="M192" i="3"/>
  <c r="M196" i="3"/>
  <c r="M200" i="3"/>
  <c r="M209" i="3"/>
  <c r="M197" i="3"/>
  <c r="M202" i="3"/>
  <c r="M210" i="3"/>
  <c r="M194" i="3"/>
  <c r="M217" i="3"/>
  <c r="M207" i="3"/>
  <c r="M191" i="3"/>
  <c r="M215" i="3"/>
  <c r="M201" i="3"/>
  <c r="M205" i="3"/>
  <c r="M213" i="3"/>
  <c r="M193" i="3"/>
  <c r="M216" i="3"/>
  <c r="M206" i="3"/>
  <c r="M198" i="3"/>
  <c r="M203" i="3"/>
  <c r="M211" i="3"/>
  <c r="M195" i="3"/>
  <c r="M199" i="3"/>
  <c r="V97" i="3"/>
  <c r="V89" i="3"/>
  <c r="V81" i="3"/>
  <c r="AJ98" i="3"/>
  <c r="AJ9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Personal</author>
  </authors>
  <commentList>
    <comment ref="I56" authorId="0" shapeId="0" xr:uid="{EAD5ED7D-CE3F-4F55-A84B-9968EED61552}">
      <text>
        <r>
          <rPr>
            <b/>
            <sz val="9"/>
            <color indexed="81"/>
            <rFont val="ＭＳ Ｐゴシック"/>
            <family val="3"/>
            <charset val="128"/>
          </rPr>
          <t>作成したいディスクグループの最初と最後のディスクIDを入力してください。</t>
        </r>
      </text>
    </comment>
    <comment ref="V58" authorId="0" shapeId="0" xr:uid="{F179356E-8275-4F7E-889C-CCAE37BC19A8}">
      <text>
        <r>
          <rPr>
            <b/>
            <sz val="9"/>
            <color indexed="81"/>
            <rFont val="ＭＳ Ｐゴシック"/>
            <family val="3"/>
            <charset val="128"/>
          </rPr>
          <t>システム予約領域が不要な場合には、容量の記載を削除してください。</t>
        </r>
      </text>
    </comment>
    <comment ref="V62" authorId="0" shapeId="0" xr:uid="{08A48F78-AE15-44D2-A579-F2D3F7271AF9}">
      <text>
        <r>
          <rPr>
            <b/>
            <sz val="9"/>
            <color indexed="81"/>
            <rFont val="ＭＳ Ｐゴシック"/>
            <family val="3"/>
            <charset val="128"/>
          </rPr>
          <t>システム予約領域が不要な場合には、容量の記載を削除してください。</t>
        </r>
      </text>
    </comment>
    <comment ref="I67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作成したいディスクグループの最初と最後のディスクIDを入力してください。</t>
        </r>
      </text>
    </comment>
    <comment ref="V71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システム予約領域が不要な場合には、容量の記載を削除してください。</t>
        </r>
      </text>
    </comment>
    <comment ref="V74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システム予約領域が不要な場合には、容量の記載を削除してください。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Personal</author>
  </authors>
  <commentList>
    <comment ref="I55" authorId="0" shapeId="0" xr:uid="{FF6D14B7-E978-4BB3-BF90-36C61A9D4ADB}">
      <text>
        <r>
          <rPr>
            <b/>
            <sz val="9"/>
            <color indexed="81"/>
            <rFont val="ＭＳ Ｐゴシック"/>
            <family val="3"/>
            <charset val="128"/>
          </rPr>
          <t>作成したいディスクグループの最初と最後のディスクIDを入力してください。</t>
        </r>
      </text>
    </comment>
    <comment ref="V57" authorId="0" shapeId="0" xr:uid="{3C26A8CF-FDB2-4F4B-86A5-E3ADB330AE26}">
      <text>
        <r>
          <rPr>
            <b/>
            <sz val="9"/>
            <color indexed="81"/>
            <rFont val="ＭＳ Ｐゴシック"/>
            <family val="3"/>
            <charset val="128"/>
          </rPr>
          <t>システム予約領域が不要な場合には、容量の記載を削除してください。</t>
        </r>
      </text>
    </comment>
    <comment ref="V61" authorId="0" shapeId="0" xr:uid="{662D6A5B-B62E-42F8-935C-2BD575A1C9C1}">
      <text>
        <r>
          <rPr>
            <b/>
            <sz val="9"/>
            <color indexed="81"/>
            <rFont val="ＭＳ Ｐゴシック"/>
            <family val="3"/>
            <charset val="128"/>
          </rPr>
          <t>システム予約領域が不要な場合には、容量の記載を削除してください。</t>
        </r>
      </text>
    </comment>
    <comment ref="I66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作成したいディスクグループの最初と最後のディスクIDを入力してください。</t>
        </r>
      </text>
    </comment>
    <comment ref="V70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システム予約領域が不要な場合には、容量の記載を削除してください。</t>
        </r>
      </text>
    </comment>
    <comment ref="V73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システム予約領域が不要な場合には、容量の記載を削除してください。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Personal</author>
  </authors>
  <commentList>
    <comment ref="I55" authorId="0" shapeId="0" xr:uid="{64C687DE-D462-4D1F-ADBC-5FC89127DEAB}">
      <text>
        <r>
          <rPr>
            <b/>
            <sz val="9"/>
            <color indexed="81"/>
            <rFont val="ＭＳ Ｐゴシック"/>
            <family val="3"/>
            <charset val="128"/>
          </rPr>
          <t>作成したいディスクグループの最初と最後のディスクIDを入力してください。</t>
        </r>
      </text>
    </comment>
    <comment ref="V57" authorId="0" shapeId="0" xr:uid="{DD283C4E-2958-43E3-84C2-1B7810D1D5D4}">
      <text>
        <r>
          <rPr>
            <b/>
            <sz val="9"/>
            <color indexed="81"/>
            <rFont val="ＭＳ Ｐゴシック"/>
            <family val="3"/>
            <charset val="128"/>
          </rPr>
          <t>システム予約領域が不要な場合には、容量の記載を削除してください。</t>
        </r>
      </text>
    </comment>
    <comment ref="V61" authorId="0" shapeId="0" xr:uid="{80E4F808-8EA3-49B8-BBCA-F2B4360D6C0F}">
      <text>
        <r>
          <rPr>
            <b/>
            <sz val="9"/>
            <color indexed="81"/>
            <rFont val="ＭＳ Ｐゴシック"/>
            <family val="3"/>
            <charset val="128"/>
          </rPr>
          <t>システム予約領域が不要な場合には、容量の記載を削除してください。</t>
        </r>
      </text>
    </comment>
    <comment ref="I66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作成したいディスクグループの最初と最後のディスクIDを入力してください。</t>
        </r>
      </text>
    </comment>
    <comment ref="V70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システム予約領域が不要な場合には、容量の記載を削除してください。</t>
        </r>
      </text>
    </comment>
    <comment ref="V73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システム予約領域が不要な場合には、容量の記載を削除してください。</t>
        </r>
      </text>
    </comment>
  </commentList>
</comments>
</file>

<file path=xl/sharedStrings.xml><?xml version="1.0" encoding="utf-8"?>
<sst xmlns="http://schemas.openxmlformats.org/spreadsheetml/2006/main" count="1563" uniqueCount="386">
  <si>
    <t>サーバー情報</t>
    <phoneticPr fontId="2"/>
  </si>
  <si>
    <t>機種</t>
    <rPh sb="0" eb="2">
      <t>キシュ</t>
    </rPh>
    <phoneticPr fontId="2"/>
  </si>
  <si>
    <t>プロセッサ数</t>
    <rPh sb="5" eb="6">
      <t>スウ</t>
    </rPh>
    <phoneticPr fontId="2"/>
  </si>
  <si>
    <t>メモリ容量</t>
    <rPh sb="3" eb="5">
      <t>ヨウリョウ</t>
    </rPh>
    <phoneticPr fontId="2"/>
  </si>
  <si>
    <t>用途</t>
    <rPh sb="0" eb="2">
      <t>ヨウト</t>
    </rPh>
    <phoneticPr fontId="2"/>
  </si>
  <si>
    <t>ディスク構成</t>
    <rPh sb="4" eb="6">
      <t>コウセイ</t>
    </rPh>
    <phoneticPr fontId="2"/>
  </si>
  <si>
    <t>HDD
サイズ</t>
    <phoneticPr fontId="2"/>
  </si>
  <si>
    <t>HDD
スロット番号</t>
    <rPh sb="8" eb="10">
      <t>バンゴウ</t>
    </rPh>
    <phoneticPr fontId="2"/>
  </si>
  <si>
    <t>RAID</t>
    <phoneticPr fontId="2"/>
  </si>
  <si>
    <t>パーティションスタイル</t>
    <phoneticPr fontId="2"/>
  </si>
  <si>
    <t>ボリューム
サイズ</t>
    <phoneticPr fontId="2"/>
  </si>
  <si>
    <t>ドライブ
レター</t>
    <phoneticPr fontId="2"/>
  </si>
  <si>
    <t>パーティション
タイプ</t>
    <phoneticPr fontId="2"/>
  </si>
  <si>
    <t>ファイルシステム</t>
    <phoneticPr fontId="2"/>
  </si>
  <si>
    <t>ボリュームラベル</t>
    <phoneticPr fontId="2"/>
  </si>
  <si>
    <t>MBR</t>
  </si>
  <si>
    <t>プライマリ</t>
  </si>
  <si>
    <t>NTFS</t>
  </si>
  <si>
    <t>CD/DVD</t>
    <phoneticPr fontId="2"/>
  </si>
  <si>
    <t>N/A</t>
    <phoneticPr fontId="2"/>
  </si>
  <si>
    <t>E</t>
    <phoneticPr fontId="2"/>
  </si>
  <si>
    <t>チーミングモード</t>
    <phoneticPr fontId="2"/>
  </si>
  <si>
    <t>負荷分散モード</t>
    <rPh sb="0" eb="4">
      <t>フカブンサン</t>
    </rPh>
    <phoneticPr fontId="2"/>
  </si>
  <si>
    <t>スタンバイアダプター</t>
    <phoneticPr fontId="2"/>
  </si>
  <si>
    <t>用途</t>
    <phoneticPr fontId="2"/>
  </si>
  <si>
    <t>ネットワーク設定(接続名)</t>
    <rPh sb="9" eb="11">
      <t>セツゾク</t>
    </rPh>
    <rPh sb="11" eb="12">
      <t>メイ</t>
    </rPh>
    <phoneticPr fontId="2"/>
  </si>
  <si>
    <t>インターネット プロトコル バージョン 4（TCP/IPv4）</t>
    <phoneticPr fontId="2"/>
  </si>
  <si>
    <t>IP アドレス　／　サブネットマスク</t>
    <phoneticPr fontId="2"/>
  </si>
  <si>
    <t>デフォルト ゲートウェイ</t>
    <phoneticPr fontId="2"/>
  </si>
  <si>
    <t>優先 DNS サーバー</t>
    <phoneticPr fontId="2"/>
  </si>
  <si>
    <t>代替 DNS サーバー</t>
    <phoneticPr fontId="2"/>
  </si>
  <si>
    <t>ライセンス関連</t>
    <rPh sb="5" eb="7">
      <t>カンレン</t>
    </rPh>
    <phoneticPr fontId="2"/>
  </si>
  <si>
    <t>AES T-Link</t>
    <phoneticPr fontId="2"/>
  </si>
  <si>
    <t>録音関連</t>
    <rPh sb="0" eb="2">
      <t>ロクオン</t>
    </rPh>
    <rPh sb="2" eb="4">
      <t>カンレン</t>
    </rPh>
    <phoneticPr fontId="2"/>
  </si>
  <si>
    <t>録音形式　(dat or wav)</t>
    <rPh sb="0" eb="2">
      <t>ロクオン</t>
    </rPh>
    <rPh sb="2" eb="4">
      <t>ケイシキ</t>
    </rPh>
    <phoneticPr fontId="2"/>
  </si>
  <si>
    <t>音声処理</t>
    <rPh sb="0" eb="2">
      <t>オンセイ</t>
    </rPh>
    <rPh sb="2" eb="4">
      <t>ショリ</t>
    </rPh>
    <phoneticPr fontId="2"/>
  </si>
  <si>
    <t>分析方式(リアルタイム or バッチ)</t>
    <rPh sb="0" eb="2">
      <t>ブンセキ</t>
    </rPh>
    <rPh sb="2" eb="4">
      <t>ホウシキ</t>
    </rPh>
    <phoneticPr fontId="2"/>
  </si>
  <si>
    <t>接続名</t>
    <rPh sb="0" eb="2">
      <t>セツゾク</t>
    </rPh>
    <rPh sb="2" eb="3">
      <t>メイ</t>
    </rPh>
    <phoneticPr fontId="2"/>
  </si>
  <si>
    <t>MAC Address</t>
    <phoneticPr fontId="1"/>
  </si>
  <si>
    <t>Agent ID</t>
    <phoneticPr fontId="2"/>
  </si>
  <si>
    <t>Nic 2</t>
  </si>
  <si>
    <t>ライセンス数</t>
    <rPh sb="5" eb="6">
      <t>スウ</t>
    </rPh>
    <phoneticPr fontId="1"/>
  </si>
  <si>
    <t>※DHCPのリース期限を考慮し30分に一回タスク実行を行う。</t>
    <rPh sb="9" eb="11">
      <t>キゲン</t>
    </rPh>
    <rPh sb="12" eb="14">
      <t>コウリョ</t>
    </rPh>
    <rPh sb="17" eb="18">
      <t>フン</t>
    </rPh>
    <rPh sb="19" eb="21">
      <t>イッカイ</t>
    </rPh>
    <rPh sb="24" eb="26">
      <t>ジッコウ</t>
    </rPh>
    <rPh sb="27" eb="28">
      <t>オコナ</t>
    </rPh>
    <phoneticPr fontId="2"/>
  </si>
  <si>
    <t>実行期間</t>
    <rPh sb="0" eb="2">
      <t>ジッコウ</t>
    </rPh>
    <rPh sb="2" eb="4">
      <t>キカン</t>
    </rPh>
    <phoneticPr fontId="2"/>
  </si>
  <si>
    <t>毎日 6:05　起動　30分間毎繰り返し</t>
    <rPh sb="0" eb="1">
      <t>ゴト</t>
    </rPh>
    <rPh sb="1" eb="2">
      <t>ニチ</t>
    </rPh>
    <rPh sb="8" eb="10">
      <t>キドウ</t>
    </rPh>
    <rPh sb="13" eb="15">
      <t>フンカン</t>
    </rPh>
    <rPh sb="15" eb="16">
      <t>ゴト</t>
    </rPh>
    <rPh sb="16" eb="17">
      <t>ク</t>
    </rPh>
    <rPh sb="18" eb="19">
      <t>カエ</t>
    </rPh>
    <phoneticPr fontId="2"/>
  </si>
  <si>
    <t>VTDelete</t>
    <phoneticPr fontId="2"/>
  </si>
  <si>
    <t>データ消去期間(何日で消去?)</t>
    <rPh sb="3" eb="5">
      <t>ショウキョ</t>
    </rPh>
    <rPh sb="5" eb="7">
      <t>キカン</t>
    </rPh>
    <rPh sb="8" eb="10">
      <t>ナンニチ</t>
    </rPh>
    <rPh sb="11" eb="13">
      <t>ショウキョ</t>
    </rPh>
    <phoneticPr fontId="2"/>
  </si>
  <si>
    <t>作業時周辺機器関連</t>
    <rPh sb="0" eb="2">
      <t>サギョウ</t>
    </rPh>
    <rPh sb="2" eb="3">
      <t>ジ</t>
    </rPh>
    <rPh sb="3" eb="5">
      <t>シュウヘン</t>
    </rPh>
    <rPh sb="5" eb="7">
      <t>キキ</t>
    </rPh>
    <rPh sb="7" eb="9">
      <t>カンレン</t>
    </rPh>
    <phoneticPr fontId="1"/>
  </si>
  <si>
    <t>お客様側でのKVMのご用意</t>
    <rPh sb="1" eb="3">
      <t>キャクサマ</t>
    </rPh>
    <rPh sb="3" eb="4">
      <t>ガワ</t>
    </rPh>
    <rPh sb="11" eb="13">
      <t>ヨウイ</t>
    </rPh>
    <phoneticPr fontId="1"/>
  </si>
  <si>
    <t>セットアップ時KVM持ち込み</t>
    <rPh sb="6" eb="7">
      <t>ジ</t>
    </rPh>
    <rPh sb="10" eb="11">
      <t>モ</t>
    </rPh>
    <rPh sb="12" eb="13">
      <t>コ</t>
    </rPh>
    <phoneticPr fontId="1"/>
  </si>
  <si>
    <t>ホスト名(15文字まで)</t>
    <rPh sb="3" eb="4">
      <t>メイ</t>
    </rPh>
    <phoneticPr fontId="2"/>
  </si>
  <si>
    <t>PBX　種別</t>
    <rPh sb="4" eb="6">
      <t>シュベツ</t>
    </rPh>
    <phoneticPr fontId="1"/>
  </si>
  <si>
    <t>Omnis音声解析システムURL(ブラウザ)</t>
    <rPh sb="5" eb="7">
      <t>オンセイ</t>
    </rPh>
    <rPh sb="7" eb="9">
      <t>カイセキ</t>
    </rPh>
    <phoneticPr fontId="1"/>
  </si>
  <si>
    <t>※セットアップ時のみ持ち込みの場合、KVM一日レンタル費用を別途請求となります。</t>
    <rPh sb="7" eb="8">
      <t>ジ</t>
    </rPh>
    <rPh sb="10" eb="11">
      <t>モ</t>
    </rPh>
    <rPh sb="12" eb="13">
      <t>コ</t>
    </rPh>
    <rPh sb="15" eb="17">
      <t>バアイ</t>
    </rPh>
    <rPh sb="21" eb="23">
      <t>イチニチ</t>
    </rPh>
    <rPh sb="27" eb="29">
      <t>ヒヨウ</t>
    </rPh>
    <rPh sb="30" eb="32">
      <t>ベット</t>
    </rPh>
    <rPh sb="32" eb="34">
      <t>セイキュウ</t>
    </rPh>
    <phoneticPr fontId="1"/>
  </si>
  <si>
    <t>対象</t>
    <rPh sb="0" eb="2">
      <t>タイショウ</t>
    </rPh>
    <phoneticPr fontId="2"/>
  </si>
  <si>
    <t>設定項目</t>
  </si>
  <si>
    <t>設定値</t>
  </si>
  <si>
    <t>回復</t>
    <rPh sb="0" eb="2">
      <t>カイフク</t>
    </rPh>
    <phoneticPr fontId="2"/>
  </si>
  <si>
    <t>Windows CALライセンス認証</t>
    <rPh sb="16" eb="18">
      <t>ニンショウ</t>
    </rPh>
    <phoneticPr fontId="2"/>
  </si>
  <si>
    <t>AES関連(1号機)</t>
    <rPh sb="3" eb="5">
      <t>カンレン</t>
    </rPh>
    <rPh sb="7" eb="9">
      <t>ゴウキ</t>
    </rPh>
    <phoneticPr fontId="2"/>
  </si>
  <si>
    <t>※音声は保存されますがストレージの容量確保のため一定期間ののち削除されます。</t>
    <rPh sb="1" eb="3">
      <t>オンセイ</t>
    </rPh>
    <rPh sb="4" eb="6">
      <t>ホゾン</t>
    </rPh>
    <rPh sb="17" eb="19">
      <t>ヨウリョウ</t>
    </rPh>
    <rPh sb="19" eb="21">
      <t>カクホ</t>
    </rPh>
    <rPh sb="24" eb="26">
      <t>イッテイ</t>
    </rPh>
    <rPh sb="26" eb="28">
      <t>キカン</t>
    </rPh>
    <rPh sb="31" eb="33">
      <t>サクジョ</t>
    </rPh>
    <phoneticPr fontId="2"/>
  </si>
  <si>
    <t>xx CAL</t>
    <phoneticPr fontId="2"/>
  </si>
  <si>
    <t>iLO</t>
    <phoneticPr fontId="1"/>
  </si>
  <si>
    <t>時刻同期設定</t>
    <rPh sb="0" eb="4">
      <t>ジコクドウキ</t>
    </rPh>
    <rPh sb="4" eb="6">
      <t>セッテイ</t>
    </rPh>
    <phoneticPr fontId="1"/>
  </si>
  <si>
    <t>SNMP設定</t>
    <rPh sb="4" eb="6">
      <t>セッテイ</t>
    </rPh>
    <phoneticPr fontId="1"/>
  </si>
  <si>
    <t>トラップ送信NIC</t>
    <rPh sb="4" eb="6">
      <t>ソウシン</t>
    </rPh>
    <phoneticPr fontId="1"/>
  </si>
  <si>
    <t>使用可否</t>
    <rPh sb="0" eb="2">
      <t>シヨウ</t>
    </rPh>
    <rPh sb="2" eb="4">
      <t>カヒ</t>
    </rPh>
    <phoneticPr fontId="1"/>
  </si>
  <si>
    <t>KVM無しの場合、必要機器を指定してください　例：モニター、キーボード、マウス</t>
    <rPh sb="3" eb="4">
      <t>ナ</t>
    </rPh>
    <rPh sb="6" eb="8">
      <t>バアイ</t>
    </rPh>
    <rPh sb="9" eb="11">
      <t>ヒツヨウ</t>
    </rPh>
    <rPh sb="11" eb="13">
      <t>キキ</t>
    </rPh>
    <rPh sb="14" eb="16">
      <t>シテイ</t>
    </rPh>
    <rPh sb="23" eb="24">
      <t>レイ</t>
    </rPh>
    <phoneticPr fontId="1"/>
  </si>
  <si>
    <t>NTPサーバー　(複数設定の場合)</t>
    <rPh sb="9" eb="11">
      <t>フクスウ</t>
    </rPh>
    <rPh sb="11" eb="13">
      <t>セッテイ</t>
    </rPh>
    <rPh sb="14" eb="16">
      <t>バアイ</t>
    </rPh>
    <phoneticPr fontId="2"/>
  </si>
  <si>
    <t>Nic 1</t>
    <phoneticPr fontId="1"/>
  </si>
  <si>
    <t>V1</t>
  </si>
  <si>
    <t>無し</t>
  </si>
  <si>
    <t>Nic 3</t>
  </si>
  <si>
    <t>Nic 4</t>
  </si>
  <si>
    <t>スイッチに依存しない</t>
  </si>
  <si>
    <t>アクティブ</t>
  </si>
  <si>
    <t>基本設定項目 / OS パラメータ（ホスト名）</t>
    <phoneticPr fontId="2"/>
  </si>
  <si>
    <t>Service Pack</t>
    <phoneticPr fontId="2"/>
  </si>
  <si>
    <t>Server</t>
    <phoneticPr fontId="2"/>
  </si>
  <si>
    <t>ライセンスキー</t>
    <phoneticPr fontId="2"/>
  </si>
  <si>
    <t>-</t>
    <phoneticPr fontId="1"/>
  </si>
  <si>
    <t>～</t>
    <phoneticPr fontId="2"/>
  </si>
  <si>
    <t>-</t>
    <phoneticPr fontId="2"/>
  </si>
  <si>
    <t>インターネット プロトコル バージョン 4（TCP/IPv4）</t>
    <phoneticPr fontId="2"/>
  </si>
  <si>
    <t>IP アドレス　／　サブネットマスク</t>
    <phoneticPr fontId="2"/>
  </si>
  <si>
    <t>デフォルト ゲートウェイ</t>
    <phoneticPr fontId="2"/>
  </si>
  <si>
    <t>優先 DNS サーバー</t>
    <phoneticPr fontId="2"/>
  </si>
  <si>
    <t>代替 DNS サーバー</t>
    <phoneticPr fontId="2"/>
  </si>
  <si>
    <t>SNMPマネージャ　IPアドレス</t>
    <phoneticPr fontId="1"/>
  </si>
  <si>
    <t>コミュニティー名</t>
    <phoneticPr fontId="1"/>
  </si>
  <si>
    <t>OS Edition</t>
    <phoneticPr fontId="2"/>
  </si>
  <si>
    <t>プロダクト キー</t>
    <phoneticPr fontId="2"/>
  </si>
  <si>
    <t>システムで予約済み※</t>
    <phoneticPr fontId="2"/>
  </si>
  <si>
    <t>EFI</t>
    <phoneticPr fontId="1"/>
  </si>
  <si>
    <t>MSR</t>
    <phoneticPr fontId="2"/>
  </si>
  <si>
    <t>C</t>
    <phoneticPr fontId="2"/>
  </si>
  <si>
    <t>システム</t>
    <phoneticPr fontId="2"/>
  </si>
  <si>
    <t>D</t>
    <phoneticPr fontId="2"/>
  </si>
  <si>
    <t>データ</t>
    <phoneticPr fontId="2"/>
  </si>
  <si>
    <t>Nic 5</t>
  </si>
  <si>
    <t>Nic 6</t>
  </si>
  <si>
    <t>OmnisリアルタイムプロセスURL</t>
    <phoneticPr fontId="1"/>
  </si>
  <si>
    <t>StationMonitor</t>
    <phoneticPr fontId="2"/>
  </si>
  <si>
    <t>StationMonitorReboot</t>
    <phoneticPr fontId="2"/>
  </si>
  <si>
    <t>NTPサーバー　IPアドレス</t>
    <phoneticPr fontId="2"/>
  </si>
  <si>
    <t>バージョン</t>
    <phoneticPr fontId="1"/>
  </si>
  <si>
    <t>動的</t>
  </si>
  <si>
    <t>監視接続用</t>
    <rPh sb="0" eb="2">
      <t>カンシ</t>
    </rPh>
    <rPh sb="2" eb="5">
      <t>セツゾクヨウ</t>
    </rPh>
    <phoneticPr fontId="1"/>
  </si>
  <si>
    <t>Nic 7</t>
  </si>
  <si>
    <t>Nic 8</t>
  </si>
  <si>
    <t>LA6000VoISplus</t>
    <phoneticPr fontId="1"/>
  </si>
  <si>
    <t>1TB
x2</t>
    <phoneticPr fontId="1"/>
  </si>
  <si>
    <t>LOGICAL
VOLUME</t>
    <phoneticPr fontId="1"/>
  </si>
  <si>
    <t>210MB</t>
    <phoneticPr fontId="1"/>
  </si>
  <si>
    <t>sda1</t>
    <phoneticPr fontId="1"/>
  </si>
  <si>
    <t>EFIシステム</t>
    <phoneticPr fontId="1"/>
  </si>
  <si>
    <t>FAT</t>
    <phoneticPr fontId="1"/>
  </si>
  <si>
    <t>1.1GB</t>
    <phoneticPr fontId="1"/>
  </si>
  <si>
    <t>sda2</t>
    <phoneticPr fontId="1"/>
  </si>
  <si>
    <t>基本データ</t>
    <rPh sb="0" eb="2">
      <t>キホン</t>
    </rPh>
    <phoneticPr fontId="1"/>
  </si>
  <si>
    <t>XFS</t>
    <phoneticPr fontId="1"/>
  </si>
  <si>
    <t>999GB</t>
    <phoneticPr fontId="1"/>
  </si>
  <si>
    <t>sda3</t>
    <phoneticPr fontId="1"/>
  </si>
  <si>
    <t>Linux LVM</t>
    <phoneticPr fontId="1"/>
  </si>
  <si>
    <t>LVM2</t>
    <phoneticPr fontId="1"/>
  </si>
  <si>
    <t>BLOCK
DEVICE</t>
    <phoneticPr fontId="1"/>
  </si>
  <si>
    <t>54GB</t>
    <phoneticPr fontId="1"/>
  </si>
  <si>
    <t>centos/root</t>
    <phoneticPr fontId="1"/>
  </si>
  <si>
    <t>8.4GB</t>
    <phoneticPr fontId="1"/>
  </si>
  <si>
    <t>Swap</t>
    <phoneticPr fontId="1"/>
  </si>
  <si>
    <t>centos/swap</t>
    <phoneticPr fontId="1"/>
  </si>
  <si>
    <t>937GB</t>
    <phoneticPr fontId="1"/>
  </si>
  <si>
    <t>home</t>
    <phoneticPr fontId="1"/>
  </si>
  <si>
    <t>※機器搬送先と</t>
    <rPh sb="1" eb="3">
      <t>キキ</t>
    </rPh>
    <rPh sb="3" eb="6">
      <t>ハンソウサキ</t>
    </rPh>
    <phoneticPr fontId="1"/>
  </si>
  <si>
    <t>設置場所が異なる</t>
    <rPh sb="0" eb="2">
      <t>セッチ</t>
    </rPh>
    <rPh sb="2" eb="4">
      <t>バショ</t>
    </rPh>
    <rPh sb="5" eb="6">
      <t>コト</t>
    </rPh>
    <phoneticPr fontId="1"/>
  </si>
  <si>
    <t>優先順位</t>
    <phoneticPr fontId="2"/>
  </si>
  <si>
    <t>チーミング有無</t>
    <rPh sb="5" eb="7">
      <t>ウム</t>
    </rPh>
    <phoneticPr fontId="1"/>
  </si>
  <si>
    <t>Administrator / root パスワード</t>
    <phoneticPr fontId="2"/>
  </si>
  <si>
    <t>時間帯</t>
    <rPh sb="0" eb="3">
      <t>ジカンタイ</t>
    </rPh>
    <phoneticPr fontId="1"/>
  </si>
  <si>
    <t>場合はその旨記載。</t>
    <rPh sb="0" eb="2">
      <t>バアイ</t>
    </rPh>
    <rPh sb="5" eb="6">
      <t>ムネ</t>
    </rPh>
    <rPh sb="6" eb="8">
      <t>キサイ</t>
    </rPh>
    <phoneticPr fontId="1"/>
  </si>
  <si>
    <t>Omnis 情報</t>
    <phoneticPr fontId="1"/>
  </si>
  <si>
    <t>/</t>
    <phoneticPr fontId="1"/>
  </si>
  <si>
    <t>route –p add xxx.xxx.xxx.xxx mask xxx.xxx.xxx.xxx xxx.xxx.xxx.xxx</t>
    <phoneticPr fontId="2"/>
  </si>
  <si>
    <t>/etc/sysconfig/network-scripts/route-[インタフェース名]   xxx.xxx.xxx.0/24 via [ゲートウェイIP] [インタフェース名]</t>
    <phoneticPr fontId="1"/>
  </si>
  <si>
    <t>例）</t>
    <rPh sb="0" eb="1">
      <t>レイ</t>
    </rPh>
    <phoneticPr fontId="1"/>
  </si>
  <si>
    <t>静的ルート設定</t>
    <rPh sb="0" eb="2">
      <t>セイテキ</t>
    </rPh>
    <rPh sb="5" eb="7">
      <t>セッテイ</t>
    </rPh>
    <phoneticPr fontId="1"/>
  </si>
  <si>
    <t>ライセンス.lic　提供日</t>
    <rPh sb="10" eb="12">
      <t>テイキョウ</t>
    </rPh>
    <rPh sb="12" eb="13">
      <t>ヒ</t>
    </rPh>
    <phoneticPr fontId="2"/>
  </si>
  <si>
    <t>　　　　　　年　　　　月　　　日（　）</t>
    <rPh sb="6" eb="7">
      <t>ネン</t>
    </rPh>
    <rPh sb="11" eb="12">
      <t>ガツ</t>
    </rPh>
    <rPh sb="15" eb="16">
      <t>ヒ</t>
    </rPh>
    <phoneticPr fontId="1"/>
  </si>
  <si>
    <t>Omnis Capture Server</t>
    <phoneticPr fontId="2"/>
  </si>
  <si>
    <t>AES IPアドレス：ポート番号</t>
    <rPh sb="14" eb="16">
      <t>バンゴウ</t>
    </rPh>
    <phoneticPr fontId="1"/>
  </si>
  <si>
    <t>AES ID</t>
    <phoneticPr fontId="1"/>
  </si>
  <si>
    <t>AES Password</t>
    <phoneticPr fontId="1"/>
  </si>
  <si>
    <t>Omnis キャプチャーサーバー種別</t>
    <rPh sb="16" eb="18">
      <t>シュベツ</t>
    </rPh>
    <phoneticPr fontId="1"/>
  </si>
  <si>
    <t>作業情報</t>
    <rPh sb="0" eb="2">
      <t>サギョウ</t>
    </rPh>
    <rPh sb="2" eb="4">
      <t>ジョウホウ</t>
    </rPh>
    <phoneticPr fontId="2"/>
  </si>
  <si>
    <t>作業日</t>
    <rPh sb="0" eb="2">
      <t>サギョウ</t>
    </rPh>
    <rPh sb="2" eb="3">
      <t>ヒ</t>
    </rPh>
    <phoneticPr fontId="1"/>
  </si>
  <si>
    <t>顧客情報</t>
    <rPh sb="0" eb="2">
      <t>コキャク</t>
    </rPh>
    <rPh sb="2" eb="4">
      <t>ジョウホウ</t>
    </rPh>
    <phoneticPr fontId="1"/>
  </si>
  <si>
    <t>POC/本番</t>
    <rPh sb="4" eb="6">
      <t>ホンバン</t>
    </rPh>
    <phoneticPr fontId="1"/>
  </si>
  <si>
    <t>RAID</t>
    <phoneticPr fontId="1"/>
  </si>
  <si>
    <t xml:space="preserve">HPE Proliant </t>
    <phoneticPr fontId="1"/>
  </si>
  <si>
    <t>DL360 Gen10</t>
  </si>
  <si>
    <t>Intel Xeon</t>
    <phoneticPr fontId="1"/>
  </si>
  <si>
    <t>GB</t>
    <phoneticPr fontId="1"/>
  </si>
  <si>
    <t>POCAnimo</t>
    <phoneticPr fontId="1"/>
  </si>
  <si>
    <t>本番Animo</t>
    <phoneticPr fontId="1"/>
  </si>
  <si>
    <t>〒</t>
    <phoneticPr fontId="1"/>
  </si>
  <si>
    <t>住所</t>
    <rPh sb="0" eb="2">
      <t>ジュウショ</t>
    </rPh>
    <phoneticPr fontId="1"/>
  </si>
  <si>
    <t>ビル名・階</t>
    <rPh sb="2" eb="3">
      <t>メイ</t>
    </rPh>
    <rPh sb="4" eb="5">
      <t>カイ</t>
    </rPh>
    <phoneticPr fontId="1"/>
  </si>
  <si>
    <t>企業名</t>
    <rPh sb="0" eb="2">
      <t>キギョウ</t>
    </rPh>
    <rPh sb="2" eb="3">
      <t>メイ</t>
    </rPh>
    <phoneticPr fontId="1"/>
  </si>
  <si>
    <t>部署名</t>
    <rPh sb="0" eb="2">
      <t>ブショ</t>
    </rPh>
    <rPh sb="2" eb="3">
      <t>メイ</t>
    </rPh>
    <phoneticPr fontId="1"/>
  </si>
  <si>
    <t>担当者名</t>
    <rPh sb="0" eb="3">
      <t>タントウシャ</t>
    </rPh>
    <rPh sb="3" eb="4">
      <t>メイ</t>
    </rPh>
    <phoneticPr fontId="1"/>
  </si>
  <si>
    <t>電話番号</t>
    <rPh sb="0" eb="2">
      <t>デンワ</t>
    </rPh>
    <rPh sb="2" eb="4">
      <t>バンゴウ</t>
    </rPh>
    <phoneticPr fontId="1"/>
  </si>
  <si>
    <t>128.0.0.0</t>
    <phoneticPr fontId="1"/>
  </si>
  <si>
    <t>192.0.0.0</t>
    <phoneticPr fontId="1"/>
  </si>
  <si>
    <t>224.0.0.0</t>
    <phoneticPr fontId="1"/>
  </si>
  <si>
    <t>240.0.0.0</t>
    <phoneticPr fontId="1"/>
  </si>
  <si>
    <t>248.0.0.0</t>
    <phoneticPr fontId="1"/>
  </si>
  <si>
    <t>252.0.0.0</t>
    <phoneticPr fontId="1"/>
  </si>
  <si>
    <t>254.0.0.0</t>
    <phoneticPr fontId="1"/>
  </si>
  <si>
    <t>255.0.0.0</t>
    <phoneticPr fontId="1"/>
  </si>
  <si>
    <t>255.128.0.0</t>
    <phoneticPr fontId="1"/>
  </si>
  <si>
    <t>255.192.0.0</t>
    <phoneticPr fontId="1"/>
  </si>
  <si>
    <t>255.224.0.0</t>
    <phoneticPr fontId="1"/>
  </si>
  <si>
    <t>255.240.0.0</t>
    <phoneticPr fontId="1"/>
  </si>
  <si>
    <t>255.248.0.0</t>
    <phoneticPr fontId="1"/>
  </si>
  <si>
    <t>255.252.0.0</t>
    <phoneticPr fontId="1"/>
  </si>
  <si>
    <t>255.254.0.0</t>
    <phoneticPr fontId="1"/>
  </si>
  <si>
    <t>255.255.0.0</t>
    <phoneticPr fontId="1"/>
  </si>
  <si>
    <t>255.255.128.0</t>
    <phoneticPr fontId="1"/>
  </si>
  <si>
    <t>255.255.192.0</t>
    <phoneticPr fontId="1"/>
  </si>
  <si>
    <t>255.255.224.0</t>
    <phoneticPr fontId="1"/>
  </si>
  <si>
    <t>255.255.240.0</t>
    <phoneticPr fontId="1"/>
  </si>
  <si>
    <t>255.255.248.0</t>
    <phoneticPr fontId="1"/>
  </si>
  <si>
    <t>255.255.252.0</t>
    <phoneticPr fontId="1"/>
  </si>
  <si>
    <t>255.255.254.0</t>
    <phoneticPr fontId="1"/>
  </si>
  <si>
    <t>255.255.255.0</t>
    <phoneticPr fontId="1"/>
  </si>
  <si>
    <t>255.255.255.128</t>
    <phoneticPr fontId="1"/>
  </si>
  <si>
    <t>255.255.255.192</t>
    <phoneticPr fontId="1"/>
  </si>
  <si>
    <t>255.255.255.224</t>
    <phoneticPr fontId="1"/>
  </si>
  <si>
    <t>255.255.255.240</t>
    <phoneticPr fontId="1"/>
  </si>
  <si>
    <t>255.255.255.248</t>
    <phoneticPr fontId="1"/>
  </si>
  <si>
    <t>255.255.255.252</t>
    <phoneticPr fontId="1"/>
  </si>
  <si>
    <t>255.255.255.254</t>
    <phoneticPr fontId="1"/>
  </si>
  <si>
    <t>255.255.255.255</t>
    <phoneticPr fontId="1"/>
  </si>
  <si>
    <t>/</t>
    <phoneticPr fontId="1"/>
  </si>
  <si>
    <t>(</t>
    <phoneticPr fontId="1"/>
  </si>
  <si>
    <t>)</t>
    <phoneticPr fontId="1"/>
  </si>
  <si>
    <t>有</t>
  </si>
  <si>
    <t>無</t>
  </si>
  <si>
    <t>リアルタイム</t>
  </si>
  <si>
    <t>お客様イントラ接続用</t>
    <rPh sb="1" eb="3">
      <t>キャクサマ</t>
    </rPh>
    <phoneticPr fontId="1"/>
  </si>
  <si>
    <t>内線番号</t>
    <rPh sb="0" eb="2">
      <t>ナイセン</t>
    </rPh>
    <rPh sb="2" eb="4">
      <t>バンゴウ</t>
    </rPh>
    <phoneticPr fontId="2"/>
  </si>
  <si>
    <t>最大桁数MaxExtensionLength</t>
    <phoneticPr fontId="2"/>
  </si>
  <si>
    <t>IPアドレス</t>
    <phoneticPr fontId="2"/>
  </si>
  <si>
    <t>Station 情報</t>
    <rPh sb="8" eb="10">
      <t>ジョウホウ</t>
    </rPh>
    <phoneticPr fontId="2"/>
  </si>
  <si>
    <t>※システム予約領域としてシステムドライブに350MBの領域が作成されますが、不要な場合にはパラメータシートより容量の記載を削除してください。</t>
    <phoneticPr fontId="2"/>
  </si>
  <si>
    <t>※UEFI/GPT に Windows Server 2012 R2 をインストールした場合は、回復 (300MB)、EFI システム (99MB) のパーティションが作成されます。</t>
    <phoneticPr fontId="2"/>
  </si>
  <si>
    <t>※ホスト名の注意点】Computer Nameはa～z,A～Z,0～9及びハイフン"-"の組み合わせで15文字以内で決定してください。</t>
    <phoneticPr fontId="2"/>
  </si>
  <si>
    <t>　　これは一般的なネットワークにおける規定(RFC952)によるものです。</t>
    <phoneticPr fontId="1"/>
  </si>
  <si>
    <t>有り</t>
  </si>
  <si>
    <t>AES関連(2号機有る場合記入)</t>
    <rPh sb="3" eb="5">
      <t>カンレン</t>
    </rPh>
    <rPh sb="7" eb="9">
      <t>ゴウキ</t>
    </rPh>
    <rPh sb="9" eb="10">
      <t>ア</t>
    </rPh>
    <rPh sb="11" eb="13">
      <t>バアイ</t>
    </rPh>
    <rPh sb="13" eb="15">
      <t>キニュウ</t>
    </rPh>
    <phoneticPr fontId="2"/>
  </si>
  <si>
    <t>DL20 Gen10</t>
  </si>
  <si>
    <t>外部接続用Omnis連携DATAport</t>
    <rPh sb="0" eb="2">
      <t>ガイブ</t>
    </rPh>
    <rPh sb="2" eb="4">
      <t>セツゾク</t>
    </rPh>
    <rPh sb="4" eb="5">
      <t>ヨウ</t>
    </rPh>
    <rPh sb="10" eb="12">
      <t>レンケイ</t>
    </rPh>
    <phoneticPr fontId="2"/>
  </si>
  <si>
    <t>Capture用ミラーポート接続SPANport</t>
    <phoneticPr fontId="1"/>
  </si>
  <si>
    <t>通録アプリ</t>
    <rPh sb="0" eb="2">
      <t>ツウロク</t>
    </rPh>
    <phoneticPr fontId="1"/>
  </si>
  <si>
    <t>VTSV001</t>
    <phoneticPr fontId="1"/>
  </si>
  <si>
    <t>POCNextGen</t>
    <phoneticPr fontId="1"/>
  </si>
  <si>
    <t>本番NextGen</t>
    <rPh sb="0" eb="2">
      <t>ホンバン</t>
    </rPh>
    <phoneticPr fontId="1"/>
  </si>
  <si>
    <t>Care Pack 登録名義</t>
    <rPh sb="10" eb="12">
      <t>トウロク</t>
    </rPh>
    <rPh sb="12" eb="14">
      <t>メイギ</t>
    </rPh>
    <phoneticPr fontId="1"/>
  </si>
  <si>
    <t>AVAYA(AES連携無し) USBドングル提供日</t>
    <rPh sb="22" eb="24">
      <t>テイキョウ</t>
    </rPh>
    <rPh sb="24" eb="25">
      <t>ヒ</t>
    </rPh>
    <phoneticPr fontId="2"/>
  </si>
  <si>
    <t>getnumber.lua　提供日</t>
    <rPh sb="14" eb="16">
      <t>テイキョウ</t>
    </rPh>
    <rPh sb="16" eb="17">
      <t>ヒ</t>
    </rPh>
    <phoneticPr fontId="2"/>
  </si>
  <si>
    <t>NIC</t>
    <phoneticPr fontId="2"/>
  </si>
  <si>
    <t xml:space="preserve">                           ：　　～  　 ：       </t>
    <phoneticPr fontId="1"/>
  </si>
  <si>
    <r>
      <rPr>
        <b/>
        <sz val="11"/>
        <color indexed="9"/>
        <rFont val="ＭＳ Ｐゴシック"/>
        <family val="3"/>
        <charset val="128"/>
      </rPr>
      <t>Omnisキャプチャーサーバー構築パラメータシート</t>
    </r>
    <r>
      <rPr>
        <b/>
        <sz val="10"/>
        <color indexed="9"/>
        <rFont val="ＭＳ Ｐゴシック"/>
        <family val="3"/>
        <charset val="128"/>
      </rPr>
      <t>　</t>
    </r>
    <r>
      <rPr>
        <b/>
        <sz val="10"/>
        <color rgb="FF00B050"/>
        <rFont val="ＭＳ Ｐゴシック"/>
        <family val="3"/>
        <charset val="128"/>
      </rPr>
      <t>緑色部分をご記入ください</t>
    </r>
    <r>
      <rPr>
        <b/>
        <sz val="10"/>
        <color indexed="9"/>
        <rFont val="ＭＳ Ｐゴシック"/>
        <family val="3"/>
        <charset val="128"/>
      </rPr>
      <t>　</t>
    </r>
    <r>
      <rPr>
        <b/>
        <sz val="10"/>
        <color rgb="FFFFC000"/>
        <rFont val="ＭＳ Ｐゴシック"/>
        <family val="3"/>
        <charset val="128"/>
      </rPr>
      <t>橙色部分はMBI記入　</t>
    </r>
    <r>
      <rPr>
        <b/>
        <sz val="10"/>
        <color rgb="FFFF66CC"/>
        <rFont val="ＭＳ Ｐゴシック"/>
        <family val="3"/>
        <charset val="128"/>
      </rPr>
      <t>桃色部分は不要であれば変更なし</t>
    </r>
    <rPh sb="15" eb="17">
      <t>コウチク</t>
    </rPh>
    <rPh sb="27" eb="28">
      <t>イロ</t>
    </rPh>
    <rPh sb="39" eb="41">
      <t>ダイダイイロ</t>
    </rPh>
    <rPh sb="41" eb="42">
      <t>ブ</t>
    </rPh>
    <rPh sb="50" eb="52">
      <t>モモイロ</t>
    </rPh>
    <phoneticPr fontId="2"/>
  </si>
  <si>
    <t>丸紅情報システムズ</t>
  </si>
  <si>
    <r>
      <rPr>
        <b/>
        <sz val="9"/>
        <rFont val="Arial"/>
        <family val="2"/>
      </rPr>
      <t>Windows</t>
    </r>
    <r>
      <rPr>
        <b/>
        <sz val="9"/>
        <rFont val="HGP創英ﾌﾟﾚｾﾞﾝｽEB"/>
        <family val="1"/>
        <charset val="128"/>
      </rPr>
      <t xml:space="preserve"> ライセンス認証</t>
    </r>
    <phoneticPr fontId="2"/>
  </si>
  <si>
    <r>
      <rPr>
        <b/>
        <sz val="9"/>
        <rFont val="Arial"/>
        <family val="2"/>
      </rPr>
      <t xml:space="preserve">iLO </t>
    </r>
    <r>
      <rPr>
        <b/>
        <sz val="9"/>
        <rFont val="ＭＳ Ｐゴシック"/>
        <family val="3"/>
        <charset val="128"/>
      </rPr>
      <t>ライセンス認証</t>
    </r>
    <rPh sb="9" eb="11">
      <t>ニンショウ</t>
    </rPh>
    <phoneticPr fontId="2"/>
  </si>
  <si>
    <r>
      <t>録音対象電話機（</t>
    </r>
    <r>
      <rPr>
        <b/>
        <sz val="9"/>
        <rFont val="ＭＳ Ｐゴシック"/>
        <family val="3"/>
        <charset val="128"/>
        <scheme val="minor"/>
      </rPr>
      <t>メーカー、型番　</t>
    </r>
    <r>
      <rPr>
        <sz val="9"/>
        <rFont val="ＭＳ Ｐゴシック"/>
        <family val="3"/>
        <charset val="128"/>
        <scheme val="minor"/>
      </rPr>
      <t>）</t>
    </r>
    <rPh sb="0" eb="2">
      <t>ロクオン</t>
    </rPh>
    <rPh sb="2" eb="4">
      <t>タイショウ</t>
    </rPh>
    <rPh sb="4" eb="7">
      <t>デンワキ</t>
    </rPh>
    <rPh sb="13" eb="15">
      <t>カタバン</t>
    </rPh>
    <phoneticPr fontId="2"/>
  </si>
  <si>
    <t>OAI関連</t>
    <rPh sb="3" eb="5">
      <t>カンレン</t>
    </rPh>
    <phoneticPr fontId="2"/>
  </si>
  <si>
    <t>SV IPアドレス：ポート番号</t>
    <rPh sb="13" eb="15">
      <t>バンゴウ</t>
    </rPh>
    <phoneticPr fontId="1"/>
  </si>
  <si>
    <t>TrunkGroup : TrunkMember</t>
    <phoneticPr fontId="2"/>
  </si>
  <si>
    <t>omnispublic</t>
    <phoneticPr fontId="1"/>
  </si>
  <si>
    <t>CentOS 7.4</t>
    <phoneticPr fontId="1"/>
  </si>
  <si>
    <t>iLO</t>
    <phoneticPr fontId="2"/>
  </si>
  <si>
    <t>/api/call</t>
    <phoneticPr fontId="1"/>
  </si>
  <si>
    <t>PrimaryServerURL=http://</t>
    <phoneticPr fontId="1"/>
  </si>
  <si>
    <t>https://</t>
    <phoneticPr fontId="1"/>
  </si>
  <si>
    <t>.an.r.appspot.com/login</t>
    <phoneticPr fontId="1"/>
  </si>
  <si>
    <t>wav</t>
    <phoneticPr fontId="1"/>
  </si>
  <si>
    <t>／</t>
    <phoneticPr fontId="1"/>
  </si>
  <si>
    <t>Host側</t>
  </si>
  <si>
    <t>OS</t>
    <phoneticPr fontId="2"/>
  </si>
  <si>
    <t>Windows Server</t>
    <phoneticPr fontId="1"/>
  </si>
  <si>
    <t>CentOS</t>
    <phoneticPr fontId="1"/>
  </si>
  <si>
    <t>AES T-Link①</t>
    <phoneticPr fontId="1"/>
  </si>
  <si>
    <t>AES T-Link②</t>
    <phoneticPr fontId="1"/>
  </si>
  <si>
    <t>E-2236 3.4GHz 1P6C</t>
    <phoneticPr fontId="1"/>
  </si>
  <si>
    <t>DL360 Gen10</t>
    <phoneticPr fontId="1"/>
  </si>
  <si>
    <t>Silver 4112 2.6GHz 1P4C x2</t>
    <phoneticPr fontId="1"/>
  </si>
  <si>
    <t>Windows Server 2022 Standard</t>
    <phoneticPr fontId="1"/>
  </si>
  <si>
    <t>　　※【パスワードの注意点】上記のパスワードは導入時に使用するものです。導入後は御社の管理ポリシーに従い適宜変更／管理をお願い致します。</t>
    <phoneticPr fontId="1"/>
  </si>
  <si>
    <t>シリアル / パスワード情報</t>
    <rPh sb="12" eb="14">
      <t>ジョウホウ</t>
    </rPh>
    <phoneticPr fontId="2"/>
  </si>
  <si>
    <t>Animo</t>
  </si>
  <si>
    <t>password</t>
    <phoneticPr fontId="1"/>
  </si>
  <si>
    <t>Embedded FlexibleLOM 1 Port 1</t>
    <phoneticPr fontId="1"/>
  </si>
  <si>
    <t>Embedded FlexibleLOM 1 Port 2</t>
    <phoneticPr fontId="1"/>
  </si>
  <si>
    <t>Embedded FlexibleLOM 1 Port 3</t>
    <phoneticPr fontId="1"/>
  </si>
  <si>
    <t>Embedded FlexibleLOM 1 Port 4</t>
    <phoneticPr fontId="1"/>
  </si>
  <si>
    <t>PCIe Slot 1 ポート 1</t>
    <phoneticPr fontId="1"/>
  </si>
  <si>
    <t>PCIe Slot 1 ポート 2</t>
    <phoneticPr fontId="1"/>
  </si>
  <si>
    <t>PCIe Slot 1 ポート 3</t>
    <phoneticPr fontId="1"/>
  </si>
  <si>
    <t>PCIe Slot 1 ポート 4</t>
    <phoneticPr fontId="1"/>
  </si>
  <si>
    <t>STATIC</t>
  </si>
  <si>
    <t>iLOのNTP設定をＯｆｆ</t>
    <phoneticPr fontId="1"/>
  </si>
  <si>
    <t>現地保管</t>
    <phoneticPr fontId="1"/>
  </si>
  <si>
    <t>持ち帰り処分</t>
    <rPh sb="0" eb="1">
      <t>モ</t>
    </rPh>
    <rPh sb="2" eb="3">
      <t>カエ</t>
    </rPh>
    <rPh sb="4" eb="6">
      <t>ショブン</t>
    </rPh>
    <phoneticPr fontId="1"/>
  </si>
  <si>
    <t>サーバー梱包箱</t>
    <rPh sb="4" eb="7">
      <t>コンポウバコ</t>
    </rPh>
    <phoneticPr fontId="1"/>
  </si>
  <si>
    <r>
      <t>30日で設定（</t>
    </r>
    <r>
      <rPr>
        <sz val="9"/>
        <color rgb="FFFF0000"/>
        <rFont val="ＭＳ Ｐゴシック"/>
        <family val="3"/>
        <charset val="128"/>
        <scheme val="minor"/>
      </rPr>
      <t>残さない場合はMinDurationTime=86400000</t>
    </r>
    <r>
      <rPr>
        <sz val="9"/>
        <rFont val="ＭＳ Ｐゴシック"/>
        <family val="3"/>
        <charset val="128"/>
        <scheme val="minor"/>
      </rPr>
      <t>）</t>
    </r>
    <rPh sb="2" eb="3">
      <t>ニチ</t>
    </rPh>
    <rPh sb="4" eb="6">
      <t>セッテイ</t>
    </rPh>
    <rPh sb="7" eb="8">
      <t>ノコ</t>
    </rPh>
    <rPh sb="11" eb="13">
      <t>バアイ</t>
    </rPh>
    <phoneticPr fontId="2"/>
  </si>
  <si>
    <t>ZAQ!2wsx</t>
    <phoneticPr fontId="1"/>
  </si>
  <si>
    <t>4</t>
    <phoneticPr fontId="1"/>
  </si>
  <si>
    <t>Windows Server 2019 Standard</t>
    <phoneticPr fontId="1"/>
  </si>
  <si>
    <t>Silver 4208 2.1GHz 1P8C x2</t>
  </si>
  <si>
    <t>VoiceTracking MANAGER</t>
    <phoneticPr fontId="2"/>
  </si>
  <si>
    <t>ID/Password</t>
    <phoneticPr fontId="1"/>
  </si>
  <si>
    <t>POC</t>
  </si>
  <si>
    <t>SBI損害保険株式会社</t>
    <phoneticPr fontId="1"/>
  </si>
  <si>
    <t>品川区東品川2-1-7</t>
    <phoneticPr fontId="1"/>
  </si>
  <si>
    <t>140-0002</t>
    <phoneticPr fontId="1"/>
  </si>
  <si>
    <t>東京イクイニックス（TY8）</t>
    <phoneticPr fontId="1"/>
  </si>
  <si>
    <t>AVAYA AES連携</t>
  </si>
  <si>
    <t>ID/Pass(テスト接続可能の場合)</t>
    <rPh sb="11" eb="13">
      <t>セツゾク</t>
    </rPh>
    <rPh sb="13" eb="14">
      <t>カ</t>
    </rPh>
    <rPh sb="14" eb="15">
      <t>ノウ</t>
    </rPh>
    <rPh sb="16" eb="18">
      <t>バアイ</t>
    </rPh>
    <phoneticPr fontId="1"/>
  </si>
  <si>
    <t>【特番】ログイン、ログアウト</t>
    <rPh sb="1" eb="2">
      <t>トク</t>
    </rPh>
    <rPh sb="2" eb="3">
      <t>バン</t>
    </rPh>
    <phoneticPr fontId="2"/>
  </si>
  <si>
    <t>例：AVAYA#AES#CSTA#CM7-1</t>
    <phoneticPr fontId="1"/>
  </si>
  <si>
    <t>例：Ctiuser1!</t>
    <phoneticPr fontId="1"/>
  </si>
  <si>
    <t>例：ctiuser</t>
    <phoneticPr fontId="1"/>
  </si>
  <si>
    <t>例：192.168.138.168:450</t>
    <phoneticPr fontId="1"/>
  </si>
  <si>
    <t>AES Password</t>
    <phoneticPr fontId="2"/>
  </si>
  <si>
    <t>AES ID</t>
    <phoneticPr fontId="2"/>
  </si>
  <si>
    <t>AES IPアドレス：ポート番号</t>
    <rPh sb="14" eb="16">
      <t>バンゴウ</t>
    </rPh>
    <phoneticPr fontId="2"/>
  </si>
  <si>
    <t>－</t>
    <phoneticPr fontId="1"/>
  </si>
  <si>
    <t>B4:7A:F1:46:31:16</t>
  </si>
  <si>
    <t>Embedded LOM 1 Port4</t>
  </si>
  <si>
    <t>Embedded LOM 1 Port3</t>
    <phoneticPr fontId="1"/>
  </si>
  <si>
    <t>スタンバイ</t>
  </si>
  <si>
    <t>Embedded LOM 1 Port2</t>
    <phoneticPr fontId="1"/>
  </si>
  <si>
    <t>Embedded LOM 1 Port1</t>
    <phoneticPr fontId="1"/>
  </si>
  <si>
    <t>d4:f5:ef:0d:e5:af</t>
    <phoneticPr fontId="1"/>
  </si>
  <si>
    <t>Embedded FlexibleLOM 1 Port4</t>
    <phoneticPr fontId="1"/>
  </si>
  <si>
    <t>d4:f5:ef:0d:e5:ae</t>
    <phoneticPr fontId="1"/>
  </si>
  <si>
    <t>Embedded FlexibleLOM 1 Port3</t>
    <phoneticPr fontId="1"/>
  </si>
  <si>
    <t>d4:f5:ef:0d:e5:ad</t>
    <phoneticPr fontId="1"/>
  </si>
  <si>
    <t>Embedded FlexibleLOM 1 Port2</t>
    <phoneticPr fontId="1"/>
  </si>
  <si>
    <t>d4:f5:ef:0d:e5:ac</t>
    <phoneticPr fontId="1"/>
  </si>
  <si>
    <t>Embedded FlexibleLOM 1 Port1</t>
    <phoneticPr fontId="1"/>
  </si>
  <si>
    <t>CentOS</t>
    <phoneticPr fontId="2"/>
  </si>
  <si>
    <t>02219079552687</t>
  </si>
  <si>
    <t>VGNMT-VQ9F4-B63CY-7CW67-WMBMF</t>
  </si>
  <si>
    <t>　　導入後は御社の管理ポリシーに従い適宜変更／管理をお願い致します。</t>
    <phoneticPr fontId="1"/>
  </si>
  <si>
    <t>※【パスワードの注意点】上記のパスワードは導入時に使用するものです。</t>
    <phoneticPr fontId="2"/>
  </si>
  <si>
    <t>WPZDKYG9</t>
    <phoneticPr fontId="1"/>
  </si>
  <si>
    <t>iLOCN70370P8Y</t>
    <phoneticPr fontId="1"/>
  </si>
  <si>
    <t>ZAQ!2wsx</t>
  </si>
  <si>
    <t>CN70370P8Y</t>
    <phoneticPr fontId="1"/>
  </si>
  <si>
    <t>シリアルナンバー</t>
    <phoneticPr fontId="2"/>
  </si>
  <si>
    <t>シリアル情報</t>
    <rPh sb="4" eb="6">
      <t>ジョウホウ</t>
    </rPh>
    <phoneticPr fontId="2"/>
  </si>
  <si>
    <t>Update　最終確認日付（　　　　　　　　　　　　　　　　　　　　　　　　　　　　）</t>
    <rPh sb="7" eb="9">
      <t>サイシュウ</t>
    </rPh>
    <rPh sb="9" eb="11">
      <t>カクニン</t>
    </rPh>
    <rPh sb="11" eb="13">
      <t>ヒヅケ</t>
    </rPh>
    <phoneticPr fontId="1"/>
  </si>
  <si>
    <t xml:space="preserve">E-2236 3.4GHz </t>
  </si>
  <si>
    <t>Silver 4208 2.1GHz  x2</t>
  </si>
  <si>
    <t>E5-2690 v2 3GHz</t>
    <phoneticPr fontId="1"/>
  </si>
  <si>
    <t>DL360 Gen8</t>
    <phoneticPr fontId="1"/>
  </si>
  <si>
    <t>本番</t>
  </si>
  <si>
    <t xml:space="preserve">                           ：　　～  　 ：       </t>
  </si>
  <si>
    <t>94:40:C9:2A:7E:22</t>
    <phoneticPr fontId="1"/>
  </si>
  <si>
    <t>d4:f5:ef:e6:86:b4</t>
    <phoneticPr fontId="1"/>
  </si>
  <si>
    <t>d4:f5:ef:e6:86:b5</t>
    <phoneticPr fontId="1"/>
  </si>
  <si>
    <t>d4:f5:ef:e6:86:b6</t>
    <phoneticPr fontId="1"/>
  </si>
  <si>
    <t>d4:f5:ef:e6:86:b7</t>
    <phoneticPr fontId="1"/>
  </si>
  <si>
    <t>48:df:37:c9:5f:73</t>
    <phoneticPr fontId="1"/>
  </si>
  <si>
    <t>48:df:37:c9:5f:72</t>
    <phoneticPr fontId="1"/>
  </si>
  <si>
    <t>48:df:37:c9:5f:71</t>
    <phoneticPr fontId="1"/>
  </si>
  <si>
    <t>48:df:37:c9:5f:70</t>
    <phoneticPr fontId="1"/>
  </si>
  <si>
    <t>3M884-9SGJP-LJZLJ-VQGLR-DZK4B</t>
    <phoneticPr fontId="1"/>
  </si>
  <si>
    <t>02219079552686</t>
    <phoneticPr fontId="1"/>
  </si>
  <si>
    <r>
      <t>PTN</t>
    </r>
    <r>
      <rPr>
        <sz val="9"/>
        <color rgb="FFFF0000"/>
        <rFont val="ＭＳ Ｐゴシック"/>
        <family val="3"/>
        <charset val="128"/>
      </rPr>
      <t>H</t>
    </r>
    <r>
      <rPr>
        <sz val="9"/>
        <rFont val="ＭＳ Ｐゴシック"/>
        <family val="3"/>
        <charset val="128"/>
      </rPr>
      <t>X-3RMQT-RK3YJ-G43BY-92G34</t>
    </r>
    <phoneticPr fontId="1"/>
  </si>
  <si>
    <t>7JFNGSM7</t>
    <phoneticPr fontId="1"/>
  </si>
  <si>
    <t>iLOSGH010TQ9K</t>
    <phoneticPr fontId="1"/>
  </si>
  <si>
    <t>SGH010TQ9K</t>
    <phoneticPr fontId="1"/>
  </si>
  <si>
    <t>　　　　　　　　2026年　　1月　日　（　　）</t>
    <rPh sb="12" eb="13">
      <t>ネン</t>
    </rPh>
    <rPh sb="16" eb="17">
      <t>ガツ</t>
    </rPh>
    <rPh sb="18" eb="19">
      <t>ヒ</t>
    </rPh>
    <phoneticPr fontId="1"/>
  </si>
  <si>
    <t>　　　2025　年　10月　　日　（　　　　　）</t>
    <rPh sb="8" eb="9">
      <t>ネン</t>
    </rPh>
    <rPh sb="12" eb="13">
      <t>ガツ</t>
    </rPh>
    <rPh sb="15" eb="16">
      <t>ヒ</t>
    </rPh>
    <phoneticPr fontId="1"/>
  </si>
  <si>
    <t>大阪イクイニックス（OS3）</t>
    <phoneticPr fontId="1"/>
  </si>
  <si>
    <t>大阪市中央区城見 2-2-82, 京阪神OBPビル</t>
    <phoneticPr fontId="1"/>
  </si>
  <si>
    <t>540-0001</t>
    <phoneticPr fontId="1"/>
  </si>
  <si>
    <t>iLO 5</t>
  </si>
  <si>
    <t>omnispublic</t>
  </si>
  <si>
    <t>d4:f5:ef:e6:86:b4</t>
  </si>
  <si>
    <t>48:df:37:c9:5f:70</t>
  </si>
  <si>
    <t>CNX2230NQH</t>
    <phoneticPr fontId="1"/>
  </si>
  <si>
    <t>ILOCNX2230NQH</t>
    <phoneticPr fontId="1"/>
  </si>
  <si>
    <t>Z7JLVLQC</t>
    <phoneticPr fontId="1"/>
  </si>
  <si>
    <t>Windows Server 2025 Standard</t>
    <phoneticPr fontId="1"/>
  </si>
  <si>
    <t>199.21GB</t>
    <phoneticPr fontId="1"/>
  </si>
  <si>
    <t>805MB</t>
    <phoneticPr fontId="1"/>
  </si>
  <si>
    <t>100MB</t>
    <phoneticPr fontId="1"/>
  </si>
  <si>
    <t>3151.89GB</t>
    <phoneticPr fontId="1"/>
  </si>
  <si>
    <t>G</t>
    <phoneticPr fontId="2"/>
  </si>
  <si>
    <r>
      <t>別のホスト名（</t>
    </r>
    <r>
      <rPr>
        <sz val="9"/>
        <color rgb="FFFF0000"/>
        <rFont val="ＭＳ Ｐゴシック"/>
        <family val="3"/>
        <charset val="128"/>
        <scheme val="minor"/>
      </rPr>
      <t xml:space="preserve"> VTRecServer2</t>
    </r>
    <r>
      <rPr>
        <sz val="9"/>
        <rFont val="ＭＳ Ｐゴシック"/>
        <family val="3"/>
        <charset val="128"/>
        <scheme val="minor"/>
      </rPr>
      <t xml:space="preserve"> ）</t>
    </r>
    <rPh sb="0" eb="1">
      <t>ベツ</t>
    </rPh>
    <rPh sb="5" eb="6">
      <t>メイ</t>
    </rPh>
    <phoneticPr fontId="1"/>
  </si>
  <si>
    <t>3G6YP-G769R-J5SQQ-SNQRV-7BWB2</t>
    <phoneticPr fontId="1"/>
  </si>
  <si>
    <t>3Q93H-4WVYN-KS4NJ-GV67M-9R44B</t>
    <phoneticPr fontId="1"/>
  </si>
  <si>
    <t>N8TW3-GGXKP-4HKWW-P4TF3-MDYMF</t>
    <phoneticPr fontId="1"/>
  </si>
  <si>
    <r>
      <t xml:space="preserve">別のホスト名（ </t>
    </r>
    <r>
      <rPr>
        <sz val="9"/>
        <color rgb="FFFF0000"/>
        <rFont val="ＭＳ Ｐゴシック"/>
        <family val="3"/>
        <charset val="128"/>
        <scheme val="minor"/>
      </rPr>
      <t>VTManager</t>
    </r>
    <r>
      <rPr>
        <sz val="9"/>
        <rFont val="ＭＳ Ｐゴシック"/>
        <family val="3"/>
        <charset val="128"/>
        <scheme val="minor"/>
      </rPr>
      <t xml:space="preserve"> ）</t>
    </r>
    <rPh sb="0" eb="1">
      <t>ベツ</t>
    </rPh>
    <rPh sb="5" eb="6">
      <t>メイ</t>
    </rPh>
    <phoneticPr fontId="1"/>
  </si>
  <si>
    <t>済</t>
    <rPh sb="0" eb="1">
      <t>スミ</t>
    </rPh>
    <phoneticPr fontId="1"/>
  </si>
  <si>
    <t>10.208.50.18</t>
    <phoneticPr fontId="1"/>
  </si>
  <si>
    <t>10.208.50.19</t>
    <phoneticPr fontId="1"/>
  </si>
  <si>
    <t>10.208.50.251</t>
    <phoneticPr fontId="1"/>
  </si>
  <si>
    <t>10.208.50.252</t>
    <phoneticPr fontId="1"/>
  </si>
  <si>
    <t>198.18.4.145:450</t>
    <phoneticPr fontId="1"/>
  </si>
  <si>
    <t>animouser</t>
    <phoneticPr fontId="1"/>
  </si>
  <si>
    <t>Gx7er!!Qad</t>
    <phoneticPr fontId="1"/>
  </si>
  <si>
    <t>AVAYA#MCPAACMVIP#CSTA#MCPCAES04</t>
    <phoneticPr fontId="1"/>
  </si>
  <si>
    <t>AVAYA#MCPAACMVIP#CSTA-S#MCPCAES04</t>
    <phoneticPr fontId="1"/>
  </si>
  <si>
    <t>10.100.0.2</t>
    <phoneticPr fontId="1"/>
  </si>
  <si>
    <t>10.100.0.50</t>
    <phoneticPr fontId="1"/>
  </si>
  <si>
    <t>admin1</t>
    <phoneticPr fontId="1"/>
  </si>
  <si>
    <t>Omnis1234</t>
    <phoneticPr fontId="1"/>
  </si>
  <si>
    <t>10.100.0.4</t>
    <phoneticPr fontId="1"/>
  </si>
  <si>
    <t>別のホスト名（ VTRecServer ）</t>
    <rPh sb="0" eb="1">
      <t>ベツ</t>
    </rPh>
    <rPh sb="5" eb="6">
      <t>メイ</t>
    </rPh>
    <phoneticPr fontId="1"/>
  </si>
  <si>
    <t>10.208.50.1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</si>
</sst>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b/>
      <sz val="10"/>
      <color indexed="9"/>
      <name val="ＭＳ Ｐゴシック"/>
      <family val="3"/>
      <charset val="128"/>
    </font>
    <font>
      <b/>
      <sz val="10"/>
      <color indexed="9"/>
      <name val="ＭＳ Ｐゴシック"/>
      <family val="3"/>
      <charset val="128"/>
      <scheme val="minor"/>
    </font>
    <font>
      <b/>
      <sz val="10"/>
      <color rgb="FF00B050"/>
      <name val="ＭＳ Ｐゴシック"/>
      <family val="3"/>
      <charset val="128"/>
    </font>
    <font>
      <b/>
      <sz val="10"/>
      <color rgb="FFFFC000"/>
      <name val="ＭＳ Ｐゴシック"/>
      <family val="3"/>
      <charset val="128"/>
    </font>
    <font>
      <b/>
      <sz val="10"/>
      <color rgb="FFFF66CC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2"/>
      <name val="ＭＳ Ｐゴシック"/>
      <family val="3"/>
      <charset val="128"/>
      <scheme val="minor"/>
    </font>
    <font>
      <sz val="11"/>
      <name val="ＭＳ 明朝"/>
      <family val="1"/>
      <charset val="128"/>
    </font>
    <font>
      <sz val="9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b/>
      <sz val="9"/>
      <name val="ＭＳ Ｐゴシック"/>
      <family val="3"/>
      <charset val="128"/>
      <scheme val="major"/>
    </font>
    <font>
      <sz val="9"/>
      <name val="ＭＳ Ｐゴシック"/>
      <family val="3"/>
      <charset val="128"/>
      <scheme val="major"/>
    </font>
    <font>
      <b/>
      <sz val="9"/>
      <name val="HGP創英ﾌﾟﾚｾﾞﾝｽEB"/>
      <family val="1"/>
      <charset val="128"/>
    </font>
    <font>
      <b/>
      <sz val="9"/>
      <name val="Arial"/>
      <family val="2"/>
    </font>
    <font>
      <sz val="9"/>
      <name val="HGP創英ﾌﾟﾚｾﾞﾝｽEB"/>
      <family val="1"/>
      <charset val="128"/>
    </font>
    <font>
      <sz val="9"/>
      <name val="ＭＳ Ｐゴシック"/>
      <family val="3"/>
      <charset val="128"/>
    </font>
    <font>
      <sz val="9"/>
      <name val="Arial"/>
      <family val="2"/>
    </font>
    <font>
      <b/>
      <sz val="9"/>
      <name val="ＭＳ Ｐゴシック"/>
      <family val="3"/>
      <charset val="128"/>
    </font>
    <font>
      <sz val="9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trike/>
      <sz val="9"/>
      <color rgb="FFFF0000"/>
      <name val="ＭＳ Ｐゴシック"/>
      <family val="3"/>
      <charset val="128"/>
      <scheme val="minor"/>
    </font>
    <font>
      <sz val="9"/>
      <color indexed="8"/>
      <name val="Arial"/>
      <family val="2"/>
    </font>
    <font>
      <sz val="9"/>
      <color indexed="8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indexed="8"/>
      <name val="ＭＳ Ｐゴシック"/>
      <family val="3"/>
      <charset val="128"/>
      <scheme val="major"/>
    </font>
    <font>
      <strike/>
      <sz val="9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  <scheme val="minor"/>
    </font>
    <font>
      <sz val="11"/>
      <color rgb="FFFF0000"/>
      <name val="ＭＳ 明朝"/>
      <family val="1"/>
      <charset val="128"/>
    </font>
    <font>
      <sz val="11"/>
      <color rgb="FFFF0000"/>
      <name val="ＭＳ Ｐ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DC4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FF0000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28" fillId="0" borderId="0"/>
  </cellStyleXfs>
  <cellXfs count="46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5" fillId="0" borderId="0" xfId="0" applyFont="1" applyAlignment="1">
      <alignment vertical="center" shrinkToFit="1"/>
    </xf>
    <xf numFmtId="0" fontId="3" fillId="0" borderId="0" xfId="0" applyFont="1" applyAlignment="1">
      <alignment vertical="center" shrinkToFit="1"/>
    </xf>
    <xf numFmtId="0" fontId="3" fillId="5" borderId="27" xfId="0" applyFont="1" applyFill="1" applyBorder="1">
      <alignment vertical="center"/>
    </xf>
    <xf numFmtId="0" fontId="3" fillId="5" borderId="10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3" fillId="5" borderId="27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right" vertical="center" shrinkToFit="1"/>
    </xf>
    <xf numFmtId="0" fontId="3" fillId="0" borderId="0" xfId="0" applyFont="1" applyAlignment="1">
      <alignment horizontal="right"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1" xfId="0" applyFont="1" applyBorder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vertical="center" shrinkToFit="1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3" fillId="7" borderId="14" xfId="0" applyFont="1" applyFill="1" applyBorder="1" applyAlignment="1">
      <alignment vertical="center" shrinkToFit="1"/>
    </xf>
    <xf numFmtId="0" fontId="3" fillId="7" borderId="15" xfId="0" applyFont="1" applyFill="1" applyBorder="1" applyAlignment="1">
      <alignment vertical="center" shrinkToFit="1"/>
    </xf>
    <xf numFmtId="0" fontId="3" fillId="12" borderId="6" xfId="0" applyFont="1" applyFill="1" applyBorder="1">
      <alignment vertical="center"/>
    </xf>
    <xf numFmtId="0" fontId="3" fillId="11" borderId="8" xfId="0" applyFont="1" applyFill="1" applyBorder="1" applyAlignment="1">
      <alignment horizontal="left" vertical="center" shrinkToFit="1"/>
    </xf>
    <xf numFmtId="0" fontId="3" fillId="11" borderId="6" xfId="0" applyFont="1" applyFill="1" applyBorder="1" applyAlignment="1">
      <alignment horizontal="left" vertical="center" shrinkToFit="1"/>
    </xf>
    <xf numFmtId="0" fontId="3" fillId="9" borderId="0" xfId="0" applyFont="1" applyFill="1" applyAlignment="1">
      <alignment vertical="center" shrinkToFit="1"/>
    </xf>
    <xf numFmtId="0" fontId="3" fillId="9" borderId="0" xfId="0" applyFont="1" applyFill="1">
      <alignment vertical="center"/>
    </xf>
    <xf numFmtId="0" fontId="27" fillId="13" borderId="4" xfId="0" applyFont="1" applyFill="1" applyBorder="1">
      <alignment vertical="center"/>
    </xf>
    <xf numFmtId="0" fontId="3" fillId="0" borderId="7" xfId="0" applyFont="1" applyBorder="1" applyAlignment="1">
      <alignment horizontal="center" vertical="center" shrinkToFit="1"/>
    </xf>
    <xf numFmtId="0" fontId="3" fillId="0" borderId="0" xfId="0" applyFont="1" applyAlignment="1">
      <alignment horizontal="left" vertical="center" shrinkToFit="1"/>
    </xf>
    <xf numFmtId="0" fontId="6" fillId="0" borderId="0" xfId="0" applyFont="1" applyAlignment="1"/>
    <xf numFmtId="0" fontId="3" fillId="15" borderId="6" xfId="0" applyFont="1" applyFill="1" applyBorder="1">
      <alignment vertical="center"/>
    </xf>
    <xf numFmtId="0" fontId="3" fillId="7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 shrinkToFit="1"/>
    </xf>
    <xf numFmtId="0" fontId="3" fillId="0" borderId="6" xfId="0" applyFont="1" applyBorder="1" applyAlignment="1">
      <alignment horizontal="left" vertical="center" shrinkToFit="1"/>
    </xf>
    <xf numFmtId="0" fontId="3" fillId="0" borderId="8" xfId="0" applyFont="1" applyBorder="1" applyAlignment="1">
      <alignment horizontal="left" vertical="center" shrinkToFit="1"/>
    </xf>
    <xf numFmtId="0" fontId="3" fillId="7" borderId="0" xfId="0" applyFont="1" applyFill="1" applyAlignment="1">
      <alignment horizontal="center" vertical="center" shrinkToFit="1"/>
    </xf>
    <xf numFmtId="0" fontId="18" fillId="4" borderId="5" xfId="0" applyFont="1" applyFill="1" applyBorder="1" applyAlignment="1">
      <alignment vertical="center" shrinkToFit="1"/>
    </xf>
    <xf numFmtId="0" fontId="18" fillId="4" borderId="4" xfId="0" applyFont="1" applyFill="1" applyBorder="1" applyAlignment="1">
      <alignment vertical="center" shrinkToFit="1"/>
    </xf>
    <xf numFmtId="0" fontId="3" fillId="5" borderId="6" xfId="0" applyFont="1" applyFill="1" applyBorder="1">
      <alignment vertical="center"/>
    </xf>
    <xf numFmtId="0" fontId="38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0" fontId="0" fillId="16" borderId="0" xfId="0" applyFill="1">
      <alignment vertical="center"/>
    </xf>
    <xf numFmtId="0" fontId="10" fillId="0" borderId="0" xfId="0" applyFont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0" fontId="4" fillId="0" borderId="7" xfId="0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28" xfId="0" applyFont="1" applyBorder="1" applyAlignment="1">
      <alignment horizontal="left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0" fontId="3" fillId="7" borderId="13" xfId="0" applyFont="1" applyFill="1" applyBorder="1" applyAlignment="1">
      <alignment horizontal="left" vertical="center" shrinkToFit="1"/>
    </xf>
    <xf numFmtId="0" fontId="3" fillId="7" borderId="14" xfId="0" applyFont="1" applyFill="1" applyBorder="1" applyAlignment="1">
      <alignment horizontal="left" vertical="center" shrinkToFit="1"/>
    </xf>
    <xf numFmtId="0" fontId="3" fillId="7" borderId="15" xfId="0" applyFont="1" applyFill="1" applyBorder="1" applyAlignment="1">
      <alignment horizontal="left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7" borderId="3" xfId="0" applyFont="1" applyFill="1" applyBorder="1" applyAlignment="1">
      <alignment horizontal="center" vertical="center" shrinkToFit="1"/>
    </xf>
    <xf numFmtId="0" fontId="3" fillId="7" borderId="4" xfId="0" applyFont="1" applyFill="1" applyBorder="1" applyAlignment="1">
      <alignment horizontal="center" vertical="center" shrinkToFit="1"/>
    </xf>
    <xf numFmtId="0" fontId="3" fillId="7" borderId="5" xfId="0" applyFont="1" applyFill="1" applyBorder="1" applyAlignment="1">
      <alignment horizontal="center" vertical="center" shrinkToFit="1"/>
    </xf>
    <xf numFmtId="0" fontId="3" fillId="7" borderId="1" xfId="0" applyFont="1" applyFill="1" applyBorder="1" applyAlignment="1">
      <alignment horizontal="center" vertical="center" shrinkToFit="1"/>
    </xf>
    <xf numFmtId="0" fontId="3" fillId="7" borderId="12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3" fillId="2" borderId="22" xfId="0" applyFont="1" applyFill="1" applyBorder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shrinkToFit="1"/>
    </xf>
    <xf numFmtId="0" fontId="3" fillId="2" borderId="24" xfId="0" applyFont="1" applyFill="1" applyBorder="1" applyAlignment="1">
      <alignment horizontal="center" vertical="center" shrinkToFit="1"/>
    </xf>
    <xf numFmtId="0" fontId="3" fillId="7" borderId="22" xfId="0" applyFont="1" applyFill="1" applyBorder="1" applyAlignment="1">
      <alignment horizontal="left" vertical="center" shrinkToFit="1"/>
    </xf>
    <xf numFmtId="0" fontId="3" fillId="7" borderId="23" xfId="0" applyFont="1" applyFill="1" applyBorder="1" applyAlignment="1">
      <alignment horizontal="left" vertical="center" shrinkToFit="1"/>
    </xf>
    <xf numFmtId="0" fontId="3" fillId="7" borderId="24" xfId="0" applyFont="1" applyFill="1" applyBorder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0" fontId="3" fillId="2" borderId="25" xfId="0" applyFont="1" applyFill="1" applyBorder="1" applyAlignment="1">
      <alignment horizontal="center" vertical="center" shrinkToFit="1"/>
    </xf>
    <xf numFmtId="0" fontId="3" fillId="7" borderId="3" xfId="0" applyFont="1" applyFill="1" applyBorder="1" applyAlignment="1">
      <alignment horizontal="left" vertical="center" shrinkToFit="1"/>
    </xf>
    <xf numFmtId="0" fontId="3" fillId="7" borderId="4" xfId="0" applyFont="1" applyFill="1" applyBorder="1" applyAlignment="1">
      <alignment horizontal="left" vertical="center" shrinkToFit="1"/>
    </xf>
    <xf numFmtId="0" fontId="3" fillId="7" borderId="5" xfId="0" applyFont="1" applyFill="1" applyBorder="1" applyAlignment="1">
      <alignment horizontal="left" vertical="center" shrinkToFit="1"/>
    </xf>
    <xf numFmtId="0" fontId="30" fillId="0" borderId="0" xfId="0" applyFont="1" applyAlignment="1">
      <alignment horizontal="left"/>
    </xf>
    <xf numFmtId="0" fontId="30" fillId="0" borderId="16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3" fillId="7" borderId="7" xfId="0" applyFont="1" applyFill="1" applyBorder="1" applyAlignment="1">
      <alignment horizontal="center" vertical="center" shrinkToFit="1"/>
    </xf>
    <xf numFmtId="0" fontId="3" fillId="7" borderId="20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vertical="center" shrinkToFit="1"/>
    </xf>
    <xf numFmtId="0" fontId="5" fillId="0" borderId="5" xfId="0" applyFont="1" applyBorder="1" applyAlignment="1">
      <alignment vertical="center" shrinkToFit="1"/>
    </xf>
    <xf numFmtId="0" fontId="3" fillId="4" borderId="3" xfId="0" applyFont="1" applyFill="1" applyBorder="1" applyAlignment="1">
      <alignment horizontal="right" vertical="center" shrinkToFit="1"/>
    </xf>
    <xf numFmtId="0" fontId="3" fillId="4" borderId="4" xfId="0" applyFont="1" applyFill="1" applyBorder="1" applyAlignment="1">
      <alignment horizontal="right" vertical="center" shrinkToFit="1"/>
    </xf>
    <xf numFmtId="0" fontId="3" fillId="4" borderId="4" xfId="0" applyFont="1" applyFill="1" applyBorder="1" applyAlignment="1">
      <alignment horizontal="left" vertical="center" shrinkToFit="1"/>
    </xf>
    <xf numFmtId="0" fontId="3" fillId="4" borderId="5" xfId="0" applyFont="1" applyFill="1" applyBorder="1" applyAlignment="1">
      <alignment horizontal="left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7" borderId="17" xfId="0" applyFont="1" applyFill="1" applyBorder="1" applyAlignment="1">
      <alignment horizontal="left" vertical="center" shrinkToFit="1"/>
    </xf>
    <xf numFmtId="0" fontId="3" fillId="7" borderId="18" xfId="0" applyFont="1" applyFill="1" applyBorder="1" applyAlignment="1">
      <alignment horizontal="left" vertical="center" shrinkToFit="1"/>
    </xf>
    <xf numFmtId="0" fontId="3" fillId="7" borderId="19" xfId="0" applyFont="1" applyFill="1" applyBorder="1" applyAlignment="1">
      <alignment horizontal="left" vertical="center" shrinkToFit="1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 shrinkToFit="1"/>
    </xf>
    <xf numFmtId="0" fontId="27" fillId="7" borderId="3" xfId="0" applyFont="1" applyFill="1" applyBorder="1" applyAlignment="1">
      <alignment horizontal="left" vertical="center"/>
    </xf>
    <xf numFmtId="0" fontId="27" fillId="7" borderId="4" xfId="0" applyFont="1" applyFill="1" applyBorder="1" applyAlignment="1">
      <alignment horizontal="left" vertical="center"/>
    </xf>
    <xf numFmtId="0" fontId="27" fillId="7" borderId="5" xfId="0" applyFont="1" applyFill="1" applyBorder="1" applyAlignment="1">
      <alignment horizontal="left"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3" fillId="0" borderId="1" xfId="0" applyFont="1" applyBorder="1" applyAlignment="1">
      <alignment horizontal="left" vertical="center" shrinkToFit="1"/>
    </xf>
    <xf numFmtId="0" fontId="3" fillId="0" borderId="7" xfId="0" applyFont="1" applyBorder="1" applyAlignment="1">
      <alignment horizontal="left" vertical="center" shrinkToFit="1"/>
    </xf>
    <xf numFmtId="0" fontId="3" fillId="5" borderId="3" xfId="0" applyFont="1" applyFill="1" applyBorder="1" applyAlignment="1">
      <alignment horizontal="left" vertical="center" shrinkToFit="1"/>
    </xf>
    <xf numFmtId="0" fontId="3" fillId="5" borderId="4" xfId="0" applyFont="1" applyFill="1" applyBorder="1" applyAlignment="1">
      <alignment horizontal="left" vertical="center" shrinkToFit="1"/>
    </xf>
    <xf numFmtId="0" fontId="3" fillId="5" borderId="5" xfId="0" applyFont="1" applyFill="1" applyBorder="1" applyAlignment="1">
      <alignment horizontal="left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shrinkToFit="1"/>
    </xf>
    <xf numFmtId="0" fontId="17" fillId="4" borderId="4" xfId="0" applyFont="1" applyFill="1" applyBorder="1" applyAlignment="1">
      <alignment horizontal="left" vertical="center" shrinkToFit="1"/>
    </xf>
    <xf numFmtId="0" fontId="17" fillId="4" borderId="5" xfId="0" applyFont="1" applyFill="1" applyBorder="1" applyAlignment="1">
      <alignment horizontal="left" vertical="center" shrinkToFit="1"/>
    </xf>
    <xf numFmtId="0" fontId="3" fillId="4" borderId="3" xfId="0" applyFont="1" applyFill="1" applyBorder="1" applyAlignment="1">
      <alignment horizontal="center" vertical="center" shrinkToFit="1"/>
    </xf>
    <xf numFmtId="0" fontId="3" fillId="4" borderId="4" xfId="0" applyFont="1" applyFill="1" applyBorder="1" applyAlignment="1">
      <alignment horizontal="center" vertical="center" shrinkToFit="1"/>
    </xf>
    <xf numFmtId="0" fontId="5" fillId="2" borderId="4" xfId="0" applyFont="1" applyFill="1" applyBorder="1" applyAlignment="1">
      <alignment vertical="center" shrinkToFit="1"/>
    </xf>
    <xf numFmtId="0" fontId="5" fillId="2" borderId="5" xfId="0" applyFont="1" applyFill="1" applyBorder="1" applyAlignment="1">
      <alignment vertical="center" shrinkToFit="1"/>
    </xf>
    <xf numFmtId="0" fontId="3" fillId="9" borderId="3" xfId="0" applyFont="1" applyFill="1" applyBorder="1" applyAlignment="1">
      <alignment horizontal="center" vertical="center" shrinkToFit="1"/>
    </xf>
    <xf numFmtId="0" fontId="3" fillId="9" borderId="4" xfId="0" applyFont="1" applyFill="1" applyBorder="1" applyAlignment="1">
      <alignment horizontal="center" vertical="center" shrinkToFit="1"/>
    </xf>
    <xf numFmtId="0" fontId="20" fillId="0" borderId="2" xfId="0" applyFont="1" applyBorder="1">
      <alignment vertical="center"/>
    </xf>
    <xf numFmtId="0" fontId="36" fillId="9" borderId="3" xfId="0" applyFont="1" applyFill="1" applyBorder="1" applyAlignment="1">
      <alignment horizontal="center" vertical="center"/>
    </xf>
    <xf numFmtId="0" fontId="36" fillId="9" borderId="4" xfId="0" applyFont="1" applyFill="1" applyBorder="1" applyAlignment="1">
      <alignment horizontal="center" vertical="center"/>
    </xf>
    <xf numFmtId="0" fontId="36" fillId="9" borderId="5" xfId="0" applyFont="1" applyFill="1" applyBorder="1" applyAlignment="1">
      <alignment horizontal="center" vertical="center"/>
    </xf>
    <xf numFmtId="0" fontId="36" fillId="4" borderId="3" xfId="0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shrinkToFit="1"/>
    </xf>
    <xf numFmtId="0" fontId="5" fillId="9" borderId="4" xfId="0" applyFont="1" applyFill="1" applyBorder="1" applyAlignment="1">
      <alignment vertical="center" shrinkToFit="1"/>
    </xf>
    <xf numFmtId="0" fontId="5" fillId="9" borderId="5" xfId="0" applyFont="1" applyFill="1" applyBorder="1" applyAlignment="1">
      <alignment vertical="center" shrinkToFit="1"/>
    </xf>
    <xf numFmtId="0" fontId="3" fillId="0" borderId="0" xfId="0" applyFont="1" applyAlignment="1">
      <alignment horizontal="left" vertical="center" shrinkToFit="1"/>
    </xf>
    <xf numFmtId="0" fontId="20" fillId="8" borderId="2" xfId="0" applyFont="1" applyFill="1" applyBorder="1">
      <alignment vertical="center"/>
    </xf>
    <xf numFmtId="0" fontId="20" fillId="8" borderId="3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 vertical="center" shrinkToFit="1"/>
    </xf>
    <xf numFmtId="0" fontId="27" fillId="9" borderId="4" xfId="0" applyFont="1" applyFill="1" applyBorder="1" applyAlignment="1">
      <alignment horizontal="center" vertical="center" shrinkToFit="1"/>
    </xf>
    <xf numFmtId="0" fontId="27" fillId="9" borderId="5" xfId="0" applyFont="1" applyFill="1" applyBorder="1" applyAlignment="1">
      <alignment horizontal="center" vertical="center" shrinkToFit="1"/>
    </xf>
    <xf numFmtId="0" fontId="17" fillId="0" borderId="0" xfId="0" applyFont="1" applyAlignment="1">
      <alignment horizontal="left" vertical="center" shrinkToFit="1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 shrinkToFit="1"/>
    </xf>
    <xf numFmtId="0" fontId="3" fillId="11" borderId="12" xfId="0" applyFont="1" applyFill="1" applyBorder="1" applyAlignment="1">
      <alignment horizontal="center" vertical="center" shrinkToFit="1"/>
    </xf>
    <xf numFmtId="0" fontId="3" fillId="11" borderId="8" xfId="0" applyFont="1" applyFill="1" applyBorder="1" applyAlignment="1">
      <alignment horizontal="center" vertical="center" shrinkToFit="1"/>
    </xf>
    <xf numFmtId="0" fontId="3" fillId="11" borderId="16" xfId="0" applyFont="1" applyFill="1" applyBorder="1" applyAlignment="1">
      <alignment horizontal="center" vertical="center" shrinkToFit="1"/>
    </xf>
    <xf numFmtId="0" fontId="3" fillId="11" borderId="6" xfId="0" applyFont="1" applyFill="1" applyBorder="1" applyAlignment="1">
      <alignment horizontal="center" vertical="center" shrinkToFit="1"/>
    </xf>
    <xf numFmtId="0" fontId="3" fillId="11" borderId="20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wrapText="1" shrinkToFit="1"/>
    </xf>
    <xf numFmtId="0" fontId="3" fillId="9" borderId="17" xfId="0" applyFont="1" applyFill="1" applyBorder="1" applyAlignment="1">
      <alignment horizontal="center" vertical="center" shrinkToFit="1"/>
    </xf>
    <xf numFmtId="0" fontId="18" fillId="9" borderId="18" xfId="0" applyFont="1" applyFill="1" applyBorder="1">
      <alignment vertical="center"/>
    </xf>
    <xf numFmtId="0" fontId="18" fillId="9" borderId="19" xfId="0" applyFont="1" applyFill="1" applyBorder="1">
      <alignment vertical="center"/>
    </xf>
    <xf numFmtId="0" fontId="23" fillId="0" borderId="2" xfId="0" applyFont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5" xfId="0" applyFont="1" applyFill="1" applyBorder="1" applyAlignment="1">
      <alignment horizontal="center" vertical="center"/>
    </xf>
    <xf numFmtId="0" fontId="5" fillId="2" borderId="2" xfId="0" applyFont="1" applyFill="1" applyBorder="1">
      <alignment vertical="center"/>
    </xf>
    <xf numFmtId="0" fontId="3" fillId="2" borderId="9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wrapText="1" shrinkToFit="1"/>
    </xf>
    <xf numFmtId="0" fontId="6" fillId="2" borderId="9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vertical="center" shrinkToFit="1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vertical="center" shrinkToFit="1"/>
    </xf>
    <xf numFmtId="0" fontId="3" fillId="2" borderId="9" xfId="0" applyFont="1" applyFill="1" applyBorder="1" applyAlignment="1">
      <alignment horizontal="center" vertical="center" wrapText="1" shrinkToFit="1"/>
    </xf>
    <xf numFmtId="0" fontId="3" fillId="2" borderId="10" xfId="0" applyFont="1" applyFill="1" applyBorder="1" applyAlignment="1">
      <alignment horizontal="center" vertical="center" wrapText="1" shrinkToFit="1"/>
    </xf>
    <xf numFmtId="0" fontId="5" fillId="2" borderId="9" xfId="0" applyFont="1" applyFill="1" applyBorder="1" applyAlignment="1">
      <alignment vertical="center" shrinkToFit="1"/>
    </xf>
    <xf numFmtId="0" fontId="5" fillId="2" borderId="10" xfId="0" applyFont="1" applyFill="1" applyBorder="1" applyAlignment="1">
      <alignment vertical="center" shrinkToFit="1"/>
    </xf>
    <xf numFmtId="0" fontId="3" fillId="9" borderId="13" xfId="0" applyFont="1" applyFill="1" applyBorder="1" applyAlignment="1">
      <alignment horizontal="center" vertical="center" shrinkToFit="1"/>
    </xf>
    <xf numFmtId="0" fontId="18" fillId="9" borderId="14" xfId="0" applyFont="1" applyFill="1" applyBorder="1">
      <alignment vertical="center"/>
    </xf>
    <xf numFmtId="0" fontId="18" fillId="9" borderId="15" xfId="0" applyFont="1" applyFill="1" applyBorder="1">
      <alignment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49" fontId="34" fillId="9" borderId="3" xfId="0" applyNumberFormat="1" applyFont="1" applyFill="1" applyBorder="1" applyAlignment="1">
      <alignment horizontal="center" vertical="center"/>
    </xf>
    <xf numFmtId="49" fontId="33" fillId="9" borderId="4" xfId="0" applyNumberFormat="1" applyFont="1" applyFill="1" applyBorder="1" applyAlignment="1">
      <alignment horizontal="center" vertical="center"/>
    </xf>
    <xf numFmtId="49" fontId="33" fillId="9" borderId="5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shrinkToFit="1"/>
    </xf>
    <xf numFmtId="0" fontId="3" fillId="9" borderId="5" xfId="0" applyFont="1" applyFill="1" applyBorder="1" applyAlignment="1">
      <alignment horizontal="center" vertical="center" shrinkToFit="1"/>
    </xf>
    <xf numFmtId="0" fontId="3" fillId="11" borderId="22" xfId="0" applyFont="1" applyFill="1" applyBorder="1" applyAlignment="1">
      <alignment horizontal="center" vertical="center" shrinkToFit="1"/>
    </xf>
    <xf numFmtId="0" fontId="3" fillId="11" borderId="23" xfId="0" applyFont="1" applyFill="1" applyBorder="1" applyAlignment="1">
      <alignment horizontal="center" vertical="center" shrinkToFit="1"/>
    </xf>
    <xf numFmtId="0" fontId="3" fillId="11" borderId="24" xfId="0" applyFont="1" applyFill="1" applyBorder="1" applyAlignment="1">
      <alignment horizontal="center" vertical="center" shrinkToFit="1"/>
    </xf>
    <xf numFmtId="0" fontId="3" fillId="9" borderId="22" xfId="0" applyFont="1" applyFill="1" applyBorder="1" applyAlignment="1">
      <alignment horizontal="center" vertical="center" shrinkToFit="1"/>
    </xf>
    <xf numFmtId="0" fontId="3" fillId="9" borderId="23" xfId="0" applyFont="1" applyFill="1" applyBorder="1" applyAlignment="1">
      <alignment horizontal="center" vertical="center" shrinkToFit="1"/>
    </xf>
    <xf numFmtId="0" fontId="3" fillId="9" borderId="24" xfId="0" applyFont="1" applyFill="1" applyBorder="1" applyAlignment="1">
      <alignment horizontal="center" vertical="center" shrinkToFit="1"/>
    </xf>
    <xf numFmtId="0" fontId="3" fillId="11" borderId="13" xfId="0" applyFont="1" applyFill="1" applyBorder="1" applyAlignment="1">
      <alignment horizontal="center" vertical="center" shrinkToFit="1"/>
    </xf>
    <xf numFmtId="0" fontId="18" fillId="11" borderId="14" xfId="0" applyFont="1" applyFill="1" applyBorder="1">
      <alignment vertical="center"/>
    </xf>
    <xf numFmtId="0" fontId="18" fillId="11" borderId="15" xfId="0" applyFont="1" applyFill="1" applyBorder="1">
      <alignment vertical="center"/>
    </xf>
    <xf numFmtId="0" fontId="3" fillId="9" borderId="14" xfId="0" applyFont="1" applyFill="1" applyBorder="1" applyAlignment="1">
      <alignment horizontal="center" vertical="center" shrinkToFit="1"/>
    </xf>
    <xf numFmtId="0" fontId="3" fillId="9" borderId="15" xfId="0" applyFont="1" applyFill="1" applyBorder="1" applyAlignment="1">
      <alignment horizontal="center" vertical="center" shrinkToFit="1"/>
    </xf>
    <xf numFmtId="0" fontId="3" fillId="11" borderId="2" xfId="0" applyFont="1" applyFill="1" applyBorder="1" applyAlignment="1">
      <alignment horizontal="center" vertical="center" shrinkToFit="1"/>
    </xf>
    <xf numFmtId="0" fontId="3" fillId="11" borderId="3" xfId="0" applyFont="1" applyFill="1" applyBorder="1" applyAlignment="1">
      <alignment horizontal="center" vertical="center" shrinkToFit="1"/>
    </xf>
    <xf numFmtId="0" fontId="3" fillId="11" borderId="4" xfId="0" applyFont="1" applyFill="1" applyBorder="1" applyAlignment="1">
      <alignment horizontal="center" vertical="center" shrinkToFit="1"/>
    </xf>
    <xf numFmtId="0" fontId="5" fillId="11" borderId="5" xfId="0" applyFont="1" applyFill="1" applyBorder="1" applyAlignment="1">
      <alignment vertical="center" shrinkToFit="1"/>
    </xf>
    <xf numFmtId="0" fontId="18" fillId="9" borderId="4" xfId="0" applyFont="1" applyFill="1" applyBorder="1">
      <alignment vertical="center"/>
    </xf>
    <xf numFmtId="0" fontId="18" fillId="9" borderId="5" xfId="0" applyFont="1" applyFill="1" applyBorder="1">
      <alignment vertical="center"/>
    </xf>
    <xf numFmtId="0" fontId="18" fillId="11" borderId="4" xfId="0" applyFont="1" applyFill="1" applyBorder="1">
      <alignment vertical="center"/>
    </xf>
    <xf numFmtId="0" fontId="18" fillId="11" borderId="5" xfId="0" applyFont="1" applyFill="1" applyBorder="1">
      <alignment vertical="center"/>
    </xf>
    <xf numFmtId="0" fontId="3" fillId="11" borderId="1" xfId="0" applyFont="1" applyFill="1" applyBorder="1" applyAlignment="1">
      <alignment horizontal="center" vertical="center" shrinkToFit="1"/>
    </xf>
    <xf numFmtId="0" fontId="3" fillId="11" borderId="0" xfId="0" applyFont="1" applyFill="1" applyAlignment="1">
      <alignment horizontal="center" vertical="center" shrinkToFit="1"/>
    </xf>
    <xf numFmtId="0" fontId="3" fillId="11" borderId="7" xfId="0" applyFont="1" applyFill="1" applyBorder="1" applyAlignment="1">
      <alignment horizontal="center" vertical="center" shrinkToFit="1"/>
    </xf>
    <xf numFmtId="0" fontId="3" fillId="11" borderId="17" xfId="0" applyFont="1" applyFill="1" applyBorder="1" applyAlignment="1">
      <alignment horizontal="center" vertical="center" shrinkToFit="1"/>
    </xf>
    <xf numFmtId="0" fontId="18" fillId="11" borderId="18" xfId="0" applyFont="1" applyFill="1" applyBorder="1">
      <alignment vertical="center"/>
    </xf>
    <xf numFmtId="0" fontId="18" fillId="11" borderId="19" xfId="0" applyFont="1" applyFill="1" applyBorder="1">
      <alignment vertical="center"/>
    </xf>
    <xf numFmtId="0" fontId="3" fillId="9" borderId="18" xfId="0" applyFont="1" applyFill="1" applyBorder="1" applyAlignment="1">
      <alignment horizontal="center" vertical="center" shrinkToFit="1"/>
    </xf>
    <xf numFmtId="0" fontId="3" fillId="9" borderId="19" xfId="0" applyFont="1" applyFill="1" applyBorder="1" applyAlignment="1">
      <alignment horizontal="center" vertical="center" shrinkToFit="1"/>
    </xf>
    <xf numFmtId="0" fontId="6" fillId="11" borderId="1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1" borderId="16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6" fillId="11" borderId="2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shrinkToFit="1"/>
    </xf>
    <xf numFmtId="0" fontId="18" fillId="4" borderId="7" xfId="0" applyFont="1" applyFill="1" applyBorder="1">
      <alignment vertical="center"/>
    </xf>
    <xf numFmtId="0" fontId="18" fillId="4" borderId="20" xfId="0" applyFont="1" applyFill="1" applyBorder="1">
      <alignment vertical="center"/>
    </xf>
    <xf numFmtId="0" fontId="3" fillId="4" borderId="11" xfId="0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shrinkToFit="1"/>
    </xf>
    <xf numFmtId="0" fontId="3" fillId="4" borderId="12" xfId="0" applyFont="1" applyFill="1" applyBorder="1" applyAlignment="1">
      <alignment horizontal="center" vertical="center" shrinkToFit="1"/>
    </xf>
    <xf numFmtId="0" fontId="3" fillId="4" borderId="8" xfId="0" applyFont="1" applyFill="1" applyBorder="1" applyAlignment="1">
      <alignment horizontal="center" vertical="center" shrinkToFit="1"/>
    </xf>
    <xf numFmtId="0" fontId="3" fillId="4" borderId="0" xfId="0" applyFont="1" applyFill="1" applyAlignment="1">
      <alignment horizontal="center" vertical="center" shrinkToFit="1"/>
    </xf>
    <xf numFmtId="0" fontId="3" fillId="4" borderId="16" xfId="0" applyFont="1" applyFill="1" applyBorder="1" applyAlignment="1">
      <alignment horizontal="center" vertical="center" shrinkToFit="1"/>
    </xf>
    <xf numFmtId="0" fontId="3" fillId="4" borderId="7" xfId="0" applyFont="1" applyFill="1" applyBorder="1" applyAlignment="1">
      <alignment horizontal="center" vertical="center" shrinkToFit="1"/>
    </xf>
    <xf numFmtId="0" fontId="3" fillId="4" borderId="20" xfId="0" applyFont="1" applyFill="1" applyBorder="1" applyAlignment="1">
      <alignment horizontal="center" vertical="center" shrinkToFit="1"/>
    </xf>
    <xf numFmtId="0" fontId="18" fillId="4" borderId="4" xfId="0" applyFont="1" applyFill="1" applyBorder="1">
      <alignment vertical="center"/>
    </xf>
    <xf numFmtId="0" fontId="18" fillId="4" borderId="5" xfId="0" applyFont="1" applyFill="1" applyBorder="1">
      <alignment vertical="center"/>
    </xf>
    <xf numFmtId="0" fontId="3" fillId="0" borderId="1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 shrinkToFit="1"/>
    </xf>
    <xf numFmtId="0" fontId="3" fillId="0" borderId="16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3" fillId="4" borderId="11" xfId="0" applyFont="1" applyFill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5" fillId="4" borderId="5" xfId="0" applyFont="1" applyFill="1" applyBorder="1" applyAlignment="1">
      <alignment vertical="center" shrinkToFit="1"/>
    </xf>
    <xf numFmtId="0" fontId="3" fillId="4" borderId="5" xfId="0" applyFont="1" applyFill="1" applyBorder="1" applyAlignment="1">
      <alignment horizontal="center" vertical="center" shrinkToFit="1"/>
    </xf>
    <xf numFmtId="0" fontId="3" fillId="4" borderId="17" xfId="0" applyFont="1" applyFill="1" applyBorder="1" applyAlignment="1">
      <alignment horizontal="center" vertical="center" shrinkToFit="1"/>
    </xf>
    <xf numFmtId="0" fontId="18" fillId="4" borderId="18" xfId="0" applyFont="1" applyFill="1" applyBorder="1">
      <alignment vertical="center"/>
    </xf>
    <xf numFmtId="0" fontId="18" fillId="4" borderId="19" xfId="0" applyFont="1" applyFill="1" applyBorder="1">
      <alignment vertical="center"/>
    </xf>
    <xf numFmtId="0" fontId="5" fillId="4" borderId="4" xfId="0" applyFont="1" applyFill="1" applyBorder="1" applyAlignment="1">
      <alignment vertical="center" shrinkToFit="1"/>
    </xf>
    <xf numFmtId="0" fontId="5" fillId="0" borderId="1" xfId="0" applyFont="1" applyBorder="1" applyAlignment="1">
      <alignment vertical="center" shrinkToFit="1"/>
    </xf>
    <xf numFmtId="0" fontId="3" fillId="0" borderId="11" xfId="0" applyFont="1" applyBorder="1" applyAlignment="1">
      <alignment horizontal="left" vertical="center" shrinkToFit="1"/>
    </xf>
    <xf numFmtId="0" fontId="5" fillId="0" borderId="12" xfId="0" applyFont="1" applyBorder="1" applyAlignment="1">
      <alignment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2" xfId="0" applyFont="1" applyFill="1" applyBorder="1" applyAlignment="1">
      <alignment horizontal="center" vertical="center" shrinkToFit="1"/>
    </xf>
    <xf numFmtId="0" fontId="27" fillId="7" borderId="3" xfId="0" applyFont="1" applyFill="1" applyBorder="1" applyAlignment="1">
      <alignment horizontal="left" vertical="center" shrinkToFit="1"/>
    </xf>
    <xf numFmtId="0" fontId="27" fillId="7" borderId="4" xfId="0" applyFont="1" applyFill="1" applyBorder="1" applyAlignment="1">
      <alignment horizontal="left" vertical="center" shrinkToFit="1"/>
    </xf>
    <xf numFmtId="0" fontId="27" fillId="7" borderId="5" xfId="0" applyFont="1" applyFill="1" applyBorder="1" applyAlignment="1">
      <alignment horizontal="left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left" vertical="center" shrinkToFit="1"/>
    </xf>
    <xf numFmtId="0" fontId="5" fillId="0" borderId="21" xfId="0" applyFont="1" applyBorder="1" applyAlignment="1">
      <alignment vertical="center" shrinkToFit="1"/>
    </xf>
    <xf numFmtId="0" fontId="3" fillId="7" borderId="13" xfId="0" applyFont="1" applyFill="1" applyBorder="1" applyAlignment="1">
      <alignment horizontal="right" vertical="center" shrinkToFit="1"/>
    </xf>
    <xf numFmtId="0" fontId="3" fillId="7" borderId="14" xfId="0" applyFont="1" applyFill="1" applyBorder="1" applyAlignment="1">
      <alignment horizontal="right" vertical="center" shrinkToFit="1"/>
    </xf>
    <xf numFmtId="0" fontId="3" fillId="7" borderId="1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3" fillId="7" borderId="2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3" fillId="0" borderId="25" xfId="0" applyFont="1" applyBorder="1" applyAlignment="1">
      <alignment horizontal="left" vertical="center" shrinkToFit="1"/>
    </xf>
    <xf numFmtId="0" fontId="5" fillId="0" borderId="25" xfId="0" applyFont="1" applyBorder="1" applyAlignment="1">
      <alignment vertical="center" shrinkToFit="1"/>
    </xf>
    <xf numFmtId="0" fontId="32" fillId="7" borderId="22" xfId="0" applyFont="1" applyFill="1" applyBorder="1" applyAlignment="1">
      <alignment horizontal="center" vertical="center" shrinkToFit="1"/>
    </xf>
    <xf numFmtId="0" fontId="32" fillId="7" borderId="23" xfId="0" applyFont="1" applyFill="1" applyBorder="1" applyAlignment="1">
      <alignment horizontal="center" vertical="center" shrinkToFit="1"/>
    </xf>
    <xf numFmtId="0" fontId="32" fillId="7" borderId="24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0" fontId="3" fillId="6" borderId="12" xfId="0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horizontal="center" vertical="center" shrinkToFit="1"/>
    </xf>
    <xf numFmtId="0" fontId="31" fillId="9" borderId="2" xfId="0" applyFont="1" applyFill="1" applyBorder="1" applyAlignment="1">
      <alignment horizontal="center" vertical="center" shrinkToFit="1"/>
    </xf>
    <xf numFmtId="0" fontId="3" fillId="7" borderId="11" xfId="0" applyFont="1" applyFill="1" applyBorder="1" applyAlignment="1">
      <alignment horizontal="center" vertical="center" shrinkToFit="1"/>
    </xf>
    <xf numFmtId="0" fontId="3" fillId="7" borderId="13" xfId="0" applyFont="1" applyFill="1" applyBorder="1" applyAlignment="1">
      <alignment horizontal="center" vertical="center" shrinkToFit="1"/>
    </xf>
    <xf numFmtId="0" fontId="3" fillId="0" borderId="26" xfId="0" applyFont="1" applyBorder="1" applyAlignment="1">
      <alignment horizontal="left" vertical="center" shrinkToFit="1"/>
    </xf>
    <xf numFmtId="0" fontId="5" fillId="0" borderId="26" xfId="0" applyFont="1" applyBorder="1" applyAlignment="1">
      <alignment vertical="center" shrinkToFit="1"/>
    </xf>
    <xf numFmtId="0" fontId="3" fillId="7" borderId="17" xfId="0" applyFont="1" applyFill="1" applyBorder="1" applyAlignment="1">
      <alignment horizontal="center" vertical="center" shrinkToFit="1"/>
    </xf>
    <xf numFmtId="0" fontId="3" fillId="7" borderId="18" xfId="0" applyFont="1" applyFill="1" applyBorder="1" applyAlignment="1">
      <alignment horizontal="center" vertical="center" shrinkToFit="1"/>
    </xf>
    <xf numFmtId="0" fontId="3" fillId="7" borderId="19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vertical="center" shrinkToFit="1"/>
    </xf>
    <xf numFmtId="0" fontId="5" fillId="7" borderId="1" xfId="0" applyFont="1" applyFill="1" applyBorder="1" applyAlignment="1">
      <alignment horizontal="center" vertical="center" shrinkToFit="1"/>
    </xf>
    <xf numFmtId="0" fontId="5" fillId="7" borderId="12" xfId="0" applyFont="1" applyFill="1" applyBorder="1" applyAlignment="1">
      <alignment horizontal="center" vertical="center" shrinkToFit="1"/>
    </xf>
    <xf numFmtId="0" fontId="3" fillId="7" borderId="22" xfId="0" applyFont="1" applyFill="1" applyBorder="1" applyAlignment="1">
      <alignment horizontal="center" vertical="center" shrinkToFit="1"/>
    </xf>
    <xf numFmtId="0" fontId="3" fillId="7" borderId="23" xfId="0" applyFont="1" applyFill="1" applyBorder="1" applyAlignment="1">
      <alignment horizontal="center" vertical="center" shrinkToFit="1"/>
    </xf>
    <xf numFmtId="0" fontId="3" fillId="7" borderId="24" xfId="0" applyFont="1" applyFill="1" applyBorder="1" applyAlignment="1">
      <alignment horizontal="center" vertical="center" shrinkToFit="1"/>
    </xf>
    <xf numFmtId="0" fontId="3" fillId="0" borderId="12" xfId="0" applyFont="1" applyBorder="1" applyAlignment="1">
      <alignment horizontal="left" vertical="center" shrinkToFit="1"/>
    </xf>
    <xf numFmtId="0" fontId="3" fillId="0" borderId="13" xfId="0" applyFont="1" applyBorder="1" applyAlignment="1">
      <alignment horizontal="left" vertical="center" shrinkToFit="1"/>
    </xf>
    <xf numFmtId="0" fontId="3" fillId="0" borderId="14" xfId="0" applyFont="1" applyBorder="1" applyAlignment="1">
      <alignment horizontal="left" vertical="center" shrinkToFit="1"/>
    </xf>
    <xf numFmtId="0" fontId="3" fillId="0" borderId="15" xfId="0" applyFont="1" applyBorder="1" applyAlignment="1">
      <alignment horizontal="left" vertical="center" shrinkToFit="1"/>
    </xf>
    <xf numFmtId="0" fontId="27" fillId="7" borderId="23" xfId="0" applyFont="1" applyFill="1" applyBorder="1" applyAlignment="1">
      <alignment horizontal="center" vertical="center" shrinkToFit="1"/>
    </xf>
    <xf numFmtId="0" fontId="27" fillId="7" borderId="24" xfId="0" applyFont="1" applyFill="1" applyBorder="1" applyAlignment="1">
      <alignment horizontal="center" vertical="center" shrinkToFit="1"/>
    </xf>
    <xf numFmtId="0" fontId="3" fillId="6" borderId="3" xfId="0" applyFont="1" applyFill="1" applyBorder="1" applyAlignment="1">
      <alignment horizontal="center" vertical="center" shrinkToFit="1"/>
    </xf>
    <xf numFmtId="0" fontId="3" fillId="6" borderId="4" xfId="0" applyFont="1" applyFill="1" applyBorder="1" applyAlignment="1">
      <alignment horizontal="center" vertical="center" shrinkToFit="1"/>
    </xf>
    <xf numFmtId="0" fontId="3" fillId="6" borderId="5" xfId="0" applyFont="1" applyFill="1" applyBorder="1" applyAlignment="1">
      <alignment horizontal="center" vertical="center" shrinkToFit="1"/>
    </xf>
    <xf numFmtId="0" fontId="3" fillId="7" borderId="29" xfId="0" applyFont="1" applyFill="1" applyBorder="1" applyAlignment="1">
      <alignment horizontal="center" vertical="center" shrinkToFit="1"/>
    </xf>
    <xf numFmtId="0" fontId="3" fillId="7" borderId="30" xfId="0" applyFont="1" applyFill="1" applyBorder="1" applyAlignment="1">
      <alignment horizontal="center" vertical="center" shrinkToFit="1"/>
    </xf>
    <xf numFmtId="0" fontId="27" fillId="7" borderId="22" xfId="0" applyFont="1" applyFill="1" applyBorder="1" applyAlignment="1">
      <alignment horizontal="center" vertical="center" shrinkToFit="1"/>
    </xf>
    <xf numFmtId="0" fontId="37" fillId="7" borderId="11" xfId="0" applyFont="1" applyFill="1" applyBorder="1" applyAlignment="1">
      <alignment horizontal="center" vertical="center" shrinkToFit="1"/>
    </xf>
    <xf numFmtId="0" fontId="37" fillId="7" borderId="12" xfId="0" applyFont="1" applyFill="1" applyBorder="1" applyAlignment="1">
      <alignment horizontal="center" vertical="center" shrinkToFit="1"/>
    </xf>
    <xf numFmtId="0" fontId="37" fillId="7" borderId="29" xfId="0" applyFont="1" applyFill="1" applyBorder="1" applyAlignment="1">
      <alignment horizontal="center" vertical="center" shrinkToFit="1"/>
    </xf>
    <xf numFmtId="0" fontId="37" fillId="7" borderId="30" xfId="0" applyFont="1" applyFill="1" applyBorder="1" applyAlignment="1">
      <alignment horizontal="center" vertical="center" shrinkToFit="1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3" fillId="17" borderId="3" xfId="0" applyFont="1" applyFill="1" applyBorder="1" applyAlignment="1">
      <alignment horizontal="left" vertical="center"/>
    </xf>
    <xf numFmtId="0" fontId="3" fillId="17" borderId="4" xfId="0" applyFont="1" applyFill="1" applyBorder="1" applyAlignment="1">
      <alignment horizontal="left" vertical="center"/>
    </xf>
    <xf numFmtId="0" fontId="3" fillId="17" borderId="5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right" vertical="center"/>
    </xf>
    <xf numFmtId="0" fontId="6" fillId="15" borderId="4" xfId="0" applyFont="1" applyFill="1" applyBorder="1" applyAlignment="1">
      <alignment horizontal="right" vertical="center"/>
    </xf>
    <xf numFmtId="0" fontId="6" fillId="15" borderId="5" xfId="0" applyFont="1" applyFill="1" applyBorder="1" applyAlignment="1">
      <alignment horizontal="right"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left" vertical="center"/>
    </xf>
    <xf numFmtId="0" fontId="3" fillId="11" borderId="3" xfId="0" applyFont="1" applyFill="1" applyBorder="1">
      <alignment vertical="center"/>
    </xf>
    <xf numFmtId="0" fontId="3" fillId="11" borderId="4" xfId="0" applyFont="1" applyFill="1" applyBorder="1">
      <alignment vertical="center"/>
    </xf>
    <xf numFmtId="0" fontId="3" fillId="11" borderId="5" xfId="0" applyFont="1" applyFill="1" applyBorder="1">
      <alignment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 shrinkToFit="1"/>
    </xf>
    <xf numFmtId="0" fontId="3" fillId="11" borderId="2" xfId="0" applyFont="1" applyFill="1" applyBorder="1">
      <alignment vertical="center"/>
    </xf>
    <xf numFmtId="0" fontId="3" fillId="5" borderId="1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3" fillId="5" borderId="12" xfId="0" applyFont="1" applyFill="1" applyBorder="1">
      <alignment vertical="center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16" fillId="7" borderId="4" xfId="1" applyFont="1" applyFill="1" applyBorder="1" applyAlignment="1">
      <alignment horizontal="right" vertical="center"/>
    </xf>
    <xf numFmtId="0" fontId="16" fillId="7" borderId="5" xfId="1" applyFont="1" applyFill="1" applyBorder="1" applyAlignment="1">
      <alignment horizontal="right" vertical="center"/>
    </xf>
    <xf numFmtId="0" fontId="3" fillId="7" borderId="3" xfId="0" applyFont="1" applyFill="1" applyBorder="1" applyAlignment="1">
      <alignment horizontal="right" vertical="center"/>
    </xf>
    <xf numFmtId="0" fontId="3" fillId="7" borderId="4" xfId="0" applyFont="1" applyFill="1" applyBorder="1" applyAlignment="1">
      <alignment horizontal="right"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3" fillId="7" borderId="4" xfId="0" applyNumberFormat="1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49" fontId="3" fillId="5" borderId="5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49" fontId="15" fillId="7" borderId="3" xfId="0" applyNumberFormat="1" applyFont="1" applyFill="1" applyBorder="1" applyAlignment="1">
      <alignment horizontal="center" vertical="center"/>
    </xf>
    <xf numFmtId="49" fontId="15" fillId="7" borderId="4" xfId="0" applyNumberFormat="1" applyFont="1" applyFill="1" applyBorder="1" applyAlignment="1">
      <alignment horizontal="center" vertical="center"/>
    </xf>
    <xf numFmtId="49" fontId="15" fillId="7" borderId="5" xfId="0" applyNumberFormat="1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left" vertical="center"/>
    </xf>
    <xf numFmtId="49" fontId="3" fillId="7" borderId="4" xfId="0" applyNumberFormat="1" applyFont="1" applyFill="1" applyBorder="1" applyAlignment="1">
      <alignment horizontal="left" vertical="center"/>
    </xf>
    <xf numFmtId="49" fontId="3" fillId="7" borderId="5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 shrinkToFit="1"/>
    </xf>
    <xf numFmtId="0" fontId="3" fillId="5" borderId="5" xfId="0" applyFont="1" applyFill="1" applyBorder="1" applyAlignment="1">
      <alignment horizontal="center" vertical="center" shrinkToFit="1"/>
    </xf>
    <xf numFmtId="0" fontId="15" fillId="7" borderId="3" xfId="0" applyFont="1" applyFill="1" applyBorder="1" applyAlignment="1">
      <alignment horizontal="center" vertical="center" shrinkToFit="1"/>
    </xf>
    <xf numFmtId="0" fontId="15" fillId="7" borderId="4" xfId="0" applyFont="1" applyFill="1" applyBorder="1" applyAlignment="1">
      <alignment horizontal="center" vertical="center" shrinkToFit="1"/>
    </xf>
    <xf numFmtId="0" fontId="15" fillId="7" borderId="5" xfId="0" applyFont="1" applyFill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6" fillId="13" borderId="3" xfId="1" applyFont="1" applyFill="1" applyBorder="1" applyAlignment="1">
      <alignment horizontal="right" vertical="center"/>
    </xf>
    <xf numFmtId="0" fontId="16" fillId="13" borderId="4" xfId="1" applyFont="1" applyFill="1" applyBorder="1" applyAlignment="1">
      <alignment horizontal="right" vertical="center"/>
    </xf>
    <xf numFmtId="0" fontId="16" fillId="7" borderId="4" xfId="1" applyFont="1" applyFill="1" applyBorder="1" applyAlignment="1">
      <alignment horizontal="left" vertical="center" shrinkToFit="1"/>
    </xf>
    <xf numFmtId="0" fontId="16" fillId="13" borderId="4" xfId="1" applyFont="1" applyFill="1" applyBorder="1" applyAlignment="1">
      <alignment horizontal="left" vertical="center"/>
    </xf>
    <xf numFmtId="0" fontId="16" fillId="13" borderId="5" xfId="1" applyFont="1" applyFill="1" applyBorder="1" applyAlignment="1">
      <alignment horizontal="left" vertical="center"/>
    </xf>
    <xf numFmtId="0" fontId="5" fillId="13" borderId="3" xfId="0" applyFont="1" applyFill="1" applyBorder="1" applyAlignment="1">
      <alignment horizontal="right" vertical="center"/>
    </xf>
    <xf numFmtId="0" fontId="5" fillId="13" borderId="4" xfId="0" applyFont="1" applyFill="1" applyBorder="1" applyAlignment="1">
      <alignment horizontal="right" vertical="center"/>
    </xf>
    <xf numFmtId="0" fontId="5" fillId="7" borderId="4" xfId="0" applyFont="1" applyFill="1" applyBorder="1" applyAlignment="1">
      <alignment horizontal="left" vertical="center" shrinkToFit="1"/>
    </xf>
    <xf numFmtId="0" fontId="5" fillId="13" borderId="4" xfId="0" applyFont="1" applyFill="1" applyBorder="1" applyAlignment="1">
      <alignment horizontal="left" vertical="center"/>
    </xf>
    <xf numFmtId="0" fontId="23" fillId="11" borderId="2" xfId="0" applyFont="1" applyFill="1" applyBorder="1" applyAlignment="1">
      <alignment horizontal="center" vertical="center"/>
    </xf>
    <xf numFmtId="176" fontId="24" fillId="9" borderId="3" xfId="0" applyNumberFormat="1" applyFont="1" applyFill="1" applyBorder="1" applyAlignment="1">
      <alignment horizontal="center" vertical="center"/>
    </xf>
    <xf numFmtId="176" fontId="25" fillId="9" borderId="4" xfId="0" applyNumberFormat="1" applyFont="1" applyFill="1" applyBorder="1" applyAlignment="1">
      <alignment horizontal="center" vertical="center"/>
    </xf>
    <xf numFmtId="176" fontId="25" fillId="9" borderId="5" xfId="0" applyNumberFormat="1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 wrapText="1" shrinkToFit="1"/>
    </xf>
    <xf numFmtId="0" fontId="3" fillId="11" borderId="11" xfId="0" applyFont="1" applyFill="1" applyBorder="1" applyAlignment="1">
      <alignment horizontal="left" vertical="center" shrinkToFit="1"/>
    </xf>
    <xf numFmtId="0" fontId="3" fillId="11" borderId="1" xfId="0" applyFont="1" applyFill="1" applyBorder="1" applyAlignment="1">
      <alignment horizontal="left" vertical="center" shrinkToFit="1"/>
    </xf>
    <xf numFmtId="0" fontId="3" fillId="11" borderId="12" xfId="0" applyFont="1" applyFill="1" applyBorder="1" applyAlignment="1">
      <alignment horizontal="left" vertical="center" shrinkToFit="1"/>
    </xf>
    <xf numFmtId="0" fontId="3" fillId="11" borderId="13" xfId="0" applyFont="1" applyFill="1" applyBorder="1" applyAlignment="1">
      <alignment horizontal="left" vertical="center" shrinkToFit="1"/>
    </xf>
    <xf numFmtId="0" fontId="3" fillId="11" borderId="14" xfId="0" applyFont="1" applyFill="1" applyBorder="1" applyAlignment="1">
      <alignment horizontal="left" vertical="center" shrinkToFit="1"/>
    </xf>
    <xf numFmtId="0" fontId="3" fillId="11" borderId="15" xfId="0" applyFont="1" applyFill="1" applyBorder="1" applyAlignment="1">
      <alignment horizontal="left" vertical="center" shrinkToFit="1"/>
    </xf>
    <xf numFmtId="0" fontId="3" fillId="9" borderId="2" xfId="0" applyFont="1" applyFill="1" applyBorder="1" applyAlignment="1">
      <alignment horizontal="center" vertical="center" shrinkToFit="1"/>
    </xf>
    <xf numFmtId="0" fontId="3" fillId="11" borderId="25" xfId="0" applyFont="1" applyFill="1" applyBorder="1" applyAlignment="1">
      <alignment horizontal="left" vertical="center" shrinkToFit="1"/>
    </xf>
    <xf numFmtId="0" fontId="5" fillId="11" borderId="25" xfId="0" applyFont="1" applyFill="1" applyBorder="1" applyAlignment="1">
      <alignment vertical="center" shrinkToFit="1"/>
    </xf>
    <xf numFmtId="0" fontId="3" fillId="12" borderId="3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40" fillId="7" borderId="4" xfId="0" applyFont="1" applyFill="1" applyBorder="1" applyAlignment="1">
      <alignment horizontal="left" vertical="center" shrinkToFit="1"/>
    </xf>
    <xf numFmtId="0" fontId="3" fillId="11" borderId="26" xfId="0" applyFont="1" applyFill="1" applyBorder="1" applyAlignment="1">
      <alignment horizontal="left" vertical="center" shrinkToFit="1"/>
    </xf>
    <xf numFmtId="0" fontId="5" fillId="11" borderId="26" xfId="0" applyFont="1" applyFill="1" applyBorder="1" applyAlignment="1">
      <alignment vertical="center" shrinkToFit="1"/>
    </xf>
    <xf numFmtId="0" fontId="5" fillId="11" borderId="1" xfId="0" applyFont="1" applyFill="1" applyBorder="1" applyAlignment="1">
      <alignment vertical="center" shrinkToFit="1"/>
    </xf>
    <xf numFmtId="0" fontId="5" fillId="11" borderId="12" xfId="0" applyFont="1" applyFill="1" applyBorder="1" applyAlignment="1">
      <alignment vertical="center" shrinkToFit="1"/>
    </xf>
    <xf numFmtId="0" fontId="3" fillId="11" borderId="21" xfId="0" applyFont="1" applyFill="1" applyBorder="1" applyAlignment="1">
      <alignment horizontal="left" vertical="center" shrinkToFit="1"/>
    </xf>
    <xf numFmtId="0" fontId="5" fillId="11" borderId="21" xfId="0" applyFont="1" applyFill="1" applyBorder="1" applyAlignment="1">
      <alignment vertical="center" shrinkToFit="1"/>
    </xf>
    <xf numFmtId="0" fontId="3" fillId="11" borderId="5" xfId="0" applyFont="1" applyFill="1" applyBorder="1" applyAlignment="1">
      <alignment horizontal="center" vertical="center" shrinkToFit="1"/>
    </xf>
    <xf numFmtId="0" fontId="3" fillId="9" borderId="6" xfId="0" applyFont="1" applyFill="1" applyBorder="1" applyAlignment="1">
      <alignment horizontal="center" vertical="center" shrinkToFit="1"/>
    </xf>
    <xf numFmtId="0" fontId="18" fillId="9" borderId="7" xfId="0" applyFont="1" applyFill="1" applyBorder="1">
      <alignment vertical="center"/>
    </xf>
    <xf numFmtId="0" fontId="18" fillId="9" borderId="20" xfId="0" applyFont="1" applyFill="1" applyBorder="1">
      <alignment vertical="center"/>
    </xf>
    <xf numFmtId="0" fontId="3" fillId="11" borderId="8" xfId="0" applyFont="1" applyFill="1" applyBorder="1" applyAlignment="1">
      <alignment horizontal="center" vertical="center" wrapText="1" shrinkToFit="1"/>
    </xf>
    <xf numFmtId="0" fontId="3" fillId="14" borderId="11" xfId="0" applyFont="1" applyFill="1" applyBorder="1" applyAlignment="1">
      <alignment horizontal="center" vertical="center" shrinkToFit="1"/>
    </xf>
    <xf numFmtId="0" fontId="3" fillId="14" borderId="1" xfId="0" applyFont="1" applyFill="1" applyBorder="1" applyAlignment="1">
      <alignment horizontal="center" vertical="center" shrinkToFit="1"/>
    </xf>
    <xf numFmtId="0" fontId="3" fillId="14" borderId="12" xfId="0" applyFont="1" applyFill="1" applyBorder="1" applyAlignment="1">
      <alignment horizontal="center" vertical="center" shrinkToFit="1"/>
    </xf>
    <xf numFmtId="0" fontId="3" fillId="14" borderId="2" xfId="0" applyFont="1" applyFill="1" applyBorder="1" applyAlignment="1">
      <alignment horizontal="center" vertical="center" shrinkToFit="1"/>
    </xf>
    <xf numFmtId="0" fontId="5" fillId="14" borderId="2" xfId="0" applyFont="1" applyFill="1" applyBorder="1" applyAlignment="1">
      <alignment vertical="center" shrinkToFit="1"/>
    </xf>
    <xf numFmtId="0" fontId="5" fillId="14" borderId="1" xfId="0" applyFont="1" applyFill="1" applyBorder="1" applyAlignment="1">
      <alignment vertical="center" shrinkToFit="1"/>
    </xf>
    <xf numFmtId="49" fontId="3" fillId="7" borderId="3" xfId="0" applyNumberFormat="1" applyFont="1" applyFill="1" applyBorder="1" applyAlignment="1">
      <alignment horizontal="left" vertical="center" shrinkToFit="1"/>
    </xf>
    <xf numFmtId="49" fontId="3" fillId="7" borderId="4" xfId="0" applyNumberFormat="1" applyFont="1" applyFill="1" applyBorder="1" applyAlignment="1">
      <alignment horizontal="left" vertical="center" shrinkToFit="1"/>
    </xf>
    <xf numFmtId="49" fontId="3" fillId="7" borderId="5" xfId="0" applyNumberFormat="1" applyFont="1" applyFill="1" applyBorder="1" applyAlignment="1">
      <alignment horizontal="left" vertical="center" shrinkToFit="1"/>
    </xf>
    <xf numFmtId="0" fontId="9" fillId="10" borderId="0" xfId="0" applyFont="1" applyFill="1" applyAlignment="1">
      <alignment horizontal="left" vertical="center" shrinkToFit="1"/>
    </xf>
    <xf numFmtId="0" fontId="10" fillId="10" borderId="0" xfId="0" applyFont="1" applyFill="1" applyAlignment="1">
      <alignment horizontal="left" vertical="center" shrinkToFit="1"/>
    </xf>
    <xf numFmtId="0" fontId="5" fillId="14" borderId="1" xfId="0" applyFont="1" applyFill="1" applyBorder="1" applyAlignment="1">
      <alignment horizontal="center" vertical="center" shrinkToFit="1"/>
    </xf>
    <xf numFmtId="0" fontId="5" fillId="14" borderId="12" xfId="0" applyFont="1" applyFill="1" applyBorder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0" fontId="29" fillId="7" borderId="3" xfId="0" applyFont="1" applyFill="1" applyBorder="1" applyAlignment="1">
      <alignment horizontal="center" vertical="center" shrinkToFit="1"/>
    </xf>
    <xf numFmtId="0" fontId="29" fillId="7" borderId="4" xfId="0" applyFont="1" applyFill="1" applyBorder="1" applyAlignment="1">
      <alignment horizontal="center" vertical="center" shrinkToFit="1"/>
    </xf>
    <xf numFmtId="0" fontId="29" fillId="7" borderId="5" xfId="0" applyFont="1" applyFill="1" applyBorder="1" applyAlignment="1">
      <alignment horizontal="center" vertical="center" shrinkToFit="1"/>
    </xf>
    <xf numFmtId="0" fontId="3" fillId="12" borderId="1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right" vertical="center"/>
    </xf>
    <xf numFmtId="0" fontId="6" fillId="12" borderId="4" xfId="0" applyFont="1" applyFill="1" applyBorder="1" applyAlignment="1">
      <alignment horizontal="right" vertical="center"/>
    </xf>
    <xf numFmtId="0" fontId="6" fillId="12" borderId="5" xfId="0" applyFont="1" applyFill="1" applyBorder="1" applyAlignment="1">
      <alignment horizontal="right" vertical="center"/>
    </xf>
    <xf numFmtId="0" fontId="27" fillId="7" borderId="3" xfId="0" applyFont="1" applyFill="1" applyBorder="1" applyAlignment="1">
      <alignment horizontal="right" vertical="center"/>
    </xf>
    <xf numFmtId="0" fontId="27" fillId="7" borderId="4" xfId="0" applyFont="1" applyFill="1" applyBorder="1" applyAlignment="1">
      <alignment horizontal="right" vertical="center"/>
    </xf>
    <xf numFmtId="0" fontId="39" fillId="7" borderId="4" xfId="1" applyFont="1" applyFill="1" applyBorder="1" applyAlignment="1">
      <alignment horizontal="left" vertical="center" shrinkToFit="1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shrinkToFit="1"/>
    </xf>
    <xf numFmtId="0" fontId="3" fillId="0" borderId="2" xfId="0" applyFont="1" applyBorder="1">
      <alignment vertical="center"/>
    </xf>
    <xf numFmtId="0" fontId="34" fillId="9" borderId="3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0" fontId="33" fillId="9" borderId="5" xfId="0" applyFont="1" applyFill="1" applyBorder="1" applyAlignment="1">
      <alignment horizontal="center" vertical="center"/>
    </xf>
  </cellXfs>
  <cellStyles count="3">
    <cellStyle name="ハイパーリンク" xfId="1" builtinId="8"/>
    <cellStyle name="標準" xfId="0" builtinId="0"/>
    <cellStyle name="標準 2" xfId="2" xr:uid="{00000000-0005-0000-0000-000002000000}"/>
  </cellStyles>
  <dxfs count="24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FF99CC"/>
      <color rgb="FFFF66CC"/>
      <color rgb="FFFF6699"/>
      <color rgb="FFFF66FF"/>
      <color rgb="FF99FF99"/>
      <color rgb="FF66FF66"/>
      <color rgb="FFCCFFCC"/>
      <color rgb="FFD23ABC"/>
      <color rgb="FF99FF66"/>
      <color rgb="FF65FF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142875</xdr:colOff>
          <xdr:row>7</xdr:row>
          <xdr:rowOff>142875</xdr:rowOff>
        </xdr:from>
        <xdr:to>
          <xdr:col>23</xdr:col>
          <xdr:colOff>57150</xdr:colOff>
          <xdr:row>9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0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142875</xdr:colOff>
          <xdr:row>8</xdr:row>
          <xdr:rowOff>152400</xdr:rowOff>
        </xdr:from>
        <xdr:to>
          <xdr:col>23</xdr:col>
          <xdr:colOff>57150</xdr:colOff>
          <xdr:row>10</xdr:row>
          <xdr:rowOff>47625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0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142875</xdr:colOff>
          <xdr:row>7</xdr:row>
          <xdr:rowOff>142875</xdr:rowOff>
        </xdr:from>
        <xdr:to>
          <xdr:col>23</xdr:col>
          <xdr:colOff>57150</xdr:colOff>
          <xdr:row>9</xdr:row>
          <xdr:rowOff>38100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142875</xdr:colOff>
          <xdr:row>8</xdr:row>
          <xdr:rowOff>152400</xdr:rowOff>
        </xdr:from>
        <xdr:to>
          <xdr:col>23</xdr:col>
          <xdr:colOff>57150</xdr:colOff>
          <xdr:row>10</xdr:row>
          <xdr:rowOff>47625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142875</xdr:colOff>
          <xdr:row>7</xdr:row>
          <xdr:rowOff>142875</xdr:rowOff>
        </xdr:from>
        <xdr:to>
          <xdr:col>23</xdr:col>
          <xdr:colOff>57150</xdr:colOff>
          <xdr:row>9</xdr:row>
          <xdr:rowOff>38100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2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142875</xdr:colOff>
          <xdr:row>8</xdr:row>
          <xdr:rowOff>152400</xdr:rowOff>
        </xdr:from>
        <xdr:to>
          <xdr:col>23</xdr:col>
          <xdr:colOff>57150</xdr:colOff>
          <xdr:row>10</xdr:row>
          <xdr:rowOff>47625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2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core.fielding.nec.co.jp\s3800\Documents%20and%20Settings\1134120950614\&#12487;&#12473;&#12463;&#12488;&#12483;&#12503;\100rack_pstoolv2\100%20&#12471;&#12522;&#12540;&#12474;R&#38651;&#21147;&#35336;&#31639;&#12484;&#12540;&#12523;2008082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Library" Target="COMM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misei-my.sharepoint.com/Users/193544/AppData/Local/Temp/notesC7A056/&#21463;&#27880;&#27770;&#35009;&#2636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1.116.100\a02852-01\13_&#20869;&#37096;&#35373;&#35336;\01_&#26412;&#30058;&#30740;&#20462;&#29872;&#22659;\XX_CCM\CCManager_Setup_ver1.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core.fielding.nec.co.jp\s3800\DOCUME~1\DOI~1.FC-\LOCALS~1\Temp\B2Temp\Attach\Hoju&#38651;&#21147;&#35336;&#31639;&#12484;&#12540;&#12523;97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H-21\BE&#25216;&#34899;&#37096;\data\bayer\DB\DB&#23450;&#32681;_SF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yama\c\&#20132;&#25563;&#27231;&#23455;&#35013;&#22259;&#12501;&#12457;&#12540;&#12510;&#12483;&#12488;\&#20013;&#22830;&#20107;&#26989;&#26412;&#37096;\&#27231;&#26800;&#23460;&#35373;&#20633;&#27010;&#27841;(&#20013;&#22830;&#65288;&#20107;&#65289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02.nesic.nec.co.jp\nfss-0161\Documents%20and%20Settings\Hiroaki-Bando\My%20Documents\031&#26085;&#26412;&#12527;&#12452;&#12473;&#12524;&#12480;&#12522;&#12540;\&#35069;&#21697;&#25991;&#26360;\&#32013;&#21697;&#29289;\36-012209-D-EBD202Log-Station&#12486;&#12540;&#12502;&#12523;&#23450;&#32681;&#26360;(&#20462;&#27491;)\Book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kfs62.nsl.ad.nec.co.jp\a01899-01\200%20&#22806;&#37096;&#35373;&#35336;\000_&#25104;&#26524;&#29289;&#12469;&#12531;&#12503;&#12523;\1_&#25104;&#26524;&#29289;&#19968;&#35239;_AP&#38283;&#30330;_v4&#65343;062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L-10000122\&#20849;&#26377;&#12487;&#12540;&#12479;\&#26696;&#20214;&#30058;&#21495;\NARI\&#12471;&#12473;&#12486;&#12512;&#21270;&#26696;&#20214;\&#65320;&#65297;&#65296;&#24180;&#24230;\2.20&#65418;&#65438;&#65392;&#65404;&#65438;&#65390;&#65437;\&#26696;&#20214;&#19968;&#3523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misei-my.sharepoint.com/&#35079;&#25968;&#12481;&#12540;&#12512;&#12539;&#12464;&#12523;&#12540;&#12503;&#26696;&#20214;/m-&#12513;&#12487;&#12451;&#12465;&#12450;&#29983;&#21629;_&#31471;&#26411;&#26356;&#25913;&#65291;&#12464;&#12523;&#12540;&#12503;&#12463;&#12521;&#12454;&#12489;&#26356;&#25913;&#21463;&#12369;&#20837;&#12428;&#23550;&#24540;/&#36229;&#27010;&#31639;&#12467;&#12473;&#12488;&#31639;&#20986;/&#12513;&#12487;&#12451;&#12465;&#12450;&#36899;&#25658;&#36039;&#26009;/&#36039;&#29987;&#31649;&#29702;&#21488;&#24115;/&#36039;&#29987;&#31649;&#29702;&#21488;&#24115;2018101012-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110Rc-1h"/>
      <sheetName val="110Rc-1h(OfficeRack)"/>
      <sheetName val="110Ri-1"/>
      <sheetName val="i120Ra-e1"/>
      <sheetName val="120Rh_1_2.5'ディスクモデル"/>
      <sheetName val="120Rh_1_3.5'ディスクモデル"/>
      <sheetName val="120Rh_1_3.5'ディスクモデル (非冗長)"/>
      <sheetName val="120Rj2(3.5&quot;HDD)"/>
      <sheetName val="120Rj2(2.5&quot;HDD)"/>
      <sheetName val="140Rf-4"/>
      <sheetName val="Data"/>
      <sheetName val="Dat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">
          <cell r="K3" t="str">
            <v>Express5800/120Rｊ-2(XD/1.86G(6))</v>
          </cell>
          <cell r="O3" t="str">
            <v>Express5800/110Ri-1(PDC/1.80G(1))</v>
          </cell>
        </row>
        <row r="4">
          <cell r="K4" t="str">
            <v>Express5800/120Rj-2(XD/3.33G(6))</v>
          </cell>
          <cell r="O4" t="str">
            <v>Express5800/110Ri-1(XD/2.33G(4))</v>
          </cell>
        </row>
        <row r="5">
          <cell r="K5" t="str">
            <v>Express5800/120Rj-2(XQ/2G(2x6))</v>
          </cell>
          <cell r="O5" t="str">
            <v>Express5800/110Ri-1(XQ/2.66G(2x6))</v>
          </cell>
        </row>
        <row r="6">
          <cell r="K6" t="str">
            <v>Express5800/120Rj-2(XQ/2.50G(2x6))</v>
          </cell>
          <cell r="O6" t="str">
            <v>Express5800/110Ri-1(XD/3G(6))</v>
          </cell>
        </row>
        <row r="7">
          <cell r="K7" t="str">
            <v>Express5800/120Rj-2(XQ/3G(2x6))</v>
          </cell>
        </row>
        <row r="8">
          <cell r="K8" t="str">
            <v>Express5800/120Rj-2(XQ/3.16G(2x6))</v>
          </cell>
        </row>
        <row r="12">
          <cell r="E12" t="str">
            <v>なし</v>
          </cell>
        </row>
        <row r="13">
          <cell r="E13" t="str">
            <v>DC-XeonプロセッサーE5205(1.86G)_2U用</v>
          </cell>
        </row>
        <row r="14">
          <cell r="E14" t="str">
            <v>DC-XeonプロセッサーX5260(3.33G)_2U用</v>
          </cell>
        </row>
        <row r="15">
          <cell r="E15" t="str">
            <v>QC-XeonプロセッサーE5405(2G)_2U用</v>
          </cell>
        </row>
        <row r="16">
          <cell r="E16" t="str">
            <v>QC-XeonプロセッサーE5420(2.50G)_2U用</v>
          </cell>
        </row>
        <row r="17">
          <cell r="E17" t="str">
            <v>QC-XeonプロセッサーX5450(3G)_2U用</v>
          </cell>
        </row>
        <row r="18">
          <cell r="E18" t="str">
            <v>QC-XeonプロセッサーX5460(3.16G)_2U用</v>
          </cell>
        </row>
        <row r="22">
          <cell r="C22" t="str">
            <v>なし</v>
          </cell>
          <cell r="D22" t="str">
            <v>なし</v>
          </cell>
          <cell r="I22" t="str">
            <v>なし</v>
          </cell>
        </row>
        <row r="23">
          <cell r="C23" t="str">
            <v>1GB増設メモリ_2way用</v>
          </cell>
          <cell r="D23" t="str">
            <v>8GB増設メモリ_2way用</v>
          </cell>
          <cell r="I23" t="str">
            <v>512MB増設メモリ_110Ri-1用</v>
          </cell>
        </row>
        <row r="24">
          <cell r="C24" t="str">
            <v>2GB増設メモリ_2way用</v>
          </cell>
          <cell r="I24" t="str">
            <v>1GB増設メモリ_110Ri-1用</v>
          </cell>
        </row>
        <row r="25">
          <cell r="C25" t="str">
            <v>4GB増設メモリ_2way用</v>
          </cell>
          <cell r="I25" t="str">
            <v>2GB増設メモリ_110Ri-1用</v>
          </cell>
        </row>
        <row r="26">
          <cell r="C26" t="str">
            <v>8GB増設メモリ_2way用</v>
          </cell>
        </row>
        <row r="31">
          <cell r="A31" t="str">
            <v>なし</v>
          </cell>
          <cell r="B31" t="str">
            <v>なし</v>
          </cell>
          <cell r="C31" t="str">
            <v>なし</v>
          </cell>
        </row>
        <row r="32">
          <cell r="A32" t="str">
            <v>増設用80GB（3.5"SATA）</v>
          </cell>
          <cell r="B32" t="str">
            <v>増設用250GB（3.5"SATA）(120Rj-2)</v>
          </cell>
          <cell r="C32" t="str">
            <v>増設用36.3GB（3.5"SAS）</v>
          </cell>
        </row>
        <row r="33">
          <cell r="A33" t="str">
            <v>増設用160GB（3.5"SATA）</v>
          </cell>
          <cell r="B33" t="str">
            <v>増設用500GB（3.5"SATA）(120Rj-2)</v>
          </cell>
          <cell r="C33" t="str">
            <v>増設用73.2GB（3.5"SAS）</v>
          </cell>
        </row>
        <row r="34">
          <cell r="A34" t="str">
            <v>増設用250GB（3.5"SATA）</v>
          </cell>
          <cell r="B34" t="str">
            <v>増設用750GB（3.5"SATA）(120Rj-2)</v>
          </cell>
          <cell r="C34" t="str">
            <v>増設用146.5GB（3.5"SAS）</v>
          </cell>
        </row>
        <row r="35">
          <cell r="A35" t="str">
            <v>増設用500GB（3.5"SATA）</v>
          </cell>
          <cell r="C35" t="str">
            <v>増設用300GB（3.5"SAS）</v>
          </cell>
        </row>
        <row r="36">
          <cell r="A36" t="str">
            <v>増設用750GB（3.5"SATA）</v>
          </cell>
        </row>
        <row r="41">
          <cell r="C41" t="str">
            <v>なし</v>
          </cell>
          <cell r="G41" t="str">
            <v>なし</v>
          </cell>
        </row>
        <row r="42">
          <cell r="C42" t="str">
            <v>LANカード</v>
          </cell>
          <cell r="G42" t="str">
            <v>バックアップデバイス</v>
          </cell>
        </row>
        <row r="43">
          <cell r="C43" t="str">
            <v>SCSIントローラ</v>
          </cell>
        </row>
        <row r="44">
          <cell r="C44" t="str">
            <v>SASコントローラ</v>
          </cell>
        </row>
        <row r="45">
          <cell r="C45" t="str">
            <v>RAIDコントローラ</v>
          </cell>
          <cell r="E45" t="str">
            <v>なし</v>
          </cell>
        </row>
        <row r="46">
          <cell r="C46" t="str">
            <v>FCコントローラ</v>
          </cell>
          <cell r="E46" t="str">
            <v>冗長電源_2U用</v>
          </cell>
        </row>
        <row r="47">
          <cell r="C47" t="str">
            <v>その他PCI</v>
          </cell>
        </row>
      </sheetData>
      <sheetData sheetId="11">
        <row r="1">
          <cell r="C1" t="str">
            <v>製品名称</v>
          </cell>
          <cell r="D1" t="str">
            <v>品名コード</v>
          </cell>
          <cell r="E1" t="str">
            <v>消費電力</v>
          </cell>
          <cell r="F1" t="str">
            <v>Max消費電力</v>
          </cell>
        </row>
        <row r="2">
          <cell r="C2" t="str">
            <v>Express5800/i110Rc-1h(Co2/2G(2))</v>
          </cell>
          <cell r="D2" t="str">
            <v>N8100-1378Y</v>
          </cell>
          <cell r="E2">
            <v>73</v>
          </cell>
          <cell r="F2">
            <v>136</v>
          </cell>
        </row>
        <row r="3">
          <cell r="C3" t="str">
            <v>Express5800/i110Rc-1h(C2D/2.16G(4))</v>
          </cell>
          <cell r="D3" t="str">
            <v>N8100-1379Y</v>
          </cell>
          <cell r="E3">
            <v>93</v>
          </cell>
          <cell r="F3">
            <v>156</v>
          </cell>
        </row>
        <row r="4">
          <cell r="C4" t="str">
            <v>Express5800/110Rc-1h(Co2/2G(2))</v>
          </cell>
          <cell r="D4" t="str">
            <v>N8100-1380Y</v>
          </cell>
          <cell r="E4">
            <v>73</v>
          </cell>
          <cell r="F4">
            <v>136</v>
          </cell>
          <cell r="G4" t="str">
            <v>CPU_chk</v>
          </cell>
        </row>
        <row r="5">
          <cell r="C5" t="str">
            <v>Express5800/120Rh-1(XD/1.86G(6))2.5”ディスクモデル</v>
          </cell>
          <cell r="D5" t="str">
            <v>N8100-1388</v>
          </cell>
          <cell r="E5">
            <v>170</v>
          </cell>
          <cell r="F5">
            <v>590</v>
          </cell>
          <cell r="G5" t="str">
            <v>N8101-379</v>
          </cell>
        </row>
        <row r="6">
          <cell r="C6" t="str">
            <v>Express5800/120Rh-1(XD/3.33G(6))2.5”ディスクモデル</v>
          </cell>
          <cell r="D6" t="str">
            <v>N8100-1389</v>
          </cell>
          <cell r="E6">
            <v>230</v>
          </cell>
          <cell r="F6">
            <v>620</v>
          </cell>
          <cell r="G6" t="str">
            <v>N8101-380</v>
          </cell>
        </row>
        <row r="7">
          <cell r="C7" t="str">
            <v>Express5800/120Rh-1(XQ/2G(2x6))2.5”ディスクモデル</v>
          </cell>
          <cell r="D7" t="str">
            <v>N8100-1390</v>
          </cell>
          <cell r="E7">
            <v>165</v>
          </cell>
          <cell r="F7">
            <v>620</v>
          </cell>
          <cell r="G7" t="str">
            <v>N8101-381</v>
          </cell>
        </row>
        <row r="8">
          <cell r="C8" t="str">
            <v>Express5800/120Rh-1(XQ/2.50G(2x6))2.5”ディスクモデル</v>
          </cell>
          <cell r="D8" t="str">
            <v>N8100-1391</v>
          </cell>
          <cell r="E8">
            <v>180</v>
          </cell>
          <cell r="F8">
            <v>620</v>
          </cell>
          <cell r="G8" t="str">
            <v>N8101-382</v>
          </cell>
        </row>
        <row r="9">
          <cell r="C9" t="str">
            <v>Express5800/120Rh-1(XQ/3G(2x6))2.5”ディスクモデル</v>
          </cell>
          <cell r="D9" t="str">
            <v>N8100-1438</v>
          </cell>
          <cell r="E9">
            <v>225</v>
          </cell>
          <cell r="F9">
            <v>700</v>
          </cell>
          <cell r="G9" t="str">
            <v>N8101-403</v>
          </cell>
        </row>
        <row r="10">
          <cell r="C10" t="str">
            <v>Express5800/120Rh-1(XQ/3.16G(2x6))2.5”ディスクモデル</v>
          </cell>
          <cell r="D10" t="str">
            <v>N8100-1392</v>
          </cell>
          <cell r="E10">
            <v>230</v>
          </cell>
          <cell r="F10">
            <v>700</v>
          </cell>
          <cell r="G10" t="str">
            <v>N8101-383</v>
          </cell>
        </row>
        <row r="11">
          <cell r="C11" t="str">
            <v>Express5800/120Rh-1(XD/1.86G(6))3.5"ディスクモデル</v>
          </cell>
          <cell r="D11" t="str">
            <v>N8100-1394</v>
          </cell>
          <cell r="E11">
            <v>150</v>
          </cell>
          <cell r="F11">
            <v>590</v>
          </cell>
          <cell r="G11" t="str">
            <v>N8101-379</v>
          </cell>
        </row>
        <row r="12">
          <cell r="C12" t="str">
            <v>Express5800/120Rh-1(XD/3.33G(6))3.5"ディスクモデル</v>
          </cell>
          <cell r="D12" t="str">
            <v>N8100-1395</v>
          </cell>
          <cell r="E12">
            <v>220</v>
          </cell>
          <cell r="F12">
            <v>620</v>
          </cell>
          <cell r="G12" t="str">
            <v>N8101-380</v>
          </cell>
        </row>
        <row r="13">
          <cell r="C13" t="str">
            <v>Express5800/120Rh-1(XQ/2G(2x6))3.5"ディスクモデル</v>
          </cell>
          <cell r="D13" t="str">
            <v>N8100-1396</v>
          </cell>
          <cell r="E13">
            <v>155</v>
          </cell>
          <cell r="F13">
            <v>620</v>
          </cell>
          <cell r="G13" t="str">
            <v>N8101-381</v>
          </cell>
        </row>
        <row r="14">
          <cell r="C14" t="str">
            <v>Express5800/120Rh-1(XQ/2.50G(2x6))3.5"ディスクモデル</v>
          </cell>
          <cell r="D14" t="str">
            <v>N8100-1397</v>
          </cell>
          <cell r="E14">
            <v>170</v>
          </cell>
          <cell r="F14">
            <v>620</v>
          </cell>
          <cell r="G14" t="str">
            <v>N8101-382</v>
          </cell>
        </row>
        <row r="15">
          <cell r="C15" t="str">
            <v>Express5800/120Rh-1(XQ/3G(2x6))3.5"ディスクモデル</v>
          </cell>
          <cell r="D15" t="str">
            <v>N8100-1439</v>
          </cell>
          <cell r="E15">
            <v>215</v>
          </cell>
          <cell r="F15">
            <v>700</v>
          </cell>
          <cell r="G15" t="str">
            <v>N8101-403</v>
          </cell>
        </row>
        <row r="16">
          <cell r="C16" t="str">
            <v>Express5800/120Rｈ-1(XQ/3.16G(2x6))3.5"ディスクモデル</v>
          </cell>
          <cell r="D16" t="str">
            <v>N8100-1398</v>
          </cell>
          <cell r="E16">
            <v>220</v>
          </cell>
          <cell r="F16">
            <v>700</v>
          </cell>
          <cell r="G16" t="str">
            <v>N8101-383</v>
          </cell>
        </row>
        <row r="17">
          <cell r="C17" t="str">
            <v>Express5800/120Rh-1(XD/1.86G(6))3.5"ディスク非冗長電源モデル</v>
          </cell>
          <cell r="D17" t="str">
            <v>N8100-1401</v>
          </cell>
          <cell r="E17">
            <v>150</v>
          </cell>
          <cell r="F17">
            <v>590</v>
          </cell>
          <cell r="G17" t="str">
            <v>N8101-379</v>
          </cell>
        </row>
        <row r="18">
          <cell r="C18" t="str">
            <v>Express5800/120Rh-1(XD/3.33G(6))非冗長電源モデル</v>
          </cell>
          <cell r="D18" t="str">
            <v>N8100-1402</v>
          </cell>
          <cell r="E18">
            <v>160</v>
          </cell>
          <cell r="F18">
            <v>620</v>
          </cell>
          <cell r="G18" t="str">
            <v>N8101-380</v>
          </cell>
        </row>
        <row r="19">
          <cell r="C19" t="str">
            <v>Express5800/120Rｈ-1(XQ/3.16G(2x6))非冗長電源モデル</v>
          </cell>
          <cell r="D19" t="str">
            <v>N8100-1405</v>
          </cell>
          <cell r="E19">
            <v>215</v>
          </cell>
          <cell r="F19">
            <v>700</v>
          </cell>
          <cell r="G19" t="str">
            <v>N8101-383</v>
          </cell>
        </row>
        <row r="20">
          <cell r="C20" t="str">
            <v>Express5800/120Rｊ-2(XD/1.86G(6))</v>
          </cell>
          <cell r="D20" t="str">
            <v>N8100-1408</v>
          </cell>
          <cell r="E20">
            <v>165</v>
          </cell>
          <cell r="F20">
            <v>760</v>
          </cell>
          <cell r="G20" t="str">
            <v>N8101-384</v>
          </cell>
        </row>
        <row r="21">
          <cell r="C21" t="str">
            <v>Express5800/120Rj-2(XD/3.33G(6))</v>
          </cell>
          <cell r="D21" t="str">
            <v>N8100-1409</v>
          </cell>
          <cell r="E21">
            <v>215</v>
          </cell>
          <cell r="F21">
            <v>790</v>
          </cell>
          <cell r="G21" t="str">
            <v>N8101-385</v>
          </cell>
        </row>
        <row r="22">
          <cell r="C22" t="str">
            <v>Express5800/120Rj-2(XQ/2G(2x6))</v>
          </cell>
          <cell r="D22" t="str">
            <v>N8100-1410</v>
          </cell>
          <cell r="E22">
            <v>155</v>
          </cell>
          <cell r="F22">
            <v>790</v>
          </cell>
          <cell r="G22" t="str">
            <v>N8101-386</v>
          </cell>
        </row>
        <row r="23">
          <cell r="C23" t="str">
            <v>Express5800/120Rj-2(XQ/2.50G(2x6))</v>
          </cell>
          <cell r="D23" t="str">
            <v>N8100-1411</v>
          </cell>
          <cell r="E23">
            <v>165</v>
          </cell>
          <cell r="F23">
            <v>790</v>
          </cell>
          <cell r="G23" t="str">
            <v>N8101-387</v>
          </cell>
        </row>
        <row r="24">
          <cell r="C24" t="str">
            <v>Express5800/120Rj-2(XQ/3G(2x6))</v>
          </cell>
          <cell r="D24" t="str">
            <v>N8100-1440</v>
          </cell>
          <cell r="E24">
            <v>215</v>
          </cell>
          <cell r="F24">
            <v>870</v>
          </cell>
          <cell r="G24" t="str">
            <v>N8101-404</v>
          </cell>
        </row>
        <row r="25">
          <cell r="C25" t="str">
            <v>Express5800/120Rj-2(XQ/3.16G(2x6))</v>
          </cell>
          <cell r="D25" t="str">
            <v>N8100-1412</v>
          </cell>
          <cell r="E25">
            <v>235</v>
          </cell>
          <cell r="F25">
            <v>870</v>
          </cell>
          <cell r="G25" t="str">
            <v>N8101-388</v>
          </cell>
        </row>
        <row r="26">
          <cell r="C26" t="str">
            <v>Express5800/140Rf-4（XQ/2.4G(2x4M))</v>
          </cell>
          <cell r="D26" t="str">
            <v>N8100-1364</v>
          </cell>
          <cell r="E26">
            <v>280</v>
          </cell>
          <cell r="F26">
            <v>1568</v>
          </cell>
          <cell r="G26" t="str">
            <v>N8101-376</v>
          </cell>
        </row>
        <row r="27">
          <cell r="C27" t="str">
            <v>Express5800/140Rf-4（XQ/2.93G(2x4M))</v>
          </cell>
          <cell r="D27" t="str">
            <v>N8100-1365</v>
          </cell>
          <cell r="E27">
            <v>370</v>
          </cell>
          <cell r="F27">
            <v>1764</v>
          </cell>
          <cell r="G27" t="str">
            <v>N8101-377</v>
          </cell>
        </row>
        <row r="28">
          <cell r="C28" t="str">
            <v>Express5800/i120Ra-e1 (XQ/L2.33G(2x6))</v>
          </cell>
          <cell r="D28" t="str">
            <v>N8100-1452Y</v>
          </cell>
          <cell r="E28">
            <v>100</v>
          </cell>
          <cell r="F28">
            <v>300</v>
          </cell>
          <cell r="G28" t="str">
            <v>N8101-410</v>
          </cell>
        </row>
        <row r="29">
          <cell r="C29" t="str">
            <v xml:space="preserve">Express5800/i120Ra-e1 (XD/L3G(6)) </v>
          </cell>
          <cell r="D29" t="str">
            <v>N8100-1453Y</v>
          </cell>
          <cell r="E29">
            <v>125</v>
          </cell>
          <cell r="F29">
            <v>335</v>
          </cell>
          <cell r="G29" t="str">
            <v>N8101-411</v>
          </cell>
        </row>
        <row r="30">
          <cell r="C30" t="str">
            <v>Express5800/i120Ra-e1 (XD/UL1.60G(6))</v>
          </cell>
          <cell r="D30" t="str">
            <v>N8100-1454Y</v>
          </cell>
          <cell r="E30">
            <v>105</v>
          </cell>
          <cell r="F30">
            <v>300</v>
          </cell>
          <cell r="G30" t="str">
            <v>N8101-412</v>
          </cell>
        </row>
        <row r="31">
          <cell r="C31" t="str">
            <v>Express5800/110Ri-1(PDC/1.80G(1))</v>
          </cell>
          <cell r="D31" t="str">
            <v>N8100-1429</v>
          </cell>
          <cell r="E31">
            <v>85</v>
          </cell>
          <cell r="F31">
            <v>205</v>
          </cell>
        </row>
        <row r="32">
          <cell r="C32" t="str">
            <v>Express5800/110Ri-1(XD/2.33G(4))</v>
          </cell>
          <cell r="D32" t="str">
            <v>N8100-1430</v>
          </cell>
          <cell r="E32">
            <v>113</v>
          </cell>
          <cell r="F32">
            <v>233</v>
          </cell>
        </row>
        <row r="33">
          <cell r="C33" t="str">
            <v>Express5800/110Ri-1(XQ/2.66G(2x6))</v>
          </cell>
          <cell r="D33" t="str">
            <v>N8100-1431</v>
          </cell>
          <cell r="E33">
            <v>93</v>
          </cell>
          <cell r="F33">
            <v>240</v>
          </cell>
        </row>
        <row r="34">
          <cell r="C34" t="str">
            <v>Express5800/110Ri-1(XD/3G(6))</v>
          </cell>
          <cell r="D34" t="str">
            <v>N8100-1450</v>
          </cell>
          <cell r="E34">
            <v>120</v>
          </cell>
          <cell r="F34">
            <v>213</v>
          </cell>
        </row>
        <row r="35">
          <cell r="C35" t="str">
            <v>DC-XeonプロセッサーE5205(1.86G)_1U用</v>
          </cell>
          <cell r="D35" t="str">
            <v>N8101-379</v>
          </cell>
          <cell r="E35">
            <v>60</v>
          </cell>
        </row>
        <row r="36">
          <cell r="C36" t="str">
            <v>DC-XeonプロセッサーX5260(3.33G)_1U用</v>
          </cell>
          <cell r="D36" t="str">
            <v>N8101-380</v>
          </cell>
          <cell r="E36">
            <v>90</v>
          </cell>
        </row>
        <row r="37">
          <cell r="C37" t="str">
            <v>QC-XeonプロセッサーE5405(2G)_1U用</v>
          </cell>
          <cell r="D37" t="str">
            <v>N8101-381</v>
          </cell>
          <cell r="E37">
            <v>55</v>
          </cell>
        </row>
        <row r="38">
          <cell r="C38" t="str">
            <v>QC-XeonプロセッサーE5420(2.50G)_1U用</v>
          </cell>
          <cell r="D38" t="str">
            <v>N8101-382</v>
          </cell>
          <cell r="E38">
            <v>60</v>
          </cell>
        </row>
        <row r="39">
          <cell r="C39" t="str">
            <v>QC-XeonプロセッサーX5450(3G)_1U用</v>
          </cell>
          <cell r="D39" t="str">
            <v>N8101-403</v>
          </cell>
          <cell r="E39">
            <v>95</v>
          </cell>
        </row>
        <row r="40">
          <cell r="C40" t="str">
            <v>QC-XeonプロセッサーX5460(3.16G)_1U用</v>
          </cell>
          <cell r="D40" t="str">
            <v>N8101-383</v>
          </cell>
          <cell r="E40">
            <v>115</v>
          </cell>
        </row>
        <row r="41">
          <cell r="C41" t="str">
            <v>DC-XeonプロセッサーE5205(1.86G)_2U用</v>
          </cell>
          <cell r="D41" t="str">
            <v>N8101-384</v>
          </cell>
          <cell r="E41">
            <v>60</v>
          </cell>
        </row>
        <row r="42">
          <cell r="C42" t="str">
            <v>DC-XeonプロセッサーX5260(3.33G)_2U用</v>
          </cell>
          <cell r="D42" t="str">
            <v>N8101-385</v>
          </cell>
          <cell r="E42">
            <v>90</v>
          </cell>
        </row>
        <row r="43">
          <cell r="C43" t="str">
            <v>QC-XeonプロセッサーE5405(2G)_2U用</v>
          </cell>
          <cell r="D43" t="str">
            <v>N8101-386</v>
          </cell>
          <cell r="E43">
            <v>55</v>
          </cell>
        </row>
        <row r="44">
          <cell r="C44" t="str">
            <v>QC-XeonプロセッサーE5420(2.50G)_2U用</v>
          </cell>
          <cell r="D44" t="str">
            <v>N8101-387</v>
          </cell>
          <cell r="E44">
            <v>60</v>
          </cell>
        </row>
        <row r="45">
          <cell r="C45" t="str">
            <v>QC-XeonプロセッサーX5450(3G)_2U用</v>
          </cell>
          <cell r="D45" t="str">
            <v>N8101-404</v>
          </cell>
          <cell r="E45">
            <v>90</v>
          </cell>
        </row>
        <row r="46">
          <cell r="C46" t="str">
            <v>QC-XeonプロセッサーX5460(3.16G)_2U用</v>
          </cell>
          <cell r="D46" t="str">
            <v>N8101-388</v>
          </cell>
          <cell r="E46">
            <v>130</v>
          </cell>
        </row>
        <row r="47">
          <cell r="C47" t="str">
            <v>QC-MP　XeonプロセッサーE7205(2.40G)用</v>
          </cell>
          <cell r="D47" t="str">
            <v>N8101-376</v>
          </cell>
          <cell r="E47">
            <v>80</v>
          </cell>
        </row>
        <row r="48">
          <cell r="C48" t="str">
            <v>QC-MP　XeonプロセッサーX7350(2.93G)用</v>
          </cell>
          <cell r="D48" t="str">
            <v>N8101-377</v>
          </cell>
          <cell r="E48">
            <v>170</v>
          </cell>
        </row>
        <row r="49">
          <cell r="C49" t="str">
            <v>QC XeonプロセッサーL5410(2.33G)用</v>
          </cell>
          <cell r="D49" t="str">
            <v>N8101-410</v>
          </cell>
          <cell r="E49">
            <v>50</v>
          </cell>
        </row>
        <row r="50">
          <cell r="C50" t="str">
            <v>DC XeonプロセッサーL5240(3G)用</v>
          </cell>
          <cell r="D50" t="str">
            <v>N8101-411</v>
          </cell>
          <cell r="E50">
            <v>60</v>
          </cell>
        </row>
        <row r="51">
          <cell r="C51" t="str">
            <v>DC XeonプロセッサーL5215(1.60G)用</v>
          </cell>
          <cell r="D51" t="str">
            <v>N8101-412</v>
          </cell>
          <cell r="E51">
            <v>40</v>
          </cell>
        </row>
        <row r="52">
          <cell r="C52" t="str">
            <v>512MB増設メモリ_110Ri-1用</v>
          </cell>
          <cell r="D52" t="str">
            <v>N8102-300</v>
          </cell>
          <cell r="E52">
            <v>6</v>
          </cell>
        </row>
        <row r="53">
          <cell r="C53" t="str">
            <v>1GB増設メモリ_110Ri-1用</v>
          </cell>
          <cell r="D53" t="str">
            <v>N8102-301</v>
          </cell>
          <cell r="E53">
            <v>6</v>
          </cell>
        </row>
        <row r="54">
          <cell r="C54" t="str">
            <v>2GB増設メモリ_110Ri-1用</v>
          </cell>
          <cell r="D54" t="str">
            <v>N8102-302</v>
          </cell>
          <cell r="E54">
            <v>8</v>
          </cell>
        </row>
        <row r="55">
          <cell r="C55" t="str">
            <v>512MB増設メモリ_1way用</v>
          </cell>
          <cell r="D55" t="str">
            <v>N8102-285</v>
          </cell>
          <cell r="E55">
            <v>4</v>
          </cell>
        </row>
        <row r="56">
          <cell r="C56" t="str">
            <v>1GB増設メモリ_1way用</v>
          </cell>
          <cell r="D56" t="str">
            <v>N8102-286</v>
          </cell>
          <cell r="E56">
            <v>4</v>
          </cell>
        </row>
        <row r="57">
          <cell r="C57" t="str">
            <v>2GB増設メモリ_1way用</v>
          </cell>
          <cell r="D57" t="str">
            <v>N8102-287</v>
          </cell>
          <cell r="E57">
            <v>5</v>
          </cell>
        </row>
        <row r="58">
          <cell r="C58" t="str">
            <v>1GB増設メモリ_2way用</v>
          </cell>
          <cell r="D58" t="str">
            <v>N8102-309</v>
          </cell>
          <cell r="E58">
            <v>18</v>
          </cell>
        </row>
        <row r="59">
          <cell r="C59" t="str">
            <v>2GB増設メモリ_2way用</v>
          </cell>
          <cell r="D59" t="str">
            <v>N8102-310</v>
          </cell>
          <cell r="E59">
            <v>19</v>
          </cell>
        </row>
        <row r="60">
          <cell r="C60" t="str">
            <v>4GB増設メモリ_2way用</v>
          </cell>
          <cell r="D60" t="str">
            <v>N8102-311</v>
          </cell>
          <cell r="E60">
            <v>20</v>
          </cell>
        </row>
        <row r="61">
          <cell r="C61" t="str">
            <v>8GB増設メモリ_2way用</v>
          </cell>
          <cell r="D61" t="str">
            <v>N8102-312</v>
          </cell>
          <cell r="E61">
            <v>23</v>
          </cell>
        </row>
        <row r="62">
          <cell r="C62" t="str">
            <v>1GB増設メモリ_i120Ra-e1用</v>
          </cell>
          <cell r="D62" t="str">
            <v>N8102-306</v>
          </cell>
          <cell r="E62">
            <v>18</v>
          </cell>
        </row>
        <row r="63">
          <cell r="C63" t="str">
            <v>2GB増設メモリ_i120Ra-e1用</v>
          </cell>
          <cell r="D63" t="str">
            <v>N8102-307</v>
          </cell>
          <cell r="E63">
            <v>19</v>
          </cell>
        </row>
        <row r="64">
          <cell r="C64" t="str">
            <v>4GB増設メモリ_i120Ra-e1用</v>
          </cell>
          <cell r="D64" t="str">
            <v>N8102-308</v>
          </cell>
          <cell r="E64">
            <v>20</v>
          </cell>
        </row>
        <row r="65">
          <cell r="C65" t="str">
            <v>8GB増設メモリ_i120Ra-e1用</v>
          </cell>
          <cell r="D65" t="str">
            <v>N8102-321</v>
          </cell>
          <cell r="E65">
            <v>23</v>
          </cell>
        </row>
        <row r="66">
          <cell r="C66" t="str">
            <v>メモリバックボード</v>
          </cell>
          <cell r="D66" t="str">
            <v>N8102-296</v>
          </cell>
          <cell r="E66">
            <v>10</v>
          </cell>
        </row>
        <row r="67">
          <cell r="C67" t="str">
            <v>2GB増設メモリ_4way用</v>
          </cell>
          <cell r="D67" t="str">
            <v>N8102-297</v>
          </cell>
          <cell r="E67">
            <v>19</v>
          </cell>
        </row>
        <row r="68">
          <cell r="C68" t="str">
            <v>4GB増設メモリ_4way用</v>
          </cell>
          <cell r="D68" t="str">
            <v>N8102-298</v>
          </cell>
          <cell r="E68">
            <v>20</v>
          </cell>
        </row>
        <row r="69">
          <cell r="C69" t="str">
            <v>8GB増設メモリ_4way用</v>
          </cell>
          <cell r="D69" t="str">
            <v>N8102-299</v>
          </cell>
          <cell r="E69">
            <v>24</v>
          </cell>
        </row>
        <row r="70">
          <cell r="C70" t="str">
            <v>増設用80GB（3.5"SATA）</v>
          </cell>
          <cell r="D70" t="str">
            <v>N8150-207A</v>
          </cell>
          <cell r="E70">
            <v>14</v>
          </cell>
        </row>
        <row r="71">
          <cell r="C71" t="str">
            <v>増設用160GB（3.5"SATA）</v>
          </cell>
          <cell r="D71" t="str">
            <v>N8150-208A</v>
          </cell>
          <cell r="E71">
            <v>14</v>
          </cell>
        </row>
        <row r="72">
          <cell r="C72" t="str">
            <v>増設用250GB（3.5"SATA）</v>
          </cell>
          <cell r="D72" t="str">
            <v>N8150-209A</v>
          </cell>
          <cell r="E72">
            <v>14</v>
          </cell>
        </row>
        <row r="73">
          <cell r="C73" t="str">
            <v>増設用500GB（3.5"SATA）</v>
          </cell>
          <cell r="D73" t="str">
            <v>N8150-229</v>
          </cell>
          <cell r="E73">
            <v>14</v>
          </cell>
        </row>
        <row r="74">
          <cell r="C74" t="str">
            <v>増設用750GB（3.5"SATA）</v>
          </cell>
          <cell r="D74" t="str">
            <v>N8150-237</v>
          </cell>
          <cell r="E74">
            <v>14</v>
          </cell>
        </row>
        <row r="75">
          <cell r="C75" t="str">
            <v>増設用250GB（3.5"SATA）(120Rj-2)</v>
          </cell>
          <cell r="D75" t="str">
            <v>N8150-247</v>
          </cell>
          <cell r="E75">
            <v>14</v>
          </cell>
        </row>
        <row r="76">
          <cell r="C76" t="str">
            <v>増設用500GB（3.5"SATA）(120Rj-2)</v>
          </cell>
          <cell r="D76" t="str">
            <v>N8150-229</v>
          </cell>
          <cell r="E76">
            <v>14</v>
          </cell>
        </row>
        <row r="77">
          <cell r="C77" t="str">
            <v>増設用750GB（3.5"SATA）(120Rj-2)</v>
          </cell>
          <cell r="D77" t="str">
            <v>N8150-237</v>
          </cell>
          <cell r="E77">
            <v>14</v>
          </cell>
        </row>
        <row r="78">
          <cell r="C78" t="str">
            <v>増設用36.3GB（3.5"SAS）</v>
          </cell>
          <cell r="D78" t="str">
            <v>N8150-199</v>
          </cell>
          <cell r="E78">
            <v>18</v>
          </cell>
        </row>
        <row r="79">
          <cell r="C79" t="str">
            <v>増設用73.2GB（3.5"SAS）</v>
          </cell>
          <cell r="D79" t="str">
            <v>N8150-200</v>
          </cell>
          <cell r="E79">
            <v>18</v>
          </cell>
        </row>
        <row r="80">
          <cell r="C80" t="str">
            <v>増設用146.5GB（3.5"SAS）</v>
          </cell>
          <cell r="D80" t="str">
            <v>N8150-201</v>
          </cell>
          <cell r="E80">
            <v>18</v>
          </cell>
        </row>
        <row r="81">
          <cell r="C81" t="str">
            <v>増設用300GB（3.5"SAS）</v>
          </cell>
          <cell r="D81" t="str">
            <v>N8150-226</v>
          </cell>
          <cell r="E81">
            <v>18</v>
          </cell>
        </row>
        <row r="82">
          <cell r="C82" t="str">
            <v>増設用36.3GB（2.5"SAS）10K</v>
          </cell>
          <cell r="D82" t="str">
            <v>N8150-219</v>
          </cell>
          <cell r="E82">
            <v>9</v>
          </cell>
        </row>
        <row r="83">
          <cell r="C83" t="str">
            <v>増設用73.2GB（2.5"SAS）10K</v>
          </cell>
          <cell r="D83" t="str">
            <v>N8150-220</v>
          </cell>
          <cell r="E83">
            <v>9</v>
          </cell>
        </row>
        <row r="84">
          <cell r="C84" t="str">
            <v>増設用146.5GB（2.5"SAS）10K</v>
          </cell>
          <cell r="D84" t="str">
            <v>N8150-228</v>
          </cell>
          <cell r="E84">
            <v>9</v>
          </cell>
        </row>
        <row r="85">
          <cell r="C85" t="str">
            <v>増設用36.3GB（2.5"SAS）15K</v>
          </cell>
          <cell r="D85" t="str">
            <v>N8150-240</v>
          </cell>
          <cell r="E85">
            <v>9</v>
          </cell>
        </row>
        <row r="86">
          <cell r="C86" t="str">
            <v>増設用73.2GB（2.5"SAS）15K</v>
          </cell>
          <cell r="D86" t="str">
            <v>N8150-241</v>
          </cell>
          <cell r="E86">
            <v>9</v>
          </cell>
        </row>
        <row r="87">
          <cell r="C87" t="str">
            <v>増設用73.2GB（2.5"SAS）10K(140Rf-4)</v>
          </cell>
          <cell r="D87" t="str">
            <v>N8150-235</v>
          </cell>
          <cell r="E87">
            <v>9</v>
          </cell>
        </row>
        <row r="88">
          <cell r="C88" t="str">
            <v>増設用146.5GB（2.5"SAS）10K(140Rf-4)</v>
          </cell>
          <cell r="D88" t="str">
            <v>N8150-236</v>
          </cell>
          <cell r="E88">
            <v>9</v>
          </cell>
        </row>
        <row r="89">
          <cell r="C89" t="str">
            <v>増設用36.3GB（2.5"SAS）15K(140Rf-4)</v>
          </cell>
          <cell r="D89" t="str">
            <v>N8150-243</v>
          </cell>
          <cell r="E89">
            <v>9</v>
          </cell>
        </row>
        <row r="90">
          <cell r="C90" t="str">
            <v>増設用73.2GB（2.5"SAS）15K(140Rf-4)</v>
          </cell>
          <cell r="D90" t="str">
            <v>N8150-244</v>
          </cell>
          <cell r="E90">
            <v>9</v>
          </cell>
        </row>
        <row r="91">
          <cell r="C91" t="str">
            <v>SASコントローラ</v>
          </cell>
          <cell r="D91" t="str">
            <v>N8103-104</v>
          </cell>
          <cell r="E91">
            <v>4</v>
          </cell>
        </row>
        <row r="92">
          <cell r="C92" t="str">
            <v>SASディスクアレイコントローラ</v>
          </cell>
          <cell r="D92" t="str">
            <v>N8103-105</v>
          </cell>
          <cell r="E92">
            <v>15</v>
          </cell>
        </row>
        <row r="93">
          <cell r="C93" t="str">
            <v>LANカード</v>
          </cell>
          <cell r="D93" t="str">
            <v>LAN</v>
          </cell>
          <cell r="E93">
            <v>10</v>
          </cell>
        </row>
        <row r="94">
          <cell r="C94" t="str">
            <v>SCSIントローラ</v>
          </cell>
          <cell r="D94" t="str">
            <v>SCSI HBA</v>
          </cell>
          <cell r="E94">
            <v>10</v>
          </cell>
        </row>
        <row r="95">
          <cell r="C95" t="str">
            <v>SASコントローラ</v>
          </cell>
          <cell r="D95" t="str">
            <v>SAS HBA</v>
          </cell>
          <cell r="E95">
            <v>10</v>
          </cell>
        </row>
        <row r="96">
          <cell r="C96" t="str">
            <v>RAIDコントローラ</v>
          </cell>
          <cell r="D96" t="str">
            <v>DAC</v>
          </cell>
          <cell r="E96">
            <v>20</v>
          </cell>
        </row>
        <row r="97">
          <cell r="C97" t="str">
            <v>FCコントローラ</v>
          </cell>
          <cell r="D97" t="str">
            <v>FC</v>
          </cell>
          <cell r="E97">
            <v>16</v>
          </cell>
        </row>
        <row r="98">
          <cell r="C98" t="str">
            <v>その他PCI</v>
          </cell>
          <cell r="D98" t="str">
            <v>PCI</v>
          </cell>
          <cell r="E98">
            <v>15</v>
          </cell>
        </row>
        <row r="99">
          <cell r="C99" t="str">
            <v>冗長電源_1U用</v>
          </cell>
          <cell r="D99" t="str">
            <v>N8181-50</v>
          </cell>
          <cell r="E99">
            <v>35</v>
          </cell>
        </row>
        <row r="100">
          <cell r="C100" t="str">
            <v>冗長電源_2U用</v>
          </cell>
          <cell r="D100" t="str">
            <v>N8181-49</v>
          </cell>
          <cell r="E100">
            <v>40</v>
          </cell>
        </row>
        <row r="101">
          <cell r="C101" t="str">
            <v>なし</v>
          </cell>
          <cell r="D101" t="str">
            <v>-</v>
          </cell>
          <cell r="E101">
            <v>0</v>
          </cell>
        </row>
        <row r="102">
          <cell r="C102" t="str">
            <v>バックアップデバイス</v>
          </cell>
          <cell r="D102" t="str">
            <v>INT_TAPE</v>
          </cell>
          <cell r="E102">
            <v>40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社員リスト"/>
      <sheetName val="商品リスト"/>
      <sheetName val="表紙"/>
      <sheetName val="確認書"/>
      <sheetName val="IPO"/>
      <sheetName val="汎用M"/>
      <sheetName val="ﾃﾞｰﾀ項目"/>
      <sheetName val="編集"/>
      <sheetName val="画面遷移"/>
      <sheetName val="画面レ"/>
      <sheetName val="画面機能"/>
      <sheetName val="画面項目"/>
      <sheetName val="UT"/>
      <sheetName val="UTﾊﾟﾀｰﾝ"/>
      <sheetName val="別紙用"/>
      <sheetName val="別紙用 (2)"/>
      <sheetName val="Sheet2"/>
      <sheetName val="Sheet1"/>
      <sheetName val="Sheet3"/>
      <sheetName val="変更履歴"/>
      <sheetName val="TABLE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入力ﾁｪｯｸ"/>
      <sheetName val="ÐõXg"/>
      <sheetName val="機能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COMMON"/>
      <sheetName val="(ﾍｯﾀﾞ)"/>
      <sheetName val="kna1"/>
      <sheetName val="knb1"/>
      <sheetName val="テストデータ記述2"/>
      <sheetName val="Employee Info"/>
      <sheetName val="Product and Service Catalog"/>
      <sheetName val="品目DB"/>
      <sheetName val="#REF"/>
      <sheetName val="レポートレイアウト"/>
      <sheetName val="ドキュメント一覧・変更履歴"/>
      <sheetName val="日付ﾃｰﾌﾞﾙ"/>
      <sheetName val="ŽÐˆõƒŠƒXƒg"/>
      <sheetName val="１．InfoCube (YKCH0010) 案２"/>
      <sheetName val="１．InfoCube (YKCH0010)案１"/>
      <sheetName val="工数Worksheet"/>
      <sheetName val="Program List"/>
      <sheetName val="trans_at"/>
      <sheetName val="画面項目¨ｱｲﾃﾑｵｰﾀﾞ)"/>
      <sheetName val="画面項目(癸手先ｵｰﾀﾞ)"/>
      <sheetName val="テスト仕様書兼報告書表紙"/>
      <sheetName val="単体テスト仕様書 "/>
      <sheetName val="IK輸入LC残高移行ﾃﾞｰﾀ実行前"/>
      <sheetName val="IK輸入LC残高移行ﾃﾞｰﾀ実行後"/>
      <sheetName val="移行結果リスト"/>
      <sheetName val="他者名義変換表"/>
      <sheetName val="実行ログ"/>
      <sheetName val="設計書一覧"/>
      <sheetName val="改訂履歴"/>
      <sheetName val="機能概要 "/>
      <sheetName val="入出力関連図"/>
      <sheetName val="処理機能記述書"/>
      <sheetName val="処理機能記述書 (2)"/>
      <sheetName val="画面遷移図"/>
      <sheetName val="画面レイアウト (１)"/>
      <sheetName val="画面項目定義書 (１)"/>
      <sheetName val="画面レイアウト (2)"/>
      <sheetName val="画面項目定義書 (2)"/>
      <sheetName val="画面レイアウト（3）"/>
      <sheetName val="画面項目定義書（3）"/>
      <sheetName val="入力定義書(BGR00)"/>
      <sheetName val="入力定義書 (BBKPF)"/>
      <sheetName val="入力定義書 (ZBSEG)"/>
      <sheetName val="入力定義書 (BBTAX)"/>
      <sheetName val="汎用紙"/>
      <sheetName val="全般の記載ルール"/>
      <sheetName val="PCLパターン一覧"/>
      <sheetName val="1.選択条件画面レイアウト"/>
      <sheetName val="2-1.入力チェック(通常項目)"/>
      <sheetName val="3-1.データ抽出(前提条件無)"/>
      <sheetName val="3-2.データチェック（必須チェック）"/>
      <sheetName val="3-3-1.データチェック(存在チェック)"/>
      <sheetName val="3-3-1.データチェック(存在チェック2)"/>
      <sheetName val="3-3-1.データチェック(存在チェック3)"/>
      <sheetName val="3-3-1.データチェック(その他)"/>
      <sheetName val="3-3-1.データチェック(演算)"/>
      <sheetName val="3-3-2.更新処理-出力処理"/>
      <sheetName val="6.出力ファイルレイアウト"/>
      <sheetName val="7.更新結果(YMAK0390)"/>
      <sheetName val="7.更新結果(YMAK0450)"/>
      <sheetName val="7.更新結果(バッチインプット)"/>
      <sheetName val="10.終了処理"/>
      <sheetName val="出力結果添付1(終了処理)"/>
      <sheetName val="出力結果添付2(EDI処理)"/>
      <sheetName val="出力結果添付3(更新結果)"/>
      <sheetName val="出力結果添付4(入力データ)"/>
      <sheetName val="EKKO"/>
      <sheetName val="EKPO"/>
      <sheetName val="MARC"/>
      <sheetName val="MDBS"/>
      <sheetName val="EKET"/>
      <sheetName val="2.入力チェック"/>
      <sheetName val="3-1.データ抽出(前提条件無)20050203追加"/>
      <sheetName val="3-2.データ抽出(前提条件有)"/>
      <sheetName val="4.データ集約・集計"/>
      <sheetName val="5.その他出力項目の抽出"/>
      <sheetName val="6.データ更新"/>
      <sheetName val="7.標準原価の少数点以下5桁対応"/>
      <sheetName val="テスト結果添付 2004.12.9"/>
      <sheetName val="テスト結果添付 2004.12.14"/>
      <sheetName val="テスト結果添付1 2005.02.03"/>
      <sheetName val="出力結果添付2 2005.02.03"/>
      <sheetName val="エビデンス(単一価格データ)"/>
      <sheetName val="DV02-A01_表紙"/>
      <sheetName val="DV02-A02ドキュメント一覧・変更履歴"/>
      <sheetName val="DV02-A03基本仕様"/>
      <sheetName val="DV02-A05処理概要"/>
      <sheetName val="DV02-A06設計詳細"/>
      <sheetName val="A07処理内容補足説明書（検索条件説明書）"/>
      <sheetName val="アクション一覧"/>
      <sheetName val="ユースケース一覧"/>
      <sheetName val="画面一覧"/>
      <sheetName val="メニュー"/>
      <sheetName val="本日分一覧"/>
      <sheetName val="書類種別一覧"/>
      <sheetName val="一覧"/>
      <sheetName val="検索結果一覧"/>
      <sheetName val="詳細"/>
      <sheetName val="詳細A1"/>
      <sheetName val="登録"/>
      <sheetName val="登録A2"/>
      <sheetName val="登録確認"/>
      <sheetName val="登録確認A3"/>
      <sheetName val="登録完了"/>
      <sheetName val="削除確認"/>
      <sheetName val="削除確認A4"/>
      <sheetName val="削除完了"/>
      <sheetName val="変更"/>
      <sheetName val="変更A5"/>
      <sheetName val="変更確認"/>
      <sheetName val="変更確認A6"/>
      <sheetName val="変更完了"/>
      <sheetName val="修正"/>
      <sheetName val="修正A7"/>
      <sheetName val="修正確認"/>
      <sheetName val="修正確認A8"/>
      <sheetName val="修正完了"/>
      <sheetName val="強制削除"/>
      <sheetName val="強制削除確認"/>
      <sheetName val="強制削除確認A9"/>
      <sheetName val="強制削除完了"/>
      <sheetName val="基本情報一覧"/>
      <sheetName val="基本情報設定詳細"/>
      <sheetName val="基本情報設定"/>
      <sheetName val="基本情報確認"/>
      <sheetName val="基本情報完了"/>
      <sheetName val="検索"/>
      <sheetName val="定期掲載日時一覧"/>
      <sheetName val="提供書類DB"/>
      <sheetName val="画面フロー"/>
      <sheetName val="画面定義"/>
      <sheetName val="文書履歴"/>
      <sheetName val="表紙 "/>
      <sheetName val="_REF"/>
      <sheetName val="問い合わせ票"/>
      <sheetName val="問い合わせ票 (中文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Master)当社職員単価ランク"/>
      <sheetName val="(Master)パートナー要員単価ランク"/>
      <sheetName val="(Master)組織"/>
      <sheetName val="(Master)組織コード"/>
      <sheetName val="(Master)品目コード,原価要素"/>
      <sheetName val="(Master)支払条件"/>
      <sheetName val="(Master)請求サイクル"/>
      <sheetName val="(Master)単位コード"/>
      <sheetName val="(Master)商品分類"/>
      <sheetName val="(Master)業務分類"/>
      <sheetName val="(Master)WBSコード一覧"/>
      <sheetName val="(Master）住所変換"/>
      <sheetName val="表紙"/>
      <sheetName val="原価内訳（委任）"/>
      <sheetName val="見積書（委任）"/>
      <sheetName val="見積書（委任）別紙１"/>
      <sheetName val="見積書（委任）別紙２"/>
      <sheetName val="注文書(委任）"/>
      <sheetName val="注文請書(委任）"/>
      <sheetName val="チェックシート(委任）"/>
      <sheetName val="受注伝票"/>
      <sheetName val="計画登録"/>
      <sheetName val="プロジェクトWBS"/>
      <sheetName val="発注伝票"/>
      <sheetName val="【マスタ】テーブル用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【各シートへのリンク】"/>
      <sheetName val="改版履歴"/>
      <sheetName val="注意事項"/>
      <sheetName val="システム【システム構成】"/>
      <sheetName val="サーバー【システム構成】"/>
      <sheetName val="サーバー間接続【システム構成】"/>
      <sheetName val="コンタクトセンターグループ【グループ管理】"/>
      <sheetName val="管理者【ユーザー管理】"/>
      <sheetName val="CCV編集【システム構成】"/>
      <sheetName val="パイロット【システム構成】"/>
      <sheetName val="トランク【システム構成】"/>
      <sheetName val="ACD内線【システム構成】"/>
      <sheetName val="オフィス内線【システム構成】"/>
      <sheetName val="ダイヤルイン【システム構成】"/>
      <sheetName val="エージェントグループ【グループ管理】"/>
      <sheetName val="エージェント【ユーザー管理】"/>
      <sheetName val="受付グループ【グループ管理】"/>
      <sheetName val="エージェント統計グループ【グループ管理】"/>
      <sheetName val="受付統計グループ【グループ管理】"/>
      <sheetName val="パイロット統計グループ【グループ管理】"/>
      <sheetName val="エージェントグループ_スーパーバイザー【グループ割当】"/>
      <sheetName val="エージェントグループ_受付グループ【グループ割当】"/>
      <sheetName val="エージェント統計グループ_エージェント【グループ割当】"/>
      <sheetName val="受付統計グループ_受付グループ【グループ割当】"/>
      <sheetName val="パイロット統計グループ_パイロット【グループ割当】"/>
      <sheetName val="統計情報蓄積期間編集【Reporter】"/>
      <sheetName val="離席理由設定【Reporter】"/>
      <sheetName val="CCVStep一覧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cense"/>
      <sheetName val="Sheet1"/>
      <sheetName val="Sheet2"/>
      <sheetName val="Sheet3"/>
      <sheetName val="Sheet4"/>
      <sheetName val="図"/>
    </sheetNames>
    <sheetDataSet>
      <sheetData sheetId="0" refreshError="1"/>
      <sheetData sheetId="1" refreshError="1"/>
      <sheetData sheetId="2">
        <row r="156">
          <cell r="B156">
            <v>1</v>
          </cell>
        </row>
      </sheetData>
      <sheetData sheetId="3" refreshError="1"/>
      <sheetData sheetId="4">
        <row r="3">
          <cell r="A3">
            <v>1</v>
          </cell>
        </row>
      </sheetData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ディクショナリ"/>
      <sheetName val="テーブル定義"/>
      <sheetName val="テーブル一覧"/>
      <sheetName val="テーブル見積り"/>
      <sheetName val="ｲﾝﾃﾞｯｸｽ見積り"/>
      <sheetName val="色々ﾎﾞﾀﾝ"/>
      <sheetName val="MakeSqlRtn"/>
      <sheetName val="Module1"/>
      <sheetName val="MakeTrig"/>
    </sheetNames>
    <sheetDataSet>
      <sheetData sheetId="0" refreshError="1">
        <row r="2">
          <cell r="B2" t="str">
            <v>心臓財団派遣先</v>
          </cell>
          <cell r="C2">
            <v>0</v>
          </cell>
          <cell r="D2" t="str">
            <v>CHAR</v>
          </cell>
          <cell r="E2">
            <v>22</v>
          </cell>
          <cell r="F2">
            <v>0</v>
          </cell>
        </row>
        <row r="3">
          <cell r="B3" t="str">
            <v>BYL支店ｺｰﾄﾞ</v>
          </cell>
          <cell r="C3">
            <v>0</v>
          </cell>
          <cell r="D3" t="str">
            <v>CHAR</v>
          </cell>
          <cell r="E3">
            <v>3</v>
          </cell>
          <cell r="F3">
            <v>0</v>
          </cell>
        </row>
        <row r="4">
          <cell r="B4" t="str">
            <v>BYL施設ｺｰﾄﾞ</v>
          </cell>
          <cell r="C4">
            <v>0</v>
          </cell>
          <cell r="D4" t="str">
            <v>CHAR</v>
          </cell>
          <cell r="E4">
            <v>7</v>
          </cell>
          <cell r="F4">
            <v>0</v>
          </cell>
          <cell r="G4">
            <v>0</v>
          </cell>
        </row>
        <row r="5">
          <cell r="B5" t="str">
            <v>BYL助成金年度</v>
          </cell>
          <cell r="D5" t="str">
            <v>CHAR</v>
          </cell>
          <cell r="E5">
            <v>4</v>
          </cell>
          <cell r="F5">
            <v>0</v>
          </cell>
          <cell r="G5">
            <v>0</v>
          </cell>
        </row>
        <row r="6">
          <cell r="B6" t="str">
            <v>DCF施設ｺｰﾄﾞ</v>
          </cell>
          <cell r="C6">
            <v>0</v>
          </cell>
          <cell r="D6" t="str">
            <v>CHAR</v>
          </cell>
          <cell r="E6">
            <v>7</v>
          </cell>
          <cell r="F6">
            <v>0</v>
          </cell>
          <cell r="G6">
            <v>0</v>
          </cell>
        </row>
        <row r="7">
          <cell r="B7" t="str">
            <v>DCF役職ｺｰﾄﾞ</v>
          </cell>
          <cell r="C7">
            <v>0</v>
          </cell>
          <cell r="D7" t="str">
            <v>CHAR</v>
          </cell>
          <cell r="E7">
            <v>3</v>
          </cell>
          <cell r="F7">
            <v>0</v>
          </cell>
          <cell r="G7">
            <v>0</v>
          </cell>
        </row>
        <row r="8">
          <cell r="B8" t="str">
            <v>DCF役職名</v>
          </cell>
          <cell r="C8">
            <v>0</v>
          </cell>
          <cell r="D8" t="str">
            <v>VARCHAR2</v>
          </cell>
          <cell r="E8">
            <v>8</v>
          </cell>
          <cell r="F8">
            <v>0</v>
          </cell>
          <cell r="G8">
            <v>0</v>
          </cell>
        </row>
        <row r="9">
          <cell r="B9" t="str">
            <v>FAX番号</v>
          </cell>
          <cell r="C9">
            <v>0</v>
          </cell>
          <cell r="D9" t="str">
            <v>CHAR</v>
          </cell>
          <cell r="E9">
            <v>15</v>
          </cell>
          <cell r="F9">
            <v>0</v>
          </cell>
          <cell r="G9">
            <v>0</v>
          </cell>
        </row>
        <row r="10">
          <cell r="B10" t="str">
            <v>IMS薬効ｺｰﾄﾞ</v>
          </cell>
          <cell r="C10">
            <v>0</v>
          </cell>
          <cell r="D10" t="str">
            <v>CHAR</v>
          </cell>
          <cell r="E10">
            <v>5</v>
          </cell>
          <cell r="F10">
            <v>0</v>
          </cell>
          <cell r="G10">
            <v>0</v>
          </cell>
        </row>
        <row r="11">
          <cell r="B11" t="str">
            <v>JFDW品目ｺｰﾄﾞ</v>
          </cell>
          <cell r="C11">
            <v>0</v>
          </cell>
          <cell r="D11" t="str">
            <v>CHAR</v>
          </cell>
          <cell r="E11">
            <v>6</v>
          </cell>
          <cell r="F11">
            <v>0</v>
          </cell>
          <cell r="G11">
            <v>0</v>
          </cell>
        </row>
        <row r="12">
          <cell r="B12" t="str">
            <v>当月当期計画金額</v>
          </cell>
          <cell r="C12">
            <v>0</v>
          </cell>
          <cell r="D12" t="str">
            <v>NUMBER</v>
          </cell>
          <cell r="E12">
            <v>11</v>
          </cell>
          <cell r="F12">
            <v>0</v>
          </cell>
          <cell r="G12" t="str">
            <v>単位：千円（半期計画）</v>
          </cell>
        </row>
        <row r="13">
          <cell r="B13" t="str">
            <v>当月当期計画軒数</v>
          </cell>
          <cell r="C13">
            <v>0</v>
          </cell>
          <cell r="D13" t="str">
            <v>NUMBER</v>
          </cell>
          <cell r="E13">
            <v>7</v>
          </cell>
          <cell r="F13">
            <v>0</v>
          </cell>
        </row>
        <row r="14">
          <cell r="B14" t="str">
            <v>前月当期計画金額</v>
          </cell>
          <cell r="C14">
            <v>0</v>
          </cell>
          <cell r="D14" t="str">
            <v>NUMBER</v>
          </cell>
          <cell r="E14">
            <v>11</v>
          </cell>
          <cell r="F14">
            <v>0</v>
          </cell>
          <cell r="G14" t="str">
            <v>単位：千円（半期計画）</v>
          </cell>
        </row>
        <row r="15">
          <cell r="B15" t="str">
            <v>前月当期計画軒数</v>
          </cell>
          <cell r="C15">
            <v>0</v>
          </cell>
          <cell r="D15" t="str">
            <v>NUMBER</v>
          </cell>
          <cell r="E15">
            <v>7</v>
          </cell>
          <cell r="F15">
            <v>0</v>
          </cell>
        </row>
        <row r="16">
          <cell r="B16" t="str">
            <v>当月荷離金額</v>
          </cell>
          <cell r="C16">
            <v>0</v>
          </cell>
          <cell r="D16" t="str">
            <v>NUMBER</v>
          </cell>
          <cell r="E16">
            <v>9</v>
          </cell>
          <cell r="F16">
            <v>0</v>
          </cell>
          <cell r="G16" t="str">
            <v>単位：千円</v>
          </cell>
        </row>
        <row r="17">
          <cell r="B17" t="str">
            <v>前月荷離金額</v>
          </cell>
          <cell r="C17">
            <v>0</v>
          </cell>
          <cell r="D17" t="str">
            <v>NUMBER</v>
          </cell>
          <cell r="E17">
            <v>9</v>
          </cell>
          <cell r="F17">
            <v>0</v>
          </cell>
          <cell r="G17" t="str">
            <v>単位：千円</v>
          </cell>
        </row>
        <row r="18">
          <cell r="B18" t="str">
            <v>当月累積金額</v>
          </cell>
          <cell r="C18">
            <v>0</v>
          </cell>
          <cell r="D18" t="str">
            <v>NUMBER</v>
          </cell>
          <cell r="E18">
            <v>11</v>
          </cell>
          <cell r="F18">
            <v>0</v>
          </cell>
          <cell r="G18" t="str">
            <v>単位：千円（半期累計）</v>
          </cell>
        </row>
        <row r="19">
          <cell r="B19" t="str">
            <v>前月累積金額</v>
          </cell>
          <cell r="C19">
            <v>0</v>
          </cell>
          <cell r="D19" t="str">
            <v>NUMBER</v>
          </cell>
          <cell r="E19">
            <v>11</v>
          </cell>
          <cell r="F19">
            <v>0</v>
          </cell>
        </row>
        <row r="20">
          <cell r="B20" t="str">
            <v>当月軒数</v>
          </cell>
          <cell r="C20">
            <v>0</v>
          </cell>
          <cell r="D20" t="str">
            <v>NUMBER</v>
          </cell>
          <cell r="E20">
            <v>7</v>
          </cell>
          <cell r="F20">
            <v>0</v>
          </cell>
        </row>
        <row r="21">
          <cell r="B21" t="str">
            <v>前月軒数</v>
          </cell>
          <cell r="C21">
            <v>0</v>
          </cell>
          <cell r="D21" t="str">
            <v>NUMBER</v>
          </cell>
          <cell r="E21">
            <v>7</v>
          </cell>
          <cell r="F21">
            <v>0</v>
          </cell>
        </row>
        <row r="22">
          <cell r="B22" t="str">
            <v>当月累積軒数</v>
          </cell>
          <cell r="C22">
            <v>0</v>
          </cell>
          <cell r="D22" t="str">
            <v>NUMBER</v>
          </cell>
          <cell r="E22">
            <v>7</v>
          </cell>
          <cell r="F22">
            <v>0</v>
          </cell>
          <cell r="G22" t="str">
            <v>（半期間の軒数）</v>
          </cell>
        </row>
        <row r="23">
          <cell r="B23" t="str">
            <v>前月累積軒数</v>
          </cell>
          <cell r="C23">
            <v>0</v>
          </cell>
          <cell r="D23" t="str">
            <v>NUMBER</v>
          </cell>
          <cell r="E23">
            <v>7</v>
          </cell>
          <cell r="F23">
            <v>0</v>
          </cell>
          <cell r="G23" t="str">
            <v>（半期間の軒数）</v>
          </cell>
        </row>
        <row r="24">
          <cell r="B24" t="str">
            <v>ｵﾋﾟﾆｵﾝ医師ﾗﾝｸ</v>
          </cell>
          <cell r="C24">
            <v>0</v>
          </cell>
          <cell r="D24" t="str">
            <v>CHAR</v>
          </cell>
          <cell r="E24">
            <v>1</v>
          </cell>
          <cell r="F24">
            <v>0</v>
          </cell>
          <cell r="G24">
            <v>0</v>
          </cell>
        </row>
        <row r="25">
          <cell r="B25" t="str">
            <v>ｵﾋﾟﾆｵﾝ品目1</v>
          </cell>
          <cell r="C25">
            <v>0</v>
          </cell>
          <cell r="D25" t="str">
            <v>CHAR</v>
          </cell>
          <cell r="E25">
            <v>1</v>
          </cell>
          <cell r="F25">
            <v>0</v>
          </cell>
          <cell r="G25">
            <v>0</v>
          </cell>
        </row>
        <row r="26">
          <cell r="B26" t="str">
            <v>ｵﾋﾟﾆｵﾝ品目2</v>
          </cell>
          <cell r="C26">
            <v>0</v>
          </cell>
          <cell r="D26" t="str">
            <v>CHAR</v>
          </cell>
          <cell r="E26">
            <v>1</v>
          </cell>
          <cell r="F26">
            <v>0</v>
          </cell>
          <cell r="G26">
            <v>0</v>
          </cell>
        </row>
        <row r="27">
          <cell r="B27" t="str">
            <v>ｵﾋﾟﾆｵﾝ品目3</v>
          </cell>
          <cell r="C27">
            <v>0</v>
          </cell>
          <cell r="D27" t="str">
            <v>CHAR</v>
          </cell>
          <cell r="E27">
            <v>1</v>
          </cell>
          <cell r="F27">
            <v>0</v>
          </cell>
          <cell r="G27">
            <v>0</v>
          </cell>
        </row>
        <row r="28">
          <cell r="B28" t="str">
            <v>ｶﾃｺﾞﾘｰ</v>
          </cell>
          <cell r="D28" t="str">
            <v>CHAR</v>
          </cell>
          <cell r="E28">
            <v>1</v>
          </cell>
          <cell r="F28">
            <v>0</v>
          </cell>
          <cell r="G28" t="str">
            <v>'CL':ｺｰﾙ/('DT':ﾃﾞｨﾃｰﾙ)/'MT':会合/'MM':行事(ﾒﾓ)/'C3':ｺｰﾙｻﾏﾘｰ/'DQ':ﾃﾞｨﾃｰﾙｸｫｰﾀｻﾏﾘｰ/'DY':ﾃﾞｨﾃｰﾙ通年ｻﾏﾘｰ</v>
          </cell>
        </row>
        <row r="29">
          <cell r="B29" t="str">
            <v>ｸﾞﾙｰﾌﾟ名漢字</v>
          </cell>
          <cell r="C29">
            <v>0</v>
          </cell>
          <cell r="D29" t="str">
            <v>VARCHAR2</v>
          </cell>
          <cell r="E29">
            <v>10</v>
          </cell>
          <cell r="F29">
            <v>0</v>
          </cell>
          <cell r="G29">
            <v>0</v>
          </cell>
        </row>
        <row r="30">
          <cell r="B30" t="str">
            <v>ｺｰﾙ回数</v>
          </cell>
          <cell r="C30">
            <v>0</v>
          </cell>
          <cell r="D30" t="str">
            <v>NUMBER</v>
          </cell>
          <cell r="E30">
            <v>4</v>
          </cell>
          <cell r="F30">
            <v>0</v>
          </cell>
          <cell r="G30">
            <v>0</v>
          </cell>
        </row>
        <row r="31">
          <cell r="B31" t="str">
            <v>ｺｰﾙ回数前3ヶ月</v>
          </cell>
          <cell r="C31">
            <v>0</v>
          </cell>
          <cell r="D31" t="str">
            <v>NUMBER</v>
          </cell>
          <cell r="E31">
            <v>4</v>
          </cell>
          <cell r="F31">
            <v>0</v>
          </cell>
          <cell r="G31">
            <v>0</v>
          </cell>
        </row>
        <row r="32">
          <cell r="B32" t="str">
            <v>ｺｰﾙ回数当3ヶ月</v>
          </cell>
          <cell r="C32">
            <v>0</v>
          </cell>
          <cell r="D32" t="str">
            <v>NUMBER</v>
          </cell>
          <cell r="E32">
            <v>4</v>
          </cell>
          <cell r="F32">
            <v>0</v>
          </cell>
          <cell r="G32">
            <v>0</v>
          </cell>
        </row>
        <row r="33">
          <cell r="B33" t="str">
            <v>ｺｰﾙ計画月平均</v>
          </cell>
          <cell r="C33">
            <v>0</v>
          </cell>
          <cell r="D33" t="str">
            <v>NUMBER</v>
          </cell>
          <cell r="E33">
            <v>4</v>
          </cell>
          <cell r="F33">
            <v>0</v>
          </cell>
          <cell r="G33">
            <v>0</v>
          </cell>
        </row>
        <row r="34">
          <cell r="B34" t="str">
            <v>ｺﾒﾝﾄ</v>
          </cell>
          <cell r="D34" t="str">
            <v>VARCHAR2</v>
          </cell>
          <cell r="E34">
            <v>30</v>
          </cell>
        </row>
        <row r="35">
          <cell r="B35" t="str">
            <v>施設住所ｶﾅ</v>
          </cell>
          <cell r="C35">
            <v>0</v>
          </cell>
          <cell r="D35" t="str">
            <v>VARCHAR2</v>
          </cell>
          <cell r="E35">
            <v>60</v>
          </cell>
          <cell r="F35">
            <v>0</v>
          </cell>
          <cell r="G35">
            <v>0</v>
          </cell>
        </row>
        <row r="36">
          <cell r="B36" t="str">
            <v>ｽﾃｲﾀｽ・開業予定ﾌﾗｸﾞ</v>
          </cell>
          <cell r="C36">
            <v>0</v>
          </cell>
          <cell r="D36" t="str">
            <v>CHAR</v>
          </cell>
          <cell r="E36">
            <v>1</v>
          </cell>
          <cell r="F36">
            <v>0</v>
          </cell>
          <cell r="G36">
            <v>0</v>
          </cell>
        </row>
        <row r="37">
          <cell r="B37" t="str">
            <v>ｽﾃｲﾀｽ・休院ﾌﾗｸﾞ</v>
          </cell>
          <cell r="C37">
            <v>0</v>
          </cell>
          <cell r="D37" t="str">
            <v>CHAR</v>
          </cell>
          <cell r="E37">
            <v>1</v>
          </cell>
          <cell r="F37">
            <v>0</v>
          </cell>
          <cell r="G37">
            <v>0</v>
          </cell>
        </row>
        <row r="38">
          <cell r="B38" t="str">
            <v>ｽﾃｲﾀｽ・再審査ﾌﾗｸﾞ</v>
          </cell>
          <cell r="C38">
            <v>0</v>
          </cell>
          <cell r="D38" t="str">
            <v>CHAR</v>
          </cell>
          <cell r="E38">
            <v>1</v>
          </cell>
          <cell r="F38">
            <v>0</v>
          </cell>
          <cell r="G38">
            <v>0</v>
          </cell>
        </row>
        <row r="39">
          <cell r="B39" t="str">
            <v>ｽﾃｲﾀｽ・削除予定ﾌﾗｸﾞ</v>
          </cell>
          <cell r="C39">
            <v>0</v>
          </cell>
          <cell r="D39" t="str">
            <v>CHAR</v>
          </cell>
          <cell r="E39">
            <v>1</v>
          </cell>
          <cell r="F39">
            <v>0</v>
          </cell>
          <cell r="G39">
            <v>0</v>
          </cell>
        </row>
        <row r="40">
          <cell r="B40" t="str">
            <v>ｽﾃｲﾀｽ・住所不明</v>
          </cell>
          <cell r="C40">
            <v>0</v>
          </cell>
          <cell r="D40" t="str">
            <v>CHAR</v>
          </cell>
          <cell r="E40">
            <v>1</v>
          </cell>
          <cell r="F40">
            <v>0</v>
          </cell>
          <cell r="G40">
            <v>0</v>
          </cell>
        </row>
        <row r="41">
          <cell r="B41" t="str">
            <v>ｽﾃｲﾀｽ・病棟閉鎖</v>
          </cell>
          <cell r="C41">
            <v>0</v>
          </cell>
          <cell r="D41" t="str">
            <v>CHAR</v>
          </cell>
          <cell r="E41">
            <v>1</v>
          </cell>
          <cell r="F41">
            <v>0</v>
          </cell>
          <cell r="G41">
            <v>0</v>
          </cell>
        </row>
        <row r="42">
          <cell r="B42" t="str">
            <v>ｽﾃｲﾀｽ07</v>
          </cell>
          <cell r="C42">
            <v>0</v>
          </cell>
          <cell r="D42" t="str">
            <v>CHAR</v>
          </cell>
          <cell r="E42">
            <v>1</v>
          </cell>
          <cell r="F42">
            <v>0</v>
          </cell>
          <cell r="G42">
            <v>0</v>
          </cell>
        </row>
        <row r="43">
          <cell r="B43" t="str">
            <v>ｽﾃｲﾀｽ08</v>
          </cell>
          <cell r="C43">
            <v>0</v>
          </cell>
          <cell r="D43" t="str">
            <v>CHAR</v>
          </cell>
          <cell r="E43">
            <v>1</v>
          </cell>
          <cell r="F43">
            <v>0</v>
          </cell>
          <cell r="G43">
            <v>0</v>
          </cell>
        </row>
        <row r="44">
          <cell r="B44" t="str">
            <v>ｽﾃｲﾀｽ09</v>
          </cell>
          <cell r="C44">
            <v>0</v>
          </cell>
          <cell r="D44" t="str">
            <v>CHAR</v>
          </cell>
          <cell r="E44">
            <v>1</v>
          </cell>
          <cell r="F44">
            <v>0</v>
          </cell>
          <cell r="G44">
            <v>0</v>
          </cell>
        </row>
        <row r="45">
          <cell r="B45" t="str">
            <v>ｽﾃｲﾀｽ10</v>
          </cell>
          <cell r="C45">
            <v>0</v>
          </cell>
          <cell r="D45" t="str">
            <v>CHAR</v>
          </cell>
          <cell r="E45">
            <v>1</v>
          </cell>
          <cell r="F45">
            <v>0</v>
          </cell>
          <cell r="G45">
            <v>0</v>
          </cell>
        </row>
        <row r="46">
          <cell r="B46" t="str">
            <v>前年実績金額</v>
          </cell>
          <cell r="D46" t="str">
            <v>NUMBER</v>
          </cell>
          <cell r="E46">
            <v>11</v>
          </cell>
          <cell r="F46">
            <v>0</v>
          </cell>
        </row>
        <row r="47">
          <cell r="B47" t="str">
            <v>前年実績本数</v>
          </cell>
          <cell r="D47" t="str">
            <v>NUMBER</v>
          </cell>
          <cell r="E47">
            <v>8</v>
          </cell>
          <cell r="F47">
            <v>0</v>
          </cell>
        </row>
        <row r="48">
          <cell r="B48" t="str">
            <v>その他訪問規制情報</v>
          </cell>
          <cell r="D48" t="str">
            <v>VARCHAR2</v>
          </cell>
          <cell r="E48">
            <v>256</v>
          </cell>
        </row>
        <row r="49">
          <cell r="B49" t="str">
            <v>その他老人病院ﾌﾗｸﾞ</v>
          </cell>
          <cell r="D49" t="str">
            <v>CHAR</v>
          </cell>
          <cell r="E49">
            <v>1</v>
          </cell>
          <cell r="F49">
            <v>0</v>
          </cell>
        </row>
        <row r="50">
          <cell r="B50" t="str">
            <v>ﾀｰｹﾞｯﾄ品目</v>
          </cell>
          <cell r="C50">
            <v>0</v>
          </cell>
          <cell r="D50" t="str">
            <v>CHAR</v>
          </cell>
          <cell r="E50">
            <v>2</v>
          </cell>
          <cell r="F50">
            <v>0</v>
          </cell>
          <cell r="G50" t="str">
            <v>ﾀｰｹﾞｯﾄ品目のみ略称(2桁)を登録。未登録：ﾌﾞﾗﾝｸ＆NULL</v>
          </cell>
        </row>
        <row r="51">
          <cell r="B51" t="str">
            <v>ﾀｰｹﾞｯﾄ品目ｺｰﾄﾞ</v>
          </cell>
          <cell r="C51">
            <v>0</v>
          </cell>
          <cell r="D51" t="str">
            <v>CHAR</v>
          </cell>
          <cell r="E51">
            <v>11</v>
          </cell>
          <cell r="F51">
            <v>0</v>
          </cell>
          <cell r="G51" t="str">
            <v>=品目ﾌﾞﾚｲｸ集計ｺｰﾄﾞ</v>
          </cell>
        </row>
        <row r="52">
          <cell r="B52" t="str">
            <v>ﾀｰｹﾞｯﾄ品目表示</v>
          </cell>
          <cell r="C52">
            <v>0</v>
          </cell>
          <cell r="D52" t="str">
            <v>VARCHAR2</v>
          </cell>
          <cell r="E52">
            <v>15</v>
          </cell>
          <cell r="F52">
            <v>0</v>
          </cell>
          <cell r="G52" t="str">
            <v>ﾀｰｹﾞｯﾄ品目の略称(2桁)をｶﾝﾏ区切りで登録。</v>
          </cell>
        </row>
        <row r="53">
          <cell r="B53" t="str">
            <v>ﾀｲﾄﾙ</v>
          </cell>
          <cell r="D53" t="str">
            <v>VARCHAR2</v>
          </cell>
          <cell r="E53">
            <v>40</v>
          </cell>
        </row>
        <row r="54">
          <cell r="B54" t="str">
            <v>ﾃﾞｨﾃｰﾙ回数  ：</v>
          </cell>
          <cell r="C54">
            <v>0</v>
          </cell>
          <cell r="D54" t="str">
            <v>NUMBER</v>
          </cell>
          <cell r="E54">
            <v>28</v>
          </cell>
          <cell r="F54">
            <v>0</v>
          </cell>
          <cell r="G54">
            <v>0</v>
          </cell>
        </row>
        <row r="55">
          <cell r="B55" t="str">
            <v>ﾃﾞｨﾃｰﾙ回数  ：.</v>
          </cell>
          <cell r="C55">
            <v>0</v>
          </cell>
          <cell r="D55" t="str">
            <v>NUMBER</v>
          </cell>
          <cell r="E55">
            <v>4</v>
          </cell>
          <cell r="F55">
            <v>0</v>
          </cell>
          <cell r="G55">
            <v>0</v>
          </cell>
        </row>
        <row r="56">
          <cell r="B56" t="str">
            <v>ﾃﾞｨﾃｰﾙ回数 01月</v>
          </cell>
          <cell r="C56">
            <v>0</v>
          </cell>
          <cell r="D56" t="str">
            <v>NUMBER</v>
          </cell>
          <cell r="E56">
            <v>4</v>
          </cell>
          <cell r="F56">
            <v>0</v>
          </cell>
          <cell r="G56">
            <v>0</v>
          </cell>
        </row>
        <row r="57">
          <cell r="B57" t="str">
            <v>ﾃﾞｨﾃｰﾙ回数 02月</v>
          </cell>
          <cell r="C57">
            <v>0</v>
          </cell>
          <cell r="D57" t="str">
            <v>NUMBER</v>
          </cell>
          <cell r="E57">
            <v>4</v>
          </cell>
          <cell r="F57">
            <v>0</v>
          </cell>
          <cell r="G57">
            <v>0</v>
          </cell>
        </row>
        <row r="58">
          <cell r="B58" t="str">
            <v>ﾃﾞｨﾃｰﾙ回数 03月</v>
          </cell>
          <cell r="C58">
            <v>0</v>
          </cell>
          <cell r="D58" t="str">
            <v>NUMBER</v>
          </cell>
          <cell r="E58">
            <v>4</v>
          </cell>
          <cell r="F58">
            <v>0</v>
          </cell>
          <cell r="G58">
            <v>0</v>
          </cell>
        </row>
        <row r="59">
          <cell r="B59" t="str">
            <v>ﾃﾞｨﾃｰﾙ回数 12月</v>
          </cell>
          <cell r="C59">
            <v>0</v>
          </cell>
          <cell r="D59" t="str">
            <v>NUMBER</v>
          </cell>
          <cell r="E59">
            <v>4</v>
          </cell>
          <cell r="F59">
            <v>0</v>
          </cell>
          <cell r="G59">
            <v>0</v>
          </cell>
        </row>
        <row r="60">
          <cell r="B60" t="str">
            <v>ﾃﾞｨﾃｰﾙ回数（ﾀｰｹﾞｯﾄDr）</v>
          </cell>
          <cell r="C60">
            <v>0</v>
          </cell>
          <cell r="D60" t="str">
            <v>NUMBER</v>
          </cell>
          <cell r="E60">
            <v>4</v>
          </cell>
          <cell r="F60">
            <v>0</v>
          </cell>
          <cell r="G60">
            <v>0</v>
          </cell>
        </row>
        <row r="61">
          <cell r="B61" t="str">
            <v>ﾃﾞｨﾃｰﾙ回数（全Dr）</v>
          </cell>
          <cell r="C61">
            <v>0</v>
          </cell>
          <cell r="D61" t="str">
            <v>NUMBER</v>
          </cell>
          <cell r="E61">
            <v>4</v>
          </cell>
          <cell r="F61">
            <v>0</v>
          </cell>
          <cell r="G61">
            <v>0</v>
          </cell>
        </row>
        <row r="62">
          <cell r="B62" t="str">
            <v>ﾃﾞｰﾀ区分</v>
          </cell>
          <cell r="D62" t="str">
            <v>CHAR</v>
          </cell>
          <cell r="E62">
            <v>1</v>
          </cell>
          <cell r="F62">
            <v>0</v>
          </cell>
          <cell r="G62" t="str">
            <v>1:計画 / 2:実績</v>
          </cell>
        </row>
        <row r="63">
          <cell r="B63" t="str">
            <v>ﾃﾞｰﾀ年</v>
          </cell>
          <cell r="C63">
            <v>0</v>
          </cell>
          <cell r="D63" t="str">
            <v>CHAR</v>
          </cell>
          <cell r="E63">
            <v>4</v>
          </cell>
          <cell r="F63">
            <v>0</v>
          </cell>
          <cell r="G63">
            <v>0</v>
          </cell>
        </row>
        <row r="64">
          <cell r="B64" t="str">
            <v>ﾃﾞｰﾀ年・期</v>
          </cell>
          <cell r="D64" t="str">
            <v>CHAR</v>
          </cell>
          <cell r="E64">
            <v>5</v>
          </cell>
          <cell r="F64">
            <v>0</v>
          </cell>
          <cell r="G64" t="str">
            <v>yyyyk　　　k ： 1=上期/2=下期</v>
          </cell>
        </row>
        <row r="65">
          <cell r="B65" t="str">
            <v>ﾃﾞｰﾀ年月</v>
          </cell>
          <cell r="C65">
            <v>0</v>
          </cell>
          <cell r="D65" t="str">
            <v>CHAR</v>
          </cell>
          <cell r="E65">
            <v>6</v>
          </cell>
          <cell r="F65">
            <v>0</v>
          </cell>
          <cell r="G65">
            <v>0</v>
          </cell>
        </row>
        <row r="66">
          <cell r="B66" t="str">
            <v>当期累計金額</v>
          </cell>
          <cell r="D66" t="str">
            <v>NUMBER</v>
          </cell>
          <cell r="E66">
            <v>11</v>
          </cell>
          <cell r="F66">
            <v>0</v>
          </cell>
        </row>
        <row r="67">
          <cell r="B67" t="str">
            <v>当期累計本数</v>
          </cell>
          <cell r="D67" t="str">
            <v>NUMBER</v>
          </cell>
          <cell r="E67">
            <v>8</v>
          </cell>
          <cell r="F67">
            <v>0</v>
          </cell>
        </row>
        <row r="68">
          <cell r="B68" t="str">
            <v>ﾄﾞｸﾀｰ反応</v>
          </cell>
          <cell r="D68" t="str">
            <v>VARCHAR2</v>
          </cell>
          <cell r="E68">
            <v>1024</v>
          </cell>
        </row>
        <row r="69">
          <cell r="B69" t="str">
            <v>備考</v>
          </cell>
          <cell r="D69" t="str">
            <v>VARCHAR2</v>
          </cell>
          <cell r="E69">
            <v>1024</v>
          </cell>
          <cell r="F69">
            <v>0</v>
          </cell>
          <cell r="G69">
            <v>0</v>
          </cell>
        </row>
        <row r="70">
          <cell r="B70" t="str">
            <v>ﾌﾞﾘｯｸ略名</v>
          </cell>
          <cell r="D70" t="str">
            <v>VARCHAR2</v>
          </cell>
          <cell r="E70">
            <v>50</v>
          </cell>
          <cell r="F70">
            <v>0</v>
          </cell>
          <cell r="G70" t="str">
            <v>ﾌﾞﾘｯｸｺｰﾄﾞの表示名称</v>
          </cell>
        </row>
        <row r="71">
          <cell r="B71" t="str">
            <v>医師ｺｰﾄﾞ</v>
          </cell>
          <cell r="C71">
            <v>0</v>
          </cell>
          <cell r="D71" t="str">
            <v>CHAR</v>
          </cell>
          <cell r="E71">
            <v>6</v>
          </cell>
          <cell r="F71">
            <v>0</v>
          </cell>
          <cell r="G71">
            <v>0</v>
          </cell>
        </row>
        <row r="72">
          <cell r="B72" t="str">
            <v>医師ﾗﾝｸ</v>
          </cell>
          <cell r="C72">
            <v>0</v>
          </cell>
          <cell r="D72" t="str">
            <v>CHAR</v>
          </cell>
          <cell r="E72">
            <v>1</v>
          </cell>
          <cell r="F72">
            <v>0</v>
          </cell>
          <cell r="G72" t="str">
            <v>'K':ｷｰDr./'T':ﾀｰｹﾞｯﾄDr.</v>
          </cell>
        </row>
        <row r="73">
          <cell r="B73" t="str">
            <v>医師医師名</v>
          </cell>
          <cell r="D73" t="str">
            <v>VARCHAR2</v>
          </cell>
          <cell r="E73">
            <v>42</v>
          </cell>
          <cell r="F73">
            <v>0</v>
          </cell>
        </row>
        <row r="74">
          <cell r="B74" t="str">
            <v>医師会ｺｰﾄﾞ</v>
          </cell>
          <cell r="C74">
            <v>0</v>
          </cell>
          <cell r="D74" t="str">
            <v>CHAR</v>
          </cell>
          <cell r="E74">
            <v>2</v>
          </cell>
          <cell r="F74">
            <v>0</v>
          </cell>
          <cell r="G74">
            <v>0</v>
          </cell>
        </row>
        <row r="75">
          <cell r="B75" t="str">
            <v>医師削除予定理由</v>
          </cell>
          <cell r="C75">
            <v>0</v>
          </cell>
          <cell r="D75" t="str">
            <v>VARCHAR2</v>
          </cell>
          <cell r="E75">
            <v>40</v>
          </cell>
          <cell r="F75">
            <v>0</v>
          </cell>
          <cell r="G75">
            <v>0</v>
          </cell>
        </row>
        <row r="76">
          <cell r="B76" t="str">
            <v>医師削除予定理由ｺｰﾄﾞ</v>
          </cell>
          <cell r="C76">
            <v>0</v>
          </cell>
          <cell r="D76" t="str">
            <v>CHAR</v>
          </cell>
          <cell r="E76">
            <v>1</v>
          </cell>
          <cell r="F76">
            <v>0</v>
          </cell>
          <cell r="G76">
            <v>0</v>
          </cell>
        </row>
        <row r="77">
          <cell r="B77" t="str">
            <v>医師削除予定理由表示内容</v>
          </cell>
          <cell r="C77">
            <v>0</v>
          </cell>
          <cell r="D77" t="str">
            <v>VARCHAR2</v>
          </cell>
          <cell r="E77">
            <v>28</v>
          </cell>
          <cell r="F77">
            <v>0</v>
          </cell>
          <cell r="G77">
            <v>0</v>
          </cell>
        </row>
        <row r="78">
          <cell r="B78" t="str">
            <v>医師人脈医師名</v>
          </cell>
          <cell r="D78" t="str">
            <v>VARCHAR2</v>
          </cell>
          <cell r="E78">
            <v>30</v>
          </cell>
          <cell r="F78">
            <v>0</v>
          </cell>
        </row>
        <row r="79">
          <cell r="B79" t="str">
            <v>医師人脈施設名</v>
          </cell>
          <cell r="D79" t="str">
            <v>VARCHAR2</v>
          </cell>
          <cell r="E79">
            <v>30</v>
          </cell>
          <cell r="F79">
            <v>0</v>
          </cell>
        </row>
        <row r="80">
          <cell r="B80" t="str">
            <v>医師人脈特記事項</v>
          </cell>
          <cell r="D80" t="str">
            <v>VARCHAR2</v>
          </cell>
          <cell r="E80">
            <v>60</v>
          </cell>
          <cell r="F80">
            <v>0</v>
          </cell>
        </row>
        <row r="81">
          <cell r="B81" t="str">
            <v>医師個人特記事項</v>
          </cell>
          <cell r="D81" t="str">
            <v>VARCHAR2</v>
          </cell>
          <cell r="E81">
            <v>60</v>
          </cell>
          <cell r="F81">
            <v>0</v>
          </cell>
        </row>
        <row r="82">
          <cell r="B82" t="str">
            <v>医師登録番号</v>
          </cell>
          <cell r="C82">
            <v>0</v>
          </cell>
          <cell r="D82" t="str">
            <v>CHAR</v>
          </cell>
          <cell r="E82">
            <v>6</v>
          </cell>
          <cell r="F82">
            <v>0</v>
          </cell>
          <cell r="G82">
            <v>0</v>
          </cell>
        </row>
        <row r="83">
          <cell r="B83" t="str">
            <v>医師名ｶﾅ</v>
          </cell>
          <cell r="C83">
            <v>0</v>
          </cell>
          <cell r="D83" t="str">
            <v>VARCHAR2</v>
          </cell>
          <cell r="E83">
            <v>20</v>
          </cell>
          <cell r="F83">
            <v>0</v>
          </cell>
          <cell r="G83">
            <v>0</v>
          </cell>
        </row>
        <row r="84">
          <cell r="B84" t="str">
            <v>医師名漢字</v>
          </cell>
          <cell r="C84">
            <v>0</v>
          </cell>
          <cell r="D84" t="str">
            <v>VARCHAR2</v>
          </cell>
          <cell r="E84">
            <v>42</v>
          </cell>
          <cell r="F84">
            <v>0</v>
          </cell>
          <cell r="G84">
            <v>0</v>
          </cell>
        </row>
        <row r="85">
          <cell r="B85" t="str">
            <v>医療圏ｺｰﾄﾞ</v>
          </cell>
          <cell r="C85">
            <v>0</v>
          </cell>
          <cell r="D85" t="str">
            <v>CHAR</v>
          </cell>
          <cell r="E85">
            <v>5</v>
          </cell>
          <cell r="F85">
            <v>0</v>
          </cell>
          <cell r="G85">
            <v>0</v>
          </cell>
        </row>
        <row r="86">
          <cell r="B86" t="str">
            <v>院外施設名</v>
          </cell>
          <cell r="C86">
            <v>0</v>
          </cell>
          <cell r="D86" t="str">
            <v>CHAR</v>
          </cell>
          <cell r="E86">
            <v>32</v>
          </cell>
          <cell r="F86">
            <v>0</v>
          </cell>
          <cell r="G86">
            <v>0</v>
          </cell>
        </row>
        <row r="87">
          <cell r="B87" t="str">
            <v>院外処方比率</v>
          </cell>
          <cell r="C87">
            <v>0</v>
          </cell>
          <cell r="D87" t="str">
            <v>VARCHAR2</v>
          </cell>
          <cell r="E87">
            <v>4</v>
          </cell>
          <cell r="F87">
            <v>0</v>
          </cell>
          <cell r="G87" t="str">
            <v>単位：%</v>
          </cell>
        </row>
        <row r="88">
          <cell r="B88" t="str">
            <v>営業所ｺｰﾄﾞ</v>
          </cell>
          <cell r="C88">
            <v>0</v>
          </cell>
          <cell r="D88" t="str">
            <v>CHAR</v>
          </cell>
          <cell r="E88">
            <v>2</v>
          </cell>
          <cell r="F88">
            <v>0</v>
          </cell>
          <cell r="G88" t="str">
            <v>組織ｺｰﾄﾞ(BYL)#3</v>
          </cell>
        </row>
        <row r="89">
          <cell r="B89" t="str">
            <v>営業所名ｶﾅ</v>
          </cell>
          <cell r="C89">
            <v>0</v>
          </cell>
          <cell r="D89" t="str">
            <v>VARCHAR2</v>
          </cell>
          <cell r="E89">
            <v>10</v>
          </cell>
          <cell r="F89">
            <v>0</v>
          </cell>
          <cell r="G89">
            <v>0</v>
          </cell>
        </row>
        <row r="90">
          <cell r="B90" t="str">
            <v>営業所名漢字</v>
          </cell>
          <cell r="C90">
            <v>0</v>
          </cell>
          <cell r="D90" t="str">
            <v>VARCHAR2</v>
          </cell>
          <cell r="E90">
            <v>10</v>
          </cell>
          <cell r="F90">
            <v>0</v>
          </cell>
          <cell r="G90">
            <v>0</v>
          </cell>
        </row>
        <row r="91">
          <cell r="B91" t="str">
            <v>家族生年月日</v>
          </cell>
          <cell r="D91" t="str">
            <v>CHAR</v>
          </cell>
          <cell r="E91">
            <v>8</v>
          </cell>
          <cell r="F91">
            <v>0</v>
          </cell>
        </row>
        <row r="92">
          <cell r="B92" t="str">
            <v>家族続柄</v>
          </cell>
          <cell r="D92" t="str">
            <v>VARCHAR2</v>
          </cell>
          <cell r="E92">
            <v>2</v>
          </cell>
          <cell r="F92">
            <v>0</v>
          </cell>
        </row>
        <row r="93">
          <cell r="B93" t="str">
            <v>家族特記事項</v>
          </cell>
          <cell r="D93" t="str">
            <v>VARCHAR2</v>
          </cell>
          <cell r="E93">
            <v>60</v>
          </cell>
          <cell r="F93">
            <v>0</v>
          </cell>
        </row>
        <row r="94">
          <cell r="B94" t="str">
            <v>家族名前</v>
          </cell>
          <cell r="D94" t="str">
            <v>VARCHAR2</v>
          </cell>
          <cell r="E94">
            <v>30</v>
          </cell>
          <cell r="F94">
            <v>0</v>
          </cell>
        </row>
        <row r="95">
          <cell r="B95" t="str">
            <v>荷離金額</v>
          </cell>
          <cell r="C95">
            <v>0</v>
          </cell>
          <cell r="D95" t="str">
            <v>NUMBER</v>
          </cell>
          <cell r="E95">
            <v>9</v>
          </cell>
          <cell r="F95">
            <v>0</v>
          </cell>
        </row>
        <row r="96">
          <cell r="B96" t="str">
            <v>荷離金額半期累計</v>
          </cell>
          <cell r="D96" t="str">
            <v>NUMBER</v>
          </cell>
          <cell r="E96">
            <v>11</v>
          </cell>
          <cell r="F96">
            <v>0</v>
          </cell>
        </row>
        <row r="97">
          <cell r="B97" t="str">
            <v>荷離明細区分</v>
          </cell>
          <cell r="D97" t="str">
            <v>CHAR</v>
          </cell>
          <cell r="E97">
            <v>1</v>
          </cell>
          <cell r="F97">
            <v>0</v>
          </cell>
          <cell r="G97" t="str">
            <v xml:space="preserve"> 1:納入/2:返品/3:値引/4:追徴</v>
          </cell>
        </row>
        <row r="98">
          <cell r="B98" t="str">
            <v>荷離明細内容</v>
          </cell>
          <cell r="D98" t="str">
            <v>VARCHAR2</v>
          </cell>
          <cell r="E98">
            <v>4</v>
          </cell>
          <cell r="F98">
            <v>0</v>
          </cell>
          <cell r="G98" t="str">
            <v xml:space="preserve"> 1:納入/2:返品/3:値引/4:追徴</v>
          </cell>
        </row>
        <row r="99">
          <cell r="B99" t="str">
            <v>会合活動ROW_ID</v>
          </cell>
          <cell r="D99" t="str">
            <v>NUMBER</v>
          </cell>
          <cell r="E99">
            <v>4</v>
          </cell>
        </row>
        <row r="100">
          <cell r="B100" t="str">
            <v>会合種別</v>
          </cell>
          <cell r="D100" t="str">
            <v>CHAR</v>
          </cell>
          <cell r="E100">
            <v>2</v>
          </cell>
        </row>
        <row r="101">
          <cell r="B101" t="str">
            <v>会合種別名</v>
          </cell>
          <cell r="D101" t="str">
            <v>VARCHAR2</v>
          </cell>
          <cell r="E101">
            <v>32</v>
          </cell>
        </row>
        <row r="102">
          <cell r="B102" t="str">
            <v>海外留学・大学名</v>
          </cell>
          <cell r="C102">
            <v>0</v>
          </cell>
          <cell r="D102" t="str">
            <v>VARCHAR2</v>
          </cell>
          <cell r="E102">
            <v>4</v>
          </cell>
          <cell r="F102">
            <v>0</v>
          </cell>
          <cell r="G102">
            <v>0</v>
          </cell>
        </row>
        <row r="103">
          <cell r="B103" t="str">
            <v>海外留学・年度</v>
          </cell>
          <cell r="D103" t="str">
            <v>CHAR</v>
          </cell>
          <cell r="E103">
            <v>4</v>
          </cell>
          <cell r="F103">
            <v>0</v>
          </cell>
          <cell r="G103">
            <v>0</v>
          </cell>
        </row>
        <row r="104">
          <cell r="B104" t="str">
            <v>開業年</v>
          </cell>
          <cell r="C104">
            <v>0</v>
          </cell>
          <cell r="D104" t="str">
            <v>CHAR</v>
          </cell>
          <cell r="E104">
            <v>4</v>
          </cell>
          <cell r="F104">
            <v>0</v>
          </cell>
          <cell r="G104">
            <v>0</v>
          </cell>
        </row>
        <row r="105">
          <cell r="B105" t="str">
            <v>開勤区分</v>
          </cell>
          <cell r="C105">
            <v>0</v>
          </cell>
          <cell r="D105" t="str">
            <v>CHAR</v>
          </cell>
          <cell r="E105">
            <v>1</v>
          </cell>
          <cell r="F105">
            <v>0</v>
          </cell>
          <cell r="G105">
            <v>0</v>
          </cell>
        </row>
        <row r="106">
          <cell r="B106" t="str">
            <v>開催時刻From</v>
          </cell>
          <cell r="D106" t="str">
            <v>CHAR</v>
          </cell>
          <cell r="E106">
            <v>4</v>
          </cell>
        </row>
        <row r="107">
          <cell r="B107" t="str">
            <v>開催時刻To</v>
          </cell>
          <cell r="D107" t="str">
            <v>CHAR</v>
          </cell>
          <cell r="E107">
            <v>4</v>
          </cell>
        </row>
        <row r="108">
          <cell r="B108" t="str">
            <v>開催年月日</v>
          </cell>
          <cell r="D108" t="str">
            <v>CHAR</v>
          </cell>
          <cell r="E108">
            <v>8</v>
          </cell>
        </row>
        <row r="109">
          <cell r="B109" t="str">
            <v>開設年月</v>
          </cell>
          <cell r="C109">
            <v>0</v>
          </cell>
          <cell r="D109" t="str">
            <v>CHAR</v>
          </cell>
          <cell r="E109">
            <v>6</v>
          </cell>
          <cell r="F109">
            <v>0</v>
          </cell>
          <cell r="G109" t="str">
            <v>yyyymm</v>
          </cell>
        </row>
        <row r="110">
          <cell r="B110" t="str">
            <v>開発治験ｽﾃｰﾀｽ</v>
          </cell>
          <cell r="D110" t="str">
            <v>VARCHAR2</v>
          </cell>
          <cell r="E110">
            <v>8</v>
          </cell>
          <cell r="F110">
            <v>0</v>
          </cell>
        </row>
        <row r="111">
          <cell r="B111" t="str">
            <v>開発治験ﾌｪｰｽﾞ</v>
          </cell>
          <cell r="D111" t="str">
            <v>VARCHAR2</v>
          </cell>
          <cell r="E111">
            <v>10</v>
          </cell>
          <cell r="F111">
            <v>0</v>
          </cell>
        </row>
        <row r="112">
          <cell r="B112" t="str">
            <v>開発治験開始年月</v>
          </cell>
          <cell r="D112" t="str">
            <v>CHAR</v>
          </cell>
          <cell r="E112">
            <v>6</v>
          </cell>
          <cell r="F112">
            <v>0</v>
          </cell>
          <cell r="G112" t="str">
            <v>yyyymm</v>
          </cell>
        </row>
        <row r="113">
          <cell r="B113" t="str">
            <v>開発治験施設責任者</v>
          </cell>
          <cell r="D113" t="str">
            <v>VARCHAR2</v>
          </cell>
          <cell r="E113">
            <v>2</v>
          </cell>
          <cell r="F113">
            <v>0</v>
          </cell>
        </row>
        <row r="114">
          <cell r="B114" t="str">
            <v>開発治験終了年月</v>
          </cell>
          <cell r="D114" t="str">
            <v>CHAR</v>
          </cell>
          <cell r="E114">
            <v>6</v>
          </cell>
          <cell r="F114">
            <v>0</v>
          </cell>
          <cell r="G114" t="str">
            <v>yyyymm</v>
          </cell>
        </row>
        <row r="115">
          <cell r="B115" t="str">
            <v>開発治験製品名</v>
          </cell>
          <cell r="D115" t="str">
            <v>VARCHAR2</v>
          </cell>
          <cell r="E115">
            <v>30</v>
          </cell>
          <cell r="F115">
            <v>0</v>
          </cell>
        </row>
        <row r="116">
          <cell r="B116" t="str">
            <v>BYL治験担当</v>
          </cell>
          <cell r="D116" t="str">
            <v>VARCHAR2</v>
          </cell>
          <cell r="E116">
            <v>16</v>
          </cell>
          <cell r="F116">
            <v>0</v>
          </cell>
        </row>
        <row r="117">
          <cell r="B117" t="str">
            <v>開発治験名称</v>
          </cell>
          <cell r="D117" t="str">
            <v>VARCHAR2</v>
          </cell>
          <cell r="E117">
            <v>30</v>
          </cell>
          <cell r="F117">
            <v>0</v>
          </cell>
        </row>
        <row r="118">
          <cell r="B118" t="str">
            <v>開放型病院ﾌﾗｸﾞ</v>
          </cell>
          <cell r="D118" t="str">
            <v>CHAR</v>
          </cell>
          <cell r="E118">
            <v>1</v>
          </cell>
          <cell r="F118">
            <v>0</v>
          </cell>
        </row>
        <row r="119">
          <cell r="B119" t="str">
            <v>階級区分</v>
          </cell>
          <cell r="C119">
            <v>0</v>
          </cell>
          <cell r="D119" t="str">
            <v>CHAR</v>
          </cell>
          <cell r="E119">
            <v>1</v>
          </cell>
          <cell r="F119">
            <v>0</v>
          </cell>
          <cell r="G119">
            <v>0</v>
          </cell>
        </row>
        <row r="120">
          <cell r="B120" t="str">
            <v>外勤日数</v>
          </cell>
          <cell r="C120">
            <v>0</v>
          </cell>
          <cell r="D120" t="str">
            <v>NUMBER</v>
          </cell>
          <cell r="E120">
            <v>3</v>
          </cell>
          <cell r="F120">
            <v>0</v>
          </cell>
          <cell r="G120">
            <v>0</v>
          </cell>
        </row>
        <row r="121">
          <cell r="B121" t="str">
            <v>外来患者数</v>
          </cell>
          <cell r="C121">
            <v>0</v>
          </cell>
          <cell r="D121" t="str">
            <v>NUMBER</v>
          </cell>
          <cell r="E121">
            <v>4</v>
          </cell>
          <cell r="F121">
            <v>0</v>
          </cell>
          <cell r="G121">
            <v>0</v>
          </cell>
        </row>
        <row r="122">
          <cell r="B122" t="str">
            <v>外来患者数/週</v>
          </cell>
          <cell r="C122">
            <v>0</v>
          </cell>
          <cell r="D122" t="str">
            <v>NUMBER</v>
          </cell>
          <cell r="E122">
            <v>3</v>
          </cell>
          <cell r="F122">
            <v>0</v>
          </cell>
          <cell r="G122">
            <v>0</v>
          </cell>
        </row>
        <row r="123">
          <cell r="B123" t="str">
            <v>拡張区分</v>
          </cell>
          <cell r="D123" t="str">
            <v>CHAR</v>
          </cell>
          <cell r="E123">
            <v>1</v>
          </cell>
          <cell r="G123" t="str">
            <v>1:SMｺｰﾙ/2:RMｺｰﾙ/3:OSｺｰﾙ/4:会合</v>
          </cell>
        </row>
        <row r="124">
          <cell r="B124" t="str">
            <v>拡張区分名</v>
          </cell>
          <cell r="D124" t="str">
            <v>VARCHAR2</v>
          </cell>
          <cell r="E124">
            <v>10</v>
          </cell>
          <cell r="G124" t="str">
            <v>1:SMｺｰﾙ/2:RMｺｰﾙ/3:OSｺｰﾙ/4:会合</v>
          </cell>
        </row>
        <row r="125">
          <cell r="B125" t="str">
            <v>拡張説明内容</v>
          </cell>
          <cell r="D125" t="str">
            <v>VARCHAR2</v>
          </cell>
          <cell r="E125">
            <v>1024</v>
          </cell>
        </row>
        <row r="126">
          <cell r="B126" t="str">
            <v>学会ｺｰﾄﾞ</v>
          </cell>
          <cell r="C126">
            <v>0</v>
          </cell>
          <cell r="D126" t="str">
            <v>CHAR</v>
          </cell>
          <cell r="E126">
            <v>3</v>
          </cell>
        </row>
        <row r="127">
          <cell r="B127" t="str">
            <v>学会正式名称</v>
          </cell>
          <cell r="C127">
            <v>0</v>
          </cell>
          <cell r="D127" t="str">
            <v>VARCHAR2</v>
          </cell>
          <cell r="E127">
            <v>32</v>
          </cell>
        </row>
        <row r="128">
          <cell r="B128" t="str">
            <v>学会年度</v>
          </cell>
          <cell r="D128" t="str">
            <v>CHAR</v>
          </cell>
          <cell r="E128">
            <v>4</v>
          </cell>
          <cell r="F128">
            <v>0</v>
          </cell>
        </row>
        <row r="129">
          <cell r="B129" t="str">
            <v>学会略名</v>
          </cell>
          <cell r="C129">
            <v>0</v>
          </cell>
          <cell r="D129" t="str">
            <v>VARCHAR2</v>
          </cell>
          <cell r="E129">
            <v>12</v>
          </cell>
        </row>
        <row r="130">
          <cell r="B130" t="str">
            <v>学校名</v>
          </cell>
          <cell r="C130">
            <v>0</v>
          </cell>
          <cell r="D130" t="str">
            <v>VARCHAR2</v>
          </cell>
          <cell r="E130">
            <v>8</v>
          </cell>
        </row>
        <row r="131">
          <cell r="B131" t="str">
            <v>学校略名</v>
          </cell>
          <cell r="C131">
            <v>0</v>
          </cell>
          <cell r="D131" t="str">
            <v>VARCHAR2</v>
          </cell>
          <cell r="E131">
            <v>6</v>
          </cell>
        </row>
        <row r="132">
          <cell r="B132" t="str">
            <v>学部識別ｺｰﾄﾞ</v>
          </cell>
          <cell r="C132">
            <v>0</v>
          </cell>
          <cell r="D132" t="str">
            <v>CHAR</v>
          </cell>
          <cell r="E132">
            <v>1</v>
          </cell>
          <cell r="F132">
            <v>0</v>
          </cell>
          <cell r="G132">
            <v>0</v>
          </cell>
        </row>
        <row r="133">
          <cell r="B133" t="str">
            <v>活動内容</v>
          </cell>
          <cell r="D133" t="str">
            <v>VARCHAR2</v>
          </cell>
          <cell r="E133">
            <v>1024</v>
          </cell>
        </row>
        <row r="134">
          <cell r="B134" t="str">
            <v>巻・号・頁</v>
          </cell>
          <cell r="D134" t="str">
            <v>VARCHAR2</v>
          </cell>
          <cell r="E134">
            <v>202</v>
          </cell>
          <cell r="F134">
            <v>0</v>
          </cell>
        </row>
        <row r="135">
          <cell r="B135" t="str">
            <v>換算剤型本数</v>
          </cell>
          <cell r="C135">
            <v>0</v>
          </cell>
          <cell r="D135" t="str">
            <v>NUMBER</v>
          </cell>
          <cell r="E135">
            <v>4</v>
          </cell>
          <cell r="F135">
            <v>2</v>
          </cell>
          <cell r="G135">
            <v>0</v>
          </cell>
        </row>
        <row r="136">
          <cell r="B136" t="str">
            <v>緩和ｹｱ病棟設置承認病院ﾌﾗｸﾞ</v>
          </cell>
          <cell r="D136" t="str">
            <v>CHAR</v>
          </cell>
          <cell r="E136">
            <v>1</v>
          </cell>
          <cell r="F136">
            <v>0</v>
          </cell>
        </row>
        <row r="137">
          <cell r="B137" t="str">
            <v>関連大学親ｺｰﾄﾞ予備</v>
          </cell>
          <cell r="C137">
            <v>0</v>
          </cell>
          <cell r="D137" t="str">
            <v>CHAR</v>
          </cell>
          <cell r="E137">
            <v>2</v>
          </cell>
          <cell r="F137">
            <v>0</v>
          </cell>
          <cell r="G137">
            <v>0</v>
          </cell>
        </row>
        <row r="138">
          <cell r="B138" t="str">
            <v>関連大学親ﾚｺｰﾄﾞ区分</v>
          </cell>
          <cell r="C138">
            <v>0</v>
          </cell>
          <cell r="D138" t="str">
            <v>CHAR</v>
          </cell>
          <cell r="E138">
            <v>2</v>
          </cell>
          <cell r="F138">
            <v>0</v>
          </cell>
          <cell r="G138">
            <v>0</v>
          </cell>
        </row>
        <row r="139">
          <cell r="B139" t="str">
            <v>関連大学親施設ｺｰﾄﾞ</v>
          </cell>
          <cell r="C139">
            <v>0</v>
          </cell>
          <cell r="D139" t="str">
            <v>CHAR</v>
          </cell>
          <cell r="E139">
            <v>7</v>
          </cell>
          <cell r="F139">
            <v>0</v>
          </cell>
          <cell r="G139">
            <v>0</v>
          </cell>
        </row>
        <row r="140">
          <cell r="B140" t="str">
            <v>含料ｺｰﾄﾞ</v>
          </cell>
          <cell r="C140">
            <v>0</v>
          </cell>
          <cell r="D140" t="str">
            <v>CHAR</v>
          </cell>
          <cell r="E140">
            <v>2</v>
          </cell>
          <cell r="F140">
            <v>0</v>
          </cell>
          <cell r="G140" t="str">
            <v>品目ﾌﾞﾚｲｸ集計ｺｰﾄﾞ#5</v>
          </cell>
        </row>
        <row r="141">
          <cell r="B141" t="str">
            <v>含料名漢字</v>
          </cell>
          <cell r="C141">
            <v>0</v>
          </cell>
          <cell r="D141" t="str">
            <v>VARCHAR2</v>
          </cell>
          <cell r="E141">
            <v>14</v>
          </cell>
          <cell r="F141">
            <v>0</v>
          </cell>
          <cell r="G141">
            <v>0</v>
          </cell>
        </row>
        <row r="142">
          <cell r="B142" t="str">
            <v>機能区分ｺｰﾄﾞ</v>
          </cell>
          <cell r="C142">
            <v>0</v>
          </cell>
          <cell r="D142" t="str">
            <v>CHAR</v>
          </cell>
          <cell r="E142">
            <v>1</v>
          </cell>
          <cell r="F142">
            <v>0</v>
          </cell>
          <cell r="G142" t="str">
            <v>ﾌﾞﾘｯｸｺｰﾄﾞ#5</v>
          </cell>
        </row>
        <row r="143">
          <cell r="B143" t="str">
            <v>機能区分名</v>
          </cell>
          <cell r="C143">
            <v>0</v>
          </cell>
          <cell r="D143" t="str">
            <v>VARCHAR2</v>
          </cell>
          <cell r="E143">
            <v>4</v>
          </cell>
          <cell r="F143">
            <v>0</v>
          </cell>
          <cell r="G143">
            <v>0</v>
          </cell>
        </row>
        <row r="144">
          <cell r="B144" t="str">
            <v>休・開年月</v>
          </cell>
          <cell r="C144">
            <v>0</v>
          </cell>
          <cell r="D144" t="str">
            <v>CHAR</v>
          </cell>
          <cell r="E144">
            <v>6</v>
          </cell>
          <cell r="F144">
            <v>0</v>
          </cell>
          <cell r="G144">
            <v>0</v>
          </cell>
        </row>
        <row r="145">
          <cell r="B145" t="str">
            <v>休診日・火・午後</v>
          </cell>
          <cell r="D145" t="str">
            <v>CHAR</v>
          </cell>
          <cell r="E145">
            <v>1</v>
          </cell>
          <cell r="G145" t="str">
            <v>'Y'：休診／ 'N'：開診</v>
          </cell>
        </row>
        <row r="146">
          <cell r="B146" t="str">
            <v>休診日・火・午前</v>
          </cell>
          <cell r="D146" t="str">
            <v>CHAR</v>
          </cell>
          <cell r="E146">
            <v>1</v>
          </cell>
          <cell r="G146" t="str">
            <v>'Y'：休診／ 'N'：開診</v>
          </cell>
        </row>
        <row r="147">
          <cell r="B147" t="str">
            <v>休診日・金・午後</v>
          </cell>
          <cell r="D147" t="str">
            <v>CHAR</v>
          </cell>
          <cell r="E147">
            <v>1</v>
          </cell>
          <cell r="G147" t="str">
            <v>'Y'：休診／ 'N'：開診</v>
          </cell>
        </row>
        <row r="148">
          <cell r="B148" t="str">
            <v>休診日・金・午前</v>
          </cell>
          <cell r="D148" t="str">
            <v>CHAR</v>
          </cell>
          <cell r="E148">
            <v>1</v>
          </cell>
          <cell r="G148" t="str">
            <v>'Y'：休診／ 'N'：開診</v>
          </cell>
        </row>
        <row r="149">
          <cell r="B149" t="str">
            <v>休診日・月・午後</v>
          </cell>
          <cell r="D149" t="str">
            <v>CHAR</v>
          </cell>
          <cell r="E149">
            <v>1</v>
          </cell>
          <cell r="G149" t="str">
            <v>'Y'：休診／ 'N'：開診</v>
          </cell>
        </row>
        <row r="150">
          <cell r="B150" t="str">
            <v>休診日・月・午前</v>
          </cell>
          <cell r="D150" t="str">
            <v>CHAR</v>
          </cell>
          <cell r="E150">
            <v>1</v>
          </cell>
          <cell r="G150" t="str">
            <v>'Y'：休診／ 'N'：開診</v>
          </cell>
        </row>
        <row r="151">
          <cell r="B151" t="str">
            <v>休診日・水・午後</v>
          </cell>
          <cell r="D151" t="str">
            <v>CHAR</v>
          </cell>
          <cell r="E151">
            <v>1</v>
          </cell>
          <cell r="G151" t="str">
            <v>'Y'：休診／ 'N'：開診</v>
          </cell>
        </row>
        <row r="152">
          <cell r="B152" t="str">
            <v>休診日・水・午前</v>
          </cell>
          <cell r="D152" t="str">
            <v>CHAR</v>
          </cell>
          <cell r="E152">
            <v>1</v>
          </cell>
          <cell r="G152" t="str">
            <v>'Y'：休診／ 'N'：開診</v>
          </cell>
        </row>
        <row r="153">
          <cell r="B153" t="str">
            <v>休診日・土・午後</v>
          </cell>
          <cell r="D153" t="str">
            <v>CHAR</v>
          </cell>
          <cell r="E153">
            <v>1</v>
          </cell>
          <cell r="G153" t="str">
            <v>'Y'：休診／ 'N'：開診</v>
          </cell>
        </row>
        <row r="154">
          <cell r="B154" t="str">
            <v>休診日・土・午前</v>
          </cell>
          <cell r="D154" t="str">
            <v>CHAR</v>
          </cell>
          <cell r="E154">
            <v>1</v>
          </cell>
          <cell r="G154" t="str">
            <v>'Y'：休診／ 'N'：開診</v>
          </cell>
        </row>
        <row r="155">
          <cell r="B155" t="str">
            <v>休診日・日・午後</v>
          </cell>
          <cell r="D155" t="str">
            <v>CHAR</v>
          </cell>
          <cell r="E155">
            <v>1</v>
          </cell>
          <cell r="G155" t="str">
            <v>'Y'：休診／ 'N'：開診</v>
          </cell>
        </row>
        <row r="156">
          <cell r="B156" t="str">
            <v>休診日・日・午前</v>
          </cell>
          <cell r="D156" t="str">
            <v>CHAR</v>
          </cell>
          <cell r="E156">
            <v>1</v>
          </cell>
          <cell r="G156" t="str">
            <v>'Y'：休診／ 'N'：開診</v>
          </cell>
        </row>
        <row r="157">
          <cell r="B157" t="str">
            <v>休診日・木・午後</v>
          </cell>
          <cell r="D157" t="str">
            <v>CHAR</v>
          </cell>
          <cell r="E157">
            <v>1</v>
          </cell>
          <cell r="G157" t="str">
            <v>'Y'：休診／ 'N'：開診</v>
          </cell>
        </row>
        <row r="158">
          <cell r="B158" t="str">
            <v>休診日・木・午前</v>
          </cell>
          <cell r="D158" t="str">
            <v>CHAR</v>
          </cell>
          <cell r="E158">
            <v>1</v>
          </cell>
          <cell r="G158" t="str">
            <v>'Y'：休診／ 'N'：開診</v>
          </cell>
        </row>
        <row r="159">
          <cell r="B159" t="str">
            <v>許可病床・合計</v>
          </cell>
          <cell r="C159">
            <v>0</v>
          </cell>
          <cell r="D159" t="str">
            <v>CHAR</v>
          </cell>
          <cell r="E159">
            <v>4</v>
          </cell>
          <cell r="F159">
            <v>0</v>
          </cell>
          <cell r="G159">
            <v>0</v>
          </cell>
        </row>
        <row r="160">
          <cell r="B160" t="str">
            <v>許可病床・一般</v>
          </cell>
          <cell r="C160">
            <v>0</v>
          </cell>
          <cell r="D160" t="str">
            <v>CHAR</v>
          </cell>
          <cell r="E160">
            <v>4</v>
          </cell>
          <cell r="F160">
            <v>0</v>
          </cell>
          <cell r="G160">
            <v>0</v>
          </cell>
        </row>
        <row r="161">
          <cell r="B161" t="str">
            <v>許可病床・結核</v>
          </cell>
          <cell r="C161">
            <v>0</v>
          </cell>
          <cell r="D161" t="str">
            <v>CHAR</v>
          </cell>
          <cell r="E161">
            <v>4</v>
          </cell>
          <cell r="F161">
            <v>0</v>
          </cell>
          <cell r="G161">
            <v>0</v>
          </cell>
        </row>
        <row r="162">
          <cell r="B162" t="str">
            <v>許可病床・精神</v>
          </cell>
          <cell r="C162">
            <v>0</v>
          </cell>
          <cell r="D162" t="str">
            <v>CHAR</v>
          </cell>
          <cell r="E162">
            <v>4</v>
          </cell>
          <cell r="F162">
            <v>0</v>
          </cell>
          <cell r="G162">
            <v>0</v>
          </cell>
        </row>
        <row r="163">
          <cell r="B163" t="str">
            <v>許可病床・伝染</v>
          </cell>
          <cell r="C163">
            <v>0</v>
          </cell>
          <cell r="D163" t="str">
            <v>CHAR</v>
          </cell>
          <cell r="E163">
            <v>4</v>
          </cell>
          <cell r="F163">
            <v>0</v>
          </cell>
          <cell r="G163">
            <v>0</v>
          </cell>
        </row>
        <row r="164">
          <cell r="B164" t="str">
            <v>許可病床更新日</v>
          </cell>
          <cell r="C164">
            <v>0</v>
          </cell>
          <cell r="D164" t="str">
            <v>CHAR</v>
          </cell>
          <cell r="E164">
            <v>8</v>
          </cell>
          <cell r="F164">
            <v>0</v>
          </cell>
          <cell r="G164">
            <v>0</v>
          </cell>
        </row>
        <row r="165">
          <cell r="B165" t="str">
            <v>競合品ﾒｰｶｰ名</v>
          </cell>
          <cell r="C165">
            <v>0</v>
          </cell>
          <cell r="D165" t="str">
            <v>VARCHAR2</v>
          </cell>
          <cell r="E165">
            <v>22</v>
          </cell>
          <cell r="F165">
            <v>0</v>
          </cell>
          <cell r="G165">
            <v>0</v>
          </cell>
        </row>
        <row r="166">
          <cell r="B166" t="str">
            <v>勤務期間From</v>
          </cell>
          <cell r="C166">
            <v>0</v>
          </cell>
          <cell r="D166" t="str">
            <v>CHAR</v>
          </cell>
          <cell r="E166">
            <v>8</v>
          </cell>
          <cell r="F166">
            <v>0</v>
          </cell>
          <cell r="G166">
            <v>0</v>
          </cell>
        </row>
        <row r="167">
          <cell r="B167" t="str">
            <v>勤務期間To</v>
          </cell>
          <cell r="C167">
            <v>0</v>
          </cell>
          <cell r="D167" t="str">
            <v>CHAR</v>
          </cell>
          <cell r="E167">
            <v>8</v>
          </cell>
          <cell r="F167">
            <v>0</v>
          </cell>
          <cell r="G167">
            <v>0</v>
          </cell>
        </row>
        <row r="168">
          <cell r="B168" t="str">
            <v>係ｺｰﾄﾞ</v>
          </cell>
          <cell r="C168">
            <v>0</v>
          </cell>
          <cell r="D168" t="str">
            <v>CHAR</v>
          </cell>
          <cell r="E168">
            <v>2</v>
          </cell>
          <cell r="F168">
            <v>0</v>
          </cell>
          <cell r="G168" t="str">
            <v>組織ｺｰﾄﾞ(BYL)#4</v>
          </cell>
        </row>
        <row r="169">
          <cell r="B169" t="str">
            <v>係名ｶﾅ</v>
          </cell>
          <cell r="C169">
            <v>0</v>
          </cell>
          <cell r="D169" t="str">
            <v>CHAR</v>
          </cell>
          <cell r="E169">
            <v>10</v>
          </cell>
          <cell r="F169">
            <v>0</v>
          </cell>
          <cell r="G169">
            <v>0</v>
          </cell>
        </row>
        <row r="170">
          <cell r="B170" t="str">
            <v>係名漢字</v>
          </cell>
          <cell r="C170">
            <v>0</v>
          </cell>
          <cell r="D170" t="str">
            <v>VARCHAR2</v>
          </cell>
          <cell r="E170">
            <v>10</v>
          </cell>
          <cell r="F170">
            <v>0</v>
          </cell>
          <cell r="G170">
            <v>0</v>
          </cell>
        </row>
        <row r="171">
          <cell r="B171" t="str">
            <v>経営体(DCF)</v>
          </cell>
          <cell r="C171">
            <v>0</v>
          </cell>
          <cell r="D171" t="str">
            <v>VARCHAR2</v>
          </cell>
          <cell r="E171">
            <v>3</v>
          </cell>
          <cell r="F171">
            <v>0</v>
          </cell>
          <cell r="G171">
            <v>0</v>
          </cell>
        </row>
        <row r="172">
          <cell r="B172" t="str">
            <v>経営体区分ｺｰﾄﾞ</v>
          </cell>
          <cell r="C172">
            <v>0</v>
          </cell>
          <cell r="D172" t="str">
            <v>CHAR</v>
          </cell>
          <cell r="E172">
            <v>1</v>
          </cell>
          <cell r="F172">
            <v>0</v>
          </cell>
          <cell r="G172" t="str">
            <v>ﾌﾞﾘｯｸｺｰﾄﾞ#4</v>
          </cell>
        </row>
        <row r="173">
          <cell r="B173" t="str">
            <v>経営体区分名</v>
          </cell>
          <cell r="C173">
            <v>0</v>
          </cell>
          <cell r="D173" t="str">
            <v>VARCHAR2</v>
          </cell>
          <cell r="E173">
            <v>8</v>
          </cell>
          <cell r="F173">
            <v>0</v>
          </cell>
          <cell r="G173">
            <v>0</v>
          </cell>
        </row>
        <row r="174">
          <cell r="B174" t="str">
            <v>経営体小区分ｺｰﾄﾞ</v>
          </cell>
          <cell r="C174">
            <v>0</v>
          </cell>
          <cell r="D174" t="str">
            <v>CHAR</v>
          </cell>
          <cell r="E174">
            <v>2</v>
          </cell>
          <cell r="F174">
            <v>0</v>
          </cell>
          <cell r="G174">
            <v>0</v>
          </cell>
        </row>
        <row r="175">
          <cell r="B175" t="str">
            <v>経営体小区分名</v>
          </cell>
          <cell r="C175">
            <v>0</v>
          </cell>
          <cell r="D175" t="str">
            <v>VARCHAR2</v>
          </cell>
          <cell r="E175">
            <v>6</v>
          </cell>
          <cell r="F175">
            <v>0</v>
          </cell>
          <cell r="G175">
            <v>0</v>
          </cell>
        </row>
        <row r="176">
          <cell r="B176" t="str">
            <v>計画軒数</v>
          </cell>
          <cell r="C176">
            <v>0</v>
          </cell>
          <cell r="D176" t="str">
            <v>NUMBER</v>
          </cell>
          <cell r="E176">
            <v>7</v>
          </cell>
          <cell r="F176">
            <v>0</v>
          </cell>
          <cell r="G176" t="str">
            <v>施設別軒数年間計画値、単位：千円</v>
          </cell>
        </row>
        <row r="177">
          <cell r="B177" t="str">
            <v>計画金額</v>
          </cell>
          <cell r="C177">
            <v>0</v>
          </cell>
          <cell r="D177" t="str">
            <v>NUMBER</v>
          </cell>
          <cell r="E177">
            <v>11</v>
          </cell>
          <cell r="F177">
            <v>0</v>
          </cell>
          <cell r="G177" t="str">
            <v>施設別荷離年間計画値、単位：千円</v>
          </cell>
        </row>
        <row r="178">
          <cell r="B178" t="str">
            <v>計画金額</v>
          </cell>
          <cell r="C178">
            <v>0</v>
          </cell>
          <cell r="D178" t="str">
            <v>NUMBER</v>
          </cell>
          <cell r="E178">
            <v>11</v>
          </cell>
          <cell r="F178">
            <v>0</v>
          </cell>
          <cell r="G178" t="str">
            <v>従業員別荷離年間計画値、単位：千円</v>
          </cell>
        </row>
        <row r="179">
          <cell r="B179" t="str">
            <v>計画軒数（上期）</v>
          </cell>
          <cell r="C179">
            <v>0</v>
          </cell>
          <cell r="D179" t="str">
            <v>NUMBER</v>
          </cell>
          <cell r="E179">
            <v>7</v>
          </cell>
          <cell r="F179">
            <v>0</v>
          </cell>
          <cell r="G179" t="str">
            <v>従業員別軒数半期計画値</v>
          </cell>
        </row>
        <row r="180">
          <cell r="B180" t="str">
            <v>計画軒数（下期）</v>
          </cell>
          <cell r="C180">
            <v>0</v>
          </cell>
          <cell r="D180" t="str">
            <v>NUMBER</v>
          </cell>
          <cell r="E180">
            <v>7</v>
          </cell>
          <cell r="F180">
            <v>0</v>
          </cell>
          <cell r="G180" t="str">
            <v>従業員別軒数半期計画値</v>
          </cell>
        </row>
        <row r="181">
          <cell r="B181" t="str">
            <v>結核病棟・看護種別</v>
          </cell>
          <cell r="C181">
            <v>0</v>
          </cell>
          <cell r="D181" t="str">
            <v>CHAR</v>
          </cell>
          <cell r="E181">
            <v>2</v>
          </cell>
          <cell r="F181">
            <v>0</v>
          </cell>
          <cell r="G181">
            <v>0</v>
          </cell>
        </row>
        <row r="182">
          <cell r="B182" t="str">
            <v>結核病棟・病床数</v>
          </cell>
          <cell r="C182">
            <v>0</v>
          </cell>
          <cell r="D182" t="str">
            <v>CHAR</v>
          </cell>
          <cell r="E182">
            <v>6</v>
          </cell>
          <cell r="F182">
            <v>0</v>
          </cell>
          <cell r="G182">
            <v>0</v>
          </cell>
        </row>
        <row r="183">
          <cell r="B183" t="str">
            <v>結核病棟・病棟数</v>
          </cell>
          <cell r="C183">
            <v>0</v>
          </cell>
          <cell r="D183" t="str">
            <v>CHAR</v>
          </cell>
          <cell r="E183">
            <v>4</v>
          </cell>
          <cell r="F183">
            <v>0</v>
          </cell>
          <cell r="G183">
            <v>0</v>
          </cell>
        </row>
        <row r="184">
          <cell r="B184" t="str">
            <v>結核病棟ﾌﾗｸﾞ</v>
          </cell>
          <cell r="D184" t="str">
            <v>CHAR</v>
          </cell>
          <cell r="E184">
            <v>1</v>
          </cell>
          <cell r="F184">
            <v>0</v>
          </cell>
        </row>
        <row r="185">
          <cell r="B185" t="str">
            <v>検査項目：</v>
          </cell>
          <cell r="C185">
            <v>0</v>
          </cell>
          <cell r="D185" t="str">
            <v>CHAR</v>
          </cell>
          <cell r="E185">
            <v>10</v>
          </cell>
          <cell r="F185">
            <v>0</v>
          </cell>
          <cell r="G185">
            <v>0</v>
          </cell>
        </row>
        <row r="186">
          <cell r="B186" t="str">
            <v>検査項目：.</v>
          </cell>
          <cell r="C186">
            <v>0</v>
          </cell>
          <cell r="D186" t="str">
            <v>CHAR</v>
          </cell>
          <cell r="E186">
            <v>1</v>
          </cell>
          <cell r="F186">
            <v>0</v>
          </cell>
          <cell r="G186">
            <v>0</v>
          </cell>
        </row>
        <row r="187">
          <cell r="B187" t="str">
            <v>検査項目01（微生物）</v>
          </cell>
          <cell r="C187">
            <v>0</v>
          </cell>
          <cell r="D187" t="str">
            <v>CHAR</v>
          </cell>
          <cell r="E187">
            <v>1</v>
          </cell>
          <cell r="F187">
            <v>0</v>
          </cell>
          <cell r="G187" t="str">
            <v>0:無／1:有</v>
          </cell>
        </row>
        <row r="188">
          <cell r="B188" t="str">
            <v>検査項目02（血清）</v>
          </cell>
          <cell r="C188">
            <v>0</v>
          </cell>
          <cell r="D188" t="str">
            <v>CHAR</v>
          </cell>
          <cell r="E188">
            <v>1</v>
          </cell>
          <cell r="F188">
            <v>0</v>
          </cell>
          <cell r="G188" t="str">
            <v>0:無／1:有</v>
          </cell>
        </row>
        <row r="189">
          <cell r="B189" t="str">
            <v>検査項目03（血液）</v>
          </cell>
          <cell r="C189">
            <v>0</v>
          </cell>
          <cell r="D189" t="str">
            <v>CHAR</v>
          </cell>
          <cell r="E189">
            <v>1</v>
          </cell>
          <cell r="F189">
            <v>0</v>
          </cell>
          <cell r="G189" t="str">
            <v>0:無／1:有</v>
          </cell>
        </row>
        <row r="190">
          <cell r="B190" t="str">
            <v>検査項目04（病理）</v>
          </cell>
          <cell r="C190">
            <v>0</v>
          </cell>
          <cell r="D190" t="str">
            <v>CHAR</v>
          </cell>
          <cell r="E190">
            <v>1</v>
          </cell>
          <cell r="F190">
            <v>0</v>
          </cell>
          <cell r="G190" t="str">
            <v>0:無／1:有</v>
          </cell>
        </row>
        <row r="191">
          <cell r="B191" t="str">
            <v>検査項目05（寄生虫）</v>
          </cell>
          <cell r="C191">
            <v>0</v>
          </cell>
          <cell r="D191" t="str">
            <v>CHAR</v>
          </cell>
          <cell r="E191">
            <v>1</v>
          </cell>
          <cell r="F191">
            <v>0</v>
          </cell>
          <cell r="G191" t="str">
            <v>0:無／1:有</v>
          </cell>
        </row>
        <row r="192">
          <cell r="B192" t="str">
            <v>検査項目06（生化）</v>
          </cell>
          <cell r="C192">
            <v>0</v>
          </cell>
          <cell r="D192" t="str">
            <v>CHAR</v>
          </cell>
          <cell r="E192">
            <v>1</v>
          </cell>
          <cell r="F192">
            <v>0</v>
          </cell>
          <cell r="G192" t="str">
            <v>0:無／1:有</v>
          </cell>
        </row>
        <row r="193">
          <cell r="B193" t="str">
            <v>検査項目07（RI）</v>
          </cell>
          <cell r="C193">
            <v>0</v>
          </cell>
          <cell r="D193" t="str">
            <v>CHAR</v>
          </cell>
          <cell r="E193">
            <v>1</v>
          </cell>
          <cell r="F193">
            <v>0</v>
          </cell>
          <cell r="G193" t="str">
            <v>0:無／1:有</v>
          </cell>
        </row>
        <row r="194">
          <cell r="B194" t="str">
            <v>検査項目19</v>
          </cell>
          <cell r="C194">
            <v>0</v>
          </cell>
          <cell r="D194" t="str">
            <v>CHAR</v>
          </cell>
          <cell r="E194">
            <v>1</v>
          </cell>
          <cell r="F194">
            <v>0</v>
          </cell>
          <cell r="G194">
            <v>0</v>
          </cell>
        </row>
        <row r="195">
          <cell r="B195" t="str">
            <v>検査項目20</v>
          </cell>
          <cell r="C195">
            <v>0</v>
          </cell>
          <cell r="D195" t="str">
            <v>CHAR</v>
          </cell>
          <cell r="E195">
            <v>1</v>
          </cell>
          <cell r="F195">
            <v>0</v>
          </cell>
          <cell r="G195">
            <v>0</v>
          </cell>
        </row>
        <row r="196">
          <cell r="B196" t="str">
            <v>研究ｸﾞﾙｰﾌﾟｺｰﾄﾞ</v>
          </cell>
          <cell r="D196" t="str">
            <v>CHAR</v>
          </cell>
          <cell r="E196">
            <v>2</v>
          </cell>
          <cell r="G196" t="str">
            <v>00'はﾃﾞﾌｫﾙﾄｺｰﾄﾞ</v>
          </cell>
        </row>
        <row r="197">
          <cell r="B197" t="str">
            <v>研究ｸﾞﾙｰﾌﾟ活動内容</v>
          </cell>
          <cell r="C197">
            <v>0</v>
          </cell>
          <cell r="D197" t="str">
            <v>VARCHAR2</v>
          </cell>
          <cell r="E197">
            <v>256</v>
          </cell>
          <cell r="F197">
            <v>0</v>
          </cell>
          <cell r="G197">
            <v>0</v>
          </cell>
        </row>
        <row r="198">
          <cell r="B198" t="str">
            <v>研究ｸﾞﾙｰﾌﾟ名</v>
          </cell>
          <cell r="C198">
            <v>0</v>
          </cell>
          <cell r="D198" t="str">
            <v>VARCHAR2</v>
          </cell>
          <cell r="E198">
            <v>60</v>
          </cell>
          <cell r="F198">
            <v>0</v>
          </cell>
          <cell r="G198">
            <v>0</v>
          </cell>
        </row>
        <row r="199">
          <cell r="B199" t="str">
            <v>研究分類ｺｰﾄﾞ</v>
          </cell>
          <cell r="D199" t="str">
            <v>CHAR</v>
          </cell>
          <cell r="E199">
            <v>2</v>
          </cell>
          <cell r="G199" t="str">
            <v>内科は詳細に分類、内科以外の部課は１分類のみ</v>
          </cell>
        </row>
        <row r="200">
          <cell r="B200" t="str">
            <v>研究分類名称</v>
          </cell>
          <cell r="D200" t="str">
            <v>VARCHAR2</v>
          </cell>
          <cell r="E200">
            <v>32</v>
          </cell>
        </row>
        <row r="201">
          <cell r="B201" t="str">
            <v>軒数</v>
          </cell>
          <cell r="C201">
            <v>0</v>
          </cell>
          <cell r="D201" t="str">
            <v>NUMBER</v>
          </cell>
          <cell r="E201">
            <v>7</v>
          </cell>
          <cell r="F201">
            <v>0</v>
          </cell>
          <cell r="G201">
            <v>0</v>
          </cell>
        </row>
        <row r="202">
          <cell r="B202" t="str">
            <v>軒数  ：</v>
          </cell>
          <cell r="D202" t="str">
            <v>NUMBER</v>
          </cell>
          <cell r="E202">
            <v>133</v>
          </cell>
          <cell r="F202">
            <v>0</v>
          </cell>
        </row>
        <row r="203">
          <cell r="B203" t="str">
            <v>軒数  ：.</v>
          </cell>
          <cell r="D203" t="str">
            <v>NUMBER</v>
          </cell>
          <cell r="E203">
            <v>7</v>
          </cell>
          <cell r="F203">
            <v>0</v>
          </cell>
        </row>
        <row r="204">
          <cell r="B204" t="str">
            <v>軒数 前年01月</v>
          </cell>
          <cell r="D204" t="str">
            <v>NUMBER</v>
          </cell>
          <cell r="E204">
            <v>7</v>
          </cell>
          <cell r="F204">
            <v>0</v>
          </cell>
        </row>
        <row r="205">
          <cell r="B205" t="str">
            <v>軒数 前年02月</v>
          </cell>
          <cell r="D205" t="str">
            <v>NUMBER</v>
          </cell>
          <cell r="E205">
            <v>7</v>
          </cell>
          <cell r="F205">
            <v>0</v>
          </cell>
        </row>
        <row r="206">
          <cell r="B206" t="str">
            <v>軒数 前年03月</v>
          </cell>
          <cell r="D206" t="str">
            <v>NUMBER</v>
          </cell>
          <cell r="E206">
            <v>7</v>
          </cell>
          <cell r="F206">
            <v>0</v>
          </cell>
        </row>
        <row r="207">
          <cell r="B207" t="str">
            <v>軒数 当年12月</v>
          </cell>
          <cell r="D207" t="str">
            <v>NUMBER</v>
          </cell>
          <cell r="E207">
            <v>7</v>
          </cell>
          <cell r="F207">
            <v>0</v>
          </cell>
        </row>
        <row r="208">
          <cell r="B208" t="str">
            <v>軒数前期PD</v>
          </cell>
          <cell r="C208">
            <v>0</v>
          </cell>
          <cell r="D208" t="str">
            <v>NUMBER</v>
          </cell>
          <cell r="E208">
            <v>7</v>
          </cell>
          <cell r="F208">
            <v>0</v>
          </cell>
          <cell r="G208">
            <v>0</v>
          </cell>
        </row>
        <row r="209">
          <cell r="B209" t="str">
            <v>軒数前期UH</v>
          </cell>
          <cell r="C209">
            <v>0</v>
          </cell>
          <cell r="D209" t="str">
            <v>NUMBER</v>
          </cell>
          <cell r="E209">
            <v>7</v>
          </cell>
          <cell r="F209">
            <v>0</v>
          </cell>
          <cell r="G209">
            <v>0</v>
          </cell>
        </row>
        <row r="210">
          <cell r="B210" t="str">
            <v>軒数当期PD</v>
          </cell>
          <cell r="C210">
            <v>0</v>
          </cell>
          <cell r="D210" t="str">
            <v>NUMBER</v>
          </cell>
          <cell r="E210">
            <v>7</v>
          </cell>
          <cell r="F210">
            <v>0</v>
          </cell>
          <cell r="G210">
            <v>0</v>
          </cell>
        </row>
        <row r="211">
          <cell r="B211" t="str">
            <v>軒数当期UH</v>
          </cell>
          <cell r="C211">
            <v>0</v>
          </cell>
          <cell r="D211" t="str">
            <v>NUMBER</v>
          </cell>
          <cell r="E211">
            <v>7</v>
          </cell>
          <cell r="F211">
            <v>0</v>
          </cell>
          <cell r="G211">
            <v>0</v>
          </cell>
        </row>
        <row r="212">
          <cell r="B212" t="str">
            <v>固定項目予備ｴﾘｱ</v>
          </cell>
          <cell r="C212">
            <v>0</v>
          </cell>
          <cell r="D212" t="str">
            <v>VARCHAR2</v>
          </cell>
          <cell r="E212">
            <v>50</v>
          </cell>
          <cell r="F212">
            <v>0</v>
          </cell>
          <cell r="G212">
            <v>0</v>
          </cell>
        </row>
        <row r="213">
          <cell r="B213" t="str">
            <v>更新ｽﾃｰﾀｽ</v>
          </cell>
          <cell r="C213">
            <v>0</v>
          </cell>
          <cell r="D213" t="str">
            <v>CHAR</v>
          </cell>
          <cell r="E213">
            <v>1</v>
          </cell>
          <cell r="F213">
            <v>0</v>
          </cell>
          <cell r="G213" t="str">
            <v>A:新規／M：修正／（D:削除）　SFAでは物理削除</v>
          </cell>
        </row>
        <row r="214">
          <cell r="B214" t="str">
            <v>AS400更新年月日</v>
          </cell>
          <cell r="D214" t="str">
            <v>CHAR</v>
          </cell>
          <cell r="E214">
            <v>8</v>
          </cell>
          <cell r="F214">
            <v>0</v>
          </cell>
          <cell r="G214" t="str">
            <v>AS/400での更新日　'YYYYMMDD'</v>
          </cell>
        </row>
        <row r="215">
          <cell r="B215" t="str">
            <v>SFA更新ｽﾃｰﾀｽ</v>
          </cell>
          <cell r="C215">
            <v>0</v>
          </cell>
          <cell r="D215" t="str">
            <v>CHAR</v>
          </cell>
          <cell r="E215">
            <v>1</v>
          </cell>
          <cell r="F215">
            <v>0</v>
          </cell>
          <cell r="G215" t="str">
            <v>0:更新無し／1:更新有り</v>
          </cell>
        </row>
        <row r="216">
          <cell r="B216" t="str">
            <v>最終更新日時</v>
          </cell>
          <cell r="D216" t="str">
            <v>CHAR</v>
          </cell>
          <cell r="E216">
            <v>14</v>
          </cell>
          <cell r="F216">
            <v>0</v>
          </cell>
          <cell r="G216" t="str">
            <v>Siebelｼｽﾃﾑの更新日時　'YYYYMMDDHHMMSS'</v>
          </cell>
        </row>
        <row r="217">
          <cell r="B217" t="str">
            <v>生成日時</v>
          </cell>
          <cell r="D217" t="str">
            <v>CHAR</v>
          </cell>
          <cell r="E217">
            <v>14</v>
          </cell>
          <cell r="F217">
            <v>0</v>
          </cell>
          <cell r="G217" t="str">
            <v>Siebelｼｽﾃﾑの更新日時　'YYYYMMDDHHMMSS'</v>
          </cell>
        </row>
        <row r="218">
          <cell r="B218" t="str">
            <v>購入権限者</v>
          </cell>
          <cell r="C218">
            <v>0</v>
          </cell>
          <cell r="D218" t="str">
            <v>VARCHAR2</v>
          </cell>
          <cell r="E218">
            <v>20</v>
          </cell>
          <cell r="F218">
            <v>0</v>
          </cell>
          <cell r="G218">
            <v>0</v>
          </cell>
        </row>
        <row r="219">
          <cell r="B219" t="str">
            <v>購入予算</v>
          </cell>
          <cell r="D219" t="str">
            <v>NUMBER</v>
          </cell>
          <cell r="E219">
            <v>8</v>
          </cell>
        </row>
        <row r="220">
          <cell r="B220" t="str">
            <v>比率ﾚﾍﾞﾙ</v>
          </cell>
          <cell r="D220" t="str">
            <v>CHAR</v>
          </cell>
          <cell r="E220">
            <v>4</v>
          </cell>
          <cell r="G220" t="str">
            <v>'  0%'/' 10%'/ … ' 90%'/'100%'</v>
          </cell>
        </row>
        <row r="221">
          <cell r="B221" t="str">
            <v>比率</v>
          </cell>
          <cell r="D221" t="str">
            <v>VARCHAR2</v>
          </cell>
          <cell r="E221">
            <v>3</v>
          </cell>
          <cell r="F221">
            <v>0</v>
          </cell>
        </row>
        <row r="222">
          <cell r="B222" t="str">
            <v>高度先進医療病院ﾌﾗｸﾞ</v>
          </cell>
          <cell r="D222" t="str">
            <v>CHAR</v>
          </cell>
          <cell r="E222">
            <v>1</v>
          </cell>
          <cell r="F222">
            <v>0</v>
          </cell>
        </row>
        <row r="223">
          <cell r="B223" t="str">
            <v>採用申請医師名称</v>
          </cell>
          <cell r="D223" t="str">
            <v>VARCHAR2</v>
          </cell>
          <cell r="E223">
            <v>20</v>
          </cell>
        </row>
        <row r="224">
          <cell r="B224" t="str">
            <v>採用申請品目名称</v>
          </cell>
          <cell r="D224" t="str">
            <v>VARCHAR2</v>
          </cell>
          <cell r="E224">
            <v>30</v>
          </cell>
        </row>
        <row r="225">
          <cell r="B225" t="str">
            <v>剤型ｺｰﾄﾞ</v>
          </cell>
          <cell r="C225">
            <v>0</v>
          </cell>
          <cell r="D225" t="str">
            <v>CHAR</v>
          </cell>
          <cell r="E225">
            <v>2</v>
          </cell>
          <cell r="F225">
            <v>0</v>
          </cell>
          <cell r="G225" t="str">
            <v>品目ﾌﾞﾚｲｸ集計ｺｰﾄﾞ#4</v>
          </cell>
        </row>
        <row r="226">
          <cell r="B226" t="str">
            <v>剤型名漢字</v>
          </cell>
          <cell r="C226">
            <v>0</v>
          </cell>
          <cell r="D226" t="str">
            <v>VARCHAR2</v>
          </cell>
          <cell r="E226">
            <v>14</v>
          </cell>
          <cell r="F226">
            <v>0</v>
          </cell>
          <cell r="G226">
            <v>0</v>
          </cell>
        </row>
        <row r="227">
          <cell r="B227" t="str">
            <v>雑誌名</v>
          </cell>
          <cell r="D227" t="str">
            <v>VARCHAR2</v>
          </cell>
          <cell r="E227">
            <v>202</v>
          </cell>
          <cell r="F227">
            <v>0</v>
          </cell>
        </row>
        <row r="228">
          <cell r="B228" t="str">
            <v>市区郡ｺｰﾄﾞ</v>
          </cell>
          <cell r="C228">
            <v>0</v>
          </cell>
          <cell r="D228" t="str">
            <v>CHAR</v>
          </cell>
          <cell r="E228">
            <v>3</v>
          </cell>
          <cell r="F228">
            <v>0</v>
          </cell>
        </row>
        <row r="229">
          <cell r="B229" t="str">
            <v>府県市区郡名</v>
          </cell>
          <cell r="C229">
            <v>0</v>
          </cell>
          <cell r="D229" t="str">
            <v>VARCHAR2</v>
          </cell>
          <cell r="E229">
            <v>28</v>
          </cell>
          <cell r="F229">
            <v>0</v>
          </cell>
          <cell r="G229" t="str">
            <v>上10桁：府県名／11桁目以降：市区郡名</v>
          </cell>
        </row>
        <row r="230">
          <cell r="B230" t="str">
            <v>市区郡名</v>
          </cell>
          <cell r="C230">
            <v>0</v>
          </cell>
          <cell r="D230" t="str">
            <v>VARCHAR2</v>
          </cell>
          <cell r="E230">
            <v>18</v>
          </cell>
          <cell r="F230">
            <v>0</v>
          </cell>
          <cell r="G230">
            <v>0</v>
          </cell>
        </row>
        <row r="231">
          <cell r="B231" t="str">
            <v>支店ｺｰﾄﾞ</v>
          </cell>
          <cell r="C231">
            <v>0</v>
          </cell>
          <cell r="D231" t="str">
            <v>CHAR</v>
          </cell>
          <cell r="E231">
            <v>3</v>
          </cell>
          <cell r="F231">
            <v>0</v>
          </cell>
          <cell r="G231" t="str">
            <v>組織ｺｰﾄﾞ(BYL)#1</v>
          </cell>
        </row>
        <row r="232">
          <cell r="B232" t="str">
            <v>支店英字4桁</v>
          </cell>
          <cell r="C232">
            <v>0</v>
          </cell>
          <cell r="D232" t="str">
            <v>CHAR</v>
          </cell>
          <cell r="E232">
            <v>4</v>
          </cell>
          <cell r="F232">
            <v>0</v>
          </cell>
          <cell r="G232">
            <v>0</v>
          </cell>
        </row>
        <row r="233">
          <cell r="B233" t="str">
            <v>支店名ｶﾅ</v>
          </cell>
          <cell r="C233">
            <v>0</v>
          </cell>
          <cell r="D233" t="str">
            <v>VARCHAR2</v>
          </cell>
          <cell r="E233">
            <v>10</v>
          </cell>
          <cell r="F233">
            <v>0</v>
          </cell>
          <cell r="G233">
            <v>0</v>
          </cell>
        </row>
        <row r="234">
          <cell r="B234" t="str">
            <v>支店名漢字</v>
          </cell>
          <cell r="C234">
            <v>0</v>
          </cell>
          <cell r="D234" t="str">
            <v>VARCHAR2</v>
          </cell>
          <cell r="E234">
            <v>10</v>
          </cell>
          <cell r="F234">
            <v>0</v>
          </cell>
          <cell r="G234">
            <v>0</v>
          </cell>
        </row>
        <row r="235">
          <cell r="B235" t="str">
            <v>施設ﾗﾝｸ（支社）01</v>
          </cell>
          <cell r="C235">
            <v>0</v>
          </cell>
          <cell r="D235" t="str">
            <v>CHAR</v>
          </cell>
          <cell r="E235">
            <v>1</v>
          </cell>
          <cell r="F235">
            <v>0</v>
          </cell>
          <cell r="G235">
            <v>0</v>
          </cell>
        </row>
        <row r="236">
          <cell r="B236" t="str">
            <v>施設ﾗﾝｸ（支社）02</v>
          </cell>
          <cell r="C236">
            <v>0</v>
          </cell>
          <cell r="D236" t="str">
            <v>CHAR</v>
          </cell>
          <cell r="E236">
            <v>1</v>
          </cell>
          <cell r="F236">
            <v>0</v>
          </cell>
          <cell r="G236">
            <v>0</v>
          </cell>
        </row>
        <row r="237">
          <cell r="B237" t="str">
            <v>施設ﾗﾝｸ（支社）03</v>
          </cell>
          <cell r="C237">
            <v>0</v>
          </cell>
          <cell r="D237" t="str">
            <v>CHAR</v>
          </cell>
          <cell r="E237">
            <v>1</v>
          </cell>
          <cell r="F237">
            <v>0</v>
          </cell>
          <cell r="G237">
            <v>0</v>
          </cell>
        </row>
        <row r="238">
          <cell r="B238" t="str">
            <v>施設ﾗﾝｸ（支社）04</v>
          </cell>
          <cell r="C238">
            <v>0</v>
          </cell>
          <cell r="D238" t="str">
            <v>CHAR</v>
          </cell>
          <cell r="E238">
            <v>1</v>
          </cell>
          <cell r="F238">
            <v>0</v>
          </cell>
          <cell r="G238">
            <v>0</v>
          </cell>
        </row>
        <row r="239">
          <cell r="B239" t="str">
            <v>施設ﾗﾝｸ（支社）05</v>
          </cell>
          <cell r="C239">
            <v>0</v>
          </cell>
          <cell r="D239" t="str">
            <v>CHAR</v>
          </cell>
          <cell r="E239">
            <v>1</v>
          </cell>
          <cell r="F239">
            <v>0</v>
          </cell>
          <cell r="G239">
            <v>0</v>
          </cell>
        </row>
        <row r="240">
          <cell r="B240" t="str">
            <v>施設ﾗﾝｸ（本社）01</v>
          </cell>
          <cell r="C240">
            <v>0</v>
          </cell>
          <cell r="D240" t="str">
            <v>CHAR</v>
          </cell>
          <cell r="E240">
            <v>1</v>
          </cell>
          <cell r="F240">
            <v>0</v>
          </cell>
          <cell r="G240">
            <v>0</v>
          </cell>
        </row>
        <row r="241">
          <cell r="B241" t="str">
            <v>施設ﾗﾝｸ（本社）02</v>
          </cell>
          <cell r="C241">
            <v>0</v>
          </cell>
          <cell r="D241" t="str">
            <v>CHAR</v>
          </cell>
          <cell r="E241">
            <v>1</v>
          </cell>
          <cell r="F241">
            <v>0</v>
          </cell>
          <cell r="G241">
            <v>0</v>
          </cell>
        </row>
        <row r="242">
          <cell r="B242" t="str">
            <v>施設ﾗﾝｸ（本社）03</v>
          </cell>
          <cell r="C242">
            <v>0</v>
          </cell>
          <cell r="D242" t="str">
            <v>CHAR</v>
          </cell>
          <cell r="E242">
            <v>1</v>
          </cell>
          <cell r="F242">
            <v>0</v>
          </cell>
          <cell r="G242">
            <v>0</v>
          </cell>
        </row>
        <row r="243">
          <cell r="B243" t="str">
            <v>施設ﾗﾝｸ（本社）04</v>
          </cell>
          <cell r="C243">
            <v>0</v>
          </cell>
          <cell r="D243" t="str">
            <v>CHAR</v>
          </cell>
          <cell r="E243">
            <v>1</v>
          </cell>
          <cell r="F243">
            <v>0</v>
          </cell>
          <cell r="G243">
            <v>0</v>
          </cell>
        </row>
        <row r="244">
          <cell r="B244" t="str">
            <v>施設ﾗﾝｸ（本社）05</v>
          </cell>
          <cell r="C244">
            <v>0</v>
          </cell>
          <cell r="D244" t="str">
            <v>CHAR</v>
          </cell>
          <cell r="E244">
            <v>1</v>
          </cell>
          <cell r="F244">
            <v>0</v>
          </cell>
          <cell r="G244">
            <v>0</v>
          </cell>
        </row>
        <row r="245">
          <cell r="B245" t="str">
            <v>施設削除予定理由</v>
          </cell>
          <cell r="C245">
            <v>0</v>
          </cell>
          <cell r="D245" t="str">
            <v>VARCHAR2</v>
          </cell>
          <cell r="E245">
            <v>40</v>
          </cell>
          <cell r="F245">
            <v>0</v>
          </cell>
          <cell r="G245">
            <v>0</v>
          </cell>
        </row>
        <row r="246">
          <cell r="B246" t="str">
            <v>施設削除予定理由ｺｰﾄﾞ</v>
          </cell>
          <cell r="C246">
            <v>0</v>
          </cell>
          <cell r="D246" t="str">
            <v>CHAR</v>
          </cell>
          <cell r="E246">
            <v>1</v>
          </cell>
          <cell r="F246">
            <v>0</v>
          </cell>
          <cell r="G246">
            <v>0</v>
          </cell>
        </row>
        <row r="247">
          <cell r="B247" t="str">
            <v>施設削除予定理由表示内容</v>
          </cell>
          <cell r="C247">
            <v>0</v>
          </cell>
          <cell r="D247" t="str">
            <v>VARCHAR2</v>
          </cell>
          <cell r="E247">
            <v>28</v>
          </cell>
          <cell r="F247">
            <v>0</v>
          </cell>
          <cell r="G247">
            <v>0</v>
          </cell>
        </row>
        <row r="248">
          <cell r="B248" t="str">
            <v>施設住所(漢字)</v>
          </cell>
          <cell r="D248" t="str">
            <v>CHAR</v>
          </cell>
          <cell r="E248">
            <v>11</v>
          </cell>
          <cell r="F248">
            <v>0</v>
          </cell>
        </row>
        <row r="249">
          <cell r="B249" t="str">
            <v>施設住所ｶﾅ</v>
          </cell>
          <cell r="C249">
            <v>0</v>
          </cell>
          <cell r="D249" t="str">
            <v>VARCHAR2</v>
          </cell>
          <cell r="E249">
            <v>60</v>
          </cell>
          <cell r="F249">
            <v>0</v>
          </cell>
          <cell r="G249">
            <v>0</v>
          </cell>
        </row>
        <row r="250">
          <cell r="B250" t="str">
            <v>施設住所ｺｰﾄﾞ</v>
          </cell>
          <cell r="D250" t="str">
            <v>CHAR</v>
          </cell>
          <cell r="E250">
            <v>3</v>
          </cell>
          <cell r="F250">
            <v>0</v>
          </cell>
        </row>
        <row r="251">
          <cell r="B251" t="str">
            <v>施設住所漢字</v>
          </cell>
          <cell r="C251">
            <v>0</v>
          </cell>
          <cell r="D251" t="str">
            <v>VARCHAR2</v>
          </cell>
          <cell r="E251">
            <v>102</v>
          </cell>
          <cell r="F251">
            <v>0</v>
          </cell>
          <cell r="G251">
            <v>0</v>
          </cell>
        </row>
        <row r="252">
          <cell r="B252" t="str">
            <v>施設住所漢字</v>
          </cell>
          <cell r="C252">
            <v>0</v>
          </cell>
          <cell r="D252" t="str">
            <v>VARCHAR2</v>
          </cell>
          <cell r="E252">
            <v>100</v>
          </cell>
          <cell r="F252">
            <v>0</v>
          </cell>
          <cell r="G252">
            <v>0</v>
          </cell>
        </row>
        <row r="253">
          <cell r="B253" t="str">
            <v>施設詳細区分</v>
          </cell>
          <cell r="C253">
            <v>0</v>
          </cell>
          <cell r="D253" t="str">
            <v>CHAR</v>
          </cell>
          <cell r="E253">
            <v>2</v>
          </cell>
          <cell r="F253">
            <v>0</v>
          </cell>
          <cell r="G253">
            <v>0</v>
          </cell>
        </row>
        <row r="254">
          <cell r="B254" t="str">
            <v>施設詳細名称</v>
          </cell>
          <cell r="C254">
            <v>0</v>
          </cell>
          <cell r="D254" t="str">
            <v>VARCHAR2</v>
          </cell>
          <cell r="E254">
            <v>40</v>
          </cell>
          <cell r="F254">
            <v>0</v>
          </cell>
          <cell r="G254">
            <v>0</v>
          </cell>
        </row>
        <row r="255">
          <cell r="B255" t="str">
            <v>施設情報特記事項</v>
          </cell>
          <cell r="C255">
            <v>0</v>
          </cell>
          <cell r="D255" t="str">
            <v>VARCHAR2</v>
          </cell>
          <cell r="E255">
            <v>800</v>
          </cell>
          <cell r="F255">
            <v>0</v>
          </cell>
          <cell r="G255">
            <v>0</v>
          </cell>
        </row>
        <row r="256">
          <cell r="B256" t="str">
            <v>施設代表ｺｰﾄﾞ予備</v>
          </cell>
          <cell r="C256">
            <v>0</v>
          </cell>
          <cell r="D256" t="str">
            <v>CHAR</v>
          </cell>
          <cell r="E256">
            <v>2</v>
          </cell>
          <cell r="F256">
            <v>0</v>
          </cell>
          <cell r="G256">
            <v>0</v>
          </cell>
        </row>
        <row r="257">
          <cell r="B257" t="str">
            <v>施設代表ﾚｺｰﾄﾞ区分</v>
          </cell>
          <cell r="C257">
            <v>0</v>
          </cell>
          <cell r="D257" t="str">
            <v>CHAR</v>
          </cell>
          <cell r="E257">
            <v>2</v>
          </cell>
          <cell r="F257">
            <v>0</v>
          </cell>
          <cell r="G257">
            <v>0</v>
          </cell>
        </row>
        <row r="258">
          <cell r="B258" t="str">
            <v>施設代表医師ｺｰﾄﾞ</v>
          </cell>
          <cell r="C258">
            <v>0</v>
          </cell>
          <cell r="D258" t="str">
            <v>CHAR</v>
          </cell>
          <cell r="E258">
            <v>6</v>
          </cell>
          <cell r="F258">
            <v>0</v>
          </cell>
          <cell r="G258">
            <v>0</v>
          </cell>
        </row>
        <row r="259">
          <cell r="B259" t="str">
            <v>施設代表者ｶﾅ</v>
          </cell>
          <cell r="C259">
            <v>0</v>
          </cell>
          <cell r="D259" t="str">
            <v>VARCHAR2</v>
          </cell>
          <cell r="E259">
            <v>20</v>
          </cell>
          <cell r="F259">
            <v>0</v>
          </cell>
          <cell r="G259">
            <v>0</v>
          </cell>
        </row>
        <row r="260">
          <cell r="B260" t="str">
            <v>施設代表者漢字</v>
          </cell>
          <cell r="C260">
            <v>0</v>
          </cell>
          <cell r="D260" t="str">
            <v>VARCHAR2</v>
          </cell>
          <cell r="E260">
            <v>42</v>
          </cell>
          <cell r="F260">
            <v>0</v>
          </cell>
          <cell r="G260">
            <v>0</v>
          </cell>
        </row>
        <row r="261">
          <cell r="B261" t="str">
            <v>施設電話番号</v>
          </cell>
          <cell r="C261">
            <v>0</v>
          </cell>
          <cell r="D261" t="str">
            <v>CHAR</v>
          </cell>
          <cell r="E261">
            <v>15</v>
          </cell>
          <cell r="F261">
            <v>0</v>
          </cell>
          <cell r="G261">
            <v>0</v>
          </cell>
        </row>
        <row r="262">
          <cell r="B262" t="str">
            <v>施設名／行事</v>
          </cell>
          <cell r="D262" t="str">
            <v>VARCHAR2</v>
          </cell>
          <cell r="E262">
            <v>32</v>
          </cell>
          <cell r="F262">
            <v>0</v>
          </cell>
          <cell r="G262" t="str">
            <v>ｶﾚﾝﾀﾞ用情報</v>
          </cell>
        </row>
        <row r="263">
          <cell r="B263" t="str">
            <v>施設名ｶﾅ</v>
          </cell>
          <cell r="C263">
            <v>0</v>
          </cell>
          <cell r="D263" t="str">
            <v>VARCHAR2</v>
          </cell>
          <cell r="E263">
            <v>20</v>
          </cell>
          <cell r="F263">
            <v>0</v>
          </cell>
          <cell r="G263">
            <v>0</v>
          </cell>
        </row>
        <row r="264">
          <cell r="B264" t="str">
            <v>施設名漢字</v>
          </cell>
          <cell r="C264">
            <v>0</v>
          </cell>
          <cell r="D264" t="str">
            <v>VARCHAR2</v>
          </cell>
          <cell r="E264">
            <v>32</v>
          </cell>
          <cell r="F264">
            <v>0</v>
          </cell>
          <cell r="G264">
            <v>0</v>
          </cell>
        </row>
        <row r="265">
          <cell r="B265" t="str">
            <v>施設郵便番号</v>
          </cell>
          <cell r="C265">
            <v>0</v>
          </cell>
          <cell r="D265" t="str">
            <v>CHAR</v>
          </cell>
          <cell r="E265">
            <v>8</v>
          </cell>
          <cell r="F265">
            <v>0</v>
          </cell>
          <cell r="G265">
            <v>0</v>
          </cell>
        </row>
        <row r="266">
          <cell r="B266" t="str">
            <v>施設予備ｴﾘｱ</v>
          </cell>
          <cell r="C266">
            <v>0</v>
          </cell>
          <cell r="D266" t="str">
            <v>VARCHAR2</v>
          </cell>
          <cell r="E266">
            <v>47</v>
          </cell>
          <cell r="F266">
            <v>0</v>
          </cell>
          <cell r="G266">
            <v>0</v>
          </cell>
        </row>
        <row r="267">
          <cell r="B267" t="str">
            <v>時間帯From</v>
          </cell>
          <cell r="C267">
            <v>0</v>
          </cell>
          <cell r="D267" t="str">
            <v>CHAR</v>
          </cell>
          <cell r="E267">
            <v>4</v>
          </cell>
          <cell r="F267">
            <v>0</v>
          </cell>
          <cell r="G267">
            <v>0</v>
          </cell>
        </row>
        <row r="268">
          <cell r="B268" t="str">
            <v>時間帯To</v>
          </cell>
          <cell r="C268">
            <v>0</v>
          </cell>
          <cell r="D268" t="str">
            <v>CHAR</v>
          </cell>
          <cell r="E268">
            <v>4</v>
          </cell>
          <cell r="F268">
            <v>0</v>
          </cell>
          <cell r="G268">
            <v>0</v>
          </cell>
        </row>
        <row r="269">
          <cell r="B269" t="str">
            <v>品目表示順</v>
          </cell>
          <cell r="D269" t="str">
            <v>NUMBER</v>
          </cell>
          <cell r="E269">
            <v>2</v>
          </cell>
          <cell r="F269">
            <v>0</v>
          </cell>
          <cell r="G269" t="str">
            <v>01～29：自社製品 ／30～69：競合他社製品（表示）70～98：競合他社製品（非表示）／99：薬効ｺｰﾄﾞ（合計値）</v>
          </cell>
        </row>
        <row r="270">
          <cell r="B270" t="str">
            <v>自宅住所ｶﾅ</v>
          </cell>
          <cell r="C270">
            <v>0</v>
          </cell>
          <cell r="D270" t="str">
            <v>VARCHAR2</v>
          </cell>
          <cell r="E270">
            <v>60</v>
          </cell>
          <cell r="F270">
            <v>0</v>
          </cell>
          <cell r="G270">
            <v>0</v>
          </cell>
        </row>
        <row r="271">
          <cell r="B271" t="str">
            <v>自宅住所漢字</v>
          </cell>
          <cell r="C271">
            <v>0</v>
          </cell>
          <cell r="D271" t="str">
            <v>VARCHAR2</v>
          </cell>
          <cell r="E271">
            <v>102</v>
          </cell>
          <cell r="F271">
            <v>0</v>
          </cell>
          <cell r="G271">
            <v>0</v>
          </cell>
        </row>
        <row r="272">
          <cell r="B272" t="str">
            <v>自宅電話番号</v>
          </cell>
          <cell r="C272">
            <v>0</v>
          </cell>
          <cell r="D272" t="str">
            <v>CHAR</v>
          </cell>
          <cell r="E272">
            <v>15</v>
          </cell>
          <cell r="F272">
            <v>0</v>
          </cell>
          <cell r="G272">
            <v>0</v>
          </cell>
        </row>
        <row r="273">
          <cell r="B273" t="str">
            <v>自宅郵便番号</v>
          </cell>
          <cell r="C273">
            <v>0</v>
          </cell>
          <cell r="D273" t="str">
            <v>CHAR</v>
          </cell>
          <cell r="E273">
            <v>8</v>
          </cell>
          <cell r="F273">
            <v>0</v>
          </cell>
          <cell r="G273">
            <v>0</v>
          </cell>
        </row>
        <row r="274">
          <cell r="B274" t="str">
            <v>執筆者区分</v>
          </cell>
          <cell r="D274" t="str">
            <v>CHAR</v>
          </cell>
          <cell r="E274">
            <v>1</v>
          </cell>
          <cell r="F274">
            <v>0</v>
          </cell>
        </row>
        <row r="275">
          <cell r="B275" t="str">
            <v>疾患ｺｰﾄﾞ</v>
          </cell>
          <cell r="C275">
            <v>0</v>
          </cell>
          <cell r="D275" t="str">
            <v>CHAR</v>
          </cell>
          <cell r="E275">
            <v>1</v>
          </cell>
          <cell r="G275" t="str">
            <v>1:高血圧/2:狭心症/3:糖尿病/4:高脂血症/5:ｱﾚﾙｷﾞｰ</v>
          </cell>
        </row>
        <row r="276">
          <cell r="B276" t="str">
            <v>疾患名</v>
          </cell>
          <cell r="C276">
            <v>0</v>
          </cell>
          <cell r="D276" t="str">
            <v>VARCHAR2</v>
          </cell>
          <cell r="E276">
            <v>10</v>
          </cell>
          <cell r="G276" t="str">
            <v>1:高血圧/2:狭心症/3:糖尿病/4:高脂血症/5:ｱﾚﾙｷﾞｰ</v>
          </cell>
        </row>
        <row r="277">
          <cell r="B277" t="str">
            <v>疾患別外来患者数</v>
          </cell>
          <cell r="C277">
            <v>0</v>
          </cell>
          <cell r="D277" t="str">
            <v>NUMBER</v>
          </cell>
          <cell r="E277">
            <v>5</v>
          </cell>
          <cell r="F277">
            <v>0</v>
          </cell>
        </row>
        <row r="278">
          <cell r="B278" t="str">
            <v>主診療科ｺｰﾄﾞ</v>
          </cell>
          <cell r="C278">
            <v>0</v>
          </cell>
          <cell r="D278" t="str">
            <v>CHAR</v>
          </cell>
          <cell r="E278">
            <v>2</v>
          </cell>
          <cell r="F278">
            <v>0</v>
          </cell>
          <cell r="G278">
            <v>0</v>
          </cell>
        </row>
        <row r="279">
          <cell r="B279" t="str">
            <v>主要品目区分</v>
          </cell>
          <cell r="C279">
            <v>0</v>
          </cell>
          <cell r="D279" t="str">
            <v>CHAR</v>
          </cell>
          <cell r="E279">
            <v>2</v>
          </cell>
          <cell r="F279">
            <v>0</v>
          </cell>
          <cell r="G279" t="str">
            <v>'01':計画立案品目／'02':荷離実績表示品目</v>
          </cell>
        </row>
        <row r="280">
          <cell r="B280" t="str">
            <v>取引区分</v>
          </cell>
          <cell r="C280">
            <v>0</v>
          </cell>
          <cell r="D280" t="str">
            <v>CHAR</v>
          </cell>
          <cell r="E280">
            <v>1</v>
          </cell>
          <cell r="F280">
            <v>0</v>
          </cell>
          <cell r="G280">
            <v>0</v>
          </cell>
        </row>
        <row r="281">
          <cell r="B281" t="str">
            <v>趣味</v>
          </cell>
          <cell r="C281">
            <v>0</v>
          </cell>
          <cell r="D281" t="str">
            <v>VARCHAR2</v>
          </cell>
          <cell r="E281">
            <v>36</v>
          </cell>
          <cell r="F281">
            <v>0</v>
          </cell>
          <cell r="G281">
            <v>0</v>
          </cell>
        </row>
        <row r="282">
          <cell r="B282" t="str">
            <v>受付処理時刻</v>
          </cell>
          <cell r="C282">
            <v>0</v>
          </cell>
          <cell r="D282" t="str">
            <v>CHAR</v>
          </cell>
          <cell r="E282">
            <v>6</v>
          </cell>
          <cell r="F282">
            <v>0</v>
          </cell>
          <cell r="G282">
            <v>0</v>
          </cell>
        </row>
        <row r="283">
          <cell r="B283" t="str">
            <v>受付年月日</v>
          </cell>
          <cell r="C283">
            <v>0</v>
          </cell>
          <cell r="D283" t="str">
            <v>CHAR</v>
          </cell>
          <cell r="E283">
            <v>8</v>
          </cell>
          <cell r="F283">
            <v>0</v>
          </cell>
          <cell r="G283">
            <v>0</v>
          </cell>
        </row>
        <row r="284">
          <cell r="B284" t="str">
            <v>集合-市区郡ｺｰﾄﾞ</v>
          </cell>
          <cell r="C284">
            <v>0</v>
          </cell>
          <cell r="D284" t="str">
            <v>CHAR</v>
          </cell>
          <cell r="E284">
            <v>3</v>
          </cell>
          <cell r="F284">
            <v>0</v>
          </cell>
          <cell r="G284">
            <v>0</v>
          </cell>
        </row>
        <row r="285">
          <cell r="B285" t="str">
            <v>集合-府県ｺｰﾄﾞ</v>
          </cell>
          <cell r="C285">
            <v>0</v>
          </cell>
          <cell r="D285" t="str">
            <v>CHAR</v>
          </cell>
          <cell r="E285">
            <v>2</v>
          </cell>
          <cell r="F285">
            <v>0</v>
          </cell>
          <cell r="G285">
            <v>0</v>
          </cell>
        </row>
        <row r="286">
          <cell r="B286" t="str">
            <v>集約施設ｺｰﾄﾞ</v>
          </cell>
          <cell r="C286">
            <v>0</v>
          </cell>
          <cell r="D286" t="str">
            <v>CHAR</v>
          </cell>
          <cell r="E286">
            <v>7</v>
          </cell>
          <cell r="F286">
            <v>0</v>
          </cell>
          <cell r="G286">
            <v>0</v>
          </cell>
        </row>
        <row r="287">
          <cell r="B287" t="str">
            <v>住所/県</v>
          </cell>
          <cell r="C287">
            <v>0</v>
          </cell>
          <cell r="D287" t="str">
            <v>VARCHAR2</v>
          </cell>
          <cell r="E287">
            <v>10</v>
          </cell>
          <cell r="F287">
            <v>0</v>
          </cell>
          <cell r="G287">
            <v>0</v>
          </cell>
        </row>
        <row r="288">
          <cell r="B288" t="str">
            <v>住所/市区郡</v>
          </cell>
          <cell r="C288">
            <v>0</v>
          </cell>
          <cell r="D288" t="str">
            <v>VARCHAR2</v>
          </cell>
          <cell r="E288">
            <v>14</v>
          </cell>
          <cell r="F288">
            <v>0</v>
          </cell>
          <cell r="G288">
            <v>0</v>
          </cell>
        </row>
        <row r="289">
          <cell r="B289" t="str">
            <v>住所/町村</v>
          </cell>
          <cell r="C289">
            <v>0</v>
          </cell>
          <cell r="D289" t="str">
            <v>VARCHAR2</v>
          </cell>
          <cell r="E289">
            <v>22</v>
          </cell>
          <cell r="F289">
            <v>0</v>
          </cell>
          <cell r="G289">
            <v>0</v>
          </cell>
        </row>
        <row r="290">
          <cell r="B290" t="str">
            <v>住所ｺｰﾄﾞ・県</v>
          </cell>
          <cell r="C290">
            <v>0</v>
          </cell>
          <cell r="D290" t="str">
            <v>CHAR</v>
          </cell>
          <cell r="E290">
            <v>2</v>
          </cell>
          <cell r="F290">
            <v>0</v>
          </cell>
          <cell r="G290">
            <v>0</v>
          </cell>
        </row>
        <row r="291">
          <cell r="B291" t="str">
            <v>住所ｺｰﾄﾞ・市区町村</v>
          </cell>
          <cell r="C291">
            <v>0</v>
          </cell>
          <cell r="D291" t="str">
            <v>CHAR</v>
          </cell>
          <cell r="E291">
            <v>3</v>
          </cell>
          <cell r="F291">
            <v>0</v>
          </cell>
          <cell r="G291">
            <v>0</v>
          </cell>
        </row>
        <row r="292">
          <cell r="B292" t="str">
            <v>住所ｺｰﾄﾞ・字丁目</v>
          </cell>
          <cell r="C292">
            <v>0</v>
          </cell>
          <cell r="D292" t="str">
            <v>CHAR</v>
          </cell>
          <cell r="E292">
            <v>3</v>
          </cell>
          <cell r="F292">
            <v>0</v>
          </cell>
          <cell r="G292">
            <v>0</v>
          </cell>
        </row>
        <row r="293">
          <cell r="B293" t="str">
            <v>住所ｺｰﾄﾞ・大字通称</v>
          </cell>
          <cell r="C293">
            <v>0</v>
          </cell>
          <cell r="D293" t="str">
            <v>CHAR</v>
          </cell>
          <cell r="E293">
            <v>3</v>
          </cell>
          <cell r="F293">
            <v>0</v>
          </cell>
          <cell r="G293">
            <v>0</v>
          </cell>
        </row>
        <row r="294">
          <cell r="B294" t="str">
            <v>住所不明ｺｰﾄﾞ</v>
          </cell>
          <cell r="C294">
            <v>0</v>
          </cell>
          <cell r="D294" t="str">
            <v>CHAR</v>
          </cell>
          <cell r="E294">
            <v>1</v>
          </cell>
          <cell r="F294">
            <v>0</v>
          </cell>
          <cell r="G294">
            <v>0</v>
          </cell>
        </row>
        <row r="295">
          <cell r="B295" t="str">
            <v>住所不明理由</v>
          </cell>
          <cell r="C295">
            <v>0</v>
          </cell>
          <cell r="D295" t="str">
            <v>VARCHAR2</v>
          </cell>
          <cell r="E295">
            <v>24</v>
          </cell>
          <cell r="F295">
            <v>0</v>
          </cell>
          <cell r="G295">
            <v>0</v>
          </cell>
        </row>
        <row r="296">
          <cell r="B296" t="str">
            <v>従業員区分</v>
          </cell>
          <cell r="C296">
            <v>0</v>
          </cell>
          <cell r="D296" t="str">
            <v>CHAR</v>
          </cell>
          <cell r="E296">
            <v>2</v>
          </cell>
          <cell r="F296">
            <v>0</v>
          </cell>
          <cell r="G296" t="str">
            <v>'DO'/'SO'/'SV'/'WS'/'MR'</v>
          </cell>
        </row>
        <row r="297">
          <cell r="B297" t="str">
            <v>従業員番号</v>
          </cell>
          <cell r="C297">
            <v>0</v>
          </cell>
          <cell r="D297" t="str">
            <v>CHAR</v>
          </cell>
          <cell r="E297">
            <v>6</v>
          </cell>
          <cell r="F297">
            <v>0</v>
          </cell>
          <cell r="G297">
            <v>0</v>
          </cell>
        </row>
        <row r="298">
          <cell r="B298" t="str">
            <v>従業員名ｶﾅ</v>
          </cell>
          <cell r="C298">
            <v>0</v>
          </cell>
          <cell r="D298" t="str">
            <v>VARCHAR2</v>
          </cell>
          <cell r="E298">
            <v>20</v>
          </cell>
          <cell r="F298">
            <v>0</v>
          </cell>
          <cell r="G298">
            <v>0</v>
          </cell>
        </row>
        <row r="299">
          <cell r="B299" t="str">
            <v>従業員名漢字</v>
          </cell>
          <cell r="C299">
            <v>0</v>
          </cell>
          <cell r="D299" t="str">
            <v>VARCHAR2</v>
          </cell>
          <cell r="E299">
            <v>20</v>
          </cell>
          <cell r="F299">
            <v>0</v>
          </cell>
          <cell r="G299">
            <v>0</v>
          </cell>
        </row>
        <row r="300">
          <cell r="B300" t="str">
            <v>重複医師ｺｰﾄﾞ</v>
          </cell>
          <cell r="C300">
            <v>0</v>
          </cell>
          <cell r="D300" t="str">
            <v>CHAR</v>
          </cell>
          <cell r="E300">
            <v>6</v>
          </cell>
          <cell r="F300">
            <v>0</v>
          </cell>
          <cell r="G300" t="str">
            <v>DCF医師ｺｰﾄﾞ？</v>
          </cell>
        </row>
        <row r="301">
          <cell r="B301" t="str">
            <v>重複医師ｺｰﾄﾞ予備</v>
          </cell>
          <cell r="C301">
            <v>0</v>
          </cell>
          <cell r="D301" t="str">
            <v>CHAR</v>
          </cell>
          <cell r="E301">
            <v>2</v>
          </cell>
          <cell r="F301">
            <v>0</v>
          </cell>
          <cell r="G301">
            <v>0</v>
          </cell>
        </row>
        <row r="302">
          <cell r="B302" t="str">
            <v>重複医師ﾚｺｰﾄﾞ区分</v>
          </cell>
          <cell r="C302">
            <v>0</v>
          </cell>
          <cell r="D302" t="str">
            <v>CHAR</v>
          </cell>
          <cell r="E302">
            <v>2</v>
          </cell>
          <cell r="F302">
            <v>0</v>
          </cell>
          <cell r="G302">
            <v>0</v>
          </cell>
        </row>
        <row r="303">
          <cell r="B303" t="str">
            <v>重複施設ｺｰﾄﾞ</v>
          </cell>
          <cell r="C303">
            <v>0</v>
          </cell>
          <cell r="D303" t="str">
            <v>CHAR</v>
          </cell>
          <cell r="E303">
            <v>7</v>
          </cell>
          <cell r="F303">
            <v>0</v>
          </cell>
          <cell r="G303" t="str">
            <v>DCF施設ｺｰﾄﾞ？</v>
          </cell>
        </row>
        <row r="304">
          <cell r="B304" t="str">
            <v>重複施設ｺｰﾄﾞ予備</v>
          </cell>
          <cell r="C304">
            <v>0</v>
          </cell>
          <cell r="D304" t="str">
            <v>CHAR</v>
          </cell>
          <cell r="E304">
            <v>2</v>
          </cell>
          <cell r="F304">
            <v>0</v>
          </cell>
          <cell r="G304">
            <v>0</v>
          </cell>
        </row>
        <row r="305">
          <cell r="B305" t="str">
            <v>重複施設ﾚｺｰﾄﾞ区分</v>
          </cell>
          <cell r="C305">
            <v>0</v>
          </cell>
          <cell r="D305" t="str">
            <v>CHAR</v>
          </cell>
          <cell r="E305">
            <v>2</v>
          </cell>
          <cell r="F305">
            <v>0</v>
          </cell>
          <cell r="G305">
            <v>0</v>
          </cell>
        </row>
        <row r="306">
          <cell r="B306" t="str">
            <v>重複時相手先ｺｰﾄﾞ？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 t="str">
            <v>施設・医師情報内</v>
          </cell>
        </row>
        <row r="307">
          <cell r="B307" t="str">
            <v>出身校ｺｰﾄﾞ</v>
          </cell>
          <cell r="C307">
            <v>0</v>
          </cell>
          <cell r="D307" t="str">
            <v>CHAR</v>
          </cell>
          <cell r="E307">
            <v>3</v>
          </cell>
          <cell r="F307">
            <v>0</v>
          </cell>
          <cell r="G307">
            <v>0</v>
          </cell>
        </row>
        <row r="308">
          <cell r="B308" t="str">
            <v>出身地ｺｰﾄﾞ</v>
          </cell>
          <cell r="C308">
            <v>0</v>
          </cell>
          <cell r="D308" t="str">
            <v>CHAR</v>
          </cell>
          <cell r="E308">
            <v>2</v>
          </cell>
          <cell r="F308">
            <v>0</v>
          </cell>
          <cell r="G308">
            <v>0</v>
          </cell>
        </row>
        <row r="309">
          <cell r="B309" t="str">
            <v>処方薬効割合</v>
          </cell>
          <cell r="C309">
            <v>0</v>
          </cell>
          <cell r="D309" t="str">
            <v>VARCHAR2</v>
          </cell>
          <cell r="E309">
            <v>4</v>
          </cell>
          <cell r="F309">
            <v>0</v>
          </cell>
          <cell r="G309" t="str">
            <v>0%～100%　　　　単位(%)付き</v>
          </cell>
        </row>
        <row r="310">
          <cell r="B310" t="str">
            <v>所属部課ｺｰﾄﾞ</v>
          </cell>
          <cell r="C310">
            <v>0</v>
          </cell>
          <cell r="D310" t="str">
            <v>CHAR</v>
          </cell>
          <cell r="E310">
            <v>4</v>
          </cell>
          <cell r="F310">
            <v>0</v>
          </cell>
          <cell r="G310">
            <v>0</v>
          </cell>
        </row>
        <row r="311">
          <cell r="B311" t="str">
            <v>所属部課分類ｺｰﾄﾞ</v>
          </cell>
          <cell r="D311" t="str">
            <v>CHAR</v>
          </cell>
          <cell r="E311">
            <v>2</v>
          </cell>
          <cell r="G311" t="str">
            <v>'A'/'B'/･…</v>
          </cell>
        </row>
        <row r="312">
          <cell r="B312" t="str">
            <v>所属部課分類名</v>
          </cell>
          <cell r="D312" t="str">
            <v>VARCHAR2</v>
          </cell>
          <cell r="E312">
            <v>32</v>
          </cell>
        </row>
        <row r="313">
          <cell r="B313" t="str">
            <v>所属部課名称</v>
          </cell>
          <cell r="C313">
            <v>0</v>
          </cell>
          <cell r="D313" t="str">
            <v>VARCHAR2</v>
          </cell>
          <cell r="E313">
            <v>20</v>
          </cell>
        </row>
        <row r="314">
          <cell r="B314" t="str">
            <v>抄録</v>
          </cell>
          <cell r="D314" t="str">
            <v>VARCHAR2</v>
          </cell>
          <cell r="E314">
            <v>1010</v>
          </cell>
          <cell r="F314">
            <v>0</v>
          </cell>
          <cell r="G314" t="str">
            <v>202文字×5行</v>
          </cell>
        </row>
        <row r="315">
          <cell r="B315" t="str">
            <v>抄録番号</v>
          </cell>
          <cell r="D315" t="str">
            <v>char</v>
          </cell>
          <cell r="E315">
            <v>9</v>
          </cell>
          <cell r="F315">
            <v>0</v>
          </cell>
          <cell r="G315" t="str">
            <v>年(4)＋連番(5)</v>
          </cell>
        </row>
        <row r="316">
          <cell r="B316" t="str">
            <v>紹介・外来型病院</v>
          </cell>
          <cell r="C316">
            <v>0</v>
          </cell>
          <cell r="D316" t="str">
            <v>CHAR</v>
          </cell>
          <cell r="E316">
            <v>1</v>
          </cell>
          <cell r="F316">
            <v>0</v>
          </cell>
          <cell r="G316">
            <v>0</v>
          </cell>
        </row>
        <row r="317">
          <cell r="B317" t="str">
            <v>上司ｺﾒﾝﾄSOM</v>
          </cell>
          <cell r="D317" t="str">
            <v>VARCHAR2</v>
          </cell>
          <cell r="E317">
            <v>1024</v>
          </cell>
        </row>
        <row r="318">
          <cell r="B318" t="str">
            <v>上司閲覧ﾌﾗｸﾞSV</v>
          </cell>
          <cell r="D318" t="str">
            <v>CHAR</v>
          </cell>
          <cell r="E318">
            <v>1</v>
          </cell>
          <cell r="G318" t="str">
            <v>Y'/'N'</v>
          </cell>
        </row>
        <row r="319">
          <cell r="B319" t="str">
            <v>上司ｺﾒﾝﾄSOM年月日時分</v>
          </cell>
          <cell r="D319" t="str">
            <v>CHAR</v>
          </cell>
          <cell r="E319">
            <v>12</v>
          </cell>
          <cell r="G319" t="str">
            <v>YYYYMMDDhhmm</v>
          </cell>
        </row>
        <row r="320">
          <cell r="B320" t="str">
            <v>上司ｺﾒﾝﾄSV</v>
          </cell>
          <cell r="D320" t="str">
            <v>VARCHAR2</v>
          </cell>
          <cell r="E320">
            <v>1024</v>
          </cell>
        </row>
        <row r="321">
          <cell r="B321" t="str">
            <v>上司閲覧ﾌﾗｸﾞSOM</v>
          </cell>
          <cell r="D321" t="str">
            <v>CHAR</v>
          </cell>
          <cell r="E321">
            <v>1</v>
          </cell>
          <cell r="G321" t="str">
            <v>Y'/'N'</v>
          </cell>
        </row>
        <row r="322">
          <cell r="B322" t="str">
            <v>上司ｺﾒﾝﾄSV年月日時分</v>
          </cell>
          <cell r="D322" t="str">
            <v>CHAR</v>
          </cell>
          <cell r="E322">
            <v>12</v>
          </cell>
          <cell r="G322" t="str">
            <v>YYYYMMDDhhmm</v>
          </cell>
        </row>
        <row r="323">
          <cell r="B323" t="str">
            <v>心臓財団派遣年度</v>
          </cell>
          <cell r="C323">
            <v>0</v>
          </cell>
          <cell r="D323" t="str">
            <v>CHAR</v>
          </cell>
          <cell r="E323">
            <v>4</v>
          </cell>
          <cell r="F323">
            <v>0</v>
          </cell>
          <cell r="G323">
            <v>0</v>
          </cell>
        </row>
        <row r="324">
          <cell r="B324" t="str">
            <v>新詳細区分</v>
          </cell>
          <cell r="C324">
            <v>0</v>
          </cell>
          <cell r="D324" t="str">
            <v>CHAR</v>
          </cell>
          <cell r="E324">
            <v>2</v>
          </cell>
          <cell r="F324">
            <v>0</v>
          </cell>
          <cell r="G324">
            <v>0</v>
          </cell>
        </row>
        <row r="325">
          <cell r="B325" t="str">
            <v>診療科目ｺｰﾄﾞ</v>
          </cell>
          <cell r="C325">
            <v>0</v>
          </cell>
          <cell r="D325" t="str">
            <v>CHAR</v>
          </cell>
          <cell r="E325">
            <v>3</v>
          </cell>
        </row>
        <row r="326">
          <cell r="B326" t="str">
            <v>診療科目ｺｰﾄﾞ01</v>
          </cell>
          <cell r="C326">
            <v>0</v>
          </cell>
          <cell r="D326" t="str">
            <v>CHAR</v>
          </cell>
          <cell r="E326">
            <v>3</v>
          </cell>
        </row>
        <row r="327">
          <cell r="B327" t="str">
            <v>診療科目ｺｰﾄﾞ02</v>
          </cell>
          <cell r="C327">
            <v>0</v>
          </cell>
          <cell r="D327" t="str">
            <v>CHAR</v>
          </cell>
          <cell r="E327">
            <v>3</v>
          </cell>
        </row>
        <row r="328">
          <cell r="B328" t="str">
            <v>診療科目ｺｰﾄﾞ03</v>
          </cell>
          <cell r="C328">
            <v>0</v>
          </cell>
          <cell r="D328" t="str">
            <v>CHAR</v>
          </cell>
          <cell r="E328">
            <v>3</v>
          </cell>
        </row>
        <row r="329">
          <cell r="B329" t="str">
            <v>診療科目ｺｰﾄﾞ04</v>
          </cell>
          <cell r="C329">
            <v>0</v>
          </cell>
          <cell r="D329" t="str">
            <v>CHAR</v>
          </cell>
          <cell r="E329">
            <v>3</v>
          </cell>
        </row>
        <row r="330">
          <cell r="B330" t="str">
            <v>診療科目ｺｰﾄﾞ05</v>
          </cell>
          <cell r="C330">
            <v>0</v>
          </cell>
          <cell r="D330" t="str">
            <v>CHAR</v>
          </cell>
          <cell r="E330">
            <v>3</v>
          </cell>
        </row>
        <row r="331">
          <cell r="B331" t="str">
            <v>診療科目ｺｰﾄﾞ :</v>
          </cell>
          <cell r="C331">
            <v>0</v>
          </cell>
          <cell r="D331" t="str">
            <v>CHAR</v>
          </cell>
          <cell r="E331">
            <v>108</v>
          </cell>
        </row>
        <row r="332">
          <cell r="B332" t="str">
            <v xml:space="preserve">診療科目ｺｰﾄﾞ : </v>
          </cell>
          <cell r="C332">
            <v>0</v>
          </cell>
          <cell r="D332" t="str">
            <v>CHAR</v>
          </cell>
          <cell r="E332">
            <v>3</v>
          </cell>
        </row>
        <row r="333">
          <cell r="B333" t="str">
            <v>診療科目ｺｰﾄﾞ40</v>
          </cell>
          <cell r="C333">
            <v>0</v>
          </cell>
          <cell r="D333" t="str">
            <v>CHAR</v>
          </cell>
          <cell r="E333">
            <v>3</v>
          </cell>
        </row>
        <row r="334">
          <cell r="B334" t="str">
            <v>診療科目ﾀｰｹﾞｯﾃｨﾝｸﾞ</v>
          </cell>
          <cell r="C334">
            <v>0</v>
          </cell>
          <cell r="D334" t="str">
            <v>CHAR</v>
          </cell>
          <cell r="E334">
            <v>5</v>
          </cell>
          <cell r="G334" t="str">
            <v>ﾀｰｹﾞｯﾃｨﾝｸﾞ用項目。</v>
          </cell>
        </row>
        <row r="335">
          <cell r="B335" t="str">
            <v>診療科目名称</v>
          </cell>
          <cell r="C335">
            <v>0</v>
          </cell>
          <cell r="D335" t="str">
            <v>VARCHAR2</v>
          </cell>
          <cell r="E335">
            <v>6</v>
          </cell>
        </row>
        <row r="336">
          <cell r="B336" t="str">
            <v>診療科目略名</v>
          </cell>
          <cell r="C336">
            <v>0</v>
          </cell>
          <cell r="D336" t="str">
            <v>VARCHAR2</v>
          </cell>
          <cell r="E336">
            <v>4</v>
          </cell>
        </row>
        <row r="337">
          <cell r="B337" t="str">
            <v>診療科目大分類ｺｰﾄﾞ</v>
          </cell>
          <cell r="C337">
            <v>0</v>
          </cell>
          <cell r="D337" t="str">
            <v>CHAR</v>
          </cell>
          <cell r="E337">
            <v>1</v>
          </cell>
        </row>
        <row r="338">
          <cell r="B338" t="str">
            <v>診療科目大分類名</v>
          </cell>
          <cell r="C338">
            <v>0</v>
          </cell>
          <cell r="D338" t="str">
            <v>VARCHAR2</v>
          </cell>
          <cell r="E338">
            <v>20</v>
          </cell>
        </row>
        <row r="339">
          <cell r="B339" t="str">
            <v>性別</v>
          </cell>
          <cell r="C339">
            <v>0</v>
          </cell>
          <cell r="D339" t="str">
            <v>VARCHAR2</v>
          </cell>
          <cell r="E339">
            <v>4</v>
          </cell>
          <cell r="F339">
            <v>0</v>
          </cell>
          <cell r="G339" t="str">
            <v>'1':男／'2':女／'9':不明</v>
          </cell>
        </row>
        <row r="340">
          <cell r="B340" t="str">
            <v>性別ｺｰﾄﾞ</v>
          </cell>
          <cell r="C340">
            <v>0</v>
          </cell>
          <cell r="D340" t="str">
            <v>CHAR</v>
          </cell>
          <cell r="E340">
            <v>1</v>
          </cell>
          <cell r="F340">
            <v>0</v>
          </cell>
          <cell r="G340" t="str">
            <v>'1'/'2'/'9'</v>
          </cell>
        </row>
        <row r="341">
          <cell r="B341" t="str">
            <v>正式施設名ｶﾅ</v>
          </cell>
          <cell r="C341">
            <v>0</v>
          </cell>
          <cell r="D341" t="str">
            <v>VARCHAR2</v>
          </cell>
          <cell r="E341">
            <v>40</v>
          </cell>
          <cell r="F341">
            <v>0</v>
          </cell>
          <cell r="G341">
            <v>0</v>
          </cell>
        </row>
        <row r="342">
          <cell r="B342" t="str">
            <v>正式施設名漢字</v>
          </cell>
          <cell r="C342">
            <v>0</v>
          </cell>
          <cell r="D342" t="str">
            <v>VARCHAR2</v>
          </cell>
          <cell r="E342">
            <v>62</v>
          </cell>
          <cell r="F342">
            <v>0</v>
          </cell>
          <cell r="G342">
            <v>0</v>
          </cell>
        </row>
        <row r="343">
          <cell r="B343" t="str">
            <v>生年月日</v>
          </cell>
          <cell r="C343">
            <v>0</v>
          </cell>
          <cell r="D343" t="str">
            <v>CHAR</v>
          </cell>
          <cell r="E343">
            <v>8</v>
          </cell>
          <cell r="F343">
            <v>0</v>
          </cell>
          <cell r="G343">
            <v>0</v>
          </cell>
        </row>
        <row r="344">
          <cell r="B344" t="str">
            <v>精神病棟ﾌﾗｸﾞ</v>
          </cell>
          <cell r="D344" t="str">
            <v>CHAR</v>
          </cell>
          <cell r="E344">
            <v>1</v>
          </cell>
          <cell r="F344">
            <v>0</v>
          </cell>
        </row>
        <row r="345">
          <cell r="B345" t="str">
            <v>製品ｺｰﾄﾞ</v>
          </cell>
          <cell r="C345">
            <v>0</v>
          </cell>
          <cell r="D345" t="str">
            <v>CHAR</v>
          </cell>
          <cell r="E345">
            <v>2</v>
          </cell>
          <cell r="F345">
            <v>0</v>
          </cell>
          <cell r="G345" t="str">
            <v>品目ﾌﾞﾚｲｸ集計ｺｰﾄﾞ#3</v>
          </cell>
        </row>
        <row r="346">
          <cell r="B346" t="str">
            <v>製品名漢字</v>
          </cell>
          <cell r="C346">
            <v>0</v>
          </cell>
          <cell r="D346" t="str">
            <v>VARCHAR2</v>
          </cell>
          <cell r="E346">
            <v>22</v>
          </cell>
          <cell r="F346">
            <v>0</v>
          </cell>
          <cell r="G346">
            <v>0</v>
          </cell>
        </row>
        <row r="347">
          <cell r="B347" t="str">
            <v>先端医療機器設置病院ﾌﾗｸﾞ</v>
          </cell>
          <cell r="D347" t="str">
            <v>CHAR</v>
          </cell>
          <cell r="E347">
            <v>1</v>
          </cell>
          <cell r="F347">
            <v>0</v>
          </cell>
        </row>
        <row r="348">
          <cell r="B348" t="str">
            <v>戦略区分</v>
          </cell>
          <cell r="C348">
            <v>0</v>
          </cell>
          <cell r="D348" t="str">
            <v>CHAR</v>
          </cell>
          <cell r="E348">
            <v>1</v>
          </cell>
          <cell r="F348">
            <v>0</v>
          </cell>
          <cell r="G348">
            <v>0</v>
          </cell>
        </row>
        <row r="349">
          <cell r="B349" t="str">
            <v>前年同期軒数</v>
          </cell>
          <cell r="D349" t="str">
            <v>NUMBER</v>
          </cell>
          <cell r="E349">
            <v>7</v>
          </cell>
          <cell r="F349">
            <v>0</v>
          </cell>
          <cell r="G349" t="str">
            <v>前半期1月又は7月～当月の半期軒数</v>
          </cell>
        </row>
        <row r="350">
          <cell r="B350" t="str">
            <v>前々期軒数</v>
          </cell>
          <cell r="D350" t="str">
            <v>NUMBER</v>
          </cell>
          <cell r="E350">
            <v>7</v>
          </cell>
          <cell r="F350">
            <v>0</v>
          </cell>
          <cell r="G350" t="str">
            <v>前々半期の軒数　画面上は"前年同期"と表示</v>
          </cell>
        </row>
        <row r="351">
          <cell r="B351" t="str">
            <v>前期軒数</v>
          </cell>
          <cell r="D351" t="str">
            <v>NUMBER</v>
          </cell>
          <cell r="E351">
            <v>7</v>
          </cell>
          <cell r="F351">
            <v>0</v>
          </cell>
          <cell r="G351" t="str">
            <v>前半期の軒数</v>
          </cell>
        </row>
        <row r="352">
          <cell r="B352" t="str">
            <v>前年同期本数</v>
          </cell>
          <cell r="D352" t="str">
            <v>NUMBER</v>
          </cell>
          <cell r="E352">
            <v>8</v>
          </cell>
          <cell r="F352">
            <v>0</v>
          </cell>
          <cell r="G352" t="str">
            <v>前年1月～当月の累計金額</v>
          </cell>
        </row>
        <row r="353">
          <cell r="B353" t="str">
            <v>前年同期金額</v>
          </cell>
          <cell r="C353">
            <v>0</v>
          </cell>
          <cell r="D353" t="str">
            <v>NUMBER</v>
          </cell>
          <cell r="E353">
            <v>11</v>
          </cell>
          <cell r="F353">
            <v>0</v>
          </cell>
          <cell r="G353" t="str">
            <v>前年1月～当月の累計金額</v>
          </cell>
        </row>
        <row r="354">
          <cell r="B354" t="str">
            <v>病床数・定員</v>
          </cell>
          <cell r="C354">
            <v>0</v>
          </cell>
          <cell r="D354" t="str">
            <v>NUMBER</v>
          </cell>
          <cell r="E354">
            <v>4</v>
          </cell>
          <cell r="F354">
            <v>0</v>
          </cell>
          <cell r="G354">
            <v>0</v>
          </cell>
        </row>
        <row r="355">
          <cell r="B355" t="str">
            <v>卒業年</v>
          </cell>
          <cell r="C355">
            <v>0</v>
          </cell>
          <cell r="D355" t="str">
            <v>CHAR</v>
          </cell>
          <cell r="E355">
            <v>4</v>
          </cell>
          <cell r="F355">
            <v>0</v>
          </cell>
          <cell r="G355">
            <v>0</v>
          </cell>
        </row>
        <row r="356">
          <cell r="B356" t="str">
            <v>対象区分</v>
          </cell>
          <cell r="C356">
            <v>0</v>
          </cell>
          <cell r="D356" t="str">
            <v>CHAR</v>
          </cell>
          <cell r="E356">
            <v>1</v>
          </cell>
          <cell r="F356">
            <v>0</v>
          </cell>
          <cell r="G356">
            <v>0</v>
          </cell>
        </row>
        <row r="357">
          <cell r="B357" t="str">
            <v>対象区分英字</v>
          </cell>
          <cell r="C357">
            <v>0</v>
          </cell>
          <cell r="D357" t="str">
            <v>CHAR</v>
          </cell>
          <cell r="E357">
            <v>1</v>
          </cell>
          <cell r="F357">
            <v>0</v>
          </cell>
          <cell r="G357" t="str">
            <v>'U'/'H'/'P'/'D'</v>
          </cell>
        </row>
        <row r="358">
          <cell r="B358" t="str">
            <v>大学区分ｺｰﾄﾞ</v>
          </cell>
          <cell r="C358">
            <v>0</v>
          </cell>
          <cell r="D358" t="str">
            <v>CHAR</v>
          </cell>
          <cell r="E358">
            <v>2</v>
          </cell>
          <cell r="F358">
            <v>0</v>
          </cell>
          <cell r="G358" t="str">
            <v>ﾌﾞﾘｯｸｺｰﾄﾞ#6</v>
          </cell>
        </row>
        <row r="359">
          <cell r="B359" t="str">
            <v>大学区分名</v>
          </cell>
          <cell r="C359">
            <v>0</v>
          </cell>
          <cell r="D359" t="str">
            <v>VARCHAR2</v>
          </cell>
          <cell r="E359">
            <v>4</v>
          </cell>
          <cell r="F359">
            <v>0</v>
          </cell>
          <cell r="G359">
            <v>0</v>
          </cell>
        </row>
        <row r="360">
          <cell r="B360" t="str">
            <v>第二薬局区分</v>
          </cell>
          <cell r="C360">
            <v>0</v>
          </cell>
          <cell r="D360" t="str">
            <v>CHAR</v>
          </cell>
          <cell r="E360">
            <v>1</v>
          </cell>
          <cell r="F360">
            <v>0</v>
          </cell>
          <cell r="G360">
            <v>0</v>
          </cell>
        </row>
        <row r="361">
          <cell r="B361" t="str">
            <v>担当期間From</v>
          </cell>
          <cell r="C361">
            <v>0</v>
          </cell>
          <cell r="D361" t="str">
            <v>CHAR</v>
          </cell>
          <cell r="E361">
            <v>8</v>
          </cell>
          <cell r="F361">
            <v>0</v>
          </cell>
          <cell r="G361">
            <v>0</v>
          </cell>
        </row>
        <row r="362">
          <cell r="B362" t="str">
            <v>担当期間To</v>
          </cell>
          <cell r="C362">
            <v>0</v>
          </cell>
          <cell r="D362" t="str">
            <v>CHAR</v>
          </cell>
          <cell r="E362">
            <v>8</v>
          </cell>
          <cell r="F362">
            <v>0</v>
          </cell>
          <cell r="G362">
            <v>0</v>
          </cell>
        </row>
        <row r="363">
          <cell r="B363" t="str">
            <v>担当区分</v>
          </cell>
          <cell r="C363">
            <v>0</v>
          </cell>
          <cell r="D363" t="str">
            <v>CHAR</v>
          </cell>
          <cell r="E363">
            <v>2</v>
          </cell>
          <cell r="F363">
            <v>0</v>
          </cell>
          <cell r="G363" t="str">
            <v>'U '/'UH'/'H '/'HP'/'P '</v>
          </cell>
        </row>
        <row r="364">
          <cell r="B364" t="str">
            <v>担当者ｺｰﾄﾞ</v>
          </cell>
          <cell r="C364">
            <v>0</v>
          </cell>
          <cell r="D364" t="str">
            <v>CHAR</v>
          </cell>
          <cell r="E364">
            <v>4</v>
          </cell>
          <cell r="F364">
            <v>0</v>
          </cell>
          <cell r="G364" t="str">
            <v>基本的には従業員番号に1:1で対応。SFAでは参照ﾃﾞｰﾀ。</v>
          </cell>
        </row>
        <row r="365">
          <cell r="B365" t="str">
            <v>値引後単価</v>
          </cell>
          <cell r="C365">
            <v>0</v>
          </cell>
          <cell r="D365" t="str">
            <v>NUMBER</v>
          </cell>
          <cell r="E365">
            <v>9</v>
          </cell>
          <cell r="F365">
            <v>0</v>
          </cell>
          <cell r="G365" t="str">
            <v>単位：円</v>
          </cell>
        </row>
        <row r="366">
          <cell r="B366" t="str">
            <v>値引前単価</v>
          </cell>
          <cell r="C366">
            <v>0</v>
          </cell>
          <cell r="D366" t="str">
            <v>NUMBER</v>
          </cell>
          <cell r="E366">
            <v>9</v>
          </cell>
          <cell r="F366">
            <v>0</v>
          </cell>
          <cell r="G366" t="str">
            <v>単位：円</v>
          </cell>
        </row>
        <row r="367">
          <cell r="B367" t="str">
            <v>直近面接日</v>
          </cell>
          <cell r="C367">
            <v>0</v>
          </cell>
          <cell r="D367" t="str">
            <v>CHAR</v>
          </cell>
          <cell r="E367">
            <v>8</v>
          </cell>
          <cell r="F367">
            <v>0</v>
          </cell>
          <cell r="G367">
            <v>0</v>
          </cell>
        </row>
        <row r="368">
          <cell r="B368" t="str">
            <v>転送年月日</v>
          </cell>
          <cell r="C368">
            <v>0</v>
          </cell>
          <cell r="D368" t="str">
            <v>CHAR</v>
          </cell>
          <cell r="E368">
            <v>8</v>
          </cell>
          <cell r="F368">
            <v>0</v>
          </cell>
          <cell r="G368">
            <v>0</v>
          </cell>
        </row>
        <row r="369">
          <cell r="B369" t="str">
            <v>伝票番号</v>
          </cell>
          <cell r="C369">
            <v>0</v>
          </cell>
          <cell r="D369" t="str">
            <v>VARCHAR2</v>
          </cell>
          <cell r="E369">
            <v>60</v>
          </cell>
          <cell r="F369">
            <v>0</v>
          </cell>
          <cell r="G369">
            <v>0</v>
          </cell>
        </row>
        <row r="370">
          <cell r="B370" t="str">
            <v>投稿時施設名</v>
          </cell>
          <cell r="D370" t="str">
            <v>VARCHAR2</v>
          </cell>
          <cell r="E370">
            <v>62</v>
          </cell>
          <cell r="F370">
            <v>0</v>
          </cell>
        </row>
        <row r="371">
          <cell r="B371" t="str">
            <v>投稿時所属部課</v>
          </cell>
          <cell r="D371" t="str">
            <v>VARCHAR2</v>
          </cell>
          <cell r="E371">
            <v>32</v>
          </cell>
          <cell r="F371">
            <v>0</v>
          </cell>
          <cell r="G371" t="str">
            <v>当半期の軒数</v>
          </cell>
        </row>
        <row r="372">
          <cell r="B372" t="str">
            <v>当期軒数</v>
          </cell>
          <cell r="C372">
            <v>0</v>
          </cell>
          <cell r="D372" t="str">
            <v>NUMBER</v>
          </cell>
          <cell r="E372">
            <v>7</v>
          </cell>
          <cell r="F372">
            <v>0</v>
          </cell>
          <cell r="G372" t="str">
            <v>当半期の軒数</v>
          </cell>
        </row>
        <row r="373">
          <cell r="B373" t="str">
            <v>特定機能病院・取消年月日</v>
          </cell>
          <cell r="C373">
            <v>0</v>
          </cell>
          <cell r="D373" t="str">
            <v>CHAR</v>
          </cell>
          <cell r="E373">
            <v>8</v>
          </cell>
          <cell r="F373">
            <v>0</v>
          </cell>
          <cell r="G373" t="str">
            <v>yyyymmdd</v>
          </cell>
        </row>
        <row r="374">
          <cell r="B374" t="str">
            <v>特定機能病院・承認年月日</v>
          </cell>
          <cell r="C374">
            <v>0</v>
          </cell>
          <cell r="D374" t="str">
            <v>CHAR</v>
          </cell>
          <cell r="E374">
            <v>1</v>
          </cell>
          <cell r="F374">
            <v>0</v>
          </cell>
          <cell r="G374" t="str">
            <v>yyyymmdd</v>
          </cell>
        </row>
        <row r="375">
          <cell r="B375" t="str">
            <v>特定機能病院ﾌﾗｸﾞ</v>
          </cell>
          <cell r="C375">
            <v>0</v>
          </cell>
          <cell r="D375" t="str">
            <v>CHAR</v>
          </cell>
          <cell r="E375">
            <v>1</v>
          </cell>
          <cell r="F375">
            <v>0</v>
          </cell>
          <cell r="G375" t="str">
            <v>会合対象先特約店名</v>
          </cell>
        </row>
        <row r="376">
          <cell r="B376" t="str">
            <v>特約店</v>
          </cell>
          <cell r="C376">
            <v>0</v>
          </cell>
          <cell r="D376" t="str">
            <v>VARCHAR2</v>
          </cell>
          <cell r="E376">
            <v>32</v>
          </cell>
          <cell r="F376">
            <v>0</v>
          </cell>
          <cell r="G376" t="str">
            <v>会合対象先特約店名</v>
          </cell>
        </row>
        <row r="377">
          <cell r="B377" t="str">
            <v>特約店ｺｰﾄﾞ</v>
          </cell>
          <cell r="C377">
            <v>0</v>
          </cell>
          <cell r="D377" t="str">
            <v>CHAR</v>
          </cell>
          <cell r="E377">
            <v>4</v>
          </cell>
          <cell r="F377">
            <v>0</v>
          </cell>
          <cell r="G377">
            <v>0</v>
          </cell>
        </row>
        <row r="378">
          <cell r="B378" t="str">
            <v>特約店組織ﾚﾍﾞﾙ</v>
          </cell>
          <cell r="C378">
            <v>0</v>
          </cell>
          <cell r="D378" t="str">
            <v>CHAR</v>
          </cell>
          <cell r="E378">
            <v>14</v>
          </cell>
          <cell r="F378">
            <v>0</v>
          </cell>
          <cell r="G378">
            <v>0</v>
          </cell>
        </row>
        <row r="379">
          <cell r="B379" t="str">
            <v>特約店組織ﾚﾍﾞﾙ1</v>
          </cell>
          <cell r="C379">
            <v>0</v>
          </cell>
          <cell r="D379" t="str">
            <v>CHAR</v>
          </cell>
          <cell r="E379">
            <v>4</v>
          </cell>
          <cell r="F379">
            <v>0</v>
          </cell>
          <cell r="G379" t="str">
            <v>特約店組織ﾚﾍﾞﾙｺ-ﾄﾞ</v>
          </cell>
        </row>
        <row r="380">
          <cell r="B380" t="str">
            <v>特約店組織ﾚﾍﾞﾙ1名称漢字</v>
          </cell>
          <cell r="C380">
            <v>0</v>
          </cell>
          <cell r="D380" t="str">
            <v>VARCHAR2</v>
          </cell>
          <cell r="E380">
            <v>22</v>
          </cell>
          <cell r="F380">
            <v>0</v>
          </cell>
          <cell r="G380">
            <v>0</v>
          </cell>
        </row>
        <row r="381">
          <cell r="B381" t="str">
            <v>特約店組織ﾚﾍﾞﾙ2</v>
          </cell>
          <cell r="C381">
            <v>0</v>
          </cell>
          <cell r="D381" t="str">
            <v>CHAR</v>
          </cell>
          <cell r="E381">
            <v>2</v>
          </cell>
          <cell r="F381">
            <v>0</v>
          </cell>
          <cell r="G381" t="str">
            <v>特約店組織ﾚﾍﾞﾙｺ-ﾄﾞ</v>
          </cell>
        </row>
        <row r="382">
          <cell r="B382" t="str">
            <v>特約店組織ﾚﾍﾞﾙ2名称漢字</v>
          </cell>
          <cell r="C382">
            <v>0</v>
          </cell>
          <cell r="D382" t="str">
            <v>VARCHAR2</v>
          </cell>
          <cell r="E382">
            <v>12</v>
          </cell>
          <cell r="F382">
            <v>0</v>
          </cell>
          <cell r="G382">
            <v>0</v>
          </cell>
        </row>
        <row r="383">
          <cell r="B383" t="str">
            <v>特約店組織ﾚﾍﾞﾙ3</v>
          </cell>
          <cell r="C383">
            <v>0</v>
          </cell>
          <cell r="D383" t="str">
            <v>CHAR</v>
          </cell>
          <cell r="E383">
            <v>2</v>
          </cell>
          <cell r="F383">
            <v>0</v>
          </cell>
          <cell r="G383" t="str">
            <v>特約店組織ﾚﾍﾞﾙｺ-ﾄﾞ</v>
          </cell>
        </row>
        <row r="384">
          <cell r="B384" t="str">
            <v>特約店組織ﾚﾍﾞﾙ3名称漢字</v>
          </cell>
          <cell r="C384">
            <v>0</v>
          </cell>
          <cell r="D384" t="str">
            <v>VARCHAR2</v>
          </cell>
          <cell r="E384">
            <v>12</v>
          </cell>
          <cell r="F384">
            <v>0</v>
          </cell>
          <cell r="G384">
            <v>0</v>
          </cell>
        </row>
        <row r="385">
          <cell r="B385" t="str">
            <v>特約店組織ﾚﾍﾞﾙ4</v>
          </cell>
          <cell r="C385">
            <v>0</v>
          </cell>
          <cell r="D385" t="str">
            <v>CHAR</v>
          </cell>
          <cell r="E385">
            <v>2</v>
          </cell>
          <cell r="F385">
            <v>0</v>
          </cell>
          <cell r="G385" t="str">
            <v>特約店組織ﾚﾍﾞﾙｺ-ﾄﾞ</v>
          </cell>
        </row>
        <row r="386">
          <cell r="B386" t="str">
            <v>特約店組織ﾚﾍﾞﾙ4名称漢字</v>
          </cell>
          <cell r="C386">
            <v>0</v>
          </cell>
          <cell r="D386" t="str">
            <v>VARCHAR2</v>
          </cell>
          <cell r="E386">
            <v>12</v>
          </cell>
          <cell r="F386">
            <v>0</v>
          </cell>
          <cell r="G386">
            <v>0</v>
          </cell>
        </row>
        <row r="387">
          <cell r="B387" t="str">
            <v>特約店組織ﾚﾍﾞﾙ5</v>
          </cell>
          <cell r="C387">
            <v>0</v>
          </cell>
          <cell r="D387" t="str">
            <v>VARCHAR2</v>
          </cell>
          <cell r="E387">
            <v>12</v>
          </cell>
          <cell r="F387">
            <v>0</v>
          </cell>
          <cell r="G387">
            <v>0</v>
          </cell>
        </row>
        <row r="388">
          <cell r="B388" t="str">
            <v>特約店組織ﾚﾍﾞﾙ5名称漢字</v>
          </cell>
          <cell r="D388" t="str">
            <v>VARCHAR2</v>
          </cell>
          <cell r="E388">
            <v>12</v>
          </cell>
          <cell r="F388">
            <v>0</v>
          </cell>
          <cell r="G388">
            <v>0</v>
          </cell>
        </row>
        <row r="389">
          <cell r="B389" t="str">
            <v>特約店組織ﾚﾍﾞﾙ6</v>
          </cell>
          <cell r="D389" t="str">
            <v>CHAR</v>
          </cell>
          <cell r="E389">
            <v>2</v>
          </cell>
          <cell r="F389">
            <v>0</v>
          </cell>
          <cell r="G389" t="str">
            <v>特約店組織ﾚﾍﾞﾙｺ-ﾄﾞ</v>
          </cell>
        </row>
        <row r="390">
          <cell r="B390" t="str">
            <v>特約店組織ﾚﾍﾞﾙ6名称漢字</v>
          </cell>
          <cell r="D390" t="str">
            <v>VARCHAR2</v>
          </cell>
          <cell r="E390">
            <v>12</v>
          </cell>
          <cell r="F390">
            <v>0</v>
          </cell>
          <cell r="G390">
            <v>0</v>
          </cell>
        </row>
        <row r="391">
          <cell r="B391" t="str">
            <v>特約店組織略名称</v>
          </cell>
          <cell r="D391" t="str">
            <v>VARCHAR2</v>
          </cell>
          <cell r="E391">
            <v>32</v>
          </cell>
          <cell r="F391">
            <v>0</v>
          </cell>
          <cell r="G391">
            <v>0</v>
          </cell>
        </row>
        <row r="392">
          <cell r="B392" t="str">
            <v>特約店抽出施設ｺｰﾄﾞ</v>
          </cell>
          <cell r="D392" t="str">
            <v>CHAR</v>
          </cell>
          <cell r="E392">
            <v>10</v>
          </cell>
          <cell r="F392">
            <v>0</v>
          </cell>
          <cell r="G392">
            <v>0</v>
          </cell>
        </row>
        <row r="393">
          <cell r="B393" t="str">
            <v>特約店抽出組織ｺｰﾄﾞ</v>
          </cell>
          <cell r="D393" t="str">
            <v>CHAR</v>
          </cell>
          <cell r="E393">
            <v>15</v>
          </cell>
          <cell r="F393">
            <v>0</v>
          </cell>
          <cell r="G393">
            <v>0</v>
          </cell>
        </row>
        <row r="394">
          <cell r="B394" t="str">
            <v>特例許可老人病院ﾌﾗｸﾞ</v>
          </cell>
          <cell r="D394" t="str">
            <v>CHAR</v>
          </cell>
          <cell r="E394">
            <v>1</v>
          </cell>
          <cell r="F394">
            <v>0</v>
          </cell>
        </row>
        <row r="395">
          <cell r="B395" t="str">
            <v>内容</v>
          </cell>
          <cell r="C395">
            <v>0</v>
          </cell>
          <cell r="D395" t="str">
            <v>VARCHAR2</v>
          </cell>
          <cell r="E395">
            <v>1024</v>
          </cell>
          <cell r="F395">
            <v>0</v>
          </cell>
          <cell r="G395">
            <v>0</v>
          </cell>
        </row>
        <row r="396">
          <cell r="B396" t="str">
            <v>入院患者数</v>
          </cell>
          <cell r="C396">
            <v>0</v>
          </cell>
          <cell r="D396" t="str">
            <v>CHAR</v>
          </cell>
          <cell r="E396">
            <v>6</v>
          </cell>
          <cell r="F396">
            <v>0</v>
          </cell>
          <cell r="G396">
            <v>0</v>
          </cell>
        </row>
        <row r="397">
          <cell r="B397" t="str">
            <v>年月</v>
          </cell>
          <cell r="D397" t="str">
            <v>CHAR</v>
          </cell>
          <cell r="E397">
            <v>6</v>
          </cell>
        </row>
        <row r="398">
          <cell r="B398" t="str">
            <v>年月(ﾃﾞｨﾃｨｰﾙ)</v>
          </cell>
          <cell r="D398" t="str">
            <v>CHAR</v>
          </cell>
          <cell r="E398">
            <v>6</v>
          </cell>
          <cell r="G398" t="str">
            <v>1～4桁：年，　5･6桁：Q1～Q4(ｸｫｰﾀ)</v>
          </cell>
        </row>
        <row r="399">
          <cell r="B399" t="str">
            <v>年ｸｫｰﾀ(ﾃﾞｨﾃｨｰﾙ)</v>
          </cell>
          <cell r="C399">
            <v>0</v>
          </cell>
          <cell r="D399" t="str">
            <v>CHAR</v>
          </cell>
          <cell r="E399">
            <v>6</v>
          </cell>
          <cell r="F399">
            <v>0</v>
          </cell>
          <cell r="G399" t="str">
            <v>1～4桁：年，　5･6桁：Q1～Q4(ｸｫｰﾀ)</v>
          </cell>
        </row>
        <row r="400">
          <cell r="B400" t="str">
            <v>納入価</v>
          </cell>
          <cell r="C400">
            <v>0</v>
          </cell>
          <cell r="D400" t="str">
            <v>NUMBER</v>
          </cell>
          <cell r="E400">
            <v>9</v>
          </cell>
          <cell r="F400">
            <v>0</v>
          </cell>
          <cell r="G400" t="str">
            <v>単位：円</v>
          </cell>
        </row>
        <row r="401">
          <cell r="B401" t="str">
            <v>納入金額</v>
          </cell>
          <cell r="C401">
            <v>0</v>
          </cell>
          <cell r="D401" t="str">
            <v>NUMBER</v>
          </cell>
          <cell r="E401">
            <v>171</v>
          </cell>
          <cell r="F401">
            <v>0</v>
          </cell>
          <cell r="G401" t="str">
            <v>単位：円</v>
          </cell>
        </row>
        <row r="402">
          <cell r="B402" t="str">
            <v>納入金額  ：</v>
          </cell>
          <cell r="D402" t="str">
            <v>NUMBER</v>
          </cell>
          <cell r="E402">
            <v>247</v>
          </cell>
          <cell r="F402">
            <v>0</v>
          </cell>
          <cell r="G402" t="str">
            <v>単位：円</v>
          </cell>
        </row>
        <row r="403">
          <cell r="B403" t="str">
            <v>納入金額  ：.</v>
          </cell>
          <cell r="D403" t="str">
            <v>NUMBER</v>
          </cell>
          <cell r="E403">
            <v>13</v>
          </cell>
          <cell r="F403">
            <v>0</v>
          </cell>
          <cell r="G403" t="str">
            <v>単位：円</v>
          </cell>
        </row>
        <row r="404">
          <cell r="B404" t="str">
            <v>納入金額 前年01月</v>
          </cell>
          <cell r="D404" t="str">
            <v>NUMBER</v>
          </cell>
          <cell r="E404">
            <v>13</v>
          </cell>
          <cell r="F404">
            <v>0</v>
          </cell>
          <cell r="G404" t="str">
            <v>単位：円</v>
          </cell>
        </row>
        <row r="405">
          <cell r="B405" t="str">
            <v>納入金額 当年12月</v>
          </cell>
          <cell r="D405" t="str">
            <v>NUMBER</v>
          </cell>
          <cell r="E405">
            <v>13</v>
          </cell>
          <cell r="F405">
            <v>0</v>
          </cell>
          <cell r="G405" t="str">
            <v>単位：円</v>
          </cell>
        </row>
        <row r="406">
          <cell r="B406" t="str">
            <v>納入金額 前年02月</v>
          </cell>
          <cell r="D406" t="str">
            <v>NUMBER</v>
          </cell>
          <cell r="E406">
            <v>13</v>
          </cell>
          <cell r="F406">
            <v>0</v>
          </cell>
          <cell r="G406" t="str">
            <v>単位：円</v>
          </cell>
        </row>
        <row r="407">
          <cell r="B407" t="str">
            <v>納入金額 前年03月</v>
          </cell>
          <cell r="C407">
            <v>0</v>
          </cell>
          <cell r="D407" t="str">
            <v>NUMBER</v>
          </cell>
          <cell r="E407">
            <v>13</v>
          </cell>
          <cell r="F407">
            <v>0</v>
          </cell>
          <cell r="G407" t="str">
            <v>単位：円</v>
          </cell>
        </row>
        <row r="408">
          <cell r="B408" t="str">
            <v>納入本数</v>
          </cell>
          <cell r="C408">
            <v>0</v>
          </cell>
          <cell r="D408" t="str">
            <v>NUMBER</v>
          </cell>
          <cell r="E408">
            <v>9</v>
          </cell>
          <cell r="F408">
            <v>0</v>
          </cell>
          <cell r="G408">
            <v>0</v>
          </cell>
        </row>
        <row r="409">
          <cell r="B409" t="str">
            <v>納入本数   ：</v>
          </cell>
          <cell r="D409" t="str">
            <v>NUMBER</v>
          </cell>
          <cell r="E409">
            <v>171</v>
          </cell>
          <cell r="F409">
            <v>0</v>
          </cell>
        </row>
        <row r="410">
          <cell r="B410" t="str">
            <v>納入本数   ：.</v>
          </cell>
          <cell r="D410" t="str">
            <v>NUMBER</v>
          </cell>
          <cell r="E410">
            <v>9</v>
          </cell>
          <cell r="F410">
            <v>0</v>
          </cell>
        </row>
        <row r="411">
          <cell r="B411" t="str">
            <v>納入本数 前年01月</v>
          </cell>
          <cell r="D411" t="str">
            <v>NUMBER</v>
          </cell>
          <cell r="E411">
            <v>9</v>
          </cell>
          <cell r="F411">
            <v>0</v>
          </cell>
        </row>
        <row r="412">
          <cell r="B412" t="str">
            <v>納入本数 前年02月</v>
          </cell>
          <cell r="D412" t="str">
            <v>NUMBER</v>
          </cell>
          <cell r="E412">
            <v>9</v>
          </cell>
          <cell r="F412">
            <v>0</v>
          </cell>
        </row>
        <row r="413">
          <cell r="B413" t="str">
            <v>納入本数 前年03月</v>
          </cell>
          <cell r="D413" t="str">
            <v>NUMBER</v>
          </cell>
          <cell r="E413">
            <v>9</v>
          </cell>
          <cell r="F413">
            <v>0</v>
          </cell>
        </row>
        <row r="414">
          <cell r="B414" t="str">
            <v>納入本数 当年12月</v>
          </cell>
          <cell r="C414">
            <v>0</v>
          </cell>
          <cell r="D414" t="str">
            <v>NUMBER</v>
          </cell>
          <cell r="E414">
            <v>9</v>
          </cell>
          <cell r="F414">
            <v>0</v>
          </cell>
          <cell r="G414">
            <v>0</v>
          </cell>
        </row>
        <row r="415">
          <cell r="B415" t="str">
            <v>廃院区分</v>
          </cell>
          <cell r="C415">
            <v>0</v>
          </cell>
          <cell r="D415" t="str">
            <v>CHAR</v>
          </cell>
          <cell r="E415">
            <v>1</v>
          </cell>
          <cell r="F415">
            <v>0</v>
          </cell>
          <cell r="G415">
            <v>0</v>
          </cell>
        </row>
        <row r="416">
          <cell r="B416" t="str">
            <v>売上金額</v>
          </cell>
          <cell r="C416">
            <v>0</v>
          </cell>
          <cell r="D416" t="str">
            <v>CHAR</v>
          </cell>
          <cell r="E416">
            <v>8</v>
          </cell>
          <cell r="F416">
            <v>0</v>
          </cell>
          <cell r="G416" t="str">
            <v>IMS月別売上、単位：千円</v>
          </cell>
        </row>
        <row r="417">
          <cell r="B417" t="str">
            <v>発刊年月日</v>
          </cell>
          <cell r="C417">
            <v>0</v>
          </cell>
          <cell r="D417" t="str">
            <v>CHAR</v>
          </cell>
          <cell r="E417">
            <v>202</v>
          </cell>
          <cell r="F417">
            <v>0</v>
          </cell>
          <cell r="G417">
            <v>0</v>
          </cell>
        </row>
        <row r="418">
          <cell r="B418" t="str">
            <v>発伝日付</v>
          </cell>
          <cell r="C418">
            <v>0</v>
          </cell>
          <cell r="D418" t="str">
            <v>NUMBER</v>
          </cell>
          <cell r="E418">
            <v>5</v>
          </cell>
          <cell r="F418">
            <v>0</v>
          </cell>
          <cell r="G418">
            <v>0</v>
          </cell>
        </row>
        <row r="419">
          <cell r="B419" t="str">
            <v>半期軒数</v>
          </cell>
          <cell r="D419" t="str">
            <v>NUMBER</v>
          </cell>
          <cell r="E419">
            <v>7</v>
          </cell>
          <cell r="F419">
            <v>0</v>
          </cell>
          <cell r="G419" t="str">
            <v>'UH'/'P '/'PD'/'* '　　　*:Total</v>
          </cell>
        </row>
        <row r="420">
          <cell r="B420" t="str">
            <v>販路区分</v>
          </cell>
          <cell r="D420" t="str">
            <v>VARCHAR2</v>
          </cell>
          <cell r="E420">
            <v>2</v>
          </cell>
          <cell r="F420">
            <v>0</v>
          </cell>
          <cell r="G420" t="str">
            <v>'UH'/'P '/'PD'/'TO'　　　TO:Total</v>
          </cell>
        </row>
        <row r="421">
          <cell r="B421" t="str">
            <v>標題</v>
          </cell>
          <cell r="C421">
            <v>0</v>
          </cell>
          <cell r="D421" t="str">
            <v>VARCHAR2</v>
          </cell>
          <cell r="E421">
            <v>202</v>
          </cell>
          <cell r="F421">
            <v>0</v>
          </cell>
          <cell r="G421" t="str">
            <v>ﾌﾞﾘｯｸｺｰﾄﾞ#3</v>
          </cell>
        </row>
        <row r="422">
          <cell r="B422" t="str">
            <v>病院区分ｺｰﾄﾞ</v>
          </cell>
          <cell r="C422">
            <v>0</v>
          </cell>
          <cell r="D422" t="str">
            <v>CHAR</v>
          </cell>
          <cell r="E422">
            <v>1</v>
          </cell>
          <cell r="F422">
            <v>0</v>
          </cell>
          <cell r="G422" t="str">
            <v>ﾌﾞﾘｯｸｺｰﾄﾞ#3</v>
          </cell>
        </row>
        <row r="423">
          <cell r="B423" t="str">
            <v>病院区分名</v>
          </cell>
          <cell r="C423">
            <v>0</v>
          </cell>
          <cell r="D423" t="str">
            <v>VARCHAR2</v>
          </cell>
          <cell r="E423">
            <v>4</v>
          </cell>
          <cell r="F423">
            <v>0</v>
          </cell>
          <cell r="G423">
            <v>0</v>
          </cell>
        </row>
        <row r="424">
          <cell r="B424" t="str">
            <v>病院種別</v>
          </cell>
          <cell r="C424">
            <v>0</v>
          </cell>
          <cell r="D424" t="str">
            <v>CHAR</v>
          </cell>
          <cell r="E424">
            <v>1</v>
          </cell>
          <cell r="F424">
            <v>0</v>
          </cell>
          <cell r="G424">
            <v>0</v>
          </cell>
        </row>
        <row r="425">
          <cell r="B425" t="str">
            <v>病院種別名</v>
          </cell>
          <cell r="C425">
            <v>0</v>
          </cell>
          <cell r="D425" t="str">
            <v>VARCHAR2</v>
          </cell>
          <cell r="E425">
            <v>14</v>
          </cell>
          <cell r="F425">
            <v>0</v>
          </cell>
          <cell r="G425">
            <v>0</v>
          </cell>
        </row>
        <row r="426">
          <cell r="B426" t="str">
            <v>病床数区分ｺｰﾄﾞ</v>
          </cell>
          <cell r="C426">
            <v>0</v>
          </cell>
          <cell r="D426" t="str">
            <v>CHAR</v>
          </cell>
          <cell r="E426">
            <v>2</v>
          </cell>
          <cell r="F426">
            <v>0</v>
          </cell>
          <cell r="G426" t="str">
            <v>ﾌﾞﾘｯｸｺｰﾄﾞ#8</v>
          </cell>
        </row>
        <row r="427">
          <cell r="B427" t="str">
            <v>病床数区分名</v>
          </cell>
          <cell r="C427">
            <v>0</v>
          </cell>
          <cell r="D427" t="str">
            <v>VARCHAR2</v>
          </cell>
          <cell r="E427">
            <v>7</v>
          </cell>
          <cell r="F427">
            <v>0</v>
          </cell>
          <cell r="G427">
            <v>0</v>
          </cell>
        </row>
        <row r="428">
          <cell r="B428" t="str">
            <v>品目ｸﾞﾙｰﾌﾟｺｰﾄﾞ</v>
          </cell>
          <cell r="C428">
            <v>0</v>
          </cell>
          <cell r="D428" t="str">
            <v>CHAR</v>
          </cell>
          <cell r="E428">
            <v>1</v>
          </cell>
          <cell r="F428">
            <v>0</v>
          </cell>
          <cell r="G428" t="str">
            <v>品目ﾌﾞﾚｲｸ集計ｺｰﾄﾞ#1</v>
          </cell>
        </row>
        <row r="429">
          <cell r="B429" t="str">
            <v>品目ｺｰﾄﾞ</v>
          </cell>
          <cell r="C429">
            <v>0</v>
          </cell>
          <cell r="D429" t="str">
            <v>CHAR</v>
          </cell>
          <cell r="E429">
            <v>10</v>
          </cell>
          <cell r="F429">
            <v>0</v>
          </cell>
          <cell r="G429">
            <v>0</v>
          </cell>
        </row>
        <row r="430">
          <cell r="B430" t="str">
            <v>品目ﾌﾞﾚｲｸ集計ｺｰﾄﾞ</v>
          </cell>
          <cell r="C430">
            <v>0</v>
          </cell>
          <cell r="D430" t="str">
            <v>CHAR</v>
          </cell>
          <cell r="E430">
            <v>11</v>
          </cell>
          <cell r="F430">
            <v>0</v>
          </cell>
          <cell r="G430">
            <v>0</v>
          </cell>
        </row>
        <row r="431">
          <cell r="B431" t="str">
            <v>品目名</v>
          </cell>
          <cell r="C431">
            <v>0</v>
          </cell>
          <cell r="D431" t="str">
            <v>VARCHAR2</v>
          </cell>
          <cell r="E431">
            <v>30</v>
          </cell>
          <cell r="F431">
            <v>0</v>
          </cell>
          <cell r="G431">
            <v>0</v>
          </cell>
        </row>
        <row r="432">
          <cell r="B432" t="str">
            <v>品目略称</v>
          </cell>
          <cell r="C432">
            <v>0</v>
          </cell>
          <cell r="D432" t="str">
            <v>VARCHAR2</v>
          </cell>
          <cell r="E432">
            <v>20</v>
          </cell>
          <cell r="F432">
            <v>0</v>
          </cell>
          <cell r="G432">
            <v>0</v>
          </cell>
        </row>
        <row r="433">
          <cell r="B433" t="str">
            <v>府県ｺｰﾄﾞ</v>
          </cell>
          <cell r="C433">
            <v>0</v>
          </cell>
          <cell r="D433" t="str">
            <v>CHAR</v>
          </cell>
          <cell r="E433">
            <v>2</v>
          </cell>
          <cell r="F433">
            <v>0</v>
          </cell>
          <cell r="G433" t="str">
            <v>ﾌﾞﾘｯｸｺｰﾄﾞ#1　　=医師会ｺｰﾄﾞ，出身地ｺｰﾄﾞ</v>
          </cell>
        </row>
        <row r="434">
          <cell r="B434" t="str">
            <v>府県名</v>
          </cell>
          <cell r="C434">
            <v>0</v>
          </cell>
          <cell r="D434" t="str">
            <v>VARCHAR2</v>
          </cell>
          <cell r="E434">
            <v>8</v>
          </cell>
          <cell r="F434">
            <v>0</v>
          </cell>
          <cell r="G434">
            <v>0</v>
          </cell>
        </row>
        <row r="435">
          <cell r="B435" t="str">
            <v>府県市区郡ｺｰﾄﾞ</v>
          </cell>
          <cell r="C435">
            <v>0</v>
          </cell>
          <cell r="D435" t="str">
            <v>CHAR</v>
          </cell>
          <cell r="E435">
            <v>5</v>
          </cell>
          <cell r="F435">
            <v>0</v>
          </cell>
          <cell r="G435" t="str">
            <v>上2桁：府県／下3桁：市区郡</v>
          </cell>
        </row>
        <row r="436">
          <cell r="B436" t="str">
            <v>部ｺｰﾄﾞ</v>
          </cell>
          <cell r="C436">
            <v>0</v>
          </cell>
          <cell r="D436" t="str">
            <v>CHAR</v>
          </cell>
          <cell r="E436">
            <v>2</v>
          </cell>
          <cell r="F436">
            <v>0</v>
          </cell>
          <cell r="G436" t="str">
            <v>組織ｺｰﾄﾞ(BYL)#2 ＝'00'（固定）</v>
          </cell>
        </row>
        <row r="437">
          <cell r="B437" t="str">
            <v>部名ｶﾅ</v>
          </cell>
          <cell r="C437">
            <v>0</v>
          </cell>
          <cell r="D437" t="str">
            <v>VARCHAR2</v>
          </cell>
          <cell r="E437">
            <v>10</v>
          </cell>
          <cell r="F437">
            <v>0</v>
          </cell>
          <cell r="G437">
            <v>0</v>
          </cell>
        </row>
        <row r="438">
          <cell r="B438" t="str">
            <v>部名漢字</v>
          </cell>
          <cell r="C438">
            <v>0</v>
          </cell>
          <cell r="D438" t="str">
            <v>VARCHAR2</v>
          </cell>
          <cell r="E438">
            <v>10</v>
          </cell>
          <cell r="F438">
            <v>0</v>
          </cell>
          <cell r="G438">
            <v>0</v>
          </cell>
        </row>
        <row r="439">
          <cell r="B439" t="str">
            <v>包装ｺｰﾄﾞ</v>
          </cell>
          <cell r="C439">
            <v>0</v>
          </cell>
          <cell r="D439" t="str">
            <v>CHAR</v>
          </cell>
          <cell r="E439">
            <v>2</v>
          </cell>
          <cell r="F439">
            <v>0</v>
          </cell>
          <cell r="G439" t="str">
            <v>品目ﾌﾞﾚｲｸ集計ｺｰﾄﾞ#6</v>
          </cell>
        </row>
        <row r="440">
          <cell r="B440" t="str">
            <v>包装名漢字</v>
          </cell>
          <cell r="C440">
            <v>0</v>
          </cell>
          <cell r="D440" t="str">
            <v>CHAR</v>
          </cell>
          <cell r="E440">
            <v>1</v>
          </cell>
          <cell r="F440">
            <v>0</v>
          </cell>
          <cell r="G440" t="str">
            <v>0:無／1:有</v>
          </cell>
        </row>
        <row r="441">
          <cell r="B441" t="str">
            <v>訪問規制有無</v>
          </cell>
          <cell r="D441" t="str">
            <v>CHAR</v>
          </cell>
          <cell r="E441">
            <v>2</v>
          </cell>
          <cell r="F441">
            <v>0</v>
          </cell>
          <cell r="G441" t="str">
            <v>無／有</v>
          </cell>
        </row>
        <row r="442">
          <cell r="B442" t="str">
            <v>訪問場所</v>
          </cell>
          <cell r="D442" t="str">
            <v>VARCHAR2</v>
          </cell>
          <cell r="E442">
            <v>40</v>
          </cell>
          <cell r="F442">
            <v>0</v>
          </cell>
        </row>
        <row r="443">
          <cell r="B443" t="str">
            <v>訪問看護ｽﾃｰｼｮﾝ設置病院ﾌﾗｸﾞ</v>
          </cell>
          <cell r="D443" t="str">
            <v>CHAR</v>
          </cell>
          <cell r="E443">
            <v>1</v>
          </cell>
          <cell r="F443">
            <v>0</v>
          </cell>
        </row>
        <row r="444">
          <cell r="B444" t="str">
            <v>訪問時刻FROM</v>
          </cell>
          <cell r="D444" t="str">
            <v>CHAR</v>
          </cell>
          <cell r="E444">
            <v>4</v>
          </cell>
        </row>
        <row r="445">
          <cell r="B445" t="str">
            <v>訪問時刻TO</v>
          </cell>
          <cell r="D445" t="str">
            <v>CHAR</v>
          </cell>
          <cell r="E445">
            <v>4</v>
          </cell>
          <cell r="G445" t="str">
            <v>'P'：計画／'A'：実績／'C'：取り消し・削除</v>
          </cell>
        </row>
        <row r="446">
          <cell r="B446" t="str">
            <v>訪問実績ｽﾃｰﾀｽ</v>
          </cell>
          <cell r="D446" t="str">
            <v>CHAR</v>
          </cell>
          <cell r="E446">
            <v>1</v>
          </cell>
          <cell r="G446" t="str">
            <v>'P'：計画／'A'：実績／'C'：取り消し・削除</v>
          </cell>
        </row>
        <row r="447">
          <cell r="B447" t="str">
            <v>訪問年月日</v>
          </cell>
          <cell r="C447">
            <v>0</v>
          </cell>
          <cell r="D447" t="str">
            <v>CHAR</v>
          </cell>
          <cell r="E447">
            <v>8</v>
          </cell>
          <cell r="F447">
            <v>0</v>
          </cell>
          <cell r="G447">
            <v>0</v>
          </cell>
        </row>
        <row r="448">
          <cell r="B448" t="str">
            <v>未来BYL支店ｺｰﾄﾞ</v>
          </cell>
          <cell r="C448">
            <v>0</v>
          </cell>
          <cell r="D448" t="str">
            <v>CHAR</v>
          </cell>
          <cell r="E448">
            <v>3</v>
          </cell>
          <cell r="F448">
            <v>0</v>
          </cell>
          <cell r="G448">
            <v>0</v>
          </cell>
        </row>
        <row r="449">
          <cell r="B449" t="str">
            <v>未来営業所ｺｰﾄﾞ</v>
          </cell>
          <cell r="C449">
            <v>0</v>
          </cell>
          <cell r="D449" t="str">
            <v>CHAR</v>
          </cell>
          <cell r="E449">
            <v>2</v>
          </cell>
          <cell r="F449">
            <v>0</v>
          </cell>
          <cell r="G449" t="str">
            <v>組織ｺｰﾄﾞ(BYL)#3</v>
          </cell>
        </row>
        <row r="450">
          <cell r="B450" t="str">
            <v>未来営業所名ｶﾅ</v>
          </cell>
          <cell r="C450">
            <v>0</v>
          </cell>
          <cell r="D450" t="str">
            <v>VARCHAR2</v>
          </cell>
          <cell r="E450">
            <v>10</v>
          </cell>
          <cell r="F450">
            <v>0</v>
          </cell>
          <cell r="G450">
            <v>0</v>
          </cell>
        </row>
        <row r="451">
          <cell r="B451" t="str">
            <v>未来営業所名漢字</v>
          </cell>
          <cell r="C451">
            <v>0</v>
          </cell>
          <cell r="D451" t="str">
            <v>VARCHAR2</v>
          </cell>
          <cell r="E451">
            <v>10</v>
          </cell>
          <cell r="F451">
            <v>0</v>
          </cell>
          <cell r="G451">
            <v>0</v>
          </cell>
        </row>
        <row r="452">
          <cell r="B452" t="str">
            <v>未来係ｺｰﾄﾞ</v>
          </cell>
          <cell r="C452">
            <v>0</v>
          </cell>
          <cell r="D452" t="str">
            <v>CHAR</v>
          </cell>
          <cell r="E452">
            <v>2</v>
          </cell>
          <cell r="F452">
            <v>0</v>
          </cell>
          <cell r="G452" t="str">
            <v>組織ｺｰﾄﾞ(BYL)#4</v>
          </cell>
        </row>
        <row r="453">
          <cell r="B453" t="str">
            <v>未来係名ｶﾅ</v>
          </cell>
          <cell r="C453">
            <v>0</v>
          </cell>
          <cell r="D453" t="str">
            <v>VARCHAR2</v>
          </cell>
          <cell r="E453">
            <v>10</v>
          </cell>
          <cell r="F453">
            <v>0</v>
          </cell>
          <cell r="G453">
            <v>0</v>
          </cell>
        </row>
        <row r="454">
          <cell r="B454" t="str">
            <v>未来係名漢字</v>
          </cell>
          <cell r="C454">
            <v>0</v>
          </cell>
          <cell r="D454" t="str">
            <v>VARCHAR2</v>
          </cell>
          <cell r="E454">
            <v>10</v>
          </cell>
          <cell r="F454">
            <v>0</v>
          </cell>
          <cell r="G454">
            <v>0</v>
          </cell>
        </row>
        <row r="455">
          <cell r="B455" t="str">
            <v>未来支店ｺｰﾄﾞ</v>
          </cell>
          <cell r="C455">
            <v>0</v>
          </cell>
          <cell r="D455" t="str">
            <v>CHAR</v>
          </cell>
          <cell r="E455">
            <v>3</v>
          </cell>
          <cell r="F455">
            <v>0</v>
          </cell>
          <cell r="G455" t="str">
            <v>組織ｺｰﾄﾞ(BYL)#1</v>
          </cell>
        </row>
        <row r="456">
          <cell r="B456" t="str">
            <v>未来支店英字4桁</v>
          </cell>
          <cell r="C456">
            <v>0</v>
          </cell>
          <cell r="D456" t="str">
            <v>CHAR</v>
          </cell>
          <cell r="E456">
            <v>4</v>
          </cell>
          <cell r="F456">
            <v>0</v>
          </cell>
          <cell r="G456">
            <v>0</v>
          </cell>
        </row>
        <row r="457">
          <cell r="B457" t="str">
            <v>未来支店名ｶﾅ</v>
          </cell>
          <cell r="C457">
            <v>0</v>
          </cell>
          <cell r="D457" t="str">
            <v>VARCHAR2</v>
          </cell>
          <cell r="E457">
            <v>10</v>
          </cell>
          <cell r="F457">
            <v>0</v>
          </cell>
          <cell r="G457">
            <v>0</v>
          </cell>
        </row>
        <row r="458">
          <cell r="B458" t="str">
            <v>未来支店名漢字</v>
          </cell>
          <cell r="C458">
            <v>0</v>
          </cell>
          <cell r="D458" t="str">
            <v>VARCHAR2</v>
          </cell>
          <cell r="E458">
            <v>10</v>
          </cell>
          <cell r="F458">
            <v>0</v>
          </cell>
          <cell r="G458">
            <v>0</v>
          </cell>
        </row>
        <row r="459">
          <cell r="B459" t="str">
            <v>未来従業員区分</v>
          </cell>
          <cell r="C459">
            <v>0</v>
          </cell>
          <cell r="D459" t="str">
            <v>CHAR</v>
          </cell>
          <cell r="E459">
            <v>2</v>
          </cell>
          <cell r="F459">
            <v>0</v>
          </cell>
          <cell r="G459" t="str">
            <v>'DO'/'SO'/'SV'/'WS'/'MR'</v>
          </cell>
        </row>
        <row r="460">
          <cell r="B460" t="str">
            <v>未来組織名称1漢字</v>
          </cell>
          <cell r="C460">
            <v>0</v>
          </cell>
          <cell r="D460" t="str">
            <v>VARCHAR2</v>
          </cell>
          <cell r="E460">
            <v>2</v>
          </cell>
          <cell r="F460">
            <v>0</v>
          </cell>
          <cell r="G460">
            <v>0</v>
          </cell>
        </row>
        <row r="461">
          <cell r="B461" t="str">
            <v>未来組織名称2漢字</v>
          </cell>
          <cell r="C461">
            <v>0</v>
          </cell>
          <cell r="D461" t="str">
            <v>VARCHAR2</v>
          </cell>
          <cell r="E461">
            <v>1</v>
          </cell>
          <cell r="F461">
            <v>0</v>
          </cell>
          <cell r="G461">
            <v>0</v>
          </cell>
        </row>
        <row r="462">
          <cell r="B462" t="str">
            <v>未来組織名称3漢字</v>
          </cell>
          <cell r="C462">
            <v>0</v>
          </cell>
          <cell r="D462" t="str">
            <v>VARCHAR2</v>
          </cell>
          <cell r="E462">
            <v>1</v>
          </cell>
          <cell r="F462">
            <v>0</v>
          </cell>
          <cell r="G462">
            <v>0</v>
          </cell>
        </row>
        <row r="463">
          <cell r="B463" t="str">
            <v>未来組織名称4漢字</v>
          </cell>
          <cell r="C463">
            <v>0</v>
          </cell>
          <cell r="D463" t="str">
            <v>VARCHAR2</v>
          </cell>
          <cell r="E463">
            <v>1</v>
          </cell>
          <cell r="F463">
            <v>0</v>
          </cell>
          <cell r="G463">
            <v>0</v>
          </cell>
        </row>
        <row r="464">
          <cell r="B464" t="str">
            <v>未来組織名称5漢字</v>
          </cell>
          <cell r="C464">
            <v>0</v>
          </cell>
          <cell r="D464" t="str">
            <v>VARCHAR2</v>
          </cell>
          <cell r="E464">
            <v>1</v>
          </cell>
          <cell r="F464">
            <v>0</v>
          </cell>
          <cell r="G464">
            <v>0</v>
          </cell>
        </row>
        <row r="465">
          <cell r="B465" t="str">
            <v>未来組織名称6漢字</v>
          </cell>
          <cell r="C465">
            <v>0</v>
          </cell>
          <cell r="D465" t="str">
            <v>VARCHAR2</v>
          </cell>
          <cell r="E465">
            <v>1</v>
          </cell>
          <cell r="F465">
            <v>0</v>
          </cell>
          <cell r="G465">
            <v>0</v>
          </cell>
        </row>
        <row r="466">
          <cell r="B466" t="str">
            <v>未来組織略名称</v>
          </cell>
          <cell r="C466">
            <v>0</v>
          </cell>
          <cell r="D466" t="str">
            <v>VARCHAR2</v>
          </cell>
          <cell r="E466">
            <v>3</v>
          </cell>
          <cell r="F466">
            <v>0</v>
          </cell>
          <cell r="G466">
            <v>0</v>
          </cell>
        </row>
        <row r="467">
          <cell r="B467" t="str">
            <v>未来担当区分</v>
          </cell>
          <cell r="C467">
            <v>0</v>
          </cell>
          <cell r="D467" t="str">
            <v>CHAR</v>
          </cell>
          <cell r="E467">
            <v>2</v>
          </cell>
          <cell r="F467">
            <v>0</v>
          </cell>
          <cell r="G467">
            <v>0</v>
          </cell>
        </row>
        <row r="468">
          <cell r="B468" t="str">
            <v>未来発行年月日</v>
          </cell>
          <cell r="C468">
            <v>0</v>
          </cell>
          <cell r="D468" t="str">
            <v>CHAR</v>
          </cell>
          <cell r="E468">
            <v>8</v>
          </cell>
          <cell r="F468">
            <v>0</v>
          </cell>
          <cell r="G468">
            <v>0</v>
          </cell>
        </row>
        <row r="469">
          <cell r="B469" t="str">
            <v>未来府県ｺｰﾄﾞ</v>
          </cell>
          <cell r="C469">
            <v>0</v>
          </cell>
          <cell r="D469" t="str">
            <v>CHAR</v>
          </cell>
          <cell r="E469">
            <v>2</v>
          </cell>
          <cell r="F469">
            <v>0</v>
          </cell>
          <cell r="G469">
            <v>0</v>
          </cell>
        </row>
        <row r="470">
          <cell r="B470" t="str">
            <v>未来部ｺｰﾄﾞ</v>
          </cell>
          <cell r="C470">
            <v>0</v>
          </cell>
          <cell r="D470" t="str">
            <v>CHAR</v>
          </cell>
          <cell r="E470">
            <v>2</v>
          </cell>
          <cell r="F470">
            <v>0</v>
          </cell>
          <cell r="G470" t="str">
            <v>組織ｺｰﾄﾞ(BYL)#2</v>
          </cell>
        </row>
        <row r="471">
          <cell r="B471" t="str">
            <v>未来部名ｶﾅ</v>
          </cell>
          <cell r="C471">
            <v>0</v>
          </cell>
          <cell r="D471" t="str">
            <v>VARCHAR2</v>
          </cell>
          <cell r="E471">
            <v>10</v>
          </cell>
          <cell r="F471">
            <v>0</v>
          </cell>
          <cell r="G471">
            <v>0</v>
          </cell>
        </row>
        <row r="472">
          <cell r="B472" t="str">
            <v>未来部名ｶﾅ</v>
          </cell>
          <cell r="C472">
            <v>0</v>
          </cell>
          <cell r="D472" t="str">
            <v>VARCHAR2</v>
          </cell>
          <cell r="E472">
            <v>10</v>
          </cell>
          <cell r="F472">
            <v>0</v>
          </cell>
          <cell r="G472">
            <v>0</v>
          </cell>
        </row>
        <row r="473">
          <cell r="B473" t="str">
            <v>未来部名漢字</v>
          </cell>
          <cell r="C473">
            <v>0</v>
          </cell>
          <cell r="D473" t="str">
            <v>VARCHAR2</v>
          </cell>
          <cell r="E473">
            <v>20</v>
          </cell>
          <cell r="F473">
            <v>0</v>
          </cell>
          <cell r="G473" t="str">
            <v>ある部署内の担当者役割</v>
          </cell>
        </row>
        <row r="474">
          <cell r="B474" t="str">
            <v>役割</v>
          </cell>
          <cell r="D474" t="str">
            <v>VARCHAR2</v>
          </cell>
          <cell r="E474">
            <v>20</v>
          </cell>
          <cell r="F474">
            <v>0</v>
          </cell>
          <cell r="G474" t="str">
            <v>ある部署内の担当者役割</v>
          </cell>
        </row>
        <row r="475">
          <cell r="B475" t="str">
            <v>役割ｶﾅ</v>
          </cell>
          <cell r="D475" t="str">
            <v>VARCHAR2</v>
          </cell>
          <cell r="E475">
            <v>50</v>
          </cell>
          <cell r="F475">
            <v>0</v>
          </cell>
        </row>
        <row r="476">
          <cell r="B476" t="str">
            <v>役割名</v>
          </cell>
          <cell r="D476" t="str">
            <v>VARCHAR2</v>
          </cell>
          <cell r="E476">
            <v>50</v>
          </cell>
          <cell r="F476">
            <v>0</v>
          </cell>
        </row>
        <row r="477">
          <cell r="B477" t="str">
            <v>役割漢字</v>
          </cell>
          <cell r="D477" t="str">
            <v>VARCHAR2</v>
          </cell>
          <cell r="E477">
            <v>50</v>
          </cell>
          <cell r="F477">
            <v>0</v>
          </cell>
          <cell r="G477" t="str">
            <v>'A'/'B'/･…</v>
          </cell>
        </row>
        <row r="478">
          <cell r="B478" t="str">
            <v>役職分類ｺｰﾄﾞ</v>
          </cell>
          <cell r="D478" t="str">
            <v>CHAR</v>
          </cell>
          <cell r="E478">
            <v>2</v>
          </cell>
          <cell r="G478" t="str">
            <v>'A'/'B'/･…</v>
          </cell>
        </row>
        <row r="479">
          <cell r="B479" t="str">
            <v>役職分類名</v>
          </cell>
          <cell r="C479">
            <v>0</v>
          </cell>
          <cell r="D479" t="str">
            <v>VARCHAR2</v>
          </cell>
          <cell r="E479">
            <v>20</v>
          </cell>
          <cell r="F479">
            <v>0</v>
          </cell>
          <cell r="G479">
            <v>0</v>
          </cell>
        </row>
        <row r="480">
          <cell r="B480" t="str">
            <v>役職名</v>
          </cell>
          <cell r="C480">
            <v>0</v>
          </cell>
          <cell r="D480" t="str">
            <v>CHAR</v>
          </cell>
          <cell r="E480">
            <v>2</v>
          </cell>
          <cell r="F480">
            <v>0</v>
          </cell>
          <cell r="G480" t="str">
            <v>ﾌﾞﾘｯｸｺｰﾄﾞ#7</v>
          </cell>
        </row>
        <row r="481">
          <cell r="B481" t="str">
            <v>薬局区分ｺｰﾄﾞ</v>
          </cell>
          <cell r="D481" t="str">
            <v>CHAR</v>
          </cell>
          <cell r="E481">
            <v>2</v>
          </cell>
          <cell r="F481">
            <v>0</v>
          </cell>
          <cell r="G481" t="str">
            <v>ﾌﾞﾘｯｸｺｰﾄﾞ#7</v>
          </cell>
        </row>
        <row r="482">
          <cell r="B482" t="str">
            <v>薬局区分名</v>
          </cell>
          <cell r="D482" t="str">
            <v>VARCHAR2</v>
          </cell>
          <cell r="E482">
            <v>4</v>
          </cell>
          <cell r="F482">
            <v>0</v>
          </cell>
          <cell r="G482">
            <v>0</v>
          </cell>
        </row>
        <row r="483">
          <cell r="B483" t="str">
            <v>薬効ｺｰﾄﾞ</v>
          </cell>
          <cell r="C483">
            <v>0</v>
          </cell>
          <cell r="D483" t="str">
            <v>CHAR</v>
          </cell>
          <cell r="E483">
            <v>2</v>
          </cell>
          <cell r="F483">
            <v>0</v>
          </cell>
          <cell r="G483" t="str">
            <v>品目ﾌﾞﾚｲｸ集計ｺｰﾄﾞ#2</v>
          </cell>
        </row>
        <row r="484">
          <cell r="B484" t="str">
            <v>薬効別処方割合</v>
          </cell>
          <cell r="C484">
            <v>0</v>
          </cell>
          <cell r="D484" t="str">
            <v>VARCHAR2</v>
          </cell>
          <cell r="E484">
            <v>18</v>
          </cell>
          <cell r="F484">
            <v>0</v>
          </cell>
          <cell r="G484" t="str">
            <v>0%～100%　　　　単位(%)付き</v>
          </cell>
        </row>
        <row r="485">
          <cell r="B485" t="str">
            <v>薬効名漢字</v>
          </cell>
          <cell r="D485" t="str">
            <v>VARCHAR2</v>
          </cell>
          <cell r="E485">
            <v>18</v>
          </cell>
          <cell r="F485">
            <v>0</v>
          </cell>
          <cell r="G485">
            <v>0</v>
          </cell>
        </row>
        <row r="486">
          <cell r="B486" t="str">
            <v>薬剤管理指導料承認病院ﾌﾗｸﾞ</v>
          </cell>
          <cell r="D486" t="str">
            <v>CHAR</v>
          </cell>
          <cell r="E486">
            <v>1</v>
          </cell>
          <cell r="F486">
            <v>0</v>
          </cell>
          <cell r="G486">
            <v>0</v>
          </cell>
        </row>
        <row r="487">
          <cell r="B487" t="str">
            <v>薬審ｻﾝﾌﾟﾙ時期</v>
          </cell>
          <cell r="C487">
            <v>0</v>
          </cell>
          <cell r="D487" t="str">
            <v>VARCHAR2</v>
          </cell>
          <cell r="E487">
            <v>20</v>
          </cell>
          <cell r="F487">
            <v>0</v>
          </cell>
          <cell r="G487">
            <v>0</v>
          </cell>
        </row>
        <row r="488">
          <cell r="B488" t="str">
            <v>薬審ｻﾝﾌﾟﾙ有無</v>
          </cell>
          <cell r="C488">
            <v>0</v>
          </cell>
          <cell r="D488" t="str">
            <v>VARCHAR2</v>
          </cell>
          <cell r="E488">
            <v>2</v>
          </cell>
          <cell r="F488">
            <v>0</v>
          </cell>
          <cell r="G488" t="str">
            <v>無／有</v>
          </cell>
        </row>
        <row r="489">
          <cell r="B489" t="str">
            <v>薬審ﾒﾝﾊﾞｰﾌﾗｸﾞ</v>
          </cell>
          <cell r="C489">
            <v>0</v>
          </cell>
          <cell r="D489" t="str">
            <v>CHAR</v>
          </cell>
          <cell r="E489">
            <v>1</v>
          </cell>
          <cell r="F489">
            <v>0</v>
          </cell>
          <cell r="G489" t="str">
            <v>''Y'：薬審ﾒﾝﾊﾞｰ／ 'N'：以外</v>
          </cell>
        </row>
        <row r="490">
          <cell r="B490" t="str">
            <v>薬審宣伝許可有無</v>
          </cell>
          <cell r="C490">
            <v>0</v>
          </cell>
          <cell r="D490" t="str">
            <v>VARCHAR2</v>
          </cell>
          <cell r="E490">
            <v>2</v>
          </cell>
          <cell r="F490">
            <v>0</v>
          </cell>
          <cell r="G490" t="str">
            <v>無／有</v>
          </cell>
        </row>
        <row r="491">
          <cell r="B491" t="str">
            <v>薬審宣伝権限者</v>
          </cell>
          <cell r="C491">
            <v>0</v>
          </cell>
          <cell r="D491" t="str">
            <v>VARCHAR2</v>
          </cell>
          <cell r="E491">
            <v>20</v>
          </cell>
          <cell r="F491">
            <v>0</v>
          </cell>
          <cell r="G491">
            <v>0</v>
          </cell>
        </row>
        <row r="492">
          <cell r="B492" t="str">
            <v>薬審特記事項</v>
          </cell>
          <cell r="C492">
            <v>0</v>
          </cell>
          <cell r="D492" t="str">
            <v>VARCHAR2</v>
          </cell>
          <cell r="E492">
            <v>80</v>
          </cell>
          <cell r="F492">
            <v>0</v>
          </cell>
          <cell r="G492">
            <v>0</v>
          </cell>
        </row>
        <row r="493">
          <cell r="B493" t="str">
            <v>薬審本薬審時期</v>
          </cell>
          <cell r="C493">
            <v>0</v>
          </cell>
          <cell r="D493" t="str">
            <v>VARCHAR2</v>
          </cell>
          <cell r="E493">
            <v>20</v>
          </cell>
          <cell r="F493">
            <v>0</v>
          </cell>
          <cell r="G493">
            <v>0</v>
          </cell>
        </row>
        <row r="494">
          <cell r="B494" t="str">
            <v>薬審本薬審有無</v>
          </cell>
          <cell r="C494">
            <v>0</v>
          </cell>
          <cell r="D494" t="str">
            <v>VARCHAR2</v>
          </cell>
          <cell r="E494">
            <v>1</v>
          </cell>
          <cell r="F494">
            <v>0</v>
          </cell>
          <cell r="G494" t="str">
            <v>0:無／1:有</v>
          </cell>
        </row>
        <row r="495">
          <cell r="B495" t="str">
            <v>薬審有無</v>
          </cell>
          <cell r="D495" t="str">
            <v>VARCHAR2</v>
          </cell>
          <cell r="E495">
            <v>2</v>
          </cell>
          <cell r="F495">
            <v>0</v>
          </cell>
          <cell r="G495" t="str">
            <v>単位：千円</v>
          </cell>
        </row>
        <row r="496">
          <cell r="B496" t="str">
            <v>予算前期</v>
          </cell>
          <cell r="D496" t="str">
            <v>NUMBER</v>
          </cell>
          <cell r="E496">
            <v>8</v>
          </cell>
          <cell r="G496" t="str">
            <v>単位：千円</v>
          </cell>
        </row>
        <row r="497">
          <cell r="B497" t="str">
            <v>予算前年同期</v>
          </cell>
          <cell r="D497" t="str">
            <v>NUMBER</v>
          </cell>
          <cell r="E497">
            <v>8</v>
          </cell>
          <cell r="G497" t="str">
            <v>単位：千円</v>
          </cell>
        </row>
        <row r="498">
          <cell r="B498" t="str">
            <v>予算当期</v>
          </cell>
          <cell r="D498" t="str">
            <v>NUMBER</v>
          </cell>
          <cell r="E498">
            <v>8</v>
          </cell>
          <cell r="F498">
            <v>0</v>
          </cell>
          <cell r="G498" t="str">
            <v>単位：千円</v>
          </cell>
        </row>
        <row r="499">
          <cell r="B499" t="str">
            <v>曜日ｺｰﾄﾞ</v>
          </cell>
          <cell r="D499" t="str">
            <v>CHAR</v>
          </cell>
          <cell r="E499">
            <v>2</v>
          </cell>
          <cell r="F499">
            <v>0</v>
          </cell>
          <cell r="G499" t="str">
            <v>月／火／ … ／日</v>
          </cell>
        </row>
        <row r="500">
          <cell r="B500" t="str">
            <v>曜日</v>
          </cell>
          <cell r="D500" t="str">
            <v>CHAR</v>
          </cell>
          <cell r="E500">
            <v>2</v>
          </cell>
          <cell r="F500">
            <v>0</v>
          </cell>
          <cell r="G500" t="str">
            <v>'月'／'火'／ … ／'日'</v>
          </cell>
        </row>
        <row r="501">
          <cell r="B501" t="str">
            <v>有無ｺｰﾄﾞ</v>
          </cell>
          <cell r="D501" t="str">
            <v>CHAR</v>
          </cell>
          <cell r="E501">
            <v>1</v>
          </cell>
          <cell r="F501">
            <v>0</v>
          </cell>
          <cell r="G501" t="str">
            <v>0:無／1:有</v>
          </cell>
        </row>
        <row r="502">
          <cell r="B502" t="str">
            <v>有無</v>
          </cell>
          <cell r="D502" t="str">
            <v>CHAR</v>
          </cell>
          <cell r="E502">
            <v>2</v>
          </cell>
          <cell r="F502">
            <v>0</v>
          </cell>
          <cell r="G502" t="str">
            <v>'無'／'有'</v>
          </cell>
        </row>
        <row r="503">
          <cell r="B503" t="str">
            <v>履歴・勤務先名</v>
          </cell>
          <cell r="D503" t="str">
            <v>VARCHAR2</v>
          </cell>
          <cell r="E503">
            <v>30</v>
          </cell>
          <cell r="F503">
            <v>0</v>
          </cell>
        </row>
        <row r="504">
          <cell r="B504" t="str">
            <v>履歴・退職年月日</v>
          </cell>
          <cell r="D504" t="str">
            <v>CHAR</v>
          </cell>
          <cell r="E504">
            <v>8</v>
          </cell>
          <cell r="F504">
            <v>0</v>
          </cell>
          <cell r="G504" t="str">
            <v>漢字略名</v>
          </cell>
        </row>
        <row r="505">
          <cell r="B505" t="str">
            <v>履歴・役職名</v>
          </cell>
          <cell r="D505" t="str">
            <v>VARCHAR2</v>
          </cell>
          <cell r="E505">
            <v>8</v>
          </cell>
          <cell r="F505">
            <v>0</v>
          </cell>
          <cell r="G505" t="str">
            <v>漢字略名</v>
          </cell>
        </row>
        <row r="506">
          <cell r="B506" t="str">
            <v>略式施設名(漢字)</v>
          </cell>
          <cell r="D506" t="str">
            <v>CHAR</v>
          </cell>
          <cell r="E506">
            <v>64</v>
          </cell>
          <cell r="F506">
            <v>0</v>
          </cell>
          <cell r="G506">
            <v>0</v>
          </cell>
        </row>
        <row r="507">
          <cell r="B507" t="str">
            <v>略式施設名ｶﾅ</v>
          </cell>
          <cell r="D507" t="str">
            <v>VARCHAR2</v>
          </cell>
          <cell r="E507">
            <v>40</v>
          </cell>
          <cell r="F507">
            <v>0</v>
          </cell>
          <cell r="G507">
            <v>0</v>
          </cell>
        </row>
        <row r="508">
          <cell r="B508" t="str">
            <v>略式施設名ｶﾅ</v>
          </cell>
          <cell r="D508" t="str">
            <v>VARCHAR2</v>
          </cell>
          <cell r="E508">
            <v>40</v>
          </cell>
          <cell r="F508">
            <v>0</v>
          </cell>
          <cell r="G508" t="str">
            <v>YYYYMM</v>
          </cell>
        </row>
        <row r="509">
          <cell r="B509" t="str">
            <v>略式施設名漢字</v>
          </cell>
          <cell r="D509" t="str">
            <v>VARCHAR2</v>
          </cell>
          <cell r="E509">
            <v>32</v>
          </cell>
          <cell r="F509">
            <v>0</v>
          </cell>
          <cell r="G509" t="str">
            <v>YYYYMM</v>
          </cell>
        </row>
        <row r="510">
          <cell r="B510" t="str">
            <v>療養型病床群承認病院ﾌﾗｸﾞ</v>
          </cell>
          <cell r="D510" t="str">
            <v>CHAR</v>
          </cell>
          <cell r="E510">
            <v>1</v>
          </cell>
          <cell r="F510">
            <v>0</v>
          </cell>
          <cell r="G510">
            <v>0</v>
          </cell>
        </row>
        <row r="511">
          <cell r="B511" t="str">
            <v>臨床研修指定病院ﾌﾗｸﾞ</v>
          </cell>
          <cell r="D511" t="str">
            <v>CHAR</v>
          </cell>
          <cell r="E511">
            <v>1</v>
          </cell>
          <cell r="F511">
            <v>0</v>
          </cell>
          <cell r="G511">
            <v>0</v>
          </cell>
        </row>
        <row r="512">
          <cell r="B512" t="str">
            <v>累積年月</v>
          </cell>
          <cell r="D512" t="str">
            <v>CHAR</v>
          </cell>
          <cell r="E512">
            <v>6</v>
          </cell>
        </row>
        <row r="513">
          <cell r="B513" t="str">
            <v>医師ﾗﾝｸ内容</v>
          </cell>
          <cell r="D513" t="str">
            <v>CHAR</v>
          </cell>
          <cell r="E513">
            <v>20</v>
          </cell>
          <cell r="G513" t="str">
            <v>'K':ｷｰDr./'T':ﾀｰｹﾞｯﾄDr.</v>
          </cell>
        </row>
        <row r="514">
          <cell r="B514" t="str">
            <v>SFAﾛｸﾞｲﾝID</v>
          </cell>
          <cell r="D514" t="str">
            <v>CHAR</v>
          </cell>
          <cell r="E514">
            <v>5</v>
          </cell>
          <cell r="G514" t="str">
            <v>IBM RACF-IDを使用（'BJXXX'  XXX:英3文字）</v>
          </cell>
        </row>
        <row r="515">
          <cell r="B515" t="str">
            <v>医療圏名</v>
          </cell>
          <cell r="D515" t="str">
            <v>CHAR</v>
          </cell>
          <cell r="E515">
            <v>42</v>
          </cell>
        </row>
        <row r="516">
          <cell r="B516" t="str">
            <v>戦略区分名</v>
          </cell>
          <cell r="D516" t="str">
            <v>CHAR</v>
          </cell>
          <cell r="E516">
            <v>30</v>
          </cell>
        </row>
        <row r="517">
          <cell r="B517" t="str">
            <v>荷離金額前3ヶ月</v>
          </cell>
          <cell r="D517" t="str">
            <v>NUMBER</v>
          </cell>
          <cell r="E517">
            <v>13</v>
          </cell>
          <cell r="F517">
            <v>0</v>
          </cell>
        </row>
        <row r="518">
          <cell r="B518" t="str">
            <v>荷離金額当3ヶ月</v>
          </cell>
          <cell r="D518" t="str">
            <v>NUMBER</v>
          </cell>
          <cell r="E518">
            <v>13</v>
          </cell>
          <cell r="F518">
            <v>0</v>
          </cell>
        </row>
        <row r="519">
          <cell r="B519" t="str">
            <v>ﾃﾞｨﾃｰﾙ回数</v>
          </cell>
          <cell r="D519" t="str">
            <v>NUMBER</v>
          </cell>
          <cell r="E519">
            <v>4</v>
          </cell>
          <cell r="F519">
            <v>0</v>
          </cell>
        </row>
        <row r="520">
          <cell r="B520" t="str">
            <v>ｻﾏﾘ拡張区分</v>
          </cell>
          <cell r="D520" t="str">
            <v>CHAR</v>
          </cell>
          <cell r="E520">
            <v>1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題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#REF"/>
      <sheetName val="ビュー一覧"/>
    </sheetNames>
    <sheetDataSet>
      <sheetData sheetId="0">
        <row r="2">
          <cell r="B2" t="str">
            <v>継続</v>
          </cell>
        </row>
        <row r="7">
          <cell r="B7" t="str">
            <v>継続</v>
          </cell>
          <cell r="C7" t="str">
            <v>○</v>
          </cell>
          <cell r="D7" t="str">
            <v>×</v>
          </cell>
          <cell r="E7" t="str">
            <v>×</v>
          </cell>
          <cell r="F7" t="str">
            <v>OPのみが値の変更可、SVは参照のみ。</v>
          </cell>
        </row>
        <row r="8">
          <cell r="B8" t="str">
            <v>完了</v>
          </cell>
          <cell r="C8" t="str">
            <v>○</v>
          </cell>
          <cell r="D8" t="str">
            <v>×</v>
          </cell>
          <cell r="E8" t="str">
            <v>×</v>
          </cell>
          <cell r="F8" t="str">
            <v>OPのみが値の変更可、SVは参照のみ。</v>
          </cell>
        </row>
        <row r="9">
          <cell r="B9" t="str">
            <v>確認済</v>
          </cell>
          <cell r="C9" t="str">
            <v>×</v>
          </cell>
          <cell r="D9" t="str">
            <v>×</v>
          </cell>
          <cell r="E9" t="str">
            <v>×</v>
          </cell>
          <cell r="F9" t="str">
            <v>このケースパターンはエラーとする。</v>
          </cell>
        </row>
        <row r="10">
          <cell r="B10" t="str">
            <v>継続</v>
          </cell>
          <cell r="C10" t="str">
            <v>×</v>
          </cell>
          <cell r="D10" t="str">
            <v>×</v>
          </cell>
          <cell r="E10" t="str">
            <v>×</v>
          </cell>
          <cell r="F10" t="str">
            <v>このケースパターンはエラーとする。</v>
          </cell>
        </row>
        <row r="11">
          <cell r="B11" t="str">
            <v>完了</v>
          </cell>
          <cell r="C11" t="str">
            <v>×</v>
          </cell>
          <cell r="D11" t="str">
            <v>○</v>
          </cell>
          <cell r="E11" t="str">
            <v>○</v>
          </cell>
          <cell r="F11" t="str">
            <v>OPの変更は不可、SVのみ変更可。</v>
          </cell>
        </row>
        <row r="12">
          <cell r="B12" t="str">
            <v>確認済</v>
          </cell>
          <cell r="C12" t="str">
            <v>×</v>
          </cell>
          <cell r="D12" t="str">
            <v>×</v>
          </cell>
          <cell r="E12" t="str">
            <v>×</v>
          </cell>
          <cell r="F12" t="str">
            <v>OPの変更は不可、SVの変更は不可。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アクティビティ成果物一覧 (AP開発) (4)"/>
      <sheetName val="アクティビティ成果物一覧 (AP開発) (3)"/>
      <sheetName val="アクティビティ成果物一覧 (AP開発) (2)"/>
      <sheetName val="Sheet1"/>
    </sheetNames>
    <sheetDataSet>
      <sheetData sheetId="0"/>
      <sheetData sheetId="1"/>
      <sheetData sheetId="2"/>
      <sheetData sheetId="3" refreshError="1">
        <row r="2">
          <cell r="A2" t="str">
            <v>○</v>
          </cell>
        </row>
        <row r="3">
          <cell r="A3" t="str">
            <v>●</v>
          </cell>
        </row>
        <row r="4">
          <cell r="A4" t="str">
            <v>◎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作成手順"/>
      <sheetName val="ﾄﾗﾌﾞﾙ作業"/>
      <sheetName val="ﾄﾗﾌﾞﾙ件数"/>
      <sheetName val="ﾄﾗﾌﾞﾙ件数 (対象外)"/>
      <sheetName val="全作業"/>
      <sheetName val="予定"/>
      <sheetName val="営業日"/>
      <sheetName val="実績"/>
      <sheetName val="実績 (トラブル抑制指標)"/>
      <sheetName val="製作・検証実績（依頼元計上）"/>
      <sheetName val="製作・検証実績（作業Ｇ計上）"/>
      <sheetName val="実績 (各実績内訳） "/>
      <sheetName val="実績 (チャレンジ目標)"/>
      <sheetName val="チャレンジ指標推移"/>
      <sheetName val="（月例）作業実績"/>
      <sheetName val="（月例）予実績管理表"/>
      <sheetName val="（月例）指標推移表"/>
      <sheetName val="案件作業（ＷＫ）"/>
      <sheetName val="U支先作（ＷＫ）"/>
      <sheetName val="リーダー単位予定1Q"/>
      <sheetName val="リーダー単位予定2Q"/>
      <sheetName val="リーダー単位予定3Q"/>
      <sheetName val="リーダー単位予定4Q"/>
      <sheetName val="予定(リーダー単位予定用)"/>
      <sheetName val="調整"/>
      <sheetName val="グループ別残ＷＬ"/>
      <sheetName val="バグ管理票（窓販用医療単品）"/>
      <sheetName val="バグ管理票（窓販用終身保険）"/>
      <sheetName val="Module1"/>
      <sheetName val="バグ管理票（保有照合・給付金照合）"/>
      <sheetName val="バグ管理票（年次系）"/>
      <sheetName val="案件一覧"/>
      <sheetName val="開発計画書"/>
      <sheetName val="H21案件台帳"/>
      <sheetName val="要員一覧"/>
      <sheetName val="曜日"/>
      <sheetName val="月曜日抽出"/>
      <sheetName val="リファレンス"/>
      <sheetName val="レイアウト（ＰＥＵＬ０９４）"/>
      <sheetName val="個Ｓ"/>
      <sheetName val="個Ｓ(H23.5.30)"/>
      <sheetName val="個Ｓ(Ｈ23.5.27)"/>
      <sheetName val="個Ｓ(H23.5.26)"/>
      <sheetName val="個Ｓ(H23.5.19)"/>
      <sheetName val="個Ｓ(H23.5.9)"/>
      <sheetName val="個Ｓ(H23.5.2)"/>
      <sheetName val="個Ｓ(H23.4.27)"/>
      <sheetName val="個Ｓ(H23.4.22)"/>
      <sheetName val="個Ｓ（H23.4.1）"/>
      <sheetName val="個Ｓ(H23.6.28)-2"/>
      <sheetName val="個Ｓ(H23.6.28)"/>
      <sheetName val="計算用シート"/>
      <sheetName val="統計(H20,H21)"/>
      <sheetName val="統計（H19,H20)"/>
      <sheetName val="統計（H18,H19)"/>
      <sheetName val="H21年度工数"/>
      <sheetName val="Ｈ20年度工数"/>
      <sheetName val="Ｈ19年度工数"/>
      <sheetName val="Ｈ18年度工数"/>
      <sheetName val="H21"/>
      <sheetName val="H20"/>
      <sheetName val="H19"/>
      <sheetName val="H18"/>
      <sheetName val="統合テストH18"/>
      <sheetName val="統合テストH19"/>
      <sheetName val="統合テストH20"/>
      <sheetName val="統合テストH21"/>
      <sheetName val="年度累計比較"/>
      <sheetName val="日付判定ﾙｰﾁﾝ変更手順"/>
      <sheetName val="ｇ．PARMLIB設計"/>
      <sheetName val="別添資料４"/>
      <sheetName val="ﾄﾗﾌﾞﾙ件数_(対象外)"/>
      <sheetName val="実績_(トラブル抑制指標)"/>
      <sheetName val="実績_(各実績内訳）_"/>
      <sheetName val="実績_(チャレンジ目標)"/>
      <sheetName val="リスト用"/>
      <sheetName val="STAB"/>
      <sheetName val="TTAB"/>
      <sheetName val="入力項目リスト"/>
      <sheetName val="課題管理一覧表"/>
      <sheetName val="MASTER"/>
      <sheetName val="(Master)WBSコード一覧"/>
      <sheetName val="(Master)パートナー要員単価ランク"/>
      <sheetName val="(Master)組織"/>
      <sheetName val="(Master)当社職員単価ランク"/>
      <sheetName val="Pレート記号名"/>
      <sheetName val="開発状況一覧"/>
      <sheetName val="目次"/>
      <sheetName val="変更管理一覧表"/>
      <sheetName val="【マスタ】テーブル用リスト"/>
    </sheetNames>
    <definedNames>
      <definedName name="マクロ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台帳反映状況"/>
      <sheetName val="資産管理台帳"/>
      <sheetName val="項目の入力条件と確認マクロ"/>
      <sheetName val="プルダウン"/>
      <sheetName val="欠番シート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f9743f-infomart.an.r.appspot.com/login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7" Type="http://schemas.openxmlformats.org/officeDocument/2006/relationships/comments" Target="../comments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f9743f-infomart.an.r.appspot.com/login" TargetMode="Externa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7" Type="http://schemas.openxmlformats.org/officeDocument/2006/relationships/comments" Target="../comments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f9743f-infomart.an.r.appspot.com/login" TargetMode="External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000C-E9A7-4C06-9080-70201FED004F}">
  <sheetPr>
    <pageSetUpPr fitToPage="1"/>
  </sheetPr>
  <dimension ref="A1:BB226"/>
  <sheetViews>
    <sheetView view="pageBreakPreview" topLeftCell="A158" zoomScaleNormal="100" zoomScaleSheetLayoutView="100" workbookViewId="0">
      <selection activeCell="O16" sqref="O16:AY18"/>
    </sheetView>
  </sheetViews>
  <sheetFormatPr defaultColWidth="9" defaultRowHeight="13.5" x14ac:dyDescent="0.15"/>
  <cols>
    <col min="1" max="51" width="2.125" style="17" customWidth="1"/>
    <col min="52" max="52" width="10.25" style="16" bestFit="1" customWidth="1"/>
    <col min="53" max="53" width="15.5" style="16" customWidth="1"/>
    <col min="54" max="54" width="10" style="16" customWidth="1"/>
    <col min="55" max="16384" width="9" style="17"/>
  </cols>
  <sheetData>
    <row r="1" spans="1:51" ht="12" customHeight="1" x14ac:dyDescent="0.15">
      <c r="A1" s="50" t="s">
        <v>232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</row>
    <row r="2" spans="1:51" ht="12" customHeight="1" x14ac:dyDescent="0.1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</row>
    <row r="3" spans="1:51" ht="12" customHeight="1" x14ac:dyDescent="0.1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</row>
    <row r="4" spans="1:51" x14ac:dyDescent="0.15">
      <c r="A4" s="2" t="s">
        <v>152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52" t="s">
        <v>227</v>
      </c>
      <c r="P4" s="52"/>
      <c r="Q4" s="52"/>
      <c r="R4" s="52"/>
      <c r="S4" s="52"/>
      <c r="T4" s="52"/>
      <c r="U4" s="52"/>
      <c r="V4" s="5"/>
      <c r="W4" s="53" t="s">
        <v>155</v>
      </c>
      <c r="X4" s="53"/>
      <c r="Y4" s="53"/>
      <c r="Z4" s="53"/>
      <c r="AA4" s="54"/>
      <c r="AB4" s="55" t="s">
        <v>164</v>
      </c>
      <c r="AC4" s="56"/>
      <c r="AD4" s="57"/>
      <c r="AE4" s="58" t="s">
        <v>286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60"/>
    </row>
    <row r="5" spans="1:51" x14ac:dyDescent="0.15">
      <c r="A5" s="1"/>
      <c r="B5" s="61" t="s">
        <v>156</v>
      </c>
      <c r="C5" s="61"/>
      <c r="D5" s="61"/>
      <c r="E5" s="61"/>
      <c r="F5" s="62" t="s">
        <v>283</v>
      </c>
      <c r="G5" s="63"/>
      <c r="H5" s="63"/>
      <c r="I5" s="63"/>
      <c r="J5" s="63"/>
      <c r="K5" s="63"/>
      <c r="L5" s="63"/>
      <c r="M5" s="63"/>
      <c r="N5" s="64"/>
      <c r="O5" s="65" t="s">
        <v>233</v>
      </c>
      <c r="P5" s="65"/>
      <c r="Q5" s="65"/>
      <c r="R5" s="65"/>
      <c r="S5" s="65"/>
      <c r="T5" s="65"/>
      <c r="U5" s="66"/>
      <c r="V5" s="1"/>
      <c r="W5" s="67" t="s">
        <v>133</v>
      </c>
      <c r="X5" s="67"/>
      <c r="Y5" s="67"/>
      <c r="Z5" s="67"/>
      <c r="AA5" s="68"/>
      <c r="AB5" s="69" t="s">
        <v>165</v>
      </c>
      <c r="AC5" s="70"/>
      <c r="AD5" s="71"/>
      <c r="AE5" s="72" t="s">
        <v>285</v>
      </c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4"/>
    </row>
    <row r="6" spans="1:51" x14ac:dyDescent="0.15">
      <c r="A6" s="1"/>
      <c r="B6" s="61" t="s">
        <v>223</v>
      </c>
      <c r="C6" s="61"/>
      <c r="D6" s="61"/>
      <c r="E6" s="61"/>
      <c r="F6" s="62" t="s">
        <v>261</v>
      </c>
      <c r="G6" s="63"/>
      <c r="H6" s="63"/>
      <c r="I6" s="63"/>
      <c r="J6" s="63"/>
      <c r="K6" s="63"/>
      <c r="L6" s="63"/>
      <c r="M6" s="63"/>
      <c r="N6" s="64"/>
      <c r="O6" s="84" t="str">
        <f>"("&amp;SUBSTITUTE(AE7,"株式会社","")&amp;")"</f>
        <v>(SBI損害保険)</v>
      </c>
      <c r="P6" s="84"/>
      <c r="Q6" s="84"/>
      <c r="R6" s="84"/>
      <c r="S6" s="84"/>
      <c r="T6" s="84"/>
      <c r="U6" s="85"/>
      <c r="V6" s="1"/>
      <c r="W6" s="67" t="s">
        <v>134</v>
      </c>
      <c r="X6" s="67"/>
      <c r="Y6" s="67"/>
      <c r="Z6" s="67"/>
      <c r="AA6" s="68"/>
      <c r="AB6" s="69" t="s">
        <v>166</v>
      </c>
      <c r="AC6" s="70"/>
      <c r="AD6" s="71"/>
      <c r="AE6" s="72" t="s">
        <v>287</v>
      </c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4"/>
    </row>
    <row r="7" spans="1:51" x14ac:dyDescent="0.1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67" t="s">
        <v>139</v>
      </c>
      <c r="X7" s="67"/>
      <c r="Y7" s="67"/>
      <c r="Z7" s="67"/>
      <c r="AA7" s="68"/>
      <c r="AB7" s="69" t="s">
        <v>167</v>
      </c>
      <c r="AC7" s="70"/>
      <c r="AD7" s="71"/>
      <c r="AE7" s="72" t="s">
        <v>284</v>
      </c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4"/>
    </row>
    <row r="8" spans="1:51" x14ac:dyDescent="0.15">
      <c r="A8" s="75" t="s">
        <v>153</v>
      </c>
      <c r="B8" s="75"/>
      <c r="C8" s="75"/>
      <c r="D8" s="75"/>
      <c r="E8" s="75"/>
      <c r="F8" s="75"/>
      <c r="G8" s="75"/>
      <c r="H8" s="75"/>
      <c r="I8" s="75"/>
      <c r="J8" s="75"/>
      <c r="K8" s="75"/>
      <c r="Q8" s="1"/>
      <c r="W8" s="80" t="s">
        <v>275</v>
      </c>
      <c r="X8" s="80"/>
      <c r="Y8" s="80"/>
      <c r="Z8" s="80"/>
      <c r="AA8" s="81"/>
      <c r="AB8" s="76" t="s">
        <v>168</v>
      </c>
      <c r="AC8" s="76"/>
      <c r="AD8" s="76"/>
      <c r="AE8" s="72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4"/>
    </row>
    <row r="9" spans="1:51" x14ac:dyDescent="0.15">
      <c r="A9" s="1"/>
      <c r="B9" s="61" t="s">
        <v>154</v>
      </c>
      <c r="C9" s="61"/>
      <c r="D9" s="61"/>
      <c r="E9" s="61"/>
      <c r="F9" s="77" t="s">
        <v>347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9"/>
      <c r="W9" s="36"/>
      <c r="X9" s="82" t="s">
        <v>273</v>
      </c>
      <c r="Y9" s="82"/>
      <c r="Z9" s="82"/>
      <c r="AA9" s="83"/>
      <c r="AB9" s="76" t="s">
        <v>169</v>
      </c>
      <c r="AC9" s="76"/>
      <c r="AD9" s="76"/>
      <c r="AE9" s="72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4"/>
    </row>
    <row r="10" spans="1:51" x14ac:dyDescent="0.15">
      <c r="A10" s="2"/>
      <c r="B10" s="61" t="s">
        <v>138</v>
      </c>
      <c r="C10" s="61"/>
      <c r="D10" s="61"/>
      <c r="E10" s="61"/>
      <c r="F10" s="77" t="s">
        <v>330</v>
      </c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9"/>
      <c r="W10" s="36"/>
      <c r="X10" s="82" t="s">
        <v>274</v>
      </c>
      <c r="Y10" s="82"/>
      <c r="Z10" s="82"/>
      <c r="AA10" s="83"/>
      <c r="AB10" s="94" t="s">
        <v>170</v>
      </c>
      <c r="AC10" s="94"/>
      <c r="AD10" s="94"/>
      <c r="AE10" s="95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7"/>
    </row>
    <row r="11" spans="1:51" x14ac:dyDescent="0.15">
      <c r="A11" s="1"/>
      <c r="B11" s="2" t="s">
        <v>47</v>
      </c>
      <c r="C11" s="1"/>
      <c r="D11" s="1"/>
      <c r="E11" s="1"/>
      <c r="F11" s="1"/>
      <c r="G11" s="1"/>
      <c r="H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15">
      <c r="A12" s="1"/>
      <c r="B12" s="98" t="s">
        <v>48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107" t="s">
        <v>71</v>
      </c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9"/>
    </row>
    <row r="13" spans="1:51" x14ac:dyDescent="0.15">
      <c r="A13" s="1"/>
      <c r="B13" s="98" t="s">
        <v>49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107" t="s">
        <v>67</v>
      </c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9"/>
    </row>
    <row r="14" spans="1:5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10" t="s">
        <v>53</v>
      </c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</row>
    <row r="15" spans="1:51" x14ac:dyDescent="0.15">
      <c r="A15" s="2"/>
      <c r="B15" s="2" t="s">
        <v>31</v>
      </c>
      <c r="C15" s="1"/>
      <c r="D15" s="1"/>
      <c r="E15" s="1"/>
      <c r="F15" s="1"/>
      <c r="G15" s="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</row>
    <row r="16" spans="1:51" x14ac:dyDescent="0.15">
      <c r="A16" s="3"/>
      <c r="B16" s="112" t="s">
        <v>51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4"/>
      <c r="O16" s="77" t="s">
        <v>288</v>
      </c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9"/>
    </row>
    <row r="17" spans="1:54" x14ac:dyDescent="0.15">
      <c r="A17" s="3"/>
      <c r="B17" s="99" t="s">
        <v>41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100">
        <v>80</v>
      </c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2"/>
    </row>
    <row r="18" spans="1:54" x14ac:dyDescent="0.15">
      <c r="A18" s="1"/>
      <c r="B18" s="103" t="s">
        <v>146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4" t="s">
        <v>369</v>
      </c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6"/>
    </row>
    <row r="19" spans="1:54" x14ac:dyDescent="0.15">
      <c r="A19" s="3"/>
      <c r="B19" s="103" t="s">
        <v>228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0" t="s">
        <v>147</v>
      </c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2"/>
    </row>
    <row r="20" spans="1:54" x14ac:dyDescent="0.15">
      <c r="A20" s="1"/>
      <c r="B20" s="103" t="s">
        <v>229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0" t="s">
        <v>147</v>
      </c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2"/>
    </row>
    <row r="21" spans="1:54" x14ac:dyDescent="0.1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4" x14ac:dyDescent="0.15">
      <c r="A22" s="2" t="s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0"/>
      <c r="AC22" s="10"/>
      <c r="AD22" s="10"/>
      <c r="AE22" s="10"/>
      <c r="AF22" s="11"/>
      <c r="AG22" s="11"/>
      <c r="AH22" s="11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1"/>
    </row>
    <row r="23" spans="1:54" x14ac:dyDescent="0.15">
      <c r="A23" s="1"/>
      <c r="B23" s="115" t="s">
        <v>1</v>
      </c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90" t="s">
        <v>158</v>
      </c>
      <c r="P23" s="91"/>
      <c r="Q23" s="91"/>
      <c r="R23" s="91"/>
      <c r="S23" s="91"/>
      <c r="T23" s="91"/>
      <c r="U23" s="91"/>
      <c r="V23" s="91"/>
      <c r="W23" s="91"/>
      <c r="X23" s="92" t="s">
        <v>159</v>
      </c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3"/>
      <c r="AZ23" s="16" t="s">
        <v>328</v>
      </c>
      <c r="BA23" s="16" t="s">
        <v>327</v>
      </c>
      <c r="BB23" s="16">
        <v>16</v>
      </c>
    </row>
    <row r="24" spans="1:54" x14ac:dyDescent="0.15">
      <c r="A24" s="1"/>
      <c r="B24" s="86" t="s">
        <v>2</v>
      </c>
      <c r="C24" s="87"/>
      <c r="D24" s="87"/>
      <c r="E24" s="87"/>
      <c r="F24" s="87"/>
      <c r="G24" s="88"/>
      <c r="H24" s="88"/>
      <c r="I24" s="88"/>
      <c r="J24" s="88"/>
      <c r="K24" s="88"/>
      <c r="L24" s="88"/>
      <c r="M24" s="88"/>
      <c r="N24" s="89"/>
      <c r="O24" s="90" t="s">
        <v>160</v>
      </c>
      <c r="P24" s="91"/>
      <c r="Q24" s="91"/>
      <c r="R24" s="91"/>
      <c r="S24" s="91"/>
      <c r="T24" s="91"/>
      <c r="U24" s="91"/>
      <c r="V24" s="91"/>
      <c r="W24" s="91"/>
      <c r="X24" s="92" t="str">
        <f>VLOOKUP(X23,AZ23:BB25,2,FALSE)</f>
        <v>Silver 4208 2.1GHz  x2</v>
      </c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3"/>
      <c r="AZ24" s="16" t="s">
        <v>159</v>
      </c>
      <c r="BA24" s="16" t="s">
        <v>326</v>
      </c>
      <c r="BB24" s="16">
        <v>32</v>
      </c>
    </row>
    <row r="25" spans="1:54" x14ac:dyDescent="0.15">
      <c r="A25" s="1"/>
      <c r="B25" s="116" t="s">
        <v>3</v>
      </c>
      <c r="C25" s="117"/>
      <c r="D25" s="117"/>
      <c r="E25" s="117"/>
      <c r="F25" s="117"/>
      <c r="G25" s="118"/>
      <c r="H25" s="118"/>
      <c r="I25" s="118"/>
      <c r="J25" s="118"/>
      <c r="K25" s="118"/>
      <c r="L25" s="118"/>
      <c r="M25" s="118"/>
      <c r="N25" s="118"/>
      <c r="O25" s="90">
        <f>VLOOKUP(X23,AZ23:BB25,3,FALSE)</f>
        <v>32</v>
      </c>
      <c r="P25" s="91"/>
      <c r="Q25" s="91"/>
      <c r="R25" s="91"/>
      <c r="S25" s="91"/>
      <c r="T25" s="91"/>
      <c r="U25" s="91"/>
      <c r="V25" s="91"/>
      <c r="W25" s="91"/>
      <c r="X25" s="91"/>
      <c r="Y25" s="119" t="s">
        <v>161</v>
      </c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20"/>
      <c r="AZ25" s="16" t="s">
        <v>220</v>
      </c>
      <c r="BA25" s="16" t="s">
        <v>325</v>
      </c>
      <c r="BB25" s="16">
        <v>16</v>
      </c>
    </row>
    <row r="26" spans="1:54" x14ac:dyDescent="0.15">
      <c r="A26" s="1"/>
      <c r="B26" s="86" t="s">
        <v>4</v>
      </c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9"/>
      <c r="O26" s="121" t="s">
        <v>148</v>
      </c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3"/>
    </row>
    <row r="27" spans="1:54" x14ac:dyDescent="0.15">
      <c r="A27" s="1"/>
      <c r="B27" s="14"/>
      <c r="C27" s="1"/>
      <c r="D27" s="1"/>
      <c r="E27" s="4"/>
      <c r="F27" s="4"/>
      <c r="G27" s="4"/>
      <c r="H27" s="4"/>
      <c r="I27" s="4"/>
      <c r="J27" s="4"/>
      <c r="K27" s="4"/>
      <c r="L27" s="4"/>
      <c r="M27" s="4"/>
      <c r="N27" s="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 spans="1:54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4" x14ac:dyDescent="0.15">
      <c r="A29" s="2" t="s">
        <v>76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4" x14ac:dyDescent="0.15">
      <c r="A30" s="1"/>
      <c r="B30" s="86" t="s">
        <v>50</v>
      </c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4"/>
      <c r="O30" s="125" t="str">
        <f>VLOOKUP(F5&amp;F6,AZ30:BB33,2,)</f>
        <v>VTSV001</v>
      </c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78" t="s">
        <v>368</v>
      </c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9"/>
      <c r="AZ30" s="16" t="s">
        <v>162</v>
      </c>
      <c r="BA30" s="16" t="s">
        <v>224</v>
      </c>
      <c r="BB30" s="16" t="s">
        <v>279</v>
      </c>
    </row>
    <row r="31" spans="1:54" x14ac:dyDescent="0.15">
      <c r="A31" s="1"/>
      <c r="B31" s="86" t="s">
        <v>90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124"/>
      <c r="O31" s="142" t="s">
        <v>358</v>
      </c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4"/>
      <c r="AZ31" s="16" t="s">
        <v>163</v>
      </c>
      <c r="BA31" s="16" t="s">
        <v>224</v>
      </c>
      <c r="BB31" s="16" t="s">
        <v>279</v>
      </c>
    </row>
    <row r="32" spans="1:54" x14ac:dyDescent="0.15">
      <c r="A32" s="1"/>
      <c r="B32" s="86" t="s">
        <v>77</v>
      </c>
      <c r="C32" s="87"/>
      <c r="D32" s="87"/>
      <c r="E32" s="87"/>
      <c r="F32" s="87"/>
      <c r="G32" s="87"/>
      <c r="H32" s="88"/>
      <c r="I32" s="88"/>
      <c r="J32" s="88"/>
      <c r="K32" s="88"/>
      <c r="L32" s="88"/>
      <c r="M32" s="88"/>
      <c r="N32" s="89"/>
      <c r="O32" s="125" t="s">
        <v>324</v>
      </c>
      <c r="P32" s="134"/>
      <c r="Q32" s="134"/>
      <c r="R32" s="134"/>
      <c r="S32" s="134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5"/>
      <c r="AX32" s="135"/>
      <c r="AY32" s="136"/>
      <c r="AZ32" s="16" t="s">
        <v>225</v>
      </c>
      <c r="BA32" s="16" t="s">
        <v>110</v>
      </c>
      <c r="BB32" s="16" t="s">
        <v>241</v>
      </c>
    </row>
    <row r="33" spans="1:54" x14ac:dyDescent="0.15">
      <c r="A33" s="1"/>
      <c r="B33" s="1"/>
      <c r="O33" s="110" t="s">
        <v>216</v>
      </c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6" t="s">
        <v>226</v>
      </c>
      <c r="BA33" s="16" t="s">
        <v>110</v>
      </c>
      <c r="BB33" s="16" t="s">
        <v>241</v>
      </c>
    </row>
    <row r="34" spans="1:54" x14ac:dyDescent="0.15">
      <c r="A34" s="1"/>
      <c r="B34" s="1"/>
      <c r="O34" s="137" t="s">
        <v>217</v>
      </c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</row>
    <row r="35" spans="1:54" x14ac:dyDescent="0.15">
      <c r="A35" s="19" t="s">
        <v>323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1"/>
      <c r="AT35" s="1"/>
      <c r="AU35" s="1"/>
      <c r="AV35" s="1"/>
      <c r="AW35" s="1"/>
      <c r="AX35" s="1"/>
      <c r="AY35" s="1"/>
    </row>
    <row r="36" spans="1:54" x14ac:dyDescent="0.15">
      <c r="A36" s="20"/>
      <c r="B36" s="138" t="s">
        <v>54</v>
      </c>
      <c r="C36" s="138"/>
      <c r="D36" s="138"/>
      <c r="E36" s="138"/>
      <c r="F36" s="138"/>
      <c r="G36" s="138"/>
      <c r="H36" s="138"/>
      <c r="I36" s="138"/>
      <c r="J36" s="138"/>
      <c r="K36" s="138"/>
      <c r="L36" s="139" t="s">
        <v>322</v>
      </c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1"/>
      <c r="AC36" s="139" t="s">
        <v>137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1"/>
    </row>
    <row r="37" spans="1:54" x14ac:dyDescent="0.15">
      <c r="A37" s="20"/>
      <c r="B37" s="127" t="s">
        <v>78</v>
      </c>
      <c r="C37" s="127"/>
      <c r="D37" s="127"/>
      <c r="E37" s="127"/>
      <c r="F37" s="127"/>
      <c r="G37" s="127"/>
      <c r="H37" s="127"/>
      <c r="I37" s="127"/>
      <c r="J37" s="127"/>
      <c r="K37" s="127"/>
      <c r="L37" s="128" t="s">
        <v>321</v>
      </c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30"/>
      <c r="AC37" s="131" t="s">
        <v>320</v>
      </c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3"/>
    </row>
    <row r="38" spans="1:54" x14ac:dyDescent="0.15">
      <c r="A38" s="20"/>
      <c r="B38" s="127" t="s">
        <v>351</v>
      </c>
      <c r="C38" s="127"/>
      <c r="D38" s="127"/>
      <c r="E38" s="127"/>
      <c r="F38" s="127"/>
      <c r="G38" s="127"/>
      <c r="H38" s="127"/>
      <c r="I38" s="127"/>
      <c r="J38" s="127"/>
      <c r="K38" s="127"/>
      <c r="L38" s="128" t="s">
        <v>319</v>
      </c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30"/>
      <c r="AC38" s="131" t="s">
        <v>318</v>
      </c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3"/>
    </row>
    <row r="39" spans="1:54" x14ac:dyDescent="0.15">
      <c r="A39" s="20"/>
      <c r="B39" s="127" t="s">
        <v>281</v>
      </c>
      <c r="C39" s="127"/>
      <c r="D39" s="127"/>
      <c r="E39" s="127"/>
      <c r="F39" s="127"/>
      <c r="G39" s="127"/>
      <c r="H39" s="127"/>
      <c r="I39" s="127"/>
      <c r="J39" s="127"/>
      <c r="K39" s="127"/>
      <c r="L39" s="153" t="str">
        <f>"http://"&amp;東京DC_VTRecServer!V82&amp;"login"</f>
        <v>http://10.208.50.251login</v>
      </c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5"/>
      <c r="AC39" s="150" t="s">
        <v>262</v>
      </c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  <c r="AV39" s="151"/>
      <c r="AW39" s="151"/>
      <c r="AX39" s="151"/>
      <c r="AY39" s="152"/>
    </row>
    <row r="40" spans="1:54" x14ac:dyDescent="0.15">
      <c r="A40" s="20"/>
      <c r="B40" s="20"/>
      <c r="C40" s="20"/>
      <c r="D40" s="20"/>
      <c r="E40" s="20"/>
      <c r="F40" s="20"/>
      <c r="G40" s="20"/>
      <c r="AC40" s="110" t="s">
        <v>317</v>
      </c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</row>
    <row r="41" spans="1:54" x14ac:dyDescent="0.15">
      <c r="A41" s="1"/>
      <c r="B41" s="1"/>
      <c r="AC41" s="145" t="s">
        <v>316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</row>
    <row r="42" spans="1:54" x14ac:dyDescent="0.15">
      <c r="A42" s="21" t="s">
        <v>234</v>
      </c>
      <c r="B42" s="22"/>
      <c r="C42" s="23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3"/>
      <c r="AQ42" s="23"/>
      <c r="AR42" s="23"/>
      <c r="AS42" s="24"/>
      <c r="AT42" s="24"/>
      <c r="AU42" s="24"/>
      <c r="AV42" s="24"/>
      <c r="AW42" s="24"/>
      <c r="AX42" s="24"/>
      <c r="AY42" s="24"/>
    </row>
    <row r="43" spans="1:54" x14ac:dyDescent="0.15">
      <c r="A43" s="23"/>
      <c r="B43" s="146" t="s">
        <v>55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7" t="s">
        <v>56</v>
      </c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9"/>
    </row>
    <row r="44" spans="1:54" x14ac:dyDescent="0.15">
      <c r="A44" s="23"/>
      <c r="B44" s="168" t="s">
        <v>91</v>
      </c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9" t="s">
        <v>315</v>
      </c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188"/>
    </row>
    <row r="45" spans="1:54" x14ac:dyDescent="0.15">
      <c r="A45" s="25" t="s">
        <v>58</v>
      </c>
      <c r="B45" s="22"/>
      <c r="C45" s="23"/>
      <c r="D45" s="22"/>
      <c r="E45" s="22"/>
      <c r="F45" s="22"/>
      <c r="G45" s="22"/>
      <c r="H45" s="22"/>
      <c r="I45" s="24"/>
      <c r="J45" s="24"/>
      <c r="K45" s="24"/>
      <c r="L45" s="24"/>
      <c r="M45" s="24"/>
      <c r="N45" s="24"/>
      <c r="O45" s="24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</row>
    <row r="46" spans="1:54" x14ac:dyDescent="0.15">
      <c r="A46" s="23"/>
      <c r="B46" s="146" t="s">
        <v>55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7" t="s">
        <v>56</v>
      </c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9"/>
    </row>
    <row r="47" spans="1:54" x14ac:dyDescent="0.15">
      <c r="A47" s="23"/>
      <c r="B47" s="168" t="s">
        <v>61</v>
      </c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89" t="s">
        <v>314</v>
      </c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0"/>
      <c r="AK47" s="190"/>
      <c r="AL47" s="190"/>
      <c r="AM47" s="190"/>
      <c r="AN47" s="190"/>
      <c r="AO47" s="190"/>
      <c r="AP47" s="190"/>
      <c r="AQ47" s="190"/>
      <c r="AR47" s="190"/>
      <c r="AS47" s="190"/>
      <c r="AT47" s="190"/>
      <c r="AU47" s="190"/>
      <c r="AV47" s="190"/>
      <c r="AW47" s="190"/>
      <c r="AX47" s="190"/>
      <c r="AY47" s="191"/>
    </row>
    <row r="48" spans="1:54" x14ac:dyDescent="0.1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</row>
    <row r="49" spans="1:51" x14ac:dyDescent="0.15">
      <c r="A49" s="21" t="s">
        <v>235</v>
      </c>
      <c r="B49" s="22"/>
      <c r="C49" s="23"/>
      <c r="D49" s="22"/>
      <c r="E49" s="22"/>
      <c r="F49" s="22"/>
      <c r="G49" s="22"/>
      <c r="H49" s="22"/>
      <c r="I49" s="24"/>
      <c r="J49" s="24"/>
      <c r="K49" s="24"/>
      <c r="L49" s="24"/>
      <c r="M49" s="24"/>
      <c r="N49" s="24"/>
      <c r="O49" s="24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</row>
    <row r="50" spans="1:51" x14ac:dyDescent="0.15">
      <c r="A50" s="23"/>
      <c r="B50" s="146" t="s">
        <v>55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7" t="s">
        <v>56</v>
      </c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9"/>
    </row>
    <row r="51" spans="1:51" x14ac:dyDescent="0.15">
      <c r="A51" s="23"/>
      <c r="B51" s="168" t="s">
        <v>79</v>
      </c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9" t="s">
        <v>365</v>
      </c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0"/>
      <c r="AX51" s="170"/>
      <c r="AY51" s="171"/>
    </row>
    <row r="52" spans="1:5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15">
      <c r="A53" s="2" t="s">
        <v>5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15">
      <c r="A54" s="2"/>
      <c r="B54" s="61" t="s">
        <v>157</v>
      </c>
      <c r="C54" s="61"/>
      <c r="D54" s="61"/>
      <c r="E54" s="61"/>
      <c r="F54" s="62">
        <v>5</v>
      </c>
      <c r="G54" s="63"/>
      <c r="H54" s="63"/>
      <c r="I54" s="63"/>
      <c r="J54" s="63"/>
      <c r="K54" s="63"/>
      <c r="L54" s="63"/>
      <c r="M54" s="63"/>
      <c r="N54" s="63"/>
      <c r="O54" s="63"/>
      <c r="P54" s="64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15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t="13.15" customHeight="1" x14ac:dyDescent="0.15">
      <c r="A56" s="1"/>
      <c r="B56" s="162" t="s">
        <v>250</v>
      </c>
      <c r="C56" s="163"/>
      <c r="D56" s="163"/>
      <c r="E56" s="164" t="s">
        <v>6</v>
      </c>
      <c r="F56" s="61"/>
      <c r="G56" s="61"/>
      <c r="H56" s="61"/>
      <c r="I56" s="164" t="s">
        <v>7</v>
      </c>
      <c r="J56" s="61"/>
      <c r="K56" s="61"/>
      <c r="L56" s="61"/>
      <c r="M56" s="61"/>
      <c r="N56" s="61"/>
      <c r="O56" s="61" t="s">
        <v>8</v>
      </c>
      <c r="P56" s="61"/>
      <c r="Q56" s="61"/>
      <c r="R56" s="175" t="s">
        <v>9</v>
      </c>
      <c r="S56" s="176"/>
      <c r="T56" s="176"/>
      <c r="U56" s="177"/>
      <c r="V56" s="180" t="s">
        <v>10</v>
      </c>
      <c r="W56" s="180"/>
      <c r="X56" s="180"/>
      <c r="Y56" s="180"/>
      <c r="Z56" s="180"/>
      <c r="AA56" s="173" t="s">
        <v>11</v>
      </c>
      <c r="AB56" s="173"/>
      <c r="AC56" s="173"/>
      <c r="AD56" s="182"/>
      <c r="AE56" s="182"/>
      <c r="AF56" s="180" t="s">
        <v>12</v>
      </c>
      <c r="AG56" s="180"/>
      <c r="AH56" s="180"/>
      <c r="AI56" s="180"/>
      <c r="AJ56" s="180"/>
      <c r="AK56" s="164" t="s">
        <v>13</v>
      </c>
      <c r="AL56" s="61"/>
      <c r="AM56" s="61"/>
      <c r="AN56" s="61"/>
      <c r="AO56" s="61" t="s">
        <v>14</v>
      </c>
      <c r="AP56" s="61"/>
      <c r="AQ56" s="61"/>
      <c r="AR56" s="61"/>
      <c r="AS56" s="61"/>
      <c r="AT56" s="172"/>
      <c r="AU56" s="173" t="s">
        <v>4</v>
      </c>
      <c r="AV56" s="173"/>
      <c r="AW56" s="173"/>
      <c r="AX56" s="173"/>
      <c r="AY56" s="173"/>
    </row>
    <row r="57" spans="1:51" x14ac:dyDescent="0.15">
      <c r="A57" s="1"/>
      <c r="B57" s="163"/>
      <c r="C57" s="163"/>
      <c r="D57" s="163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178"/>
      <c r="S57" s="178"/>
      <c r="T57" s="178"/>
      <c r="U57" s="179"/>
      <c r="V57" s="181"/>
      <c r="W57" s="181"/>
      <c r="X57" s="181"/>
      <c r="Y57" s="181"/>
      <c r="Z57" s="181"/>
      <c r="AA57" s="174"/>
      <c r="AB57" s="174"/>
      <c r="AC57" s="174"/>
      <c r="AD57" s="183"/>
      <c r="AE57" s="183"/>
      <c r="AF57" s="181"/>
      <c r="AG57" s="181"/>
      <c r="AH57" s="181"/>
      <c r="AI57" s="181"/>
      <c r="AJ57" s="181"/>
      <c r="AK57" s="61"/>
      <c r="AL57" s="61"/>
      <c r="AM57" s="61"/>
      <c r="AN57" s="61"/>
      <c r="AO57" s="61"/>
      <c r="AP57" s="61"/>
      <c r="AQ57" s="61"/>
      <c r="AR57" s="61"/>
      <c r="AS57" s="61"/>
      <c r="AT57" s="172"/>
      <c r="AU57" s="174"/>
      <c r="AV57" s="174"/>
      <c r="AW57" s="174"/>
      <c r="AX57" s="174"/>
      <c r="AY57" s="174"/>
    </row>
    <row r="58" spans="1:51" ht="13.15" customHeight="1" x14ac:dyDescent="0.15">
      <c r="A58" s="1"/>
      <c r="B58" s="221" t="s">
        <v>251</v>
      </c>
      <c r="C58" s="222"/>
      <c r="D58" s="223"/>
      <c r="E58" s="156" t="s">
        <v>80</v>
      </c>
      <c r="F58" s="213"/>
      <c r="G58" s="213"/>
      <c r="H58" s="157"/>
      <c r="I58" s="156">
        <v>1</v>
      </c>
      <c r="J58" s="157"/>
      <c r="K58" s="156" t="s">
        <v>81</v>
      </c>
      <c r="L58" s="157"/>
      <c r="M58" s="156">
        <v>4</v>
      </c>
      <c r="N58" s="157"/>
      <c r="O58" s="156">
        <v>5</v>
      </c>
      <c r="P58" s="213"/>
      <c r="Q58" s="157"/>
      <c r="R58" s="200"/>
      <c r="S58" s="201"/>
      <c r="T58" s="201"/>
      <c r="U58" s="202"/>
      <c r="V58" s="184" t="s">
        <v>360</v>
      </c>
      <c r="W58" s="203"/>
      <c r="X58" s="203"/>
      <c r="Y58" s="203"/>
      <c r="Z58" s="204"/>
      <c r="AA58" s="184" t="s">
        <v>82</v>
      </c>
      <c r="AB58" s="185"/>
      <c r="AC58" s="185"/>
      <c r="AD58" s="185"/>
      <c r="AE58" s="186"/>
      <c r="AF58" s="184"/>
      <c r="AG58" s="185"/>
      <c r="AH58" s="185"/>
      <c r="AI58" s="185"/>
      <c r="AJ58" s="186"/>
      <c r="AK58" s="184"/>
      <c r="AL58" s="185"/>
      <c r="AM58" s="185"/>
      <c r="AN58" s="186"/>
      <c r="AO58" s="184" t="s">
        <v>92</v>
      </c>
      <c r="AP58" s="185"/>
      <c r="AQ58" s="185"/>
      <c r="AR58" s="185"/>
      <c r="AS58" s="185"/>
      <c r="AT58" s="186"/>
      <c r="AU58" s="184" t="s">
        <v>57</v>
      </c>
      <c r="AV58" s="185"/>
      <c r="AW58" s="185"/>
      <c r="AX58" s="185"/>
      <c r="AY58" s="186"/>
    </row>
    <row r="59" spans="1:51" x14ac:dyDescent="0.15">
      <c r="A59" s="1"/>
      <c r="B59" s="224"/>
      <c r="C59" s="225"/>
      <c r="D59" s="226"/>
      <c r="E59" s="158"/>
      <c r="F59" s="214"/>
      <c r="G59" s="214"/>
      <c r="H59" s="159"/>
      <c r="I59" s="158"/>
      <c r="J59" s="159"/>
      <c r="K59" s="158"/>
      <c r="L59" s="159"/>
      <c r="M59" s="158"/>
      <c r="N59" s="159"/>
      <c r="O59" s="158"/>
      <c r="P59" s="214"/>
      <c r="Q59" s="159"/>
      <c r="R59" s="194"/>
      <c r="S59" s="195"/>
      <c r="T59" s="195"/>
      <c r="U59" s="196"/>
      <c r="V59" s="197" t="s">
        <v>361</v>
      </c>
      <c r="W59" s="198"/>
      <c r="X59" s="198"/>
      <c r="Y59" s="198"/>
      <c r="Z59" s="199"/>
      <c r="AA59" s="197" t="s">
        <v>80</v>
      </c>
      <c r="AB59" s="198"/>
      <c r="AC59" s="198"/>
      <c r="AD59" s="198"/>
      <c r="AE59" s="199"/>
      <c r="AF59" s="197"/>
      <c r="AG59" s="198"/>
      <c r="AH59" s="198"/>
      <c r="AI59" s="198"/>
      <c r="AJ59" s="199"/>
      <c r="AK59" s="197"/>
      <c r="AL59" s="198"/>
      <c r="AM59" s="198"/>
      <c r="AN59" s="199"/>
      <c r="AO59" s="197"/>
      <c r="AP59" s="198"/>
      <c r="AQ59" s="198"/>
      <c r="AR59" s="198"/>
      <c r="AS59" s="198"/>
      <c r="AT59" s="199"/>
      <c r="AU59" s="197" t="s">
        <v>93</v>
      </c>
      <c r="AV59" s="198"/>
      <c r="AW59" s="198"/>
      <c r="AX59" s="198"/>
      <c r="AY59" s="199"/>
    </row>
    <row r="60" spans="1:51" x14ac:dyDescent="0.15">
      <c r="A60" s="1"/>
      <c r="B60" s="224"/>
      <c r="C60" s="225"/>
      <c r="D60" s="226"/>
      <c r="E60" s="158"/>
      <c r="F60" s="214"/>
      <c r="G60" s="214"/>
      <c r="H60" s="159"/>
      <c r="I60" s="158"/>
      <c r="J60" s="159"/>
      <c r="K60" s="158"/>
      <c r="L60" s="159"/>
      <c r="M60" s="158"/>
      <c r="N60" s="159"/>
      <c r="O60" s="158"/>
      <c r="P60" s="214"/>
      <c r="Q60" s="159"/>
      <c r="R60" s="216"/>
      <c r="S60" s="217"/>
      <c r="T60" s="217"/>
      <c r="U60" s="218"/>
      <c r="V60" s="165"/>
      <c r="W60" s="219"/>
      <c r="X60" s="219"/>
      <c r="Y60" s="219"/>
      <c r="Z60" s="220"/>
      <c r="AA60" s="165" t="s">
        <v>82</v>
      </c>
      <c r="AB60" s="166"/>
      <c r="AC60" s="166"/>
      <c r="AD60" s="166"/>
      <c r="AE60" s="167"/>
      <c r="AF60" s="165"/>
      <c r="AG60" s="166"/>
      <c r="AH60" s="166"/>
      <c r="AI60" s="166"/>
      <c r="AJ60" s="167"/>
      <c r="AK60" s="165"/>
      <c r="AL60" s="166"/>
      <c r="AM60" s="166"/>
      <c r="AN60" s="167"/>
      <c r="AO60" s="165"/>
      <c r="AP60" s="166"/>
      <c r="AQ60" s="166"/>
      <c r="AR60" s="166"/>
      <c r="AS60" s="166"/>
      <c r="AT60" s="167"/>
      <c r="AU60" s="165" t="s">
        <v>94</v>
      </c>
      <c r="AV60" s="166"/>
      <c r="AW60" s="166"/>
      <c r="AX60" s="166"/>
      <c r="AY60" s="167"/>
    </row>
    <row r="61" spans="1:51" x14ac:dyDescent="0.15">
      <c r="A61" s="1"/>
      <c r="B61" s="224"/>
      <c r="C61" s="225"/>
      <c r="D61" s="226"/>
      <c r="E61" s="158"/>
      <c r="F61" s="214"/>
      <c r="G61" s="214"/>
      <c r="H61" s="159"/>
      <c r="I61" s="158"/>
      <c r="J61" s="159"/>
      <c r="K61" s="158"/>
      <c r="L61" s="159"/>
      <c r="M61" s="158"/>
      <c r="N61" s="159"/>
      <c r="O61" s="158"/>
      <c r="P61" s="214"/>
      <c r="Q61" s="159"/>
      <c r="R61" s="216" t="s">
        <v>15</v>
      </c>
      <c r="S61" s="217"/>
      <c r="T61" s="217"/>
      <c r="U61" s="218"/>
      <c r="V61" s="125" t="s">
        <v>359</v>
      </c>
      <c r="W61" s="126"/>
      <c r="X61" s="126"/>
      <c r="Y61" s="126"/>
      <c r="Z61" s="193"/>
      <c r="AA61" s="165" t="s">
        <v>95</v>
      </c>
      <c r="AB61" s="166"/>
      <c r="AC61" s="166"/>
      <c r="AD61" s="166"/>
      <c r="AE61" s="167"/>
      <c r="AF61" s="165" t="s">
        <v>16</v>
      </c>
      <c r="AG61" s="166"/>
      <c r="AH61" s="166"/>
      <c r="AI61" s="166"/>
      <c r="AJ61" s="167"/>
      <c r="AK61" s="165" t="s">
        <v>17</v>
      </c>
      <c r="AL61" s="166"/>
      <c r="AM61" s="166"/>
      <c r="AN61" s="167"/>
      <c r="AO61" s="165" t="s">
        <v>82</v>
      </c>
      <c r="AP61" s="166"/>
      <c r="AQ61" s="166"/>
      <c r="AR61" s="166"/>
      <c r="AS61" s="166"/>
      <c r="AT61" s="167"/>
      <c r="AU61" s="165" t="s">
        <v>96</v>
      </c>
      <c r="AV61" s="166"/>
      <c r="AW61" s="166"/>
      <c r="AX61" s="166"/>
      <c r="AY61" s="167"/>
    </row>
    <row r="62" spans="1:51" x14ac:dyDescent="0.15">
      <c r="A62" s="1"/>
      <c r="B62" s="227"/>
      <c r="C62" s="228"/>
      <c r="D62" s="229"/>
      <c r="E62" s="160"/>
      <c r="F62" s="215"/>
      <c r="G62" s="215"/>
      <c r="H62" s="161"/>
      <c r="I62" s="160"/>
      <c r="J62" s="161"/>
      <c r="K62" s="160"/>
      <c r="L62" s="161"/>
      <c r="M62" s="160"/>
      <c r="N62" s="161"/>
      <c r="O62" s="160"/>
      <c r="P62" s="215"/>
      <c r="Q62" s="161"/>
      <c r="R62" s="206" t="s">
        <v>15</v>
      </c>
      <c r="S62" s="211"/>
      <c r="T62" s="211"/>
      <c r="U62" s="212"/>
      <c r="V62" s="125" t="s">
        <v>362</v>
      </c>
      <c r="W62" s="126"/>
      <c r="X62" s="126"/>
      <c r="Y62" s="126"/>
      <c r="Z62" s="193"/>
      <c r="AA62" s="125" t="s">
        <v>97</v>
      </c>
      <c r="AB62" s="209"/>
      <c r="AC62" s="209"/>
      <c r="AD62" s="209"/>
      <c r="AE62" s="210"/>
      <c r="AF62" s="125" t="s">
        <v>16</v>
      </c>
      <c r="AG62" s="209"/>
      <c r="AH62" s="209"/>
      <c r="AI62" s="209"/>
      <c r="AJ62" s="210"/>
      <c r="AK62" s="125" t="s">
        <v>17</v>
      </c>
      <c r="AL62" s="209"/>
      <c r="AM62" s="209"/>
      <c r="AN62" s="210"/>
      <c r="AO62" s="125" t="s">
        <v>82</v>
      </c>
      <c r="AP62" s="209"/>
      <c r="AQ62" s="209"/>
      <c r="AR62" s="209"/>
      <c r="AS62" s="209"/>
      <c r="AT62" s="210"/>
      <c r="AU62" s="125" t="s">
        <v>98</v>
      </c>
      <c r="AV62" s="209"/>
      <c r="AW62" s="209"/>
      <c r="AX62" s="209"/>
      <c r="AY62" s="210"/>
    </row>
    <row r="63" spans="1:51" x14ac:dyDescent="0.15">
      <c r="A63" s="1"/>
      <c r="B63" s="205" t="s">
        <v>18</v>
      </c>
      <c r="C63" s="205"/>
      <c r="D63" s="205"/>
      <c r="E63" s="205" t="s">
        <v>19</v>
      </c>
      <c r="F63" s="205"/>
      <c r="G63" s="205"/>
      <c r="H63" s="205"/>
      <c r="I63" s="205" t="s">
        <v>19</v>
      </c>
      <c r="J63" s="205"/>
      <c r="K63" s="205"/>
      <c r="L63" s="205"/>
      <c r="M63" s="205"/>
      <c r="N63" s="205"/>
      <c r="O63" s="205" t="s">
        <v>19</v>
      </c>
      <c r="P63" s="205"/>
      <c r="Q63" s="205"/>
      <c r="R63" s="206" t="s">
        <v>19</v>
      </c>
      <c r="S63" s="207"/>
      <c r="T63" s="207"/>
      <c r="U63" s="208"/>
      <c r="V63" s="125" t="s">
        <v>19</v>
      </c>
      <c r="W63" s="126"/>
      <c r="X63" s="126"/>
      <c r="Y63" s="126"/>
      <c r="Z63" s="193"/>
      <c r="AA63" s="125" t="s">
        <v>363</v>
      </c>
      <c r="AB63" s="126"/>
      <c r="AC63" s="126"/>
      <c r="AD63" s="135"/>
      <c r="AE63" s="136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2"/>
      <c r="AW63" s="32"/>
      <c r="AX63" s="32"/>
      <c r="AY63" s="32"/>
    </row>
    <row r="64" spans="1:51" x14ac:dyDescent="0.15">
      <c r="A64" s="1"/>
      <c r="B64" s="1"/>
      <c r="C64" s="137" t="s">
        <v>214</v>
      </c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</row>
    <row r="65" spans="1:51" x14ac:dyDescent="0.15">
      <c r="A65" s="1"/>
      <c r="B65" s="1"/>
      <c r="C65" s="137" t="s">
        <v>215</v>
      </c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</row>
    <row r="66" spans="1:51" ht="4.5" customHeight="1" x14ac:dyDescent="0.15">
      <c r="A66" s="1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18"/>
      <c r="V66" s="192"/>
      <c r="W66" s="192"/>
      <c r="X66" s="192"/>
      <c r="Y66" s="192"/>
      <c r="Z66" s="192"/>
      <c r="AA66" s="192"/>
      <c r="AB66" s="192"/>
      <c r="AC66" s="192"/>
      <c r="AD66" s="118"/>
      <c r="AE66" s="118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1"/>
      <c r="AW66" s="1"/>
      <c r="AX66" s="1"/>
      <c r="AY66" s="1"/>
    </row>
    <row r="67" spans="1:51" x14ac:dyDescent="0.15">
      <c r="A67" s="1"/>
      <c r="B67" s="61" t="s">
        <v>313</v>
      </c>
      <c r="C67" s="61"/>
      <c r="D67" s="61"/>
      <c r="E67" s="164" t="s">
        <v>6</v>
      </c>
      <c r="F67" s="61"/>
      <c r="G67" s="61"/>
      <c r="H67" s="61"/>
      <c r="I67" s="164" t="s">
        <v>7</v>
      </c>
      <c r="J67" s="61"/>
      <c r="K67" s="61"/>
      <c r="L67" s="61"/>
      <c r="M67" s="61"/>
      <c r="N67" s="61"/>
      <c r="O67" s="61" t="s">
        <v>8</v>
      </c>
      <c r="P67" s="61"/>
      <c r="Q67" s="61"/>
      <c r="R67" s="175" t="s">
        <v>9</v>
      </c>
      <c r="S67" s="176"/>
      <c r="T67" s="176"/>
      <c r="U67" s="177"/>
      <c r="V67" s="180" t="s">
        <v>10</v>
      </c>
      <c r="W67" s="180"/>
      <c r="X67" s="180"/>
      <c r="Y67" s="180"/>
      <c r="Z67" s="180"/>
      <c r="AA67" s="173" t="s">
        <v>11</v>
      </c>
      <c r="AB67" s="173"/>
      <c r="AC67" s="173"/>
      <c r="AD67" s="182"/>
      <c r="AE67" s="182"/>
      <c r="AF67" s="180" t="s">
        <v>12</v>
      </c>
      <c r="AG67" s="180"/>
      <c r="AH67" s="180"/>
      <c r="AI67" s="180"/>
      <c r="AJ67" s="180"/>
      <c r="AK67" s="164" t="s">
        <v>13</v>
      </c>
      <c r="AL67" s="61"/>
      <c r="AM67" s="61"/>
      <c r="AN67" s="61"/>
      <c r="AO67" s="61" t="s">
        <v>14</v>
      </c>
      <c r="AP67" s="61"/>
      <c r="AQ67" s="61"/>
      <c r="AR67" s="61"/>
      <c r="AS67" s="61"/>
      <c r="AT67" s="172"/>
      <c r="AU67" s="173" t="s">
        <v>4</v>
      </c>
      <c r="AV67" s="173"/>
      <c r="AW67" s="173"/>
      <c r="AX67" s="173"/>
      <c r="AY67" s="173"/>
    </row>
    <row r="68" spans="1:51" x14ac:dyDescent="0.15">
      <c r="A68" s="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178"/>
      <c r="S68" s="178"/>
      <c r="T68" s="178"/>
      <c r="U68" s="179"/>
      <c r="V68" s="181"/>
      <c r="W68" s="181"/>
      <c r="X68" s="181"/>
      <c r="Y68" s="181"/>
      <c r="Z68" s="181"/>
      <c r="AA68" s="174"/>
      <c r="AB68" s="174"/>
      <c r="AC68" s="174"/>
      <c r="AD68" s="183"/>
      <c r="AE68" s="183"/>
      <c r="AF68" s="181"/>
      <c r="AG68" s="181"/>
      <c r="AH68" s="181"/>
      <c r="AI68" s="181"/>
      <c r="AJ68" s="181"/>
      <c r="AK68" s="61"/>
      <c r="AL68" s="61"/>
      <c r="AM68" s="61"/>
      <c r="AN68" s="61"/>
      <c r="AO68" s="61"/>
      <c r="AP68" s="61"/>
      <c r="AQ68" s="61"/>
      <c r="AR68" s="61"/>
      <c r="AS68" s="61"/>
      <c r="AT68" s="172"/>
      <c r="AU68" s="174"/>
      <c r="AV68" s="174"/>
      <c r="AW68" s="174"/>
      <c r="AX68" s="174"/>
      <c r="AY68" s="174"/>
    </row>
    <row r="69" spans="1:51" x14ac:dyDescent="0.15">
      <c r="A69" s="1"/>
      <c r="B69" s="252">
        <v>7</v>
      </c>
      <c r="C69" s="244"/>
      <c r="D69" s="245"/>
      <c r="E69" s="243" t="s">
        <v>111</v>
      </c>
      <c r="F69" s="244"/>
      <c r="G69" s="244"/>
      <c r="H69" s="245"/>
      <c r="I69" s="251">
        <v>1</v>
      </c>
      <c r="J69" s="235"/>
      <c r="K69" s="251">
        <v>2</v>
      </c>
      <c r="L69" s="235"/>
      <c r="M69" s="252"/>
      <c r="N69" s="245"/>
      <c r="O69" s="251">
        <v>1</v>
      </c>
      <c r="P69" s="234"/>
      <c r="Q69" s="235"/>
      <c r="R69" s="233" t="s">
        <v>112</v>
      </c>
      <c r="S69" s="234"/>
      <c r="T69" s="234"/>
      <c r="U69" s="235"/>
      <c r="V69" s="230" t="s">
        <v>113</v>
      </c>
      <c r="W69" s="231"/>
      <c r="X69" s="231"/>
      <c r="Y69" s="231"/>
      <c r="Z69" s="232"/>
      <c r="AA69" s="230" t="s">
        <v>114</v>
      </c>
      <c r="AB69" s="231"/>
      <c r="AC69" s="231"/>
      <c r="AD69" s="231"/>
      <c r="AE69" s="232"/>
      <c r="AF69" s="230" t="s">
        <v>115</v>
      </c>
      <c r="AG69" s="231"/>
      <c r="AH69" s="231"/>
      <c r="AI69" s="231"/>
      <c r="AJ69" s="232"/>
      <c r="AK69" s="230" t="s">
        <v>116</v>
      </c>
      <c r="AL69" s="231"/>
      <c r="AM69" s="231"/>
      <c r="AN69" s="232"/>
      <c r="AO69" s="230"/>
      <c r="AP69" s="231"/>
      <c r="AQ69" s="231"/>
      <c r="AR69" s="231"/>
      <c r="AS69" s="231"/>
      <c r="AT69" s="232"/>
      <c r="AU69" s="230"/>
      <c r="AV69" s="231"/>
      <c r="AW69" s="231"/>
      <c r="AX69" s="231"/>
      <c r="AY69" s="232"/>
    </row>
    <row r="70" spans="1:51" x14ac:dyDescent="0.15">
      <c r="A70" s="1"/>
      <c r="B70" s="248"/>
      <c r="C70" s="67"/>
      <c r="D70" s="247"/>
      <c r="E70" s="246"/>
      <c r="F70" s="67"/>
      <c r="G70" s="67"/>
      <c r="H70" s="247"/>
      <c r="I70" s="236"/>
      <c r="J70" s="238"/>
      <c r="K70" s="236"/>
      <c r="L70" s="238"/>
      <c r="M70" s="248"/>
      <c r="N70" s="247"/>
      <c r="O70" s="236"/>
      <c r="P70" s="237"/>
      <c r="Q70" s="238"/>
      <c r="R70" s="236"/>
      <c r="S70" s="237"/>
      <c r="T70" s="237"/>
      <c r="U70" s="238"/>
      <c r="V70" s="256" t="s">
        <v>117</v>
      </c>
      <c r="W70" s="257"/>
      <c r="X70" s="257"/>
      <c r="Y70" s="257"/>
      <c r="Z70" s="258"/>
      <c r="AA70" s="256" t="s">
        <v>118</v>
      </c>
      <c r="AB70" s="257"/>
      <c r="AC70" s="257"/>
      <c r="AD70" s="257"/>
      <c r="AE70" s="258"/>
      <c r="AF70" s="256" t="s">
        <v>119</v>
      </c>
      <c r="AG70" s="257"/>
      <c r="AH70" s="257"/>
      <c r="AI70" s="257"/>
      <c r="AJ70" s="258"/>
      <c r="AK70" s="256" t="s">
        <v>120</v>
      </c>
      <c r="AL70" s="257"/>
      <c r="AM70" s="257"/>
      <c r="AN70" s="258"/>
      <c r="AO70" s="256"/>
      <c r="AP70" s="257"/>
      <c r="AQ70" s="257"/>
      <c r="AR70" s="257"/>
      <c r="AS70" s="257"/>
      <c r="AT70" s="258"/>
      <c r="AU70" s="256"/>
      <c r="AV70" s="257"/>
      <c r="AW70" s="257"/>
      <c r="AX70" s="257"/>
      <c r="AY70" s="258"/>
    </row>
    <row r="71" spans="1:51" x14ac:dyDescent="0.15">
      <c r="A71" s="1"/>
      <c r="B71" s="248"/>
      <c r="C71" s="67"/>
      <c r="D71" s="247"/>
      <c r="E71" s="248"/>
      <c r="F71" s="67"/>
      <c r="G71" s="67"/>
      <c r="H71" s="247"/>
      <c r="I71" s="236"/>
      <c r="J71" s="238"/>
      <c r="K71" s="236"/>
      <c r="L71" s="238"/>
      <c r="M71" s="248"/>
      <c r="N71" s="247"/>
      <c r="O71" s="236"/>
      <c r="P71" s="237"/>
      <c r="Q71" s="238"/>
      <c r="R71" s="230"/>
      <c r="S71" s="239"/>
      <c r="T71" s="239"/>
      <c r="U71" s="240"/>
      <c r="V71" s="121" t="s">
        <v>121</v>
      </c>
      <c r="W71" s="241"/>
      <c r="X71" s="241"/>
      <c r="Y71" s="241"/>
      <c r="Z71" s="242"/>
      <c r="AA71" s="121" t="s">
        <v>122</v>
      </c>
      <c r="AB71" s="241"/>
      <c r="AC71" s="241"/>
      <c r="AD71" s="241"/>
      <c r="AE71" s="242"/>
      <c r="AF71" s="121" t="s">
        <v>123</v>
      </c>
      <c r="AG71" s="241"/>
      <c r="AH71" s="241"/>
      <c r="AI71" s="241"/>
      <c r="AJ71" s="242"/>
      <c r="AK71" s="121" t="s">
        <v>124</v>
      </c>
      <c r="AL71" s="241"/>
      <c r="AM71" s="241"/>
      <c r="AN71" s="242"/>
      <c r="AO71" s="121"/>
      <c r="AP71" s="241"/>
      <c r="AQ71" s="241"/>
      <c r="AR71" s="241"/>
      <c r="AS71" s="241"/>
      <c r="AT71" s="242"/>
      <c r="AU71" s="121"/>
      <c r="AV71" s="241"/>
      <c r="AW71" s="241"/>
      <c r="AX71" s="241"/>
      <c r="AY71" s="242"/>
    </row>
    <row r="72" spans="1:51" x14ac:dyDescent="0.15">
      <c r="A72" s="1"/>
      <c r="B72" s="248"/>
      <c r="C72" s="67"/>
      <c r="D72" s="247"/>
      <c r="E72" s="248"/>
      <c r="F72" s="67"/>
      <c r="G72" s="67"/>
      <c r="H72" s="247"/>
      <c r="I72" s="236"/>
      <c r="J72" s="238"/>
      <c r="K72" s="236"/>
      <c r="L72" s="238"/>
      <c r="M72" s="248"/>
      <c r="N72" s="247"/>
      <c r="O72" s="236"/>
      <c r="P72" s="237"/>
      <c r="Q72" s="238"/>
      <c r="R72" s="233" t="s">
        <v>125</v>
      </c>
      <c r="S72" s="234"/>
      <c r="T72" s="234"/>
      <c r="U72" s="235"/>
      <c r="V72" s="230" t="s">
        <v>126</v>
      </c>
      <c r="W72" s="231"/>
      <c r="X72" s="231"/>
      <c r="Y72" s="231"/>
      <c r="Z72" s="232"/>
      <c r="AA72" s="230"/>
      <c r="AB72" s="231"/>
      <c r="AC72" s="231"/>
      <c r="AD72" s="231"/>
      <c r="AE72" s="232"/>
      <c r="AF72" s="230"/>
      <c r="AG72" s="231"/>
      <c r="AH72" s="231"/>
      <c r="AI72" s="231"/>
      <c r="AJ72" s="232"/>
      <c r="AK72" s="230" t="s">
        <v>120</v>
      </c>
      <c r="AL72" s="231"/>
      <c r="AM72" s="231"/>
      <c r="AN72" s="232"/>
      <c r="AO72" s="230"/>
      <c r="AP72" s="231"/>
      <c r="AQ72" s="231"/>
      <c r="AR72" s="231"/>
      <c r="AS72" s="231"/>
      <c r="AT72" s="232"/>
      <c r="AU72" s="230" t="s">
        <v>127</v>
      </c>
      <c r="AV72" s="231"/>
      <c r="AW72" s="231"/>
      <c r="AX72" s="231"/>
      <c r="AY72" s="232"/>
    </row>
    <row r="73" spans="1:51" x14ac:dyDescent="0.15">
      <c r="A73" s="1"/>
      <c r="B73" s="248"/>
      <c r="C73" s="67"/>
      <c r="D73" s="247"/>
      <c r="E73" s="248"/>
      <c r="F73" s="67"/>
      <c r="G73" s="67"/>
      <c r="H73" s="247"/>
      <c r="I73" s="236"/>
      <c r="J73" s="238"/>
      <c r="K73" s="236"/>
      <c r="L73" s="238"/>
      <c r="M73" s="248"/>
      <c r="N73" s="247"/>
      <c r="O73" s="236"/>
      <c r="P73" s="237"/>
      <c r="Q73" s="238"/>
      <c r="R73" s="236"/>
      <c r="S73" s="237"/>
      <c r="T73" s="237"/>
      <c r="U73" s="238"/>
      <c r="V73" s="256" t="s">
        <v>128</v>
      </c>
      <c r="W73" s="257"/>
      <c r="X73" s="257"/>
      <c r="Y73" s="257"/>
      <c r="Z73" s="258"/>
      <c r="AA73" s="256"/>
      <c r="AB73" s="257"/>
      <c r="AC73" s="257"/>
      <c r="AD73" s="257"/>
      <c r="AE73" s="258"/>
      <c r="AF73" s="256"/>
      <c r="AG73" s="257"/>
      <c r="AH73" s="257"/>
      <c r="AI73" s="257"/>
      <c r="AJ73" s="258"/>
      <c r="AK73" s="256" t="s">
        <v>129</v>
      </c>
      <c r="AL73" s="257"/>
      <c r="AM73" s="257"/>
      <c r="AN73" s="258"/>
      <c r="AO73" s="256"/>
      <c r="AP73" s="257"/>
      <c r="AQ73" s="257"/>
      <c r="AR73" s="257"/>
      <c r="AS73" s="257"/>
      <c r="AT73" s="258"/>
      <c r="AU73" s="256" t="s">
        <v>130</v>
      </c>
      <c r="AV73" s="257"/>
      <c r="AW73" s="257"/>
      <c r="AX73" s="257"/>
      <c r="AY73" s="258"/>
    </row>
    <row r="74" spans="1:51" x14ac:dyDescent="0.15">
      <c r="A74" s="1"/>
      <c r="B74" s="249"/>
      <c r="C74" s="192"/>
      <c r="D74" s="250"/>
      <c r="E74" s="249"/>
      <c r="F74" s="192"/>
      <c r="G74" s="192"/>
      <c r="H74" s="250"/>
      <c r="I74" s="230"/>
      <c r="J74" s="240"/>
      <c r="K74" s="230"/>
      <c r="L74" s="240"/>
      <c r="M74" s="249"/>
      <c r="N74" s="250"/>
      <c r="O74" s="230"/>
      <c r="P74" s="239"/>
      <c r="Q74" s="240"/>
      <c r="R74" s="230"/>
      <c r="S74" s="239"/>
      <c r="T74" s="239"/>
      <c r="U74" s="240"/>
      <c r="V74" s="121" t="s">
        <v>131</v>
      </c>
      <c r="W74" s="241"/>
      <c r="X74" s="241"/>
      <c r="Y74" s="241"/>
      <c r="Z74" s="242"/>
      <c r="AA74" s="121"/>
      <c r="AB74" s="241"/>
      <c r="AC74" s="241"/>
      <c r="AD74" s="241"/>
      <c r="AE74" s="242"/>
      <c r="AF74" s="121"/>
      <c r="AG74" s="241"/>
      <c r="AH74" s="241"/>
      <c r="AI74" s="241"/>
      <c r="AJ74" s="242"/>
      <c r="AK74" s="121" t="s">
        <v>120</v>
      </c>
      <c r="AL74" s="241"/>
      <c r="AM74" s="241"/>
      <c r="AN74" s="242"/>
      <c r="AO74" s="121"/>
      <c r="AP74" s="241"/>
      <c r="AQ74" s="241"/>
      <c r="AR74" s="241"/>
      <c r="AS74" s="241"/>
      <c r="AT74" s="242"/>
      <c r="AU74" s="121" t="s">
        <v>132</v>
      </c>
      <c r="AV74" s="241"/>
      <c r="AW74" s="241"/>
      <c r="AX74" s="241"/>
      <c r="AY74" s="242"/>
    </row>
    <row r="75" spans="1:51" x14ac:dyDescent="0.15">
      <c r="A75" s="1"/>
      <c r="B75" s="253" t="s">
        <v>18</v>
      </c>
      <c r="C75" s="253"/>
      <c r="D75" s="253"/>
      <c r="E75" s="253" t="s">
        <v>19</v>
      </c>
      <c r="F75" s="253"/>
      <c r="G75" s="253"/>
      <c r="H75" s="253"/>
      <c r="I75" s="253" t="s">
        <v>19</v>
      </c>
      <c r="J75" s="253"/>
      <c r="K75" s="253"/>
      <c r="L75" s="253"/>
      <c r="M75" s="253"/>
      <c r="N75" s="253"/>
      <c r="O75" s="253" t="s">
        <v>19</v>
      </c>
      <c r="P75" s="253"/>
      <c r="Q75" s="253"/>
      <c r="R75" s="121" t="s">
        <v>19</v>
      </c>
      <c r="S75" s="122"/>
      <c r="T75" s="122"/>
      <c r="U75" s="254"/>
      <c r="V75" s="121" t="s">
        <v>19</v>
      </c>
      <c r="W75" s="122"/>
      <c r="X75" s="122"/>
      <c r="Y75" s="122"/>
      <c r="Z75" s="255"/>
      <c r="AA75" s="121" t="s">
        <v>20</v>
      </c>
      <c r="AB75" s="122"/>
      <c r="AC75" s="122"/>
      <c r="AD75" s="259"/>
      <c r="AE75" s="254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1"/>
      <c r="AW75" s="1"/>
      <c r="AX75" s="1"/>
      <c r="AY75" s="1"/>
    </row>
    <row r="76" spans="1:51" x14ac:dyDescent="0.15">
      <c r="A76" s="1"/>
      <c r="B76" s="244"/>
      <c r="C76" s="244"/>
      <c r="D76" s="244"/>
      <c r="E76" s="244"/>
      <c r="F76" s="244"/>
      <c r="G76" s="244"/>
      <c r="H76" s="244"/>
      <c r="I76" s="244"/>
      <c r="J76" s="244"/>
      <c r="K76" s="244"/>
      <c r="L76" s="244"/>
      <c r="M76" s="244"/>
      <c r="N76" s="244"/>
      <c r="O76" s="244"/>
      <c r="P76" s="244"/>
      <c r="Q76" s="244"/>
      <c r="R76" s="244"/>
      <c r="S76" s="244"/>
      <c r="T76" s="244"/>
      <c r="U76" s="260"/>
      <c r="V76" s="244"/>
      <c r="W76" s="244"/>
      <c r="X76" s="244"/>
      <c r="Y76" s="244"/>
      <c r="Z76" s="244"/>
      <c r="AA76" s="244"/>
      <c r="AB76" s="244"/>
      <c r="AC76" s="244"/>
      <c r="AD76" s="260"/>
      <c r="AE76" s="260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1"/>
      <c r="AW76" s="1"/>
      <c r="AX76" s="1"/>
      <c r="AY76" s="1"/>
    </row>
    <row r="77" spans="1:51" x14ac:dyDescent="0.15">
      <c r="A77" s="2" t="s">
        <v>25</v>
      </c>
      <c r="B77" s="35"/>
      <c r="C77" s="1"/>
      <c r="E77" s="35"/>
      <c r="F77" s="35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34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34"/>
    </row>
    <row r="78" spans="1:51" x14ac:dyDescent="0.15">
      <c r="A78" s="1"/>
      <c r="B78" s="137" t="s">
        <v>145</v>
      </c>
      <c r="C78" s="137"/>
      <c r="D78" s="137"/>
      <c r="E78" s="137"/>
      <c r="F78" s="137"/>
      <c r="G78" s="266"/>
      <c r="H78" s="267"/>
      <c r="I78" s="267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  <c r="AA78" s="267"/>
      <c r="AB78" s="267"/>
      <c r="AC78" s="267"/>
      <c r="AD78" s="267"/>
      <c r="AE78" s="267"/>
      <c r="AF78" s="267"/>
      <c r="AG78" s="267"/>
      <c r="AH78" s="267"/>
      <c r="AI78" s="267"/>
      <c r="AJ78" s="267"/>
      <c r="AK78" s="267"/>
      <c r="AL78" s="267"/>
      <c r="AM78" s="267"/>
      <c r="AN78" s="267"/>
      <c r="AO78" s="267"/>
      <c r="AP78" s="267"/>
      <c r="AQ78" s="267"/>
      <c r="AR78" s="267"/>
      <c r="AS78" s="267"/>
      <c r="AT78" s="267"/>
      <c r="AU78" s="267"/>
      <c r="AV78" s="267"/>
      <c r="AW78" s="267"/>
      <c r="AX78" s="267"/>
      <c r="AY78" s="268"/>
    </row>
    <row r="79" spans="1:51" x14ac:dyDescent="0.15">
      <c r="A79" s="1"/>
      <c r="B79" s="35"/>
      <c r="C79" s="1"/>
      <c r="E79" s="35"/>
      <c r="F79" s="35" t="s">
        <v>144</v>
      </c>
      <c r="G79" s="137" t="s">
        <v>142</v>
      </c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4" t="s">
        <v>141</v>
      </c>
      <c r="W79" s="137" t="s">
        <v>143</v>
      </c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4"/>
    </row>
    <row r="80" spans="1:51" x14ac:dyDescent="0.15">
      <c r="A80" s="1"/>
      <c r="B80" s="61" t="s">
        <v>135</v>
      </c>
      <c r="C80" s="61"/>
      <c r="D80" s="263" t="s">
        <v>37</v>
      </c>
      <c r="E80" s="264"/>
      <c r="F80" s="264"/>
      <c r="G80" s="264"/>
      <c r="H80" s="264"/>
      <c r="I80" s="264"/>
      <c r="J80" s="264"/>
      <c r="K80" s="265"/>
      <c r="L80" s="263" t="s">
        <v>38</v>
      </c>
      <c r="M80" s="264"/>
      <c r="N80" s="264"/>
      <c r="O80" s="264"/>
      <c r="P80" s="264"/>
      <c r="Q80" s="264"/>
      <c r="R80" s="264"/>
      <c r="S80" s="264"/>
      <c r="T80" s="286" t="s">
        <v>66</v>
      </c>
      <c r="U80" s="287"/>
      <c r="V80" s="286" t="s">
        <v>136</v>
      </c>
      <c r="W80" s="288"/>
      <c r="X80" s="288"/>
      <c r="Y80" s="287"/>
      <c r="Z80" s="263" t="s">
        <v>21</v>
      </c>
      <c r="AA80" s="277"/>
      <c r="AB80" s="277"/>
      <c r="AC80" s="277"/>
      <c r="AD80" s="277"/>
      <c r="AE80" s="263" t="s">
        <v>22</v>
      </c>
      <c r="AF80" s="277"/>
      <c r="AG80" s="277"/>
      <c r="AH80" s="280"/>
      <c r="AI80" s="263" t="s">
        <v>23</v>
      </c>
      <c r="AJ80" s="277"/>
      <c r="AK80" s="277"/>
      <c r="AL80" s="277"/>
      <c r="AM80" s="277"/>
      <c r="AN80" s="277"/>
      <c r="AO80" s="277"/>
      <c r="AP80" s="277"/>
      <c r="AQ80" s="263" t="s">
        <v>24</v>
      </c>
      <c r="AR80" s="277"/>
      <c r="AS80" s="277"/>
      <c r="AT80" s="277"/>
      <c r="AU80" s="277"/>
      <c r="AV80" s="277"/>
      <c r="AW80" s="277"/>
      <c r="AX80" s="277"/>
      <c r="AY80" s="280"/>
    </row>
    <row r="81" spans="1:53" ht="13.5" customHeight="1" x14ac:dyDescent="0.15">
      <c r="A81" s="1"/>
      <c r="B81" s="253" t="s">
        <v>69</v>
      </c>
      <c r="C81" s="253"/>
      <c r="D81" s="253" t="s">
        <v>312</v>
      </c>
      <c r="E81" s="253"/>
      <c r="F81" s="253"/>
      <c r="G81" s="253"/>
      <c r="H81" s="253"/>
      <c r="I81" s="253"/>
      <c r="J81" s="253"/>
      <c r="K81" s="253"/>
      <c r="L81" s="289" t="s">
        <v>311</v>
      </c>
      <c r="M81" s="289"/>
      <c r="N81" s="289"/>
      <c r="O81" s="289"/>
      <c r="P81" s="289"/>
      <c r="Q81" s="289"/>
      <c r="R81" s="289"/>
      <c r="S81" s="289"/>
      <c r="T81" s="290" t="s">
        <v>206</v>
      </c>
      <c r="U81" s="66"/>
      <c r="V81" s="291" t="s">
        <v>71</v>
      </c>
      <c r="W81" s="276"/>
      <c r="X81" s="276"/>
      <c r="Y81" s="276"/>
      <c r="Z81" s="278" t="s">
        <v>74</v>
      </c>
      <c r="AA81" s="279"/>
      <c r="AB81" s="279"/>
      <c r="AC81" s="279"/>
      <c r="AD81" s="279"/>
      <c r="AE81" s="290" t="s">
        <v>106</v>
      </c>
      <c r="AF81" s="297"/>
      <c r="AG81" s="297"/>
      <c r="AH81" s="297"/>
      <c r="AI81" s="290" t="s">
        <v>75</v>
      </c>
      <c r="AJ81" s="298"/>
      <c r="AK81" s="298"/>
      <c r="AL81" s="298"/>
      <c r="AM81" s="298"/>
      <c r="AN81" s="298"/>
      <c r="AO81" s="298"/>
      <c r="AP81" s="299"/>
      <c r="AQ81" s="290" t="s">
        <v>221</v>
      </c>
      <c r="AR81" s="65"/>
      <c r="AS81" s="65"/>
      <c r="AT81" s="65"/>
      <c r="AU81" s="65"/>
      <c r="AV81" s="65"/>
      <c r="AW81" s="65"/>
      <c r="AX81" s="65"/>
      <c r="AY81" s="66"/>
    </row>
    <row r="82" spans="1:53" x14ac:dyDescent="0.15">
      <c r="A82" s="1"/>
      <c r="B82" s="261" t="s">
        <v>26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260"/>
      <c r="U82" s="262"/>
      <c r="V82" s="269" t="str">
        <f>IF(T81="有","有効","無効")</f>
        <v>有効</v>
      </c>
      <c r="W82" s="270"/>
      <c r="X82" s="270"/>
      <c r="Y82" s="270"/>
      <c r="Z82" s="270"/>
      <c r="AA82" s="270"/>
      <c r="AB82" s="270"/>
      <c r="AC82" s="270"/>
      <c r="AD82" s="270"/>
      <c r="AE82" s="270"/>
      <c r="AF82" s="270"/>
      <c r="AG82" s="270"/>
      <c r="AH82" s="270"/>
      <c r="AI82" s="270"/>
      <c r="AJ82" s="270"/>
      <c r="AK82" s="270"/>
      <c r="AL82" s="270"/>
      <c r="AM82" s="270"/>
      <c r="AN82" s="270"/>
      <c r="AO82" s="270"/>
      <c r="AP82" s="270"/>
      <c r="AQ82" s="270"/>
      <c r="AR82" s="270"/>
      <c r="AS82" s="270"/>
      <c r="AT82" s="270"/>
      <c r="AU82" s="270"/>
      <c r="AV82" s="270"/>
      <c r="AW82" s="270"/>
      <c r="AX82" s="270"/>
      <c r="AY82" s="271"/>
    </row>
    <row r="83" spans="1:53" x14ac:dyDescent="0.15">
      <c r="A83" s="1"/>
      <c r="B83" s="41"/>
      <c r="C83" s="272" t="s">
        <v>27</v>
      </c>
      <c r="D83" s="272"/>
      <c r="E83" s="272"/>
      <c r="F83" s="272"/>
      <c r="G83" s="272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3"/>
      <c r="U83" s="273"/>
      <c r="V83" s="274" t="s">
        <v>370</v>
      </c>
      <c r="W83" s="275"/>
      <c r="X83" s="275"/>
      <c r="Y83" s="275"/>
      <c r="Z83" s="275"/>
      <c r="AA83" s="275"/>
      <c r="AB83" s="275"/>
      <c r="AC83" s="275"/>
      <c r="AD83" s="275"/>
      <c r="AE83" s="275"/>
      <c r="AF83" s="275"/>
      <c r="AG83" s="26"/>
      <c r="AH83" s="26"/>
      <c r="AI83" s="26" t="s">
        <v>204</v>
      </c>
      <c r="AJ83" s="276">
        <v>24</v>
      </c>
      <c r="AK83" s="276"/>
      <c r="AL83" s="276"/>
      <c r="AM83" s="276"/>
      <c r="AN83" s="276"/>
      <c r="AO83" s="276"/>
      <c r="AP83" s="276"/>
      <c r="AQ83" s="276"/>
      <c r="AR83" s="26" t="s">
        <v>205</v>
      </c>
      <c r="AS83" s="26"/>
      <c r="AT83" s="26"/>
      <c r="AU83" s="26"/>
      <c r="AV83" s="26"/>
      <c r="AW83" s="26"/>
      <c r="AX83" s="26"/>
      <c r="AY83" s="27"/>
      <c r="AZ83" s="16">
        <v>1</v>
      </c>
      <c r="BA83" s="16" t="s">
        <v>171</v>
      </c>
    </row>
    <row r="84" spans="1:53" x14ac:dyDescent="0.15">
      <c r="A84" s="1"/>
      <c r="B84" s="41"/>
      <c r="C84" s="281" t="s">
        <v>28</v>
      </c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2"/>
      <c r="U84" s="282"/>
      <c r="V84" s="283"/>
      <c r="W84" s="284"/>
      <c r="X84" s="284"/>
      <c r="Y84" s="284"/>
      <c r="Z84" s="284"/>
      <c r="AA84" s="284"/>
      <c r="AB84" s="284"/>
      <c r="AC84" s="284"/>
      <c r="AD84" s="284"/>
      <c r="AE84" s="284"/>
      <c r="AF84" s="284"/>
      <c r="AG84" s="284"/>
      <c r="AH84" s="284"/>
      <c r="AI84" s="284"/>
      <c r="AJ84" s="284"/>
      <c r="AK84" s="284"/>
      <c r="AL84" s="284"/>
      <c r="AM84" s="284"/>
      <c r="AN84" s="284"/>
      <c r="AO84" s="284"/>
      <c r="AP84" s="284"/>
      <c r="AQ84" s="284"/>
      <c r="AR84" s="284"/>
      <c r="AS84" s="284"/>
      <c r="AT84" s="284"/>
      <c r="AU84" s="284"/>
      <c r="AV84" s="284"/>
      <c r="AW84" s="284"/>
      <c r="AX84" s="284"/>
      <c r="AY84" s="285"/>
      <c r="AZ84" s="16">
        <v>2</v>
      </c>
      <c r="BA84" s="16" t="s">
        <v>172</v>
      </c>
    </row>
    <row r="85" spans="1:53" x14ac:dyDescent="0.15">
      <c r="A85" s="1"/>
      <c r="B85" s="41"/>
      <c r="C85" s="281" t="s">
        <v>29</v>
      </c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2"/>
      <c r="U85" s="282"/>
      <c r="V85" s="300"/>
      <c r="W85" s="301"/>
      <c r="X85" s="301"/>
      <c r="Y85" s="301"/>
      <c r="Z85" s="301"/>
      <c r="AA85" s="301"/>
      <c r="AB85" s="301"/>
      <c r="AC85" s="301"/>
      <c r="AD85" s="301"/>
      <c r="AE85" s="301"/>
      <c r="AF85" s="301"/>
      <c r="AG85" s="301"/>
      <c r="AH85" s="301"/>
      <c r="AI85" s="301"/>
      <c r="AJ85" s="301"/>
      <c r="AK85" s="301"/>
      <c r="AL85" s="301"/>
      <c r="AM85" s="301"/>
      <c r="AN85" s="301"/>
      <c r="AO85" s="301"/>
      <c r="AP85" s="301"/>
      <c r="AQ85" s="301"/>
      <c r="AR85" s="301"/>
      <c r="AS85" s="301"/>
      <c r="AT85" s="301"/>
      <c r="AU85" s="301"/>
      <c r="AV85" s="301"/>
      <c r="AW85" s="301"/>
      <c r="AX85" s="301"/>
      <c r="AY85" s="302"/>
      <c r="AZ85" s="16">
        <v>3</v>
      </c>
      <c r="BA85" s="16" t="s">
        <v>173</v>
      </c>
    </row>
    <row r="86" spans="1:53" x14ac:dyDescent="0.15">
      <c r="A86" s="1"/>
      <c r="B86" s="40"/>
      <c r="C86" s="292" t="s">
        <v>30</v>
      </c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3"/>
      <c r="U86" s="293"/>
      <c r="V86" s="294"/>
      <c r="W86" s="295"/>
      <c r="X86" s="295"/>
      <c r="Y86" s="295"/>
      <c r="Z86" s="295"/>
      <c r="AA86" s="295"/>
      <c r="AB86" s="295"/>
      <c r="AC86" s="295"/>
      <c r="AD86" s="295"/>
      <c r="AE86" s="295"/>
      <c r="AF86" s="295"/>
      <c r="AG86" s="295"/>
      <c r="AH86" s="295"/>
      <c r="AI86" s="295"/>
      <c r="AJ86" s="295"/>
      <c r="AK86" s="295"/>
      <c r="AL86" s="295"/>
      <c r="AM86" s="295"/>
      <c r="AN86" s="295"/>
      <c r="AO86" s="295"/>
      <c r="AP86" s="295"/>
      <c r="AQ86" s="295"/>
      <c r="AR86" s="295"/>
      <c r="AS86" s="295"/>
      <c r="AT86" s="295"/>
      <c r="AU86" s="295"/>
      <c r="AV86" s="295"/>
      <c r="AW86" s="295"/>
      <c r="AX86" s="295"/>
      <c r="AY86" s="296"/>
      <c r="AZ86" s="16">
        <v>4</v>
      </c>
      <c r="BA86" s="16" t="s">
        <v>174</v>
      </c>
    </row>
    <row r="87" spans="1:53" x14ac:dyDescent="0.15">
      <c r="A87" s="1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4"/>
      <c r="U87" s="4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16">
        <v>5</v>
      </c>
      <c r="BA87" s="16" t="s">
        <v>175</v>
      </c>
    </row>
    <row r="88" spans="1:53" x14ac:dyDescent="0.15">
      <c r="A88" s="1"/>
      <c r="B88" s="61" t="s">
        <v>135</v>
      </c>
      <c r="C88" s="61"/>
      <c r="D88" s="263" t="s">
        <v>37</v>
      </c>
      <c r="E88" s="264"/>
      <c r="F88" s="264"/>
      <c r="G88" s="264"/>
      <c r="H88" s="264"/>
      <c r="I88" s="264"/>
      <c r="J88" s="264"/>
      <c r="K88" s="265"/>
      <c r="L88" s="263" t="s">
        <v>38</v>
      </c>
      <c r="M88" s="264"/>
      <c r="N88" s="264"/>
      <c r="O88" s="264"/>
      <c r="P88" s="264"/>
      <c r="Q88" s="264"/>
      <c r="R88" s="264"/>
      <c r="S88" s="264"/>
      <c r="T88" s="286" t="s">
        <v>66</v>
      </c>
      <c r="U88" s="287"/>
      <c r="V88" s="286" t="s">
        <v>136</v>
      </c>
      <c r="W88" s="288"/>
      <c r="X88" s="288"/>
      <c r="Y88" s="287"/>
      <c r="Z88" s="263" t="s">
        <v>21</v>
      </c>
      <c r="AA88" s="277"/>
      <c r="AB88" s="277"/>
      <c r="AC88" s="277"/>
      <c r="AD88" s="277"/>
      <c r="AE88" s="263" t="s">
        <v>22</v>
      </c>
      <c r="AF88" s="277"/>
      <c r="AG88" s="277"/>
      <c r="AH88" s="280"/>
      <c r="AI88" s="263" t="s">
        <v>23</v>
      </c>
      <c r="AJ88" s="277"/>
      <c r="AK88" s="277"/>
      <c r="AL88" s="277"/>
      <c r="AM88" s="277"/>
      <c r="AN88" s="277"/>
      <c r="AO88" s="277"/>
      <c r="AP88" s="277"/>
      <c r="AQ88" s="263" t="s">
        <v>24</v>
      </c>
      <c r="AR88" s="277"/>
      <c r="AS88" s="277"/>
      <c r="AT88" s="277"/>
      <c r="AU88" s="277"/>
      <c r="AV88" s="277"/>
      <c r="AW88" s="277"/>
      <c r="AX88" s="277"/>
      <c r="AY88" s="280"/>
      <c r="AZ88" s="16">
        <v>6</v>
      </c>
      <c r="BA88" s="16" t="s">
        <v>176</v>
      </c>
    </row>
    <row r="89" spans="1:53" ht="13.5" customHeight="1" x14ac:dyDescent="0.15">
      <c r="A89" s="1"/>
      <c r="B89" s="253" t="s">
        <v>40</v>
      </c>
      <c r="C89" s="253"/>
      <c r="D89" s="253" t="s">
        <v>310</v>
      </c>
      <c r="E89" s="253"/>
      <c r="F89" s="253"/>
      <c r="G89" s="253"/>
      <c r="H89" s="253"/>
      <c r="I89" s="253"/>
      <c r="J89" s="253"/>
      <c r="K89" s="253"/>
      <c r="L89" s="289" t="s">
        <v>309</v>
      </c>
      <c r="M89" s="289"/>
      <c r="N89" s="289"/>
      <c r="O89" s="289"/>
      <c r="P89" s="289"/>
      <c r="Q89" s="289"/>
      <c r="R89" s="289"/>
      <c r="S89" s="289"/>
      <c r="T89" s="290" t="s">
        <v>207</v>
      </c>
      <c r="U89" s="66"/>
      <c r="V89" s="291" t="s">
        <v>71</v>
      </c>
      <c r="W89" s="276"/>
      <c r="X89" s="276"/>
      <c r="Y89" s="276"/>
      <c r="Z89" s="278" t="s">
        <v>74</v>
      </c>
      <c r="AA89" s="279"/>
      <c r="AB89" s="279"/>
      <c r="AC89" s="279"/>
      <c r="AD89" s="279"/>
      <c r="AE89" s="290" t="s">
        <v>106</v>
      </c>
      <c r="AF89" s="297"/>
      <c r="AG89" s="297"/>
      <c r="AH89" s="297"/>
      <c r="AI89" s="290" t="s">
        <v>75</v>
      </c>
      <c r="AJ89" s="298"/>
      <c r="AK89" s="298"/>
      <c r="AL89" s="298"/>
      <c r="AM89" s="298"/>
      <c r="AN89" s="298"/>
      <c r="AO89" s="298"/>
      <c r="AP89" s="299"/>
      <c r="AQ89" s="290"/>
      <c r="AR89" s="65"/>
      <c r="AS89" s="65"/>
      <c r="AT89" s="65"/>
      <c r="AU89" s="65"/>
      <c r="AV89" s="65"/>
      <c r="AW89" s="65"/>
      <c r="AX89" s="65"/>
      <c r="AY89" s="66"/>
      <c r="AZ89" s="16">
        <v>7</v>
      </c>
      <c r="BA89" s="16" t="s">
        <v>177</v>
      </c>
    </row>
    <row r="90" spans="1:53" x14ac:dyDescent="0.15">
      <c r="A90" s="1"/>
      <c r="B90" s="261" t="s">
        <v>26</v>
      </c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303"/>
      <c r="V90" s="269" t="str">
        <f>IF(T89="有","有効","無効")</f>
        <v>無効</v>
      </c>
      <c r="W90" s="270"/>
      <c r="X90" s="270"/>
      <c r="Y90" s="270"/>
      <c r="Z90" s="270"/>
      <c r="AA90" s="270"/>
      <c r="AB90" s="270"/>
      <c r="AC90" s="270"/>
      <c r="AD90" s="270"/>
      <c r="AE90" s="270"/>
      <c r="AF90" s="270"/>
      <c r="AG90" s="270"/>
      <c r="AH90" s="270"/>
      <c r="AI90" s="270"/>
      <c r="AJ90" s="270"/>
      <c r="AK90" s="270"/>
      <c r="AL90" s="270"/>
      <c r="AM90" s="270"/>
      <c r="AN90" s="270"/>
      <c r="AO90" s="270"/>
      <c r="AP90" s="270"/>
      <c r="AQ90" s="270"/>
      <c r="AR90" s="270"/>
      <c r="AS90" s="270"/>
      <c r="AT90" s="270"/>
      <c r="AU90" s="270"/>
      <c r="AV90" s="270"/>
      <c r="AW90" s="270"/>
      <c r="AX90" s="270"/>
      <c r="AY90" s="271"/>
      <c r="AZ90" s="16">
        <v>8</v>
      </c>
      <c r="BA90" s="16" t="s">
        <v>178</v>
      </c>
    </row>
    <row r="91" spans="1:53" x14ac:dyDescent="0.15">
      <c r="A91" s="1"/>
      <c r="B91" s="41"/>
      <c r="C91" s="304" t="s">
        <v>27</v>
      </c>
      <c r="D91" s="305"/>
      <c r="E91" s="305"/>
      <c r="F91" s="305"/>
      <c r="G91" s="305"/>
      <c r="H91" s="305"/>
      <c r="I91" s="305"/>
      <c r="J91" s="305"/>
      <c r="K91" s="305"/>
      <c r="L91" s="305"/>
      <c r="M91" s="305"/>
      <c r="N91" s="305"/>
      <c r="O91" s="305"/>
      <c r="P91" s="305"/>
      <c r="Q91" s="305"/>
      <c r="R91" s="305"/>
      <c r="S91" s="305"/>
      <c r="T91" s="305"/>
      <c r="U91" s="306"/>
      <c r="V91" s="274"/>
      <c r="W91" s="275"/>
      <c r="X91" s="275"/>
      <c r="Y91" s="275"/>
      <c r="Z91" s="275"/>
      <c r="AA91" s="275"/>
      <c r="AB91" s="275"/>
      <c r="AC91" s="275"/>
      <c r="AD91" s="275"/>
      <c r="AE91" s="275"/>
      <c r="AF91" s="275"/>
      <c r="AG91" s="26" t="s">
        <v>141</v>
      </c>
      <c r="AH91" s="26"/>
      <c r="AI91" s="26" t="s">
        <v>204</v>
      </c>
      <c r="AJ91" s="276" t="e">
        <f>VLOOKUP(AH91,$AZ$83:$BA$114,2,)</f>
        <v>#N/A</v>
      </c>
      <c r="AK91" s="276"/>
      <c r="AL91" s="276"/>
      <c r="AM91" s="276"/>
      <c r="AN91" s="276"/>
      <c r="AO91" s="276"/>
      <c r="AP91" s="276"/>
      <c r="AQ91" s="276"/>
      <c r="AR91" s="26" t="s">
        <v>205</v>
      </c>
      <c r="AS91" s="26"/>
      <c r="AT91" s="26"/>
      <c r="AU91" s="26"/>
      <c r="AV91" s="26"/>
      <c r="AW91" s="26"/>
      <c r="AX91" s="26"/>
      <c r="AY91" s="27"/>
      <c r="AZ91" s="16">
        <v>9</v>
      </c>
      <c r="BA91" s="16" t="s">
        <v>179</v>
      </c>
    </row>
    <row r="92" spans="1:53" x14ac:dyDescent="0.15">
      <c r="A92" s="1"/>
      <c r="B92" s="41"/>
      <c r="C92" s="281" t="s">
        <v>28</v>
      </c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2"/>
      <c r="U92" s="282"/>
      <c r="V92" s="300"/>
      <c r="W92" s="301"/>
      <c r="X92" s="301"/>
      <c r="Y92" s="301"/>
      <c r="Z92" s="301"/>
      <c r="AA92" s="301"/>
      <c r="AB92" s="301"/>
      <c r="AC92" s="301"/>
      <c r="AD92" s="301"/>
      <c r="AE92" s="301"/>
      <c r="AF92" s="301"/>
      <c r="AG92" s="301"/>
      <c r="AH92" s="301"/>
      <c r="AI92" s="301"/>
      <c r="AJ92" s="301"/>
      <c r="AK92" s="301"/>
      <c r="AL92" s="301"/>
      <c r="AM92" s="301"/>
      <c r="AN92" s="301"/>
      <c r="AO92" s="301"/>
      <c r="AP92" s="301"/>
      <c r="AQ92" s="301"/>
      <c r="AR92" s="301"/>
      <c r="AS92" s="301"/>
      <c r="AT92" s="301"/>
      <c r="AU92" s="301"/>
      <c r="AV92" s="301"/>
      <c r="AW92" s="301"/>
      <c r="AX92" s="301"/>
      <c r="AY92" s="302"/>
      <c r="AZ92" s="16">
        <v>10</v>
      </c>
      <c r="BA92" s="16" t="s">
        <v>180</v>
      </c>
    </row>
    <row r="93" spans="1:53" x14ac:dyDescent="0.15">
      <c r="A93" s="1"/>
      <c r="B93" s="41"/>
      <c r="C93" s="281" t="s">
        <v>29</v>
      </c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2"/>
      <c r="U93" s="282"/>
      <c r="V93" s="300"/>
      <c r="W93" s="301"/>
      <c r="X93" s="301"/>
      <c r="Y93" s="301"/>
      <c r="Z93" s="301"/>
      <c r="AA93" s="301"/>
      <c r="AB93" s="301"/>
      <c r="AC93" s="301"/>
      <c r="AD93" s="301"/>
      <c r="AE93" s="301"/>
      <c r="AF93" s="301"/>
      <c r="AG93" s="301"/>
      <c r="AH93" s="301"/>
      <c r="AI93" s="301"/>
      <c r="AJ93" s="301"/>
      <c r="AK93" s="301"/>
      <c r="AL93" s="301"/>
      <c r="AM93" s="301"/>
      <c r="AN93" s="301"/>
      <c r="AO93" s="301"/>
      <c r="AP93" s="301"/>
      <c r="AQ93" s="301"/>
      <c r="AR93" s="301"/>
      <c r="AS93" s="301"/>
      <c r="AT93" s="301"/>
      <c r="AU93" s="301"/>
      <c r="AV93" s="301"/>
      <c r="AW93" s="301"/>
      <c r="AX93" s="301"/>
      <c r="AY93" s="302"/>
      <c r="AZ93" s="16">
        <v>11</v>
      </c>
      <c r="BA93" s="16" t="s">
        <v>181</v>
      </c>
    </row>
    <row r="94" spans="1:53" x14ac:dyDescent="0.15">
      <c r="A94" s="1"/>
      <c r="B94" s="40"/>
      <c r="C94" s="292" t="s">
        <v>30</v>
      </c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  <c r="R94" s="292"/>
      <c r="S94" s="292"/>
      <c r="T94" s="293"/>
      <c r="U94" s="293"/>
      <c r="V94" s="294"/>
      <c r="W94" s="295"/>
      <c r="X94" s="295"/>
      <c r="Y94" s="295"/>
      <c r="Z94" s="295"/>
      <c r="AA94" s="295"/>
      <c r="AB94" s="295"/>
      <c r="AC94" s="295"/>
      <c r="AD94" s="295"/>
      <c r="AE94" s="295"/>
      <c r="AF94" s="295"/>
      <c r="AG94" s="295"/>
      <c r="AH94" s="295"/>
      <c r="AI94" s="295"/>
      <c r="AJ94" s="295"/>
      <c r="AK94" s="295"/>
      <c r="AL94" s="295"/>
      <c r="AM94" s="295"/>
      <c r="AN94" s="295"/>
      <c r="AO94" s="295"/>
      <c r="AP94" s="295"/>
      <c r="AQ94" s="295"/>
      <c r="AR94" s="295"/>
      <c r="AS94" s="295"/>
      <c r="AT94" s="295"/>
      <c r="AU94" s="295"/>
      <c r="AV94" s="295"/>
      <c r="AW94" s="295"/>
      <c r="AX94" s="295"/>
      <c r="AY94" s="296"/>
      <c r="AZ94" s="16">
        <v>12</v>
      </c>
      <c r="BA94" s="16" t="s">
        <v>182</v>
      </c>
    </row>
    <row r="95" spans="1:5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16">
        <v>13</v>
      </c>
      <c r="BA95" s="16" t="s">
        <v>183</v>
      </c>
    </row>
    <row r="96" spans="1:53" x14ac:dyDescent="0.15">
      <c r="A96" s="1"/>
      <c r="B96" s="61" t="s">
        <v>135</v>
      </c>
      <c r="C96" s="61"/>
      <c r="D96" s="263" t="s">
        <v>37</v>
      </c>
      <c r="E96" s="264"/>
      <c r="F96" s="264"/>
      <c r="G96" s="264"/>
      <c r="H96" s="264"/>
      <c r="I96" s="264"/>
      <c r="J96" s="264"/>
      <c r="K96" s="265"/>
      <c r="L96" s="263" t="s">
        <v>38</v>
      </c>
      <c r="M96" s="264"/>
      <c r="N96" s="264"/>
      <c r="O96" s="264"/>
      <c r="P96" s="264"/>
      <c r="Q96" s="264"/>
      <c r="R96" s="264"/>
      <c r="S96" s="264"/>
      <c r="T96" s="286" t="s">
        <v>66</v>
      </c>
      <c r="U96" s="287"/>
      <c r="V96" s="309" t="s">
        <v>136</v>
      </c>
      <c r="W96" s="310"/>
      <c r="X96" s="310"/>
      <c r="Y96" s="311"/>
      <c r="Z96" s="263" t="s">
        <v>21</v>
      </c>
      <c r="AA96" s="277"/>
      <c r="AB96" s="277"/>
      <c r="AC96" s="277"/>
      <c r="AD96" s="277"/>
      <c r="AE96" s="263" t="s">
        <v>22</v>
      </c>
      <c r="AF96" s="277"/>
      <c r="AG96" s="277"/>
      <c r="AH96" s="280"/>
      <c r="AI96" s="263" t="s">
        <v>23</v>
      </c>
      <c r="AJ96" s="277"/>
      <c r="AK96" s="277"/>
      <c r="AL96" s="277"/>
      <c r="AM96" s="277"/>
      <c r="AN96" s="277"/>
      <c r="AO96" s="277"/>
      <c r="AP96" s="277"/>
      <c r="AQ96" s="263" t="s">
        <v>24</v>
      </c>
      <c r="AR96" s="277"/>
      <c r="AS96" s="277"/>
      <c r="AT96" s="277"/>
      <c r="AU96" s="277"/>
      <c r="AV96" s="277"/>
      <c r="AW96" s="277"/>
      <c r="AX96" s="277"/>
      <c r="AY96" s="280"/>
      <c r="AZ96" s="16">
        <v>14</v>
      </c>
      <c r="BA96" s="16" t="s">
        <v>184</v>
      </c>
    </row>
    <row r="97" spans="1:53" ht="13.5" customHeight="1" x14ac:dyDescent="0.15">
      <c r="A97" s="1"/>
      <c r="B97" s="253" t="s">
        <v>72</v>
      </c>
      <c r="C97" s="253"/>
      <c r="D97" s="253" t="s">
        <v>308</v>
      </c>
      <c r="E97" s="253"/>
      <c r="F97" s="253"/>
      <c r="G97" s="253"/>
      <c r="H97" s="253"/>
      <c r="I97" s="253"/>
      <c r="J97" s="253"/>
      <c r="K97" s="253"/>
      <c r="L97" s="289" t="s">
        <v>307</v>
      </c>
      <c r="M97" s="289"/>
      <c r="N97" s="289"/>
      <c r="O97" s="289"/>
      <c r="P97" s="289"/>
      <c r="Q97" s="289"/>
      <c r="R97" s="289"/>
      <c r="S97" s="289"/>
      <c r="T97" s="290" t="s">
        <v>207</v>
      </c>
      <c r="U97" s="66"/>
      <c r="V97" s="312" t="s">
        <v>71</v>
      </c>
      <c r="W97" s="313"/>
      <c r="X97" s="313"/>
      <c r="Y97" s="313"/>
      <c r="Z97" s="278"/>
      <c r="AA97" s="279"/>
      <c r="AB97" s="279"/>
      <c r="AC97" s="279"/>
      <c r="AD97" s="279"/>
      <c r="AE97" s="290"/>
      <c r="AF97" s="297"/>
      <c r="AG97" s="297"/>
      <c r="AH97" s="297"/>
      <c r="AI97" s="290"/>
      <c r="AJ97" s="298"/>
      <c r="AK97" s="298"/>
      <c r="AL97" s="298"/>
      <c r="AM97" s="298"/>
      <c r="AN97" s="298"/>
      <c r="AO97" s="298"/>
      <c r="AP97" s="299"/>
      <c r="AQ97" s="290" t="s">
        <v>209</v>
      </c>
      <c r="AR97" s="65"/>
      <c r="AS97" s="65"/>
      <c r="AT97" s="65"/>
      <c r="AU97" s="65"/>
      <c r="AV97" s="65"/>
      <c r="AW97" s="65"/>
      <c r="AX97" s="65"/>
      <c r="AY97" s="66"/>
      <c r="AZ97" s="16">
        <v>15</v>
      </c>
      <c r="BA97" s="16" t="s">
        <v>185</v>
      </c>
    </row>
    <row r="98" spans="1:53" x14ac:dyDescent="0.15">
      <c r="A98" s="1"/>
      <c r="B98" s="261" t="s">
        <v>26</v>
      </c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260"/>
      <c r="U98" s="262"/>
      <c r="V98" s="269" t="str">
        <f>IF(T97="有","有効","無効")</f>
        <v>無効</v>
      </c>
      <c r="W98" s="270"/>
      <c r="X98" s="270"/>
      <c r="Y98" s="270"/>
      <c r="Z98" s="270"/>
      <c r="AA98" s="270"/>
      <c r="AB98" s="270"/>
      <c r="AC98" s="270"/>
      <c r="AD98" s="270"/>
      <c r="AE98" s="270"/>
      <c r="AF98" s="270"/>
      <c r="AG98" s="270"/>
      <c r="AH98" s="270"/>
      <c r="AI98" s="270"/>
      <c r="AJ98" s="270"/>
      <c r="AK98" s="270"/>
      <c r="AL98" s="270"/>
      <c r="AM98" s="270"/>
      <c r="AN98" s="270"/>
      <c r="AO98" s="270"/>
      <c r="AP98" s="270"/>
      <c r="AQ98" s="270"/>
      <c r="AR98" s="270"/>
      <c r="AS98" s="270"/>
      <c r="AT98" s="270"/>
      <c r="AU98" s="270"/>
      <c r="AV98" s="270"/>
      <c r="AW98" s="270"/>
      <c r="AX98" s="270"/>
      <c r="AY98" s="271"/>
      <c r="AZ98" s="16">
        <v>16</v>
      </c>
      <c r="BA98" s="16" t="s">
        <v>186</v>
      </c>
    </row>
    <row r="99" spans="1:53" x14ac:dyDescent="0.15">
      <c r="A99" s="1"/>
      <c r="B99" s="41"/>
      <c r="C99" s="272" t="s">
        <v>27</v>
      </c>
      <c r="D99" s="272"/>
      <c r="E99" s="272"/>
      <c r="F99" s="272"/>
      <c r="G99" s="272"/>
      <c r="H99" s="272"/>
      <c r="I99" s="272"/>
      <c r="J99" s="272"/>
      <c r="K99" s="272"/>
      <c r="L99" s="272"/>
      <c r="M99" s="272"/>
      <c r="N99" s="272"/>
      <c r="O99" s="272"/>
      <c r="P99" s="272"/>
      <c r="Q99" s="272"/>
      <c r="R99" s="272"/>
      <c r="S99" s="272"/>
      <c r="T99" s="273"/>
      <c r="U99" s="273"/>
      <c r="V99" s="274"/>
      <c r="W99" s="275"/>
      <c r="X99" s="275"/>
      <c r="Y99" s="275"/>
      <c r="Z99" s="275"/>
      <c r="AA99" s="275"/>
      <c r="AB99" s="275"/>
      <c r="AC99" s="275"/>
      <c r="AD99" s="275"/>
      <c r="AE99" s="275"/>
      <c r="AF99" s="275"/>
      <c r="AG99" s="26" t="s">
        <v>141</v>
      </c>
      <c r="AH99" s="26"/>
      <c r="AI99" s="26" t="s">
        <v>204</v>
      </c>
      <c r="AJ99" s="276"/>
      <c r="AK99" s="276"/>
      <c r="AL99" s="276"/>
      <c r="AM99" s="276"/>
      <c r="AN99" s="276"/>
      <c r="AO99" s="276"/>
      <c r="AP99" s="276"/>
      <c r="AQ99" s="276"/>
      <c r="AR99" s="26" t="s">
        <v>205</v>
      </c>
      <c r="AS99" s="26"/>
      <c r="AT99" s="26"/>
      <c r="AU99" s="26"/>
      <c r="AV99" s="26"/>
      <c r="AW99" s="26"/>
      <c r="AX99" s="26"/>
      <c r="AY99" s="27"/>
      <c r="AZ99" s="16">
        <v>17</v>
      </c>
      <c r="BA99" s="16" t="s">
        <v>187</v>
      </c>
    </row>
    <row r="100" spans="1:53" x14ac:dyDescent="0.15">
      <c r="A100" s="1"/>
      <c r="B100" s="41"/>
      <c r="C100" s="281" t="s">
        <v>28</v>
      </c>
      <c r="D100" s="281"/>
      <c r="E100" s="281"/>
      <c r="F100" s="281"/>
      <c r="G100" s="281"/>
      <c r="H100" s="281"/>
      <c r="I100" s="281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2"/>
      <c r="U100" s="282"/>
      <c r="V100" s="314"/>
      <c r="W100" s="307"/>
      <c r="X100" s="307"/>
      <c r="Y100" s="307"/>
      <c r="Z100" s="307"/>
      <c r="AA100" s="307"/>
      <c r="AB100" s="307"/>
      <c r="AC100" s="307"/>
      <c r="AD100" s="307"/>
      <c r="AE100" s="307"/>
      <c r="AF100" s="307"/>
      <c r="AG100" s="307"/>
      <c r="AH100" s="307"/>
      <c r="AI100" s="307"/>
      <c r="AJ100" s="307"/>
      <c r="AK100" s="307"/>
      <c r="AL100" s="307"/>
      <c r="AM100" s="307"/>
      <c r="AN100" s="307"/>
      <c r="AO100" s="307"/>
      <c r="AP100" s="307"/>
      <c r="AQ100" s="307"/>
      <c r="AR100" s="307"/>
      <c r="AS100" s="307"/>
      <c r="AT100" s="307"/>
      <c r="AU100" s="307"/>
      <c r="AV100" s="307"/>
      <c r="AW100" s="307"/>
      <c r="AX100" s="307"/>
      <c r="AY100" s="308"/>
      <c r="AZ100" s="16">
        <v>18</v>
      </c>
      <c r="BA100" s="16" t="s">
        <v>188</v>
      </c>
    </row>
    <row r="101" spans="1:53" x14ac:dyDescent="0.15">
      <c r="A101" s="1"/>
      <c r="B101" s="41"/>
      <c r="C101" s="281" t="s">
        <v>29</v>
      </c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2"/>
      <c r="U101" s="282"/>
      <c r="V101" s="300"/>
      <c r="W101" s="307"/>
      <c r="X101" s="307"/>
      <c r="Y101" s="307"/>
      <c r="Z101" s="307"/>
      <c r="AA101" s="307"/>
      <c r="AB101" s="307"/>
      <c r="AC101" s="307"/>
      <c r="AD101" s="307"/>
      <c r="AE101" s="307"/>
      <c r="AF101" s="307"/>
      <c r="AG101" s="307"/>
      <c r="AH101" s="307"/>
      <c r="AI101" s="307"/>
      <c r="AJ101" s="307"/>
      <c r="AK101" s="307"/>
      <c r="AL101" s="307"/>
      <c r="AM101" s="307"/>
      <c r="AN101" s="307"/>
      <c r="AO101" s="307"/>
      <c r="AP101" s="307"/>
      <c r="AQ101" s="307"/>
      <c r="AR101" s="307"/>
      <c r="AS101" s="307"/>
      <c r="AT101" s="307"/>
      <c r="AU101" s="307"/>
      <c r="AV101" s="307"/>
      <c r="AW101" s="307"/>
      <c r="AX101" s="307"/>
      <c r="AY101" s="308"/>
      <c r="AZ101" s="16">
        <v>19</v>
      </c>
      <c r="BA101" s="16" t="s">
        <v>189</v>
      </c>
    </row>
    <row r="102" spans="1:53" x14ac:dyDescent="0.15">
      <c r="A102" s="1"/>
      <c r="B102" s="40"/>
      <c r="C102" s="292" t="s">
        <v>30</v>
      </c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3"/>
      <c r="U102" s="293"/>
      <c r="V102" s="294"/>
      <c r="W102" s="295"/>
      <c r="X102" s="295"/>
      <c r="Y102" s="295"/>
      <c r="Z102" s="295"/>
      <c r="AA102" s="295"/>
      <c r="AB102" s="295"/>
      <c r="AC102" s="295"/>
      <c r="AD102" s="295"/>
      <c r="AE102" s="295"/>
      <c r="AF102" s="295"/>
      <c r="AG102" s="295"/>
      <c r="AH102" s="295"/>
      <c r="AI102" s="295"/>
      <c r="AJ102" s="295"/>
      <c r="AK102" s="295"/>
      <c r="AL102" s="295"/>
      <c r="AM102" s="295"/>
      <c r="AN102" s="295"/>
      <c r="AO102" s="295"/>
      <c r="AP102" s="295"/>
      <c r="AQ102" s="295"/>
      <c r="AR102" s="295"/>
      <c r="AS102" s="295"/>
      <c r="AT102" s="295"/>
      <c r="AU102" s="295"/>
      <c r="AV102" s="295"/>
      <c r="AW102" s="295"/>
      <c r="AX102" s="295"/>
      <c r="AY102" s="296"/>
      <c r="AZ102" s="16">
        <v>20</v>
      </c>
      <c r="BA102" s="16" t="s">
        <v>190</v>
      </c>
    </row>
    <row r="103" spans="1:53" x14ac:dyDescent="0.15">
      <c r="A103" s="1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4"/>
      <c r="U103" s="4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16">
        <v>21</v>
      </c>
      <c r="BA103" s="16" t="s">
        <v>191</v>
      </c>
    </row>
    <row r="104" spans="1:53" x14ac:dyDescent="0.15">
      <c r="A104" s="1"/>
      <c r="B104" s="61" t="s">
        <v>135</v>
      </c>
      <c r="C104" s="61"/>
      <c r="D104" s="263" t="s">
        <v>37</v>
      </c>
      <c r="E104" s="264"/>
      <c r="F104" s="264"/>
      <c r="G104" s="264"/>
      <c r="H104" s="264"/>
      <c r="I104" s="264"/>
      <c r="J104" s="264"/>
      <c r="K104" s="265"/>
      <c r="L104" s="263" t="s">
        <v>38</v>
      </c>
      <c r="M104" s="264"/>
      <c r="N104" s="264"/>
      <c r="O104" s="264"/>
      <c r="P104" s="264"/>
      <c r="Q104" s="264"/>
      <c r="R104" s="264"/>
      <c r="S104" s="264"/>
      <c r="T104" s="286" t="s">
        <v>66</v>
      </c>
      <c r="U104" s="287"/>
      <c r="V104" s="309" t="s">
        <v>136</v>
      </c>
      <c r="W104" s="310"/>
      <c r="X104" s="310"/>
      <c r="Y104" s="311"/>
      <c r="Z104" s="263" t="s">
        <v>21</v>
      </c>
      <c r="AA104" s="277"/>
      <c r="AB104" s="277"/>
      <c r="AC104" s="277"/>
      <c r="AD104" s="277"/>
      <c r="AE104" s="263" t="s">
        <v>22</v>
      </c>
      <c r="AF104" s="277"/>
      <c r="AG104" s="277"/>
      <c r="AH104" s="280"/>
      <c r="AI104" s="263" t="s">
        <v>23</v>
      </c>
      <c r="AJ104" s="277"/>
      <c r="AK104" s="277"/>
      <c r="AL104" s="277"/>
      <c r="AM104" s="277"/>
      <c r="AN104" s="277"/>
      <c r="AO104" s="277"/>
      <c r="AP104" s="277"/>
      <c r="AQ104" s="263" t="s">
        <v>24</v>
      </c>
      <c r="AR104" s="277"/>
      <c r="AS104" s="277"/>
      <c r="AT104" s="277"/>
      <c r="AU104" s="277"/>
      <c r="AV104" s="277"/>
      <c r="AW104" s="277"/>
      <c r="AX104" s="277"/>
      <c r="AY104" s="280"/>
      <c r="AZ104" s="16">
        <v>22</v>
      </c>
      <c r="BA104" s="16" t="s">
        <v>192</v>
      </c>
    </row>
    <row r="105" spans="1:53" ht="13.5" customHeight="1" x14ac:dyDescent="0.15">
      <c r="A105" s="1"/>
      <c r="B105" s="253" t="s">
        <v>73</v>
      </c>
      <c r="C105" s="253"/>
      <c r="D105" s="253" t="s">
        <v>306</v>
      </c>
      <c r="E105" s="253"/>
      <c r="F105" s="253"/>
      <c r="G105" s="253"/>
      <c r="H105" s="253"/>
      <c r="I105" s="253"/>
      <c r="J105" s="253"/>
      <c r="K105" s="253"/>
      <c r="L105" s="289" t="s">
        <v>305</v>
      </c>
      <c r="M105" s="289"/>
      <c r="N105" s="289"/>
      <c r="O105" s="289"/>
      <c r="P105" s="289"/>
      <c r="Q105" s="289"/>
      <c r="R105" s="289"/>
      <c r="S105" s="289"/>
      <c r="T105" s="315" t="s">
        <v>207</v>
      </c>
      <c r="U105" s="316"/>
      <c r="V105" s="317" t="s">
        <v>71</v>
      </c>
      <c r="W105" s="318"/>
      <c r="X105" s="318"/>
      <c r="Y105" s="318"/>
      <c r="Z105" s="278"/>
      <c r="AA105" s="279"/>
      <c r="AB105" s="279"/>
      <c r="AC105" s="279"/>
      <c r="AD105" s="279"/>
      <c r="AE105" s="290"/>
      <c r="AF105" s="297"/>
      <c r="AG105" s="297"/>
      <c r="AH105" s="297"/>
      <c r="AI105" s="290"/>
      <c r="AJ105" s="298"/>
      <c r="AK105" s="298"/>
      <c r="AL105" s="298"/>
      <c r="AM105" s="298"/>
      <c r="AN105" s="298"/>
      <c r="AO105" s="298"/>
      <c r="AP105" s="299"/>
      <c r="AQ105" s="290"/>
      <c r="AR105" s="65"/>
      <c r="AS105" s="65"/>
      <c r="AT105" s="65"/>
      <c r="AU105" s="65"/>
      <c r="AV105" s="65"/>
      <c r="AW105" s="65"/>
      <c r="AX105" s="65"/>
      <c r="AY105" s="66"/>
      <c r="AZ105" s="16">
        <v>23</v>
      </c>
      <c r="BA105" s="16" t="s">
        <v>193</v>
      </c>
    </row>
    <row r="106" spans="1:53" x14ac:dyDescent="0.15">
      <c r="A106" s="1"/>
      <c r="B106" s="261" t="s">
        <v>26</v>
      </c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260"/>
      <c r="U106" s="262"/>
      <c r="V106" s="269" t="str">
        <f>IF(T105="有","有効","無効")</f>
        <v>無効</v>
      </c>
      <c r="W106" s="270"/>
      <c r="X106" s="270"/>
      <c r="Y106" s="270"/>
      <c r="Z106" s="270"/>
      <c r="AA106" s="270"/>
      <c r="AB106" s="270"/>
      <c r="AC106" s="270"/>
      <c r="AD106" s="270"/>
      <c r="AE106" s="270"/>
      <c r="AF106" s="270"/>
      <c r="AG106" s="270"/>
      <c r="AH106" s="270"/>
      <c r="AI106" s="270"/>
      <c r="AJ106" s="270"/>
      <c r="AK106" s="270"/>
      <c r="AL106" s="270"/>
      <c r="AM106" s="270"/>
      <c r="AN106" s="270"/>
      <c r="AO106" s="270"/>
      <c r="AP106" s="270"/>
      <c r="AQ106" s="270"/>
      <c r="AR106" s="270"/>
      <c r="AS106" s="270"/>
      <c r="AT106" s="270"/>
      <c r="AU106" s="270"/>
      <c r="AV106" s="270"/>
      <c r="AW106" s="270"/>
      <c r="AX106" s="270"/>
      <c r="AY106" s="271"/>
      <c r="AZ106" s="16">
        <v>24</v>
      </c>
      <c r="BA106" s="16" t="s">
        <v>194</v>
      </c>
    </row>
    <row r="107" spans="1:53" x14ac:dyDescent="0.15">
      <c r="A107" s="1"/>
      <c r="B107" s="41"/>
      <c r="C107" s="272" t="s">
        <v>27</v>
      </c>
      <c r="D107" s="272"/>
      <c r="E107" s="272"/>
      <c r="F107" s="272"/>
      <c r="G107" s="272"/>
      <c r="H107" s="272"/>
      <c r="I107" s="272"/>
      <c r="J107" s="272"/>
      <c r="K107" s="272"/>
      <c r="L107" s="272"/>
      <c r="M107" s="272"/>
      <c r="N107" s="272"/>
      <c r="O107" s="272"/>
      <c r="P107" s="272"/>
      <c r="Q107" s="272"/>
      <c r="R107" s="272"/>
      <c r="S107" s="272"/>
      <c r="T107" s="273"/>
      <c r="U107" s="273"/>
      <c r="V107" s="274"/>
      <c r="W107" s="275"/>
      <c r="X107" s="275"/>
      <c r="Y107" s="275"/>
      <c r="Z107" s="275"/>
      <c r="AA107" s="275"/>
      <c r="AB107" s="275"/>
      <c r="AC107" s="275"/>
      <c r="AD107" s="275"/>
      <c r="AE107" s="275"/>
      <c r="AF107" s="275"/>
      <c r="AG107" s="26" t="s">
        <v>141</v>
      </c>
      <c r="AH107" s="26"/>
      <c r="AI107" s="26" t="s">
        <v>204</v>
      </c>
      <c r="AJ107" s="276" t="e">
        <f>VLOOKUP(AH107,$AZ$83:$BA$114,2,)</f>
        <v>#N/A</v>
      </c>
      <c r="AK107" s="276"/>
      <c r="AL107" s="276"/>
      <c r="AM107" s="276"/>
      <c r="AN107" s="276"/>
      <c r="AO107" s="276"/>
      <c r="AP107" s="276"/>
      <c r="AQ107" s="276"/>
      <c r="AR107" s="26" t="s">
        <v>205</v>
      </c>
      <c r="AS107" s="26"/>
      <c r="AT107" s="26"/>
      <c r="AU107" s="26"/>
      <c r="AV107" s="26"/>
      <c r="AW107" s="26"/>
      <c r="AX107" s="26"/>
      <c r="AY107" s="27"/>
      <c r="AZ107" s="16">
        <v>25</v>
      </c>
      <c r="BA107" s="16" t="s">
        <v>195</v>
      </c>
    </row>
    <row r="108" spans="1:53" x14ac:dyDescent="0.15">
      <c r="A108" s="1"/>
      <c r="B108" s="41"/>
      <c r="C108" s="281" t="s">
        <v>28</v>
      </c>
      <c r="D108" s="281"/>
      <c r="E108" s="281"/>
      <c r="F108" s="281"/>
      <c r="G108" s="281"/>
      <c r="H108" s="281"/>
      <c r="I108" s="281"/>
      <c r="J108" s="281"/>
      <c r="K108" s="281"/>
      <c r="L108" s="281"/>
      <c r="M108" s="281"/>
      <c r="N108" s="281"/>
      <c r="O108" s="281"/>
      <c r="P108" s="281"/>
      <c r="Q108" s="281"/>
      <c r="R108" s="281"/>
      <c r="S108" s="281"/>
      <c r="T108" s="282"/>
      <c r="U108" s="282"/>
      <c r="V108" s="300"/>
      <c r="W108" s="301"/>
      <c r="X108" s="301"/>
      <c r="Y108" s="301"/>
      <c r="Z108" s="301"/>
      <c r="AA108" s="301"/>
      <c r="AB108" s="301"/>
      <c r="AC108" s="301"/>
      <c r="AD108" s="301"/>
      <c r="AE108" s="301"/>
      <c r="AF108" s="301"/>
      <c r="AG108" s="301"/>
      <c r="AH108" s="301"/>
      <c r="AI108" s="301"/>
      <c r="AJ108" s="301"/>
      <c r="AK108" s="301"/>
      <c r="AL108" s="301"/>
      <c r="AM108" s="301"/>
      <c r="AN108" s="301"/>
      <c r="AO108" s="301"/>
      <c r="AP108" s="301"/>
      <c r="AQ108" s="301"/>
      <c r="AR108" s="301"/>
      <c r="AS108" s="301"/>
      <c r="AT108" s="301"/>
      <c r="AU108" s="301"/>
      <c r="AV108" s="301"/>
      <c r="AW108" s="301"/>
      <c r="AX108" s="301"/>
      <c r="AY108" s="302"/>
      <c r="AZ108" s="16">
        <v>26</v>
      </c>
      <c r="BA108" s="16" t="s">
        <v>196</v>
      </c>
    </row>
    <row r="109" spans="1:53" x14ac:dyDescent="0.15">
      <c r="A109" s="1"/>
      <c r="B109" s="41"/>
      <c r="C109" s="281" t="s">
        <v>29</v>
      </c>
      <c r="D109" s="281"/>
      <c r="E109" s="281"/>
      <c r="F109" s="281"/>
      <c r="G109" s="281"/>
      <c r="H109" s="281"/>
      <c r="I109" s="281"/>
      <c r="J109" s="281"/>
      <c r="K109" s="281"/>
      <c r="L109" s="281"/>
      <c r="M109" s="281"/>
      <c r="N109" s="281"/>
      <c r="O109" s="281"/>
      <c r="P109" s="281"/>
      <c r="Q109" s="281"/>
      <c r="R109" s="281"/>
      <c r="S109" s="281"/>
      <c r="T109" s="282"/>
      <c r="U109" s="282"/>
      <c r="V109" s="300"/>
      <c r="W109" s="301"/>
      <c r="X109" s="301"/>
      <c r="Y109" s="301"/>
      <c r="Z109" s="301"/>
      <c r="AA109" s="301"/>
      <c r="AB109" s="301"/>
      <c r="AC109" s="301"/>
      <c r="AD109" s="301"/>
      <c r="AE109" s="301"/>
      <c r="AF109" s="301"/>
      <c r="AG109" s="301"/>
      <c r="AH109" s="301"/>
      <c r="AI109" s="301"/>
      <c r="AJ109" s="301"/>
      <c r="AK109" s="301"/>
      <c r="AL109" s="301"/>
      <c r="AM109" s="301"/>
      <c r="AN109" s="301"/>
      <c r="AO109" s="301"/>
      <c r="AP109" s="301"/>
      <c r="AQ109" s="301"/>
      <c r="AR109" s="301"/>
      <c r="AS109" s="301"/>
      <c r="AT109" s="301"/>
      <c r="AU109" s="301"/>
      <c r="AV109" s="301"/>
      <c r="AW109" s="301"/>
      <c r="AX109" s="301"/>
      <c r="AY109" s="302"/>
      <c r="AZ109" s="16">
        <v>27</v>
      </c>
      <c r="BA109" s="16" t="s">
        <v>197</v>
      </c>
    </row>
    <row r="110" spans="1:53" x14ac:dyDescent="0.15">
      <c r="A110" s="1"/>
      <c r="B110" s="40"/>
      <c r="C110" s="292" t="s">
        <v>30</v>
      </c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3"/>
      <c r="U110" s="293"/>
      <c r="V110" s="294"/>
      <c r="W110" s="295"/>
      <c r="X110" s="295"/>
      <c r="Y110" s="295"/>
      <c r="Z110" s="295"/>
      <c r="AA110" s="295"/>
      <c r="AB110" s="295"/>
      <c r="AC110" s="295"/>
      <c r="AD110" s="295"/>
      <c r="AE110" s="295"/>
      <c r="AF110" s="295"/>
      <c r="AG110" s="295"/>
      <c r="AH110" s="295"/>
      <c r="AI110" s="295"/>
      <c r="AJ110" s="295"/>
      <c r="AK110" s="295"/>
      <c r="AL110" s="295"/>
      <c r="AM110" s="295"/>
      <c r="AN110" s="295"/>
      <c r="AO110" s="295"/>
      <c r="AP110" s="295"/>
      <c r="AQ110" s="295"/>
      <c r="AR110" s="295"/>
      <c r="AS110" s="295"/>
      <c r="AT110" s="295"/>
      <c r="AU110" s="295"/>
      <c r="AV110" s="295"/>
      <c r="AW110" s="295"/>
      <c r="AX110" s="295"/>
      <c r="AY110" s="296"/>
      <c r="AZ110" s="16">
        <v>28</v>
      </c>
      <c r="BA110" s="16" t="s">
        <v>198</v>
      </c>
    </row>
    <row r="111" spans="1:53" x14ac:dyDescent="0.15">
      <c r="A111" s="1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4"/>
      <c r="U111" s="4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16">
        <v>29</v>
      </c>
      <c r="BA111" s="16" t="s">
        <v>199</v>
      </c>
    </row>
    <row r="112" spans="1:53" x14ac:dyDescent="0.15">
      <c r="A112" s="1"/>
      <c r="B112" s="61" t="s">
        <v>135</v>
      </c>
      <c r="C112" s="61"/>
      <c r="D112" s="263" t="s">
        <v>37</v>
      </c>
      <c r="E112" s="264"/>
      <c r="F112" s="264"/>
      <c r="G112" s="264"/>
      <c r="H112" s="264"/>
      <c r="I112" s="264"/>
      <c r="J112" s="264"/>
      <c r="K112" s="265"/>
      <c r="L112" s="263" t="s">
        <v>38</v>
      </c>
      <c r="M112" s="264"/>
      <c r="N112" s="264"/>
      <c r="O112" s="264"/>
      <c r="P112" s="264"/>
      <c r="Q112" s="264"/>
      <c r="R112" s="264"/>
      <c r="S112" s="264"/>
      <c r="T112" s="286" t="s">
        <v>66</v>
      </c>
      <c r="U112" s="287"/>
      <c r="V112" s="286" t="s">
        <v>136</v>
      </c>
      <c r="W112" s="288"/>
      <c r="X112" s="288"/>
      <c r="Y112" s="287"/>
      <c r="Z112" s="263" t="s">
        <v>21</v>
      </c>
      <c r="AA112" s="277"/>
      <c r="AB112" s="277"/>
      <c r="AC112" s="277"/>
      <c r="AD112" s="277"/>
      <c r="AE112" s="263" t="s">
        <v>22</v>
      </c>
      <c r="AF112" s="277"/>
      <c r="AG112" s="277"/>
      <c r="AH112" s="280"/>
      <c r="AI112" s="263" t="s">
        <v>23</v>
      </c>
      <c r="AJ112" s="277"/>
      <c r="AK112" s="277"/>
      <c r="AL112" s="277"/>
      <c r="AM112" s="277"/>
      <c r="AN112" s="277"/>
      <c r="AO112" s="277"/>
      <c r="AP112" s="277"/>
      <c r="AQ112" s="263" t="s">
        <v>24</v>
      </c>
      <c r="AR112" s="277"/>
      <c r="AS112" s="277"/>
      <c r="AT112" s="277"/>
      <c r="AU112" s="277"/>
      <c r="AV112" s="277"/>
      <c r="AW112" s="277"/>
      <c r="AX112" s="277"/>
      <c r="AY112" s="280"/>
      <c r="AZ112" s="16">
        <v>30</v>
      </c>
      <c r="BA112" s="16" t="s">
        <v>200</v>
      </c>
    </row>
    <row r="113" spans="1:53" ht="13.5" customHeight="1" x14ac:dyDescent="0.15">
      <c r="A113" s="1"/>
      <c r="B113" s="253" t="s">
        <v>99</v>
      </c>
      <c r="C113" s="253"/>
      <c r="D113" s="253" t="s">
        <v>304</v>
      </c>
      <c r="E113" s="253"/>
      <c r="F113" s="253"/>
      <c r="G113" s="253"/>
      <c r="H113" s="253"/>
      <c r="I113" s="253"/>
      <c r="J113" s="253"/>
      <c r="K113" s="253"/>
      <c r="L113" s="289"/>
      <c r="M113" s="289"/>
      <c r="N113" s="289"/>
      <c r="O113" s="289"/>
      <c r="P113" s="289"/>
      <c r="Q113" s="289"/>
      <c r="R113" s="289"/>
      <c r="S113" s="289"/>
      <c r="T113" s="290" t="s">
        <v>207</v>
      </c>
      <c r="U113" s="66"/>
      <c r="V113" s="290" t="s">
        <v>71</v>
      </c>
      <c r="W113" s="65"/>
      <c r="X113" s="65"/>
      <c r="Y113" s="66"/>
      <c r="Z113" s="278" t="s">
        <v>74</v>
      </c>
      <c r="AA113" s="279"/>
      <c r="AB113" s="279"/>
      <c r="AC113" s="279"/>
      <c r="AD113" s="279"/>
      <c r="AE113" s="290" t="s">
        <v>106</v>
      </c>
      <c r="AF113" s="297"/>
      <c r="AG113" s="297"/>
      <c r="AH113" s="297"/>
      <c r="AI113" s="290" t="s">
        <v>302</v>
      </c>
      <c r="AJ113" s="298"/>
      <c r="AK113" s="298"/>
      <c r="AL113" s="298"/>
      <c r="AM113" s="298"/>
      <c r="AN113" s="298"/>
      <c r="AO113" s="298"/>
      <c r="AP113" s="299"/>
      <c r="AQ113" s="290"/>
      <c r="AR113" s="65"/>
      <c r="AS113" s="65"/>
      <c r="AT113" s="65"/>
      <c r="AU113" s="65"/>
      <c r="AV113" s="65"/>
      <c r="AW113" s="65"/>
      <c r="AX113" s="65"/>
      <c r="AY113" s="66"/>
      <c r="AZ113" s="16">
        <v>31</v>
      </c>
      <c r="BA113" s="16" t="s">
        <v>201</v>
      </c>
    </row>
    <row r="114" spans="1:53" x14ac:dyDescent="0.15">
      <c r="A114" s="1"/>
      <c r="B114" s="261" t="s">
        <v>26</v>
      </c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260"/>
      <c r="U114" s="262"/>
      <c r="V114" s="269" t="str">
        <f>IF(T113="有","有効","無効")</f>
        <v>無効</v>
      </c>
      <c r="W114" s="270"/>
      <c r="X114" s="270"/>
      <c r="Y114" s="270"/>
      <c r="Z114" s="270"/>
      <c r="AA114" s="270"/>
      <c r="AB114" s="270"/>
      <c r="AC114" s="270"/>
      <c r="AD114" s="270"/>
      <c r="AE114" s="270"/>
      <c r="AF114" s="270"/>
      <c r="AG114" s="270"/>
      <c r="AH114" s="270"/>
      <c r="AI114" s="270"/>
      <c r="AJ114" s="270"/>
      <c r="AK114" s="270"/>
      <c r="AL114" s="270"/>
      <c r="AM114" s="270"/>
      <c r="AN114" s="270"/>
      <c r="AO114" s="270"/>
      <c r="AP114" s="270"/>
      <c r="AQ114" s="270"/>
      <c r="AR114" s="270"/>
      <c r="AS114" s="270"/>
      <c r="AT114" s="270"/>
      <c r="AU114" s="270"/>
      <c r="AV114" s="270"/>
      <c r="AW114" s="270"/>
      <c r="AX114" s="270"/>
      <c r="AY114" s="271"/>
      <c r="AZ114" s="16">
        <v>32</v>
      </c>
      <c r="BA114" s="16" t="s">
        <v>202</v>
      </c>
    </row>
    <row r="115" spans="1:53" x14ac:dyDescent="0.15">
      <c r="A115" s="1"/>
      <c r="B115" s="41"/>
      <c r="C115" s="272" t="s">
        <v>27</v>
      </c>
      <c r="D115" s="272"/>
      <c r="E115" s="272"/>
      <c r="F115" s="272"/>
      <c r="G115" s="272"/>
      <c r="H115" s="272"/>
      <c r="I115" s="272"/>
      <c r="J115" s="272"/>
      <c r="K115" s="272"/>
      <c r="L115" s="272"/>
      <c r="M115" s="272"/>
      <c r="N115" s="272"/>
      <c r="O115" s="272"/>
      <c r="P115" s="272"/>
      <c r="Q115" s="272"/>
      <c r="R115" s="272"/>
      <c r="S115" s="272"/>
      <c r="T115" s="273"/>
      <c r="U115" s="273"/>
      <c r="V115" s="274"/>
      <c r="W115" s="275"/>
      <c r="X115" s="275"/>
      <c r="Y115" s="275"/>
      <c r="Z115" s="275"/>
      <c r="AA115" s="275"/>
      <c r="AB115" s="275"/>
      <c r="AC115" s="275"/>
      <c r="AD115" s="275"/>
      <c r="AE115" s="275"/>
      <c r="AF115" s="275"/>
      <c r="AG115" s="26" t="s">
        <v>141</v>
      </c>
      <c r="AH115" s="26"/>
      <c r="AI115" s="26" t="s">
        <v>204</v>
      </c>
      <c r="AJ115" s="276" t="e">
        <f>VLOOKUP(AH115,$AZ$83:$BA$114,2,)</f>
        <v>#N/A</v>
      </c>
      <c r="AK115" s="276"/>
      <c r="AL115" s="276"/>
      <c r="AM115" s="276"/>
      <c r="AN115" s="276"/>
      <c r="AO115" s="276"/>
      <c r="AP115" s="276"/>
      <c r="AQ115" s="276"/>
      <c r="AR115" s="26" t="s">
        <v>205</v>
      </c>
      <c r="AS115" s="26"/>
      <c r="AT115" s="26"/>
      <c r="AU115" s="26"/>
      <c r="AV115" s="26"/>
      <c r="AW115" s="26"/>
      <c r="AX115" s="26"/>
      <c r="AY115" s="27"/>
    </row>
    <row r="116" spans="1:53" x14ac:dyDescent="0.15">
      <c r="A116" s="1"/>
      <c r="B116" s="41"/>
      <c r="C116" s="281" t="s">
        <v>28</v>
      </c>
      <c r="D116" s="281"/>
      <c r="E116" s="281"/>
      <c r="F116" s="281"/>
      <c r="G116" s="281"/>
      <c r="H116" s="281"/>
      <c r="I116" s="281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2"/>
      <c r="U116" s="282"/>
      <c r="V116" s="300"/>
      <c r="W116" s="301"/>
      <c r="X116" s="301"/>
      <c r="Y116" s="301"/>
      <c r="Z116" s="301"/>
      <c r="AA116" s="301"/>
      <c r="AB116" s="301"/>
      <c r="AC116" s="301"/>
      <c r="AD116" s="301"/>
      <c r="AE116" s="301"/>
      <c r="AF116" s="301"/>
      <c r="AG116" s="301"/>
      <c r="AH116" s="301"/>
      <c r="AI116" s="301"/>
      <c r="AJ116" s="301"/>
      <c r="AK116" s="301"/>
      <c r="AL116" s="301"/>
      <c r="AM116" s="301"/>
      <c r="AN116" s="301"/>
      <c r="AO116" s="301"/>
      <c r="AP116" s="301"/>
      <c r="AQ116" s="301"/>
      <c r="AR116" s="301"/>
      <c r="AS116" s="301"/>
      <c r="AT116" s="301"/>
      <c r="AU116" s="301"/>
      <c r="AV116" s="301"/>
      <c r="AW116" s="301"/>
      <c r="AX116" s="301"/>
      <c r="AY116" s="302"/>
    </row>
    <row r="117" spans="1:53" x14ac:dyDescent="0.15">
      <c r="A117" s="1"/>
      <c r="B117" s="41"/>
      <c r="C117" s="281" t="s">
        <v>29</v>
      </c>
      <c r="D117" s="281"/>
      <c r="E117" s="281"/>
      <c r="F117" s="281"/>
      <c r="G117" s="281"/>
      <c r="H117" s="281"/>
      <c r="I117" s="281"/>
      <c r="J117" s="281"/>
      <c r="K117" s="281"/>
      <c r="L117" s="281"/>
      <c r="M117" s="281"/>
      <c r="N117" s="281"/>
      <c r="O117" s="281"/>
      <c r="P117" s="281"/>
      <c r="Q117" s="281"/>
      <c r="R117" s="281"/>
      <c r="S117" s="281"/>
      <c r="T117" s="282"/>
      <c r="U117" s="282"/>
      <c r="V117" s="300"/>
      <c r="W117" s="301"/>
      <c r="X117" s="301"/>
      <c r="Y117" s="301"/>
      <c r="Z117" s="301"/>
      <c r="AA117" s="301"/>
      <c r="AB117" s="301"/>
      <c r="AC117" s="301"/>
      <c r="AD117" s="301"/>
      <c r="AE117" s="301"/>
      <c r="AF117" s="301"/>
      <c r="AG117" s="301"/>
      <c r="AH117" s="301"/>
      <c r="AI117" s="301"/>
      <c r="AJ117" s="301"/>
      <c r="AK117" s="301"/>
      <c r="AL117" s="301"/>
      <c r="AM117" s="301"/>
      <c r="AN117" s="301"/>
      <c r="AO117" s="301"/>
      <c r="AP117" s="301"/>
      <c r="AQ117" s="301"/>
      <c r="AR117" s="301"/>
      <c r="AS117" s="301"/>
      <c r="AT117" s="301"/>
      <c r="AU117" s="301"/>
      <c r="AV117" s="301"/>
      <c r="AW117" s="301"/>
      <c r="AX117" s="301"/>
      <c r="AY117" s="302"/>
    </row>
    <row r="118" spans="1:53" x14ac:dyDescent="0.15">
      <c r="A118" s="1"/>
      <c r="B118" s="40"/>
      <c r="C118" s="292" t="s">
        <v>30</v>
      </c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3"/>
      <c r="U118" s="293"/>
      <c r="V118" s="294"/>
      <c r="W118" s="295"/>
      <c r="X118" s="295"/>
      <c r="Y118" s="295"/>
      <c r="Z118" s="295"/>
      <c r="AA118" s="295"/>
      <c r="AB118" s="295"/>
      <c r="AC118" s="295"/>
      <c r="AD118" s="295"/>
      <c r="AE118" s="295"/>
      <c r="AF118" s="295"/>
      <c r="AG118" s="295"/>
      <c r="AH118" s="295"/>
      <c r="AI118" s="295"/>
      <c r="AJ118" s="295"/>
      <c r="AK118" s="295"/>
      <c r="AL118" s="295"/>
      <c r="AM118" s="295"/>
      <c r="AN118" s="295"/>
      <c r="AO118" s="295"/>
      <c r="AP118" s="295"/>
      <c r="AQ118" s="295"/>
      <c r="AR118" s="295"/>
      <c r="AS118" s="295"/>
      <c r="AT118" s="295"/>
      <c r="AU118" s="295"/>
      <c r="AV118" s="295"/>
      <c r="AW118" s="295"/>
      <c r="AX118" s="295"/>
      <c r="AY118" s="296"/>
    </row>
    <row r="119" spans="1:53" x14ac:dyDescent="0.15">
      <c r="A119" s="1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4"/>
      <c r="U119" s="4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</row>
    <row r="120" spans="1:53" x14ac:dyDescent="0.15">
      <c r="A120" s="1"/>
      <c r="B120" s="61" t="s">
        <v>135</v>
      </c>
      <c r="C120" s="61"/>
      <c r="D120" s="263" t="s">
        <v>37</v>
      </c>
      <c r="E120" s="264"/>
      <c r="F120" s="264"/>
      <c r="G120" s="264"/>
      <c r="H120" s="264"/>
      <c r="I120" s="264"/>
      <c r="J120" s="264"/>
      <c r="K120" s="265"/>
      <c r="L120" s="263" t="s">
        <v>38</v>
      </c>
      <c r="M120" s="264"/>
      <c r="N120" s="264"/>
      <c r="O120" s="264"/>
      <c r="P120" s="264"/>
      <c r="Q120" s="264"/>
      <c r="R120" s="264"/>
      <c r="S120" s="264"/>
      <c r="T120" s="286" t="s">
        <v>66</v>
      </c>
      <c r="U120" s="287"/>
      <c r="V120" s="286" t="s">
        <v>136</v>
      </c>
      <c r="W120" s="288"/>
      <c r="X120" s="288"/>
      <c r="Y120" s="287"/>
      <c r="Z120" s="263" t="s">
        <v>21</v>
      </c>
      <c r="AA120" s="277"/>
      <c r="AB120" s="277"/>
      <c r="AC120" s="277"/>
      <c r="AD120" s="277"/>
      <c r="AE120" s="263" t="s">
        <v>22</v>
      </c>
      <c r="AF120" s="277"/>
      <c r="AG120" s="277"/>
      <c r="AH120" s="280"/>
      <c r="AI120" s="263" t="s">
        <v>23</v>
      </c>
      <c r="AJ120" s="277"/>
      <c r="AK120" s="277"/>
      <c r="AL120" s="277"/>
      <c r="AM120" s="277"/>
      <c r="AN120" s="277"/>
      <c r="AO120" s="277"/>
      <c r="AP120" s="277"/>
      <c r="AQ120" s="263" t="s">
        <v>24</v>
      </c>
      <c r="AR120" s="277"/>
      <c r="AS120" s="277"/>
      <c r="AT120" s="277"/>
      <c r="AU120" s="277"/>
      <c r="AV120" s="277"/>
      <c r="AW120" s="277"/>
      <c r="AX120" s="277"/>
      <c r="AY120" s="280"/>
    </row>
    <row r="121" spans="1:53" ht="13.5" customHeight="1" x14ac:dyDescent="0.15">
      <c r="A121" s="1"/>
      <c r="B121" s="253" t="s">
        <v>100</v>
      </c>
      <c r="C121" s="253"/>
      <c r="D121" s="253" t="s">
        <v>303</v>
      </c>
      <c r="E121" s="253"/>
      <c r="F121" s="253"/>
      <c r="G121" s="253"/>
      <c r="H121" s="253"/>
      <c r="I121" s="253"/>
      <c r="J121" s="253"/>
      <c r="K121" s="253"/>
      <c r="L121" s="125"/>
      <c r="M121" s="126"/>
      <c r="N121" s="126"/>
      <c r="O121" s="126"/>
      <c r="P121" s="126"/>
      <c r="Q121" s="126"/>
      <c r="R121" s="126"/>
      <c r="S121" s="193"/>
      <c r="T121" s="290" t="s">
        <v>207</v>
      </c>
      <c r="U121" s="66"/>
      <c r="V121" s="290" t="s">
        <v>71</v>
      </c>
      <c r="W121" s="65"/>
      <c r="X121" s="65"/>
      <c r="Y121" s="66"/>
      <c r="Z121" s="278" t="s">
        <v>74</v>
      </c>
      <c r="AA121" s="279"/>
      <c r="AB121" s="279"/>
      <c r="AC121" s="279"/>
      <c r="AD121" s="279"/>
      <c r="AE121" s="290" t="s">
        <v>106</v>
      </c>
      <c r="AF121" s="297"/>
      <c r="AG121" s="297"/>
      <c r="AH121" s="297"/>
      <c r="AI121" s="290" t="s">
        <v>302</v>
      </c>
      <c r="AJ121" s="298"/>
      <c r="AK121" s="298"/>
      <c r="AL121" s="298"/>
      <c r="AM121" s="298"/>
      <c r="AN121" s="298"/>
      <c r="AO121" s="298"/>
      <c r="AP121" s="299"/>
      <c r="AQ121" s="290"/>
      <c r="AR121" s="65"/>
      <c r="AS121" s="65"/>
      <c r="AT121" s="65"/>
      <c r="AU121" s="65"/>
      <c r="AV121" s="65"/>
      <c r="AW121" s="65"/>
      <c r="AX121" s="65"/>
      <c r="AY121" s="66"/>
    </row>
    <row r="122" spans="1:53" x14ac:dyDescent="0.15">
      <c r="A122" s="1"/>
      <c r="B122" s="261" t="s">
        <v>26</v>
      </c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260"/>
      <c r="U122" s="262"/>
      <c r="V122" s="269" t="str">
        <f>IF(T121="有","有効","無効")</f>
        <v>無効</v>
      </c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  <c r="AR122" s="270"/>
      <c r="AS122" s="270"/>
      <c r="AT122" s="270"/>
      <c r="AU122" s="270"/>
      <c r="AV122" s="270"/>
      <c r="AW122" s="270"/>
      <c r="AX122" s="270"/>
      <c r="AY122" s="271"/>
    </row>
    <row r="123" spans="1:53" x14ac:dyDescent="0.15">
      <c r="A123" s="1"/>
      <c r="B123" s="41"/>
      <c r="C123" s="272" t="s">
        <v>27</v>
      </c>
      <c r="D123" s="272"/>
      <c r="E123" s="272"/>
      <c r="F123" s="272"/>
      <c r="G123" s="272"/>
      <c r="H123" s="272"/>
      <c r="I123" s="272"/>
      <c r="J123" s="272"/>
      <c r="K123" s="272"/>
      <c r="L123" s="272"/>
      <c r="M123" s="272"/>
      <c r="N123" s="272"/>
      <c r="O123" s="272"/>
      <c r="P123" s="272"/>
      <c r="Q123" s="272"/>
      <c r="R123" s="272"/>
      <c r="S123" s="272"/>
      <c r="T123" s="273"/>
      <c r="U123" s="273"/>
      <c r="V123" s="274"/>
      <c r="W123" s="275"/>
      <c r="X123" s="275"/>
      <c r="Y123" s="275"/>
      <c r="Z123" s="275"/>
      <c r="AA123" s="275"/>
      <c r="AB123" s="275"/>
      <c r="AC123" s="275"/>
      <c r="AD123" s="275"/>
      <c r="AE123" s="275"/>
      <c r="AF123" s="275"/>
      <c r="AG123" s="26" t="s">
        <v>141</v>
      </c>
      <c r="AH123" s="26"/>
      <c r="AI123" s="26" t="s">
        <v>204</v>
      </c>
      <c r="AJ123" s="276" t="e">
        <f>VLOOKUP(AH123,$AZ$83:$BA$114,2,)</f>
        <v>#N/A</v>
      </c>
      <c r="AK123" s="276"/>
      <c r="AL123" s="276"/>
      <c r="AM123" s="276"/>
      <c r="AN123" s="276"/>
      <c r="AO123" s="276"/>
      <c r="AP123" s="276"/>
      <c r="AQ123" s="276"/>
      <c r="AR123" s="26" t="s">
        <v>205</v>
      </c>
      <c r="AS123" s="26"/>
      <c r="AT123" s="26"/>
      <c r="AU123" s="26"/>
      <c r="AV123" s="26"/>
      <c r="AW123" s="26"/>
      <c r="AX123" s="26"/>
      <c r="AY123" s="27"/>
    </row>
    <row r="124" spans="1:53" x14ac:dyDescent="0.15">
      <c r="A124" s="1"/>
      <c r="B124" s="41"/>
      <c r="C124" s="281" t="s">
        <v>28</v>
      </c>
      <c r="D124" s="281"/>
      <c r="E124" s="281"/>
      <c r="F124" s="281"/>
      <c r="G124" s="281"/>
      <c r="H124" s="281"/>
      <c r="I124" s="281"/>
      <c r="J124" s="281"/>
      <c r="K124" s="281"/>
      <c r="L124" s="281"/>
      <c r="M124" s="281"/>
      <c r="N124" s="281"/>
      <c r="O124" s="281"/>
      <c r="P124" s="281"/>
      <c r="Q124" s="281"/>
      <c r="R124" s="281"/>
      <c r="S124" s="281"/>
      <c r="T124" s="282"/>
      <c r="U124" s="282"/>
      <c r="V124" s="300"/>
      <c r="W124" s="301"/>
      <c r="X124" s="301"/>
      <c r="Y124" s="301"/>
      <c r="Z124" s="301"/>
      <c r="AA124" s="301"/>
      <c r="AB124" s="301"/>
      <c r="AC124" s="301"/>
      <c r="AD124" s="301"/>
      <c r="AE124" s="301"/>
      <c r="AF124" s="301"/>
      <c r="AG124" s="301"/>
      <c r="AH124" s="301"/>
      <c r="AI124" s="301"/>
      <c r="AJ124" s="301"/>
      <c r="AK124" s="301"/>
      <c r="AL124" s="301"/>
      <c r="AM124" s="301"/>
      <c r="AN124" s="301"/>
      <c r="AO124" s="301"/>
      <c r="AP124" s="301"/>
      <c r="AQ124" s="301"/>
      <c r="AR124" s="301"/>
      <c r="AS124" s="301"/>
      <c r="AT124" s="301"/>
      <c r="AU124" s="301"/>
      <c r="AV124" s="301"/>
      <c r="AW124" s="301"/>
      <c r="AX124" s="301"/>
      <c r="AY124" s="302"/>
    </row>
    <row r="125" spans="1:53" x14ac:dyDescent="0.15">
      <c r="A125" s="1"/>
      <c r="B125" s="41"/>
      <c r="C125" s="281" t="s">
        <v>29</v>
      </c>
      <c r="D125" s="281"/>
      <c r="E125" s="281"/>
      <c r="F125" s="281"/>
      <c r="G125" s="281"/>
      <c r="H125" s="281"/>
      <c r="I125" s="281"/>
      <c r="J125" s="281"/>
      <c r="K125" s="281"/>
      <c r="L125" s="281"/>
      <c r="M125" s="281"/>
      <c r="N125" s="281"/>
      <c r="O125" s="281"/>
      <c r="P125" s="281"/>
      <c r="Q125" s="281"/>
      <c r="R125" s="281"/>
      <c r="S125" s="281"/>
      <c r="T125" s="282"/>
      <c r="U125" s="282"/>
      <c r="V125" s="300"/>
      <c r="W125" s="301"/>
      <c r="X125" s="301"/>
      <c r="Y125" s="301"/>
      <c r="Z125" s="301"/>
      <c r="AA125" s="301"/>
      <c r="AB125" s="301"/>
      <c r="AC125" s="301"/>
      <c r="AD125" s="301"/>
      <c r="AE125" s="301"/>
      <c r="AF125" s="301"/>
      <c r="AG125" s="301"/>
      <c r="AH125" s="301"/>
      <c r="AI125" s="301"/>
      <c r="AJ125" s="301"/>
      <c r="AK125" s="301"/>
      <c r="AL125" s="301"/>
      <c r="AM125" s="301"/>
      <c r="AN125" s="301"/>
      <c r="AO125" s="301"/>
      <c r="AP125" s="301"/>
      <c r="AQ125" s="301"/>
      <c r="AR125" s="301"/>
      <c r="AS125" s="301"/>
      <c r="AT125" s="301"/>
      <c r="AU125" s="301"/>
      <c r="AV125" s="301"/>
      <c r="AW125" s="301"/>
      <c r="AX125" s="301"/>
      <c r="AY125" s="302"/>
    </row>
    <row r="126" spans="1:53" x14ac:dyDescent="0.15">
      <c r="A126" s="1"/>
      <c r="B126" s="40"/>
      <c r="C126" s="292" t="s">
        <v>30</v>
      </c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3"/>
      <c r="U126" s="293"/>
      <c r="V126" s="294"/>
      <c r="W126" s="295"/>
      <c r="X126" s="295"/>
      <c r="Y126" s="295"/>
      <c r="Z126" s="295"/>
      <c r="AA126" s="295"/>
      <c r="AB126" s="295"/>
      <c r="AC126" s="295"/>
      <c r="AD126" s="295"/>
      <c r="AE126" s="295"/>
      <c r="AF126" s="295"/>
      <c r="AG126" s="295"/>
      <c r="AH126" s="295"/>
      <c r="AI126" s="295"/>
      <c r="AJ126" s="295"/>
      <c r="AK126" s="295"/>
      <c r="AL126" s="295"/>
      <c r="AM126" s="295"/>
      <c r="AN126" s="295"/>
      <c r="AO126" s="295"/>
      <c r="AP126" s="295"/>
      <c r="AQ126" s="295"/>
      <c r="AR126" s="295"/>
      <c r="AS126" s="295"/>
      <c r="AT126" s="295"/>
      <c r="AU126" s="295"/>
      <c r="AV126" s="295"/>
      <c r="AW126" s="295"/>
      <c r="AX126" s="295"/>
      <c r="AY126" s="296"/>
    </row>
    <row r="127" spans="1:53" x14ac:dyDescent="0.15">
      <c r="A127" s="1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4"/>
      <c r="U127" s="4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</row>
    <row r="128" spans="1:53" x14ac:dyDescent="0.15">
      <c r="A128" s="1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4"/>
      <c r="U128" s="4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</row>
    <row r="129" spans="1:51" x14ac:dyDescent="0.15">
      <c r="A129" s="1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4"/>
      <c r="U129" s="4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</row>
    <row r="130" spans="1:51" x14ac:dyDescent="0.15">
      <c r="A130" s="1"/>
      <c r="B130" s="61" t="s">
        <v>135</v>
      </c>
      <c r="C130" s="61"/>
      <c r="D130" s="263" t="s">
        <v>37</v>
      </c>
      <c r="E130" s="264"/>
      <c r="F130" s="264"/>
      <c r="G130" s="264"/>
      <c r="H130" s="264"/>
      <c r="I130" s="264"/>
      <c r="J130" s="264"/>
      <c r="K130" s="265"/>
      <c r="L130" s="263" t="s">
        <v>38</v>
      </c>
      <c r="M130" s="264"/>
      <c r="N130" s="264"/>
      <c r="O130" s="264"/>
      <c r="P130" s="264"/>
      <c r="Q130" s="264"/>
      <c r="R130" s="264"/>
      <c r="S130" s="264"/>
      <c r="T130" s="286" t="s">
        <v>66</v>
      </c>
      <c r="U130" s="287"/>
      <c r="V130" s="286" t="s">
        <v>136</v>
      </c>
      <c r="W130" s="288"/>
      <c r="X130" s="288"/>
      <c r="Y130" s="287"/>
      <c r="Z130" s="263" t="s">
        <v>21</v>
      </c>
      <c r="AA130" s="277"/>
      <c r="AB130" s="277"/>
      <c r="AC130" s="277"/>
      <c r="AD130" s="277"/>
      <c r="AE130" s="263" t="s">
        <v>22</v>
      </c>
      <c r="AF130" s="277"/>
      <c r="AG130" s="277"/>
      <c r="AH130" s="280"/>
      <c r="AI130" s="263" t="s">
        <v>23</v>
      </c>
      <c r="AJ130" s="277"/>
      <c r="AK130" s="277"/>
      <c r="AL130" s="277"/>
      <c r="AM130" s="277"/>
      <c r="AN130" s="277"/>
      <c r="AO130" s="277"/>
      <c r="AP130" s="277"/>
      <c r="AQ130" s="263" t="s">
        <v>24</v>
      </c>
      <c r="AR130" s="277"/>
      <c r="AS130" s="277"/>
      <c r="AT130" s="277"/>
      <c r="AU130" s="277"/>
      <c r="AV130" s="277"/>
      <c r="AW130" s="277"/>
      <c r="AX130" s="277"/>
      <c r="AY130" s="280"/>
    </row>
    <row r="131" spans="1:51" ht="13.5" customHeight="1" x14ac:dyDescent="0.15">
      <c r="A131" s="1"/>
      <c r="B131" s="253" t="s">
        <v>108</v>
      </c>
      <c r="C131" s="253"/>
      <c r="D131" s="253" t="s">
        <v>301</v>
      </c>
      <c r="E131" s="253"/>
      <c r="F131" s="253"/>
      <c r="G131" s="253"/>
      <c r="H131" s="253"/>
      <c r="I131" s="253"/>
      <c r="J131" s="253"/>
      <c r="K131" s="253"/>
      <c r="L131" s="125"/>
      <c r="M131" s="126"/>
      <c r="N131" s="126"/>
      <c r="O131" s="126"/>
      <c r="P131" s="126"/>
      <c r="Q131" s="126"/>
      <c r="R131" s="126"/>
      <c r="S131" s="193"/>
      <c r="T131" s="290" t="s">
        <v>207</v>
      </c>
      <c r="U131" s="66"/>
      <c r="V131" s="290" t="s">
        <v>71</v>
      </c>
      <c r="W131" s="65"/>
      <c r="X131" s="65"/>
      <c r="Y131" s="66"/>
      <c r="Z131" s="278"/>
      <c r="AA131" s="279"/>
      <c r="AB131" s="279"/>
      <c r="AC131" s="279"/>
      <c r="AD131" s="279"/>
      <c r="AE131" s="290"/>
      <c r="AF131" s="297"/>
      <c r="AG131" s="297"/>
      <c r="AH131" s="297"/>
      <c r="AI131" s="290"/>
      <c r="AJ131" s="298"/>
      <c r="AK131" s="298"/>
      <c r="AL131" s="298"/>
      <c r="AM131" s="298"/>
      <c r="AN131" s="298"/>
      <c r="AO131" s="298"/>
      <c r="AP131" s="299"/>
      <c r="AQ131" s="290"/>
      <c r="AR131" s="65"/>
      <c r="AS131" s="65"/>
      <c r="AT131" s="65"/>
      <c r="AU131" s="65"/>
      <c r="AV131" s="65"/>
      <c r="AW131" s="65"/>
      <c r="AX131" s="65"/>
      <c r="AY131" s="66"/>
    </row>
    <row r="132" spans="1:51" x14ac:dyDescent="0.15">
      <c r="A132" s="1"/>
      <c r="B132" s="261" t="s">
        <v>26</v>
      </c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260"/>
      <c r="U132" s="262"/>
      <c r="V132" s="269" t="str">
        <f>IF(T131="有","有効","無効")</f>
        <v>無効</v>
      </c>
      <c r="W132" s="270"/>
      <c r="X132" s="270"/>
      <c r="Y132" s="270"/>
      <c r="Z132" s="270"/>
      <c r="AA132" s="270"/>
      <c r="AB132" s="270"/>
      <c r="AC132" s="270"/>
      <c r="AD132" s="270"/>
      <c r="AE132" s="270"/>
      <c r="AF132" s="270"/>
      <c r="AG132" s="270"/>
      <c r="AH132" s="270"/>
      <c r="AI132" s="270"/>
      <c r="AJ132" s="270"/>
      <c r="AK132" s="270"/>
      <c r="AL132" s="270"/>
      <c r="AM132" s="270"/>
      <c r="AN132" s="270"/>
      <c r="AO132" s="270"/>
      <c r="AP132" s="270"/>
      <c r="AQ132" s="270"/>
      <c r="AR132" s="270"/>
      <c r="AS132" s="270"/>
      <c r="AT132" s="270"/>
      <c r="AU132" s="270"/>
      <c r="AV132" s="270"/>
      <c r="AW132" s="270"/>
      <c r="AX132" s="270"/>
      <c r="AY132" s="271"/>
    </row>
    <row r="133" spans="1:51" x14ac:dyDescent="0.15">
      <c r="A133" s="1"/>
      <c r="B133" s="41"/>
      <c r="C133" s="272" t="s">
        <v>27</v>
      </c>
      <c r="D133" s="272"/>
      <c r="E133" s="272"/>
      <c r="F133" s="272"/>
      <c r="G133" s="272"/>
      <c r="H133" s="272"/>
      <c r="I133" s="272"/>
      <c r="J133" s="272"/>
      <c r="K133" s="272"/>
      <c r="L133" s="272"/>
      <c r="M133" s="272"/>
      <c r="N133" s="272"/>
      <c r="O133" s="272"/>
      <c r="P133" s="272"/>
      <c r="Q133" s="272"/>
      <c r="R133" s="272"/>
      <c r="S133" s="272"/>
      <c r="T133" s="273"/>
      <c r="U133" s="273"/>
      <c r="V133" s="274"/>
      <c r="W133" s="275"/>
      <c r="X133" s="275"/>
      <c r="Y133" s="275"/>
      <c r="Z133" s="275"/>
      <c r="AA133" s="275"/>
      <c r="AB133" s="275"/>
      <c r="AC133" s="275"/>
      <c r="AD133" s="275"/>
      <c r="AE133" s="275"/>
      <c r="AF133" s="275"/>
      <c r="AG133" s="26" t="s">
        <v>141</v>
      </c>
      <c r="AH133" s="26"/>
      <c r="AI133" s="26" t="s">
        <v>204</v>
      </c>
      <c r="AJ133" s="276" t="e">
        <f>VLOOKUP(AH133,$AZ$83:$BA$114,2,)</f>
        <v>#N/A</v>
      </c>
      <c r="AK133" s="276"/>
      <c r="AL133" s="276"/>
      <c r="AM133" s="276"/>
      <c r="AN133" s="276"/>
      <c r="AO133" s="276"/>
      <c r="AP133" s="276"/>
      <c r="AQ133" s="276"/>
      <c r="AR133" s="26" t="s">
        <v>205</v>
      </c>
      <c r="AS133" s="26"/>
      <c r="AT133" s="26"/>
      <c r="AU133" s="26"/>
      <c r="AV133" s="26"/>
      <c r="AW133" s="26"/>
      <c r="AX133" s="26"/>
      <c r="AY133" s="27"/>
    </row>
    <row r="134" spans="1:51" x14ac:dyDescent="0.15">
      <c r="A134" s="1"/>
      <c r="B134" s="41"/>
      <c r="C134" s="281" t="s">
        <v>28</v>
      </c>
      <c r="D134" s="281"/>
      <c r="E134" s="281"/>
      <c r="F134" s="281"/>
      <c r="G134" s="281"/>
      <c r="H134" s="281"/>
      <c r="I134" s="281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2"/>
      <c r="U134" s="282"/>
      <c r="V134" s="300"/>
      <c r="W134" s="301"/>
      <c r="X134" s="301"/>
      <c r="Y134" s="301"/>
      <c r="Z134" s="301"/>
      <c r="AA134" s="301"/>
      <c r="AB134" s="301"/>
      <c r="AC134" s="301"/>
      <c r="AD134" s="301"/>
      <c r="AE134" s="301"/>
      <c r="AF134" s="301"/>
      <c r="AG134" s="301"/>
      <c r="AH134" s="301"/>
      <c r="AI134" s="301"/>
      <c r="AJ134" s="301"/>
      <c r="AK134" s="301"/>
      <c r="AL134" s="301"/>
      <c r="AM134" s="301"/>
      <c r="AN134" s="301"/>
      <c r="AO134" s="301"/>
      <c r="AP134" s="301"/>
      <c r="AQ134" s="301"/>
      <c r="AR134" s="301"/>
      <c r="AS134" s="301"/>
      <c r="AT134" s="301"/>
      <c r="AU134" s="301"/>
      <c r="AV134" s="301"/>
      <c r="AW134" s="301"/>
      <c r="AX134" s="301"/>
      <c r="AY134" s="302"/>
    </row>
    <row r="135" spans="1:51" x14ac:dyDescent="0.15">
      <c r="A135" s="1"/>
      <c r="B135" s="41"/>
      <c r="C135" s="281" t="s">
        <v>29</v>
      </c>
      <c r="D135" s="281"/>
      <c r="E135" s="281"/>
      <c r="F135" s="281"/>
      <c r="G135" s="281"/>
      <c r="H135" s="281"/>
      <c r="I135" s="281"/>
      <c r="J135" s="281"/>
      <c r="K135" s="281"/>
      <c r="L135" s="281"/>
      <c r="M135" s="281"/>
      <c r="N135" s="281"/>
      <c r="O135" s="281"/>
      <c r="P135" s="281"/>
      <c r="Q135" s="281"/>
      <c r="R135" s="281"/>
      <c r="S135" s="281"/>
      <c r="T135" s="282"/>
      <c r="U135" s="282"/>
      <c r="V135" s="300"/>
      <c r="W135" s="301"/>
      <c r="X135" s="301"/>
      <c r="Y135" s="301"/>
      <c r="Z135" s="301"/>
      <c r="AA135" s="301"/>
      <c r="AB135" s="301"/>
      <c r="AC135" s="301"/>
      <c r="AD135" s="301"/>
      <c r="AE135" s="301"/>
      <c r="AF135" s="301"/>
      <c r="AG135" s="301"/>
      <c r="AH135" s="301"/>
      <c r="AI135" s="301"/>
      <c r="AJ135" s="301"/>
      <c r="AK135" s="301"/>
      <c r="AL135" s="301"/>
      <c r="AM135" s="301"/>
      <c r="AN135" s="301"/>
      <c r="AO135" s="301"/>
      <c r="AP135" s="301"/>
      <c r="AQ135" s="301"/>
      <c r="AR135" s="301"/>
      <c r="AS135" s="301"/>
      <c r="AT135" s="301"/>
      <c r="AU135" s="301"/>
      <c r="AV135" s="301"/>
      <c r="AW135" s="301"/>
      <c r="AX135" s="301"/>
      <c r="AY135" s="302"/>
    </row>
    <row r="136" spans="1:51" x14ac:dyDescent="0.15">
      <c r="A136" s="1"/>
      <c r="B136" s="40"/>
      <c r="C136" s="292" t="s">
        <v>30</v>
      </c>
      <c r="D136" s="292"/>
      <c r="E136" s="292"/>
      <c r="F136" s="292"/>
      <c r="G136" s="292"/>
      <c r="H136" s="292"/>
      <c r="I136" s="292"/>
      <c r="J136" s="292"/>
      <c r="K136" s="292"/>
      <c r="L136" s="292"/>
      <c r="M136" s="292"/>
      <c r="N136" s="292"/>
      <c r="O136" s="292"/>
      <c r="P136" s="292"/>
      <c r="Q136" s="292"/>
      <c r="R136" s="292"/>
      <c r="S136" s="292"/>
      <c r="T136" s="293"/>
      <c r="U136" s="293"/>
      <c r="V136" s="294"/>
      <c r="W136" s="295"/>
      <c r="X136" s="295"/>
      <c r="Y136" s="295"/>
      <c r="Z136" s="295"/>
      <c r="AA136" s="295"/>
      <c r="AB136" s="295"/>
      <c r="AC136" s="295"/>
      <c r="AD136" s="295"/>
      <c r="AE136" s="295"/>
      <c r="AF136" s="295"/>
      <c r="AG136" s="295"/>
      <c r="AH136" s="295"/>
      <c r="AI136" s="295"/>
      <c r="AJ136" s="295"/>
      <c r="AK136" s="295"/>
      <c r="AL136" s="295"/>
      <c r="AM136" s="295"/>
      <c r="AN136" s="295"/>
      <c r="AO136" s="295"/>
      <c r="AP136" s="295"/>
      <c r="AQ136" s="295"/>
      <c r="AR136" s="295"/>
      <c r="AS136" s="295"/>
      <c r="AT136" s="295"/>
      <c r="AU136" s="295"/>
      <c r="AV136" s="295"/>
      <c r="AW136" s="295"/>
      <c r="AX136" s="295"/>
      <c r="AY136" s="296"/>
    </row>
    <row r="137" spans="1:51" x14ac:dyDescent="0.15">
      <c r="A137" s="1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4"/>
      <c r="U137" s="4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</row>
    <row r="138" spans="1:51" x14ac:dyDescent="0.15">
      <c r="A138" s="1"/>
      <c r="B138" s="61" t="s">
        <v>135</v>
      </c>
      <c r="C138" s="61"/>
      <c r="D138" s="263" t="s">
        <v>37</v>
      </c>
      <c r="E138" s="264"/>
      <c r="F138" s="264"/>
      <c r="G138" s="264"/>
      <c r="H138" s="264"/>
      <c r="I138" s="264"/>
      <c r="J138" s="264"/>
      <c r="K138" s="265"/>
      <c r="L138" s="263" t="s">
        <v>38</v>
      </c>
      <c r="M138" s="264"/>
      <c r="N138" s="264"/>
      <c r="O138" s="264"/>
      <c r="P138" s="264"/>
      <c r="Q138" s="264"/>
      <c r="R138" s="264"/>
      <c r="S138" s="264"/>
      <c r="T138" s="286" t="s">
        <v>66</v>
      </c>
      <c r="U138" s="287"/>
      <c r="V138" s="286" t="s">
        <v>136</v>
      </c>
      <c r="W138" s="288"/>
      <c r="X138" s="288"/>
      <c r="Y138" s="287"/>
      <c r="Z138" s="263" t="s">
        <v>21</v>
      </c>
      <c r="AA138" s="277"/>
      <c r="AB138" s="277"/>
      <c r="AC138" s="277"/>
      <c r="AD138" s="277"/>
      <c r="AE138" s="263" t="s">
        <v>22</v>
      </c>
      <c r="AF138" s="277"/>
      <c r="AG138" s="277"/>
      <c r="AH138" s="280"/>
      <c r="AI138" s="263" t="s">
        <v>23</v>
      </c>
      <c r="AJ138" s="277"/>
      <c r="AK138" s="277"/>
      <c r="AL138" s="277"/>
      <c r="AM138" s="277"/>
      <c r="AN138" s="277"/>
      <c r="AO138" s="277"/>
      <c r="AP138" s="277"/>
      <c r="AQ138" s="263" t="s">
        <v>24</v>
      </c>
      <c r="AR138" s="277"/>
      <c r="AS138" s="277"/>
      <c r="AT138" s="277"/>
      <c r="AU138" s="277"/>
      <c r="AV138" s="277"/>
      <c r="AW138" s="277"/>
      <c r="AX138" s="277"/>
      <c r="AY138" s="280"/>
    </row>
    <row r="139" spans="1:51" ht="13.5" customHeight="1" x14ac:dyDescent="0.15">
      <c r="A139" s="1"/>
      <c r="B139" s="253" t="s">
        <v>109</v>
      </c>
      <c r="C139" s="253"/>
      <c r="D139" s="253" t="s">
        <v>300</v>
      </c>
      <c r="E139" s="253"/>
      <c r="F139" s="253"/>
      <c r="G139" s="253"/>
      <c r="H139" s="253"/>
      <c r="I139" s="253"/>
      <c r="J139" s="253"/>
      <c r="K139" s="253"/>
      <c r="L139" s="125"/>
      <c r="M139" s="126"/>
      <c r="N139" s="126"/>
      <c r="O139" s="126"/>
      <c r="P139" s="126"/>
      <c r="Q139" s="126"/>
      <c r="R139" s="126"/>
      <c r="S139" s="193"/>
      <c r="T139" s="290" t="s">
        <v>207</v>
      </c>
      <c r="U139" s="66"/>
      <c r="V139" s="290" t="s">
        <v>71</v>
      </c>
      <c r="W139" s="65"/>
      <c r="X139" s="65"/>
      <c r="Y139" s="66"/>
      <c r="Z139" s="278"/>
      <c r="AA139" s="279"/>
      <c r="AB139" s="279"/>
      <c r="AC139" s="279"/>
      <c r="AD139" s="279"/>
      <c r="AE139" s="290"/>
      <c r="AF139" s="297"/>
      <c r="AG139" s="297"/>
      <c r="AH139" s="297"/>
      <c r="AI139" s="290"/>
      <c r="AJ139" s="298"/>
      <c r="AK139" s="298"/>
      <c r="AL139" s="298"/>
      <c r="AM139" s="298"/>
      <c r="AN139" s="298"/>
      <c r="AO139" s="298"/>
      <c r="AP139" s="299"/>
      <c r="AQ139" s="290"/>
      <c r="AR139" s="65"/>
      <c r="AS139" s="65"/>
      <c r="AT139" s="65"/>
      <c r="AU139" s="65"/>
      <c r="AV139" s="65"/>
      <c r="AW139" s="65"/>
      <c r="AX139" s="65"/>
      <c r="AY139" s="66"/>
    </row>
    <row r="140" spans="1:51" x14ac:dyDescent="0.15">
      <c r="A140" s="1"/>
      <c r="B140" s="261" t="s">
        <v>26</v>
      </c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260"/>
      <c r="U140" s="262"/>
      <c r="V140" s="269" t="str">
        <f>IF(T139="有","有効","無効")</f>
        <v>無効</v>
      </c>
      <c r="W140" s="270"/>
      <c r="X140" s="270"/>
      <c r="Y140" s="270"/>
      <c r="Z140" s="270"/>
      <c r="AA140" s="270"/>
      <c r="AB140" s="270"/>
      <c r="AC140" s="270"/>
      <c r="AD140" s="270"/>
      <c r="AE140" s="270"/>
      <c r="AF140" s="270"/>
      <c r="AG140" s="270"/>
      <c r="AH140" s="270"/>
      <c r="AI140" s="270"/>
      <c r="AJ140" s="270"/>
      <c r="AK140" s="270"/>
      <c r="AL140" s="270"/>
      <c r="AM140" s="270"/>
      <c r="AN140" s="270"/>
      <c r="AO140" s="270"/>
      <c r="AP140" s="270"/>
      <c r="AQ140" s="270"/>
      <c r="AR140" s="270"/>
      <c r="AS140" s="270"/>
      <c r="AT140" s="270"/>
      <c r="AU140" s="270"/>
      <c r="AV140" s="270"/>
      <c r="AW140" s="270"/>
      <c r="AX140" s="270"/>
      <c r="AY140" s="271"/>
    </row>
    <row r="141" spans="1:51" x14ac:dyDescent="0.15">
      <c r="A141" s="1"/>
      <c r="B141" s="41"/>
      <c r="C141" s="272" t="s">
        <v>27</v>
      </c>
      <c r="D141" s="272"/>
      <c r="E141" s="272"/>
      <c r="F141" s="272"/>
      <c r="G141" s="272"/>
      <c r="H141" s="272"/>
      <c r="I141" s="272"/>
      <c r="J141" s="272"/>
      <c r="K141" s="272"/>
      <c r="L141" s="272"/>
      <c r="M141" s="272"/>
      <c r="N141" s="272"/>
      <c r="O141" s="272"/>
      <c r="P141" s="272"/>
      <c r="Q141" s="272"/>
      <c r="R141" s="272"/>
      <c r="S141" s="272"/>
      <c r="T141" s="273"/>
      <c r="U141" s="273"/>
      <c r="V141" s="274"/>
      <c r="W141" s="275"/>
      <c r="X141" s="275"/>
      <c r="Y141" s="275"/>
      <c r="Z141" s="275"/>
      <c r="AA141" s="275"/>
      <c r="AB141" s="275"/>
      <c r="AC141" s="275"/>
      <c r="AD141" s="275"/>
      <c r="AE141" s="275"/>
      <c r="AF141" s="275"/>
      <c r="AG141" s="26" t="s">
        <v>141</v>
      </c>
      <c r="AH141" s="26"/>
      <c r="AI141" s="26" t="s">
        <v>204</v>
      </c>
      <c r="AJ141" s="276" t="e">
        <f>VLOOKUP(AH141,$AZ$83:$BA$114,2,)</f>
        <v>#N/A</v>
      </c>
      <c r="AK141" s="276"/>
      <c r="AL141" s="276"/>
      <c r="AM141" s="276"/>
      <c r="AN141" s="276"/>
      <c r="AO141" s="276"/>
      <c r="AP141" s="276"/>
      <c r="AQ141" s="276"/>
      <c r="AR141" s="26" t="s">
        <v>205</v>
      </c>
      <c r="AS141" s="26"/>
      <c r="AT141" s="26"/>
      <c r="AU141" s="26"/>
      <c r="AV141" s="26"/>
      <c r="AW141" s="26"/>
      <c r="AX141" s="26"/>
      <c r="AY141" s="27"/>
    </row>
    <row r="142" spans="1:51" x14ac:dyDescent="0.15">
      <c r="A142" s="1"/>
      <c r="B142" s="41"/>
      <c r="C142" s="281" t="s">
        <v>28</v>
      </c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1"/>
      <c r="P142" s="281"/>
      <c r="Q142" s="281"/>
      <c r="R142" s="281"/>
      <c r="S142" s="281"/>
      <c r="T142" s="282"/>
      <c r="U142" s="282"/>
      <c r="V142" s="300"/>
      <c r="W142" s="301"/>
      <c r="X142" s="301"/>
      <c r="Y142" s="301"/>
      <c r="Z142" s="301"/>
      <c r="AA142" s="301"/>
      <c r="AB142" s="301"/>
      <c r="AC142" s="301"/>
      <c r="AD142" s="301"/>
      <c r="AE142" s="301"/>
      <c r="AF142" s="301"/>
      <c r="AG142" s="301"/>
      <c r="AH142" s="301"/>
      <c r="AI142" s="301"/>
      <c r="AJ142" s="301"/>
      <c r="AK142" s="301"/>
      <c r="AL142" s="301"/>
      <c r="AM142" s="301"/>
      <c r="AN142" s="301"/>
      <c r="AO142" s="301"/>
      <c r="AP142" s="301"/>
      <c r="AQ142" s="301"/>
      <c r="AR142" s="301"/>
      <c r="AS142" s="301"/>
      <c r="AT142" s="301"/>
      <c r="AU142" s="301"/>
      <c r="AV142" s="301"/>
      <c r="AW142" s="301"/>
      <c r="AX142" s="301"/>
      <c r="AY142" s="302"/>
    </row>
    <row r="143" spans="1:51" x14ac:dyDescent="0.15">
      <c r="A143" s="1"/>
      <c r="B143" s="41"/>
      <c r="C143" s="281" t="s">
        <v>29</v>
      </c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1"/>
      <c r="P143" s="281"/>
      <c r="Q143" s="281"/>
      <c r="R143" s="281"/>
      <c r="S143" s="281"/>
      <c r="T143" s="282"/>
      <c r="U143" s="282"/>
      <c r="V143" s="300"/>
      <c r="W143" s="301"/>
      <c r="X143" s="301"/>
      <c r="Y143" s="301"/>
      <c r="Z143" s="301"/>
      <c r="AA143" s="301"/>
      <c r="AB143" s="301"/>
      <c r="AC143" s="301"/>
      <c r="AD143" s="301"/>
      <c r="AE143" s="301"/>
      <c r="AF143" s="301"/>
      <c r="AG143" s="301"/>
      <c r="AH143" s="301"/>
      <c r="AI143" s="301"/>
      <c r="AJ143" s="301"/>
      <c r="AK143" s="301"/>
      <c r="AL143" s="301"/>
      <c r="AM143" s="301"/>
      <c r="AN143" s="301"/>
      <c r="AO143" s="301"/>
      <c r="AP143" s="301"/>
      <c r="AQ143" s="301"/>
      <c r="AR143" s="301"/>
      <c r="AS143" s="301"/>
      <c r="AT143" s="301"/>
      <c r="AU143" s="301"/>
      <c r="AV143" s="301"/>
      <c r="AW143" s="301"/>
      <c r="AX143" s="301"/>
      <c r="AY143" s="302"/>
    </row>
    <row r="144" spans="1:51" x14ac:dyDescent="0.15">
      <c r="A144" s="1"/>
      <c r="B144" s="40"/>
      <c r="C144" s="292" t="s">
        <v>30</v>
      </c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2"/>
      <c r="P144" s="292"/>
      <c r="Q144" s="292"/>
      <c r="R144" s="292"/>
      <c r="S144" s="292"/>
      <c r="T144" s="293"/>
      <c r="U144" s="293"/>
      <c r="V144" s="294"/>
      <c r="W144" s="295"/>
      <c r="X144" s="295"/>
      <c r="Y144" s="295"/>
      <c r="Z144" s="295"/>
      <c r="AA144" s="295"/>
      <c r="AB144" s="295"/>
      <c r="AC144" s="295"/>
      <c r="AD144" s="295"/>
      <c r="AE144" s="295"/>
      <c r="AF144" s="295"/>
      <c r="AG144" s="295"/>
      <c r="AH144" s="295"/>
      <c r="AI144" s="295"/>
      <c r="AJ144" s="295"/>
      <c r="AK144" s="295"/>
      <c r="AL144" s="295"/>
      <c r="AM144" s="295"/>
      <c r="AN144" s="295"/>
      <c r="AO144" s="295"/>
      <c r="AP144" s="295"/>
      <c r="AQ144" s="295"/>
      <c r="AR144" s="295"/>
      <c r="AS144" s="295"/>
      <c r="AT144" s="295"/>
      <c r="AU144" s="295"/>
      <c r="AV144" s="295"/>
      <c r="AW144" s="295"/>
      <c r="AX144" s="295"/>
      <c r="AY144" s="296"/>
    </row>
    <row r="145" spans="1:51" x14ac:dyDescent="0.15">
      <c r="A145" s="1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4"/>
      <c r="U145" s="4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</row>
    <row r="146" spans="1:51" x14ac:dyDescent="0.15">
      <c r="A146" s="1"/>
      <c r="B146" s="61" t="s">
        <v>135</v>
      </c>
      <c r="C146" s="61"/>
      <c r="D146" s="263" t="s">
        <v>230</v>
      </c>
      <c r="E146" s="264"/>
      <c r="F146" s="264"/>
      <c r="G146" s="264"/>
      <c r="H146" s="264"/>
      <c r="I146" s="264"/>
      <c r="J146" s="264"/>
      <c r="K146" s="265"/>
      <c r="L146" s="263" t="s">
        <v>38</v>
      </c>
      <c r="M146" s="264"/>
      <c r="N146" s="264"/>
      <c r="O146" s="264"/>
      <c r="P146" s="264"/>
      <c r="Q146" s="264"/>
      <c r="R146" s="264"/>
      <c r="S146" s="264"/>
      <c r="T146" s="286" t="s">
        <v>66</v>
      </c>
      <c r="U146" s="287"/>
      <c r="V146" s="309" t="s">
        <v>136</v>
      </c>
      <c r="W146" s="310"/>
      <c r="X146" s="310"/>
      <c r="Y146" s="311"/>
      <c r="Z146" s="263" t="s">
        <v>21</v>
      </c>
      <c r="AA146" s="277"/>
      <c r="AB146" s="277"/>
      <c r="AC146" s="277"/>
      <c r="AD146" s="277"/>
      <c r="AE146" s="263" t="s">
        <v>22</v>
      </c>
      <c r="AF146" s="277"/>
      <c r="AG146" s="277"/>
      <c r="AH146" s="280"/>
      <c r="AI146" s="263" t="s">
        <v>23</v>
      </c>
      <c r="AJ146" s="277"/>
      <c r="AK146" s="277"/>
      <c r="AL146" s="277"/>
      <c r="AM146" s="277"/>
      <c r="AN146" s="277"/>
      <c r="AO146" s="277"/>
      <c r="AP146" s="277"/>
      <c r="AQ146" s="263" t="s">
        <v>24</v>
      </c>
      <c r="AR146" s="277"/>
      <c r="AS146" s="277"/>
      <c r="AT146" s="277"/>
      <c r="AU146" s="277"/>
      <c r="AV146" s="277"/>
      <c r="AW146" s="277"/>
      <c r="AX146" s="277"/>
      <c r="AY146" s="280"/>
    </row>
    <row r="147" spans="1:51" ht="13.5" customHeight="1" x14ac:dyDescent="0.15">
      <c r="A147" s="1"/>
      <c r="B147" s="253" t="s">
        <v>62</v>
      </c>
      <c r="C147" s="253"/>
      <c r="D147" s="253" t="str">
        <f>IF(F6="NextGen","Nic1兼用","専用NICか兼用NICか選択ください")</f>
        <v>専用NICか兼用NICか選択ください</v>
      </c>
      <c r="E147" s="253"/>
      <c r="F147" s="253"/>
      <c r="G147" s="253"/>
      <c r="H147" s="253"/>
      <c r="I147" s="253"/>
      <c r="J147" s="253"/>
      <c r="K147" s="253"/>
      <c r="L147" s="125" t="s">
        <v>299</v>
      </c>
      <c r="M147" s="126"/>
      <c r="N147" s="126"/>
      <c r="O147" s="126"/>
      <c r="P147" s="126"/>
      <c r="Q147" s="126"/>
      <c r="R147" s="126"/>
      <c r="S147" s="193"/>
      <c r="T147" s="290" t="s">
        <v>206</v>
      </c>
      <c r="U147" s="66"/>
      <c r="V147" s="312" t="s">
        <v>71</v>
      </c>
      <c r="W147" s="313"/>
      <c r="X147" s="313"/>
      <c r="Y147" s="313"/>
      <c r="Z147" s="278" t="s">
        <v>298</v>
      </c>
      <c r="AA147" s="279"/>
      <c r="AB147" s="279"/>
      <c r="AC147" s="279"/>
      <c r="AD147" s="279"/>
      <c r="AE147" s="290" t="s">
        <v>298</v>
      </c>
      <c r="AF147" s="297"/>
      <c r="AG147" s="297"/>
      <c r="AH147" s="297"/>
      <c r="AI147" s="290" t="s">
        <v>298</v>
      </c>
      <c r="AJ147" s="298"/>
      <c r="AK147" s="298"/>
      <c r="AL147" s="298"/>
      <c r="AM147" s="298"/>
      <c r="AN147" s="298"/>
      <c r="AO147" s="298"/>
      <c r="AP147" s="299"/>
      <c r="AQ147" s="290" t="s">
        <v>107</v>
      </c>
      <c r="AR147" s="65"/>
      <c r="AS147" s="65"/>
      <c r="AT147" s="65"/>
      <c r="AU147" s="65"/>
      <c r="AV147" s="65"/>
      <c r="AW147" s="65"/>
      <c r="AX147" s="65"/>
      <c r="AY147" s="66"/>
    </row>
    <row r="148" spans="1:51" x14ac:dyDescent="0.15">
      <c r="A148" s="1"/>
      <c r="B148" s="261" t="s">
        <v>26</v>
      </c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260"/>
      <c r="U148" s="262"/>
      <c r="V148" s="269" t="str">
        <f>IF(T147="有","有効","無効")</f>
        <v>有効</v>
      </c>
      <c r="W148" s="270"/>
      <c r="X148" s="270"/>
      <c r="Y148" s="270"/>
      <c r="Z148" s="270"/>
      <c r="AA148" s="270"/>
      <c r="AB148" s="270"/>
      <c r="AC148" s="270"/>
      <c r="AD148" s="270"/>
      <c r="AE148" s="270"/>
      <c r="AF148" s="270"/>
      <c r="AG148" s="270"/>
      <c r="AH148" s="270"/>
      <c r="AI148" s="270"/>
      <c r="AJ148" s="270"/>
      <c r="AK148" s="270"/>
      <c r="AL148" s="270"/>
      <c r="AM148" s="270"/>
      <c r="AN148" s="270"/>
      <c r="AO148" s="270"/>
      <c r="AP148" s="270"/>
      <c r="AQ148" s="270"/>
      <c r="AR148" s="270"/>
      <c r="AS148" s="270"/>
      <c r="AT148" s="270"/>
      <c r="AU148" s="270"/>
      <c r="AV148" s="270"/>
      <c r="AW148" s="270"/>
      <c r="AX148" s="270"/>
      <c r="AY148" s="271"/>
    </row>
    <row r="149" spans="1:51" x14ac:dyDescent="0.15">
      <c r="A149" s="1"/>
      <c r="B149" s="41"/>
      <c r="C149" s="272" t="s">
        <v>27</v>
      </c>
      <c r="D149" s="272"/>
      <c r="E149" s="272"/>
      <c r="F149" s="272"/>
      <c r="G149" s="272"/>
      <c r="H149" s="272"/>
      <c r="I149" s="272"/>
      <c r="J149" s="272"/>
      <c r="K149" s="272"/>
      <c r="L149" s="272"/>
      <c r="M149" s="272"/>
      <c r="N149" s="272"/>
      <c r="O149" s="272"/>
      <c r="P149" s="272"/>
      <c r="Q149" s="272"/>
      <c r="R149" s="272"/>
      <c r="S149" s="272"/>
      <c r="T149" s="273"/>
      <c r="U149" s="273"/>
      <c r="V149" s="274" t="s">
        <v>371</v>
      </c>
      <c r="W149" s="275"/>
      <c r="X149" s="275"/>
      <c r="Y149" s="275"/>
      <c r="Z149" s="275"/>
      <c r="AA149" s="275"/>
      <c r="AB149" s="275"/>
      <c r="AC149" s="275"/>
      <c r="AD149" s="275"/>
      <c r="AE149" s="275"/>
      <c r="AF149" s="275"/>
      <c r="AG149" s="26"/>
      <c r="AH149" s="26"/>
      <c r="AI149" s="26" t="s">
        <v>204</v>
      </c>
      <c r="AJ149" s="276">
        <v>24</v>
      </c>
      <c r="AK149" s="276"/>
      <c r="AL149" s="276"/>
      <c r="AM149" s="276"/>
      <c r="AN149" s="276"/>
      <c r="AO149" s="276"/>
      <c r="AP149" s="276"/>
      <c r="AQ149" s="276"/>
      <c r="AR149" s="26" t="s">
        <v>205</v>
      </c>
      <c r="AS149" s="26"/>
      <c r="AT149" s="26"/>
      <c r="AU149" s="26"/>
      <c r="AV149" s="26"/>
      <c r="AW149" s="26"/>
      <c r="AX149" s="26"/>
      <c r="AY149" s="27"/>
    </row>
    <row r="150" spans="1:51" x14ac:dyDescent="0.15">
      <c r="A150" s="1"/>
      <c r="B150" s="41"/>
      <c r="C150" s="281" t="s">
        <v>28</v>
      </c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281"/>
      <c r="R150" s="281"/>
      <c r="S150" s="281"/>
      <c r="T150" s="282"/>
      <c r="U150" s="282"/>
      <c r="V150" s="300"/>
      <c r="W150" s="301"/>
      <c r="X150" s="301"/>
      <c r="Y150" s="301"/>
      <c r="Z150" s="301"/>
      <c r="AA150" s="301"/>
      <c r="AB150" s="301"/>
      <c r="AC150" s="301"/>
      <c r="AD150" s="301"/>
      <c r="AE150" s="301"/>
      <c r="AF150" s="301"/>
      <c r="AG150" s="301"/>
      <c r="AH150" s="301"/>
      <c r="AI150" s="301"/>
      <c r="AJ150" s="301"/>
      <c r="AK150" s="301"/>
      <c r="AL150" s="301"/>
      <c r="AM150" s="301"/>
      <c r="AN150" s="301"/>
      <c r="AO150" s="301"/>
      <c r="AP150" s="301"/>
      <c r="AQ150" s="301"/>
      <c r="AR150" s="301"/>
      <c r="AS150" s="301"/>
      <c r="AT150" s="301"/>
      <c r="AU150" s="301"/>
      <c r="AV150" s="301"/>
      <c r="AW150" s="301"/>
      <c r="AX150" s="301"/>
      <c r="AY150" s="302"/>
    </row>
    <row r="151" spans="1:51" x14ac:dyDescent="0.15">
      <c r="A151" s="1"/>
      <c r="B151" s="41"/>
      <c r="C151" s="281" t="s">
        <v>29</v>
      </c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281"/>
      <c r="R151" s="281"/>
      <c r="S151" s="281"/>
      <c r="T151" s="282"/>
      <c r="U151" s="282"/>
      <c r="V151" s="300"/>
      <c r="W151" s="301"/>
      <c r="X151" s="301"/>
      <c r="Y151" s="301"/>
      <c r="Z151" s="301"/>
      <c r="AA151" s="301"/>
      <c r="AB151" s="301"/>
      <c r="AC151" s="301"/>
      <c r="AD151" s="301"/>
      <c r="AE151" s="301"/>
      <c r="AF151" s="301"/>
      <c r="AG151" s="301"/>
      <c r="AH151" s="301"/>
      <c r="AI151" s="301"/>
      <c r="AJ151" s="301"/>
      <c r="AK151" s="301"/>
      <c r="AL151" s="301"/>
      <c r="AM151" s="301"/>
      <c r="AN151" s="301"/>
      <c r="AO151" s="301"/>
      <c r="AP151" s="301"/>
      <c r="AQ151" s="301"/>
      <c r="AR151" s="301"/>
      <c r="AS151" s="301"/>
      <c r="AT151" s="301"/>
      <c r="AU151" s="301"/>
      <c r="AV151" s="301"/>
      <c r="AW151" s="301"/>
      <c r="AX151" s="301"/>
      <c r="AY151" s="302"/>
    </row>
    <row r="152" spans="1:51" x14ac:dyDescent="0.15">
      <c r="A152" s="1"/>
      <c r="B152" s="40"/>
      <c r="C152" s="292" t="s">
        <v>30</v>
      </c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2"/>
      <c r="P152" s="292"/>
      <c r="Q152" s="292"/>
      <c r="R152" s="292"/>
      <c r="S152" s="292"/>
      <c r="T152" s="293"/>
      <c r="U152" s="293"/>
      <c r="V152" s="294"/>
      <c r="W152" s="295"/>
      <c r="X152" s="295"/>
      <c r="Y152" s="295"/>
      <c r="Z152" s="295"/>
      <c r="AA152" s="295"/>
      <c r="AB152" s="295"/>
      <c r="AC152" s="295"/>
      <c r="AD152" s="295"/>
      <c r="AE152" s="295"/>
      <c r="AF152" s="295"/>
      <c r="AG152" s="295"/>
      <c r="AH152" s="295"/>
      <c r="AI152" s="295"/>
      <c r="AJ152" s="295"/>
      <c r="AK152" s="295"/>
      <c r="AL152" s="295"/>
      <c r="AM152" s="295"/>
      <c r="AN152" s="295"/>
      <c r="AO152" s="295"/>
      <c r="AP152" s="295"/>
      <c r="AQ152" s="295"/>
      <c r="AR152" s="295"/>
      <c r="AS152" s="295"/>
      <c r="AT152" s="295"/>
      <c r="AU152" s="295"/>
      <c r="AV152" s="295"/>
      <c r="AW152" s="295"/>
      <c r="AX152" s="295"/>
      <c r="AY152" s="296"/>
    </row>
    <row r="153" spans="1:51" x14ac:dyDescent="0.15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15">
      <c r="A154" s="2" t="s">
        <v>140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1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15">
      <c r="A156" s="1"/>
      <c r="B156" s="2" t="s">
        <v>64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15">
      <c r="A157" s="1"/>
      <c r="B157" s="319" t="s">
        <v>88</v>
      </c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1"/>
      <c r="O157" s="100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  <c r="AM157" s="101"/>
      <c r="AN157" s="101"/>
      <c r="AO157" s="101"/>
      <c r="AP157" s="101"/>
      <c r="AQ157" s="101"/>
      <c r="AR157" s="101"/>
      <c r="AS157" s="101"/>
      <c r="AT157" s="101"/>
      <c r="AU157" s="101"/>
      <c r="AV157" s="101"/>
      <c r="AW157" s="101"/>
      <c r="AX157" s="101"/>
      <c r="AY157" s="102"/>
    </row>
    <row r="158" spans="1:51" x14ac:dyDescent="0.15">
      <c r="A158" s="1"/>
      <c r="B158" s="319" t="s">
        <v>65</v>
      </c>
      <c r="C158" s="320"/>
      <c r="D158" s="320"/>
      <c r="E158" s="320"/>
      <c r="F158" s="320"/>
      <c r="G158" s="320"/>
      <c r="H158" s="320"/>
      <c r="I158" s="320"/>
      <c r="J158" s="320"/>
      <c r="K158" s="320"/>
      <c r="L158" s="320"/>
      <c r="M158" s="320"/>
      <c r="N158" s="321"/>
      <c r="O158" s="100" t="s">
        <v>249</v>
      </c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  <c r="AM158" s="101"/>
      <c r="AN158" s="101"/>
      <c r="AO158" s="101"/>
      <c r="AP158" s="101"/>
      <c r="AQ158" s="101"/>
      <c r="AR158" s="101"/>
      <c r="AS158" s="101"/>
      <c r="AT158" s="101"/>
      <c r="AU158" s="101"/>
      <c r="AV158" s="101"/>
      <c r="AW158" s="101"/>
      <c r="AX158" s="101"/>
      <c r="AY158" s="102"/>
    </row>
    <row r="159" spans="1:51" x14ac:dyDescent="0.15">
      <c r="A159" s="1"/>
      <c r="B159" s="319" t="s">
        <v>105</v>
      </c>
      <c r="C159" s="320"/>
      <c r="D159" s="320"/>
      <c r="E159" s="320"/>
      <c r="F159" s="320"/>
      <c r="G159" s="320"/>
      <c r="H159" s="320"/>
      <c r="I159" s="320"/>
      <c r="J159" s="320"/>
      <c r="K159" s="320"/>
      <c r="L159" s="320"/>
      <c r="M159" s="320"/>
      <c r="N159" s="321"/>
      <c r="O159" s="100" t="s">
        <v>70</v>
      </c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  <c r="AM159" s="101"/>
      <c r="AN159" s="101"/>
      <c r="AO159" s="101"/>
      <c r="AP159" s="101"/>
      <c r="AQ159" s="101"/>
      <c r="AR159" s="101"/>
      <c r="AS159" s="101"/>
      <c r="AT159" s="101"/>
      <c r="AU159" s="101"/>
      <c r="AV159" s="101"/>
      <c r="AW159" s="101"/>
      <c r="AX159" s="101"/>
      <c r="AY159" s="102"/>
    </row>
    <row r="160" spans="1:51" x14ac:dyDescent="0.15">
      <c r="A160" s="1"/>
      <c r="B160" s="319" t="s">
        <v>89</v>
      </c>
      <c r="C160" s="320"/>
      <c r="D160" s="320"/>
      <c r="E160" s="320"/>
      <c r="F160" s="320"/>
      <c r="G160" s="320"/>
      <c r="H160" s="320"/>
      <c r="I160" s="320"/>
      <c r="J160" s="320"/>
      <c r="K160" s="320"/>
      <c r="L160" s="320"/>
      <c r="M160" s="320"/>
      <c r="N160" s="321"/>
      <c r="O160" s="100" t="s">
        <v>352</v>
      </c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  <c r="AM160" s="101"/>
      <c r="AN160" s="101"/>
      <c r="AO160" s="101"/>
      <c r="AP160" s="101"/>
      <c r="AQ160" s="101"/>
      <c r="AR160" s="101"/>
      <c r="AS160" s="101"/>
      <c r="AT160" s="101"/>
      <c r="AU160" s="101"/>
      <c r="AV160" s="101"/>
      <c r="AW160" s="101"/>
      <c r="AX160" s="101"/>
      <c r="AY160" s="102"/>
    </row>
    <row r="161" spans="1:5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15">
      <c r="A162" s="1"/>
      <c r="B162" s="2" t="s">
        <v>63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15">
      <c r="A163" s="1"/>
      <c r="B163" s="319" t="s">
        <v>104</v>
      </c>
      <c r="C163" s="320"/>
      <c r="D163" s="320"/>
      <c r="E163" s="320"/>
      <c r="F163" s="320"/>
      <c r="G163" s="320"/>
      <c r="H163" s="320"/>
      <c r="I163" s="320"/>
      <c r="J163" s="320"/>
      <c r="K163" s="320"/>
      <c r="L163" s="320"/>
      <c r="M163" s="320"/>
      <c r="N163" s="321"/>
      <c r="O163" s="100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  <c r="AN163" s="101"/>
      <c r="AO163" s="101"/>
      <c r="AP163" s="101"/>
      <c r="AQ163" s="101"/>
      <c r="AR163" s="101"/>
      <c r="AS163" s="101"/>
      <c r="AT163" s="101"/>
      <c r="AU163" s="101"/>
      <c r="AV163" s="101"/>
      <c r="AW163" s="101"/>
      <c r="AX163" s="101"/>
      <c r="AY163" s="102"/>
    </row>
    <row r="164" spans="1:51" x14ac:dyDescent="0.15">
      <c r="A164" s="1"/>
      <c r="B164" s="319" t="s">
        <v>68</v>
      </c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1"/>
      <c r="O164" s="100" t="s">
        <v>80</v>
      </c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  <c r="AM164" s="101"/>
      <c r="AN164" s="101"/>
      <c r="AO164" s="101"/>
      <c r="AP164" s="101"/>
      <c r="AQ164" s="101"/>
      <c r="AR164" s="101"/>
      <c r="AS164" s="101"/>
      <c r="AT164" s="101"/>
      <c r="AU164" s="101"/>
      <c r="AV164" s="101"/>
      <c r="AW164" s="101"/>
      <c r="AX164" s="101"/>
      <c r="AY164" s="102"/>
    </row>
    <row r="165" spans="1:51" x14ac:dyDescent="0.15">
      <c r="A165" s="1"/>
      <c r="B165" s="319" t="s">
        <v>68</v>
      </c>
      <c r="C165" s="320"/>
      <c r="D165" s="320"/>
      <c r="E165" s="320"/>
      <c r="F165" s="320"/>
      <c r="G165" s="320"/>
      <c r="H165" s="320"/>
      <c r="I165" s="320"/>
      <c r="J165" s="320"/>
      <c r="K165" s="320"/>
      <c r="L165" s="320"/>
      <c r="M165" s="320"/>
      <c r="N165" s="321"/>
      <c r="O165" s="100" t="s">
        <v>80</v>
      </c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  <c r="AM165" s="101"/>
      <c r="AN165" s="101"/>
      <c r="AO165" s="101"/>
      <c r="AP165" s="101"/>
      <c r="AQ165" s="101"/>
      <c r="AR165" s="101"/>
      <c r="AS165" s="101"/>
      <c r="AT165" s="101"/>
      <c r="AU165" s="101"/>
      <c r="AV165" s="101"/>
      <c r="AW165" s="101"/>
      <c r="AX165" s="101"/>
      <c r="AY165" s="102"/>
    </row>
    <row r="166" spans="1:51" x14ac:dyDescent="0.15">
      <c r="A166" s="1"/>
      <c r="B166" s="319" t="s">
        <v>68</v>
      </c>
      <c r="C166" s="320"/>
      <c r="D166" s="320"/>
      <c r="E166" s="320"/>
      <c r="F166" s="320"/>
      <c r="G166" s="320"/>
      <c r="H166" s="320"/>
      <c r="I166" s="320"/>
      <c r="J166" s="320"/>
      <c r="K166" s="320"/>
      <c r="L166" s="320"/>
      <c r="M166" s="320"/>
      <c r="N166" s="321"/>
      <c r="O166" s="100" t="s">
        <v>80</v>
      </c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  <c r="AM166" s="101"/>
      <c r="AN166" s="101"/>
      <c r="AO166" s="101"/>
      <c r="AP166" s="101"/>
      <c r="AQ166" s="101"/>
      <c r="AR166" s="101"/>
      <c r="AS166" s="101"/>
      <c r="AT166" s="101"/>
      <c r="AU166" s="101"/>
      <c r="AV166" s="101"/>
      <c r="AW166" s="101"/>
      <c r="AX166" s="101"/>
      <c r="AY166" s="102"/>
    </row>
    <row r="167" spans="1:5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15">
      <c r="A168" s="1"/>
      <c r="B168" s="2" t="s">
        <v>59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15">
      <c r="A169" s="1"/>
      <c r="B169" s="322" t="s">
        <v>297</v>
      </c>
      <c r="C169" s="323"/>
      <c r="D169" s="323"/>
      <c r="E169" s="323"/>
      <c r="F169" s="323"/>
      <c r="G169" s="323"/>
      <c r="H169" s="323"/>
      <c r="I169" s="323"/>
      <c r="J169" s="323"/>
      <c r="K169" s="323"/>
      <c r="L169" s="323"/>
      <c r="M169" s="323"/>
      <c r="N169" s="324"/>
      <c r="O169" s="322"/>
      <c r="P169" s="323"/>
      <c r="Q169" s="323"/>
      <c r="R169" s="323"/>
      <c r="S169" s="323"/>
      <c r="T169" s="323"/>
      <c r="U169" s="323"/>
      <c r="V169" s="323"/>
      <c r="W169" s="323"/>
      <c r="X169" s="323"/>
      <c r="Y169" s="323"/>
      <c r="Z169" s="323"/>
      <c r="AA169" s="323"/>
      <c r="AB169" s="323"/>
      <c r="AC169" s="323"/>
      <c r="AD169" s="323"/>
      <c r="AE169" s="323"/>
      <c r="AF169" s="323"/>
      <c r="AG169" s="323"/>
      <c r="AH169" s="323"/>
      <c r="AI169" s="323"/>
      <c r="AJ169" s="323"/>
      <c r="AK169" s="323"/>
      <c r="AL169" s="323"/>
      <c r="AM169" s="323"/>
      <c r="AN169" s="323"/>
      <c r="AO169" s="323"/>
      <c r="AP169" s="323"/>
      <c r="AQ169" s="323"/>
      <c r="AR169" s="323"/>
      <c r="AS169" s="323"/>
      <c r="AT169" s="323"/>
      <c r="AU169" s="323"/>
      <c r="AV169" s="323"/>
      <c r="AW169" s="323"/>
      <c r="AX169" s="323"/>
      <c r="AY169" s="324"/>
    </row>
    <row r="170" spans="1:51" x14ac:dyDescent="0.15">
      <c r="A170" s="1"/>
      <c r="B170" s="322" t="s">
        <v>296</v>
      </c>
      <c r="C170" s="323"/>
      <c r="D170" s="323"/>
      <c r="E170" s="323"/>
      <c r="F170" s="323"/>
      <c r="G170" s="323"/>
      <c r="H170" s="323"/>
      <c r="I170" s="323"/>
      <c r="J170" s="323"/>
      <c r="K170" s="323"/>
      <c r="L170" s="323"/>
      <c r="M170" s="323"/>
      <c r="N170" s="324"/>
      <c r="O170" s="322"/>
      <c r="P170" s="323"/>
      <c r="Q170" s="323"/>
      <c r="R170" s="323"/>
      <c r="S170" s="323"/>
      <c r="T170" s="323"/>
      <c r="U170" s="323"/>
      <c r="V170" s="323"/>
      <c r="W170" s="323"/>
      <c r="X170" s="323"/>
      <c r="Y170" s="323"/>
      <c r="Z170" s="323"/>
      <c r="AA170" s="323"/>
      <c r="AB170" s="323"/>
      <c r="AC170" s="323"/>
      <c r="AD170" s="323"/>
      <c r="AE170" s="323"/>
      <c r="AF170" s="323"/>
      <c r="AG170" s="323"/>
      <c r="AH170" s="323"/>
      <c r="AI170" s="323"/>
      <c r="AJ170" s="323"/>
      <c r="AK170" s="323"/>
      <c r="AL170" s="323"/>
      <c r="AM170" s="323"/>
      <c r="AN170" s="323"/>
      <c r="AO170" s="323"/>
      <c r="AP170" s="323"/>
      <c r="AQ170" s="323"/>
      <c r="AR170" s="323"/>
      <c r="AS170" s="323"/>
      <c r="AT170" s="323"/>
      <c r="AU170" s="323"/>
      <c r="AV170" s="323"/>
      <c r="AW170" s="323"/>
      <c r="AX170" s="323"/>
      <c r="AY170" s="324"/>
    </row>
    <row r="171" spans="1:51" x14ac:dyDescent="0.15">
      <c r="A171" s="1"/>
      <c r="B171" s="322" t="s">
        <v>295</v>
      </c>
      <c r="C171" s="323"/>
      <c r="D171" s="323"/>
      <c r="E171" s="323"/>
      <c r="F171" s="323"/>
      <c r="G171" s="323"/>
      <c r="H171" s="323"/>
      <c r="I171" s="323"/>
      <c r="J171" s="323"/>
      <c r="K171" s="323"/>
      <c r="L171" s="323"/>
      <c r="M171" s="323"/>
      <c r="N171" s="324"/>
      <c r="O171" s="322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323"/>
      <c r="AB171" s="323"/>
      <c r="AC171" s="323"/>
      <c r="AD171" s="323"/>
      <c r="AE171" s="323"/>
      <c r="AF171" s="323"/>
      <c r="AG171" s="323"/>
      <c r="AH171" s="323"/>
      <c r="AI171" s="323"/>
      <c r="AJ171" s="323"/>
      <c r="AK171" s="323"/>
      <c r="AL171" s="323"/>
      <c r="AM171" s="323"/>
      <c r="AN171" s="323"/>
      <c r="AO171" s="323"/>
      <c r="AP171" s="323"/>
      <c r="AQ171" s="323"/>
      <c r="AR171" s="323"/>
      <c r="AS171" s="323"/>
      <c r="AT171" s="323"/>
      <c r="AU171" s="323"/>
      <c r="AV171" s="323"/>
      <c r="AW171" s="323"/>
      <c r="AX171" s="323"/>
      <c r="AY171" s="324"/>
    </row>
    <row r="172" spans="1:51" x14ac:dyDescent="0.15">
      <c r="A172" s="1"/>
      <c r="B172" s="322" t="s">
        <v>32</v>
      </c>
      <c r="C172" s="323"/>
      <c r="D172" s="323"/>
      <c r="E172" s="323"/>
      <c r="F172" s="323"/>
      <c r="G172" s="323"/>
      <c r="H172" s="323"/>
      <c r="I172" s="323"/>
      <c r="J172" s="323"/>
      <c r="K172" s="323"/>
      <c r="L172" s="323"/>
      <c r="M172" s="323"/>
      <c r="N172" s="324"/>
      <c r="O172" s="322"/>
      <c r="P172" s="323"/>
      <c r="Q172" s="323"/>
      <c r="R172" s="323"/>
      <c r="S172" s="323"/>
      <c r="T172" s="323"/>
      <c r="U172" s="323"/>
      <c r="V172" s="323"/>
      <c r="W172" s="323"/>
      <c r="X172" s="323"/>
      <c r="Y172" s="323"/>
      <c r="Z172" s="323"/>
      <c r="AA172" s="323"/>
      <c r="AB172" s="323"/>
      <c r="AC172" s="323"/>
      <c r="AD172" s="323"/>
      <c r="AE172" s="323"/>
      <c r="AF172" s="323"/>
      <c r="AG172" s="323"/>
      <c r="AH172" s="323"/>
      <c r="AI172" s="323"/>
      <c r="AJ172" s="323"/>
      <c r="AK172" s="323"/>
      <c r="AL172" s="323"/>
      <c r="AM172" s="323"/>
      <c r="AN172" s="323"/>
      <c r="AO172" s="323"/>
      <c r="AP172" s="323"/>
      <c r="AQ172" s="323"/>
      <c r="AR172" s="323"/>
      <c r="AS172" s="323"/>
      <c r="AT172" s="323"/>
      <c r="AU172" s="323"/>
      <c r="AV172" s="323"/>
      <c r="AW172" s="323"/>
      <c r="AX172" s="323"/>
      <c r="AY172" s="324"/>
    </row>
    <row r="173" spans="1:51" x14ac:dyDescent="0.15">
      <c r="A173" s="1"/>
      <c r="B173" s="322" t="s">
        <v>290</v>
      </c>
      <c r="C173" s="323"/>
      <c r="D173" s="323"/>
      <c r="E173" s="323"/>
      <c r="F173" s="323"/>
      <c r="G173" s="323"/>
      <c r="H173" s="323"/>
      <c r="I173" s="323"/>
      <c r="J173" s="323"/>
      <c r="K173" s="323"/>
      <c r="L173" s="323"/>
      <c r="M173" s="323"/>
      <c r="N173" s="324"/>
      <c r="O173" s="322"/>
      <c r="P173" s="323"/>
      <c r="Q173" s="323"/>
      <c r="R173" s="323"/>
      <c r="S173" s="323"/>
      <c r="T173" s="323"/>
      <c r="U173" s="323"/>
      <c r="V173" s="323"/>
      <c r="W173" s="323"/>
      <c r="X173" s="323"/>
      <c r="Y173" s="323"/>
      <c r="Z173" s="323"/>
      <c r="AA173" s="323"/>
      <c r="AB173" s="323"/>
      <c r="AC173" s="323"/>
      <c r="AD173" s="323"/>
      <c r="AE173" s="323"/>
      <c r="AF173" s="323"/>
      <c r="AG173" s="323"/>
      <c r="AH173" s="323"/>
      <c r="AI173" s="323"/>
      <c r="AJ173" s="323"/>
      <c r="AK173" s="323"/>
      <c r="AL173" s="323"/>
      <c r="AM173" s="323"/>
      <c r="AN173" s="323"/>
      <c r="AO173" s="323"/>
      <c r="AP173" s="323"/>
      <c r="AQ173" s="323"/>
      <c r="AR173" s="323"/>
      <c r="AS173" s="323"/>
      <c r="AT173" s="323"/>
      <c r="AU173" s="323"/>
      <c r="AV173" s="323"/>
      <c r="AW173" s="323"/>
      <c r="AX173" s="323"/>
      <c r="AY173" s="324"/>
    </row>
    <row r="174" spans="1:51" x14ac:dyDescent="0.15">
      <c r="A174" s="1"/>
      <c r="B174" s="2" t="s">
        <v>219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15">
      <c r="A175" s="1"/>
      <c r="B175" s="112" t="s">
        <v>149</v>
      </c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4"/>
      <c r="O175" s="325" t="s">
        <v>294</v>
      </c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  <c r="AA175" s="326"/>
      <c r="AB175" s="326"/>
      <c r="AC175" s="326"/>
      <c r="AD175" s="326"/>
      <c r="AE175" s="326"/>
      <c r="AF175" s="326"/>
      <c r="AG175" s="326"/>
      <c r="AH175" s="326"/>
      <c r="AI175" s="326"/>
      <c r="AJ175" s="326"/>
      <c r="AK175" s="326"/>
      <c r="AL175" s="326"/>
      <c r="AM175" s="326"/>
      <c r="AN175" s="326"/>
      <c r="AO175" s="326"/>
      <c r="AP175" s="326"/>
      <c r="AQ175" s="326"/>
      <c r="AR175" s="326"/>
      <c r="AS175" s="326"/>
      <c r="AT175" s="326"/>
      <c r="AU175" s="326"/>
      <c r="AV175" s="326"/>
      <c r="AW175" s="326"/>
      <c r="AX175" s="326"/>
      <c r="AY175" s="327"/>
    </row>
    <row r="176" spans="1:51" x14ac:dyDescent="0.15">
      <c r="A176" s="1"/>
      <c r="B176" s="112" t="s">
        <v>150</v>
      </c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4"/>
      <c r="O176" s="325" t="s">
        <v>293</v>
      </c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  <c r="AA176" s="326"/>
      <c r="AB176" s="326"/>
      <c r="AC176" s="326"/>
      <c r="AD176" s="326"/>
      <c r="AE176" s="326"/>
      <c r="AF176" s="326"/>
      <c r="AG176" s="326"/>
      <c r="AH176" s="326"/>
      <c r="AI176" s="326"/>
      <c r="AJ176" s="326"/>
      <c r="AK176" s="326"/>
      <c r="AL176" s="326"/>
      <c r="AM176" s="326"/>
      <c r="AN176" s="326"/>
      <c r="AO176" s="326"/>
      <c r="AP176" s="326"/>
      <c r="AQ176" s="326"/>
      <c r="AR176" s="326"/>
      <c r="AS176" s="326"/>
      <c r="AT176" s="326"/>
      <c r="AU176" s="326"/>
      <c r="AV176" s="326"/>
      <c r="AW176" s="326"/>
      <c r="AX176" s="326"/>
      <c r="AY176" s="327"/>
    </row>
    <row r="177" spans="1:51" x14ac:dyDescent="0.15">
      <c r="A177" s="1"/>
      <c r="B177" s="99" t="s">
        <v>151</v>
      </c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325" t="s">
        <v>292</v>
      </c>
      <c r="P177" s="326"/>
      <c r="Q177" s="326"/>
      <c r="R177" s="326"/>
      <c r="S177" s="326"/>
      <c r="T177" s="326"/>
      <c r="U177" s="326"/>
      <c r="V177" s="326"/>
      <c r="W177" s="326"/>
      <c r="X177" s="326"/>
      <c r="Y177" s="326"/>
      <c r="Z177" s="326"/>
      <c r="AA177" s="326"/>
      <c r="AB177" s="326"/>
      <c r="AC177" s="326"/>
      <c r="AD177" s="326"/>
      <c r="AE177" s="326"/>
      <c r="AF177" s="326"/>
      <c r="AG177" s="326"/>
      <c r="AH177" s="326"/>
      <c r="AI177" s="326"/>
      <c r="AJ177" s="326"/>
      <c r="AK177" s="326"/>
      <c r="AL177" s="326"/>
      <c r="AM177" s="326"/>
      <c r="AN177" s="326"/>
      <c r="AO177" s="326"/>
      <c r="AP177" s="326"/>
      <c r="AQ177" s="326"/>
      <c r="AR177" s="326"/>
      <c r="AS177" s="326"/>
      <c r="AT177" s="326"/>
      <c r="AU177" s="326"/>
      <c r="AV177" s="326"/>
      <c r="AW177" s="326"/>
      <c r="AX177" s="326"/>
      <c r="AY177" s="327"/>
    </row>
    <row r="178" spans="1:51" x14ac:dyDescent="0.15">
      <c r="A178" s="1"/>
      <c r="B178" s="103" t="s">
        <v>32</v>
      </c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325" t="s">
        <v>291</v>
      </c>
      <c r="P178" s="326"/>
      <c r="Q178" s="326"/>
      <c r="R178" s="326"/>
      <c r="S178" s="326"/>
      <c r="T178" s="326"/>
      <c r="U178" s="326"/>
      <c r="V178" s="326"/>
      <c r="W178" s="326"/>
      <c r="X178" s="326"/>
      <c r="Y178" s="326"/>
      <c r="Z178" s="326"/>
      <c r="AA178" s="326"/>
      <c r="AB178" s="326"/>
      <c r="AC178" s="326"/>
      <c r="AD178" s="326"/>
      <c r="AE178" s="326"/>
      <c r="AF178" s="326"/>
      <c r="AG178" s="326"/>
      <c r="AH178" s="326"/>
      <c r="AI178" s="326"/>
      <c r="AJ178" s="326"/>
      <c r="AK178" s="326"/>
      <c r="AL178" s="326"/>
      <c r="AM178" s="326"/>
      <c r="AN178" s="326"/>
      <c r="AO178" s="326"/>
      <c r="AP178" s="326"/>
      <c r="AQ178" s="326"/>
      <c r="AR178" s="326"/>
      <c r="AS178" s="326"/>
      <c r="AT178" s="326"/>
      <c r="AU178" s="326"/>
      <c r="AV178" s="326"/>
      <c r="AW178" s="326"/>
      <c r="AX178" s="326"/>
      <c r="AY178" s="327"/>
    </row>
    <row r="179" spans="1:51" x14ac:dyDescent="0.15">
      <c r="A179" s="1"/>
      <c r="B179" s="103" t="s">
        <v>290</v>
      </c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325" t="s">
        <v>80</v>
      </c>
      <c r="P179" s="326"/>
      <c r="Q179" s="326"/>
      <c r="R179" s="326"/>
      <c r="S179" s="326"/>
      <c r="T179" s="326"/>
      <c r="U179" s="326"/>
      <c r="V179" s="326"/>
      <c r="W179" s="326"/>
      <c r="X179" s="326"/>
      <c r="Y179" s="326"/>
      <c r="Z179" s="326"/>
      <c r="AA179" s="326"/>
      <c r="AB179" s="326"/>
      <c r="AC179" s="326"/>
      <c r="AD179" s="326"/>
      <c r="AE179" s="326"/>
      <c r="AF179" s="326"/>
      <c r="AG179" s="326"/>
      <c r="AH179" s="326"/>
      <c r="AI179" s="326"/>
      <c r="AJ179" s="326"/>
      <c r="AK179" s="326"/>
      <c r="AL179" s="326"/>
      <c r="AM179" s="326"/>
      <c r="AN179" s="326"/>
      <c r="AO179" s="326"/>
      <c r="AP179" s="326"/>
      <c r="AQ179" s="326"/>
      <c r="AR179" s="326"/>
      <c r="AS179" s="326"/>
      <c r="AT179" s="326"/>
      <c r="AU179" s="326"/>
      <c r="AV179" s="326"/>
      <c r="AW179" s="326"/>
      <c r="AX179" s="326"/>
      <c r="AY179" s="327"/>
    </row>
    <row r="180" spans="1:51" x14ac:dyDescent="0.15">
      <c r="A180" s="1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</row>
    <row r="181" spans="1:51" x14ac:dyDescent="0.15">
      <c r="A181" s="1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</row>
    <row r="182" spans="1:5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15">
      <c r="A183" s="1"/>
      <c r="B183" s="2" t="s">
        <v>33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15">
      <c r="A184" s="1"/>
      <c r="B184" s="334" t="s">
        <v>34</v>
      </c>
      <c r="C184" s="335"/>
      <c r="D184" s="335"/>
      <c r="E184" s="335"/>
      <c r="F184" s="335"/>
      <c r="G184" s="335"/>
      <c r="H184" s="335"/>
      <c r="I184" s="335"/>
      <c r="J184" s="335"/>
      <c r="K184" s="335"/>
      <c r="L184" s="335"/>
      <c r="M184" s="335"/>
      <c r="N184" s="336"/>
      <c r="O184" s="337" t="s">
        <v>247</v>
      </c>
      <c r="P184" s="338"/>
      <c r="Q184" s="338"/>
      <c r="R184" s="338"/>
      <c r="S184" s="338"/>
      <c r="T184" s="338"/>
      <c r="U184" s="338"/>
      <c r="V184" s="338"/>
      <c r="W184" s="338"/>
      <c r="X184" s="338"/>
      <c r="Y184" s="338"/>
      <c r="Z184" s="338"/>
      <c r="AA184" s="338"/>
      <c r="AB184" s="338"/>
      <c r="AC184" s="338"/>
      <c r="AD184" s="338"/>
      <c r="AE184" s="338"/>
      <c r="AF184" s="338"/>
      <c r="AG184" s="338"/>
      <c r="AH184" s="338"/>
      <c r="AI184" s="338"/>
      <c r="AJ184" s="338"/>
      <c r="AK184" s="338"/>
      <c r="AL184" s="338"/>
      <c r="AM184" s="338"/>
      <c r="AN184" s="338"/>
      <c r="AO184" s="338"/>
      <c r="AP184" s="338"/>
      <c r="AQ184" s="338"/>
      <c r="AR184" s="338"/>
      <c r="AS184" s="338"/>
      <c r="AT184" s="338"/>
      <c r="AU184" s="338"/>
      <c r="AV184" s="338"/>
      <c r="AW184" s="338"/>
      <c r="AX184" s="338"/>
      <c r="AY184" s="339"/>
    </row>
    <row r="185" spans="1:51" x14ac:dyDescent="0.15">
      <c r="A185" s="1"/>
      <c r="B185" s="340" t="s">
        <v>101</v>
      </c>
      <c r="C185" s="320"/>
      <c r="D185" s="320"/>
      <c r="E185" s="320"/>
      <c r="F185" s="320"/>
      <c r="G185" s="320"/>
      <c r="H185" s="320"/>
      <c r="I185" s="320"/>
      <c r="J185" s="320"/>
      <c r="K185" s="320"/>
      <c r="L185" s="320"/>
      <c r="M185" s="320"/>
      <c r="N185" s="321"/>
      <c r="O185" s="389" t="s">
        <v>244</v>
      </c>
      <c r="P185" s="390"/>
      <c r="Q185" s="390"/>
      <c r="R185" s="390"/>
      <c r="S185" s="390"/>
      <c r="T185" s="390"/>
      <c r="U185" s="390"/>
      <c r="V185" s="390"/>
      <c r="W185" s="390"/>
      <c r="X185" s="390"/>
      <c r="Y185" s="390"/>
      <c r="Z185" s="390"/>
      <c r="AA185" s="391"/>
      <c r="AB185" s="391"/>
      <c r="AC185" s="391"/>
      <c r="AD185" s="391"/>
      <c r="AE185" s="391"/>
      <c r="AF185" s="391"/>
      <c r="AG185" s="391"/>
      <c r="AH185" s="391"/>
      <c r="AI185" s="392" t="s">
        <v>243</v>
      </c>
      <c r="AJ185" s="392"/>
      <c r="AK185" s="392"/>
      <c r="AL185" s="392"/>
      <c r="AM185" s="392"/>
      <c r="AN185" s="392"/>
      <c r="AO185" s="392"/>
      <c r="AP185" s="392"/>
      <c r="AQ185" s="392"/>
      <c r="AR185" s="392"/>
      <c r="AS185" s="392"/>
      <c r="AT185" s="392"/>
      <c r="AU185" s="392"/>
      <c r="AV185" s="392"/>
      <c r="AW185" s="392"/>
      <c r="AX185" s="392"/>
      <c r="AY185" s="393"/>
    </row>
    <row r="186" spans="1:51" x14ac:dyDescent="0.15">
      <c r="A186" s="1"/>
      <c r="B186" s="9"/>
      <c r="C186" s="350" t="s">
        <v>52</v>
      </c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94" t="s">
        <v>245</v>
      </c>
      <c r="P186" s="395"/>
      <c r="Q186" s="395"/>
      <c r="R186" s="395"/>
      <c r="S186" s="395"/>
      <c r="T186" s="395"/>
      <c r="U186" s="395"/>
      <c r="V186" s="395"/>
      <c r="W186" s="395"/>
      <c r="X186" s="395"/>
      <c r="Y186" s="395"/>
      <c r="Z186" s="395"/>
      <c r="AA186" s="396"/>
      <c r="AB186" s="396"/>
      <c r="AC186" s="396"/>
      <c r="AD186" s="396"/>
      <c r="AE186" s="396"/>
      <c r="AF186" s="396"/>
      <c r="AG186" s="396"/>
      <c r="AH186" s="396"/>
      <c r="AI186" s="397" t="s">
        <v>246</v>
      </c>
      <c r="AJ186" s="397"/>
      <c r="AK186" s="397"/>
      <c r="AL186" s="397"/>
      <c r="AM186" s="397"/>
      <c r="AN186" s="397"/>
      <c r="AO186" s="397"/>
      <c r="AP186" s="397"/>
      <c r="AQ186" s="397"/>
      <c r="AR186" s="397"/>
      <c r="AS186" s="397"/>
      <c r="AT186" s="397"/>
      <c r="AU186" s="358"/>
      <c r="AV186" s="358"/>
      <c r="AW186" s="358"/>
      <c r="AX186" s="358"/>
      <c r="AY186" s="359"/>
    </row>
    <row r="187" spans="1:51" x14ac:dyDescent="0.15">
      <c r="A187" s="1"/>
      <c r="B187" s="8"/>
      <c r="C187" s="351" t="s">
        <v>282</v>
      </c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60"/>
      <c r="P187" s="361"/>
      <c r="Q187" s="361"/>
      <c r="R187" s="361"/>
      <c r="S187" s="361"/>
      <c r="T187" s="361"/>
      <c r="U187" s="361"/>
      <c r="V187" s="361"/>
      <c r="W187" s="361"/>
      <c r="X187" s="361"/>
      <c r="Y187" s="361"/>
      <c r="Z187" s="361"/>
      <c r="AA187" s="361"/>
      <c r="AB187" s="361"/>
      <c r="AC187" s="361"/>
      <c r="AD187" s="361"/>
      <c r="AE187" s="33" t="s">
        <v>248</v>
      </c>
      <c r="AF187" s="101"/>
      <c r="AG187" s="101"/>
      <c r="AH187" s="101"/>
      <c r="AI187" s="101"/>
      <c r="AJ187" s="101"/>
      <c r="AK187" s="101"/>
      <c r="AL187" s="101"/>
      <c r="AM187" s="101"/>
      <c r="AN187" s="101"/>
      <c r="AO187" s="101"/>
      <c r="AP187" s="101"/>
      <c r="AQ187" s="101"/>
      <c r="AR187" s="101"/>
      <c r="AS187" s="101"/>
      <c r="AT187" s="101"/>
      <c r="AU187" s="101"/>
      <c r="AV187" s="101"/>
      <c r="AW187" s="101"/>
      <c r="AX187" s="101"/>
      <c r="AY187" s="102"/>
    </row>
    <row r="188" spans="1:51" x14ac:dyDescent="0.15">
      <c r="A188" s="1"/>
      <c r="B188" s="352" t="s">
        <v>35</v>
      </c>
      <c r="C188" s="353"/>
      <c r="D188" s="353"/>
      <c r="E188" s="353"/>
      <c r="F188" s="353"/>
      <c r="G188" s="353"/>
      <c r="H188" s="353"/>
      <c r="I188" s="353"/>
      <c r="J188" s="353"/>
      <c r="K188" s="353"/>
      <c r="L188" s="353"/>
      <c r="M188" s="353"/>
      <c r="N188" s="354"/>
      <c r="O188" s="355" t="s">
        <v>60</v>
      </c>
      <c r="P188" s="356"/>
      <c r="Q188" s="356"/>
      <c r="R188" s="356"/>
      <c r="S188" s="356"/>
      <c r="T188" s="356"/>
      <c r="U188" s="356"/>
      <c r="V188" s="356"/>
      <c r="W188" s="356"/>
      <c r="X188" s="356"/>
      <c r="Y188" s="356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7"/>
    </row>
    <row r="189" spans="1:51" x14ac:dyDescent="0.15">
      <c r="A189" s="1"/>
      <c r="B189" s="8"/>
      <c r="C189" s="341" t="s">
        <v>36</v>
      </c>
      <c r="D189" s="342"/>
      <c r="E189" s="342"/>
      <c r="F189" s="342"/>
      <c r="G189" s="342"/>
      <c r="H189" s="342"/>
      <c r="I189" s="342"/>
      <c r="J189" s="342"/>
      <c r="K189" s="342"/>
      <c r="L189" s="342"/>
      <c r="M189" s="342"/>
      <c r="N189" s="343"/>
      <c r="O189" s="325" t="s">
        <v>208</v>
      </c>
      <c r="P189" s="326"/>
      <c r="Q189" s="326"/>
      <c r="R189" s="326"/>
      <c r="S189" s="326"/>
      <c r="T189" s="326"/>
      <c r="U189" s="326"/>
      <c r="V189" s="326"/>
      <c r="W189" s="326"/>
      <c r="X189" s="326"/>
      <c r="Y189" s="326"/>
      <c r="Z189" s="326"/>
      <c r="AA189" s="326"/>
      <c r="AB189" s="326"/>
      <c r="AC189" s="326"/>
      <c r="AD189" s="326"/>
      <c r="AE189" s="326"/>
      <c r="AF189" s="326"/>
      <c r="AG189" s="326"/>
      <c r="AH189" s="326"/>
      <c r="AI189" s="326"/>
      <c r="AJ189" s="326"/>
      <c r="AK189" s="326"/>
      <c r="AL189" s="326"/>
      <c r="AM189" s="326"/>
      <c r="AN189" s="326"/>
      <c r="AO189" s="326"/>
      <c r="AP189" s="326"/>
      <c r="AQ189" s="326"/>
      <c r="AR189" s="326"/>
      <c r="AS189" s="326"/>
      <c r="AT189" s="326"/>
      <c r="AU189" s="326"/>
      <c r="AV189" s="326"/>
      <c r="AW189" s="326"/>
      <c r="AX189" s="326"/>
      <c r="AY189" s="327"/>
    </row>
    <row r="190" spans="1:51" x14ac:dyDescent="0.15">
      <c r="A190" s="1"/>
      <c r="B190" s="12"/>
      <c r="C190" s="344" t="s">
        <v>45</v>
      </c>
      <c r="D190" s="345"/>
      <c r="E190" s="345"/>
      <c r="F190" s="345"/>
      <c r="G190" s="345"/>
      <c r="H190" s="345"/>
      <c r="I190" s="345"/>
      <c r="J190" s="345"/>
      <c r="K190" s="345"/>
      <c r="L190" s="345"/>
      <c r="M190" s="345"/>
      <c r="N190" s="345"/>
      <c r="O190" s="344" t="s">
        <v>218</v>
      </c>
      <c r="P190" s="345"/>
      <c r="Q190" s="345"/>
      <c r="R190" s="345"/>
      <c r="S190" s="345"/>
      <c r="T190" s="345"/>
      <c r="U190" s="345"/>
      <c r="V190" s="345"/>
      <c r="W190" s="345"/>
      <c r="X190" s="345"/>
      <c r="Y190" s="345"/>
      <c r="Z190" s="345"/>
      <c r="AA190" s="346"/>
      <c r="AB190" s="347" t="s">
        <v>46</v>
      </c>
      <c r="AC190" s="348"/>
      <c r="AD190" s="348"/>
      <c r="AE190" s="348"/>
      <c r="AF190" s="348"/>
      <c r="AG190" s="348"/>
      <c r="AH190" s="348"/>
      <c r="AI190" s="348"/>
      <c r="AJ190" s="348"/>
      <c r="AK190" s="349"/>
      <c r="AL190" s="121" t="s">
        <v>276</v>
      </c>
      <c r="AM190" s="122"/>
      <c r="AN190" s="122"/>
      <c r="AO190" s="122"/>
      <c r="AP190" s="122"/>
      <c r="AQ190" s="122"/>
      <c r="AR190" s="122"/>
      <c r="AS190" s="122"/>
      <c r="AT190" s="122"/>
      <c r="AU190" s="122"/>
      <c r="AV190" s="122"/>
      <c r="AW190" s="122"/>
      <c r="AX190" s="122"/>
      <c r="AY190" s="255"/>
    </row>
    <row r="191" spans="1:51" x14ac:dyDescent="0.15">
      <c r="A191" s="1"/>
      <c r="B191" s="328" t="s">
        <v>102</v>
      </c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30"/>
      <c r="O191" s="331" t="s">
        <v>42</v>
      </c>
      <c r="P191" s="332"/>
      <c r="Q191" s="332"/>
      <c r="R191" s="332"/>
      <c r="S191" s="332"/>
      <c r="T191" s="332"/>
      <c r="U191" s="332"/>
      <c r="V191" s="332"/>
      <c r="W191" s="332"/>
      <c r="X191" s="332"/>
      <c r="Y191" s="332"/>
      <c r="Z191" s="332"/>
      <c r="AA191" s="332"/>
      <c r="AB191" s="332"/>
      <c r="AC191" s="332"/>
      <c r="AD191" s="332"/>
      <c r="AE191" s="332"/>
      <c r="AF191" s="332"/>
      <c r="AG191" s="332"/>
      <c r="AH191" s="332"/>
      <c r="AI191" s="332"/>
      <c r="AJ191" s="332"/>
      <c r="AK191" s="332"/>
      <c r="AL191" s="332"/>
      <c r="AM191" s="332"/>
      <c r="AN191" s="332"/>
      <c r="AO191" s="332"/>
      <c r="AP191" s="332"/>
      <c r="AQ191" s="332"/>
      <c r="AR191" s="332"/>
      <c r="AS191" s="332"/>
      <c r="AT191" s="332"/>
      <c r="AU191" s="332"/>
      <c r="AV191" s="332"/>
      <c r="AW191" s="332"/>
      <c r="AX191" s="332"/>
      <c r="AY191" s="333"/>
    </row>
    <row r="192" spans="1:51" x14ac:dyDescent="0.15">
      <c r="A192" s="1"/>
      <c r="B192" s="37"/>
      <c r="C192" s="372" t="s">
        <v>103</v>
      </c>
      <c r="D192" s="373"/>
      <c r="E192" s="373"/>
      <c r="F192" s="373"/>
      <c r="G192" s="373"/>
      <c r="H192" s="373"/>
      <c r="I192" s="373"/>
      <c r="J192" s="373"/>
      <c r="K192" s="373"/>
      <c r="L192" s="373"/>
      <c r="M192" s="373"/>
      <c r="N192" s="374"/>
      <c r="O192" s="328" t="s">
        <v>218</v>
      </c>
      <c r="P192" s="329"/>
      <c r="Q192" s="329"/>
      <c r="R192" s="329"/>
      <c r="S192" s="329"/>
      <c r="T192" s="329"/>
      <c r="U192" s="329"/>
      <c r="V192" s="329"/>
      <c r="W192" s="329"/>
      <c r="X192" s="329"/>
      <c r="Y192" s="329"/>
      <c r="Z192" s="329"/>
      <c r="AA192" s="330"/>
      <c r="AB192" s="372" t="s">
        <v>43</v>
      </c>
      <c r="AC192" s="373"/>
      <c r="AD192" s="373"/>
      <c r="AE192" s="373"/>
      <c r="AF192" s="373"/>
      <c r="AG192" s="373"/>
      <c r="AH192" s="373"/>
      <c r="AI192" s="373"/>
      <c r="AJ192" s="373"/>
      <c r="AK192" s="374"/>
      <c r="AL192" s="372" t="s">
        <v>44</v>
      </c>
      <c r="AM192" s="373"/>
      <c r="AN192" s="373"/>
      <c r="AO192" s="373"/>
      <c r="AP192" s="373"/>
      <c r="AQ192" s="373"/>
      <c r="AR192" s="373"/>
      <c r="AS192" s="373"/>
      <c r="AT192" s="373"/>
      <c r="AU192" s="373"/>
      <c r="AV192" s="373"/>
      <c r="AW192" s="373"/>
      <c r="AX192" s="373"/>
      <c r="AY192" s="374"/>
    </row>
    <row r="193" spans="1:52" x14ac:dyDescent="0.15">
      <c r="A193" s="1"/>
      <c r="B193" s="375" t="s">
        <v>236</v>
      </c>
      <c r="C193" s="376"/>
      <c r="D193" s="376"/>
      <c r="E193" s="376"/>
      <c r="F193" s="376"/>
      <c r="G193" s="376"/>
      <c r="H193" s="376"/>
      <c r="I193" s="376"/>
      <c r="J193" s="376"/>
      <c r="K193" s="376"/>
      <c r="L193" s="377"/>
      <c r="M193" s="347">
        <f>O17</f>
        <v>80</v>
      </c>
      <c r="N193" s="349"/>
      <c r="O193" s="347" t="s">
        <v>210</v>
      </c>
      <c r="P193" s="348"/>
      <c r="Q193" s="348"/>
      <c r="R193" s="349"/>
      <c r="S193" s="378" t="s">
        <v>211</v>
      </c>
      <c r="T193" s="378"/>
      <c r="U193" s="378"/>
      <c r="V193" s="378"/>
      <c r="W193" s="378"/>
      <c r="X193" s="378"/>
      <c r="Y193" s="378"/>
      <c r="Z193" s="378"/>
      <c r="AA193" s="379"/>
      <c r="AB193" s="362" t="s">
        <v>278</v>
      </c>
      <c r="AC193" s="363"/>
      <c r="AD193" s="364" t="s">
        <v>212</v>
      </c>
      <c r="AE193" s="365"/>
      <c r="AF193" s="365"/>
      <c r="AG193" s="366"/>
      <c r="AH193" s="362" t="s">
        <v>271</v>
      </c>
      <c r="AI193" s="363"/>
      <c r="AJ193" s="363"/>
      <c r="AK193" s="363"/>
      <c r="AL193" s="363"/>
      <c r="AM193" s="363"/>
      <c r="AN193" s="363"/>
      <c r="AO193" s="363"/>
      <c r="AP193" s="363"/>
      <c r="AQ193" s="363"/>
      <c r="AR193" s="364" t="s">
        <v>39</v>
      </c>
      <c r="AS193" s="365"/>
      <c r="AT193" s="365"/>
      <c r="AU193" s="366"/>
      <c r="AV193" s="362" t="s">
        <v>71</v>
      </c>
      <c r="AW193" s="363"/>
      <c r="AX193" s="363"/>
      <c r="AY193" s="363"/>
    </row>
    <row r="194" spans="1:52" ht="13.5" customHeight="1" x14ac:dyDescent="0.15">
      <c r="A194" s="1"/>
      <c r="B194" s="6"/>
      <c r="C194" s="383" t="s">
        <v>213</v>
      </c>
      <c r="D194" s="384"/>
      <c r="E194" s="384"/>
      <c r="F194" s="384"/>
      <c r="G194" s="384"/>
      <c r="H194" s="384"/>
      <c r="I194" s="384"/>
      <c r="J194" s="384"/>
      <c r="K194" s="384"/>
      <c r="L194" s="384"/>
      <c r="M194" s="367">
        <f t="shared" ref="M194:M205" si="0">IF(OR($M$193&gt;(AZ194-1),$F$6="NextGen/LA6000"),AZ194,"")</f>
        <v>1</v>
      </c>
      <c r="N194" s="368"/>
      <c r="O194" s="369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  <c r="AA194" s="370"/>
      <c r="AB194" s="370"/>
      <c r="AC194" s="371"/>
      <c r="AD194" s="369"/>
      <c r="AE194" s="370"/>
      <c r="AF194" s="370"/>
      <c r="AG194" s="370"/>
      <c r="AH194" s="370"/>
      <c r="AI194" s="370"/>
      <c r="AJ194" s="370"/>
      <c r="AK194" s="370"/>
      <c r="AL194" s="370"/>
      <c r="AM194" s="370"/>
      <c r="AN194" s="370"/>
      <c r="AO194" s="370"/>
      <c r="AP194" s="370"/>
      <c r="AQ194" s="371"/>
      <c r="AR194" s="369"/>
      <c r="AS194" s="370"/>
      <c r="AT194" s="370"/>
      <c r="AU194" s="370"/>
      <c r="AV194" s="370"/>
      <c r="AW194" s="370"/>
      <c r="AX194" s="370"/>
      <c r="AY194" s="371"/>
      <c r="AZ194" s="16">
        <v>1</v>
      </c>
    </row>
    <row r="195" spans="1:52" ht="14.25" customHeight="1" x14ac:dyDescent="0.15">
      <c r="A195" s="1"/>
      <c r="B195" s="6"/>
      <c r="C195" s="385"/>
      <c r="D195" s="386"/>
      <c r="E195" s="386"/>
      <c r="F195" s="386"/>
      <c r="G195" s="386"/>
      <c r="H195" s="386"/>
      <c r="I195" s="386"/>
      <c r="J195" s="386"/>
      <c r="K195" s="386"/>
      <c r="L195" s="386"/>
      <c r="M195" s="367">
        <f t="shared" si="0"/>
        <v>2</v>
      </c>
      <c r="N195" s="368"/>
      <c r="O195" s="369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  <c r="AA195" s="370"/>
      <c r="AB195" s="370"/>
      <c r="AC195" s="371"/>
      <c r="AD195" s="369"/>
      <c r="AE195" s="370"/>
      <c r="AF195" s="370"/>
      <c r="AG195" s="370"/>
      <c r="AH195" s="370"/>
      <c r="AI195" s="370"/>
      <c r="AJ195" s="370"/>
      <c r="AK195" s="370"/>
      <c r="AL195" s="370"/>
      <c r="AM195" s="370"/>
      <c r="AN195" s="370"/>
      <c r="AO195" s="370"/>
      <c r="AP195" s="370"/>
      <c r="AQ195" s="371"/>
      <c r="AR195" s="369"/>
      <c r="AS195" s="370"/>
      <c r="AT195" s="370"/>
      <c r="AU195" s="370"/>
      <c r="AV195" s="370"/>
      <c r="AW195" s="370"/>
      <c r="AX195" s="370"/>
      <c r="AY195" s="371"/>
      <c r="AZ195" s="16">
        <v>2</v>
      </c>
    </row>
    <row r="196" spans="1:52" ht="14.25" customHeight="1" x14ac:dyDescent="0.15">
      <c r="A196" s="1"/>
      <c r="B196" s="6"/>
      <c r="C196" s="385"/>
      <c r="D196" s="386"/>
      <c r="E196" s="386"/>
      <c r="F196" s="386"/>
      <c r="G196" s="386"/>
      <c r="H196" s="386"/>
      <c r="I196" s="386"/>
      <c r="J196" s="386"/>
      <c r="K196" s="386"/>
      <c r="L196" s="386"/>
      <c r="M196" s="367">
        <f t="shared" si="0"/>
        <v>3</v>
      </c>
      <c r="N196" s="368"/>
      <c r="O196" s="369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  <c r="AA196" s="370"/>
      <c r="AB196" s="370"/>
      <c r="AC196" s="371"/>
      <c r="AD196" s="369"/>
      <c r="AE196" s="370"/>
      <c r="AF196" s="370"/>
      <c r="AG196" s="370"/>
      <c r="AH196" s="370"/>
      <c r="AI196" s="370"/>
      <c r="AJ196" s="370"/>
      <c r="AK196" s="370"/>
      <c r="AL196" s="370"/>
      <c r="AM196" s="370"/>
      <c r="AN196" s="370"/>
      <c r="AO196" s="370"/>
      <c r="AP196" s="370"/>
      <c r="AQ196" s="371"/>
      <c r="AR196" s="369"/>
      <c r="AS196" s="370"/>
      <c r="AT196" s="370"/>
      <c r="AU196" s="370"/>
      <c r="AV196" s="370"/>
      <c r="AW196" s="370"/>
      <c r="AX196" s="370"/>
      <c r="AY196" s="371"/>
      <c r="AZ196" s="16">
        <v>3</v>
      </c>
    </row>
    <row r="197" spans="1:52" ht="14.25" customHeight="1" x14ac:dyDescent="0.15">
      <c r="A197" s="1"/>
      <c r="B197" s="6"/>
      <c r="C197" s="385"/>
      <c r="D197" s="386"/>
      <c r="E197" s="386"/>
      <c r="F197" s="386"/>
      <c r="G197" s="386"/>
      <c r="H197" s="386"/>
      <c r="I197" s="386"/>
      <c r="J197" s="386"/>
      <c r="K197" s="386"/>
      <c r="L197" s="386"/>
      <c r="M197" s="367">
        <f t="shared" si="0"/>
        <v>4</v>
      </c>
      <c r="N197" s="368"/>
      <c r="O197" s="369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  <c r="AA197" s="370"/>
      <c r="AB197" s="370"/>
      <c r="AC197" s="371"/>
      <c r="AD197" s="369"/>
      <c r="AE197" s="370"/>
      <c r="AF197" s="370"/>
      <c r="AG197" s="370"/>
      <c r="AH197" s="370"/>
      <c r="AI197" s="370"/>
      <c r="AJ197" s="370"/>
      <c r="AK197" s="370"/>
      <c r="AL197" s="370"/>
      <c r="AM197" s="370"/>
      <c r="AN197" s="370"/>
      <c r="AO197" s="370"/>
      <c r="AP197" s="370"/>
      <c r="AQ197" s="371"/>
      <c r="AR197" s="369"/>
      <c r="AS197" s="370"/>
      <c r="AT197" s="370"/>
      <c r="AU197" s="370"/>
      <c r="AV197" s="370"/>
      <c r="AW197" s="370"/>
      <c r="AX197" s="370"/>
      <c r="AY197" s="371"/>
      <c r="AZ197" s="16">
        <v>4</v>
      </c>
    </row>
    <row r="198" spans="1:52" ht="14.25" customHeight="1" x14ac:dyDescent="0.15">
      <c r="A198" s="1"/>
      <c r="B198" s="6"/>
      <c r="C198" s="385"/>
      <c r="D198" s="386"/>
      <c r="E198" s="386"/>
      <c r="F198" s="386"/>
      <c r="G198" s="386"/>
      <c r="H198" s="386"/>
      <c r="I198" s="386"/>
      <c r="J198" s="386"/>
      <c r="K198" s="386"/>
      <c r="L198" s="386"/>
      <c r="M198" s="367">
        <f t="shared" si="0"/>
        <v>5</v>
      </c>
      <c r="N198" s="368"/>
      <c r="O198" s="369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  <c r="AA198" s="370"/>
      <c r="AB198" s="370"/>
      <c r="AC198" s="371"/>
      <c r="AD198" s="369"/>
      <c r="AE198" s="370"/>
      <c r="AF198" s="370"/>
      <c r="AG198" s="370"/>
      <c r="AH198" s="370"/>
      <c r="AI198" s="370"/>
      <c r="AJ198" s="370"/>
      <c r="AK198" s="370"/>
      <c r="AL198" s="370"/>
      <c r="AM198" s="370"/>
      <c r="AN198" s="370"/>
      <c r="AO198" s="370"/>
      <c r="AP198" s="370"/>
      <c r="AQ198" s="371"/>
      <c r="AR198" s="369"/>
      <c r="AS198" s="370"/>
      <c r="AT198" s="370"/>
      <c r="AU198" s="370"/>
      <c r="AV198" s="370"/>
      <c r="AW198" s="370"/>
      <c r="AX198" s="370"/>
      <c r="AY198" s="371"/>
      <c r="AZ198" s="16">
        <v>5</v>
      </c>
    </row>
    <row r="199" spans="1:52" ht="14.25" customHeight="1" x14ac:dyDescent="0.15">
      <c r="A199" s="1"/>
      <c r="B199" s="6"/>
      <c r="C199" s="385"/>
      <c r="D199" s="386"/>
      <c r="E199" s="386"/>
      <c r="F199" s="386"/>
      <c r="G199" s="386"/>
      <c r="H199" s="386"/>
      <c r="I199" s="386"/>
      <c r="J199" s="386"/>
      <c r="K199" s="386"/>
      <c r="L199" s="386"/>
      <c r="M199" s="367">
        <f t="shared" si="0"/>
        <v>6</v>
      </c>
      <c r="N199" s="368"/>
      <c r="O199" s="369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  <c r="AA199" s="370"/>
      <c r="AB199" s="370"/>
      <c r="AC199" s="371"/>
      <c r="AD199" s="369"/>
      <c r="AE199" s="370"/>
      <c r="AF199" s="370"/>
      <c r="AG199" s="370"/>
      <c r="AH199" s="370"/>
      <c r="AI199" s="370"/>
      <c r="AJ199" s="370"/>
      <c r="AK199" s="370"/>
      <c r="AL199" s="370"/>
      <c r="AM199" s="370"/>
      <c r="AN199" s="370"/>
      <c r="AO199" s="370"/>
      <c r="AP199" s="370"/>
      <c r="AQ199" s="371"/>
      <c r="AR199" s="369"/>
      <c r="AS199" s="370"/>
      <c r="AT199" s="370"/>
      <c r="AU199" s="370"/>
      <c r="AV199" s="370"/>
      <c r="AW199" s="370"/>
      <c r="AX199" s="370"/>
      <c r="AY199" s="371"/>
      <c r="AZ199" s="16">
        <v>6</v>
      </c>
    </row>
    <row r="200" spans="1:52" ht="14.25" customHeight="1" x14ac:dyDescent="0.15">
      <c r="A200" s="1"/>
      <c r="B200" s="6"/>
      <c r="C200" s="385"/>
      <c r="D200" s="386"/>
      <c r="E200" s="386"/>
      <c r="F200" s="386"/>
      <c r="G200" s="386"/>
      <c r="H200" s="386"/>
      <c r="I200" s="386"/>
      <c r="J200" s="386"/>
      <c r="K200" s="386"/>
      <c r="L200" s="386"/>
      <c r="M200" s="367">
        <f t="shared" si="0"/>
        <v>7</v>
      </c>
      <c r="N200" s="368"/>
      <c r="O200" s="369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  <c r="AA200" s="370"/>
      <c r="AB200" s="370"/>
      <c r="AC200" s="371"/>
      <c r="AD200" s="369"/>
      <c r="AE200" s="370"/>
      <c r="AF200" s="370"/>
      <c r="AG200" s="370"/>
      <c r="AH200" s="370"/>
      <c r="AI200" s="370"/>
      <c r="AJ200" s="370"/>
      <c r="AK200" s="370"/>
      <c r="AL200" s="370"/>
      <c r="AM200" s="370"/>
      <c r="AN200" s="370"/>
      <c r="AO200" s="370"/>
      <c r="AP200" s="370"/>
      <c r="AQ200" s="371"/>
      <c r="AR200" s="369"/>
      <c r="AS200" s="370"/>
      <c r="AT200" s="370"/>
      <c r="AU200" s="370"/>
      <c r="AV200" s="370"/>
      <c r="AW200" s="370"/>
      <c r="AX200" s="370"/>
      <c r="AY200" s="371"/>
      <c r="AZ200" s="16">
        <v>7</v>
      </c>
    </row>
    <row r="201" spans="1:52" ht="14.25" customHeight="1" x14ac:dyDescent="0.15">
      <c r="A201" s="1"/>
      <c r="B201" s="6"/>
      <c r="C201" s="385"/>
      <c r="D201" s="386"/>
      <c r="E201" s="386"/>
      <c r="F201" s="386"/>
      <c r="G201" s="386"/>
      <c r="H201" s="386"/>
      <c r="I201" s="386"/>
      <c r="J201" s="386"/>
      <c r="K201" s="386"/>
      <c r="L201" s="386"/>
      <c r="M201" s="367">
        <f t="shared" si="0"/>
        <v>8</v>
      </c>
      <c r="N201" s="368"/>
      <c r="O201" s="369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  <c r="AA201" s="370"/>
      <c r="AB201" s="370"/>
      <c r="AC201" s="371"/>
      <c r="AD201" s="369"/>
      <c r="AE201" s="370"/>
      <c r="AF201" s="370"/>
      <c r="AG201" s="370"/>
      <c r="AH201" s="370"/>
      <c r="AI201" s="370"/>
      <c r="AJ201" s="370"/>
      <c r="AK201" s="370"/>
      <c r="AL201" s="370"/>
      <c r="AM201" s="370"/>
      <c r="AN201" s="370"/>
      <c r="AO201" s="370"/>
      <c r="AP201" s="370"/>
      <c r="AQ201" s="371"/>
      <c r="AR201" s="369"/>
      <c r="AS201" s="370"/>
      <c r="AT201" s="370"/>
      <c r="AU201" s="370"/>
      <c r="AV201" s="370"/>
      <c r="AW201" s="370"/>
      <c r="AX201" s="370"/>
      <c r="AY201" s="371"/>
      <c r="AZ201" s="16">
        <v>8</v>
      </c>
    </row>
    <row r="202" spans="1:52" ht="14.25" customHeight="1" x14ac:dyDescent="0.15">
      <c r="A202" s="1"/>
      <c r="B202" s="6"/>
      <c r="C202" s="385"/>
      <c r="D202" s="386"/>
      <c r="E202" s="386"/>
      <c r="F202" s="386"/>
      <c r="G202" s="386"/>
      <c r="H202" s="386"/>
      <c r="I202" s="386"/>
      <c r="J202" s="386"/>
      <c r="K202" s="386"/>
      <c r="L202" s="386"/>
      <c r="M202" s="367">
        <f t="shared" si="0"/>
        <v>9</v>
      </c>
      <c r="N202" s="368"/>
      <c r="O202" s="369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  <c r="AA202" s="370"/>
      <c r="AB202" s="370"/>
      <c r="AC202" s="371"/>
      <c r="AD202" s="369"/>
      <c r="AE202" s="370"/>
      <c r="AF202" s="370"/>
      <c r="AG202" s="370"/>
      <c r="AH202" s="370"/>
      <c r="AI202" s="370"/>
      <c r="AJ202" s="370"/>
      <c r="AK202" s="370"/>
      <c r="AL202" s="370"/>
      <c r="AM202" s="370"/>
      <c r="AN202" s="370"/>
      <c r="AO202" s="370"/>
      <c r="AP202" s="370"/>
      <c r="AQ202" s="371"/>
      <c r="AR202" s="369"/>
      <c r="AS202" s="370"/>
      <c r="AT202" s="370"/>
      <c r="AU202" s="370"/>
      <c r="AV202" s="370"/>
      <c r="AW202" s="370"/>
      <c r="AX202" s="370"/>
      <c r="AY202" s="371"/>
      <c r="AZ202" s="16">
        <v>9</v>
      </c>
    </row>
    <row r="203" spans="1:52" ht="14.25" customHeight="1" x14ac:dyDescent="0.15">
      <c r="A203" s="1"/>
      <c r="B203" s="6"/>
      <c r="C203" s="385"/>
      <c r="D203" s="386"/>
      <c r="E203" s="386"/>
      <c r="F203" s="386"/>
      <c r="G203" s="386"/>
      <c r="H203" s="386"/>
      <c r="I203" s="386"/>
      <c r="J203" s="386"/>
      <c r="K203" s="386"/>
      <c r="L203" s="386"/>
      <c r="M203" s="367">
        <f t="shared" si="0"/>
        <v>10</v>
      </c>
      <c r="N203" s="368"/>
      <c r="O203" s="369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  <c r="AA203" s="370"/>
      <c r="AB203" s="370"/>
      <c r="AC203" s="371"/>
      <c r="AD203" s="369"/>
      <c r="AE203" s="370"/>
      <c r="AF203" s="370"/>
      <c r="AG203" s="370"/>
      <c r="AH203" s="370"/>
      <c r="AI203" s="370"/>
      <c r="AJ203" s="370"/>
      <c r="AK203" s="370"/>
      <c r="AL203" s="370"/>
      <c r="AM203" s="370"/>
      <c r="AN203" s="370"/>
      <c r="AO203" s="370"/>
      <c r="AP203" s="370"/>
      <c r="AQ203" s="371"/>
      <c r="AR203" s="369"/>
      <c r="AS203" s="370"/>
      <c r="AT203" s="370"/>
      <c r="AU203" s="370"/>
      <c r="AV203" s="370"/>
      <c r="AW203" s="370"/>
      <c r="AX203" s="370"/>
      <c r="AY203" s="371"/>
      <c r="AZ203" s="16">
        <v>10</v>
      </c>
    </row>
    <row r="204" spans="1:52" ht="14.25" customHeight="1" x14ac:dyDescent="0.15">
      <c r="A204" s="1"/>
      <c r="B204" s="6"/>
      <c r="C204" s="385"/>
      <c r="D204" s="386"/>
      <c r="E204" s="386"/>
      <c r="F204" s="386"/>
      <c r="G204" s="386"/>
      <c r="H204" s="386"/>
      <c r="I204" s="386"/>
      <c r="J204" s="386"/>
      <c r="K204" s="386"/>
      <c r="L204" s="386"/>
      <c r="M204" s="367">
        <f t="shared" si="0"/>
        <v>11</v>
      </c>
      <c r="N204" s="368"/>
      <c r="O204" s="369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  <c r="AA204" s="370"/>
      <c r="AB204" s="370"/>
      <c r="AC204" s="371"/>
      <c r="AD204" s="369"/>
      <c r="AE204" s="370"/>
      <c r="AF204" s="370"/>
      <c r="AG204" s="370"/>
      <c r="AH204" s="370"/>
      <c r="AI204" s="370"/>
      <c r="AJ204" s="370"/>
      <c r="AK204" s="370"/>
      <c r="AL204" s="370"/>
      <c r="AM204" s="370"/>
      <c r="AN204" s="370"/>
      <c r="AO204" s="370"/>
      <c r="AP204" s="370"/>
      <c r="AQ204" s="371"/>
      <c r="AR204" s="369"/>
      <c r="AS204" s="370"/>
      <c r="AT204" s="370"/>
      <c r="AU204" s="370"/>
      <c r="AV204" s="370"/>
      <c r="AW204" s="370"/>
      <c r="AX204" s="370"/>
      <c r="AY204" s="371"/>
      <c r="AZ204" s="16">
        <v>11</v>
      </c>
    </row>
    <row r="205" spans="1:52" ht="14.25" customHeight="1" x14ac:dyDescent="0.15">
      <c r="A205" s="1"/>
      <c r="B205" s="6"/>
      <c r="C205" s="385"/>
      <c r="D205" s="386"/>
      <c r="E205" s="386"/>
      <c r="F205" s="386"/>
      <c r="G205" s="386"/>
      <c r="H205" s="386"/>
      <c r="I205" s="386"/>
      <c r="J205" s="386"/>
      <c r="K205" s="386"/>
      <c r="L205" s="386"/>
      <c r="M205" s="367">
        <f t="shared" si="0"/>
        <v>12</v>
      </c>
      <c r="N205" s="368"/>
      <c r="O205" s="369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  <c r="AA205" s="370"/>
      <c r="AB205" s="370"/>
      <c r="AC205" s="371"/>
      <c r="AD205" s="369"/>
      <c r="AE205" s="370"/>
      <c r="AF205" s="370"/>
      <c r="AG205" s="370"/>
      <c r="AH205" s="370"/>
      <c r="AI205" s="370"/>
      <c r="AJ205" s="370"/>
      <c r="AK205" s="370"/>
      <c r="AL205" s="370"/>
      <c r="AM205" s="370"/>
      <c r="AN205" s="370"/>
      <c r="AO205" s="370"/>
      <c r="AP205" s="370"/>
      <c r="AQ205" s="371"/>
      <c r="AR205" s="369"/>
      <c r="AS205" s="370"/>
      <c r="AT205" s="370"/>
      <c r="AU205" s="370"/>
      <c r="AV205" s="370"/>
      <c r="AW205" s="370"/>
      <c r="AX205" s="370"/>
      <c r="AY205" s="371"/>
      <c r="AZ205" s="16">
        <v>12</v>
      </c>
    </row>
    <row r="206" spans="1:52" ht="14.25" customHeight="1" x14ac:dyDescent="0.15">
      <c r="A206" s="1"/>
      <c r="B206" s="6"/>
      <c r="C206" s="385"/>
      <c r="D206" s="386"/>
      <c r="E206" s="386"/>
      <c r="F206" s="386"/>
      <c r="G206" s="386"/>
      <c r="H206" s="386"/>
      <c r="I206" s="386"/>
      <c r="J206" s="386"/>
      <c r="K206" s="386"/>
      <c r="L206" s="386"/>
      <c r="M206" s="367">
        <f t="shared" ref="M206:M208" si="1">IF(OR($M$193&gt;(AZ206-1),$F$6="NextGen/LA6000"),AZ206,"")</f>
        <v>13</v>
      </c>
      <c r="N206" s="368"/>
      <c r="O206" s="369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  <c r="AA206" s="370"/>
      <c r="AB206" s="370"/>
      <c r="AC206" s="371"/>
      <c r="AD206" s="369"/>
      <c r="AE206" s="370"/>
      <c r="AF206" s="370"/>
      <c r="AG206" s="370"/>
      <c r="AH206" s="370"/>
      <c r="AI206" s="370"/>
      <c r="AJ206" s="370"/>
      <c r="AK206" s="370"/>
      <c r="AL206" s="370"/>
      <c r="AM206" s="370"/>
      <c r="AN206" s="370"/>
      <c r="AO206" s="370"/>
      <c r="AP206" s="370"/>
      <c r="AQ206" s="371"/>
      <c r="AR206" s="369"/>
      <c r="AS206" s="370"/>
      <c r="AT206" s="370"/>
      <c r="AU206" s="370"/>
      <c r="AV206" s="370"/>
      <c r="AW206" s="370"/>
      <c r="AX206" s="370"/>
      <c r="AY206" s="371"/>
      <c r="AZ206" s="16">
        <v>13</v>
      </c>
    </row>
    <row r="207" spans="1:52" ht="14.25" customHeight="1" x14ac:dyDescent="0.15">
      <c r="A207" s="1"/>
      <c r="B207" s="6"/>
      <c r="C207" s="385"/>
      <c r="D207" s="386"/>
      <c r="E207" s="386"/>
      <c r="F207" s="386"/>
      <c r="G207" s="386"/>
      <c r="H207" s="386"/>
      <c r="I207" s="386"/>
      <c r="J207" s="386"/>
      <c r="K207" s="386"/>
      <c r="L207" s="386"/>
      <c r="M207" s="367">
        <f t="shared" si="1"/>
        <v>14</v>
      </c>
      <c r="N207" s="368"/>
      <c r="O207" s="369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  <c r="AA207" s="370"/>
      <c r="AB207" s="370"/>
      <c r="AC207" s="371"/>
      <c r="AD207" s="369"/>
      <c r="AE207" s="370"/>
      <c r="AF207" s="370"/>
      <c r="AG207" s="370"/>
      <c r="AH207" s="370"/>
      <c r="AI207" s="370"/>
      <c r="AJ207" s="370"/>
      <c r="AK207" s="370"/>
      <c r="AL207" s="370"/>
      <c r="AM207" s="370"/>
      <c r="AN207" s="370"/>
      <c r="AO207" s="370"/>
      <c r="AP207" s="370"/>
      <c r="AQ207" s="371"/>
      <c r="AR207" s="369"/>
      <c r="AS207" s="370"/>
      <c r="AT207" s="370"/>
      <c r="AU207" s="370"/>
      <c r="AV207" s="370"/>
      <c r="AW207" s="370"/>
      <c r="AX207" s="370"/>
      <c r="AY207" s="371"/>
      <c r="AZ207" s="16">
        <v>14</v>
      </c>
    </row>
    <row r="208" spans="1:52" ht="14.25" customHeight="1" x14ac:dyDescent="0.15">
      <c r="A208" s="1"/>
      <c r="B208" s="6"/>
      <c r="C208" s="385"/>
      <c r="D208" s="386"/>
      <c r="E208" s="386"/>
      <c r="F208" s="386"/>
      <c r="G208" s="386"/>
      <c r="H208" s="386"/>
      <c r="I208" s="386"/>
      <c r="J208" s="386"/>
      <c r="K208" s="386"/>
      <c r="L208" s="386"/>
      <c r="M208" s="367">
        <f t="shared" si="1"/>
        <v>15</v>
      </c>
      <c r="N208" s="368"/>
      <c r="O208" s="369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  <c r="AA208" s="370"/>
      <c r="AB208" s="370"/>
      <c r="AC208" s="371"/>
      <c r="AD208" s="369"/>
      <c r="AE208" s="370"/>
      <c r="AF208" s="370"/>
      <c r="AG208" s="370"/>
      <c r="AH208" s="370"/>
      <c r="AI208" s="370"/>
      <c r="AJ208" s="370"/>
      <c r="AK208" s="370"/>
      <c r="AL208" s="370"/>
      <c r="AM208" s="370"/>
      <c r="AN208" s="370"/>
      <c r="AO208" s="370"/>
      <c r="AP208" s="370"/>
      <c r="AQ208" s="371"/>
      <c r="AR208" s="369"/>
      <c r="AS208" s="370"/>
      <c r="AT208" s="370"/>
      <c r="AU208" s="370"/>
      <c r="AV208" s="370"/>
      <c r="AW208" s="370"/>
      <c r="AX208" s="370"/>
      <c r="AY208" s="371"/>
      <c r="AZ208" s="16">
        <v>15</v>
      </c>
    </row>
    <row r="209" spans="1:52" ht="14.25" customHeight="1" x14ac:dyDescent="0.15">
      <c r="A209" s="1"/>
      <c r="B209" s="6"/>
      <c r="C209" s="385"/>
      <c r="D209" s="386"/>
      <c r="E209" s="386"/>
      <c r="F209" s="386"/>
      <c r="G209" s="386"/>
      <c r="H209" s="386"/>
      <c r="I209" s="386"/>
      <c r="J209" s="386"/>
      <c r="K209" s="386"/>
      <c r="L209" s="386"/>
      <c r="M209" s="367">
        <f t="shared" ref="M209:M223" si="2">IF(OR($M$193&gt;(AZ209-1),$F$6="NextGen/LA6000"),AZ209,"")</f>
        <v>16</v>
      </c>
      <c r="N209" s="368"/>
      <c r="O209" s="369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  <c r="AA209" s="370"/>
      <c r="AB209" s="370"/>
      <c r="AC209" s="371"/>
      <c r="AD209" s="369"/>
      <c r="AE209" s="370"/>
      <c r="AF209" s="370"/>
      <c r="AG209" s="370"/>
      <c r="AH209" s="370"/>
      <c r="AI209" s="370"/>
      <c r="AJ209" s="370"/>
      <c r="AK209" s="370"/>
      <c r="AL209" s="370"/>
      <c r="AM209" s="370"/>
      <c r="AN209" s="370"/>
      <c r="AO209" s="370"/>
      <c r="AP209" s="370"/>
      <c r="AQ209" s="371"/>
      <c r="AR209" s="369"/>
      <c r="AS209" s="370"/>
      <c r="AT209" s="370"/>
      <c r="AU209" s="370"/>
      <c r="AV209" s="370"/>
      <c r="AW209" s="370"/>
      <c r="AX209" s="370"/>
      <c r="AY209" s="371"/>
      <c r="AZ209" s="16">
        <v>16</v>
      </c>
    </row>
    <row r="210" spans="1:52" ht="14.25" customHeight="1" x14ac:dyDescent="0.15">
      <c r="A210" s="1"/>
      <c r="B210" s="6"/>
      <c r="C210" s="385"/>
      <c r="D210" s="386"/>
      <c r="E210" s="386"/>
      <c r="F210" s="386"/>
      <c r="G210" s="386"/>
      <c r="H210" s="386"/>
      <c r="I210" s="386"/>
      <c r="J210" s="386"/>
      <c r="K210" s="386"/>
      <c r="L210" s="386"/>
      <c r="M210" s="367">
        <f t="shared" si="2"/>
        <v>17</v>
      </c>
      <c r="N210" s="368"/>
      <c r="O210" s="369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  <c r="AA210" s="370"/>
      <c r="AB210" s="370"/>
      <c r="AC210" s="371"/>
      <c r="AD210" s="369"/>
      <c r="AE210" s="370"/>
      <c r="AF210" s="370"/>
      <c r="AG210" s="370"/>
      <c r="AH210" s="370"/>
      <c r="AI210" s="370"/>
      <c r="AJ210" s="370"/>
      <c r="AK210" s="370"/>
      <c r="AL210" s="370"/>
      <c r="AM210" s="370"/>
      <c r="AN210" s="370"/>
      <c r="AO210" s="370"/>
      <c r="AP210" s="370"/>
      <c r="AQ210" s="371"/>
      <c r="AR210" s="369"/>
      <c r="AS210" s="370"/>
      <c r="AT210" s="370"/>
      <c r="AU210" s="370"/>
      <c r="AV210" s="370"/>
      <c r="AW210" s="370"/>
      <c r="AX210" s="370"/>
      <c r="AY210" s="371"/>
      <c r="AZ210" s="16">
        <v>17</v>
      </c>
    </row>
    <row r="211" spans="1:52" ht="14.25" customHeight="1" x14ac:dyDescent="0.15">
      <c r="A211" s="1"/>
      <c r="B211" s="6"/>
      <c r="C211" s="385"/>
      <c r="D211" s="386"/>
      <c r="E211" s="386"/>
      <c r="F211" s="386"/>
      <c r="G211" s="386"/>
      <c r="H211" s="386"/>
      <c r="I211" s="386"/>
      <c r="J211" s="386"/>
      <c r="K211" s="386"/>
      <c r="L211" s="386"/>
      <c r="M211" s="367">
        <f t="shared" si="2"/>
        <v>18</v>
      </c>
      <c r="N211" s="368"/>
      <c r="O211" s="369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  <c r="AA211" s="370"/>
      <c r="AB211" s="370"/>
      <c r="AC211" s="371"/>
      <c r="AD211" s="369"/>
      <c r="AE211" s="370"/>
      <c r="AF211" s="370"/>
      <c r="AG211" s="370"/>
      <c r="AH211" s="370"/>
      <c r="AI211" s="370"/>
      <c r="AJ211" s="370"/>
      <c r="AK211" s="370"/>
      <c r="AL211" s="370"/>
      <c r="AM211" s="370"/>
      <c r="AN211" s="370"/>
      <c r="AO211" s="370"/>
      <c r="AP211" s="370"/>
      <c r="AQ211" s="371"/>
      <c r="AR211" s="369"/>
      <c r="AS211" s="370"/>
      <c r="AT211" s="370"/>
      <c r="AU211" s="370"/>
      <c r="AV211" s="370"/>
      <c r="AW211" s="370"/>
      <c r="AX211" s="370"/>
      <c r="AY211" s="371"/>
      <c r="AZ211" s="16">
        <v>18</v>
      </c>
    </row>
    <row r="212" spans="1:52" ht="14.25" customHeight="1" x14ac:dyDescent="0.15">
      <c r="A212" s="1"/>
      <c r="B212" s="6"/>
      <c r="C212" s="385"/>
      <c r="D212" s="386"/>
      <c r="E212" s="386"/>
      <c r="F212" s="386"/>
      <c r="G212" s="386"/>
      <c r="H212" s="386"/>
      <c r="I212" s="386"/>
      <c r="J212" s="386"/>
      <c r="K212" s="386"/>
      <c r="L212" s="386"/>
      <c r="M212" s="367">
        <f t="shared" si="2"/>
        <v>19</v>
      </c>
      <c r="N212" s="368"/>
      <c r="O212" s="369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  <c r="AA212" s="370"/>
      <c r="AB212" s="370"/>
      <c r="AC212" s="371"/>
      <c r="AD212" s="369"/>
      <c r="AE212" s="370"/>
      <c r="AF212" s="370"/>
      <c r="AG212" s="370"/>
      <c r="AH212" s="370"/>
      <c r="AI212" s="370"/>
      <c r="AJ212" s="370"/>
      <c r="AK212" s="370"/>
      <c r="AL212" s="370"/>
      <c r="AM212" s="370"/>
      <c r="AN212" s="370"/>
      <c r="AO212" s="370"/>
      <c r="AP212" s="370"/>
      <c r="AQ212" s="371"/>
      <c r="AR212" s="369"/>
      <c r="AS212" s="370"/>
      <c r="AT212" s="370"/>
      <c r="AU212" s="370"/>
      <c r="AV212" s="370"/>
      <c r="AW212" s="370"/>
      <c r="AX212" s="370"/>
      <c r="AY212" s="371"/>
      <c r="AZ212" s="16">
        <v>19</v>
      </c>
    </row>
    <row r="213" spans="1:52" ht="14.25" customHeight="1" x14ac:dyDescent="0.15">
      <c r="A213" s="1"/>
      <c r="B213" s="6"/>
      <c r="C213" s="385"/>
      <c r="D213" s="386"/>
      <c r="E213" s="386"/>
      <c r="F213" s="386"/>
      <c r="G213" s="386"/>
      <c r="H213" s="386"/>
      <c r="I213" s="386"/>
      <c r="J213" s="386"/>
      <c r="K213" s="386"/>
      <c r="L213" s="386"/>
      <c r="M213" s="367">
        <f t="shared" si="2"/>
        <v>20</v>
      </c>
      <c r="N213" s="368"/>
      <c r="O213" s="369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  <c r="AA213" s="370"/>
      <c r="AB213" s="370"/>
      <c r="AC213" s="371"/>
      <c r="AD213" s="369"/>
      <c r="AE213" s="370"/>
      <c r="AF213" s="370"/>
      <c r="AG213" s="370"/>
      <c r="AH213" s="370"/>
      <c r="AI213" s="370"/>
      <c r="AJ213" s="370"/>
      <c r="AK213" s="370"/>
      <c r="AL213" s="370"/>
      <c r="AM213" s="370"/>
      <c r="AN213" s="370"/>
      <c r="AO213" s="370"/>
      <c r="AP213" s="370"/>
      <c r="AQ213" s="371"/>
      <c r="AR213" s="369"/>
      <c r="AS213" s="370"/>
      <c r="AT213" s="370"/>
      <c r="AU213" s="370"/>
      <c r="AV213" s="370"/>
      <c r="AW213" s="370"/>
      <c r="AX213" s="370"/>
      <c r="AY213" s="371"/>
      <c r="AZ213" s="16">
        <v>20</v>
      </c>
    </row>
    <row r="214" spans="1:52" ht="14.25" customHeight="1" x14ac:dyDescent="0.15">
      <c r="A214" s="1"/>
      <c r="B214" s="6"/>
      <c r="C214" s="385"/>
      <c r="D214" s="386"/>
      <c r="E214" s="386"/>
      <c r="F214" s="386"/>
      <c r="G214" s="386"/>
      <c r="H214" s="386"/>
      <c r="I214" s="386"/>
      <c r="J214" s="386"/>
      <c r="K214" s="386"/>
      <c r="L214" s="386"/>
      <c r="M214" s="367">
        <f t="shared" si="2"/>
        <v>21</v>
      </c>
      <c r="N214" s="368"/>
      <c r="O214" s="369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  <c r="AA214" s="370"/>
      <c r="AB214" s="370"/>
      <c r="AC214" s="371"/>
      <c r="AD214" s="369"/>
      <c r="AE214" s="370"/>
      <c r="AF214" s="370"/>
      <c r="AG214" s="370"/>
      <c r="AH214" s="370"/>
      <c r="AI214" s="370"/>
      <c r="AJ214" s="370"/>
      <c r="AK214" s="370"/>
      <c r="AL214" s="370"/>
      <c r="AM214" s="370"/>
      <c r="AN214" s="370"/>
      <c r="AO214" s="370"/>
      <c r="AP214" s="370"/>
      <c r="AQ214" s="371"/>
      <c r="AR214" s="369"/>
      <c r="AS214" s="370"/>
      <c r="AT214" s="370"/>
      <c r="AU214" s="370"/>
      <c r="AV214" s="370"/>
      <c r="AW214" s="370"/>
      <c r="AX214" s="370"/>
      <c r="AY214" s="371"/>
      <c r="AZ214" s="16">
        <v>21</v>
      </c>
    </row>
    <row r="215" spans="1:52" ht="14.25" customHeight="1" x14ac:dyDescent="0.15">
      <c r="A215" s="1"/>
      <c r="B215" s="6"/>
      <c r="C215" s="385"/>
      <c r="D215" s="386"/>
      <c r="E215" s="386"/>
      <c r="F215" s="386"/>
      <c r="G215" s="386"/>
      <c r="H215" s="386"/>
      <c r="I215" s="386"/>
      <c r="J215" s="386"/>
      <c r="K215" s="386"/>
      <c r="L215" s="386"/>
      <c r="M215" s="367">
        <f t="shared" si="2"/>
        <v>22</v>
      </c>
      <c r="N215" s="368"/>
      <c r="O215" s="369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  <c r="AA215" s="370"/>
      <c r="AB215" s="370"/>
      <c r="AC215" s="371"/>
      <c r="AD215" s="369"/>
      <c r="AE215" s="370"/>
      <c r="AF215" s="370"/>
      <c r="AG215" s="370"/>
      <c r="AH215" s="370"/>
      <c r="AI215" s="370"/>
      <c r="AJ215" s="370"/>
      <c r="AK215" s="370"/>
      <c r="AL215" s="370"/>
      <c r="AM215" s="370"/>
      <c r="AN215" s="370"/>
      <c r="AO215" s="370"/>
      <c r="AP215" s="370"/>
      <c r="AQ215" s="371"/>
      <c r="AR215" s="369"/>
      <c r="AS215" s="370"/>
      <c r="AT215" s="370"/>
      <c r="AU215" s="370"/>
      <c r="AV215" s="370"/>
      <c r="AW215" s="370"/>
      <c r="AX215" s="370"/>
      <c r="AY215" s="371"/>
      <c r="AZ215" s="16">
        <v>22</v>
      </c>
    </row>
    <row r="216" spans="1:52" ht="14.25" customHeight="1" x14ac:dyDescent="0.15">
      <c r="A216" s="1"/>
      <c r="B216" s="6"/>
      <c r="C216" s="385"/>
      <c r="D216" s="386"/>
      <c r="E216" s="386"/>
      <c r="F216" s="386"/>
      <c r="G216" s="386"/>
      <c r="H216" s="386"/>
      <c r="I216" s="386"/>
      <c r="J216" s="386"/>
      <c r="K216" s="386"/>
      <c r="L216" s="386"/>
      <c r="M216" s="367">
        <f t="shared" si="2"/>
        <v>23</v>
      </c>
      <c r="N216" s="368"/>
      <c r="O216" s="369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  <c r="AA216" s="370"/>
      <c r="AB216" s="370"/>
      <c r="AC216" s="371"/>
      <c r="AD216" s="369"/>
      <c r="AE216" s="370"/>
      <c r="AF216" s="370"/>
      <c r="AG216" s="370"/>
      <c r="AH216" s="370"/>
      <c r="AI216" s="370"/>
      <c r="AJ216" s="370"/>
      <c r="AK216" s="370"/>
      <c r="AL216" s="370"/>
      <c r="AM216" s="370"/>
      <c r="AN216" s="370"/>
      <c r="AO216" s="370"/>
      <c r="AP216" s="370"/>
      <c r="AQ216" s="371"/>
      <c r="AR216" s="369"/>
      <c r="AS216" s="370"/>
      <c r="AT216" s="370"/>
      <c r="AU216" s="370"/>
      <c r="AV216" s="370"/>
      <c r="AW216" s="370"/>
      <c r="AX216" s="370"/>
      <c r="AY216" s="371"/>
      <c r="AZ216" s="16">
        <v>23</v>
      </c>
    </row>
    <row r="217" spans="1:52" ht="14.25" customHeight="1" x14ac:dyDescent="0.15">
      <c r="A217" s="1"/>
      <c r="B217" s="6"/>
      <c r="C217" s="385"/>
      <c r="D217" s="386"/>
      <c r="E217" s="386"/>
      <c r="F217" s="386"/>
      <c r="G217" s="386"/>
      <c r="H217" s="386"/>
      <c r="I217" s="386"/>
      <c r="J217" s="386"/>
      <c r="K217" s="386"/>
      <c r="L217" s="386"/>
      <c r="M217" s="367">
        <f t="shared" si="2"/>
        <v>24</v>
      </c>
      <c r="N217" s="368"/>
      <c r="O217" s="369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  <c r="AA217" s="370"/>
      <c r="AB217" s="370"/>
      <c r="AC217" s="371"/>
      <c r="AD217" s="369"/>
      <c r="AE217" s="370"/>
      <c r="AF217" s="370"/>
      <c r="AG217" s="370"/>
      <c r="AH217" s="370"/>
      <c r="AI217" s="370"/>
      <c r="AJ217" s="370"/>
      <c r="AK217" s="370"/>
      <c r="AL217" s="370"/>
      <c r="AM217" s="370"/>
      <c r="AN217" s="370"/>
      <c r="AO217" s="370"/>
      <c r="AP217" s="370"/>
      <c r="AQ217" s="371"/>
      <c r="AR217" s="369"/>
      <c r="AS217" s="370"/>
      <c r="AT217" s="370"/>
      <c r="AU217" s="370"/>
      <c r="AV217" s="370"/>
      <c r="AW217" s="370"/>
      <c r="AX217" s="370"/>
      <c r="AY217" s="371"/>
      <c r="AZ217" s="16">
        <v>24</v>
      </c>
    </row>
    <row r="218" spans="1:52" ht="14.25" customHeight="1" x14ac:dyDescent="0.15">
      <c r="A218" s="1"/>
      <c r="B218" s="6"/>
      <c r="C218" s="385"/>
      <c r="D218" s="386"/>
      <c r="E218" s="386"/>
      <c r="F218" s="386"/>
      <c r="G218" s="386"/>
      <c r="H218" s="386"/>
      <c r="I218" s="386"/>
      <c r="J218" s="386"/>
      <c r="K218" s="386"/>
      <c r="L218" s="386"/>
      <c r="M218" s="367">
        <f t="shared" si="2"/>
        <v>25</v>
      </c>
      <c r="N218" s="368"/>
      <c r="O218" s="369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  <c r="AA218" s="370"/>
      <c r="AB218" s="370"/>
      <c r="AC218" s="371"/>
      <c r="AD218" s="369"/>
      <c r="AE218" s="370"/>
      <c r="AF218" s="370"/>
      <c r="AG218" s="370"/>
      <c r="AH218" s="370"/>
      <c r="AI218" s="370"/>
      <c r="AJ218" s="370"/>
      <c r="AK218" s="370"/>
      <c r="AL218" s="370"/>
      <c r="AM218" s="370"/>
      <c r="AN218" s="370"/>
      <c r="AO218" s="370"/>
      <c r="AP218" s="370"/>
      <c r="AQ218" s="371"/>
      <c r="AR218" s="369"/>
      <c r="AS218" s="370"/>
      <c r="AT218" s="370"/>
      <c r="AU218" s="370"/>
      <c r="AV218" s="370"/>
      <c r="AW218" s="370"/>
      <c r="AX218" s="370"/>
      <c r="AY218" s="371"/>
      <c r="AZ218" s="16">
        <v>25</v>
      </c>
    </row>
    <row r="219" spans="1:52" ht="14.25" customHeight="1" x14ac:dyDescent="0.15">
      <c r="A219" s="1"/>
      <c r="B219" s="6"/>
      <c r="C219" s="385"/>
      <c r="D219" s="386"/>
      <c r="E219" s="386"/>
      <c r="F219" s="386"/>
      <c r="G219" s="386"/>
      <c r="H219" s="386"/>
      <c r="I219" s="386"/>
      <c r="J219" s="386"/>
      <c r="K219" s="386"/>
      <c r="L219" s="386"/>
      <c r="M219" s="367">
        <f t="shared" si="2"/>
        <v>26</v>
      </c>
      <c r="N219" s="368"/>
      <c r="O219" s="369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  <c r="AA219" s="370"/>
      <c r="AB219" s="370"/>
      <c r="AC219" s="371"/>
      <c r="AD219" s="369"/>
      <c r="AE219" s="370"/>
      <c r="AF219" s="370"/>
      <c r="AG219" s="370"/>
      <c r="AH219" s="370"/>
      <c r="AI219" s="370"/>
      <c r="AJ219" s="370"/>
      <c r="AK219" s="370"/>
      <c r="AL219" s="370"/>
      <c r="AM219" s="370"/>
      <c r="AN219" s="370"/>
      <c r="AO219" s="370"/>
      <c r="AP219" s="370"/>
      <c r="AQ219" s="371"/>
      <c r="AR219" s="369"/>
      <c r="AS219" s="370"/>
      <c r="AT219" s="370"/>
      <c r="AU219" s="370"/>
      <c r="AV219" s="370"/>
      <c r="AW219" s="370"/>
      <c r="AX219" s="370"/>
      <c r="AY219" s="371"/>
      <c r="AZ219" s="16">
        <v>26</v>
      </c>
    </row>
    <row r="220" spans="1:52" ht="14.25" customHeight="1" x14ac:dyDescent="0.15">
      <c r="A220" s="1"/>
      <c r="B220" s="6"/>
      <c r="C220" s="385"/>
      <c r="D220" s="386"/>
      <c r="E220" s="386"/>
      <c r="F220" s="386"/>
      <c r="G220" s="386"/>
      <c r="H220" s="386"/>
      <c r="I220" s="386"/>
      <c r="J220" s="386"/>
      <c r="K220" s="386"/>
      <c r="L220" s="386"/>
      <c r="M220" s="367">
        <f t="shared" si="2"/>
        <v>27</v>
      </c>
      <c r="N220" s="368"/>
      <c r="O220" s="369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  <c r="AA220" s="370"/>
      <c r="AB220" s="370"/>
      <c r="AC220" s="371"/>
      <c r="AD220" s="369"/>
      <c r="AE220" s="370"/>
      <c r="AF220" s="370"/>
      <c r="AG220" s="370"/>
      <c r="AH220" s="370"/>
      <c r="AI220" s="370"/>
      <c r="AJ220" s="370"/>
      <c r="AK220" s="370"/>
      <c r="AL220" s="370"/>
      <c r="AM220" s="370"/>
      <c r="AN220" s="370"/>
      <c r="AO220" s="370"/>
      <c r="AP220" s="370"/>
      <c r="AQ220" s="371"/>
      <c r="AR220" s="369"/>
      <c r="AS220" s="370"/>
      <c r="AT220" s="370"/>
      <c r="AU220" s="370"/>
      <c r="AV220" s="370"/>
      <c r="AW220" s="370"/>
      <c r="AX220" s="370"/>
      <c r="AY220" s="371"/>
      <c r="AZ220" s="16">
        <v>27</v>
      </c>
    </row>
    <row r="221" spans="1:52" ht="14.25" customHeight="1" x14ac:dyDescent="0.15">
      <c r="A221" s="1"/>
      <c r="B221" s="6"/>
      <c r="C221" s="385"/>
      <c r="D221" s="386"/>
      <c r="E221" s="386"/>
      <c r="F221" s="386"/>
      <c r="G221" s="386"/>
      <c r="H221" s="386"/>
      <c r="I221" s="386"/>
      <c r="J221" s="386"/>
      <c r="K221" s="386"/>
      <c r="L221" s="386"/>
      <c r="M221" s="367">
        <f t="shared" si="2"/>
        <v>28</v>
      </c>
      <c r="N221" s="368"/>
      <c r="O221" s="369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  <c r="AA221" s="370"/>
      <c r="AB221" s="370"/>
      <c r="AC221" s="371"/>
      <c r="AD221" s="369"/>
      <c r="AE221" s="370"/>
      <c r="AF221" s="370"/>
      <c r="AG221" s="370"/>
      <c r="AH221" s="370"/>
      <c r="AI221" s="370"/>
      <c r="AJ221" s="370"/>
      <c r="AK221" s="370"/>
      <c r="AL221" s="370"/>
      <c r="AM221" s="370"/>
      <c r="AN221" s="370"/>
      <c r="AO221" s="370"/>
      <c r="AP221" s="370"/>
      <c r="AQ221" s="371"/>
      <c r="AR221" s="369"/>
      <c r="AS221" s="370"/>
      <c r="AT221" s="370"/>
      <c r="AU221" s="370"/>
      <c r="AV221" s="370"/>
      <c r="AW221" s="370"/>
      <c r="AX221" s="370"/>
      <c r="AY221" s="371"/>
      <c r="AZ221" s="16">
        <v>28</v>
      </c>
    </row>
    <row r="222" spans="1:52" ht="14.25" customHeight="1" x14ac:dyDescent="0.15">
      <c r="A222" s="1"/>
      <c r="B222" s="6"/>
      <c r="C222" s="385"/>
      <c r="D222" s="386"/>
      <c r="E222" s="386"/>
      <c r="F222" s="386"/>
      <c r="G222" s="386"/>
      <c r="H222" s="386"/>
      <c r="I222" s="386"/>
      <c r="J222" s="386"/>
      <c r="K222" s="386"/>
      <c r="L222" s="386"/>
      <c r="M222" s="367">
        <f t="shared" si="2"/>
        <v>29</v>
      </c>
      <c r="N222" s="368"/>
      <c r="O222" s="369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  <c r="AA222" s="370"/>
      <c r="AB222" s="370"/>
      <c r="AC222" s="371"/>
      <c r="AD222" s="369"/>
      <c r="AE222" s="370"/>
      <c r="AF222" s="370"/>
      <c r="AG222" s="370"/>
      <c r="AH222" s="370"/>
      <c r="AI222" s="370"/>
      <c r="AJ222" s="370"/>
      <c r="AK222" s="370"/>
      <c r="AL222" s="370"/>
      <c r="AM222" s="370"/>
      <c r="AN222" s="370"/>
      <c r="AO222" s="370"/>
      <c r="AP222" s="370"/>
      <c r="AQ222" s="371"/>
      <c r="AR222" s="369"/>
      <c r="AS222" s="370"/>
      <c r="AT222" s="370"/>
      <c r="AU222" s="370"/>
      <c r="AV222" s="370"/>
      <c r="AW222" s="370"/>
      <c r="AX222" s="370"/>
      <c r="AY222" s="371"/>
      <c r="AZ222" s="16">
        <v>29</v>
      </c>
    </row>
    <row r="223" spans="1:52" ht="14.25" customHeight="1" x14ac:dyDescent="0.15">
      <c r="A223" s="1"/>
      <c r="B223" s="7"/>
      <c r="C223" s="387"/>
      <c r="D223" s="388"/>
      <c r="E223" s="388"/>
      <c r="F223" s="388"/>
      <c r="G223" s="388"/>
      <c r="H223" s="388"/>
      <c r="I223" s="388"/>
      <c r="J223" s="388"/>
      <c r="K223" s="388"/>
      <c r="L223" s="388"/>
      <c r="M223" s="367">
        <f t="shared" si="2"/>
        <v>30</v>
      </c>
      <c r="N223" s="368"/>
      <c r="O223" s="369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  <c r="AA223" s="370"/>
      <c r="AB223" s="370"/>
      <c r="AC223" s="371"/>
      <c r="AD223" s="369"/>
      <c r="AE223" s="370"/>
      <c r="AF223" s="370"/>
      <c r="AG223" s="370"/>
      <c r="AH223" s="370"/>
      <c r="AI223" s="370"/>
      <c r="AJ223" s="370"/>
      <c r="AK223" s="370"/>
      <c r="AL223" s="370"/>
      <c r="AM223" s="370"/>
      <c r="AN223" s="370"/>
      <c r="AO223" s="370"/>
      <c r="AP223" s="370"/>
      <c r="AQ223" s="371"/>
      <c r="AR223" s="369"/>
      <c r="AS223" s="370"/>
      <c r="AT223" s="370"/>
      <c r="AU223" s="370"/>
      <c r="AV223" s="370"/>
      <c r="AW223" s="370"/>
      <c r="AX223" s="370"/>
      <c r="AY223" s="371"/>
      <c r="AZ223" s="16">
        <v>30</v>
      </c>
    </row>
    <row r="224" spans="1:52" x14ac:dyDescent="0.15">
      <c r="A224" s="1"/>
      <c r="B224" s="2" t="s">
        <v>237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ht="14.25" x14ac:dyDescent="0.15">
      <c r="A225" s="1"/>
      <c r="B225" s="112" t="s">
        <v>238</v>
      </c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4"/>
      <c r="O225" s="380"/>
      <c r="P225" s="381"/>
      <c r="Q225" s="381"/>
      <c r="R225" s="381"/>
      <c r="S225" s="381"/>
      <c r="T225" s="381"/>
      <c r="U225" s="381"/>
      <c r="V225" s="381"/>
      <c r="W225" s="381"/>
      <c r="X225" s="381"/>
      <c r="Y225" s="381"/>
      <c r="Z225" s="381"/>
      <c r="AA225" s="381"/>
      <c r="AB225" s="381"/>
      <c r="AC225" s="381"/>
      <c r="AD225" s="381"/>
      <c r="AE225" s="381"/>
      <c r="AF225" s="381"/>
      <c r="AG225" s="381"/>
      <c r="AH225" s="381"/>
      <c r="AI225" s="381"/>
      <c r="AJ225" s="381"/>
      <c r="AK225" s="381"/>
      <c r="AL225" s="381"/>
      <c r="AM225" s="381"/>
      <c r="AN225" s="381"/>
      <c r="AO225" s="381"/>
      <c r="AP225" s="381"/>
      <c r="AQ225" s="381"/>
      <c r="AR225" s="381"/>
      <c r="AS225" s="381"/>
      <c r="AT225" s="381"/>
      <c r="AU225" s="381"/>
      <c r="AV225" s="381"/>
      <c r="AW225" s="381"/>
      <c r="AX225" s="381"/>
      <c r="AY225" s="382"/>
    </row>
    <row r="226" spans="1:51" ht="14.25" x14ac:dyDescent="0.15">
      <c r="A226" s="1"/>
      <c r="B226" s="112" t="s">
        <v>239</v>
      </c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4"/>
      <c r="O226" s="380"/>
      <c r="P226" s="381"/>
      <c r="Q226" s="381"/>
      <c r="R226" s="381"/>
      <c r="S226" s="381"/>
      <c r="T226" s="381"/>
      <c r="U226" s="381"/>
      <c r="V226" s="381"/>
      <c r="W226" s="381"/>
      <c r="X226" s="381"/>
      <c r="Y226" s="381"/>
      <c r="Z226" s="381"/>
      <c r="AA226" s="381"/>
      <c r="AB226" s="381"/>
      <c r="AC226" s="381"/>
      <c r="AD226" s="381"/>
      <c r="AE226" s="381"/>
      <c r="AF226" s="381"/>
      <c r="AG226" s="381"/>
      <c r="AH226" s="381"/>
      <c r="AI226" s="381"/>
      <c r="AJ226" s="381"/>
      <c r="AK226" s="381"/>
      <c r="AL226" s="381"/>
      <c r="AM226" s="381"/>
      <c r="AN226" s="381"/>
      <c r="AO226" s="381"/>
      <c r="AP226" s="381"/>
      <c r="AQ226" s="381"/>
      <c r="AR226" s="381"/>
      <c r="AS226" s="381"/>
      <c r="AT226" s="381"/>
      <c r="AU226" s="381"/>
      <c r="AV226" s="381"/>
      <c r="AW226" s="381"/>
      <c r="AX226" s="381"/>
      <c r="AY226" s="382"/>
    </row>
  </sheetData>
  <mergeCells count="698">
    <mergeCell ref="M221:N221"/>
    <mergeCell ref="O221:AC221"/>
    <mergeCell ref="AD221:AQ221"/>
    <mergeCell ref="AR221:AY221"/>
    <mergeCell ref="O185:Z185"/>
    <mergeCell ref="AA185:AH185"/>
    <mergeCell ref="AI185:AY185"/>
    <mergeCell ref="O186:Z186"/>
    <mergeCell ref="AA186:AH186"/>
    <mergeCell ref="AI186:AT186"/>
    <mergeCell ref="O219:AC219"/>
    <mergeCell ref="AD219:AQ219"/>
    <mergeCell ref="AR219:AY219"/>
    <mergeCell ref="M220:N220"/>
    <mergeCell ref="O220:AC220"/>
    <mergeCell ref="AD220:AQ220"/>
    <mergeCell ref="O217:AC217"/>
    <mergeCell ref="AD217:AQ217"/>
    <mergeCell ref="AR217:AY217"/>
    <mergeCell ref="M218:N218"/>
    <mergeCell ref="O218:AC218"/>
    <mergeCell ref="AD218:AQ218"/>
    <mergeCell ref="AR218:AY218"/>
    <mergeCell ref="M207:N207"/>
    <mergeCell ref="B226:N226"/>
    <mergeCell ref="O226:AY226"/>
    <mergeCell ref="M223:N223"/>
    <mergeCell ref="O223:AC223"/>
    <mergeCell ref="AD223:AQ223"/>
    <mergeCell ref="AR223:AY223"/>
    <mergeCell ref="B225:N225"/>
    <mergeCell ref="O225:AY225"/>
    <mergeCell ref="C194:L223"/>
    <mergeCell ref="M219:N219"/>
    <mergeCell ref="M215:N215"/>
    <mergeCell ref="O215:AC215"/>
    <mergeCell ref="AD215:AQ215"/>
    <mergeCell ref="AR215:AY215"/>
    <mergeCell ref="M222:N222"/>
    <mergeCell ref="O222:AC222"/>
    <mergeCell ref="AD222:AQ222"/>
    <mergeCell ref="AR222:AY222"/>
    <mergeCell ref="AR220:AY220"/>
    <mergeCell ref="M217:N217"/>
    <mergeCell ref="M213:N213"/>
    <mergeCell ref="O213:AC213"/>
    <mergeCell ref="AD213:AQ213"/>
    <mergeCell ref="AR213:AY213"/>
    <mergeCell ref="O207:AC207"/>
    <mergeCell ref="AD207:AQ207"/>
    <mergeCell ref="AR207:AY207"/>
    <mergeCell ref="M214:N214"/>
    <mergeCell ref="O214:AC214"/>
    <mergeCell ref="AD214:AQ214"/>
    <mergeCell ref="AR214:AY214"/>
    <mergeCell ref="M211:N211"/>
    <mergeCell ref="O211:AC211"/>
    <mergeCell ref="AD211:AQ211"/>
    <mergeCell ref="AR211:AY211"/>
    <mergeCell ref="M212:N212"/>
    <mergeCell ref="O212:AC212"/>
    <mergeCell ref="AD212:AQ212"/>
    <mergeCell ref="AR212:AY212"/>
    <mergeCell ref="M202:N202"/>
    <mergeCell ref="O202:AC202"/>
    <mergeCell ref="AD202:AQ202"/>
    <mergeCell ref="AR202:AY202"/>
    <mergeCell ref="M216:N216"/>
    <mergeCell ref="O216:AC216"/>
    <mergeCell ref="AD216:AQ216"/>
    <mergeCell ref="AR216:AY216"/>
    <mergeCell ref="M209:N209"/>
    <mergeCell ref="O209:AC209"/>
    <mergeCell ref="M205:N205"/>
    <mergeCell ref="O205:AC205"/>
    <mergeCell ref="AD205:AQ205"/>
    <mergeCell ref="AR205:AY205"/>
    <mergeCell ref="M206:N206"/>
    <mergeCell ref="O206:AC206"/>
    <mergeCell ref="AD206:AQ206"/>
    <mergeCell ref="AR206:AY206"/>
    <mergeCell ref="AD209:AQ209"/>
    <mergeCell ref="AR209:AY209"/>
    <mergeCell ref="M210:N210"/>
    <mergeCell ref="O210:AC210"/>
    <mergeCell ref="AD210:AQ210"/>
    <mergeCell ref="AR210:AY210"/>
    <mergeCell ref="M199:N199"/>
    <mergeCell ref="O199:AC199"/>
    <mergeCell ref="AD199:AQ199"/>
    <mergeCell ref="AR199:AY199"/>
    <mergeCell ref="M208:N208"/>
    <mergeCell ref="O208:AC208"/>
    <mergeCell ref="AD208:AQ208"/>
    <mergeCell ref="AR208:AY208"/>
    <mergeCell ref="M201:N201"/>
    <mergeCell ref="O201:AC201"/>
    <mergeCell ref="M200:N200"/>
    <mergeCell ref="O200:AC200"/>
    <mergeCell ref="AD200:AQ200"/>
    <mergeCell ref="AR200:AY200"/>
    <mergeCell ref="M203:N203"/>
    <mergeCell ref="O203:AC203"/>
    <mergeCell ref="AD203:AQ203"/>
    <mergeCell ref="AR203:AY203"/>
    <mergeCell ref="M204:N204"/>
    <mergeCell ref="O204:AC204"/>
    <mergeCell ref="AD204:AQ204"/>
    <mergeCell ref="AR204:AY204"/>
    <mergeCell ref="AD201:AQ201"/>
    <mergeCell ref="AR201:AY201"/>
    <mergeCell ref="M197:N197"/>
    <mergeCell ref="O197:AC197"/>
    <mergeCell ref="AD197:AQ197"/>
    <mergeCell ref="AR197:AY197"/>
    <mergeCell ref="M198:N198"/>
    <mergeCell ref="O198:AC198"/>
    <mergeCell ref="AD198:AQ198"/>
    <mergeCell ref="AR198:AY198"/>
    <mergeCell ref="AR194:AY194"/>
    <mergeCell ref="AD195:AQ195"/>
    <mergeCell ref="AR195:AY195"/>
    <mergeCell ref="M196:N196"/>
    <mergeCell ref="O196:AC196"/>
    <mergeCell ref="AD196:AQ196"/>
    <mergeCell ref="AR196:AY196"/>
    <mergeCell ref="M195:N195"/>
    <mergeCell ref="O195:AC195"/>
    <mergeCell ref="AH193:AQ193"/>
    <mergeCell ref="AR193:AU193"/>
    <mergeCell ref="AV193:AY193"/>
    <mergeCell ref="M194:N194"/>
    <mergeCell ref="O194:AC194"/>
    <mergeCell ref="AD194:AQ194"/>
    <mergeCell ref="C192:N192"/>
    <mergeCell ref="O192:AA192"/>
    <mergeCell ref="AB192:AK192"/>
    <mergeCell ref="AL192:AY192"/>
    <mergeCell ref="B193:L193"/>
    <mergeCell ref="M193:N193"/>
    <mergeCell ref="O193:R193"/>
    <mergeCell ref="S193:AA193"/>
    <mergeCell ref="AB193:AC193"/>
    <mergeCell ref="AD193:AG193"/>
    <mergeCell ref="O190:AA190"/>
    <mergeCell ref="AB190:AK190"/>
    <mergeCell ref="AL190:AY190"/>
    <mergeCell ref="C186:N186"/>
    <mergeCell ref="C187:N187"/>
    <mergeCell ref="B188:N188"/>
    <mergeCell ref="O188:AY188"/>
    <mergeCell ref="AU186:AY186"/>
    <mergeCell ref="O187:AD187"/>
    <mergeCell ref="AF187:AY187"/>
    <mergeCell ref="B191:N191"/>
    <mergeCell ref="O191:AY191"/>
    <mergeCell ref="B177:N177"/>
    <mergeCell ref="O177:AY177"/>
    <mergeCell ref="B178:N178"/>
    <mergeCell ref="O178:AY178"/>
    <mergeCell ref="B170:N170"/>
    <mergeCell ref="O170:AY170"/>
    <mergeCell ref="B171:N171"/>
    <mergeCell ref="O171:AY171"/>
    <mergeCell ref="B172:N172"/>
    <mergeCell ref="O172:AY172"/>
    <mergeCell ref="B179:N179"/>
    <mergeCell ref="O179:AY179"/>
    <mergeCell ref="B184:N184"/>
    <mergeCell ref="O184:AY184"/>
    <mergeCell ref="B185:N185"/>
    <mergeCell ref="B173:N173"/>
    <mergeCell ref="O173:AY173"/>
    <mergeCell ref="B175:N175"/>
    <mergeCell ref="O175:AY175"/>
    <mergeCell ref="C189:N189"/>
    <mergeCell ref="O189:AY189"/>
    <mergeCell ref="C190:N190"/>
    <mergeCell ref="B165:N165"/>
    <mergeCell ref="O165:AY165"/>
    <mergeCell ref="B166:N166"/>
    <mergeCell ref="O166:AY166"/>
    <mergeCell ref="B169:N169"/>
    <mergeCell ref="O169:AY169"/>
    <mergeCell ref="B158:N158"/>
    <mergeCell ref="O158:AY158"/>
    <mergeCell ref="B176:N176"/>
    <mergeCell ref="O176:AY176"/>
    <mergeCell ref="B160:N160"/>
    <mergeCell ref="O160:AY160"/>
    <mergeCell ref="B163:N163"/>
    <mergeCell ref="O163:AY163"/>
    <mergeCell ref="B164:N164"/>
    <mergeCell ref="O164:AY164"/>
    <mergeCell ref="B159:N159"/>
    <mergeCell ref="O159:AY159"/>
    <mergeCell ref="C151:U151"/>
    <mergeCell ref="V151:AY151"/>
    <mergeCell ref="C152:U152"/>
    <mergeCell ref="V152:AY152"/>
    <mergeCell ref="B157:N157"/>
    <mergeCell ref="O157:AY157"/>
    <mergeCell ref="B148:U148"/>
    <mergeCell ref="V148:AY148"/>
    <mergeCell ref="C149:U149"/>
    <mergeCell ref="V149:AF149"/>
    <mergeCell ref="C150:U150"/>
    <mergeCell ref="V150:AY150"/>
    <mergeCell ref="AJ149:AQ149"/>
    <mergeCell ref="L147:S147"/>
    <mergeCell ref="T147:U147"/>
    <mergeCell ref="V147:Y147"/>
    <mergeCell ref="Z147:AD147"/>
    <mergeCell ref="AE147:AH147"/>
    <mergeCell ref="AI147:AP147"/>
    <mergeCell ref="AQ147:AY147"/>
    <mergeCell ref="B146:C146"/>
    <mergeCell ref="D146:K146"/>
    <mergeCell ref="L146:S146"/>
    <mergeCell ref="T146:U146"/>
    <mergeCell ref="V146:Y146"/>
    <mergeCell ref="Z146:AD146"/>
    <mergeCell ref="AE146:AH146"/>
    <mergeCell ref="AI146:AP146"/>
    <mergeCell ref="AQ146:AY146"/>
    <mergeCell ref="B147:C147"/>
    <mergeCell ref="D147:K147"/>
    <mergeCell ref="AI139:AP139"/>
    <mergeCell ref="AQ139:AY139"/>
    <mergeCell ref="B140:U140"/>
    <mergeCell ref="V140:AY140"/>
    <mergeCell ref="C144:U144"/>
    <mergeCell ref="V144:AY144"/>
    <mergeCell ref="B139:C139"/>
    <mergeCell ref="D139:K139"/>
    <mergeCell ref="L139:S139"/>
    <mergeCell ref="T139:U139"/>
    <mergeCell ref="V139:Y139"/>
    <mergeCell ref="Z139:AD139"/>
    <mergeCell ref="AE139:AH139"/>
    <mergeCell ref="C141:U141"/>
    <mergeCell ref="V141:AF141"/>
    <mergeCell ref="AJ141:AQ141"/>
    <mergeCell ref="C142:U142"/>
    <mergeCell ref="V142:AY142"/>
    <mergeCell ref="C143:U143"/>
    <mergeCell ref="V143:AY143"/>
    <mergeCell ref="C134:U134"/>
    <mergeCell ref="V134:AY134"/>
    <mergeCell ref="B138:C138"/>
    <mergeCell ref="D138:K138"/>
    <mergeCell ref="L138:S138"/>
    <mergeCell ref="T138:U138"/>
    <mergeCell ref="V138:Y138"/>
    <mergeCell ref="Z138:AD138"/>
    <mergeCell ref="AE138:AH138"/>
    <mergeCell ref="AI138:AP138"/>
    <mergeCell ref="AQ138:AY138"/>
    <mergeCell ref="C135:U135"/>
    <mergeCell ref="V135:AY135"/>
    <mergeCell ref="C136:U136"/>
    <mergeCell ref="V136:AY136"/>
    <mergeCell ref="Z131:AD131"/>
    <mergeCell ref="AE131:AH131"/>
    <mergeCell ref="AI131:AP131"/>
    <mergeCell ref="AQ131:AY131"/>
    <mergeCell ref="B130:C130"/>
    <mergeCell ref="D130:K130"/>
    <mergeCell ref="L130:S130"/>
    <mergeCell ref="C133:U133"/>
    <mergeCell ref="V133:AF133"/>
    <mergeCell ref="AJ133:AQ133"/>
    <mergeCell ref="B132:U132"/>
    <mergeCell ref="V132:AY132"/>
    <mergeCell ref="B131:C131"/>
    <mergeCell ref="D131:K131"/>
    <mergeCell ref="L131:S131"/>
    <mergeCell ref="T131:U131"/>
    <mergeCell ref="V131:Y131"/>
    <mergeCell ref="T130:U130"/>
    <mergeCell ref="V130:Y130"/>
    <mergeCell ref="Z130:AD130"/>
    <mergeCell ref="AE130:AH130"/>
    <mergeCell ref="AI130:AP130"/>
    <mergeCell ref="AQ130:AY130"/>
    <mergeCell ref="L120:S120"/>
    <mergeCell ref="T120:U120"/>
    <mergeCell ref="V120:Y120"/>
    <mergeCell ref="Z120:AD120"/>
    <mergeCell ref="AQ121:AY121"/>
    <mergeCell ref="B122:U122"/>
    <mergeCell ref="V122:AY122"/>
    <mergeCell ref="C123:U123"/>
    <mergeCell ref="V123:AF123"/>
    <mergeCell ref="AJ123:AQ123"/>
    <mergeCell ref="L121:S121"/>
    <mergeCell ref="T121:U121"/>
    <mergeCell ref="V121:Y121"/>
    <mergeCell ref="Z121:AD121"/>
    <mergeCell ref="AE121:AH121"/>
    <mergeCell ref="AI121:AP121"/>
    <mergeCell ref="AQ112:AY112"/>
    <mergeCell ref="B113:C113"/>
    <mergeCell ref="D113:K113"/>
    <mergeCell ref="L113:S113"/>
    <mergeCell ref="T113:U113"/>
    <mergeCell ref="V113:Y113"/>
    <mergeCell ref="C126:U126"/>
    <mergeCell ref="V126:AY126"/>
    <mergeCell ref="C125:U125"/>
    <mergeCell ref="V125:AY125"/>
    <mergeCell ref="AE120:AH120"/>
    <mergeCell ref="AI120:AP120"/>
    <mergeCell ref="C115:U115"/>
    <mergeCell ref="V115:AF115"/>
    <mergeCell ref="AJ115:AQ115"/>
    <mergeCell ref="C116:U116"/>
    <mergeCell ref="V116:AY116"/>
    <mergeCell ref="AQ120:AY120"/>
    <mergeCell ref="C124:U124"/>
    <mergeCell ref="V124:AY124"/>
    <mergeCell ref="B121:C121"/>
    <mergeCell ref="D121:K121"/>
    <mergeCell ref="B120:C120"/>
    <mergeCell ref="D120:K120"/>
    <mergeCell ref="C108:U108"/>
    <mergeCell ref="V108:AY108"/>
    <mergeCell ref="C117:U117"/>
    <mergeCell ref="V117:AY117"/>
    <mergeCell ref="C118:U118"/>
    <mergeCell ref="V118:AY118"/>
    <mergeCell ref="B112:C112"/>
    <mergeCell ref="D112:K112"/>
    <mergeCell ref="L112:S112"/>
    <mergeCell ref="T112:U112"/>
    <mergeCell ref="C110:U110"/>
    <mergeCell ref="V110:AY110"/>
    <mergeCell ref="C109:U109"/>
    <mergeCell ref="V109:AY109"/>
    <mergeCell ref="Z113:AD113"/>
    <mergeCell ref="AE113:AH113"/>
    <mergeCell ref="AI113:AP113"/>
    <mergeCell ref="AQ113:AY113"/>
    <mergeCell ref="B114:U114"/>
    <mergeCell ref="V114:AY114"/>
    <mergeCell ref="V112:Y112"/>
    <mergeCell ref="Z112:AD112"/>
    <mergeCell ref="AE112:AH112"/>
    <mergeCell ref="AI112:AP112"/>
    <mergeCell ref="AQ105:AY105"/>
    <mergeCell ref="B106:U106"/>
    <mergeCell ref="V106:AY106"/>
    <mergeCell ref="C107:U107"/>
    <mergeCell ref="V107:AF107"/>
    <mergeCell ref="AJ107:AQ107"/>
    <mergeCell ref="L105:S105"/>
    <mergeCell ref="T105:U105"/>
    <mergeCell ref="V105:Y105"/>
    <mergeCell ref="Z105:AD105"/>
    <mergeCell ref="AE105:AH105"/>
    <mergeCell ref="AI105:AP105"/>
    <mergeCell ref="B105:C105"/>
    <mergeCell ref="D105:K105"/>
    <mergeCell ref="AQ96:AY96"/>
    <mergeCell ref="B97:C97"/>
    <mergeCell ref="D97:K97"/>
    <mergeCell ref="L97:S97"/>
    <mergeCell ref="T97:U97"/>
    <mergeCell ref="V97:Y97"/>
    <mergeCell ref="B104:C104"/>
    <mergeCell ref="D104:K104"/>
    <mergeCell ref="L104:S104"/>
    <mergeCell ref="T104:U104"/>
    <mergeCell ref="V104:Y104"/>
    <mergeCell ref="Z104:AD104"/>
    <mergeCell ref="AE104:AH104"/>
    <mergeCell ref="AI104:AP104"/>
    <mergeCell ref="C99:U99"/>
    <mergeCell ref="V99:AF99"/>
    <mergeCell ref="AJ99:AQ99"/>
    <mergeCell ref="C100:U100"/>
    <mergeCell ref="V100:AY100"/>
    <mergeCell ref="AQ104:AY104"/>
    <mergeCell ref="C92:U92"/>
    <mergeCell ref="V92:AY92"/>
    <mergeCell ref="C101:U101"/>
    <mergeCell ref="V101:AY101"/>
    <mergeCell ref="C102:U102"/>
    <mergeCell ref="V102:AY102"/>
    <mergeCell ref="B96:C96"/>
    <mergeCell ref="D96:K96"/>
    <mergeCell ref="L96:S96"/>
    <mergeCell ref="T96:U96"/>
    <mergeCell ref="C93:U93"/>
    <mergeCell ref="V93:AY93"/>
    <mergeCell ref="C94:U94"/>
    <mergeCell ref="V94:AY94"/>
    <mergeCell ref="Z97:AD97"/>
    <mergeCell ref="AE97:AH97"/>
    <mergeCell ref="AI97:AP97"/>
    <mergeCell ref="AQ97:AY97"/>
    <mergeCell ref="B98:U98"/>
    <mergeCell ref="V98:AY98"/>
    <mergeCell ref="V96:Y96"/>
    <mergeCell ref="Z96:AD96"/>
    <mergeCell ref="AE96:AH96"/>
    <mergeCell ref="AI96:AP96"/>
    <mergeCell ref="AI89:AP89"/>
    <mergeCell ref="AQ89:AY89"/>
    <mergeCell ref="B90:U90"/>
    <mergeCell ref="V90:AY90"/>
    <mergeCell ref="C91:U91"/>
    <mergeCell ref="V91:AF91"/>
    <mergeCell ref="AJ91:AQ91"/>
    <mergeCell ref="B89:C89"/>
    <mergeCell ref="D89:K89"/>
    <mergeCell ref="L89:S89"/>
    <mergeCell ref="T89:U89"/>
    <mergeCell ref="V89:Y89"/>
    <mergeCell ref="Z89:AD89"/>
    <mergeCell ref="AE89:AH89"/>
    <mergeCell ref="B88:C88"/>
    <mergeCell ref="D88:K88"/>
    <mergeCell ref="L88:S88"/>
    <mergeCell ref="T88:U88"/>
    <mergeCell ref="V88:Y88"/>
    <mergeCell ref="C85:U85"/>
    <mergeCell ref="V85:AY85"/>
    <mergeCell ref="AE88:AH88"/>
    <mergeCell ref="AI88:AP88"/>
    <mergeCell ref="AQ88:AY88"/>
    <mergeCell ref="V82:AY82"/>
    <mergeCell ref="C83:U83"/>
    <mergeCell ref="V83:AF83"/>
    <mergeCell ref="AJ83:AQ83"/>
    <mergeCell ref="Z88:AD88"/>
    <mergeCell ref="Z81:AD81"/>
    <mergeCell ref="Z80:AD80"/>
    <mergeCell ref="AE80:AH80"/>
    <mergeCell ref="AI80:AP80"/>
    <mergeCell ref="C84:U84"/>
    <mergeCell ref="V84:AY84"/>
    <mergeCell ref="T80:U80"/>
    <mergeCell ref="V80:Y80"/>
    <mergeCell ref="B81:C81"/>
    <mergeCell ref="D81:K81"/>
    <mergeCell ref="L81:S81"/>
    <mergeCell ref="T81:U81"/>
    <mergeCell ref="V81:Y81"/>
    <mergeCell ref="AQ80:AY80"/>
    <mergeCell ref="C86:U86"/>
    <mergeCell ref="V86:AY86"/>
    <mergeCell ref="AE81:AH81"/>
    <mergeCell ref="AI81:AP81"/>
    <mergeCell ref="AQ81:AY81"/>
    <mergeCell ref="B82:U82"/>
    <mergeCell ref="B80:C80"/>
    <mergeCell ref="D80:K80"/>
    <mergeCell ref="L80:S80"/>
    <mergeCell ref="AU71:AY71"/>
    <mergeCell ref="AK72:AN72"/>
    <mergeCell ref="AO72:AT72"/>
    <mergeCell ref="AU72:AY72"/>
    <mergeCell ref="V73:Z73"/>
    <mergeCell ref="B69:D74"/>
    <mergeCell ref="AA76:AE76"/>
    <mergeCell ref="B78:F78"/>
    <mergeCell ref="G78:AY78"/>
    <mergeCell ref="B75:D75"/>
    <mergeCell ref="V69:Z69"/>
    <mergeCell ref="AA69:AE69"/>
    <mergeCell ref="AF69:AJ69"/>
    <mergeCell ref="AK69:AN69"/>
    <mergeCell ref="V71:Z71"/>
    <mergeCell ref="AA71:AE71"/>
    <mergeCell ref="B76:D76"/>
    <mergeCell ref="E76:H76"/>
    <mergeCell ref="I76:N76"/>
    <mergeCell ref="O76:Q76"/>
    <mergeCell ref="G79:U79"/>
    <mergeCell ref="W79:AX79"/>
    <mergeCell ref="V76:Z76"/>
    <mergeCell ref="AA75:AE75"/>
    <mergeCell ref="AA73:AE73"/>
    <mergeCell ref="AF73:AJ73"/>
    <mergeCell ref="V74:Z74"/>
    <mergeCell ref="AA74:AE74"/>
    <mergeCell ref="AF74:AJ74"/>
    <mergeCell ref="R76:U76"/>
    <mergeCell ref="O69:Q74"/>
    <mergeCell ref="AK73:AN73"/>
    <mergeCell ref="AO73:AT73"/>
    <mergeCell ref="AU73:AY73"/>
    <mergeCell ref="AK74:AN74"/>
    <mergeCell ref="AO74:AT74"/>
    <mergeCell ref="R72:U74"/>
    <mergeCell ref="V72:Z72"/>
    <mergeCell ref="AA72:AE72"/>
    <mergeCell ref="AF72:AJ72"/>
    <mergeCell ref="R66:U66"/>
    <mergeCell ref="V66:Z66"/>
    <mergeCell ref="AA66:AE66"/>
    <mergeCell ref="E75:H75"/>
    <mergeCell ref="I75:N75"/>
    <mergeCell ref="O75:Q75"/>
    <mergeCell ref="R75:U75"/>
    <mergeCell ref="V75:Z75"/>
    <mergeCell ref="AU74:AY74"/>
    <mergeCell ref="AU67:AY68"/>
    <mergeCell ref="AU69:AY69"/>
    <mergeCell ref="V70:Z70"/>
    <mergeCell ref="AA70:AE70"/>
    <mergeCell ref="AF70:AJ70"/>
    <mergeCell ref="AK70:AN70"/>
    <mergeCell ref="AO70:AT70"/>
    <mergeCell ref="AU70:AY70"/>
    <mergeCell ref="V60:Z60"/>
    <mergeCell ref="B58:D62"/>
    <mergeCell ref="E58:H62"/>
    <mergeCell ref="B67:D68"/>
    <mergeCell ref="E67:H68"/>
    <mergeCell ref="I67:N68"/>
    <mergeCell ref="I66:N66"/>
    <mergeCell ref="O66:Q66"/>
    <mergeCell ref="AO69:AT69"/>
    <mergeCell ref="R69:U71"/>
    <mergeCell ref="AO67:AT68"/>
    <mergeCell ref="AF71:AJ71"/>
    <mergeCell ref="AO71:AT71"/>
    <mergeCell ref="R67:U68"/>
    <mergeCell ref="V67:Z68"/>
    <mergeCell ref="E69:H74"/>
    <mergeCell ref="I69:J74"/>
    <mergeCell ref="K69:L74"/>
    <mergeCell ref="M69:N74"/>
    <mergeCell ref="AK71:AN71"/>
    <mergeCell ref="AA67:AE68"/>
    <mergeCell ref="AF67:AJ68"/>
    <mergeCell ref="AK67:AN68"/>
    <mergeCell ref="O67:Q68"/>
    <mergeCell ref="AK60:AN60"/>
    <mergeCell ref="AO60:AT60"/>
    <mergeCell ref="O63:Q63"/>
    <mergeCell ref="R63:U63"/>
    <mergeCell ref="V63:Z63"/>
    <mergeCell ref="AA63:AE63"/>
    <mergeCell ref="AU60:AY60"/>
    <mergeCell ref="AU62:AY62"/>
    <mergeCell ref="B63:D63"/>
    <mergeCell ref="E63:H63"/>
    <mergeCell ref="I63:N63"/>
    <mergeCell ref="R62:U62"/>
    <mergeCell ref="AA62:AE62"/>
    <mergeCell ref="AF62:AJ62"/>
    <mergeCell ref="AK62:AN62"/>
    <mergeCell ref="AO62:AT62"/>
    <mergeCell ref="O58:Q62"/>
    <mergeCell ref="R61:U61"/>
    <mergeCell ref="V61:Z61"/>
    <mergeCell ref="AA61:AE61"/>
    <mergeCell ref="AF61:AJ61"/>
    <mergeCell ref="AO61:AT61"/>
    <mergeCell ref="AU61:AY61"/>
    <mergeCell ref="R60:U60"/>
    <mergeCell ref="B44:O44"/>
    <mergeCell ref="P44:AY44"/>
    <mergeCell ref="B46:O46"/>
    <mergeCell ref="P46:AY46"/>
    <mergeCell ref="B47:O47"/>
    <mergeCell ref="P47:AY47"/>
    <mergeCell ref="C64:AY64"/>
    <mergeCell ref="C65:AY65"/>
    <mergeCell ref="B66:D66"/>
    <mergeCell ref="E66:H66"/>
    <mergeCell ref="V62:Z62"/>
    <mergeCell ref="AO58:AT58"/>
    <mergeCell ref="AU58:AY58"/>
    <mergeCell ref="R59:U59"/>
    <mergeCell ref="V59:Z59"/>
    <mergeCell ref="AA59:AE59"/>
    <mergeCell ref="AF59:AJ59"/>
    <mergeCell ref="AK59:AN59"/>
    <mergeCell ref="AO59:AT59"/>
    <mergeCell ref="AA60:AE60"/>
    <mergeCell ref="AF60:AJ60"/>
    <mergeCell ref="AU59:AY59"/>
    <mergeCell ref="R58:U58"/>
    <mergeCell ref="V58:Z58"/>
    <mergeCell ref="I58:J62"/>
    <mergeCell ref="K58:L62"/>
    <mergeCell ref="M58:N62"/>
    <mergeCell ref="B56:D57"/>
    <mergeCell ref="E56:H57"/>
    <mergeCell ref="I56:N57"/>
    <mergeCell ref="O56:Q57"/>
    <mergeCell ref="AK61:AN61"/>
    <mergeCell ref="P50:AY50"/>
    <mergeCell ref="B51:O51"/>
    <mergeCell ref="P51:AY51"/>
    <mergeCell ref="B54:E54"/>
    <mergeCell ref="F54:P54"/>
    <mergeCell ref="AO56:AT57"/>
    <mergeCell ref="AU56:AY57"/>
    <mergeCell ref="R56:U57"/>
    <mergeCell ref="V56:Z57"/>
    <mergeCell ref="AA56:AE57"/>
    <mergeCell ref="AF56:AJ57"/>
    <mergeCell ref="AK56:AN57"/>
    <mergeCell ref="B50:O50"/>
    <mergeCell ref="AA58:AE58"/>
    <mergeCell ref="AF58:AJ58"/>
    <mergeCell ref="AK58:AN58"/>
    <mergeCell ref="AC41:AY41"/>
    <mergeCell ref="B43:O43"/>
    <mergeCell ref="P43:AY43"/>
    <mergeCell ref="B38:K38"/>
    <mergeCell ref="L38:AB38"/>
    <mergeCell ref="AC38:AY38"/>
    <mergeCell ref="AC39:AY39"/>
    <mergeCell ref="L39:AB39"/>
    <mergeCell ref="B39:K39"/>
    <mergeCell ref="AC40:AY40"/>
    <mergeCell ref="B25:N25"/>
    <mergeCell ref="O25:X25"/>
    <mergeCell ref="Y25:AY25"/>
    <mergeCell ref="B26:N26"/>
    <mergeCell ref="O26:AF26"/>
    <mergeCell ref="B30:N30"/>
    <mergeCell ref="O30:AC30"/>
    <mergeCell ref="B37:K37"/>
    <mergeCell ref="L37:AB37"/>
    <mergeCell ref="AC37:AY37"/>
    <mergeCell ref="O32:AY32"/>
    <mergeCell ref="O33:AY33"/>
    <mergeCell ref="O34:AY34"/>
    <mergeCell ref="B36:K36"/>
    <mergeCell ref="AC36:AY36"/>
    <mergeCell ref="O31:AY31"/>
    <mergeCell ref="AD30:AY30"/>
    <mergeCell ref="B31:N31"/>
    <mergeCell ref="B32:N32"/>
    <mergeCell ref="L36:AB36"/>
    <mergeCell ref="B13:N13"/>
    <mergeCell ref="O13:AY13"/>
    <mergeCell ref="O14:AY14"/>
    <mergeCell ref="H15:AY15"/>
    <mergeCell ref="B16:N16"/>
    <mergeCell ref="O16:AY16"/>
    <mergeCell ref="B20:N20"/>
    <mergeCell ref="O20:AY20"/>
    <mergeCell ref="B23:N23"/>
    <mergeCell ref="O23:W23"/>
    <mergeCell ref="X23:AY23"/>
    <mergeCell ref="X10:AA10"/>
    <mergeCell ref="B6:E6"/>
    <mergeCell ref="F6:N6"/>
    <mergeCell ref="O6:U6"/>
    <mergeCell ref="W6:AA6"/>
    <mergeCell ref="AB6:AD6"/>
    <mergeCell ref="AE6:AY6"/>
    <mergeCell ref="AB9:AD9"/>
    <mergeCell ref="B24:N24"/>
    <mergeCell ref="O24:W24"/>
    <mergeCell ref="X24:AY24"/>
    <mergeCell ref="AE9:AY9"/>
    <mergeCell ref="B10:E10"/>
    <mergeCell ref="F10:V10"/>
    <mergeCell ref="AB10:AD10"/>
    <mergeCell ref="AE10:AY10"/>
    <mergeCell ref="B12:N12"/>
    <mergeCell ref="B17:N17"/>
    <mergeCell ref="O17:AY17"/>
    <mergeCell ref="B18:N18"/>
    <mergeCell ref="O18:AY18"/>
    <mergeCell ref="B19:N19"/>
    <mergeCell ref="O19:AY19"/>
    <mergeCell ref="O12:AY12"/>
    <mergeCell ref="W7:AA7"/>
    <mergeCell ref="AB7:AD7"/>
    <mergeCell ref="AE7:AY7"/>
    <mergeCell ref="A8:K8"/>
    <mergeCell ref="AB8:AD8"/>
    <mergeCell ref="AE8:AY8"/>
    <mergeCell ref="B9:E9"/>
    <mergeCell ref="F9:V9"/>
    <mergeCell ref="W8:AA8"/>
    <mergeCell ref="X9:AA9"/>
    <mergeCell ref="A1:AY2"/>
    <mergeCell ref="O4:U4"/>
    <mergeCell ref="W4:AA4"/>
    <mergeCell ref="AB4:AD4"/>
    <mergeCell ref="AE4:AY4"/>
    <mergeCell ref="B5:E5"/>
    <mergeCell ref="F5:N5"/>
    <mergeCell ref="O5:U5"/>
    <mergeCell ref="W5:AA5"/>
    <mergeCell ref="AB5:AD5"/>
    <mergeCell ref="AE5:AY5"/>
  </mergeCells>
  <phoneticPr fontId="1"/>
  <conditionalFormatting sqref="B113:C113 T113:AY113 B114:AY120 B121:C121 T121:AY121 B122:AY130 B131:C131 T131:AY131 B132:AY138 B139:C139 T139:AY139 B140:AY144">
    <cfRule type="expression" dxfId="244" priority="97">
      <formula>$F$6&lt;&gt;"Animo"</formula>
    </cfRule>
  </conditionalFormatting>
  <conditionalFormatting sqref="B90:U94">
    <cfRule type="expression" dxfId="243" priority="101">
      <formula>#REF!="無し"</formula>
    </cfRule>
  </conditionalFormatting>
  <conditionalFormatting sqref="B98:U102">
    <cfRule type="expression" dxfId="242" priority="103">
      <formula>#REF!="無し"</formula>
    </cfRule>
  </conditionalFormatting>
  <conditionalFormatting sqref="B106:U110">
    <cfRule type="expression" dxfId="241" priority="73">
      <formula>#REF!="無し"</formula>
    </cfRule>
  </conditionalFormatting>
  <conditionalFormatting sqref="B114:U118 B132:U136">
    <cfRule type="expression" dxfId="240" priority="76">
      <formula>#REF!="無し"</formula>
    </cfRule>
  </conditionalFormatting>
  <conditionalFormatting sqref="B122:U128 B140:U144">
    <cfRule type="expression" dxfId="239" priority="75">
      <formula>#REF!="無し"</formula>
    </cfRule>
  </conditionalFormatting>
  <conditionalFormatting sqref="B148:U152">
    <cfRule type="expression" dxfId="238" priority="74">
      <formula>#REF!="無し"</formula>
    </cfRule>
  </conditionalFormatting>
  <conditionalFormatting sqref="B13:AY13">
    <cfRule type="expression" dxfId="237" priority="100">
      <formula>$O$12="有り"</formula>
    </cfRule>
  </conditionalFormatting>
  <conditionalFormatting sqref="B19:AY19">
    <cfRule type="expression" dxfId="236" priority="41">
      <formula>$O$16&lt;&gt;"AVAYA(AES連携無し)"</formula>
    </cfRule>
  </conditionalFormatting>
  <conditionalFormatting sqref="B20:AY20">
    <cfRule type="expression" dxfId="235" priority="40">
      <formula>$F$6&lt;&gt;"NextGen"</formula>
    </cfRule>
  </conditionalFormatting>
  <conditionalFormatting sqref="B32:AY32">
    <cfRule type="expression" dxfId="234" priority="1">
      <formula>$F$6="NextGen"</formula>
    </cfRule>
  </conditionalFormatting>
  <conditionalFormatting sqref="B67:AY75">
    <cfRule type="expression" dxfId="233" priority="81">
      <formula>$F$6&lt;&gt;"NextGen"</formula>
    </cfRule>
  </conditionalFormatting>
  <conditionalFormatting sqref="B82:AY82 B83:U86">
    <cfRule type="expression" dxfId="232" priority="102">
      <formula>#REF!="無し"</formula>
    </cfRule>
  </conditionalFormatting>
  <conditionalFormatting sqref="B112:AY112">
    <cfRule type="expression" dxfId="231" priority="43">
      <formula>$F$6&lt;&gt;"Animo"</formula>
    </cfRule>
  </conditionalFormatting>
  <conditionalFormatting sqref="B146:AY146 B147:K147 B148:U152">
    <cfRule type="expression" dxfId="230" priority="72">
      <formula>$F$5&lt;&gt;"本番"</formula>
    </cfRule>
  </conditionalFormatting>
  <conditionalFormatting sqref="B158:AY160">
    <cfRule type="expression" dxfId="229" priority="16">
      <formula>$O$157="無し"</formula>
    </cfRule>
  </conditionalFormatting>
  <conditionalFormatting sqref="B164:AY166">
    <cfRule type="expression" dxfId="228" priority="15">
      <formula>$O$163="無し"</formula>
    </cfRule>
  </conditionalFormatting>
  <conditionalFormatting sqref="B170:AY172">
    <cfRule type="expression" dxfId="227" priority="14">
      <formula>$O$163="無し"</formula>
    </cfRule>
  </conditionalFormatting>
  <conditionalFormatting sqref="B175:AY181">
    <cfRule type="expression" dxfId="226" priority="42">
      <formula>$O$16&lt;&gt;"Avaya AES"</formula>
    </cfRule>
  </conditionalFormatting>
  <conditionalFormatting sqref="B191:AY192">
    <cfRule type="expression" dxfId="225" priority="35">
      <formula>$F$6&lt;&gt;"Animo"</formula>
    </cfRule>
  </conditionalFormatting>
  <conditionalFormatting sqref="B225:AY226">
    <cfRule type="expression" dxfId="224" priority="36">
      <formula>$O$16&lt;&gt;"NEC SV OAI連携"</formula>
    </cfRule>
  </conditionalFormatting>
  <conditionalFormatting sqref="C190:AA190">
    <cfRule type="expression" dxfId="223" priority="11">
      <formula>$F$7&lt;&gt;"Animo"</formula>
    </cfRule>
  </conditionalFormatting>
  <conditionalFormatting sqref="D81:K81">
    <cfRule type="expression" dxfId="222" priority="30">
      <formula>$F$6&lt;&gt;"Animo"</formula>
    </cfRule>
  </conditionalFormatting>
  <conditionalFormatting sqref="D89:K89">
    <cfRule type="expression" dxfId="221" priority="29">
      <formula>$F$6&lt;&gt;"Animo"</formula>
    </cfRule>
  </conditionalFormatting>
  <conditionalFormatting sqref="D97:K97">
    <cfRule type="expression" dxfId="220" priority="28">
      <formula>$F$6&lt;&gt;"Animo"</formula>
    </cfRule>
  </conditionalFormatting>
  <conditionalFormatting sqref="D105:K105">
    <cfRule type="expression" dxfId="219" priority="27">
      <formula>$F$6&lt;&gt;"Animo"</formula>
    </cfRule>
  </conditionalFormatting>
  <conditionalFormatting sqref="G78">
    <cfRule type="expression" dxfId="218" priority="96">
      <formula>#REF!="無し"</formula>
    </cfRule>
  </conditionalFormatting>
  <conditionalFormatting sqref="M194:AY223">
    <cfRule type="expression" dxfId="217" priority="5">
      <formula>$M194=""</formula>
    </cfRule>
  </conditionalFormatting>
  <conditionalFormatting sqref="V81">
    <cfRule type="expression" dxfId="216" priority="92">
      <formula>#REF!="無し"</formula>
    </cfRule>
  </conditionalFormatting>
  <conditionalFormatting sqref="V83">
    <cfRule type="expression" dxfId="215" priority="22">
      <formula>#REF!="無し"</formula>
    </cfRule>
  </conditionalFormatting>
  <conditionalFormatting sqref="V89">
    <cfRule type="expression" dxfId="214" priority="90">
      <formula>#REF!="無し"</formula>
    </cfRule>
  </conditionalFormatting>
  <conditionalFormatting sqref="V91 AJ91 V92:AY94">
    <cfRule type="expression" dxfId="213" priority="94">
      <formula>#REF!="無し"</formula>
    </cfRule>
  </conditionalFormatting>
  <conditionalFormatting sqref="V99">
    <cfRule type="expression" dxfId="212" priority="25">
      <formula>#REF!="無し"</formula>
    </cfRule>
  </conditionalFormatting>
  <conditionalFormatting sqref="V115">
    <cfRule type="expression" dxfId="211" priority="71">
      <formula>#REF!="無し"</formula>
    </cfRule>
  </conditionalFormatting>
  <conditionalFormatting sqref="V149">
    <cfRule type="expression" dxfId="210" priority="18">
      <formula>#REF!="無し"</formula>
    </cfRule>
  </conditionalFormatting>
  <conditionalFormatting sqref="V81:Y81">
    <cfRule type="expression" dxfId="209" priority="91">
      <formula>$T$81&lt;&gt;"有"</formula>
    </cfRule>
  </conditionalFormatting>
  <conditionalFormatting sqref="V89:Y89">
    <cfRule type="expression" dxfId="208" priority="89">
      <formula>$T$89&lt;&gt;"有"</formula>
    </cfRule>
  </conditionalFormatting>
  <conditionalFormatting sqref="V97:Y97 AQ97:AY97 AY99 V100:AY102">
    <cfRule type="expression" dxfId="207" priority="87">
      <formula>$T$97&lt;&gt;"有"</formula>
    </cfRule>
  </conditionalFormatting>
  <conditionalFormatting sqref="V105:Y105">
    <cfRule type="expression" dxfId="206" priority="56">
      <formula>$T$105&lt;&gt;"有"</formula>
    </cfRule>
  </conditionalFormatting>
  <conditionalFormatting sqref="V113:Y113 V115:AY118">
    <cfRule type="expression" dxfId="205" priority="57">
      <formula>$T$113&lt;&gt;"有"</formula>
    </cfRule>
  </conditionalFormatting>
  <conditionalFormatting sqref="V121:Y121 AQ121:AY121">
    <cfRule type="expression" dxfId="204" priority="59">
      <formula>$T$121&lt;&gt;"有"</formula>
    </cfRule>
  </conditionalFormatting>
  <conditionalFormatting sqref="V131:Y131 AQ131:AY131 V133:AY136">
    <cfRule type="expression" dxfId="203" priority="60">
      <formula>$T$131&lt;&gt;"有"</formula>
    </cfRule>
  </conditionalFormatting>
  <conditionalFormatting sqref="V139:Y139 V141:AY144">
    <cfRule type="expression" dxfId="202" priority="61">
      <formula>$T$139&lt;&gt;"有"</formula>
    </cfRule>
  </conditionalFormatting>
  <conditionalFormatting sqref="V147:Y147 V150:AY152">
    <cfRule type="expression" dxfId="201" priority="62">
      <formula>$T$147&lt;&gt;"有"</formula>
    </cfRule>
  </conditionalFormatting>
  <conditionalFormatting sqref="V99:AX99">
    <cfRule type="expression" dxfId="200" priority="24">
      <formula>$T$81&lt;&gt;"有"</formula>
    </cfRule>
  </conditionalFormatting>
  <conditionalFormatting sqref="V83:AY86">
    <cfRule type="expression" dxfId="199" priority="21">
      <formula>$T$81&lt;&gt;"有"</formula>
    </cfRule>
  </conditionalFormatting>
  <conditionalFormatting sqref="V84:AY86">
    <cfRule type="expression" dxfId="198" priority="77">
      <formula>#REF!="無し"</formula>
    </cfRule>
  </conditionalFormatting>
  <conditionalFormatting sqref="V90:AY90 V98:AY98">
    <cfRule type="expression" dxfId="197" priority="95">
      <formula>#REF!="無し"</formula>
    </cfRule>
  </conditionalFormatting>
  <conditionalFormatting sqref="V91:AY94">
    <cfRule type="expression" dxfId="196" priority="93">
      <formula>$T$89&lt;&gt;"有"</formula>
    </cfRule>
  </conditionalFormatting>
  <conditionalFormatting sqref="V106:AY106 V114:AY114 V122:AY122 V132:AY132 V140:AY140 V148:AY148">
    <cfRule type="expression" dxfId="195" priority="67">
      <formula>#REF!="無し"</formula>
    </cfRule>
  </conditionalFormatting>
  <conditionalFormatting sqref="V107:AY110">
    <cfRule type="expression" dxfId="194" priority="63">
      <formula>$T$105&lt;&gt;"有"</formula>
    </cfRule>
  </conditionalFormatting>
  <conditionalFormatting sqref="V116:AY118">
    <cfRule type="expression" dxfId="193" priority="69">
      <formula>#REF!="無し"</formula>
    </cfRule>
  </conditionalFormatting>
  <conditionalFormatting sqref="V123:AY129">
    <cfRule type="expression" dxfId="192" priority="58">
      <formula>$T$121&lt;&gt;"有"</formula>
    </cfRule>
  </conditionalFormatting>
  <conditionalFormatting sqref="V149:AY149">
    <cfRule type="expression" dxfId="191" priority="17">
      <formula>$T$81&lt;&gt;"有"</formula>
    </cfRule>
  </conditionalFormatting>
  <conditionalFormatting sqref="V150:AY152">
    <cfRule type="expression" dxfId="190" priority="68">
      <formula>#REF!="無し"</formula>
    </cfRule>
  </conditionalFormatting>
  <conditionalFormatting sqref="Z81:AP81">
    <cfRule type="expression" dxfId="189" priority="86">
      <formula>$V$81&lt;&gt;"有り"</formula>
    </cfRule>
  </conditionalFormatting>
  <conditionalFormatting sqref="Z89:AP89">
    <cfRule type="expression" dxfId="188" priority="84">
      <formula>$V$89&lt;&gt;"有り"</formula>
    </cfRule>
    <cfRule type="expression" dxfId="187" priority="85">
      <formula>#REF!="無し"</formula>
    </cfRule>
  </conditionalFormatting>
  <conditionalFormatting sqref="Z97:AP97">
    <cfRule type="expression" dxfId="186" priority="82">
      <formula>$V$97&lt;&gt;"有り"</formula>
    </cfRule>
    <cfRule type="expression" dxfId="185" priority="83">
      <formula>#REF!="無し"</formula>
    </cfRule>
  </conditionalFormatting>
  <conditionalFormatting sqref="Z105:AP105">
    <cfRule type="expression" dxfId="184" priority="55">
      <formula>#REF!="無し"</formula>
    </cfRule>
    <cfRule type="expression" dxfId="183" priority="54">
      <formula>$V$105&lt;&gt;"有り"</formula>
    </cfRule>
  </conditionalFormatting>
  <conditionalFormatting sqref="Z113:AP113">
    <cfRule type="expression" dxfId="182" priority="53">
      <formula>#REF!="無し"</formula>
    </cfRule>
    <cfRule type="expression" dxfId="181" priority="52">
      <formula>$V$113&lt;&gt;"有り"</formula>
    </cfRule>
  </conditionalFormatting>
  <conditionalFormatting sqref="Z121:AP121">
    <cfRule type="expression" dxfId="180" priority="50">
      <formula>$V$121&lt;&gt;"有り"</formula>
    </cfRule>
    <cfRule type="expression" dxfId="179" priority="51">
      <formula>#REF!="無し"</formula>
    </cfRule>
  </conditionalFormatting>
  <conditionalFormatting sqref="Z131:AP131">
    <cfRule type="expression" dxfId="178" priority="49">
      <formula>#REF!="無し"</formula>
    </cfRule>
    <cfRule type="expression" dxfId="177" priority="48">
      <formula>$V$131&lt;&gt;"有り"</formula>
    </cfRule>
  </conditionalFormatting>
  <conditionalFormatting sqref="Z139:AP139">
    <cfRule type="expression" dxfId="176" priority="47">
      <formula>#REF!="無し"</formula>
    </cfRule>
    <cfRule type="expression" dxfId="175" priority="46">
      <formula>$V$139&lt;&gt;"有り"</formula>
    </cfRule>
  </conditionalFormatting>
  <conditionalFormatting sqref="Z147:AP147">
    <cfRule type="expression" dxfId="174" priority="45">
      <formula>#REF!="無し"</formula>
    </cfRule>
    <cfRule type="expression" dxfId="173" priority="44">
      <formula>$V$147&lt;&gt;"有り"</formula>
    </cfRule>
  </conditionalFormatting>
  <conditionalFormatting sqref="Z81:AY81">
    <cfRule type="expression" dxfId="172" priority="99">
      <formula>#REF!="無し"</formula>
    </cfRule>
  </conditionalFormatting>
  <conditionalFormatting sqref="AD194:AQ223">
    <cfRule type="expression" dxfId="171" priority="4">
      <formula>$AH$190="DHCP"</formula>
    </cfRule>
  </conditionalFormatting>
  <conditionalFormatting sqref="AE5">
    <cfRule type="expression" dxfId="170" priority="10">
      <formula>#REF!="無し"</formula>
    </cfRule>
  </conditionalFormatting>
  <conditionalFormatting sqref="AE4:AY4 AE6:AY6 AE7">
    <cfRule type="expression" dxfId="169" priority="12">
      <formula>#REF!="無し"</formula>
    </cfRule>
  </conditionalFormatting>
  <conditionalFormatting sqref="AE8:AY10">
    <cfRule type="expression" dxfId="168" priority="13">
      <formula>#REF!="無し"</formula>
    </cfRule>
  </conditionalFormatting>
  <conditionalFormatting sqref="AJ83">
    <cfRule type="expression" dxfId="167" priority="23">
      <formula>#REF!="無し"</formula>
    </cfRule>
  </conditionalFormatting>
  <conditionalFormatting sqref="AJ99">
    <cfRule type="expression" dxfId="166" priority="26">
      <formula>#REF!="無し"</formula>
    </cfRule>
  </conditionalFormatting>
  <conditionalFormatting sqref="AJ115">
    <cfRule type="expression" dxfId="165" priority="70">
      <formula>#REF!="無し"</formula>
    </cfRule>
  </conditionalFormatting>
  <conditionalFormatting sqref="AJ149">
    <cfRule type="expression" dxfId="164" priority="19">
      <formula>#REF!="無し"</formula>
    </cfRule>
  </conditionalFormatting>
  <conditionalFormatting sqref="AQ89:AY89">
    <cfRule type="expression" dxfId="163" priority="98">
      <formula>$T$65="無し"</formula>
    </cfRule>
  </conditionalFormatting>
  <conditionalFormatting sqref="AQ105:AY105">
    <cfRule type="expression" dxfId="162" priority="20">
      <formula>$T$65="無し"</formula>
    </cfRule>
  </conditionalFormatting>
  <conditionalFormatting sqref="AQ113:AY113">
    <cfRule type="expression" dxfId="161" priority="66">
      <formula>$T$113&lt;&gt;"有"</formula>
    </cfRule>
  </conditionalFormatting>
  <conditionalFormatting sqref="AQ139:AY139">
    <cfRule type="expression" dxfId="160" priority="64">
      <formula>$T$139&lt;&gt;"有"</formula>
    </cfRule>
  </conditionalFormatting>
  <conditionalFormatting sqref="AQ147:AY147">
    <cfRule type="expression" dxfId="159" priority="65">
      <formula>$T$147&lt;&gt;"有"</formula>
    </cfRule>
  </conditionalFormatting>
  <conditionalFormatting sqref="AR194:AY223">
    <cfRule type="expression" dxfId="158" priority="6">
      <formula>$AV$190="無し"</formula>
    </cfRule>
  </conditionalFormatting>
  <dataValidations count="23">
    <dataValidation type="list" allowBlank="1" sqref="D147:K147" xr:uid="{00000000-0002-0000-0000-000016000000}">
      <formula1>"iLO専用NIC,Nic1を兼用"</formula1>
    </dataValidation>
    <dataValidation type="list" allowBlank="1" showInputMessage="1" showErrorMessage="1" sqref="X23:AY23" xr:uid="{00000000-0002-0000-0000-000015000000}">
      <formula1>"DL360 Gen8,DL360 Gen10,DL20 Gen10,　,"</formula1>
    </dataValidation>
    <dataValidation type="list" allowBlank="1" showInputMessage="1" showErrorMessage="1" sqref="AV193:AY193 O192:AA192 O190:AA190" xr:uid="{00000000-0002-0000-0000-000014000000}">
      <formula1>"有り,無し,　,"</formula1>
    </dataValidation>
    <dataValidation type="list" allowBlank="1" showInputMessage="1" showErrorMessage="1" sqref="AH193:AQ193" xr:uid="{00000000-0002-0000-0000-000013000000}">
      <formula1>"STATIC,DHCP,　,"</formula1>
    </dataValidation>
    <dataValidation type="list" allowBlank="1" showInputMessage="1" showErrorMessage="1" sqref="O189:AY189" xr:uid="{F1941460-BB90-4546-9505-F19A50358D21}">
      <formula1>"リアルタイム,バッチ,　,"</formula1>
    </dataValidation>
    <dataValidation type="list" allowBlank="1" sqref="O16:AY16" xr:uid="{00000000-0002-0000-0000-000011000000}">
      <formula1>"PBX種別を選択してください,AVAYA(AES連携無し),AVAYA AES連携,NEC AspireUX,NEC AspireWX,NEC SV OAI連携,OKI CTStage,BIZTEL,GENESYS PureConnect,富士通PBX(SIP),NTTクラウドPBX,その他()"</formula1>
    </dataValidation>
    <dataValidation type="list" allowBlank="1" showInputMessage="1" showErrorMessage="1" sqref="T81:U81 T89:U89 T97:U97 T105:U105 T113:U113 T121:U121 T131:U131 T139:U139 T147:U147" xr:uid="{00000000-0002-0000-0000-000010000000}">
      <formula1>"有,無"</formula1>
    </dataValidation>
    <dataValidation type="list" allowBlank="1" showInputMessage="1" showErrorMessage="1" sqref="F54:P54" xr:uid="{00000000-0002-0000-0000-00000F000000}">
      <formula1>"RAIDレベルを選択してください,0,1,5,6"</formula1>
    </dataValidation>
    <dataValidation type="list" allowBlank="1" showInputMessage="1" showErrorMessage="1" sqref="F6" xr:uid="{00000000-0002-0000-0000-00000E000000}">
      <formula1>"音声録音アプリを選択してください,Animo,NextGen"</formula1>
    </dataValidation>
    <dataValidation type="list" allowBlank="1" showInputMessage="1" showErrorMessage="1" sqref="F5" xr:uid="{00000000-0002-0000-0000-00000D000000}">
      <formula1>"POCか本番かを選択してください,POC,本番"</formula1>
    </dataValidation>
    <dataValidation allowBlank="1" sqref="R69 R72 AS193:AU193 AD193:AG193 V69:AY74 O193:O223 AR193:AR223 AD194:AD223" xr:uid="{00000000-0002-0000-0000-00000C000000}"/>
    <dataValidation type="list" allowBlank="1" showInputMessage="1" showErrorMessage="1" sqref="R58:R62" xr:uid="{CD1899C8-90E2-4442-BC28-C1981145D27A}">
      <formula1>"MBR,GPT"</formula1>
    </dataValidation>
    <dataValidation type="list" allowBlank="1" showInputMessage="1" showErrorMessage="1" sqref="AF58:AF62" xr:uid="{F936A5B5-44E2-45BF-8FBA-E9032AC2A378}">
      <formula1>"プライマリ,拡張/論理"</formula1>
    </dataValidation>
    <dataValidation type="list" allowBlank="1" showInputMessage="1" showErrorMessage="1" sqref="AK58:AK62" xr:uid="{3316F324-7C03-4737-BA94-49D1C70BC3B1}">
      <formula1>"NTFS,FAT,FAT32,No Format"</formula1>
    </dataValidation>
    <dataValidation type="list" allowBlank="1" showInputMessage="1" showErrorMessage="1" sqref="O69:O71" xr:uid="{00000000-0002-0000-0000-000008000000}">
      <formula1>"0,1,5,6,10,50"</formula1>
    </dataValidation>
    <dataValidation type="list" allowBlank="1" showInputMessage="1" showErrorMessage="1" sqref="Z81:AD81 Z89:AD89 Z97:AD97 Z105:AD105 Z113:AD113 Z121:AD121 Z131:AD131 Z139:AD139" xr:uid="{00000000-0002-0000-0000-000007000000}">
      <formula1>"－,スイッチに依存しない,静的チーミング,LACP"</formula1>
    </dataValidation>
    <dataValidation type="list" allowBlank="1" showInputMessage="1" showErrorMessage="1" sqref="AE81:AH81 AE89:AH89 AE97:AH97 AE105:AH105 AE113:AH113 AE121:AH121 AE131:AH131 AE139:AH139" xr:uid="{00000000-0002-0000-0000-000006000000}">
      <formula1>"－,動的,アドレスのハッシュ,Hyper-V ポート"</formula1>
    </dataValidation>
    <dataValidation type="list" allowBlank="1" showInputMessage="1" showErrorMessage="1" sqref="AI81:AP81 AI89:AP89 AI97:AP97 AI105:AP105 AI113:AP113 AI121:AP121 AI131:AP131 AI139:AP139" xr:uid="{00000000-0002-0000-0000-000005000000}">
      <formula1>"－,アクティブ,スタンバイ"</formula1>
    </dataValidation>
    <dataValidation type="list" allowBlank="1" showInputMessage="1" showErrorMessage="1" sqref="O12:AY12 V97:Y97 V81:Y81 V89:Y89 V139:Y139 V105:Y105 V113:Y113 V121:Y121 V131:Y131 V147:Y147" xr:uid="{00000000-0002-0000-0000-000004000000}">
      <formula1>"有り,無し"</formula1>
    </dataValidation>
    <dataValidation type="list" allowBlank="1" showInputMessage="1" showErrorMessage="1" sqref="O173:AY173" xr:uid="{00000000-0002-0000-0000-000003000000}">
      <formula1>"PBX種別を選択してください,Avaya AES,OKI CT Stage,AspireUX,AspireWX,その他"</formula1>
    </dataValidation>
    <dataValidation type="list" allowBlank="1" showInputMessage="1" showErrorMessage="1" sqref="O158:AY158" xr:uid="{00000000-0002-0000-0000-000002000000}">
      <formula1>"NICを指定してください,Host側,iLO側"</formula1>
    </dataValidation>
    <dataValidation type="list" allowBlank="1" showInputMessage="1" showErrorMessage="1" sqref="O159:AY159" xr:uid="{00000000-0002-0000-0000-000001000000}">
      <formula1>"バージョンを指定してください,V1,V2,V2c,V3"</formula1>
    </dataValidation>
    <dataValidation type="list" allowBlank="1" showInputMessage="1" showErrorMessage="1" sqref="O184:AY184" xr:uid="{2BAB90C9-D098-45C6-8840-380951EB5715}">
      <formula1>"録音形式を選択してください,dat,wav"</formula1>
    </dataValidation>
  </dataValidations>
  <hyperlinks>
    <hyperlink ref="O186" r:id="rId1" display="https://df9743f-infomart.an.r.appspot.com/login" xr:uid="{4BF3185C-475F-4DCA-8D0A-0BB4FE3120CD}"/>
  </hyperlinks>
  <pageMargins left="0.23622047244094491" right="0.23622047244094491" top="0.74803149606299213" bottom="0.74803149606299213" header="0.31496062992125984" footer="0.31496062992125984"/>
  <pageSetup paperSize="9" scale="93" fitToHeight="0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9" r:id="rId5" name="Check Box 13">
              <controlPr defaultSize="0" autoFill="0" autoLine="0" autoPict="0">
                <anchor moveWithCells="1" sizeWithCells="1">
                  <from>
                    <xdr:col>21</xdr:col>
                    <xdr:colOff>142875</xdr:colOff>
                    <xdr:row>7</xdr:row>
                    <xdr:rowOff>142875</xdr:rowOff>
                  </from>
                  <to>
                    <xdr:col>23</xdr:col>
                    <xdr:colOff>57150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6" name="Check Box 14">
              <controlPr defaultSize="0" autoFill="0" autoLine="0" autoPict="0">
                <anchor moveWithCells="1" sizeWithCells="1">
                  <from>
                    <xdr:col>21</xdr:col>
                    <xdr:colOff>142875</xdr:colOff>
                    <xdr:row>8</xdr:row>
                    <xdr:rowOff>152400</xdr:rowOff>
                  </from>
                  <to>
                    <xdr:col>23</xdr:col>
                    <xdr:colOff>57150</xdr:colOff>
                    <xdr:row>10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21"/>
  <sheetViews>
    <sheetView tabSelected="1" view="pageBreakPreview" topLeftCell="A70" zoomScaleNormal="100" zoomScaleSheetLayoutView="100" workbookViewId="0">
      <selection activeCell="AA86" sqref="AA86"/>
    </sheetView>
  </sheetViews>
  <sheetFormatPr defaultColWidth="9" defaultRowHeight="13.5" x14ac:dyDescent="0.15"/>
  <cols>
    <col min="1" max="51" width="2.125" style="17" customWidth="1"/>
    <col min="52" max="52" width="10.25" style="16" bestFit="1" customWidth="1"/>
    <col min="53" max="53" width="20.75" style="16" customWidth="1"/>
    <col min="54" max="54" width="10" style="16" customWidth="1"/>
    <col min="55" max="16384" width="9" style="17"/>
  </cols>
  <sheetData>
    <row r="1" spans="1:51" ht="12" customHeight="1" x14ac:dyDescent="0.15">
      <c r="A1" s="436" t="s">
        <v>232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7"/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7"/>
    </row>
    <row r="2" spans="1:51" ht="12" customHeight="1" x14ac:dyDescent="0.15">
      <c r="A2" s="437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</row>
    <row r="3" spans="1:51" ht="12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5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5"/>
      <c r="AW3" s="1"/>
      <c r="AX3" s="1"/>
      <c r="AY3" s="1"/>
    </row>
    <row r="4" spans="1:51" x14ac:dyDescent="0.15">
      <c r="A4" s="2" t="s">
        <v>152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52" t="s">
        <v>227</v>
      </c>
      <c r="P4" s="52"/>
      <c r="Q4" s="52"/>
      <c r="R4" s="52"/>
      <c r="S4" s="52"/>
      <c r="T4" s="52"/>
      <c r="U4" s="52"/>
      <c r="V4" s="5"/>
      <c r="W4" s="53" t="s">
        <v>155</v>
      </c>
      <c r="X4" s="53"/>
      <c r="Y4" s="53"/>
      <c r="Z4" s="53"/>
      <c r="AA4" s="54"/>
      <c r="AB4" s="55" t="s">
        <v>164</v>
      </c>
      <c r="AC4" s="56"/>
      <c r="AD4" s="57"/>
      <c r="AE4" s="58" t="s">
        <v>286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60"/>
    </row>
    <row r="5" spans="1:51" x14ac:dyDescent="0.15">
      <c r="A5" s="1"/>
      <c r="B5" s="61" t="s">
        <v>156</v>
      </c>
      <c r="C5" s="61"/>
      <c r="D5" s="61"/>
      <c r="E5" s="61"/>
      <c r="F5" s="62" t="s">
        <v>283</v>
      </c>
      <c r="G5" s="63"/>
      <c r="H5" s="63"/>
      <c r="I5" s="63"/>
      <c r="J5" s="63"/>
      <c r="K5" s="63"/>
      <c r="L5" s="63"/>
      <c r="M5" s="63"/>
      <c r="N5" s="64"/>
      <c r="O5" s="65" t="s">
        <v>233</v>
      </c>
      <c r="P5" s="65"/>
      <c r="Q5" s="65"/>
      <c r="R5" s="65"/>
      <c r="S5" s="65"/>
      <c r="T5" s="65"/>
      <c r="U5" s="66"/>
      <c r="V5" s="1"/>
      <c r="W5" s="67" t="s">
        <v>133</v>
      </c>
      <c r="X5" s="67"/>
      <c r="Y5" s="67"/>
      <c r="Z5" s="67"/>
      <c r="AA5" s="68"/>
      <c r="AB5" s="69" t="s">
        <v>165</v>
      </c>
      <c r="AC5" s="70"/>
      <c r="AD5" s="71"/>
      <c r="AE5" s="72" t="s">
        <v>285</v>
      </c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4"/>
    </row>
    <row r="6" spans="1:51" x14ac:dyDescent="0.15">
      <c r="A6" s="1"/>
      <c r="B6" s="61" t="s">
        <v>223</v>
      </c>
      <c r="C6" s="61"/>
      <c r="D6" s="61"/>
      <c r="E6" s="61"/>
      <c r="F6" s="62" t="s">
        <v>261</v>
      </c>
      <c r="G6" s="63"/>
      <c r="H6" s="63"/>
      <c r="I6" s="63"/>
      <c r="J6" s="63"/>
      <c r="K6" s="63"/>
      <c r="L6" s="63"/>
      <c r="M6" s="63"/>
      <c r="N6" s="64"/>
      <c r="O6" s="84" t="str">
        <f>"("&amp;SUBSTITUTE(AE7,"株式会社","")&amp;")"</f>
        <v>(SBI損害保険)</v>
      </c>
      <c r="P6" s="84"/>
      <c r="Q6" s="84"/>
      <c r="R6" s="84"/>
      <c r="S6" s="84"/>
      <c r="T6" s="84"/>
      <c r="U6" s="85"/>
      <c r="V6" s="1"/>
      <c r="W6" s="67" t="s">
        <v>134</v>
      </c>
      <c r="X6" s="67"/>
      <c r="Y6" s="67"/>
      <c r="Z6" s="67"/>
      <c r="AA6" s="68"/>
      <c r="AB6" s="69" t="s">
        <v>166</v>
      </c>
      <c r="AC6" s="70"/>
      <c r="AD6" s="71"/>
      <c r="AE6" s="72" t="s">
        <v>287</v>
      </c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4"/>
    </row>
    <row r="7" spans="1:51" x14ac:dyDescent="0.1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67" t="s">
        <v>139</v>
      </c>
      <c r="X7" s="67"/>
      <c r="Y7" s="67"/>
      <c r="Z7" s="67"/>
      <c r="AA7" s="68"/>
      <c r="AB7" s="69" t="s">
        <v>167</v>
      </c>
      <c r="AC7" s="70"/>
      <c r="AD7" s="71"/>
      <c r="AE7" s="72" t="s">
        <v>284</v>
      </c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4"/>
    </row>
    <row r="8" spans="1:51" x14ac:dyDescent="0.15">
      <c r="A8" s="75" t="s">
        <v>153</v>
      </c>
      <c r="B8" s="75"/>
      <c r="C8" s="75"/>
      <c r="D8" s="75"/>
      <c r="E8" s="75"/>
      <c r="F8" s="75"/>
      <c r="G8" s="75"/>
      <c r="H8" s="75"/>
      <c r="I8" s="75"/>
      <c r="J8" s="75"/>
      <c r="K8" s="75"/>
      <c r="Q8" s="1"/>
      <c r="W8" s="80" t="s">
        <v>275</v>
      </c>
      <c r="X8" s="80"/>
      <c r="Y8" s="80"/>
      <c r="Z8" s="80"/>
      <c r="AA8" s="81"/>
      <c r="AB8" s="76" t="s">
        <v>168</v>
      </c>
      <c r="AC8" s="76"/>
      <c r="AD8" s="76"/>
      <c r="AE8" s="72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4"/>
    </row>
    <row r="9" spans="1:51" x14ac:dyDescent="0.15">
      <c r="A9" s="1"/>
      <c r="B9" s="61" t="s">
        <v>154</v>
      </c>
      <c r="C9" s="61"/>
      <c r="D9" s="61"/>
      <c r="E9" s="61"/>
      <c r="F9" s="77" t="s">
        <v>347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9"/>
      <c r="W9" s="36"/>
      <c r="X9" s="82" t="s">
        <v>273</v>
      </c>
      <c r="Y9" s="82"/>
      <c r="Z9" s="82"/>
      <c r="AA9" s="83"/>
      <c r="AB9" s="76" t="s">
        <v>169</v>
      </c>
      <c r="AC9" s="76"/>
      <c r="AD9" s="76"/>
      <c r="AE9" s="72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4"/>
    </row>
    <row r="10" spans="1:51" x14ac:dyDescent="0.15">
      <c r="A10" s="2"/>
      <c r="B10" s="61" t="s">
        <v>138</v>
      </c>
      <c r="C10" s="61"/>
      <c r="D10" s="61"/>
      <c r="E10" s="61"/>
      <c r="F10" s="77" t="s">
        <v>231</v>
      </c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9"/>
      <c r="W10" s="36"/>
      <c r="X10" s="82" t="s">
        <v>274</v>
      </c>
      <c r="Y10" s="82"/>
      <c r="Z10" s="82"/>
      <c r="AA10" s="83"/>
      <c r="AB10" s="94" t="s">
        <v>170</v>
      </c>
      <c r="AC10" s="94"/>
      <c r="AD10" s="94"/>
      <c r="AE10" s="95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7"/>
    </row>
    <row r="11" spans="1:51" x14ac:dyDescent="0.15">
      <c r="A11" s="1"/>
      <c r="B11" s="2" t="s">
        <v>47</v>
      </c>
      <c r="C11" s="1"/>
      <c r="D11" s="1"/>
      <c r="E11" s="1"/>
      <c r="F11" s="1"/>
      <c r="G11" s="1"/>
      <c r="H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15">
      <c r="A12" s="1"/>
      <c r="B12" s="98" t="s">
        <v>48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107" t="s">
        <v>71</v>
      </c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9"/>
    </row>
    <row r="13" spans="1:51" x14ac:dyDescent="0.15">
      <c r="A13" s="1"/>
      <c r="B13" s="98" t="s">
        <v>49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107" t="s">
        <v>67</v>
      </c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9"/>
    </row>
    <row r="14" spans="1:5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10" t="s">
        <v>53</v>
      </c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</row>
    <row r="15" spans="1:51" x14ac:dyDescent="0.15">
      <c r="A15" s="2"/>
      <c r="B15" s="2" t="s">
        <v>31</v>
      </c>
      <c r="C15" s="1"/>
      <c r="D15" s="1"/>
      <c r="E15" s="1"/>
      <c r="F15" s="1"/>
      <c r="G15" s="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</row>
    <row r="16" spans="1:51" x14ac:dyDescent="0.15">
      <c r="A16" s="3"/>
      <c r="B16" s="112" t="s">
        <v>51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4"/>
      <c r="O16" s="77" t="s">
        <v>288</v>
      </c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9"/>
    </row>
    <row r="17" spans="1:54" x14ac:dyDescent="0.15">
      <c r="A17" s="3"/>
      <c r="B17" s="99" t="s">
        <v>41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100">
        <v>80</v>
      </c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2"/>
    </row>
    <row r="18" spans="1:54" x14ac:dyDescent="0.15">
      <c r="A18" s="1"/>
      <c r="B18" s="103" t="s">
        <v>146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4" t="s">
        <v>369</v>
      </c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6"/>
    </row>
    <row r="19" spans="1:54" x14ac:dyDescent="0.15">
      <c r="A19" s="3"/>
      <c r="B19" s="103" t="s">
        <v>228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0" t="s">
        <v>147</v>
      </c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2"/>
    </row>
    <row r="20" spans="1:54" x14ac:dyDescent="0.15">
      <c r="A20" s="1"/>
      <c r="B20" s="103" t="s">
        <v>229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0" t="s">
        <v>147</v>
      </c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2"/>
    </row>
    <row r="21" spans="1:54" x14ac:dyDescent="0.1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4" x14ac:dyDescent="0.15">
      <c r="A22" s="2" t="s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0"/>
      <c r="AC22" s="10"/>
      <c r="AD22" s="10"/>
      <c r="AE22" s="10"/>
      <c r="AF22" s="11"/>
      <c r="AG22" s="11"/>
      <c r="AH22" s="11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1"/>
    </row>
    <row r="23" spans="1:54" x14ac:dyDescent="0.15">
      <c r="A23" s="1"/>
      <c r="B23" s="115" t="s">
        <v>1</v>
      </c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90" t="s">
        <v>158</v>
      </c>
      <c r="P23" s="91"/>
      <c r="Q23" s="91"/>
      <c r="R23" s="91"/>
      <c r="S23" s="91"/>
      <c r="T23" s="91"/>
      <c r="U23" s="91"/>
      <c r="V23" s="91"/>
      <c r="W23" s="91"/>
      <c r="X23" s="92" t="s">
        <v>159</v>
      </c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3"/>
      <c r="AZ23" s="16" t="s">
        <v>256</v>
      </c>
      <c r="BA23" s="16" t="s">
        <v>257</v>
      </c>
      <c r="BB23" s="16">
        <f>16*2</f>
        <v>32</v>
      </c>
    </row>
    <row r="24" spans="1:54" ht="13.15" customHeight="1" x14ac:dyDescent="0.15">
      <c r="A24" s="1"/>
      <c r="B24" s="86" t="s">
        <v>2</v>
      </c>
      <c r="C24" s="87"/>
      <c r="D24" s="87"/>
      <c r="E24" s="87"/>
      <c r="F24" s="87"/>
      <c r="G24" s="88"/>
      <c r="H24" s="88"/>
      <c r="I24" s="88"/>
      <c r="J24" s="88"/>
      <c r="K24" s="88"/>
      <c r="L24" s="88"/>
      <c r="M24" s="88"/>
      <c r="N24" s="89"/>
      <c r="O24" s="90" t="s">
        <v>160</v>
      </c>
      <c r="P24" s="91"/>
      <c r="Q24" s="91"/>
      <c r="R24" s="91"/>
      <c r="S24" s="91"/>
      <c r="T24" s="91"/>
      <c r="U24" s="91"/>
      <c r="V24" s="91"/>
      <c r="W24" s="91"/>
      <c r="X24" s="92" t="str">
        <f>VLOOKUP(X23,AZ23:BB25,2,FALSE)</f>
        <v>Silver 4112 2.6GHz 1P4C x2</v>
      </c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3"/>
      <c r="AZ24" s="16" t="s">
        <v>159</v>
      </c>
      <c r="BA24" s="16" t="s">
        <v>280</v>
      </c>
      <c r="BB24" s="16">
        <f>16*2</f>
        <v>32</v>
      </c>
    </row>
    <row r="25" spans="1:54" x14ac:dyDescent="0.15">
      <c r="A25" s="1"/>
      <c r="B25" s="116" t="s">
        <v>3</v>
      </c>
      <c r="C25" s="117"/>
      <c r="D25" s="117"/>
      <c r="E25" s="117"/>
      <c r="F25" s="117"/>
      <c r="G25" s="118"/>
      <c r="H25" s="118"/>
      <c r="I25" s="118"/>
      <c r="J25" s="118"/>
      <c r="K25" s="118"/>
      <c r="L25" s="118"/>
      <c r="M25" s="118"/>
      <c r="N25" s="118"/>
      <c r="O25" s="90">
        <f>VLOOKUP(X23,AZ23:BB25,3,FALSE)</f>
        <v>32</v>
      </c>
      <c r="P25" s="91"/>
      <c r="Q25" s="91"/>
      <c r="R25" s="91"/>
      <c r="S25" s="91"/>
      <c r="T25" s="91"/>
      <c r="U25" s="91"/>
      <c r="V25" s="91"/>
      <c r="W25" s="91"/>
      <c r="X25" s="91"/>
      <c r="Y25" s="119" t="s">
        <v>161</v>
      </c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20"/>
      <c r="AZ25" s="16" t="s">
        <v>220</v>
      </c>
      <c r="BA25" s="16" t="s">
        <v>255</v>
      </c>
      <c r="BB25" s="16">
        <v>16</v>
      </c>
    </row>
    <row r="26" spans="1:54" x14ac:dyDescent="0.15">
      <c r="A26" s="1"/>
      <c r="B26" s="86" t="s">
        <v>4</v>
      </c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9"/>
      <c r="O26" s="121" t="s">
        <v>148</v>
      </c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3"/>
    </row>
    <row r="27" spans="1:54" x14ac:dyDescent="0.15">
      <c r="A27" s="1"/>
      <c r="B27" s="14"/>
      <c r="C27" s="1"/>
      <c r="D27" s="1"/>
      <c r="E27" s="4"/>
      <c r="F27" s="4"/>
      <c r="G27" s="4"/>
      <c r="H27" s="4"/>
      <c r="I27" s="4"/>
      <c r="J27" s="4"/>
      <c r="K27" s="4"/>
      <c r="L27" s="4"/>
      <c r="M27" s="4"/>
      <c r="N27" s="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 spans="1:54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4" x14ac:dyDescent="0.15">
      <c r="A29" s="2" t="s">
        <v>76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4" x14ac:dyDescent="0.15">
      <c r="A30" s="1"/>
      <c r="B30" s="86" t="s">
        <v>50</v>
      </c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4"/>
      <c r="O30" s="125" t="str">
        <f>VLOOKUP(F5&amp;F6,AZ30:BB33,2,)</f>
        <v>VTSV001</v>
      </c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78" t="s">
        <v>384</v>
      </c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9"/>
      <c r="AZ30" s="16" t="s">
        <v>162</v>
      </c>
      <c r="BA30" s="16" t="s">
        <v>224</v>
      </c>
      <c r="BB30" s="16" t="s">
        <v>279</v>
      </c>
    </row>
    <row r="31" spans="1:54" x14ac:dyDescent="0.15">
      <c r="A31" s="1"/>
      <c r="B31" s="86" t="s">
        <v>90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124"/>
      <c r="O31" s="125" t="s">
        <v>358</v>
      </c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93"/>
      <c r="AZ31" s="16" t="s">
        <v>163</v>
      </c>
      <c r="BA31" s="16" t="s">
        <v>224</v>
      </c>
      <c r="BB31" s="16" t="s">
        <v>258</v>
      </c>
    </row>
    <row r="32" spans="1:54" x14ac:dyDescent="0.15">
      <c r="A32" s="1"/>
      <c r="B32" s="86" t="s">
        <v>77</v>
      </c>
      <c r="C32" s="87"/>
      <c r="D32" s="87"/>
      <c r="E32" s="87"/>
      <c r="F32" s="87"/>
      <c r="G32" s="87"/>
      <c r="H32" s="88"/>
      <c r="I32" s="88"/>
      <c r="J32" s="88"/>
      <c r="K32" s="88"/>
      <c r="L32" s="88"/>
      <c r="M32" s="88"/>
      <c r="N32" s="89"/>
      <c r="O32" s="125" t="s">
        <v>324</v>
      </c>
      <c r="P32" s="134"/>
      <c r="Q32" s="134"/>
      <c r="R32" s="134"/>
      <c r="S32" s="134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5"/>
      <c r="AX32" s="135"/>
      <c r="AY32" s="136"/>
      <c r="AZ32" s="16" t="s">
        <v>225</v>
      </c>
      <c r="BA32" s="16" t="s">
        <v>110</v>
      </c>
      <c r="BB32" s="16" t="s">
        <v>241</v>
      </c>
    </row>
    <row r="33" spans="1:54" x14ac:dyDescent="0.15">
      <c r="A33" s="1"/>
      <c r="B33" s="1"/>
      <c r="O33" s="110" t="s">
        <v>216</v>
      </c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6" t="s">
        <v>226</v>
      </c>
      <c r="BA33" s="16" t="s">
        <v>110</v>
      </c>
      <c r="BB33" s="16" t="s">
        <v>241</v>
      </c>
    </row>
    <row r="34" spans="1:54" x14ac:dyDescent="0.15">
      <c r="A34" s="1"/>
      <c r="B34" s="1"/>
      <c r="O34" s="137" t="s">
        <v>217</v>
      </c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</row>
    <row r="35" spans="1:54" x14ac:dyDescent="0.15">
      <c r="A35" s="19" t="s">
        <v>260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1"/>
      <c r="AT35" s="1"/>
      <c r="AU35" s="1"/>
      <c r="AV35" s="1"/>
      <c r="AW35" s="1"/>
      <c r="AX35" s="1"/>
      <c r="AY35" s="1"/>
    </row>
    <row r="36" spans="1:54" x14ac:dyDescent="0.15">
      <c r="A36" s="20"/>
      <c r="B36" s="138" t="s">
        <v>54</v>
      </c>
      <c r="C36" s="138"/>
      <c r="D36" s="138"/>
      <c r="E36" s="138"/>
      <c r="F36" s="138"/>
      <c r="G36" s="138"/>
      <c r="H36" s="138"/>
      <c r="I36" s="138"/>
      <c r="J36" s="138"/>
      <c r="K36" s="138"/>
      <c r="L36" s="139" t="s">
        <v>322</v>
      </c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1"/>
      <c r="AC36" s="139" t="s">
        <v>137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1"/>
    </row>
    <row r="37" spans="1:54" x14ac:dyDescent="0.15">
      <c r="A37" s="20"/>
      <c r="B37" s="127" t="s">
        <v>78</v>
      </c>
      <c r="C37" s="127"/>
      <c r="D37" s="127"/>
      <c r="E37" s="127"/>
      <c r="F37" s="127"/>
      <c r="G37" s="127"/>
      <c r="H37" s="127"/>
      <c r="I37" s="127"/>
      <c r="J37" s="127"/>
      <c r="K37" s="127"/>
      <c r="L37" s="153" t="s">
        <v>355</v>
      </c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5"/>
      <c r="AC37" s="150" t="s">
        <v>277</v>
      </c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2"/>
    </row>
    <row r="38" spans="1:54" x14ac:dyDescent="0.15">
      <c r="A38" s="20"/>
      <c r="B38" s="127" t="s">
        <v>242</v>
      </c>
      <c r="C38" s="127"/>
      <c r="D38" s="127"/>
      <c r="E38" s="127"/>
      <c r="F38" s="127"/>
      <c r="G38" s="127"/>
      <c r="H38" s="127"/>
      <c r="I38" s="127"/>
      <c r="J38" s="127"/>
      <c r="K38" s="127"/>
      <c r="L38" s="153" t="s">
        <v>356</v>
      </c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5"/>
      <c r="AC38" s="150" t="s">
        <v>357</v>
      </c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2"/>
    </row>
    <row r="40" spans="1:54" x14ac:dyDescent="0.15">
      <c r="A40" s="1"/>
      <c r="B40" s="440" t="s">
        <v>259</v>
      </c>
      <c r="C40" s="440"/>
      <c r="D40" s="440"/>
      <c r="E40" s="440"/>
      <c r="F40" s="440"/>
      <c r="G40" s="440"/>
      <c r="H40" s="440"/>
      <c r="I40" s="440"/>
      <c r="J40" s="440"/>
      <c r="K40" s="440"/>
      <c r="L40" s="440"/>
      <c r="M40" s="440"/>
      <c r="N40" s="440"/>
      <c r="O40" s="440"/>
      <c r="P40" s="440"/>
      <c r="Q40" s="440"/>
      <c r="R40" s="440"/>
      <c r="S40" s="440"/>
      <c r="T40" s="440"/>
      <c r="U40" s="440"/>
      <c r="V40" s="440"/>
      <c r="W40" s="440"/>
      <c r="X40" s="440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  <c r="AJ40" s="440"/>
      <c r="AK40" s="440"/>
      <c r="AL40" s="440"/>
      <c r="AM40" s="440"/>
      <c r="AN40" s="440"/>
      <c r="AO40" s="440"/>
      <c r="AP40" s="440"/>
      <c r="AQ40" s="440"/>
      <c r="AR40" s="440"/>
      <c r="AS40" s="440"/>
      <c r="AT40" s="440"/>
      <c r="AU40" s="440"/>
      <c r="AV40" s="440"/>
      <c r="AW40" s="440"/>
      <c r="AX40" s="440"/>
      <c r="AY40" s="440"/>
    </row>
    <row r="41" spans="1:54" x14ac:dyDescent="0.15">
      <c r="A41" s="21" t="s">
        <v>234</v>
      </c>
      <c r="B41" s="22"/>
      <c r="C41" s="23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3"/>
      <c r="AQ41" s="23"/>
      <c r="AR41" s="23"/>
      <c r="AS41" s="24"/>
      <c r="AT41" s="24"/>
      <c r="AU41" s="24"/>
      <c r="AV41" s="24"/>
      <c r="AW41" s="24"/>
      <c r="AX41" s="24"/>
      <c r="AY41" s="24"/>
    </row>
    <row r="42" spans="1:54" x14ac:dyDescent="0.15">
      <c r="A42" s="23"/>
      <c r="B42" s="146" t="s">
        <v>55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7" t="s">
        <v>56</v>
      </c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9"/>
    </row>
    <row r="43" spans="1:54" x14ac:dyDescent="0.15">
      <c r="A43" s="23"/>
      <c r="B43" s="398" t="s">
        <v>91</v>
      </c>
      <c r="C43" s="398"/>
      <c r="D43" s="398"/>
      <c r="E43" s="398"/>
      <c r="F43" s="398"/>
      <c r="G43" s="398"/>
      <c r="H43" s="398"/>
      <c r="I43" s="398"/>
      <c r="J43" s="398"/>
      <c r="K43" s="398"/>
      <c r="L43" s="398"/>
      <c r="M43" s="398"/>
      <c r="N43" s="398"/>
      <c r="O43" s="398"/>
      <c r="P43" s="169" t="s">
        <v>367</v>
      </c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0"/>
      <c r="AX43" s="170"/>
      <c r="AY43" s="171"/>
    </row>
    <row r="44" spans="1:54" x14ac:dyDescent="0.15">
      <c r="A44" s="25" t="s">
        <v>58</v>
      </c>
      <c r="B44" s="22"/>
      <c r="C44" s="23"/>
      <c r="D44" s="22"/>
      <c r="E44" s="22"/>
      <c r="F44" s="22"/>
      <c r="G44" s="22"/>
      <c r="H44" s="22"/>
      <c r="I44" s="24"/>
      <c r="J44" s="24"/>
      <c r="K44" s="24"/>
      <c r="L44" s="24"/>
      <c r="M44" s="24"/>
      <c r="N44" s="24"/>
      <c r="O44" s="24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</row>
    <row r="45" spans="1:54" x14ac:dyDescent="0.15">
      <c r="A45" s="23"/>
      <c r="B45" s="146" t="s">
        <v>55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7" t="s">
        <v>56</v>
      </c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9"/>
    </row>
    <row r="46" spans="1:54" x14ac:dyDescent="0.15">
      <c r="A46" s="23"/>
      <c r="B46" s="398" t="s">
        <v>61</v>
      </c>
      <c r="C46" s="398"/>
      <c r="D46" s="398"/>
      <c r="E46" s="398"/>
      <c r="F46" s="398"/>
      <c r="G46" s="398"/>
      <c r="H46" s="398"/>
      <c r="I46" s="398"/>
      <c r="J46" s="398"/>
      <c r="K46" s="398"/>
      <c r="L46" s="398"/>
      <c r="M46" s="398"/>
      <c r="N46" s="398"/>
      <c r="O46" s="398"/>
      <c r="P46" s="399"/>
      <c r="Q46" s="400"/>
      <c r="R46" s="400"/>
      <c r="S46" s="400"/>
      <c r="T46" s="400"/>
      <c r="U46" s="400"/>
      <c r="V46" s="400"/>
      <c r="W46" s="400"/>
      <c r="X46" s="400"/>
      <c r="Y46" s="400"/>
      <c r="Z46" s="400"/>
      <c r="AA46" s="400"/>
      <c r="AB46" s="400"/>
      <c r="AC46" s="400"/>
      <c r="AD46" s="400"/>
      <c r="AE46" s="400"/>
      <c r="AF46" s="400"/>
      <c r="AG46" s="400"/>
      <c r="AH46" s="400"/>
      <c r="AI46" s="400"/>
      <c r="AJ46" s="400"/>
      <c r="AK46" s="400"/>
      <c r="AL46" s="400"/>
      <c r="AM46" s="400"/>
      <c r="AN46" s="400"/>
      <c r="AO46" s="400"/>
      <c r="AP46" s="400"/>
      <c r="AQ46" s="400"/>
      <c r="AR46" s="400"/>
      <c r="AS46" s="400"/>
      <c r="AT46" s="400"/>
      <c r="AU46" s="400"/>
      <c r="AV46" s="400"/>
      <c r="AW46" s="400"/>
      <c r="AX46" s="400"/>
      <c r="AY46" s="401"/>
    </row>
    <row r="47" spans="1:54" x14ac:dyDescent="0.1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</row>
    <row r="48" spans="1:54" x14ac:dyDescent="0.15">
      <c r="A48" s="21" t="s">
        <v>235</v>
      </c>
      <c r="B48" s="22"/>
      <c r="C48" s="23"/>
      <c r="D48" s="22"/>
      <c r="E48" s="22"/>
      <c r="F48" s="22"/>
      <c r="G48" s="22"/>
      <c r="H48" s="22"/>
      <c r="I48" s="24"/>
      <c r="J48" s="24"/>
      <c r="K48" s="24"/>
      <c r="L48" s="24"/>
      <c r="M48" s="24"/>
      <c r="N48" s="24"/>
      <c r="O48" s="24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</row>
    <row r="49" spans="1:51" x14ac:dyDescent="0.15">
      <c r="A49" s="23"/>
      <c r="B49" s="146" t="s">
        <v>55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7" t="s">
        <v>56</v>
      </c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9"/>
    </row>
    <row r="50" spans="1:51" x14ac:dyDescent="0.15">
      <c r="A50" s="23"/>
      <c r="B50" s="398" t="s">
        <v>79</v>
      </c>
      <c r="C50" s="398"/>
      <c r="D50" s="398"/>
      <c r="E50" s="398"/>
      <c r="F50" s="398"/>
      <c r="G50" s="398"/>
      <c r="H50" s="398"/>
      <c r="I50" s="398"/>
      <c r="J50" s="398"/>
      <c r="K50" s="398"/>
      <c r="L50" s="398"/>
      <c r="M50" s="398"/>
      <c r="N50" s="398"/>
      <c r="O50" s="398"/>
      <c r="P50" s="169" t="s">
        <v>366</v>
      </c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0"/>
      <c r="AX50" s="170"/>
      <c r="AY50" s="171"/>
    </row>
    <row r="51" spans="1:5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15">
      <c r="A52" s="2" t="s">
        <v>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15">
      <c r="A53" s="2"/>
      <c r="B53" s="61" t="s">
        <v>157</v>
      </c>
      <c r="C53" s="61"/>
      <c r="D53" s="61"/>
      <c r="E53" s="61"/>
      <c r="F53" s="125">
        <f>IF(F6="Animo",5,IF(F6="NextGen",1,""))</f>
        <v>5</v>
      </c>
      <c r="G53" s="126"/>
      <c r="H53" s="126"/>
      <c r="I53" s="126"/>
      <c r="J53" s="126"/>
      <c r="K53" s="126"/>
      <c r="L53" s="126"/>
      <c r="M53" s="126"/>
      <c r="N53" s="126"/>
      <c r="O53" s="126"/>
      <c r="P53" s="19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1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ht="13.15" customHeight="1" x14ac:dyDescent="0.15">
      <c r="A55" s="1"/>
      <c r="B55" s="162" t="s">
        <v>250</v>
      </c>
      <c r="C55" s="163"/>
      <c r="D55" s="163"/>
      <c r="E55" s="164" t="s">
        <v>6</v>
      </c>
      <c r="F55" s="61"/>
      <c r="G55" s="61"/>
      <c r="H55" s="61"/>
      <c r="I55" s="164" t="s">
        <v>7</v>
      </c>
      <c r="J55" s="61"/>
      <c r="K55" s="61"/>
      <c r="L55" s="61"/>
      <c r="M55" s="61"/>
      <c r="N55" s="61"/>
      <c r="O55" s="61" t="s">
        <v>8</v>
      </c>
      <c r="P55" s="61"/>
      <c r="Q55" s="61"/>
      <c r="R55" s="175" t="s">
        <v>9</v>
      </c>
      <c r="S55" s="176"/>
      <c r="T55" s="176"/>
      <c r="U55" s="177"/>
      <c r="V55" s="180" t="s">
        <v>10</v>
      </c>
      <c r="W55" s="180"/>
      <c r="X55" s="180"/>
      <c r="Y55" s="180"/>
      <c r="Z55" s="180"/>
      <c r="AA55" s="173" t="s">
        <v>11</v>
      </c>
      <c r="AB55" s="173"/>
      <c r="AC55" s="173"/>
      <c r="AD55" s="182"/>
      <c r="AE55" s="182"/>
      <c r="AF55" s="180" t="s">
        <v>12</v>
      </c>
      <c r="AG55" s="180"/>
      <c r="AH55" s="180"/>
      <c r="AI55" s="180"/>
      <c r="AJ55" s="180"/>
      <c r="AK55" s="164" t="s">
        <v>13</v>
      </c>
      <c r="AL55" s="61"/>
      <c r="AM55" s="61"/>
      <c r="AN55" s="61"/>
      <c r="AO55" s="61" t="s">
        <v>14</v>
      </c>
      <c r="AP55" s="61"/>
      <c r="AQ55" s="61"/>
      <c r="AR55" s="61"/>
      <c r="AS55" s="61"/>
      <c r="AT55" s="172"/>
      <c r="AU55" s="173" t="s">
        <v>4</v>
      </c>
      <c r="AV55" s="173"/>
      <c r="AW55" s="173"/>
      <c r="AX55" s="173"/>
      <c r="AY55" s="173"/>
    </row>
    <row r="56" spans="1:51" x14ac:dyDescent="0.15">
      <c r="A56" s="1"/>
      <c r="B56" s="163"/>
      <c r="C56" s="163"/>
      <c r="D56" s="163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178"/>
      <c r="S56" s="178"/>
      <c r="T56" s="178"/>
      <c r="U56" s="179"/>
      <c r="V56" s="181"/>
      <c r="W56" s="181"/>
      <c r="X56" s="181"/>
      <c r="Y56" s="181"/>
      <c r="Z56" s="181"/>
      <c r="AA56" s="174"/>
      <c r="AB56" s="174"/>
      <c r="AC56" s="174"/>
      <c r="AD56" s="183"/>
      <c r="AE56" s="183"/>
      <c r="AF56" s="181"/>
      <c r="AG56" s="181"/>
      <c r="AH56" s="181"/>
      <c r="AI56" s="181"/>
      <c r="AJ56" s="181"/>
      <c r="AK56" s="61"/>
      <c r="AL56" s="61"/>
      <c r="AM56" s="61"/>
      <c r="AN56" s="61"/>
      <c r="AO56" s="61"/>
      <c r="AP56" s="61"/>
      <c r="AQ56" s="61"/>
      <c r="AR56" s="61"/>
      <c r="AS56" s="61"/>
      <c r="AT56" s="172"/>
      <c r="AU56" s="174"/>
      <c r="AV56" s="174"/>
      <c r="AW56" s="174"/>
      <c r="AX56" s="174"/>
      <c r="AY56" s="174"/>
    </row>
    <row r="57" spans="1:51" ht="13.15" customHeight="1" x14ac:dyDescent="0.15">
      <c r="A57" s="1"/>
      <c r="B57" s="221" t="s">
        <v>251</v>
      </c>
      <c r="C57" s="222"/>
      <c r="D57" s="223"/>
      <c r="E57" s="156" t="s">
        <v>80</v>
      </c>
      <c r="F57" s="213"/>
      <c r="G57" s="213"/>
      <c r="H57" s="157"/>
      <c r="I57" s="156">
        <v>1</v>
      </c>
      <c r="J57" s="157"/>
      <c r="K57" s="156" t="s">
        <v>81</v>
      </c>
      <c r="L57" s="157"/>
      <c r="M57" s="156">
        <v>4</v>
      </c>
      <c r="N57" s="157"/>
      <c r="O57" s="156">
        <v>5</v>
      </c>
      <c r="P57" s="213"/>
      <c r="Q57" s="157"/>
      <c r="R57" s="200"/>
      <c r="S57" s="201"/>
      <c r="T57" s="201"/>
      <c r="U57" s="202"/>
      <c r="V57" s="184" t="s">
        <v>360</v>
      </c>
      <c r="W57" s="203"/>
      <c r="X57" s="203"/>
      <c r="Y57" s="203"/>
      <c r="Z57" s="204"/>
      <c r="AA57" s="184" t="s">
        <v>82</v>
      </c>
      <c r="AB57" s="185"/>
      <c r="AC57" s="185"/>
      <c r="AD57" s="185"/>
      <c r="AE57" s="186"/>
      <c r="AF57" s="184"/>
      <c r="AG57" s="185"/>
      <c r="AH57" s="185"/>
      <c r="AI57" s="185"/>
      <c r="AJ57" s="186"/>
      <c r="AK57" s="184"/>
      <c r="AL57" s="185"/>
      <c r="AM57" s="185"/>
      <c r="AN57" s="186"/>
      <c r="AO57" s="184" t="s">
        <v>92</v>
      </c>
      <c r="AP57" s="185"/>
      <c r="AQ57" s="185"/>
      <c r="AR57" s="185"/>
      <c r="AS57" s="185"/>
      <c r="AT57" s="186"/>
      <c r="AU57" s="184" t="s">
        <v>57</v>
      </c>
      <c r="AV57" s="185"/>
      <c r="AW57" s="185"/>
      <c r="AX57" s="185"/>
      <c r="AY57" s="186"/>
    </row>
    <row r="58" spans="1:51" x14ac:dyDescent="0.15">
      <c r="A58" s="1"/>
      <c r="B58" s="224"/>
      <c r="C58" s="225"/>
      <c r="D58" s="226"/>
      <c r="E58" s="158"/>
      <c r="F58" s="214"/>
      <c r="G58" s="214"/>
      <c r="H58" s="159"/>
      <c r="I58" s="158"/>
      <c r="J58" s="159"/>
      <c r="K58" s="158"/>
      <c r="L58" s="159"/>
      <c r="M58" s="158"/>
      <c r="N58" s="159"/>
      <c r="O58" s="158"/>
      <c r="P58" s="214"/>
      <c r="Q58" s="159"/>
      <c r="R58" s="194"/>
      <c r="S58" s="195"/>
      <c r="T58" s="195"/>
      <c r="U58" s="196"/>
      <c r="V58" s="197" t="s">
        <v>361</v>
      </c>
      <c r="W58" s="198"/>
      <c r="X58" s="198"/>
      <c r="Y58" s="198"/>
      <c r="Z58" s="199"/>
      <c r="AA58" s="197" t="s">
        <v>80</v>
      </c>
      <c r="AB58" s="198"/>
      <c r="AC58" s="198"/>
      <c r="AD58" s="198"/>
      <c r="AE58" s="199"/>
      <c r="AF58" s="197"/>
      <c r="AG58" s="198"/>
      <c r="AH58" s="198"/>
      <c r="AI58" s="198"/>
      <c r="AJ58" s="199"/>
      <c r="AK58" s="197"/>
      <c r="AL58" s="198"/>
      <c r="AM58" s="198"/>
      <c r="AN58" s="199"/>
      <c r="AO58" s="197"/>
      <c r="AP58" s="198"/>
      <c r="AQ58" s="198"/>
      <c r="AR58" s="198"/>
      <c r="AS58" s="198"/>
      <c r="AT58" s="199"/>
      <c r="AU58" s="197" t="s">
        <v>93</v>
      </c>
      <c r="AV58" s="198"/>
      <c r="AW58" s="198"/>
      <c r="AX58" s="198"/>
      <c r="AY58" s="199"/>
    </row>
    <row r="59" spans="1:51" x14ac:dyDescent="0.15">
      <c r="A59" s="1"/>
      <c r="B59" s="224"/>
      <c r="C59" s="225"/>
      <c r="D59" s="226"/>
      <c r="E59" s="158"/>
      <c r="F59" s="214"/>
      <c r="G59" s="214"/>
      <c r="H59" s="159"/>
      <c r="I59" s="158"/>
      <c r="J59" s="159"/>
      <c r="K59" s="158"/>
      <c r="L59" s="159"/>
      <c r="M59" s="158"/>
      <c r="N59" s="159"/>
      <c r="O59" s="158"/>
      <c r="P59" s="214"/>
      <c r="Q59" s="159"/>
      <c r="R59" s="216"/>
      <c r="S59" s="217"/>
      <c r="T59" s="217"/>
      <c r="U59" s="218"/>
      <c r="V59" s="165"/>
      <c r="W59" s="219"/>
      <c r="X59" s="219"/>
      <c r="Y59" s="219"/>
      <c r="Z59" s="220"/>
      <c r="AA59" s="165" t="s">
        <v>82</v>
      </c>
      <c r="AB59" s="166"/>
      <c r="AC59" s="166"/>
      <c r="AD59" s="166"/>
      <c r="AE59" s="167"/>
      <c r="AF59" s="165"/>
      <c r="AG59" s="166"/>
      <c r="AH59" s="166"/>
      <c r="AI59" s="166"/>
      <c r="AJ59" s="167"/>
      <c r="AK59" s="165"/>
      <c r="AL59" s="166"/>
      <c r="AM59" s="166"/>
      <c r="AN59" s="167"/>
      <c r="AO59" s="165"/>
      <c r="AP59" s="166"/>
      <c r="AQ59" s="166"/>
      <c r="AR59" s="166"/>
      <c r="AS59" s="166"/>
      <c r="AT59" s="167"/>
      <c r="AU59" s="165" t="s">
        <v>94</v>
      </c>
      <c r="AV59" s="166"/>
      <c r="AW59" s="166"/>
      <c r="AX59" s="166"/>
      <c r="AY59" s="167"/>
    </row>
    <row r="60" spans="1:51" x14ac:dyDescent="0.15">
      <c r="A60" s="1"/>
      <c r="B60" s="224"/>
      <c r="C60" s="225"/>
      <c r="D60" s="226"/>
      <c r="E60" s="158"/>
      <c r="F60" s="214"/>
      <c r="G60" s="214"/>
      <c r="H60" s="159"/>
      <c r="I60" s="158"/>
      <c r="J60" s="159"/>
      <c r="K60" s="158"/>
      <c r="L60" s="159"/>
      <c r="M60" s="158"/>
      <c r="N60" s="159"/>
      <c r="O60" s="158"/>
      <c r="P60" s="214"/>
      <c r="Q60" s="159"/>
      <c r="R60" s="216" t="s">
        <v>15</v>
      </c>
      <c r="S60" s="217"/>
      <c r="T60" s="217"/>
      <c r="U60" s="218"/>
      <c r="V60" s="125" t="s">
        <v>359</v>
      </c>
      <c r="W60" s="126"/>
      <c r="X60" s="126"/>
      <c r="Y60" s="126"/>
      <c r="Z60" s="193"/>
      <c r="AA60" s="165" t="s">
        <v>95</v>
      </c>
      <c r="AB60" s="166"/>
      <c r="AC60" s="166"/>
      <c r="AD60" s="166"/>
      <c r="AE60" s="167"/>
      <c r="AF60" s="165" t="s">
        <v>16</v>
      </c>
      <c r="AG60" s="166"/>
      <c r="AH60" s="166"/>
      <c r="AI60" s="166"/>
      <c r="AJ60" s="167"/>
      <c r="AK60" s="165" t="s">
        <v>17</v>
      </c>
      <c r="AL60" s="166"/>
      <c r="AM60" s="166"/>
      <c r="AN60" s="167"/>
      <c r="AO60" s="165" t="s">
        <v>82</v>
      </c>
      <c r="AP60" s="166"/>
      <c r="AQ60" s="166"/>
      <c r="AR60" s="166"/>
      <c r="AS60" s="166"/>
      <c r="AT60" s="167"/>
      <c r="AU60" s="165" t="s">
        <v>96</v>
      </c>
      <c r="AV60" s="166"/>
      <c r="AW60" s="166"/>
      <c r="AX60" s="166"/>
      <c r="AY60" s="167"/>
    </row>
    <row r="61" spans="1:51" x14ac:dyDescent="0.15">
      <c r="A61" s="1"/>
      <c r="B61" s="227"/>
      <c r="C61" s="228"/>
      <c r="D61" s="229"/>
      <c r="E61" s="160"/>
      <c r="F61" s="215"/>
      <c r="G61" s="215"/>
      <c r="H61" s="161"/>
      <c r="I61" s="160"/>
      <c r="J61" s="161"/>
      <c r="K61" s="160"/>
      <c r="L61" s="161"/>
      <c r="M61" s="160"/>
      <c r="N61" s="161"/>
      <c r="O61" s="160"/>
      <c r="P61" s="215"/>
      <c r="Q61" s="161"/>
      <c r="R61" s="206" t="s">
        <v>15</v>
      </c>
      <c r="S61" s="211"/>
      <c r="T61" s="211"/>
      <c r="U61" s="212"/>
      <c r="V61" s="125" t="s">
        <v>362</v>
      </c>
      <c r="W61" s="126"/>
      <c r="X61" s="126"/>
      <c r="Y61" s="126"/>
      <c r="Z61" s="193"/>
      <c r="AA61" s="125" t="s">
        <v>97</v>
      </c>
      <c r="AB61" s="209"/>
      <c r="AC61" s="209"/>
      <c r="AD61" s="209"/>
      <c r="AE61" s="210"/>
      <c r="AF61" s="125" t="s">
        <v>16</v>
      </c>
      <c r="AG61" s="209"/>
      <c r="AH61" s="209"/>
      <c r="AI61" s="209"/>
      <c r="AJ61" s="210"/>
      <c r="AK61" s="125" t="s">
        <v>17</v>
      </c>
      <c r="AL61" s="209"/>
      <c r="AM61" s="209"/>
      <c r="AN61" s="210"/>
      <c r="AO61" s="125" t="s">
        <v>82</v>
      </c>
      <c r="AP61" s="209"/>
      <c r="AQ61" s="209"/>
      <c r="AR61" s="209"/>
      <c r="AS61" s="209"/>
      <c r="AT61" s="210"/>
      <c r="AU61" s="125" t="s">
        <v>98</v>
      </c>
      <c r="AV61" s="209"/>
      <c r="AW61" s="209"/>
      <c r="AX61" s="209"/>
      <c r="AY61" s="210"/>
    </row>
    <row r="62" spans="1:51" x14ac:dyDescent="0.15">
      <c r="A62" s="1"/>
      <c r="B62" s="205" t="s">
        <v>18</v>
      </c>
      <c r="C62" s="205"/>
      <c r="D62" s="205"/>
      <c r="E62" s="205" t="s">
        <v>19</v>
      </c>
      <c r="F62" s="205"/>
      <c r="G62" s="205"/>
      <c r="H62" s="205"/>
      <c r="I62" s="205" t="s">
        <v>19</v>
      </c>
      <c r="J62" s="205"/>
      <c r="K62" s="205"/>
      <c r="L62" s="205"/>
      <c r="M62" s="205"/>
      <c r="N62" s="205"/>
      <c r="O62" s="205" t="s">
        <v>19</v>
      </c>
      <c r="P62" s="205"/>
      <c r="Q62" s="205"/>
      <c r="R62" s="206" t="s">
        <v>19</v>
      </c>
      <c r="S62" s="207"/>
      <c r="T62" s="207"/>
      <c r="U62" s="208"/>
      <c r="V62" s="125" t="s">
        <v>19</v>
      </c>
      <c r="W62" s="126"/>
      <c r="X62" s="126"/>
      <c r="Y62" s="126"/>
      <c r="Z62" s="193"/>
      <c r="AA62" s="125" t="s">
        <v>363</v>
      </c>
      <c r="AB62" s="126"/>
      <c r="AC62" s="126"/>
      <c r="AD62" s="135"/>
      <c r="AE62" s="136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2"/>
      <c r="AW62" s="32"/>
      <c r="AX62" s="32"/>
      <c r="AY62" s="32"/>
    </row>
    <row r="63" spans="1:51" x14ac:dyDescent="0.15">
      <c r="A63" s="1"/>
      <c r="B63" s="1"/>
      <c r="C63" s="137" t="s">
        <v>214</v>
      </c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</row>
    <row r="64" spans="1:51" x14ac:dyDescent="0.15">
      <c r="A64" s="1"/>
      <c r="B64" s="1"/>
      <c r="C64" s="137" t="s">
        <v>215</v>
      </c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</row>
    <row r="65" spans="1:51" ht="4.5" customHeight="1" x14ac:dyDescent="0.15">
      <c r="A65" s="1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18"/>
      <c r="V65" s="192"/>
      <c r="W65" s="192"/>
      <c r="X65" s="192"/>
      <c r="Y65" s="192"/>
      <c r="Z65" s="192"/>
      <c r="AA65" s="192"/>
      <c r="AB65" s="192"/>
      <c r="AC65" s="192"/>
      <c r="AD65" s="118"/>
      <c r="AE65" s="118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1"/>
      <c r="AW65" s="1"/>
      <c r="AX65" s="1"/>
      <c r="AY65" s="1"/>
    </row>
    <row r="66" spans="1:51" x14ac:dyDescent="0.15">
      <c r="A66" s="1"/>
      <c r="B66" s="61" t="s">
        <v>250</v>
      </c>
      <c r="C66" s="61"/>
      <c r="D66" s="61"/>
      <c r="E66" s="164" t="s">
        <v>6</v>
      </c>
      <c r="F66" s="61"/>
      <c r="G66" s="61"/>
      <c r="H66" s="61"/>
      <c r="I66" s="164" t="s">
        <v>7</v>
      </c>
      <c r="J66" s="61"/>
      <c r="K66" s="61"/>
      <c r="L66" s="61"/>
      <c r="M66" s="61"/>
      <c r="N66" s="61"/>
      <c r="O66" s="61" t="s">
        <v>8</v>
      </c>
      <c r="P66" s="61"/>
      <c r="Q66" s="61"/>
      <c r="R66" s="175" t="s">
        <v>9</v>
      </c>
      <c r="S66" s="176"/>
      <c r="T66" s="176"/>
      <c r="U66" s="177"/>
      <c r="V66" s="180" t="s">
        <v>10</v>
      </c>
      <c r="W66" s="180"/>
      <c r="X66" s="180"/>
      <c r="Y66" s="180"/>
      <c r="Z66" s="180"/>
      <c r="AA66" s="173" t="s">
        <v>11</v>
      </c>
      <c r="AB66" s="173"/>
      <c r="AC66" s="173"/>
      <c r="AD66" s="182"/>
      <c r="AE66" s="182"/>
      <c r="AF66" s="180" t="s">
        <v>12</v>
      </c>
      <c r="AG66" s="180"/>
      <c r="AH66" s="180"/>
      <c r="AI66" s="180"/>
      <c r="AJ66" s="180"/>
      <c r="AK66" s="164" t="s">
        <v>13</v>
      </c>
      <c r="AL66" s="61"/>
      <c r="AM66" s="61"/>
      <c r="AN66" s="61"/>
      <c r="AO66" s="61" t="s">
        <v>14</v>
      </c>
      <c r="AP66" s="61"/>
      <c r="AQ66" s="61"/>
      <c r="AR66" s="61"/>
      <c r="AS66" s="61"/>
      <c r="AT66" s="172"/>
      <c r="AU66" s="173" t="s">
        <v>4</v>
      </c>
      <c r="AV66" s="173"/>
      <c r="AW66" s="173"/>
      <c r="AX66" s="173"/>
      <c r="AY66" s="173"/>
    </row>
    <row r="67" spans="1:51" x14ac:dyDescent="0.15">
      <c r="A67" s="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178"/>
      <c r="S67" s="178"/>
      <c r="T67" s="178"/>
      <c r="U67" s="179"/>
      <c r="V67" s="181"/>
      <c r="W67" s="181"/>
      <c r="X67" s="181"/>
      <c r="Y67" s="181"/>
      <c r="Z67" s="181"/>
      <c r="AA67" s="174"/>
      <c r="AB67" s="174"/>
      <c r="AC67" s="174"/>
      <c r="AD67" s="183"/>
      <c r="AE67" s="183"/>
      <c r="AF67" s="181"/>
      <c r="AG67" s="181"/>
      <c r="AH67" s="181"/>
      <c r="AI67" s="181"/>
      <c r="AJ67" s="181"/>
      <c r="AK67" s="61"/>
      <c r="AL67" s="61"/>
      <c r="AM67" s="61"/>
      <c r="AN67" s="61"/>
      <c r="AO67" s="61"/>
      <c r="AP67" s="61"/>
      <c r="AQ67" s="61"/>
      <c r="AR67" s="61"/>
      <c r="AS67" s="61"/>
      <c r="AT67" s="172"/>
      <c r="AU67" s="174"/>
      <c r="AV67" s="174"/>
      <c r="AW67" s="174"/>
      <c r="AX67" s="174"/>
      <c r="AY67" s="174"/>
    </row>
    <row r="68" spans="1:51" x14ac:dyDescent="0.15">
      <c r="A68" s="1"/>
      <c r="B68" s="156" t="s">
        <v>252</v>
      </c>
      <c r="C68" s="213"/>
      <c r="D68" s="157"/>
      <c r="E68" s="402" t="s">
        <v>111</v>
      </c>
      <c r="F68" s="213"/>
      <c r="G68" s="213"/>
      <c r="H68" s="157"/>
      <c r="I68" s="156">
        <v>1</v>
      </c>
      <c r="J68" s="157"/>
      <c r="K68" s="156">
        <v>2</v>
      </c>
      <c r="L68" s="157"/>
      <c r="M68" s="156"/>
      <c r="N68" s="157"/>
      <c r="O68" s="156">
        <v>1</v>
      </c>
      <c r="P68" s="213"/>
      <c r="Q68" s="157"/>
      <c r="R68" s="402" t="s">
        <v>112</v>
      </c>
      <c r="S68" s="213"/>
      <c r="T68" s="213"/>
      <c r="U68" s="157"/>
      <c r="V68" s="423" t="s">
        <v>113</v>
      </c>
      <c r="W68" s="424"/>
      <c r="X68" s="424"/>
      <c r="Y68" s="424"/>
      <c r="Z68" s="425"/>
      <c r="AA68" s="423" t="s">
        <v>114</v>
      </c>
      <c r="AB68" s="424"/>
      <c r="AC68" s="424"/>
      <c r="AD68" s="424"/>
      <c r="AE68" s="425"/>
      <c r="AF68" s="423" t="s">
        <v>115</v>
      </c>
      <c r="AG68" s="424"/>
      <c r="AH68" s="424"/>
      <c r="AI68" s="424"/>
      <c r="AJ68" s="425"/>
      <c r="AK68" s="423" t="s">
        <v>116</v>
      </c>
      <c r="AL68" s="424"/>
      <c r="AM68" s="424"/>
      <c r="AN68" s="425"/>
      <c r="AO68" s="423"/>
      <c r="AP68" s="424"/>
      <c r="AQ68" s="424"/>
      <c r="AR68" s="424"/>
      <c r="AS68" s="424"/>
      <c r="AT68" s="425"/>
      <c r="AU68" s="423"/>
      <c r="AV68" s="424"/>
      <c r="AW68" s="424"/>
      <c r="AX68" s="424"/>
      <c r="AY68" s="425"/>
    </row>
    <row r="69" spans="1:51" x14ac:dyDescent="0.15">
      <c r="A69" s="1"/>
      <c r="B69" s="158"/>
      <c r="C69" s="214"/>
      <c r="D69" s="159"/>
      <c r="E69" s="426"/>
      <c r="F69" s="214"/>
      <c r="G69" s="214"/>
      <c r="H69" s="159"/>
      <c r="I69" s="158"/>
      <c r="J69" s="159"/>
      <c r="K69" s="158"/>
      <c r="L69" s="159"/>
      <c r="M69" s="158"/>
      <c r="N69" s="159"/>
      <c r="O69" s="158"/>
      <c r="P69" s="214"/>
      <c r="Q69" s="159"/>
      <c r="R69" s="158"/>
      <c r="S69" s="214"/>
      <c r="T69" s="214"/>
      <c r="U69" s="159"/>
      <c r="V69" s="165" t="s">
        <v>117</v>
      </c>
      <c r="W69" s="166"/>
      <c r="X69" s="166"/>
      <c r="Y69" s="166"/>
      <c r="Z69" s="167"/>
      <c r="AA69" s="165" t="s">
        <v>118</v>
      </c>
      <c r="AB69" s="166"/>
      <c r="AC69" s="166"/>
      <c r="AD69" s="166"/>
      <c r="AE69" s="167"/>
      <c r="AF69" s="165" t="s">
        <v>119</v>
      </c>
      <c r="AG69" s="166"/>
      <c r="AH69" s="166"/>
      <c r="AI69" s="166"/>
      <c r="AJ69" s="167"/>
      <c r="AK69" s="165" t="s">
        <v>120</v>
      </c>
      <c r="AL69" s="166"/>
      <c r="AM69" s="166"/>
      <c r="AN69" s="167"/>
      <c r="AO69" s="165"/>
      <c r="AP69" s="166"/>
      <c r="AQ69" s="166"/>
      <c r="AR69" s="166"/>
      <c r="AS69" s="166"/>
      <c r="AT69" s="167"/>
      <c r="AU69" s="165"/>
      <c r="AV69" s="166"/>
      <c r="AW69" s="166"/>
      <c r="AX69" s="166"/>
      <c r="AY69" s="167"/>
    </row>
    <row r="70" spans="1:51" x14ac:dyDescent="0.15">
      <c r="A70" s="1"/>
      <c r="B70" s="158"/>
      <c r="C70" s="214"/>
      <c r="D70" s="159"/>
      <c r="E70" s="158"/>
      <c r="F70" s="214"/>
      <c r="G70" s="214"/>
      <c r="H70" s="159"/>
      <c r="I70" s="158"/>
      <c r="J70" s="159"/>
      <c r="K70" s="158"/>
      <c r="L70" s="159"/>
      <c r="M70" s="158"/>
      <c r="N70" s="159"/>
      <c r="O70" s="158"/>
      <c r="P70" s="214"/>
      <c r="Q70" s="159"/>
      <c r="R70" s="160"/>
      <c r="S70" s="215"/>
      <c r="T70" s="215"/>
      <c r="U70" s="161"/>
      <c r="V70" s="125" t="s">
        <v>121</v>
      </c>
      <c r="W70" s="209"/>
      <c r="X70" s="209"/>
      <c r="Y70" s="209"/>
      <c r="Z70" s="210"/>
      <c r="AA70" s="125" t="s">
        <v>122</v>
      </c>
      <c r="AB70" s="209"/>
      <c r="AC70" s="209"/>
      <c r="AD70" s="209"/>
      <c r="AE70" s="210"/>
      <c r="AF70" s="125" t="s">
        <v>123</v>
      </c>
      <c r="AG70" s="209"/>
      <c r="AH70" s="209"/>
      <c r="AI70" s="209"/>
      <c r="AJ70" s="210"/>
      <c r="AK70" s="125" t="s">
        <v>124</v>
      </c>
      <c r="AL70" s="209"/>
      <c r="AM70" s="209"/>
      <c r="AN70" s="210"/>
      <c r="AO70" s="125"/>
      <c r="AP70" s="209"/>
      <c r="AQ70" s="209"/>
      <c r="AR70" s="209"/>
      <c r="AS70" s="209"/>
      <c r="AT70" s="210"/>
      <c r="AU70" s="125"/>
      <c r="AV70" s="209"/>
      <c r="AW70" s="209"/>
      <c r="AX70" s="209"/>
      <c r="AY70" s="210"/>
    </row>
    <row r="71" spans="1:51" x14ac:dyDescent="0.15">
      <c r="A71" s="1"/>
      <c r="B71" s="158"/>
      <c r="C71" s="214"/>
      <c r="D71" s="159"/>
      <c r="E71" s="158"/>
      <c r="F71" s="214"/>
      <c r="G71" s="214"/>
      <c r="H71" s="159"/>
      <c r="I71" s="158"/>
      <c r="J71" s="159"/>
      <c r="K71" s="158"/>
      <c r="L71" s="159"/>
      <c r="M71" s="158"/>
      <c r="N71" s="159"/>
      <c r="O71" s="158"/>
      <c r="P71" s="214"/>
      <c r="Q71" s="159"/>
      <c r="R71" s="402" t="s">
        <v>125</v>
      </c>
      <c r="S71" s="213"/>
      <c r="T71" s="213"/>
      <c r="U71" s="157"/>
      <c r="V71" s="423" t="s">
        <v>126</v>
      </c>
      <c r="W71" s="424"/>
      <c r="X71" s="424"/>
      <c r="Y71" s="424"/>
      <c r="Z71" s="425"/>
      <c r="AA71" s="423"/>
      <c r="AB71" s="424"/>
      <c r="AC71" s="424"/>
      <c r="AD71" s="424"/>
      <c r="AE71" s="425"/>
      <c r="AF71" s="423"/>
      <c r="AG71" s="424"/>
      <c r="AH71" s="424"/>
      <c r="AI71" s="424"/>
      <c r="AJ71" s="425"/>
      <c r="AK71" s="423" t="s">
        <v>120</v>
      </c>
      <c r="AL71" s="424"/>
      <c r="AM71" s="424"/>
      <c r="AN71" s="425"/>
      <c r="AO71" s="423"/>
      <c r="AP71" s="424"/>
      <c r="AQ71" s="424"/>
      <c r="AR71" s="424"/>
      <c r="AS71" s="424"/>
      <c r="AT71" s="425"/>
      <c r="AU71" s="423" t="s">
        <v>127</v>
      </c>
      <c r="AV71" s="424"/>
      <c r="AW71" s="424"/>
      <c r="AX71" s="424"/>
      <c r="AY71" s="425"/>
    </row>
    <row r="72" spans="1:51" x14ac:dyDescent="0.15">
      <c r="A72" s="1"/>
      <c r="B72" s="158"/>
      <c r="C72" s="214"/>
      <c r="D72" s="159"/>
      <c r="E72" s="158"/>
      <c r="F72" s="214"/>
      <c r="G72" s="214"/>
      <c r="H72" s="159"/>
      <c r="I72" s="158"/>
      <c r="J72" s="159"/>
      <c r="K72" s="158"/>
      <c r="L72" s="159"/>
      <c r="M72" s="158"/>
      <c r="N72" s="159"/>
      <c r="O72" s="158"/>
      <c r="P72" s="214"/>
      <c r="Q72" s="159"/>
      <c r="R72" s="158"/>
      <c r="S72" s="214"/>
      <c r="T72" s="214"/>
      <c r="U72" s="159"/>
      <c r="V72" s="165" t="s">
        <v>128</v>
      </c>
      <c r="W72" s="166"/>
      <c r="X72" s="166"/>
      <c r="Y72" s="166"/>
      <c r="Z72" s="167"/>
      <c r="AA72" s="165"/>
      <c r="AB72" s="166"/>
      <c r="AC72" s="166"/>
      <c r="AD72" s="166"/>
      <c r="AE72" s="167"/>
      <c r="AF72" s="165"/>
      <c r="AG72" s="166"/>
      <c r="AH72" s="166"/>
      <c r="AI72" s="166"/>
      <c r="AJ72" s="167"/>
      <c r="AK72" s="165" t="s">
        <v>129</v>
      </c>
      <c r="AL72" s="166"/>
      <c r="AM72" s="166"/>
      <c r="AN72" s="167"/>
      <c r="AO72" s="165"/>
      <c r="AP72" s="166"/>
      <c r="AQ72" s="166"/>
      <c r="AR72" s="166"/>
      <c r="AS72" s="166"/>
      <c r="AT72" s="167"/>
      <c r="AU72" s="165" t="s">
        <v>130</v>
      </c>
      <c r="AV72" s="166"/>
      <c r="AW72" s="166"/>
      <c r="AX72" s="166"/>
      <c r="AY72" s="167"/>
    </row>
    <row r="73" spans="1:51" x14ac:dyDescent="0.15">
      <c r="A73" s="1"/>
      <c r="B73" s="160"/>
      <c r="C73" s="215"/>
      <c r="D73" s="161"/>
      <c r="E73" s="160"/>
      <c r="F73" s="215"/>
      <c r="G73" s="215"/>
      <c r="H73" s="161"/>
      <c r="I73" s="160"/>
      <c r="J73" s="161"/>
      <c r="K73" s="160"/>
      <c r="L73" s="161"/>
      <c r="M73" s="160"/>
      <c r="N73" s="161"/>
      <c r="O73" s="160"/>
      <c r="P73" s="215"/>
      <c r="Q73" s="161"/>
      <c r="R73" s="160"/>
      <c r="S73" s="215"/>
      <c r="T73" s="215"/>
      <c r="U73" s="161"/>
      <c r="V73" s="125" t="s">
        <v>131</v>
      </c>
      <c r="W73" s="209"/>
      <c r="X73" s="209"/>
      <c r="Y73" s="209"/>
      <c r="Z73" s="210"/>
      <c r="AA73" s="125"/>
      <c r="AB73" s="209"/>
      <c r="AC73" s="209"/>
      <c r="AD73" s="209"/>
      <c r="AE73" s="210"/>
      <c r="AF73" s="125"/>
      <c r="AG73" s="209"/>
      <c r="AH73" s="209"/>
      <c r="AI73" s="209"/>
      <c r="AJ73" s="210"/>
      <c r="AK73" s="125" t="s">
        <v>120</v>
      </c>
      <c r="AL73" s="209"/>
      <c r="AM73" s="209"/>
      <c r="AN73" s="210"/>
      <c r="AO73" s="125"/>
      <c r="AP73" s="209"/>
      <c r="AQ73" s="209"/>
      <c r="AR73" s="209"/>
      <c r="AS73" s="209"/>
      <c r="AT73" s="210"/>
      <c r="AU73" s="125" t="s">
        <v>132</v>
      </c>
      <c r="AV73" s="209"/>
      <c r="AW73" s="209"/>
      <c r="AX73" s="209"/>
      <c r="AY73" s="210"/>
    </row>
    <row r="74" spans="1:51" x14ac:dyDescent="0.15">
      <c r="A74" s="1"/>
      <c r="B74" s="205" t="s">
        <v>18</v>
      </c>
      <c r="C74" s="205"/>
      <c r="D74" s="205"/>
      <c r="E74" s="205" t="s">
        <v>19</v>
      </c>
      <c r="F74" s="205"/>
      <c r="G74" s="205"/>
      <c r="H74" s="205"/>
      <c r="I74" s="205" t="s">
        <v>19</v>
      </c>
      <c r="J74" s="205"/>
      <c r="K74" s="205"/>
      <c r="L74" s="205"/>
      <c r="M74" s="205"/>
      <c r="N74" s="205"/>
      <c r="O74" s="205" t="s">
        <v>19</v>
      </c>
      <c r="P74" s="205"/>
      <c r="Q74" s="205"/>
      <c r="R74" s="206" t="s">
        <v>19</v>
      </c>
      <c r="S74" s="207"/>
      <c r="T74" s="207"/>
      <c r="U74" s="208"/>
      <c r="V74" s="125" t="s">
        <v>19</v>
      </c>
      <c r="W74" s="126"/>
      <c r="X74" s="126"/>
      <c r="Y74" s="126"/>
      <c r="Z74" s="193"/>
      <c r="AA74" s="125" t="s">
        <v>20</v>
      </c>
      <c r="AB74" s="126"/>
      <c r="AC74" s="126"/>
      <c r="AD74" s="135"/>
      <c r="AE74" s="136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2"/>
      <c r="AW74" s="32"/>
      <c r="AX74" s="32"/>
      <c r="AY74" s="32"/>
    </row>
    <row r="75" spans="1:51" ht="19.5" customHeight="1" x14ac:dyDescent="0.15">
      <c r="A75" s="1"/>
      <c r="B75" s="244"/>
      <c r="C75" s="244"/>
      <c r="D75" s="244"/>
      <c r="E75" s="244"/>
      <c r="F75" s="244"/>
      <c r="G75" s="244"/>
      <c r="H75" s="244"/>
      <c r="I75" s="244"/>
      <c r="J75" s="244"/>
      <c r="K75" s="244"/>
      <c r="L75" s="244"/>
      <c r="M75" s="244"/>
      <c r="N75" s="244"/>
      <c r="O75" s="244"/>
      <c r="P75" s="244"/>
      <c r="Q75" s="244"/>
      <c r="R75" s="244"/>
      <c r="S75" s="244"/>
      <c r="T75" s="244"/>
      <c r="U75" s="260"/>
      <c r="V75" s="244"/>
      <c r="W75" s="244"/>
      <c r="X75" s="244"/>
      <c r="Y75" s="244"/>
      <c r="Z75" s="244"/>
      <c r="AA75" s="244"/>
      <c r="AB75" s="244"/>
      <c r="AC75" s="244"/>
      <c r="AD75" s="260"/>
      <c r="AE75" s="260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1"/>
      <c r="AW75" s="1"/>
      <c r="AX75" s="1"/>
      <c r="AY75" s="1"/>
    </row>
    <row r="76" spans="1:51" x14ac:dyDescent="0.15">
      <c r="A76" s="2" t="s">
        <v>25</v>
      </c>
      <c r="B76" s="35"/>
      <c r="C76" s="1"/>
      <c r="E76" s="35"/>
      <c r="F76" s="35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34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34"/>
    </row>
    <row r="77" spans="1:51" x14ac:dyDescent="0.15">
      <c r="A77" s="1"/>
      <c r="B77" s="137" t="s">
        <v>145</v>
      </c>
      <c r="C77" s="137"/>
      <c r="D77" s="137"/>
      <c r="E77" s="137"/>
      <c r="F77" s="137"/>
      <c r="G77" s="77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9"/>
    </row>
    <row r="78" spans="1:51" ht="11.25" customHeight="1" x14ac:dyDescent="0.15">
      <c r="A78" s="1"/>
      <c r="B78" s="35"/>
      <c r="C78" s="1"/>
      <c r="E78" s="35"/>
      <c r="F78" s="35" t="s">
        <v>144</v>
      </c>
      <c r="G78" s="137" t="s">
        <v>142</v>
      </c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4" t="s">
        <v>141</v>
      </c>
      <c r="W78" s="137" t="s">
        <v>143</v>
      </c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4"/>
    </row>
    <row r="79" spans="1:51" x14ac:dyDescent="0.15">
      <c r="A79" s="1"/>
      <c r="B79" s="61" t="s">
        <v>135</v>
      </c>
      <c r="C79" s="61"/>
      <c r="D79" s="263" t="s">
        <v>37</v>
      </c>
      <c r="E79" s="264"/>
      <c r="F79" s="264"/>
      <c r="G79" s="264"/>
      <c r="H79" s="264"/>
      <c r="I79" s="264"/>
      <c r="J79" s="264"/>
      <c r="K79" s="265"/>
      <c r="L79" s="263" t="s">
        <v>38</v>
      </c>
      <c r="M79" s="264"/>
      <c r="N79" s="264"/>
      <c r="O79" s="264"/>
      <c r="P79" s="264"/>
      <c r="Q79" s="264"/>
      <c r="R79" s="264"/>
      <c r="S79" s="264"/>
      <c r="T79" s="286" t="s">
        <v>66</v>
      </c>
      <c r="U79" s="287"/>
      <c r="V79" s="286" t="s">
        <v>136</v>
      </c>
      <c r="W79" s="288"/>
      <c r="X79" s="288"/>
      <c r="Y79" s="287"/>
      <c r="Z79" s="263" t="s">
        <v>21</v>
      </c>
      <c r="AA79" s="277"/>
      <c r="AB79" s="277"/>
      <c r="AC79" s="277"/>
      <c r="AD79" s="277"/>
      <c r="AE79" s="263" t="s">
        <v>22</v>
      </c>
      <c r="AF79" s="277"/>
      <c r="AG79" s="277"/>
      <c r="AH79" s="280"/>
      <c r="AI79" s="263" t="s">
        <v>23</v>
      </c>
      <c r="AJ79" s="277"/>
      <c r="AK79" s="277"/>
      <c r="AL79" s="277"/>
      <c r="AM79" s="277"/>
      <c r="AN79" s="277"/>
      <c r="AO79" s="277"/>
      <c r="AP79" s="277"/>
      <c r="AQ79" s="263" t="s">
        <v>24</v>
      </c>
      <c r="AR79" s="277"/>
      <c r="AS79" s="277"/>
      <c r="AT79" s="277"/>
      <c r="AU79" s="277"/>
      <c r="AV79" s="277"/>
      <c r="AW79" s="277"/>
      <c r="AX79" s="277"/>
      <c r="AY79" s="280"/>
    </row>
    <row r="80" spans="1:51" ht="13.5" customHeight="1" x14ac:dyDescent="0.15">
      <c r="A80" s="1"/>
      <c r="B80" s="205" t="s">
        <v>69</v>
      </c>
      <c r="C80" s="205"/>
      <c r="D80" s="205" t="s">
        <v>263</v>
      </c>
      <c r="E80" s="205"/>
      <c r="F80" s="205"/>
      <c r="G80" s="205"/>
      <c r="H80" s="205"/>
      <c r="I80" s="205"/>
      <c r="J80" s="205"/>
      <c r="K80" s="205"/>
      <c r="L80" s="409" t="s">
        <v>354</v>
      </c>
      <c r="M80" s="409"/>
      <c r="N80" s="409"/>
      <c r="O80" s="409"/>
      <c r="P80" s="409"/>
      <c r="Q80" s="409"/>
      <c r="R80" s="409"/>
      <c r="S80" s="409"/>
      <c r="T80" s="290" t="s">
        <v>206</v>
      </c>
      <c r="U80" s="66"/>
      <c r="V80" s="291" t="s">
        <v>71</v>
      </c>
      <c r="W80" s="276"/>
      <c r="X80" s="276"/>
      <c r="Y80" s="276"/>
      <c r="Z80" s="278"/>
      <c r="AA80" s="279"/>
      <c r="AB80" s="279"/>
      <c r="AC80" s="279"/>
      <c r="AD80" s="279"/>
      <c r="AE80" s="290"/>
      <c r="AF80" s="297"/>
      <c r="AG80" s="297"/>
      <c r="AH80" s="297"/>
      <c r="AI80" s="290"/>
      <c r="AJ80" s="298"/>
      <c r="AK80" s="298"/>
      <c r="AL80" s="298"/>
      <c r="AM80" s="298"/>
      <c r="AN80" s="298"/>
      <c r="AO80" s="298"/>
      <c r="AP80" s="299"/>
      <c r="AQ80" s="290" t="s">
        <v>221</v>
      </c>
      <c r="AR80" s="65"/>
      <c r="AS80" s="65"/>
      <c r="AT80" s="65"/>
      <c r="AU80" s="65"/>
      <c r="AV80" s="65"/>
      <c r="AW80" s="65"/>
      <c r="AX80" s="65"/>
      <c r="AY80" s="66"/>
    </row>
    <row r="81" spans="1:53" x14ac:dyDescent="0.15">
      <c r="A81" s="1"/>
      <c r="B81" s="403" t="s">
        <v>83</v>
      </c>
      <c r="C81" s="404"/>
      <c r="D81" s="404"/>
      <c r="E81" s="404"/>
      <c r="F81" s="404"/>
      <c r="G81" s="404"/>
      <c r="H81" s="404"/>
      <c r="I81" s="404"/>
      <c r="J81" s="404"/>
      <c r="K81" s="404"/>
      <c r="L81" s="404"/>
      <c r="M81" s="404"/>
      <c r="N81" s="404"/>
      <c r="O81" s="404"/>
      <c r="P81" s="404"/>
      <c r="Q81" s="404"/>
      <c r="R81" s="404"/>
      <c r="S81" s="404"/>
      <c r="T81" s="418"/>
      <c r="U81" s="419"/>
      <c r="V81" s="269" t="str">
        <f>IF(T80="有","有効","無効")</f>
        <v>有効</v>
      </c>
      <c r="W81" s="270"/>
      <c r="X81" s="270"/>
      <c r="Y81" s="270"/>
      <c r="Z81" s="270"/>
      <c r="AA81" s="270"/>
      <c r="AB81" s="270"/>
      <c r="AC81" s="270"/>
      <c r="AD81" s="270"/>
      <c r="AE81" s="270"/>
      <c r="AF81" s="270"/>
      <c r="AG81" s="270"/>
      <c r="AH81" s="270"/>
      <c r="AI81" s="270"/>
      <c r="AJ81" s="270"/>
      <c r="AK81" s="270"/>
      <c r="AL81" s="270"/>
      <c r="AM81" s="270"/>
      <c r="AN81" s="270"/>
      <c r="AO81" s="270"/>
      <c r="AP81" s="270"/>
      <c r="AQ81" s="270"/>
      <c r="AR81" s="270"/>
      <c r="AS81" s="270"/>
      <c r="AT81" s="270"/>
      <c r="AU81" s="270"/>
      <c r="AV81" s="270"/>
      <c r="AW81" s="270"/>
      <c r="AX81" s="270"/>
      <c r="AY81" s="271"/>
    </row>
    <row r="82" spans="1:53" x14ac:dyDescent="0.15">
      <c r="A82" s="1"/>
      <c r="B82" s="29"/>
      <c r="C82" s="420" t="s">
        <v>84</v>
      </c>
      <c r="D82" s="420"/>
      <c r="E82" s="420"/>
      <c r="F82" s="420"/>
      <c r="G82" s="420"/>
      <c r="H82" s="420"/>
      <c r="I82" s="420"/>
      <c r="J82" s="420"/>
      <c r="K82" s="420"/>
      <c r="L82" s="420"/>
      <c r="M82" s="420"/>
      <c r="N82" s="420"/>
      <c r="O82" s="420"/>
      <c r="P82" s="420"/>
      <c r="Q82" s="420"/>
      <c r="R82" s="420"/>
      <c r="S82" s="420"/>
      <c r="T82" s="421"/>
      <c r="U82" s="421"/>
      <c r="V82" s="274" t="s">
        <v>372</v>
      </c>
      <c r="W82" s="275"/>
      <c r="X82" s="275"/>
      <c r="Y82" s="275"/>
      <c r="Z82" s="275"/>
      <c r="AA82" s="275"/>
      <c r="AB82" s="275"/>
      <c r="AC82" s="275"/>
      <c r="AD82" s="275"/>
      <c r="AE82" s="275"/>
      <c r="AF82" s="275"/>
      <c r="AG82" s="26" t="s">
        <v>141</v>
      </c>
      <c r="AH82" s="26"/>
      <c r="AI82" s="26" t="s">
        <v>204</v>
      </c>
      <c r="AJ82" s="276">
        <v>24</v>
      </c>
      <c r="AK82" s="276"/>
      <c r="AL82" s="276"/>
      <c r="AM82" s="276"/>
      <c r="AN82" s="276"/>
      <c r="AO82" s="276"/>
      <c r="AP82" s="276"/>
      <c r="AQ82" s="276"/>
      <c r="AR82" s="26" t="s">
        <v>205</v>
      </c>
      <c r="AS82" s="26"/>
      <c r="AT82" s="26"/>
      <c r="AU82" s="26"/>
      <c r="AV82" s="26"/>
      <c r="AW82" s="26"/>
      <c r="AX82" s="26"/>
      <c r="AY82" s="27"/>
      <c r="AZ82" s="16">
        <v>1</v>
      </c>
      <c r="BA82" s="16" t="s">
        <v>171</v>
      </c>
    </row>
    <row r="83" spans="1:53" x14ac:dyDescent="0.15">
      <c r="A83" s="1"/>
      <c r="B83" s="29"/>
      <c r="C83" s="410" t="s">
        <v>85</v>
      </c>
      <c r="D83" s="410"/>
      <c r="E83" s="410"/>
      <c r="F83" s="410"/>
      <c r="G83" s="410"/>
      <c r="H83" s="410"/>
      <c r="I83" s="410"/>
      <c r="J83" s="410"/>
      <c r="K83" s="410"/>
      <c r="L83" s="410"/>
      <c r="M83" s="410"/>
      <c r="N83" s="410"/>
      <c r="O83" s="410"/>
      <c r="P83" s="410"/>
      <c r="Q83" s="410"/>
      <c r="R83" s="410"/>
      <c r="S83" s="410"/>
      <c r="T83" s="411"/>
      <c r="U83" s="411"/>
      <c r="V83" s="314" t="s">
        <v>385</v>
      </c>
      <c r="W83" s="307"/>
      <c r="X83" s="307"/>
      <c r="Y83" s="307"/>
      <c r="Z83" s="307"/>
      <c r="AA83" s="307"/>
      <c r="AB83" s="307"/>
      <c r="AC83" s="307"/>
      <c r="AD83" s="307"/>
      <c r="AE83" s="307"/>
      <c r="AF83" s="307"/>
      <c r="AG83" s="307"/>
      <c r="AH83" s="307"/>
      <c r="AI83" s="307"/>
      <c r="AJ83" s="307"/>
      <c r="AK83" s="307"/>
      <c r="AL83" s="307"/>
      <c r="AM83" s="307"/>
      <c r="AN83" s="307"/>
      <c r="AO83" s="307"/>
      <c r="AP83" s="307"/>
      <c r="AQ83" s="307"/>
      <c r="AR83" s="307"/>
      <c r="AS83" s="307"/>
      <c r="AT83" s="307"/>
      <c r="AU83" s="307"/>
      <c r="AV83" s="307"/>
      <c r="AW83" s="307"/>
      <c r="AX83" s="307"/>
      <c r="AY83" s="308"/>
      <c r="AZ83" s="16">
        <v>2</v>
      </c>
      <c r="BA83" s="16" t="s">
        <v>172</v>
      </c>
    </row>
    <row r="84" spans="1:53" x14ac:dyDescent="0.15">
      <c r="A84" s="1"/>
      <c r="B84" s="29"/>
      <c r="C84" s="410" t="s">
        <v>86</v>
      </c>
      <c r="D84" s="410"/>
      <c r="E84" s="410"/>
      <c r="F84" s="410"/>
      <c r="G84" s="410"/>
      <c r="H84" s="410"/>
      <c r="I84" s="410"/>
      <c r="J84" s="410"/>
      <c r="K84" s="410"/>
      <c r="L84" s="410"/>
      <c r="M84" s="410"/>
      <c r="N84" s="410"/>
      <c r="O84" s="410"/>
      <c r="P84" s="410"/>
      <c r="Q84" s="410"/>
      <c r="R84" s="410"/>
      <c r="S84" s="410"/>
      <c r="T84" s="411"/>
      <c r="U84" s="411"/>
      <c r="V84" s="300"/>
      <c r="W84" s="301"/>
      <c r="X84" s="301"/>
      <c r="Y84" s="301"/>
      <c r="Z84" s="301"/>
      <c r="AA84" s="301"/>
      <c r="AB84" s="301"/>
      <c r="AC84" s="301"/>
      <c r="AD84" s="301"/>
      <c r="AE84" s="301"/>
      <c r="AF84" s="301"/>
      <c r="AG84" s="301"/>
      <c r="AH84" s="301"/>
      <c r="AI84" s="301"/>
      <c r="AJ84" s="301"/>
      <c r="AK84" s="301"/>
      <c r="AL84" s="301"/>
      <c r="AM84" s="301"/>
      <c r="AN84" s="301"/>
      <c r="AO84" s="301"/>
      <c r="AP84" s="301"/>
      <c r="AQ84" s="301"/>
      <c r="AR84" s="301"/>
      <c r="AS84" s="301"/>
      <c r="AT84" s="301"/>
      <c r="AU84" s="301"/>
      <c r="AV84" s="301"/>
      <c r="AW84" s="301"/>
      <c r="AX84" s="301"/>
      <c r="AY84" s="302"/>
      <c r="AZ84" s="16">
        <v>3</v>
      </c>
      <c r="BA84" s="16" t="s">
        <v>173</v>
      </c>
    </row>
    <row r="85" spans="1:53" x14ac:dyDescent="0.15">
      <c r="A85" s="1"/>
      <c r="B85" s="30"/>
      <c r="C85" s="416" t="s">
        <v>87</v>
      </c>
      <c r="D85" s="416"/>
      <c r="E85" s="416"/>
      <c r="F85" s="416"/>
      <c r="G85" s="416"/>
      <c r="H85" s="416"/>
      <c r="I85" s="416"/>
      <c r="J85" s="416"/>
      <c r="K85" s="416"/>
      <c r="L85" s="416"/>
      <c r="M85" s="416"/>
      <c r="N85" s="416"/>
      <c r="O85" s="416"/>
      <c r="P85" s="416"/>
      <c r="Q85" s="416"/>
      <c r="R85" s="416"/>
      <c r="S85" s="416"/>
      <c r="T85" s="417"/>
      <c r="U85" s="417"/>
      <c r="V85" s="294"/>
      <c r="W85" s="295"/>
      <c r="X85" s="295"/>
      <c r="Y85" s="295"/>
      <c r="Z85" s="295"/>
      <c r="AA85" s="295"/>
      <c r="AB85" s="295"/>
      <c r="AC85" s="295"/>
      <c r="AD85" s="295"/>
      <c r="AE85" s="295"/>
      <c r="AF85" s="295"/>
      <c r="AG85" s="295"/>
      <c r="AH85" s="295"/>
      <c r="AI85" s="295"/>
      <c r="AJ85" s="295"/>
      <c r="AK85" s="295"/>
      <c r="AL85" s="295"/>
      <c r="AM85" s="295"/>
      <c r="AN85" s="295"/>
      <c r="AO85" s="295"/>
      <c r="AP85" s="295"/>
      <c r="AQ85" s="295"/>
      <c r="AR85" s="295"/>
      <c r="AS85" s="295"/>
      <c r="AT85" s="295"/>
      <c r="AU85" s="295"/>
      <c r="AV85" s="295"/>
      <c r="AW85" s="295"/>
      <c r="AX85" s="295"/>
      <c r="AY85" s="296"/>
      <c r="AZ85" s="16">
        <v>4</v>
      </c>
      <c r="BA85" s="16" t="s">
        <v>174</v>
      </c>
    </row>
    <row r="86" spans="1:53" ht="12" customHeight="1" x14ac:dyDescent="0.15">
      <c r="A86" s="1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4"/>
      <c r="U86" s="4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16">
        <v>5</v>
      </c>
      <c r="BA86" s="16" t="s">
        <v>175</v>
      </c>
    </row>
    <row r="87" spans="1:53" x14ac:dyDescent="0.15">
      <c r="A87" s="1"/>
      <c r="B87" s="61" t="s">
        <v>135</v>
      </c>
      <c r="C87" s="61"/>
      <c r="D87" s="263" t="s">
        <v>37</v>
      </c>
      <c r="E87" s="264"/>
      <c r="F87" s="264"/>
      <c r="G87" s="264"/>
      <c r="H87" s="264"/>
      <c r="I87" s="264"/>
      <c r="J87" s="264"/>
      <c r="K87" s="265"/>
      <c r="L87" s="263" t="s">
        <v>38</v>
      </c>
      <c r="M87" s="264"/>
      <c r="N87" s="264"/>
      <c r="O87" s="264"/>
      <c r="P87" s="264"/>
      <c r="Q87" s="264"/>
      <c r="R87" s="264"/>
      <c r="S87" s="264"/>
      <c r="T87" s="286" t="s">
        <v>66</v>
      </c>
      <c r="U87" s="287"/>
      <c r="V87" s="286" t="s">
        <v>136</v>
      </c>
      <c r="W87" s="288"/>
      <c r="X87" s="288"/>
      <c r="Y87" s="287"/>
      <c r="Z87" s="263" t="s">
        <v>21</v>
      </c>
      <c r="AA87" s="277"/>
      <c r="AB87" s="277"/>
      <c r="AC87" s="277"/>
      <c r="AD87" s="277"/>
      <c r="AE87" s="263" t="s">
        <v>22</v>
      </c>
      <c r="AF87" s="277"/>
      <c r="AG87" s="277"/>
      <c r="AH87" s="280"/>
      <c r="AI87" s="263" t="s">
        <v>23</v>
      </c>
      <c r="AJ87" s="277"/>
      <c r="AK87" s="277"/>
      <c r="AL87" s="277"/>
      <c r="AM87" s="277"/>
      <c r="AN87" s="277"/>
      <c r="AO87" s="277"/>
      <c r="AP87" s="277"/>
      <c r="AQ87" s="263" t="s">
        <v>24</v>
      </c>
      <c r="AR87" s="277"/>
      <c r="AS87" s="277"/>
      <c r="AT87" s="277"/>
      <c r="AU87" s="277"/>
      <c r="AV87" s="277"/>
      <c r="AW87" s="277"/>
      <c r="AX87" s="277"/>
      <c r="AY87" s="280"/>
      <c r="AZ87" s="16">
        <v>6</v>
      </c>
      <c r="BA87" s="16" t="s">
        <v>176</v>
      </c>
    </row>
    <row r="88" spans="1:53" ht="13.5" customHeight="1" x14ac:dyDescent="0.15">
      <c r="A88" s="1"/>
      <c r="B88" s="205" t="s">
        <v>40</v>
      </c>
      <c r="C88" s="205"/>
      <c r="D88" s="205" t="s">
        <v>264</v>
      </c>
      <c r="E88" s="205"/>
      <c r="F88" s="205"/>
      <c r="G88" s="205"/>
      <c r="H88" s="205"/>
      <c r="I88" s="205"/>
      <c r="J88" s="205"/>
      <c r="K88" s="205"/>
      <c r="L88" s="409" t="s">
        <v>338</v>
      </c>
      <c r="M88" s="409"/>
      <c r="N88" s="409"/>
      <c r="O88" s="409"/>
      <c r="P88" s="409"/>
      <c r="Q88" s="409"/>
      <c r="R88" s="409"/>
      <c r="S88" s="409"/>
      <c r="T88" s="290" t="s">
        <v>206</v>
      </c>
      <c r="U88" s="66"/>
      <c r="V88" s="291" t="s">
        <v>71</v>
      </c>
      <c r="W88" s="276"/>
      <c r="X88" s="276"/>
      <c r="Y88" s="276"/>
      <c r="Z88" s="278" t="s">
        <v>74</v>
      </c>
      <c r="AA88" s="279"/>
      <c r="AB88" s="279"/>
      <c r="AC88" s="279"/>
      <c r="AD88" s="279"/>
      <c r="AE88" s="290" t="s">
        <v>106</v>
      </c>
      <c r="AF88" s="297"/>
      <c r="AG88" s="297"/>
      <c r="AH88" s="297"/>
      <c r="AI88" s="290" t="s">
        <v>75</v>
      </c>
      <c r="AJ88" s="298"/>
      <c r="AK88" s="298"/>
      <c r="AL88" s="298"/>
      <c r="AM88" s="298"/>
      <c r="AN88" s="298"/>
      <c r="AO88" s="298"/>
      <c r="AP88" s="299"/>
      <c r="AQ88" s="290" t="s">
        <v>222</v>
      </c>
      <c r="AR88" s="65"/>
      <c r="AS88" s="65"/>
      <c r="AT88" s="65"/>
      <c r="AU88" s="65"/>
      <c r="AV88" s="65"/>
      <c r="AW88" s="65"/>
      <c r="AX88" s="65"/>
      <c r="AY88" s="66"/>
      <c r="AZ88" s="16">
        <v>7</v>
      </c>
      <c r="BA88" s="16" t="s">
        <v>177</v>
      </c>
    </row>
    <row r="89" spans="1:53" x14ac:dyDescent="0.15">
      <c r="A89" s="1"/>
      <c r="B89" s="403" t="s">
        <v>83</v>
      </c>
      <c r="C89" s="404"/>
      <c r="D89" s="404"/>
      <c r="E89" s="404"/>
      <c r="F89" s="404"/>
      <c r="G89" s="404"/>
      <c r="H89" s="404"/>
      <c r="I89" s="404"/>
      <c r="J89" s="404"/>
      <c r="K89" s="404"/>
      <c r="L89" s="404"/>
      <c r="M89" s="404"/>
      <c r="N89" s="404"/>
      <c r="O89" s="404"/>
      <c r="P89" s="404"/>
      <c r="Q89" s="404"/>
      <c r="R89" s="404"/>
      <c r="S89" s="404"/>
      <c r="T89" s="404"/>
      <c r="U89" s="405"/>
      <c r="V89" s="269" t="str">
        <f>IF(T88="有","有効","無効")</f>
        <v>有効</v>
      </c>
      <c r="W89" s="270"/>
      <c r="X89" s="270"/>
      <c r="Y89" s="270"/>
      <c r="Z89" s="270"/>
      <c r="AA89" s="270"/>
      <c r="AB89" s="270"/>
      <c r="AC89" s="270"/>
      <c r="AD89" s="270"/>
      <c r="AE89" s="270"/>
      <c r="AF89" s="270"/>
      <c r="AG89" s="270"/>
      <c r="AH89" s="270"/>
      <c r="AI89" s="270"/>
      <c r="AJ89" s="270"/>
      <c r="AK89" s="270"/>
      <c r="AL89" s="270"/>
      <c r="AM89" s="270"/>
      <c r="AN89" s="270"/>
      <c r="AO89" s="270"/>
      <c r="AP89" s="270"/>
      <c r="AQ89" s="270"/>
      <c r="AR89" s="270"/>
      <c r="AS89" s="270"/>
      <c r="AT89" s="270"/>
      <c r="AU89" s="270"/>
      <c r="AV89" s="270"/>
      <c r="AW89" s="270"/>
      <c r="AX89" s="270"/>
      <c r="AY89" s="271"/>
      <c r="AZ89" s="16">
        <v>8</v>
      </c>
      <c r="BA89" s="16" t="s">
        <v>178</v>
      </c>
    </row>
    <row r="90" spans="1:53" x14ac:dyDescent="0.15">
      <c r="A90" s="1"/>
      <c r="B90" s="29"/>
      <c r="C90" s="406" t="s">
        <v>84</v>
      </c>
      <c r="D90" s="407"/>
      <c r="E90" s="407"/>
      <c r="F90" s="407"/>
      <c r="G90" s="407"/>
      <c r="H90" s="407"/>
      <c r="I90" s="407"/>
      <c r="J90" s="407"/>
      <c r="K90" s="407"/>
      <c r="L90" s="407"/>
      <c r="M90" s="407"/>
      <c r="N90" s="407"/>
      <c r="O90" s="407"/>
      <c r="P90" s="407"/>
      <c r="Q90" s="407"/>
      <c r="R90" s="407"/>
      <c r="S90" s="407"/>
      <c r="T90" s="407"/>
      <c r="U90" s="408"/>
      <c r="V90" s="274"/>
      <c r="W90" s="275"/>
      <c r="X90" s="275"/>
      <c r="Y90" s="275"/>
      <c r="Z90" s="275"/>
      <c r="AA90" s="275"/>
      <c r="AB90" s="275"/>
      <c r="AC90" s="275"/>
      <c r="AD90" s="275"/>
      <c r="AE90" s="275"/>
      <c r="AF90" s="275"/>
      <c r="AG90" s="26" t="s">
        <v>203</v>
      </c>
      <c r="AH90" s="26"/>
      <c r="AI90" s="26" t="s">
        <v>204</v>
      </c>
      <c r="AJ90" s="276" t="e">
        <f>VLOOKUP(AH90,$AZ$82:$BA$113,2,)</f>
        <v>#N/A</v>
      </c>
      <c r="AK90" s="276"/>
      <c r="AL90" s="276"/>
      <c r="AM90" s="276"/>
      <c r="AN90" s="276"/>
      <c r="AO90" s="276"/>
      <c r="AP90" s="276"/>
      <c r="AQ90" s="276"/>
      <c r="AR90" s="26" t="s">
        <v>205</v>
      </c>
      <c r="AS90" s="26"/>
      <c r="AT90" s="26"/>
      <c r="AU90" s="26"/>
      <c r="AV90" s="26"/>
      <c r="AW90" s="26"/>
      <c r="AX90" s="26"/>
      <c r="AY90" s="27"/>
      <c r="AZ90" s="16">
        <v>9</v>
      </c>
      <c r="BA90" s="16" t="s">
        <v>179</v>
      </c>
    </row>
    <row r="91" spans="1:53" x14ac:dyDescent="0.15">
      <c r="A91" s="1"/>
      <c r="B91" s="29"/>
      <c r="C91" s="410" t="s">
        <v>85</v>
      </c>
      <c r="D91" s="410"/>
      <c r="E91" s="410"/>
      <c r="F91" s="410"/>
      <c r="G91" s="410"/>
      <c r="H91" s="410"/>
      <c r="I91" s="410"/>
      <c r="J91" s="410"/>
      <c r="K91" s="410"/>
      <c r="L91" s="410"/>
      <c r="M91" s="410"/>
      <c r="N91" s="410"/>
      <c r="O91" s="410"/>
      <c r="P91" s="410"/>
      <c r="Q91" s="410"/>
      <c r="R91" s="410"/>
      <c r="S91" s="410"/>
      <c r="T91" s="411"/>
      <c r="U91" s="411"/>
      <c r="V91" s="300"/>
      <c r="W91" s="301"/>
      <c r="X91" s="301"/>
      <c r="Y91" s="301"/>
      <c r="Z91" s="301"/>
      <c r="AA91" s="301"/>
      <c r="AB91" s="301"/>
      <c r="AC91" s="301"/>
      <c r="AD91" s="301"/>
      <c r="AE91" s="301"/>
      <c r="AF91" s="301"/>
      <c r="AG91" s="301"/>
      <c r="AH91" s="301"/>
      <c r="AI91" s="301"/>
      <c r="AJ91" s="301"/>
      <c r="AK91" s="301"/>
      <c r="AL91" s="301"/>
      <c r="AM91" s="301"/>
      <c r="AN91" s="301"/>
      <c r="AO91" s="301"/>
      <c r="AP91" s="301"/>
      <c r="AQ91" s="301"/>
      <c r="AR91" s="301"/>
      <c r="AS91" s="301"/>
      <c r="AT91" s="301"/>
      <c r="AU91" s="301"/>
      <c r="AV91" s="301"/>
      <c r="AW91" s="301"/>
      <c r="AX91" s="301"/>
      <c r="AY91" s="302"/>
      <c r="AZ91" s="16">
        <v>10</v>
      </c>
      <c r="BA91" s="16" t="s">
        <v>180</v>
      </c>
    </row>
    <row r="92" spans="1:53" x14ac:dyDescent="0.15">
      <c r="A92" s="1"/>
      <c r="B92" s="29"/>
      <c r="C92" s="410" t="s">
        <v>86</v>
      </c>
      <c r="D92" s="410"/>
      <c r="E92" s="410"/>
      <c r="F92" s="410"/>
      <c r="G92" s="410"/>
      <c r="H92" s="410"/>
      <c r="I92" s="410"/>
      <c r="J92" s="410"/>
      <c r="K92" s="410"/>
      <c r="L92" s="410"/>
      <c r="M92" s="410"/>
      <c r="N92" s="410"/>
      <c r="O92" s="410"/>
      <c r="P92" s="410"/>
      <c r="Q92" s="410"/>
      <c r="R92" s="410"/>
      <c r="S92" s="410"/>
      <c r="T92" s="411"/>
      <c r="U92" s="411"/>
      <c r="V92" s="300"/>
      <c r="W92" s="301"/>
      <c r="X92" s="301"/>
      <c r="Y92" s="301"/>
      <c r="Z92" s="301"/>
      <c r="AA92" s="301"/>
      <c r="AB92" s="301"/>
      <c r="AC92" s="301"/>
      <c r="AD92" s="301"/>
      <c r="AE92" s="301"/>
      <c r="AF92" s="301"/>
      <c r="AG92" s="301"/>
      <c r="AH92" s="301"/>
      <c r="AI92" s="301"/>
      <c r="AJ92" s="301"/>
      <c r="AK92" s="301"/>
      <c r="AL92" s="301"/>
      <c r="AM92" s="301"/>
      <c r="AN92" s="301"/>
      <c r="AO92" s="301"/>
      <c r="AP92" s="301"/>
      <c r="AQ92" s="301"/>
      <c r="AR92" s="301"/>
      <c r="AS92" s="301"/>
      <c r="AT92" s="301"/>
      <c r="AU92" s="301"/>
      <c r="AV92" s="301"/>
      <c r="AW92" s="301"/>
      <c r="AX92" s="301"/>
      <c r="AY92" s="302"/>
      <c r="AZ92" s="16">
        <v>11</v>
      </c>
      <c r="BA92" s="16" t="s">
        <v>181</v>
      </c>
    </row>
    <row r="93" spans="1:53" x14ac:dyDescent="0.15">
      <c r="A93" s="1"/>
      <c r="B93" s="30"/>
      <c r="C93" s="416" t="s">
        <v>87</v>
      </c>
      <c r="D93" s="416"/>
      <c r="E93" s="416"/>
      <c r="F93" s="416"/>
      <c r="G93" s="416"/>
      <c r="H93" s="416"/>
      <c r="I93" s="416"/>
      <c r="J93" s="416"/>
      <c r="K93" s="416"/>
      <c r="L93" s="416"/>
      <c r="M93" s="416"/>
      <c r="N93" s="416"/>
      <c r="O93" s="416"/>
      <c r="P93" s="416"/>
      <c r="Q93" s="416"/>
      <c r="R93" s="416"/>
      <c r="S93" s="416"/>
      <c r="T93" s="417"/>
      <c r="U93" s="417"/>
      <c r="V93" s="294"/>
      <c r="W93" s="295"/>
      <c r="X93" s="295"/>
      <c r="Y93" s="295"/>
      <c r="Z93" s="295"/>
      <c r="AA93" s="295"/>
      <c r="AB93" s="295"/>
      <c r="AC93" s="295"/>
      <c r="AD93" s="295"/>
      <c r="AE93" s="295"/>
      <c r="AF93" s="295"/>
      <c r="AG93" s="295"/>
      <c r="AH93" s="295"/>
      <c r="AI93" s="295"/>
      <c r="AJ93" s="295"/>
      <c r="AK93" s="295"/>
      <c r="AL93" s="295"/>
      <c r="AM93" s="295"/>
      <c r="AN93" s="295"/>
      <c r="AO93" s="295"/>
      <c r="AP93" s="295"/>
      <c r="AQ93" s="295"/>
      <c r="AR93" s="295"/>
      <c r="AS93" s="295"/>
      <c r="AT93" s="295"/>
      <c r="AU93" s="295"/>
      <c r="AV93" s="295"/>
      <c r="AW93" s="295"/>
      <c r="AX93" s="295"/>
      <c r="AY93" s="296"/>
      <c r="AZ93" s="16">
        <v>12</v>
      </c>
      <c r="BA93" s="16" t="s">
        <v>182</v>
      </c>
    </row>
    <row r="94" spans="1:53" ht="12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16">
        <v>13</v>
      </c>
      <c r="BA94" s="16" t="s">
        <v>183</v>
      </c>
    </row>
    <row r="95" spans="1:53" x14ac:dyDescent="0.15">
      <c r="A95" s="1"/>
      <c r="B95" s="61" t="s">
        <v>135</v>
      </c>
      <c r="C95" s="61"/>
      <c r="D95" s="263" t="s">
        <v>37</v>
      </c>
      <c r="E95" s="264"/>
      <c r="F95" s="264"/>
      <c r="G95" s="264"/>
      <c r="H95" s="264"/>
      <c r="I95" s="264"/>
      <c r="J95" s="264"/>
      <c r="K95" s="265"/>
      <c r="L95" s="263" t="s">
        <v>38</v>
      </c>
      <c r="M95" s="264"/>
      <c r="N95" s="264"/>
      <c r="O95" s="264"/>
      <c r="P95" s="264"/>
      <c r="Q95" s="264"/>
      <c r="R95" s="264"/>
      <c r="S95" s="264"/>
      <c r="T95" s="156" t="s">
        <v>66</v>
      </c>
      <c r="U95" s="157"/>
      <c r="V95" s="309" t="s">
        <v>136</v>
      </c>
      <c r="W95" s="310"/>
      <c r="X95" s="310"/>
      <c r="Y95" s="311"/>
      <c r="Z95" s="263" t="s">
        <v>21</v>
      </c>
      <c r="AA95" s="277"/>
      <c r="AB95" s="277"/>
      <c r="AC95" s="277"/>
      <c r="AD95" s="277"/>
      <c r="AE95" s="263" t="s">
        <v>22</v>
      </c>
      <c r="AF95" s="277"/>
      <c r="AG95" s="277"/>
      <c r="AH95" s="280"/>
      <c r="AI95" s="263" t="s">
        <v>23</v>
      </c>
      <c r="AJ95" s="277"/>
      <c r="AK95" s="277"/>
      <c r="AL95" s="277"/>
      <c r="AM95" s="277"/>
      <c r="AN95" s="277"/>
      <c r="AO95" s="277"/>
      <c r="AP95" s="277"/>
      <c r="AQ95" s="263" t="s">
        <v>24</v>
      </c>
      <c r="AR95" s="277"/>
      <c r="AS95" s="277"/>
      <c r="AT95" s="277"/>
      <c r="AU95" s="277"/>
      <c r="AV95" s="277"/>
      <c r="AW95" s="277"/>
      <c r="AX95" s="277"/>
      <c r="AY95" s="280"/>
      <c r="AZ95" s="16">
        <v>14</v>
      </c>
      <c r="BA95" s="16" t="s">
        <v>184</v>
      </c>
    </row>
    <row r="96" spans="1:53" ht="13.5" customHeight="1" x14ac:dyDescent="0.15">
      <c r="A96" s="1"/>
      <c r="B96" s="205" t="s">
        <v>72</v>
      </c>
      <c r="C96" s="205"/>
      <c r="D96" s="205" t="s">
        <v>265</v>
      </c>
      <c r="E96" s="205"/>
      <c r="F96" s="205"/>
      <c r="G96" s="205"/>
      <c r="H96" s="205"/>
      <c r="I96" s="205"/>
      <c r="J96" s="205"/>
      <c r="K96" s="205"/>
      <c r="L96" s="409" t="s">
        <v>337</v>
      </c>
      <c r="M96" s="409"/>
      <c r="N96" s="409"/>
      <c r="O96" s="409"/>
      <c r="P96" s="409"/>
      <c r="Q96" s="409"/>
      <c r="R96" s="409"/>
      <c r="S96" s="409"/>
      <c r="T96" s="290" t="s">
        <v>207</v>
      </c>
      <c r="U96" s="66"/>
      <c r="V96" s="312"/>
      <c r="W96" s="313"/>
      <c r="X96" s="313"/>
      <c r="Y96" s="313"/>
      <c r="Z96" s="278"/>
      <c r="AA96" s="279"/>
      <c r="AB96" s="279"/>
      <c r="AC96" s="279"/>
      <c r="AD96" s="279"/>
      <c r="AE96" s="290"/>
      <c r="AF96" s="297"/>
      <c r="AG96" s="297"/>
      <c r="AH96" s="297"/>
      <c r="AI96" s="290"/>
      <c r="AJ96" s="298"/>
      <c r="AK96" s="298"/>
      <c r="AL96" s="298"/>
      <c r="AM96" s="298"/>
      <c r="AN96" s="298"/>
      <c r="AO96" s="298"/>
      <c r="AP96" s="299"/>
      <c r="AQ96" s="290" t="s">
        <v>209</v>
      </c>
      <c r="AR96" s="65"/>
      <c r="AS96" s="65"/>
      <c r="AT96" s="65"/>
      <c r="AU96" s="65"/>
      <c r="AV96" s="65"/>
      <c r="AW96" s="65"/>
      <c r="AX96" s="65"/>
      <c r="AY96" s="66"/>
      <c r="AZ96" s="16">
        <v>15</v>
      </c>
      <c r="BA96" s="16" t="s">
        <v>185</v>
      </c>
    </row>
    <row r="97" spans="1:53" x14ac:dyDescent="0.15">
      <c r="A97" s="1"/>
      <c r="B97" s="403" t="s">
        <v>83</v>
      </c>
      <c r="C97" s="404"/>
      <c r="D97" s="404"/>
      <c r="E97" s="404"/>
      <c r="F97" s="404"/>
      <c r="G97" s="404"/>
      <c r="H97" s="404"/>
      <c r="I97" s="404"/>
      <c r="J97" s="404"/>
      <c r="K97" s="404"/>
      <c r="L97" s="404"/>
      <c r="M97" s="404"/>
      <c r="N97" s="404"/>
      <c r="O97" s="404"/>
      <c r="P97" s="404"/>
      <c r="Q97" s="404"/>
      <c r="R97" s="404"/>
      <c r="S97" s="404"/>
      <c r="T97" s="418"/>
      <c r="U97" s="419"/>
      <c r="V97" s="269" t="str">
        <f>IF(T96="有","有効","無効")</f>
        <v>無効</v>
      </c>
      <c r="W97" s="270"/>
      <c r="X97" s="270"/>
      <c r="Y97" s="270"/>
      <c r="Z97" s="270"/>
      <c r="AA97" s="270"/>
      <c r="AB97" s="270"/>
      <c r="AC97" s="270"/>
      <c r="AD97" s="270"/>
      <c r="AE97" s="270"/>
      <c r="AF97" s="270"/>
      <c r="AG97" s="270"/>
      <c r="AH97" s="270"/>
      <c r="AI97" s="270"/>
      <c r="AJ97" s="270"/>
      <c r="AK97" s="270"/>
      <c r="AL97" s="270"/>
      <c r="AM97" s="270"/>
      <c r="AN97" s="270"/>
      <c r="AO97" s="270"/>
      <c r="AP97" s="270"/>
      <c r="AQ97" s="270"/>
      <c r="AR97" s="270"/>
      <c r="AS97" s="270"/>
      <c r="AT97" s="270"/>
      <c r="AU97" s="270"/>
      <c r="AV97" s="270"/>
      <c r="AW97" s="270"/>
      <c r="AX97" s="270"/>
      <c r="AY97" s="271"/>
      <c r="AZ97" s="16">
        <v>16</v>
      </c>
      <c r="BA97" s="16" t="s">
        <v>186</v>
      </c>
    </row>
    <row r="98" spans="1:53" x14ac:dyDescent="0.15">
      <c r="A98" s="1"/>
      <c r="B98" s="29"/>
      <c r="C98" s="420" t="s">
        <v>84</v>
      </c>
      <c r="D98" s="420"/>
      <c r="E98" s="420"/>
      <c r="F98" s="420"/>
      <c r="G98" s="420"/>
      <c r="H98" s="420"/>
      <c r="I98" s="420"/>
      <c r="J98" s="420"/>
      <c r="K98" s="420"/>
      <c r="L98" s="420"/>
      <c r="M98" s="420"/>
      <c r="N98" s="420"/>
      <c r="O98" s="420"/>
      <c r="P98" s="420"/>
      <c r="Q98" s="420"/>
      <c r="R98" s="420"/>
      <c r="S98" s="420"/>
      <c r="T98" s="421"/>
      <c r="U98" s="421"/>
      <c r="V98" s="274"/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6" t="s">
        <v>203</v>
      </c>
      <c r="AH98" s="26"/>
      <c r="AI98" s="26" t="s">
        <v>204</v>
      </c>
      <c r="AJ98" s="276" t="e">
        <f>VLOOKUP(AH98,$AZ$82:$BA$113,2,)</f>
        <v>#N/A</v>
      </c>
      <c r="AK98" s="276"/>
      <c r="AL98" s="276"/>
      <c r="AM98" s="276"/>
      <c r="AN98" s="276"/>
      <c r="AO98" s="276"/>
      <c r="AP98" s="276"/>
      <c r="AQ98" s="276"/>
      <c r="AR98" s="26" t="s">
        <v>205</v>
      </c>
      <c r="AS98" s="26"/>
      <c r="AT98" s="26"/>
      <c r="AU98" s="26"/>
      <c r="AV98" s="26"/>
      <c r="AW98" s="26"/>
      <c r="AX98" s="26"/>
      <c r="AY98" s="27"/>
      <c r="AZ98" s="16">
        <v>17</v>
      </c>
      <c r="BA98" s="16" t="s">
        <v>187</v>
      </c>
    </row>
    <row r="99" spans="1:53" x14ac:dyDescent="0.15">
      <c r="A99" s="1"/>
      <c r="B99" s="29"/>
      <c r="C99" s="410" t="s">
        <v>85</v>
      </c>
      <c r="D99" s="410"/>
      <c r="E99" s="410"/>
      <c r="F99" s="410"/>
      <c r="G99" s="410"/>
      <c r="H99" s="410"/>
      <c r="I99" s="410"/>
      <c r="J99" s="410"/>
      <c r="K99" s="410"/>
      <c r="L99" s="410"/>
      <c r="M99" s="410"/>
      <c r="N99" s="410"/>
      <c r="O99" s="410"/>
      <c r="P99" s="410"/>
      <c r="Q99" s="410"/>
      <c r="R99" s="410"/>
      <c r="S99" s="410"/>
      <c r="T99" s="411"/>
      <c r="U99" s="411"/>
      <c r="V99" s="300"/>
      <c r="W99" s="301"/>
      <c r="X99" s="301"/>
      <c r="Y99" s="301"/>
      <c r="Z99" s="301"/>
      <c r="AA99" s="301"/>
      <c r="AB99" s="301"/>
      <c r="AC99" s="301"/>
      <c r="AD99" s="301"/>
      <c r="AE99" s="301"/>
      <c r="AF99" s="301"/>
      <c r="AG99" s="301"/>
      <c r="AH99" s="301"/>
      <c r="AI99" s="301"/>
      <c r="AJ99" s="301"/>
      <c r="AK99" s="301"/>
      <c r="AL99" s="301"/>
      <c r="AM99" s="301"/>
      <c r="AN99" s="301"/>
      <c r="AO99" s="301"/>
      <c r="AP99" s="301"/>
      <c r="AQ99" s="301"/>
      <c r="AR99" s="301"/>
      <c r="AS99" s="301"/>
      <c r="AT99" s="301"/>
      <c r="AU99" s="301"/>
      <c r="AV99" s="301"/>
      <c r="AW99" s="301"/>
      <c r="AX99" s="301"/>
      <c r="AY99" s="302"/>
      <c r="AZ99" s="16">
        <v>18</v>
      </c>
      <c r="BA99" s="16" t="s">
        <v>188</v>
      </c>
    </row>
    <row r="100" spans="1:53" x14ac:dyDescent="0.15">
      <c r="A100" s="1"/>
      <c r="B100" s="29"/>
      <c r="C100" s="410" t="s">
        <v>86</v>
      </c>
      <c r="D100" s="410"/>
      <c r="E100" s="410"/>
      <c r="F100" s="410"/>
      <c r="G100" s="410"/>
      <c r="H100" s="410"/>
      <c r="I100" s="410"/>
      <c r="J100" s="410"/>
      <c r="K100" s="410"/>
      <c r="L100" s="410"/>
      <c r="M100" s="410"/>
      <c r="N100" s="410"/>
      <c r="O100" s="410"/>
      <c r="P100" s="410"/>
      <c r="Q100" s="410"/>
      <c r="R100" s="410"/>
      <c r="S100" s="410"/>
      <c r="T100" s="411"/>
      <c r="U100" s="411"/>
      <c r="V100" s="300"/>
      <c r="W100" s="301"/>
      <c r="X100" s="301"/>
      <c r="Y100" s="301"/>
      <c r="Z100" s="301"/>
      <c r="AA100" s="301"/>
      <c r="AB100" s="301"/>
      <c r="AC100" s="301"/>
      <c r="AD100" s="301"/>
      <c r="AE100" s="301"/>
      <c r="AF100" s="301"/>
      <c r="AG100" s="301"/>
      <c r="AH100" s="301"/>
      <c r="AI100" s="301"/>
      <c r="AJ100" s="301"/>
      <c r="AK100" s="301"/>
      <c r="AL100" s="301"/>
      <c r="AM100" s="301"/>
      <c r="AN100" s="301"/>
      <c r="AO100" s="301"/>
      <c r="AP100" s="301"/>
      <c r="AQ100" s="301"/>
      <c r="AR100" s="301"/>
      <c r="AS100" s="301"/>
      <c r="AT100" s="301"/>
      <c r="AU100" s="301"/>
      <c r="AV100" s="301"/>
      <c r="AW100" s="301"/>
      <c r="AX100" s="301"/>
      <c r="AY100" s="302"/>
      <c r="AZ100" s="16">
        <v>19</v>
      </c>
      <c r="BA100" s="16" t="s">
        <v>189</v>
      </c>
    </row>
    <row r="101" spans="1:53" x14ac:dyDescent="0.15">
      <c r="A101" s="1"/>
      <c r="B101" s="30"/>
      <c r="C101" s="416" t="s">
        <v>87</v>
      </c>
      <c r="D101" s="416"/>
      <c r="E101" s="416"/>
      <c r="F101" s="416"/>
      <c r="G101" s="416"/>
      <c r="H101" s="416"/>
      <c r="I101" s="416"/>
      <c r="J101" s="416"/>
      <c r="K101" s="416"/>
      <c r="L101" s="416"/>
      <c r="M101" s="416"/>
      <c r="N101" s="416"/>
      <c r="O101" s="416"/>
      <c r="P101" s="416"/>
      <c r="Q101" s="416"/>
      <c r="R101" s="416"/>
      <c r="S101" s="416"/>
      <c r="T101" s="417"/>
      <c r="U101" s="417"/>
      <c r="V101" s="294"/>
      <c r="W101" s="295"/>
      <c r="X101" s="295"/>
      <c r="Y101" s="295"/>
      <c r="Z101" s="295"/>
      <c r="AA101" s="295"/>
      <c r="AB101" s="295"/>
      <c r="AC101" s="295"/>
      <c r="AD101" s="295"/>
      <c r="AE101" s="295"/>
      <c r="AF101" s="295"/>
      <c r="AG101" s="295"/>
      <c r="AH101" s="295"/>
      <c r="AI101" s="295"/>
      <c r="AJ101" s="295"/>
      <c r="AK101" s="295"/>
      <c r="AL101" s="295"/>
      <c r="AM101" s="295"/>
      <c r="AN101" s="295"/>
      <c r="AO101" s="295"/>
      <c r="AP101" s="295"/>
      <c r="AQ101" s="295"/>
      <c r="AR101" s="295"/>
      <c r="AS101" s="295"/>
      <c r="AT101" s="295"/>
      <c r="AU101" s="295"/>
      <c r="AV101" s="295"/>
      <c r="AW101" s="295"/>
      <c r="AX101" s="295"/>
      <c r="AY101" s="296"/>
      <c r="AZ101" s="16">
        <v>20</v>
      </c>
      <c r="BA101" s="16" t="s">
        <v>190</v>
      </c>
    </row>
    <row r="102" spans="1:53" ht="12" customHeight="1" x14ac:dyDescent="0.15">
      <c r="A102" s="1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4"/>
      <c r="U102" s="4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16">
        <v>21</v>
      </c>
      <c r="BA102" s="16" t="s">
        <v>191</v>
      </c>
    </row>
    <row r="103" spans="1:53" x14ac:dyDescent="0.15">
      <c r="A103" s="1"/>
      <c r="B103" s="61" t="s">
        <v>135</v>
      </c>
      <c r="C103" s="61"/>
      <c r="D103" s="263" t="s">
        <v>37</v>
      </c>
      <c r="E103" s="264"/>
      <c r="F103" s="264"/>
      <c r="G103" s="264"/>
      <c r="H103" s="264"/>
      <c r="I103" s="264"/>
      <c r="J103" s="264"/>
      <c r="K103" s="265"/>
      <c r="L103" s="263" t="s">
        <v>38</v>
      </c>
      <c r="M103" s="264"/>
      <c r="N103" s="264"/>
      <c r="O103" s="264"/>
      <c r="P103" s="264"/>
      <c r="Q103" s="264"/>
      <c r="R103" s="264"/>
      <c r="S103" s="264"/>
      <c r="T103" s="286" t="s">
        <v>66</v>
      </c>
      <c r="U103" s="287"/>
      <c r="V103" s="309" t="s">
        <v>136</v>
      </c>
      <c r="W103" s="310"/>
      <c r="X103" s="310"/>
      <c r="Y103" s="311"/>
      <c r="Z103" s="263" t="s">
        <v>21</v>
      </c>
      <c r="AA103" s="277"/>
      <c r="AB103" s="277"/>
      <c r="AC103" s="277"/>
      <c r="AD103" s="277"/>
      <c r="AE103" s="263" t="s">
        <v>22</v>
      </c>
      <c r="AF103" s="277"/>
      <c r="AG103" s="277"/>
      <c r="AH103" s="280"/>
      <c r="AI103" s="263" t="s">
        <v>23</v>
      </c>
      <c r="AJ103" s="277"/>
      <c r="AK103" s="277"/>
      <c r="AL103" s="277"/>
      <c r="AM103" s="277"/>
      <c r="AN103" s="277"/>
      <c r="AO103" s="277"/>
      <c r="AP103" s="277"/>
      <c r="AQ103" s="263" t="s">
        <v>24</v>
      </c>
      <c r="AR103" s="277"/>
      <c r="AS103" s="277"/>
      <c r="AT103" s="277"/>
      <c r="AU103" s="277"/>
      <c r="AV103" s="277"/>
      <c r="AW103" s="277"/>
      <c r="AX103" s="277"/>
      <c r="AY103" s="280"/>
      <c r="AZ103" s="16">
        <v>22</v>
      </c>
      <c r="BA103" s="16" t="s">
        <v>192</v>
      </c>
    </row>
    <row r="104" spans="1:53" ht="13.5" customHeight="1" x14ac:dyDescent="0.15">
      <c r="A104" s="1"/>
      <c r="B104" s="205" t="s">
        <v>73</v>
      </c>
      <c r="C104" s="205"/>
      <c r="D104" s="205" t="s">
        <v>266</v>
      </c>
      <c r="E104" s="205"/>
      <c r="F104" s="205"/>
      <c r="G104" s="205"/>
      <c r="H104" s="205"/>
      <c r="I104" s="205"/>
      <c r="J104" s="205"/>
      <c r="K104" s="205"/>
      <c r="L104" s="409" t="s">
        <v>336</v>
      </c>
      <c r="M104" s="409"/>
      <c r="N104" s="409"/>
      <c r="O104" s="409"/>
      <c r="P104" s="409"/>
      <c r="Q104" s="409"/>
      <c r="R104" s="409"/>
      <c r="S104" s="409"/>
      <c r="T104" s="290" t="s">
        <v>207</v>
      </c>
      <c r="U104" s="66"/>
      <c r="V104" s="312"/>
      <c r="W104" s="313"/>
      <c r="X104" s="313"/>
      <c r="Y104" s="313"/>
      <c r="Z104" s="278"/>
      <c r="AA104" s="279"/>
      <c r="AB104" s="279"/>
      <c r="AC104" s="279"/>
      <c r="AD104" s="279"/>
      <c r="AE104" s="290"/>
      <c r="AF104" s="297"/>
      <c r="AG104" s="297"/>
      <c r="AH104" s="297"/>
      <c r="AI104" s="290"/>
      <c r="AJ104" s="298"/>
      <c r="AK104" s="298"/>
      <c r="AL104" s="298"/>
      <c r="AM104" s="298"/>
      <c r="AN104" s="298"/>
      <c r="AO104" s="298"/>
      <c r="AP104" s="299"/>
      <c r="AQ104" s="290"/>
      <c r="AR104" s="65"/>
      <c r="AS104" s="65"/>
      <c r="AT104" s="65"/>
      <c r="AU104" s="65"/>
      <c r="AV104" s="65"/>
      <c r="AW104" s="65"/>
      <c r="AX104" s="65"/>
      <c r="AY104" s="66"/>
      <c r="AZ104" s="16">
        <v>23</v>
      </c>
      <c r="BA104" s="16" t="s">
        <v>193</v>
      </c>
    </row>
    <row r="105" spans="1:53" x14ac:dyDescent="0.15">
      <c r="A105" s="1"/>
      <c r="B105" s="403" t="s">
        <v>26</v>
      </c>
      <c r="C105" s="404"/>
      <c r="D105" s="404"/>
      <c r="E105" s="404"/>
      <c r="F105" s="404"/>
      <c r="G105" s="404"/>
      <c r="H105" s="404"/>
      <c r="I105" s="404"/>
      <c r="J105" s="404"/>
      <c r="K105" s="404"/>
      <c r="L105" s="404"/>
      <c r="M105" s="404"/>
      <c r="N105" s="404"/>
      <c r="O105" s="404"/>
      <c r="P105" s="404"/>
      <c r="Q105" s="404"/>
      <c r="R105" s="404"/>
      <c r="S105" s="404"/>
      <c r="T105" s="418"/>
      <c r="U105" s="419"/>
      <c r="V105" s="269" t="str">
        <f>IF(T104="有","有効","無効")</f>
        <v>無効</v>
      </c>
      <c r="W105" s="270"/>
      <c r="X105" s="270"/>
      <c r="Y105" s="270"/>
      <c r="Z105" s="270"/>
      <c r="AA105" s="270"/>
      <c r="AB105" s="270"/>
      <c r="AC105" s="270"/>
      <c r="AD105" s="270"/>
      <c r="AE105" s="270"/>
      <c r="AF105" s="270"/>
      <c r="AG105" s="270"/>
      <c r="AH105" s="270"/>
      <c r="AI105" s="270"/>
      <c r="AJ105" s="270"/>
      <c r="AK105" s="270"/>
      <c r="AL105" s="270"/>
      <c r="AM105" s="270"/>
      <c r="AN105" s="270"/>
      <c r="AO105" s="270"/>
      <c r="AP105" s="270"/>
      <c r="AQ105" s="270"/>
      <c r="AR105" s="270"/>
      <c r="AS105" s="270"/>
      <c r="AT105" s="270"/>
      <c r="AU105" s="270"/>
      <c r="AV105" s="270"/>
      <c r="AW105" s="270"/>
      <c r="AX105" s="270"/>
      <c r="AY105" s="271"/>
      <c r="AZ105" s="16">
        <v>24</v>
      </c>
      <c r="BA105" s="16" t="s">
        <v>194</v>
      </c>
    </row>
    <row r="106" spans="1:53" x14ac:dyDescent="0.15">
      <c r="A106" s="1"/>
      <c r="B106" s="29"/>
      <c r="C106" s="420" t="s">
        <v>27</v>
      </c>
      <c r="D106" s="420"/>
      <c r="E106" s="420"/>
      <c r="F106" s="420"/>
      <c r="G106" s="420"/>
      <c r="H106" s="420"/>
      <c r="I106" s="420"/>
      <c r="J106" s="420"/>
      <c r="K106" s="420"/>
      <c r="L106" s="420"/>
      <c r="M106" s="420"/>
      <c r="N106" s="420"/>
      <c r="O106" s="420"/>
      <c r="P106" s="420"/>
      <c r="Q106" s="420"/>
      <c r="R106" s="420"/>
      <c r="S106" s="420"/>
      <c r="T106" s="421"/>
      <c r="U106" s="421"/>
      <c r="V106" s="274"/>
      <c r="W106" s="275"/>
      <c r="X106" s="275"/>
      <c r="Y106" s="275"/>
      <c r="Z106" s="275"/>
      <c r="AA106" s="275"/>
      <c r="AB106" s="275"/>
      <c r="AC106" s="275"/>
      <c r="AD106" s="275"/>
      <c r="AE106" s="275"/>
      <c r="AF106" s="275"/>
      <c r="AG106" s="26" t="s">
        <v>141</v>
      </c>
      <c r="AH106" s="26"/>
      <c r="AI106" s="26" t="s">
        <v>204</v>
      </c>
      <c r="AJ106" s="276" t="e">
        <f>VLOOKUP(AH106,$AZ$82:$BA$113,2,)</f>
        <v>#N/A</v>
      </c>
      <c r="AK106" s="276"/>
      <c r="AL106" s="276"/>
      <c r="AM106" s="276"/>
      <c r="AN106" s="276"/>
      <c r="AO106" s="276"/>
      <c r="AP106" s="276"/>
      <c r="AQ106" s="276"/>
      <c r="AR106" s="26" t="s">
        <v>205</v>
      </c>
      <c r="AS106" s="26"/>
      <c r="AT106" s="26"/>
      <c r="AU106" s="26"/>
      <c r="AV106" s="26"/>
      <c r="AW106" s="26"/>
      <c r="AX106" s="26"/>
      <c r="AY106" s="27"/>
      <c r="AZ106" s="16">
        <v>25</v>
      </c>
      <c r="BA106" s="16" t="s">
        <v>195</v>
      </c>
    </row>
    <row r="107" spans="1:53" x14ac:dyDescent="0.15">
      <c r="A107" s="1"/>
      <c r="B107" s="29"/>
      <c r="C107" s="410" t="s">
        <v>28</v>
      </c>
      <c r="D107" s="410"/>
      <c r="E107" s="410"/>
      <c r="F107" s="410"/>
      <c r="G107" s="410"/>
      <c r="H107" s="410"/>
      <c r="I107" s="410"/>
      <c r="J107" s="410"/>
      <c r="K107" s="410"/>
      <c r="L107" s="410"/>
      <c r="M107" s="410"/>
      <c r="N107" s="410"/>
      <c r="O107" s="410"/>
      <c r="P107" s="410"/>
      <c r="Q107" s="410"/>
      <c r="R107" s="410"/>
      <c r="S107" s="410"/>
      <c r="T107" s="411"/>
      <c r="U107" s="411"/>
      <c r="V107" s="300"/>
      <c r="W107" s="301"/>
      <c r="X107" s="301"/>
      <c r="Y107" s="301"/>
      <c r="Z107" s="301"/>
      <c r="AA107" s="301"/>
      <c r="AB107" s="301"/>
      <c r="AC107" s="301"/>
      <c r="AD107" s="301"/>
      <c r="AE107" s="301"/>
      <c r="AF107" s="301"/>
      <c r="AG107" s="301"/>
      <c r="AH107" s="301"/>
      <c r="AI107" s="301"/>
      <c r="AJ107" s="301"/>
      <c r="AK107" s="301"/>
      <c r="AL107" s="301"/>
      <c r="AM107" s="301"/>
      <c r="AN107" s="301"/>
      <c r="AO107" s="301"/>
      <c r="AP107" s="301"/>
      <c r="AQ107" s="301"/>
      <c r="AR107" s="301"/>
      <c r="AS107" s="301"/>
      <c r="AT107" s="301"/>
      <c r="AU107" s="301"/>
      <c r="AV107" s="301"/>
      <c r="AW107" s="301"/>
      <c r="AX107" s="301"/>
      <c r="AY107" s="302"/>
      <c r="AZ107" s="16">
        <v>26</v>
      </c>
      <c r="BA107" s="16" t="s">
        <v>196</v>
      </c>
    </row>
    <row r="108" spans="1:53" x14ac:dyDescent="0.15">
      <c r="A108" s="1"/>
      <c r="B108" s="29"/>
      <c r="C108" s="410" t="s">
        <v>29</v>
      </c>
      <c r="D108" s="410"/>
      <c r="E108" s="410"/>
      <c r="F108" s="410"/>
      <c r="G108" s="410"/>
      <c r="H108" s="410"/>
      <c r="I108" s="410"/>
      <c r="J108" s="410"/>
      <c r="K108" s="410"/>
      <c r="L108" s="410"/>
      <c r="M108" s="410"/>
      <c r="N108" s="410"/>
      <c r="O108" s="410"/>
      <c r="P108" s="410"/>
      <c r="Q108" s="410"/>
      <c r="R108" s="410"/>
      <c r="S108" s="410"/>
      <c r="T108" s="411"/>
      <c r="U108" s="411"/>
      <c r="V108" s="300"/>
      <c r="W108" s="301"/>
      <c r="X108" s="301"/>
      <c r="Y108" s="301"/>
      <c r="Z108" s="301"/>
      <c r="AA108" s="301"/>
      <c r="AB108" s="301"/>
      <c r="AC108" s="301"/>
      <c r="AD108" s="301"/>
      <c r="AE108" s="301"/>
      <c r="AF108" s="301"/>
      <c r="AG108" s="301"/>
      <c r="AH108" s="301"/>
      <c r="AI108" s="301"/>
      <c r="AJ108" s="301"/>
      <c r="AK108" s="301"/>
      <c r="AL108" s="301"/>
      <c r="AM108" s="301"/>
      <c r="AN108" s="301"/>
      <c r="AO108" s="301"/>
      <c r="AP108" s="301"/>
      <c r="AQ108" s="301"/>
      <c r="AR108" s="301"/>
      <c r="AS108" s="301"/>
      <c r="AT108" s="301"/>
      <c r="AU108" s="301"/>
      <c r="AV108" s="301"/>
      <c r="AW108" s="301"/>
      <c r="AX108" s="301"/>
      <c r="AY108" s="302"/>
      <c r="AZ108" s="16">
        <v>27</v>
      </c>
      <c r="BA108" s="16" t="s">
        <v>197</v>
      </c>
    </row>
    <row r="109" spans="1:53" x14ac:dyDescent="0.15">
      <c r="A109" s="1"/>
      <c r="B109" s="30"/>
      <c r="C109" s="416" t="s">
        <v>30</v>
      </c>
      <c r="D109" s="416"/>
      <c r="E109" s="416"/>
      <c r="F109" s="416"/>
      <c r="G109" s="416"/>
      <c r="H109" s="416"/>
      <c r="I109" s="416"/>
      <c r="J109" s="416"/>
      <c r="K109" s="416"/>
      <c r="L109" s="416"/>
      <c r="M109" s="416"/>
      <c r="N109" s="416"/>
      <c r="O109" s="416"/>
      <c r="P109" s="416"/>
      <c r="Q109" s="416"/>
      <c r="R109" s="416"/>
      <c r="S109" s="416"/>
      <c r="T109" s="417"/>
      <c r="U109" s="417"/>
      <c r="V109" s="294"/>
      <c r="W109" s="295"/>
      <c r="X109" s="295"/>
      <c r="Y109" s="295"/>
      <c r="Z109" s="295"/>
      <c r="AA109" s="295"/>
      <c r="AB109" s="295"/>
      <c r="AC109" s="295"/>
      <c r="AD109" s="295"/>
      <c r="AE109" s="295"/>
      <c r="AF109" s="295"/>
      <c r="AG109" s="295"/>
      <c r="AH109" s="295"/>
      <c r="AI109" s="295"/>
      <c r="AJ109" s="295"/>
      <c r="AK109" s="295"/>
      <c r="AL109" s="295"/>
      <c r="AM109" s="295"/>
      <c r="AN109" s="295"/>
      <c r="AO109" s="295"/>
      <c r="AP109" s="295"/>
      <c r="AQ109" s="295"/>
      <c r="AR109" s="295"/>
      <c r="AS109" s="295"/>
      <c r="AT109" s="295"/>
      <c r="AU109" s="295"/>
      <c r="AV109" s="295"/>
      <c r="AW109" s="295"/>
      <c r="AX109" s="295"/>
      <c r="AY109" s="296"/>
      <c r="AZ109" s="16">
        <v>28</v>
      </c>
      <c r="BA109" s="16" t="s">
        <v>198</v>
      </c>
    </row>
    <row r="110" spans="1:53" ht="12" customHeight="1" x14ac:dyDescent="0.15">
      <c r="A110" s="1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4"/>
      <c r="U110" s="4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16">
        <v>29</v>
      </c>
      <c r="BA110" s="16" t="s">
        <v>199</v>
      </c>
    </row>
    <row r="111" spans="1:53" x14ac:dyDescent="0.15">
      <c r="A111" s="1"/>
      <c r="B111" s="61" t="s">
        <v>135</v>
      </c>
      <c r="C111" s="61"/>
      <c r="D111" s="263" t="s">
        <v>37</v>
      </c>
      <c r="E111" s="264"/>
      <c r="F111" s="264"/>
      <c r="G111" s="264"/>
      <c r="H111" s="264"/>
      <c r="I111" s="264"/>
      <c r="J111" s="264"/>
      <c r="K111" s="265"/>
      <c r="L111" s="263" t="s">
        <v>38</v>
      </c>
      <c r="M111" s="264"/>
      <c r="N111" s="264"/>
      <c r="O111" s="264"/>
      <c r="P111" s="264"/>
      <c r="Q111" s="264"/>
      <c r="R111" s="264"/>
      <c r="S111" s="264"/>
      <c r="T111" s="286" t="s">
        <v>66</v>
      </c>
      <c r="U111" s="287"/>
      <c r="V111" s="286" t="s">
        <v>136</v>
      </c>
      <c r="W111" s="288"/>
      <c r="X111" s="288"/>
      <c r="Y111" s="287"/>
      <c r="Z111" s="263" t="s">
        <v>21</v>
      </c>
      <c r="AA111" s="277"/>
      <c r="AB111" s="277"/>
      <c r="AC111" s="277"/>
      <c r="AD111" s="277"/>
      <c r="AE111" s="263" t="s">
        <v>22</v>
      </c>
      <c r="AF111" s="277"/>
      <c r="AG111" s="277"/>
      <c r="AH111" s="280"/>
      <c r="AI111" s="263" t="s">
        <v>23</v>
      </c>
      <c r="AJ111" s="277"/>
      <c r="AK111" s="277"/>
      <c r="AL111" s="277"/>
      <c r="AM111" s="277"/>
      <c r="AN111" s="277"/>
      <c r="AO111" s="277"/>
      <c r="AP111" s="277"/>
      <c r="AQ111" s="263" t="s">
        <v>24</v>
      </c>
      <c r="AR111" s="277"/>
      <c r="AS111" s="277"/>
      <c r="AT111" s="277"/>
      <c r="AU111" s="277"/>
      <c r="AV111" s="277"/>
      <c r="AW111" s="277"/>
      <c r="AX111" s="277"/>
      <c r="AY111" s="280"/>
      <c r="AZ111" s="16">
        <v>30</v>
      </c>
      <c r="BA111" s="16" t="s">
        <v>200</v>
      </c>
    </row>
    <row r="112" spans="1:53" ht="13.5" customHeight="1" x14ac:dyDescent="0.15">
      <c r="A112" s="1"/>
      <c r="B112" s="205" t="s">
        <v>99</v>
      </c>
      <c r="C112" s="205"/>
      <c r="D112" s="205" t="s">
        <v>267</v>
      </c>
      <c r="E112" s="205"/>
      <c r="F112" s="205"/>
      <c r="G112" s="205"/>
      <c r="H112" s="205"/>
      <c r="I112" s="205"/>
      <c r="J112" s="205"/>
      <c r="K112" s="205"/>
      <c r="L112" s="125" t="s">
        <v>335</v>
      </c>
      <c r="M112" s="126"/>
      <c r="N112" s="126"/>
      <c r="O112" s="126"/>
      <c r="P112" s="126"/>
      <c r="Q112" s="126"/>
      <c r="R112" s="126"/>
      <c r="S112" s="193"/>
      <c r="T112" s="290" t="s">
        <v>207</v>
      </c>
      <c r="U112" s="66"/>
      <c r="V112" s="290"/>
      <c r="W112" s="65"/>
      <c r="X112" s="65"/>
      <c r="Y112" s="66"/>
      <c r="Z112" s="278"/>
      <c r="AA112" s="279"/>
      <c r="AB112" s="279"/>
      <c r="AC112" s="279"/>
      <c r="AD112" s="279"/>
      <c r="AE112" s="290"/>
      <c r="AF112" s="297"/>
      <c r="AG112" s="297"/>
      <c r="AH112" s="297"/>
      <c r="AI112" s="290"/>
      <c r="AJ112" s="298"/>
      <c r="AK112" s="298"/>
      <c r="AL112" s="298"/>
      <c r="AM112" s="298"/>
      <c r="AN112" s="298"/>
      <c r="AO112" s="298"/>
      <c r="AP112" s="299"/>
      <c r="AQ112" s="290"/>
      <c r="AR112" s="65"/>
      <c r="AS112" s="65"/>
      <c r="AT112" s="65"/>
      <c r="AU112" s="65"/>
      <c r="AV112" s="65"/>
      <c r="AW112" s="65"/>
      <c r="AX112" s="65"/>
      <c r="AY112" s="66"/>
      <c r="AZ112" s="16">
        <v>31</v>
      </c>
      <c r="BA112" s="16" t="s">
        <v>201</v>
      </c>
    </row>
    <row r="113" spans="1:53" x14ac:dyDescent="0.15">
      <c r="A113" s="1"/>
      <c r="B113" s="403" t="s">
        <v>26</v>
      </c>
      <c r="C113" s="404"/>
      <c r="D113" s="404"/>
      <c r="E113" s="404"/>
      <c r="F113" s="404"/>
      <c r="G113" s="404"/>
      <c r="H113" s="404"/>
      <c r="I113" s="404"/>
      <c r="J113" s="404"/>
      <c r="K113" s="404"/>
      <c r="L113" s="404"/>
      <c r="M113" s="404"/>
      <c r="N113" s="404"/>
      <c r="O113" s="404"/>
      <c r="P113" s="404"/>
      <c r="Q113" s="404"/>
      <c r="R113" s="404"/>
      <c r="S113" s="404"/>
      <c r="T113" s="418"/>
      <c r="U113" s="419"/>
      <c r="V113" s="269" t="str">
        <f>IF(T112="有","有効","無効")</f>
        <v>無効</v>
      </c>
      <c r="W113" s="270"/>
      <c r="X113" s="270"/>
      <c r="Y113" s="270"/>
      <c r="Z113" s="270"/>
      <c r="AA113" s="270"/>
      <c r="AB113" s="270"/>
      <c r="AC113" s="270"/>
      <c r="AD113" s="270"/>
      <c r="AE113" s="270"/>
      <c r="AF113" s="270"/>
      <c r="AG113" s="270"/>
      <c r="AH113" s="270"/>
      <c r="AI113" s="270"/>
      <c r="AJ113" s="270"/>
      <c r="AK113" s="270"/>
      <c r="AL113" s="270"/>
      <c r="AM113" s="270"/>
      <c r="AN113" s="270"/>
      <c r="AO113" s="270"/>
      <c r="AP113" s="270"/>
      <c r="AQ113" s="270"/>
      <c r="AR113" s="270"/>
      <c r="AS113" s="270"/>
      <c r="AT113" s="270"/>
      <c r="AU113" s="270"/>
      <c r="AV113" s="270"/>
      <c r="AW113" s="270"/>
      <c r="AX113" s="270"/>
      <c r="AY113" s="271"/>
      <c r="AZ113" s="16">
        <v>32</v>
      </c>
      <c r="BA113" s="16" t="s">
        <v>202</v>
      </c>
    </row>
    <row r="114" spans="1:53" x14ac:dyDescent="0.15">
      <c r="A114" s="1"/>
      <c r="B114" s="29"/>
      <c r="C114" s="420" t="s">
        <v>27</v>
      </c>
      <c r="D114" s="420"/>
      <c r="E114" s="420"/>
      <c r="F114" s="420"/>
      <c r="G114" s="420"/>
      <c r="H114" s="420"/>
      <c r="I114" s="420"/>
      <c r="J114" s="420"/>
      <c r="K114" s="420"/>
      <c r="L114" s="420"/>
      <c r="M114" s="420"/>
      <c r="N114" s="420"/>
      <c r="O114" s="420"/>
      <c r="P114" s="420"/>
      <c r="Q114" s="420"/>
      <c r="R114" s="420"/>
      <c r="S114" s="420"/>
      <c r="T114" s="421"/>
      <c r="U114" s="421"/>
      <c r="V114" s="274"/>
      <c r="W114" s="275"/>
      <c r="X114" s="275"/>
      <c r="Y114" s="275"/>
      <c r="Z114" s="275"/>
      <c r="AA114" s="275"/>
      <c r="AB114" s="275"/>
      <c r="AC114" s="275"/>
      <c r="AD114" s="275"/>
      <c r="AE114" s="275"/>
      <c r="AF114" s="275"/>
      <c r="AG114" s="26" t="s">
        <v>141</v>
      </c>
      <c r="AH114" s="26"/>
      <c r="AI114" s="26" t="s">
        <v>204</v>
      </c>
      <c r="AJ114" s="276" t="e">
        <f>VLOOKUP(AH114,$AZ$82:$BA$113,2,)</f>
        <v>#N/A</v>
      </c>
      <c r="AK114" s="276"/>
      <c r="AL114" s="276"/>
      <c r="AM114" s="276"/>
      <c r="AN114" s="276"/>
      <c r="AO114" s="276"/>
      <c r="AP114" s="276"/>
      <c r="AQ114" s="276"/>
      <c r="AR114" s="26" t="s">
        <v>205</v>
      </c>
      <c r="AS114" s="26"/>
      <c r="AT114" s="26"/>
      <c r="AU114" s="26"/>
      <c r="AV114" s="26"/>
      <c r="AW114" s="26"/>
      <c r="AX114" s="26"/>
      <c r="AY114" s="27"/>
    </row>
    <row r="115" spans="1:53" x14ac:dyDescent="0.15">
      <c r="A115" s="1"/>
      <c r="B115" s="29"/>
      <c r="C115" s="410" t="s">
        <v>28</v>
      </c>
      <c r="D115" s="410"/>
      <c r="E115" s="410"/>
      <c r="F115" s="410"/>
      <c r="G115" s="410"/>
      <c r="H115" s="410"/>
      <c r="I115" s="410"/>
      <c r="J115" s="410"/>
      <c r="K115" s="410"/>
      <c r="L115" s="410"/>
      <c r="M115" s="410"/>
      <c r="N115" s="410"/>
      <c r="O115" s="410"/>
      <c r="P115" s="410"/>
      <c r="Q115" s="410"/>
      <c r="R115" s="410"/>
      <c r="S115" s="410"/>
      <c r="T115" s="411"/>
      <c r="U115" s="411"/>
      <c r="V115" s="300"/>
      <c r="W115" s="301"/>
      <c r="X115" s="301"/>
      <c r="Y115" s="301"/>
      <c r="Z115" s="301"/>
      <c r="AA115" s="301"/>
      <c r="AB115" s="301"/>
      <c r="AC115" s="301"/>
      <c r="AD115" s="301"/>
      <c r="AE115" s="301"/>
      <c r="AF115" s="301"/>
      <c r="AG115" s="301"/>
      <c r="AH115" s="301"/>
      <c r="AI115" s="301"/>
      <c r="AJ115" s="301"/>
      <c r="AK115" s="301"/>
      <c r="AL115" s="301"/>
      <c r="AM115" s="301"/>
      <c r="AN115" s="301"/>
      <c r="AO115" s="301"/>
      <c r="AP115" s="301"/>
      <c r="AQ115" s="301"/>
      <c r="AR115" s="301"/>
      <c r="AS115" s="301"/>
      <c r="AT115" s="301"/>
      <c r="AU115" s="301"/>
      <c r="AV115" s="301"/>
      <c r="AW115" s="301"/>
      <c r="AX115" s="301"/>
      <c r="AY115" s="302"/>
    </row>
    <row r="116" spans="1:53" x14ac:dyDescent="0.15">
      <c r="A116" s="1"/>
      <c r="B116" s="29"/>
      <c r="C116" s="410" t="s">
        <v>29</v>
      </c>
      <c r="D116" s="410"/>
      <c r="E116" s="410"/>
      <c r="F116" s="410"/>
      <c r="G116" s="410"/>
      <c r="H116" s="410"/>
      <c r="I116" s="410"/>
      <c r="J116" s="410"/>
      <c r="K116" s="410"/>
      <c r="L116" s="410"/>
      <c r="M116" s="410"/>
      <c r="N116" s="410"/>
      <c r="O116" s="410"/>
      <c r="P116" s="410"/>
      <c r="Q116" s="410"/>
      <c r="R116" s="410"/>
      <c r="S116" s="410"/>
      <c r="T116" s="411"/>
      <c r="U116" s="411"/>
      <c r="V116" s="300"/>
      <c r="W116" s="301"/>
      <c r="X116" s="301"/>
      <c r="Y116" s="301"/>
      <c r="Z116" s="301"/>
      <c r="AA116" s="301"/>
      <c r="AB116" s="301"/>
      <c r="AC116" s="301"/>
      <c r="AD116" s="301"/>
      <c r="AE116" s="301"/>
      <c r="AF116" s="301"/>
      <c r="AG116" s="301"/>
      <c r="AH116" s="301"/>
      <c r="AI116" s="301"/>
      <c r="AJ116" s="301"/>
      <c r="AK116" s="301"/>
      <c r="AL116" s="301"/>
      <c r="AM116" s="301"/>
      <c r="AN116" s="301"/>
      <c r="AO116" s="301"/>
      <c r="AP116" s="301"/>
      <c r="AQ116" s="301"/>
      <c r="AR116" s="301"/>
      <c r="AS116" s="301"/>
      <c r="AT116" s="301"/>
      <c r="AU116" s="301"/>
      <c r="AV116" s="301"/>
      <c r="AW116" s="301"/>
      <c r="AX116" s="301"/>
      <c r="AY116" s="302"/>
    </row>
    <row r="117" spans="1:53" x14ac:dyDescent="0.15">
      <c r="A117" s="1"/>
      <c r="B117" s="30"/>
      <c r="C117" s="416" t="s">
        <v>30</v>
      </c>
      <c r="D117" s="416"/>
      <c r="E117" s="416"/>
      <c r="F117" s="416"/>
      <c r="G117" s="416"/>
      <c r="H117" s="416"/>
      <c r="I117" s="416"/>
      <c r="J117" s="416"/>
      <c r="K117" s="416"/>
      <c r="L117" s="416"/>
      <c r="M117" s="416"/>
      <c r="N117" s="416"/>
      <c r="O117" s="416"/>
      <c r="P117" s="416"/>
      <c r="Q117" s="416"/>
      <c r="R117" s="416"/>
      <c r="S117" s="416"/>
      <c r="T117" s="417"/>
      <c r="U117" s="417"/>
      <c r="V117" s="294"/>
      <c r="W117" s="295"/>
      <c r="X117" s="295"/>
      <c r="Y117" s="295"/>
      <c r="Z117" s="295"/>
      <c r="AA117" s="295"/>
      <c r="AB117" s="295"/>
      <c r="AC117" s="295"/>
      <c r="AD117" s="295"/>
      <c r="AE117" s="295"/>
      <c r="AF117" s="295"/>
      <c r="AG117" s="295"/>
      <c r="AH117" s="295"/>
      <c r="AI117" s="295"/>
      <c r="AJ117" s="295"/>
      <c r="AK117" s="295"/>
      <c r="AL117" s="295"/>
      <c r="AM117" s="295"/>
      <c r="AN117" s="295"/>
      <c r="AO117" s="295"/>
      <c r="AP117" s="295"/>
      <c r="AQ117" s="295"/>
      <c r="AR117" s="295"/>
      <c r="AS117" s="295"/>
      <c r="AT117" s="295"/>
      <c r="AU117" s="295"/>
      <c r="AV117" s="295"/>
      <c r="AW117" s="295"/>
      <c r="AX117" s="295"/>
      <c r="AY117" s="296"/>
    </row>
    <row r="118" spans="1:53" ht="12" customHeight="1" x14ac:dyDescent="0.15">
      <c r="A118" s="1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4"/>
      <c r="U118" s="4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</row>
    <row r="119" spans="1:53" x14ac:dyDescent="0.15">
      <c r="A119" s="1"/>
      <c r="B119" s="61" t="s">
        <v>135</v>
      </c>
      <c r="C119" s="61"/>
      <c r="D119" s="263" t="s">
        <v>37</v>
      </c>
      <c r="E119" s="264"/>
      <c r="F119" s="264"/>
      <c r="G119" s="264"/>
      <c r="H119" s="264"/>
      <c r="I119" s="264"/>
      <c r="J119" s="264"/>
      <c r="K119" s="265"/>
      <c r="L119" s="263" t="s">
        <v>38</v>
      </c>
      <c r="M119" s="264"/>
      <c r="N119" s="264"/>
      <c r="O119" s="264"/>
      <c r="P119" s="264"/>
      <c r="Q119" s="264"/>
      <c r="R119" s="264"/>
      <c r="S119" s="264"/>
      <c r="T119" s="286" t="s">
        <v>66</v>
      </c>
      <c r="U119" s="287"/>
      <c r="V119" s="286" t="s">
        <v>136</v>
      </c>
      <c r="W119" s="288"/>
      <c r="X119" s="288"/>
      <c r="Y119" s="287"/>
      <c r="Z119" s="263" t="s">
        <v>21</v>
      </c>
      <c r="AA119" s="277"/>
      <c r="AB119" s="277"/>
      <c r="AC119" s="277"/>
      <c r="AD119" s="277"/>
      <c r="AE119" s="263" t="s">
        <v>22</v>
      </c>
      <c r="AF119" s="277"/>
      <c r="AG119" s="277"/>
      <c r="AH119" s="280"/>
      <c r="AI119" s="263" t="s">
        <v>23</v>
      </c>
      <c r="AJ119" s="277"/>
      <c r="AK119" s="277"/>
      <c r="AL119" s="277"/>
      <c r="AM119" s="277"/>
      <c r="AN119" s="277"/>
      <c r="AO119" s="277"/>
      <c r="AP119" s="277"/>
      <c r="AQ119" s="263" t="s">
        <v>24</v>
      </c>
      <c r="AR119" s="277"/>
      <c r="AS119" s="277"/>
      <c r="AT119" s="277"/>
      <c r="AU119" s="277"/>
      <c r="AV119" s="277"/>
      <c r="AW119" s="277"/>
      <c r="AX119" s="277"/>
      <c r="AY119" s="280"/>
    </row>
    <row r="120" spans="1:53" ht="13.5" customHeight="1" x14ac:dyDescent="0.15">
      <c r="A120" s="1"/>
      <c r="B120" s="205" t="s">
        <v>100</v>
      </c>
      <c r="C120" s="205"/>
      <c r="D120" s="205" t="s">
        <v>268</v>
      </c>
      <c r="E120" s="205"/>
      <c r="F120" s="205"/>
      <c r="G120" s="205"/>
      <c r="H120" s="205"/>
      <c r="I120" s="205"/>
      <c r="J120" s="205"/>
      <c r="K120" s="205"/>
      <c r="L120" s="125" t="s">
        <v>334</v>
      </c>
      <c r="M120" s="126"/>
      <c r="N120" s="126"/>
      <c r="O120" s="126"/>
      <c r="P120" s="126"/>
      <c r="Q120" s="126"/>
      <c r="R120" s="126"/>
      <c r="S120" s="193"/>
      <c r="T120" s="290" t="s">
        <v>207</v>
      </c>
      <c r="U120" s="66"/>
      <c r="V120" s="290"/>
      <c r="W120" s="65"/>
      <c r="X120" s="65"/>
      <c r="Y120" s="66"/>
      <c r="Z120" s="278"/>
      <c r="AA120" s="279"/>
      <c r="AB120" s="279"/>
      <c r="AC120" s="279"/>
      <c r="AD120" s="279"/>
      <c r="AE120" s="290"/>
      <c r="AF120" s="297"/>
      <c r="AG120" s="297"/>
      <c r="AH120" s="297"/>
      <c r="AI120" s="290"/>
      <c r="AJ120" s="298"/>
      <c r="AK120" s="298"/>
      <c r="AL120" s="298"/>
      <c r="AM120" s="298"/>
      <c r="AN120" s="298"/>
      <c r="AO120" s="298"/>
      <c r="AP120" s="299"/>
      <c r="AQ120" s="290"/>
      <c r="AR120" s="65"/>
      <c r="AS120" s="65"/>
      <c r="AT120" s="65"/>
      <c r="AU120" s="65"/>
      <c r="AV120" s="65"/>
      <c r="AW120" s="65"/>
      <c r="AX120" s="65"/>
      <c r="AY120" s="66"/>
    </row>
    <row r="121" spans="1:53" x14ac:dyDescent="0.15">
      <c r="A121" s="1"/>
      <c r="B121" s="403" t="s">
        <v>26</v>
      </c>
      <c r="C121" s="404"/>
      <c r="D121" s="404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  <c r="P121" s="404"/>
      <c r="Q121" s="404"/>
      <c r="R121" s="404"/>
      <c r="S121" s="404"/>
      <c r="T121" s="418"/>
      <c r="U121" s="419"/>
      <c r="V121" s="269" t="str">
        <f>IF(T120="有","有効","無効")</f>
        <v>無効</v>
      </c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  <c r="AR121" s="270"/>
      <c r="AS121" s="270"/>
      <c r="AT121" s="270"/>
      <c r="AU121" s="270"/>
      <c r="AV121" s="270"/>
      <c r="AW121" s="270"/>
      <c r="AX121" s="270"/>
      <c r="AY121" s="271"/>
    </row>
    <row r="122" spans="1:53" x14ac:dyDescent="0.15">
      <c r="A122" s="1"/>
      <c r="B122" s="29"/>
      <c r="C122" s="420" t="s">
        <v>27</v>
      </c>
      <c r="D122" s="420"/>
      <c r="E122" s="420"/>
      <c r="F122" s="420"/>
      <c r="G122" s="420"/>
      <c r="H122" s="420"/>
      <c r="I122" s="420"/>
      <c r="J122" s="420"/>
      <c r="K122" s="420"/>
      <c r="L122" s="420"/>
      <c r="M122" s="420"/>
      <c r="N122" s="420"/>
      <c r="O122" s="420"/>
      <c r="P122" s="420"/>
      <c r="Q122" s="420"/>
      <c r="R122" s="420"/>
      <c r="S122" s="420"/>
      <c r="T122" s="421"/>
      <c r="U122" s="421"/>
      <c r="V122" s="274"/>
      <c r="W122" s="275"/>
      <c r="X122" s="275"/>
      <c r="Y122" s="275"/>
      <c r="Z122" s="275"/>
      <c r="AA122" s="275"/>
      <c r="AB122" s="275"/>
      <c r="AC122" s="275"/>
      <c r="AD122" s="275"/>
      <c r="AE122" s="275"/>
      <c r="AF122" s="275"/>
      <c r="AG122" s="26" t="s">
        <v>141</v>
      </c>
      <c r="AH122" s="26"/>
      <c r="AI122" s="26" t="s">
        <v>204</v>
      </c>
      <c r="AJ122" s="276" t="e">
        <f>VLOOKUP(AH122,$AZ$82:$BA$113,2,)</f>
        <v>#N/A</v>
      </c>
      <c r="AK122" s="276"/>
      <c r="AL122" s="276"/>
      <c r="AM122" s="276"/>
      <c r="AN122" s="276"/>
      <c r="AO122" s="276"/>
      <c r="AP122" s="276"/>
      <c r="AQ122" s="276"/>
      <c r="AR122" s="26" t="s">
        <v>205</v>
      </c>
      <c r="AS122" s="26"/>
      <c r="AT122" s="26"/>
      <c r="AU122" s="26"/>
      <c r="AV122" s="26"/>
      <c r="AW122" s="26"/>
      <c r="AX122" s="26"/>
      <c r="AY122" s="27"/>
    </row>
    <row r="123" spans="1:53" x14ac:dyDescent="0.15">
      <c r="A123" s="1"/>
      <c r="B123" s="29"/>
      <c r="C123" s="410" t="s">
        <v>28</v>
      </c>
      <c r="D123" s="410"/>
      <c r="E123" s="410"/>
      <c r="F123" s="410"/>
      <c r="G123" s="410"/>
      <c r="H123" s="410"/>
      <c r="I123" s="410"/>
      <c r="J123" s="410"/>
      <c r="K123" s="410"/>
      <c r="L123" s="410"/>
      <c r="M123" s="410"/>
      <c r="N123" s="410"/>
      <c r="O123" s="410"/>
      <c r="P123" s="410"/>
      <c r="Q123" s="410"/>
      <c r="R123" s="410"/>
      <c r="S123" s="410"/>
      <c r="T123" s="411"/>
      <c r="U123" s="411"/>
      <c r="V123" s="300"/>
      <c r="W123" s="301"/>
      <c r="X123" s="301"/>
      <c r="Y123" s="301"/>
      <c r="Z123" s="301"/>
      <c r="AA123" s="301"/>
      <c r="AB123" s="301"/>
      <c r="AC123" s="301"/>
      <c r="AD123" s="301"/>
      <c r="AE123" s="301"/>
      <c r="AF123" s="301"/>
      <c r="AG123" s="301"/>
      <c r="AH123" s="301"/>
      <c r="AI123" s="301"/>
      <c r="AJ123" s="301"/>
      <c r="AK123" s="301"/>
      <c r="AL123" s="301"/>
      <c r="AM123" s="301"/>
      <c r="AN123" s="301"/>
      <c r="AO123" s="301"/>
      <c r="AP123" s="301"/>
      <c r="AQ123" s="301"/>
      <c r="AR123" s="301"/>
      <c r="AS123" s="301"/>
      <c r="AT123" s="301"/>
      <c r="AU123" s="301"/>
      <c r="AV123" s="301"/>
      <c r="AW123" s="301"/>
      <c r="AX123" s="301"/>
      <c r="AY123" s="302"/>
    </row>
    <row r="124" spans="1:53" x14ac:dyDescent="0.15">
      <c r="A124" s="1"/>
      <c r="B124" s="29"/>
      <c r="C124" s="410" t="s">
        <v>29</v>
      </c>
      <c r="D124" s="410"/>
      <c r="E124" s="410"/>
      <c r="F124" s="410"/>
      <c r="G124" s="410"/>
      <c r="H124" s="410"/>
      <c r="I124" s="410"/>
      <c r="J124" s="410"/>
      <c r="K124" s="410"/>
      <c r="L124" s="410"/>
      <c r="M124" s="410"/>
      <c r="N124" s="410"/>
      <c r="O124" s="410"/>
      <c r="P124" s="410"/>
      <c r="Q124" s="410"/>
      <c r="R124" s="410"/>
      <c r="S124" s="410"/>
      <c r="T124" s="411"/>
      <c r="U124" s="411"/>
      <c r="V124" s="300"/>
      <c r="W124" s="301"/>
      <c r="X124" s="301"/>
      <c r="Y124" s="301"/>
      <c r="Z124" s="301"/>
      <c r="AA124" s="301"/>
      <c r="AB124" s="301"/>
      <c r="AC124" s="301"/>
      <c r="AD124" s="301"/>
      <c r="AE124" s="301"/>
      <c r="AF124" s="301"/>
      <c r="AG124" s="301"/>
      <c r="AH124" s="301"/>
      <c r="AI124" s="301"/>
      <c r="AJ124" s="301"/>
      <c r="AK124" s="301"/>
      <c r="AL124" s="301"/>
      <c r="AM124" s="301"/>
      <c r="AN124" s="301"/>
      <c r="AO124" s="301"/>
      <c r="AP124" s="301"/>
      <c r="AQ124" s="301"/>
      <c r="AR124" s="301"/>
      <c r="AS124" s="301"/>
      <c r="AT124" s="301"/>
      <c r="AU124" s="301"/>
      <c r="AV124" s="301"/>
      <c r="AW124" s="301"/>
      <c r="AX124" s="301"/>
      <c r="AY124" s="302"/>
    </row>
    <row r="125" spans="1:53" x14ac:dyDescent="0.15">
      <c r="A125" s="1"/>
      <c r="B125" s="30"/>
      <c r="C125" s="416" t="s">
        <v>30</v>
      </c>
      <c r="D125" s="416"/>
      <c r="E125" s="416"/>
      <c r="F125" s="416"/>
      <c r="G125" s="416"/>
      <c r="H125" s="416"/>
      <c r="I125" s="416"/>
      <c r="J125" s="416"/>
      <c r="K125" s="416"/>
      <c r="L125" s="416"/>
      <c r="M125" s="416"/>
      <c r="N125" s="416"/>
      <c r="O125" s="416"/>
      <c r="P125" s="416"/>
      <c r="Q125" s="416"/>
      <c r="R125" s="416"/>
      <c r="S125" s="416"/>
      <c r="T125" s="417"/>
      <c r="U125" s="417"/>
      <c r="V125" s="294"/>
      <c r="W125" s="295"/>
      <c r="X125" s="295"/>
      <c r="Y125" s="295"/>
      <c r="Z125" s="295"/>
      <c r="AA125" s="295"/>
      <c r="AB125" s="295"/>
      <c r="AC125" s="295"/>
      <c r="AD125" s="295"/>
      <c r="AE125" s="295"/>
      <c r="AF125" s="295"/>
      <c r="AG125" s="295"/>
      <c r="AH125" s="295"/>
      <c r="AI125" s="295"/>
      <c r="AJ125" s="295"/>
      <c r="AK125" s="295"/>
      <c r="AL125" s="295"/>
      <c r="AM125" s="295"/>
      <c r="AN125" s="295"/>
      <c r="AO125" s="295"/>
      <c r="AP125" s="295"/>
      <c r="AQ125" s="295"/>
      <c r="AR125" s="295"/>
      <c r="AS125" s="295"/>
      <c r="AT125" s="295"/>
      <c r="AU125" s="295"/>
      <c r="AV125" s="295"/>
      <c r="AW125" s="295"/>
      <c r="AX125" s="295"/>
      <c r="AY125" s="296"/>
    </row>
    <row r="126" spans="1:53" ht="12" customHeight="1" x14ac:dyDescent="0.15">
      <c r="A126" s="1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4"/>
      <c r="U126" s="4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</row>
    <row r="127" spans="1:53" x14ac:dyDescent="0.15">
      <c r="A127" s="1"/>
      <c r="B127" s="61" t="s">
        <v>135</v>
      </c>
      <c r="C127" s="61"/>
      <c r="D127" s="263" t="s">
        <v>37</v>
      </c>
      <c r="E127" s="264"/>
      <c r="F127" s="264"/>
      <c r="G127" s="264"/>
      <c r="H127" s="264"/>
      <c r="I127" s="264"/>
      <c r="J127" s="264"/>
      <c r="K127" s="265"/>
      <c r="L127" s="263" t="s">
        <v>38</v>
      </c>
      <c r="M127" s="264"/>
      <c r="N127" s="264"/>
      <c r="O127" s="264"/>
      <c r="P127" s="264"/>
      <c r="Q127" s="264"/>
      <c r="R127" s="264"/>
      <c r="S127" s="264"/>
      <c r="T127" s="286" t="s">
        <v>66</v>
      </c>
      <c r="U127" s="287"/>
      <c r="V127" s="286" t="s">
        <v>136</v>
      </c>
      <c r="W127" s="288"/>
      <c r="X127" s="288"/>
      <c r="Y127" s="287"/>
      <c r="Z127" s="263" t="s">
        <v>21</v>
      </c>
      <c r="AA127" s="277"/>
      <c r="AB127" s="277"/>
      <c r="AC127" s="277"/>
      <c r="AD127" s="277"/>
      <c r="AE127" s="263" t="s">
        <v>22</v>
      </c>
      <c r="AF127" s="277"/>
      <c r="AG127" s="277"/>
      <c r="AH127" s="280"/>
      <c r="AI127" s="263" t="s">
        <v>23</v>
      </c>
      <c r="AJ127" s="277"/>
      <c r="AK127" s="277"/>
      <c r="AL127" s="277"/>
      <c r="AM127" s="277"/>
      <c r="AN127" s="277"/>
      <c r="AO127" s="277"/>
      <c r="AP127" s="277"/>
      <c r="AQ127" s="263" t="s">
        <v>24</v>
      </c>
      <c r="AR127" s="277"/>
      <c r="AS127" s="277"/>
      <c r="AT127" s="277"/>
      <c r="AU127" s="277"/>
      <c r="AV127" s="277"/>
      <c r="AW127" s="277"/>
      <c r="AX127" s="277"/>
      <c r="AY127" s="280"/>
    </row>
    <row r="128" spans="1:53" ht="13.5" customHeight="1" x14ac:dyDescent="0.15">
      <c r="A128" s="1"/>
      <c r="B128" s="205" t="s">
        <v>108</v>
      </c>
      <c r="C128" s="205"/>
      <c r="D128" s="205" t="s">
        <v>269</v>
      </c>
      <c r="E128" s="205"/>
      <c r="F128" s="205"/>
      <c r="G128" s="205"/>
      <c r="H128" s="205"/>
      <c r="I128" s="205"/>
      <c r="J128" s="205"/>
      <c r="K128" s="205"/>
      <c r="L128" s="125" t="s">
        <v>333</v>
      </c>
      <c r="M128" s="126"/>
      <c r="N128" s="126"/>
      <c r="O128" s="126"/>
      <c r="P128" s="126"/>
      <c r="Q128" s="126"/>
      <c r="R128" s="126"/>
      <c r="S128" s="193"/>
      <c r="T128" s="290" t="str">
        <f>IF(V88="有り",T88,"無")</f>
        <v>無</v>
      </c>
      <c r="U128" s="66"/>
      <c r="V128" s="290" t="str">
        <f>IF(V88="有り",V88,"")</f>
        <v/>
      </c>
      <c r="W128" s="65"/>
      <c r="X128" s="65"/>
      <c r="Y128" s="66"/>
      <c r="Z128" s="278" t="str">
        <f>IF(V88="有り",Z88,"")</f>
        <v/>
      </c>
      <c r="AA128" s="279"/>
      <c r="AB128" s="279"/>
      <c r="AC128" s="279"/>
      <c r="AD128" s="279"/>
      <c r="AE128" s="290" t="str">
        <f>IF(V88="有り",AE88,"")</f>
        <v/>
      </c>
      <c r="AF128" s="297"/>
      <c r="AG128" s="297"/>
      <c r="AH128" s="297"/>
      <c r="AI128" s="290" t="str">
        <f>IF(V88="有り",AI88,"")</f>
        <v/>
      </c>
      <c r="AJ128" s="298"/>
      <c r="AK128" s="298"/>
      <c r="AL128" s="298"/>
      <c r="AM128" s="298"/>
      <c r="AN128" s="298"/>
      <c r="AO128" s="298"/>
      <c r="AP128" s="299"/>
      <c r="AQ128" s="290" t="str">
        <f>IF(V88="有り",AQ88,"")</f>
        <v/>
      </c>
      <c r="AR128" s="65"/>
      <c r="AS128" s="65"/>
      <c r="AT128" s="65"/>
      <c r="AU128" s="65"/>
      <c r="AV128" s="65"/>
      <c r="AW128" s="65"/>
      <c r="AX128" s="65"/>
      <c r="AY128" s="66"/>
    </row>
    <row r="129" spans="1:51" x14ac:dyDescent="0.15">
      <c r="A129" s="1"/>
      <c r="B129" s="403" t="s">
        <v>26</v>
      </c>
      <c r="C129" s="404"/>
      <c r="D129" s="404"/>
      <c r="E129" s="404"/>
      <c r="F129" s="404"/>
      <c r="G129" s="404"/>
      <c r="H129" s="404"/>
      <c r="I129" s="404"/>
      <c r="J129" s="404"/>
      <c r="K129" s="404"/>
      <c r="L129" s="404"/>
      <c r="M129" s="404"/>
      <c r="N129" s="404"/>
      <c r="O129" s="404"/>
      <c r="P129" s="404"/>
      <c r="Q129" s="404"/>
      <c r="R129" s="404"/>
      <c r="S129" s="404"/>
      <c r="T129" s="418"/>
      <c r="U129" s="419"/>
      <c r="V129" s="269" t="str">
        <f>IF(T128="有","有効","無効")</f>
        <v>無効</v>
      </c>
      <c r="W129" s="270"/>
      <c r="X129" s="270"/>
      <c r="Y129" s="270"/>
      <c r="Z129" s="270"/>
      <c r="AA129" s="270"/>
      <c r="AB129" s="270"/>
      <c r="AC129" s="270"/>
      <c r="AD129" s="270"/>
      <c r="AE129" s="270"/>
      <c r="AF129" s="270"/>
      <c r="AG129" s="270"/>
      <c r="AH129" s="270"/>
      <c r="AI129" s="270"/>
      <c r="AJ129" s="270"/>
      <c r="AK129" s="270"/>
      <c r="AL129" s="270"/>
      <c r="AM129" s="270"/>
      <c r="AN129" s="270"/>
      <c r="AO129" s="270"/>
      <c r="AP129" s="270"/>
      <c r="AQ129" s="270"/>
      <c r="AR129" s="270"/>
      <c r="AS129" s="270"/>
      <c r="AT129" s="270"/>
      <c r="AU129" s="270"/>
      <c r="AV129" s="270"/>
      <c r="AW129" s="270"/>
      <c r="AX129" s="270"/>
      <c r="AY129" s="271"/>
    </row>
    <row r="130" spans="1:51" x14ac:dyDescent="0.15">
      <c r="A130" s="1"/>
      <c r="B130" s="29"/>
      <c r="C130" s="420" t="s">
        <v>27</v>
      </c>
      <c r="D130" s="420"/>
      <c r="E130" s="420"/>
      <c r="F130" s="420"/>
      <c r="G130" s="420"/>
      <c r="H130" s="420"/>
      <c r="I130" s="420"/>
      <c r="J130" s="420"/>
      <c r="K130" s="420"/>
      <c r="L130" s="420"/>
      <c r="M130" s="420"/>
      <c r="N130" s="420"/>
      <c r="O130" s="420"/>
      <c r="P130" s="420"/>
      <c r="Q130" s="420"/>
      <c r="R130" s="420"/>
      <c r="S130" s="420"/>
      <c r="T130" s="421"/>
      <c r="U130" s="421"/>
      <c r="V130" s="274"/>
      <c r="W130" s="275"/>
      <c r="X130" s="275"/>
      <c r="Y130" s="275"/>
      <c r="Z130" s="275"/>
      <c r="AA130" s="275"/>
      <c r="AB130" s="275"/>
      <c r="AC130" s="275"/>
      <c r="AD130" s="275"/>
      <c r="AE130" s="275"/>
      <c r="AF130" s="275"/>
      <c r="AG130" s="26" t="s">
        <v>141</v>
      </c>
      <c r="AH130" s="26"/>
      <c r="AI130" s="26" t="s">
        <v>204</v>
      </c>
      <c r="AJ130" s="276" t="e">
        <f>VLOOKUP(AH130,$AZ$82:$BA$113,2,)</f>
        <v>#N/A</v>
      </c>
      <c r="AK130" s="276"/>
      <c r="AL130" s="276"/>
      <c r="AM130" s="276"/>
      <c r="AN130" s="276"/>
      <c r="AO130" s="276"/>
      <c r="AP130" s="276"/>
      <c r="AQ130" s="276"/>
      <c r="AR130" s="26" t="s">
        <v>205</v>
      </c>
      <c r="AS130" s="26"/>
      <c r="AT130" s="26"/>
      <c r="AU130" s="26"/>
      <c r="AV130" s="26"/>
      <c r="AW130" s="26"/>
      <c r="AX130" s="26"/>
      <c r="AY130" s="27"/>
    </row>
    <row r="131" spans="1:51" x14ac:dyDescent="0.15">
      <c r="A131" s="1"/>
      <c r="B131" s="29"/>
      <c r="C131" s="410" t="s">
        <v>28</v>
      </c>
      <c r="D131" s="410"/>
      <c r="E131" s="410"/>
      <c r="F131" s="410"/>
      <c r="G131" s="410"/>
      <c r="H131" s="410"/>
      <c r="I131" s="410"/>
      <c r="J131" s="410"/>
      <c r="K131" s="410"/>
      <c r="L131" s="410"/>
      <c r="M131" s="410"/>
      <c r="N131" s="410"/>
      <c r="O131" s="410"/>
      <c r="P131" s="410"/>
      <c r="Q131" s="410"/>
      <c r="R131" s="410"/>
      <c r="S131" s="410"/>
      <c r="T131" s="411"/>
      <c r="U131" s="411"/>
      <c r="V131" s="300"/>
      <c r="W131" s="301"/>
      <c r="X131" s="301"/>
      <c r="Y131" s="301"/>
      <c r="Z131" s="301"/>
      <c r="AA131" s="301"/>
      <c r="AB131" s="301"/>
      <c r="AC131" s="301"/>
      <c r="AD131" s="301"/>
      <c r="AE131" s="301"/>
      <c r="AF131" s="301"/>
      <c r="AG131" s="301"/>
      <c r="AH131" s="301"/>
      <c r="AI131" s="301"/>
      <c r="AJ131" s="301"/>
      <c r="AK131" s="301"/>
      <c r="AL131" s="301"/>
      <c r="AM131" s="301"/>
      <c r="AN131" s="301"/>
      <c r="AO131" s="301"/>
      <c r="AP131" s="301"/>
      <c r="AQ131" s="301"/>
      <c r="AR131" s="301"/>
      <c r="AS131" s="301"/>
      <c r="AT131" s="301"/>
      <c r="AU131" s="301"/>
      <c r="AV131" s="301"/>
      <c r="AW131" s="301"/>
      <c r="AX131" s="301"/>
      <c r="AY131" s="302"/>
    </row>
    <row r="132" spans="1:51" x14ac:dyDescent="0.15">
      <c r="A132" s="1"/>
      <c r="B132" s="29"/>
      <c r="C132" s="410" t="s">
        <v>29</v>
      </c>
      <c r="D132" s="410"/>
      <c r="E132" s="410"/>
      <c r="F132" s="410"/>
      <c r="G132" s="410"/>
      <c r="H132" s="410"/>
      <c r="I132" s="410"/>
      <c r="J132" s="410"/>
      <c r="K132" s="410"/>
      <c r="L132" s="410"/>
      <c r="M132" s="410"/>
      <c r="N132" s="410"/>
      <c r="O132" s="410"/>
      <c r="P132" s="410"/>
      <c r="Q132" s="410"/>
      <c r="R132" s="410"/>
      <c r="S132" s="410"/>
      <c r="T132" s="411"/>
      <c r="U132" s="411"/>
      <c r="V132" s="300"/>
      <c r="W132" s="301"/>
      <c r="X132" s="301"/>
      <c r="Y132" s="301"/>
      <c r="Z132" s="301"/>
      <c r="AA132" s="301"/>
      <c r="AB132" s="301"/>
      <c r="AC132" s="301"/>
      <c r="AD132" s="301"/>
      <c r="AE132" s="301"/>
      <c r="AF132" s="301"/>
      <c r="AG132" s="301"/>
      <c r="AH132" s="301"/>
      <c r="AI132" s="301"/>
      <c r="AJ132" s="301"/>
      <c r="AK132" s="301"/>
      <c r="AL132" s="301"/>
      <c r="AM132" s="301"/>
      <c r="AN132" s="301"/>
      <c r="AO132" s="301"/>
      <c r="AP132" s="301"/>
      <c r="AQ132" s="301"/>
      <c r="AR132" s="301"/>
      <c r="AS132" s="301"/>
      <c r="AT132" s="301"/>
      <c r="AU132" s="301"/>
      <c r="AV132" s="301"/>
      <c r="AW132" s="301"/>
      <c r="AX132" s="301"/>
      <c r="AY132" s="302"/>
    </row>
    <row r="133" spans="1:51" x14ac:dyDescent="0.15">
      <c r="A133" s="1"/>
      <c r="B133" s="30"/>
      <c r="C133" s="416" t="s">
        <v>30</v>
      </c>
      <c r="D133" s="416"/>
      <c r="E133" s="416"/>
      <c r="F133" s="416"/>
      <c r="G133" s="416"/>
      <c r="H133" s="416"/>
      <c r="I133" s="416"/>
      <c r="J133" s="416"/>
      <c r="K133" s="416"/>
      <c r="L133" s="416"/>
      <c r="M133" s="416"/>
      <c r="N133" s="416"/>
      <c r="O133" s="416"/>
      <c r="P133" s="416"/>
      <c r="Q133" s="416"/>
      <c r="R133" s="416"/>
      <c r="S133" s="416"/>
      <c r="T133" s="417"/>
      <c r="U133" s="417"/>
      <c r="V133" s="294"/>
      <c r="W133" s="295"/>
      <c r="X133" s="295"/>
      <c r="Y133" s="295"/>
      <c r="Z133" s="295"/>
      <c r="AA133" s="295"/>
      <c r="AB133" s="295"/>
      <c r="AC133" s="295"/>
      <c r="AD133" s="295"/>
      <c r="AE133" s="295"/>
      <c r="AF133" s="295"/>
      <c r="AG133" s="295"/>
      <c r="AH133" s="295"/>
      <c r="AI133" s="295"/>
      <c r="AJ133" s="295"/>
      <c r="AK133" s="295"/>
      <c r="AL133" s="295"/>
      <c r="AM133" s="295"/>
      <c r="AN133" s="295"/>
      <c r="AO133" s="295"/>
      <c r="AP133" s="295"/>
      <c r="AQ133" s="295"/>
      <c r="AR133" s="295"/>
      <c r="AS133" s="295"/>
      <c r="AT133" s="295"/>
      <c r="AU133" s="295"/>
      <c r="AV133" s="295"/>
      <c r="AW133" s="295"/>
      <c r="AX133" s="295"/>
      <c r="AY133" s="296"/>
    </row>
    <row r="134" spans="1:51" ht="12" customHeight="1" x14ac:dyDescent="0.15">
      <c r="A134" s="1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4"/>
      <c r="U134" s="4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</row>
    <row r="135" spans="1:51" x14ac:dyDescent="0.15">
      <c r="A135" s="1"/>
      <c r="B135" s="61" t="s">
        <v>135</v>
      </c>
      <c r="C135" s="61"/>
      <c r="D135" s="263" t="s">
        <v>37</v>
      </c>
      <c r="E135" s="264"/>
      <c r="F135" s="264"/>
      <c r="G135" s="264"/>
      <c r="H135" s="264"/>
      <c r="I135" s="264"/>
      <c r="J135" s="264"/>
      <c r="K135" s="265"/>
      <c r="L135" s="263" t="s">
        <v>38</v>
      </c>
      <c r="M135" s="264"/>
      <c r="N135" s="264"/>
      <c r="O135" s="264"/>
      <c r="P135" s="264"/>
      <c r="Q135" s="264"/>
      <c r="R135" s="264"/>
      <c r="S135" s="264"/>
      <c r="T135" s="286" t="s">
        <v>66</v>
      </c>
      <c r="U135" s="287"/>
      <c r="V135" s="286" t="s">
        <v>136</v>
      </c>
      <c r="W135" s="288"/>
      <c r="X135" s="288"/>
      <c r="Y135" s="287"/>
      <c r="Z135" s="263" t="s">
        <v>21</v>
      </c>
      <c r="AA135" s="277"/>
      <c r="AB135" s="277"/>
      <c r="AC135" s="277"/>
      <c r="AD135" s="277"/>
      <c r="AE135" s="263" t="s">
        <v>22</v>
      </c>
      <c r="AF135" s="277"/>
      <c r="AG135" s="277"/>
      <c r="AH135" s="280"/>
      <c r="AI135" s="263" t="s">
        <v>23</v>
      </c>
      <c r="AJ135" s="277"/>
      <c r="AK135" s="277"/>
      <c r="AL135" s="277"/>
      <c r="AM135" s="277"/>
      <c r="AN135" s="277"/>
      <c r="AO135" s="277"/>
      <c r="AP135" s="277"/>
      <c r="AQ135" s="263" t="s">
        <v>24</v>
      </c>
      <c r="AR135" s="277"/>
      <c r="AS135" s="277"/>
      <c r="AT135" s="277"/>
      <c r="AU135" s="277"/>
      <c r="AV135" s="277"/>
      <c r="AW135" s="277"/>
      <c r="AX135" s="277"/>
      <c r="AY135" s="280"/>
    </row>
    <row r="136" spans="1:51" ht="13.5" customHeight="1" x14ac:dyDescent="0.15">
      <c r="A136" s="1"/>
      <c r="B136" s="205" t="s">
        <v>109</v>
      </c>
      <c r="C136" s="205"/>
      <c r="D136" s="205" t="s">
        <v>270</v>
      </c>
      <c r="E136" s="205"/>
      <c r="F136" s="205"/>
      <c r="G136" s="205"/>
      <c r="H136" s="205"/>
      <c r="I136" s="205"/>
      <c r="J136" s="205"/>
      <c r="K136" s="205"/>
      <c r="L136" s="125" t="s">
        <v>353</v>
      </c>
      <c r="M136" s="126"/>
      <c r="N136" s="126"/>
      <c r="O136" s="126"/>
      <c r="P136" s="126"/>
      <c r="Q136" s="126"/>
      <c r="R136" s="126"/>
      <c r="S136" s="193"/>
      <c r="T136" s="290" t="s">
        <v>207</v>
      </c>
      <c r="U136" s="66"/>
      <c r="V136" s="290"/>
      <c r="W136" s="65"/>
      <c r="X136" s="65"/>
      <c r="Y136" s="66"/>
      <c r="Z136" s="278"/>
      <c r="AA136" s="279"/>
      <c r="AB136" s="279"/>
      <c r="AC136" s="279"/>
      <c r="AD136" s="279"/>
      <c r="AE136" s="290"/>
      <c r="AF136" s="297"/>
      <c r="AG136" s="297"/>
      <c r="AH136" s="297"/>
      <c r="AI136" s="290"/>
      <c r="AJ136" s="298"/>
      <c r="AK136" s="298"/>
      <c r="AL136" s="298"/>
      <c r="AM136" s="298"/>
      <c r="AN136" s="298"/>
      <c r="AO136" s="298"/>
      <c r="AP136" s="299"/>
      <c r="AQ136" s="290"/>
      <c r="AR136" s="65"/>
      <c r="AS136" s="65"/>
      <c r="AT136" s="65"/>
      <c r="AU136" s="65"/>
      <c r="AV136" s="65"/>
      <c r="AW136" s="65"/>
      <c r="AX136" s="65"/>
      <c r="AY136" s="66"/>
    </row>
    <row r="137" spans="1:51" x14ac:dyDescent="0.15">
      <c r="A137" s="1"/>
      <c r="B137" s="403" t="s">
        <v>26</v>
      </c>
      <c r="C137" s="404"/>
      <c r="D137" s="404"/>
      <c r="E137" s="404"/>
      <c r="F137" s="404"/>
      <c r="G137" s="404"/>
      <c r="H137" s="404"/>
      <c r="I137" s="404"/>
      <c r="J137" s="404"/>
      <c r="K137" s="404"/>
      <c r="L137" s="404"/>
      <c r="M137" s="404"/>
      <c r="N137" s="404"/>
      <c r="O137" s="404"/>
      <c r="P137" s="404"/>
      <c r="Q137" s="404"/>
      <c r="R137" s="404"/>
      <c r="S137" s="404"/>
      <c r="T137" s="418"/>
      <c r="U137" s="419"/>
      <c r="V137" s="269" t="str">
        <f>IF(T136="有","有効","無効")</f>
        <v>無効</v>
      </c>
      <c r="W137" s="270"/>
      <c r="X137" s="270"/>
      <c r="Y137" s="270"/>
      <c r="Z137" s="270"/>
      <c r="AA137" s="270"/>
      <c r="AB137" s="270"/>
      <c r="AC137" s="270"/>
      <c r="AD137" s="270"/>
      <c r="AE137" s="270"/>
      <c r="AF137" s="270"/>
      <c r="AG137" s="270"/>
      <c r="AH137" s="270"/>
      <c r="AI137" s="270"/>
      <c r="AJ137" s="270"/>
      <c r="AK137" s="270"/>
      <c r="AL137" s="270"/>
      <c r="AM137" s="270"/>
      <c r="AN137" s="270"/>
      <c r="AO137" s="270"/>
      <c r="AP137" s="270"/>
      <c r="AQ137" s="270"/>
      <c r="AR137" s="270"/>
      <c r="AS137" s="270"/>
      <c r="AT137" s="270"/>
      <c r="AU137" s="270"/>
      <c r="AV137" s="270"/>
      <c r="AW137" s="270"/>
      <c r="AX137" s="270"/>
      <c r="AY137" s="271"/>
    </row>
    <row r="138" spans="1:51" x14ac:dyDescent="0.15">
      <c r="A138" s="1"/>
      <c r="B138" s="29"/>
      <c r="C138" s="420" t="s">
        <v>27</v>
      </c>
      <c r="D138" s="420"/>
      <c r="E138" s="420"/>
      <c r="F138" s="420"/>
      <c r="G138" s="420"/>
      <c r="H138" s="420"/>
      <c r="I138" s="420"/>
      <c r="J138" s="420"/>
      <c r="K138" s="420"/>
      <c r="L138" s="420"/>
      <c r="M138" s="420"/>
      <c r="N138" s="420"/>
      <c r="O138" s="420"/>
      <c r="P138" s="420"/>
      <c r="Q138" s="420"/>
      <c r="R138" s="420"/>
      <c r="S138" s="420"/>
      <c r="T138" s="421"/>
      <c r="U138" s="421"/>
      <c r="V138" s="274"/>
      <c r="W138" s="275"/>
      <c r="X138" s="275"/>
      <c r="Y138" s="275"/>
      <c r="Z138" s="275"/>
      <c r="AA138" s="275"/>
      <c r="AB138" s="275"/>
      <c r="AC138" s="275"/>
      <c r="AD138" s="275"/>
      <c r="AE138" s="275"/>
      <c r="AF138" s="275"/>
      <c r="AG138" s="26" t="s">
        <v>141</v>
      </c>
      <c r="AH138" s="26"/>
      <c r="AI138" s="26" t="s">
        <v>204</v>
      </c>
      <c r="AJ138" s="276" t="e">
        <f>VLOOKUP(AH138,$AZ$82:$BA$113,2,)</f>
        <v>#N/A</v>
      </c>
      <c r="AK138" s="276"/>
      <c r="AL138" s="276"/>
      <c r="AM138" s="276"/>
      <c r="AN138" s="276"/>
      <c r="AO138" s="276"/>
      <c r="AP138" s="276"/>
      <c r="AQ138" s="276"/>
      <c r="AR138" s="26" t="s">
        <v>205</v>
      </c>
      <c r="AS138" s="26"/>
      <c r="AT138" s="26"/>
      <c r="AU138" s="26"/>
      <c r="AV138" s="26"/>
      <c r="AW138" s="26"/>
      <c r="AX138" s="26"/>
      <c r="AY138" s="27"/>
    </row>
    <row r="139" spans="1:51" x14ac:dyDescent="0.15">
      <c r="A139" s="1"/>
      <c r="B139" s="29"/>
      <c r="C139" s="410" t="s">
        <v>28</v>
      </c>
      <c r="D139" s="410"/>
      <c r="E139" s="410"/>
      <c r="F139" s="410"/>
      <c r="G139" s="410"/>
      <c r="H139" s="410"/>
      <c r="I139" s="410"/>
      <c r="J139" s="410"/>
      <c r="K139" s="410"/>
      <c r="L139" s="410"/>
      <c r="M139" s="410"/>
      <c r="N139" s="410"/>
      <c r="O139" s="410"/>
      <c r="P139" s="410"/>
      <c r="Q139" s="410"/>
      <c r="R139" s="410"/>
      <c r="S139" s="410"/>
      <c r="T139" s="411"/>
      <c r="U139" s="411"/>
      <c r="V139" s="300"/>
      <c r="W139" s="301"/>
      <c r="X139" s="301"/>
      <c r="Y139" s="301"/>
      <c r="Z139" s="301"/>
      <c r="AA139" s="301"/>
      <c r="AB139" s="301"/>
      <c r="AC139" s="301"/>
      <c r="AD139" s="301"/>
      <c r="AE139" s="301"/>
      <c r="AF139" s="301"/>
      <c r="AG139" s="301"/>
      <c r="AH139" s="301"/>
      <c r="AI139" s="301"/>
      <c r="AJ139" s="301"/>
      <c r="AK139" s="301"/>
      <c r="AL139" s="301"/>
      <c r="AM139" s="301"/>
      <c r="AN139" s="301"/>
      <c r="AO139" s="301"/>
      <c r="AP139" s="301"/>
      <c r="AQ139" s="301"/>
      <c r="AR139" s="301"/>
      <c r="AS139" s="301"/>
      <c r="AT139" s="301"/>
      <c r="AU139" s="301"/>
      <c r="AV139" s="301"/>
      <c r="AW139" s="301"/>
      <c r="AX139" s="301"/>
      <c r="AY139" s="302"/>
    </row>
    <row r="140" spans="1:51" x14ac:dyDescent="0.15">
      <c r="A140" s="1"/>
      <c r="B140" s="29"/>
      <c r="C140" s="410" t="s">
        <v>29</v>
      </c>
      <c r="D140" s="410"/>
      <c r="E140" s="410"/>
      <c r="F140" s="410"/>
      <c r="G140" s="410"/>
      <c r="H140" s="410"/>
      <c r="I140" s="410"/>
      <c r="J140" s="410"/>
      <c r="K140" s="410"/>
      <c r="L140" s="410"/>
      <c r="M140" s="410"/>
      <c r="N140" s="410"/>
      <c r="O140" s="410"/>
      <c r="P140" s="410"/>
      <c r="Q140" s="410"/>
      <c r="R140" s="410"/>
      <c r="S140" s="410"/>
      <c r="T140" s="411"/>
      <c r="U140" s="411"/>
      <c r="V140" s="300"/>
      <c r="W140" s="301"/>
      <c r="X140" s="301"/>
      <c r="Y140" s="301"/>
      <c r="Z140" s="301"/>
      <c r="AA140" s="301"/>
      <c r="AB140" s="301"/>
      <c r="AC140" s="301"/>
      <c r="AD140" s="301"/>
      <c r="AE140" s="301"/>
      <c r="AF140" s="301"/>
      <c r="AG140" s="301"/>
      <c r="AH140" s="301"/>
      <c r="AI140" s="301"/>
      <c r="AJ140" s="301"/>
      <c r="AK140" s="301"/>
      <c r="AL140" s="301"/>
      <c r="AM140" s="301"/>
      <c r="AN140" s="301"/>
      <c r="AO140" s="301"/>
      <c r="AP140" s="301"/>
      <c r="AQ140" s="301"/>
      <c r="AR140" s="301"/>
      <c r="AS140" s="301"/>
      <c r="AT140" s="301"/>
      <c r="AU140" s="301"/>
      <c r="AV140" s="301"/>
      <c r="AW140" s="301"/>
      <c r="AX140" s="301"/>
      <c r="AY140" s="302"/>
    </row>
    <row r="141" spans="1:51" x14ac:dyDescent="0.15">
      <c r="A141" s="1"/>
      <c r="B141" s="30"/>
      <c r="C141" s="416" t="s">
        <v>30</v>
      </c>
      <c r="D141" s="416"/>
      <c r="E141" s="416"/>
      <c r="F141" s="416"/>
      <c r="G141" s="416"/>
      <c r="H141" s="416"/>
      <c r="I141" s="416"/>
      <c r="J141" s="416"/>
      <c r="K141" s="416"/>
      <c r="L141" s="416"/>
      <c r="M141" s="416"/>
      <c r="N141" s="416"/>
      <c r="O141" s="416"/>
      <c r="P141" s="416"/>
      <c r="Q141" s="416"/>
      <c r="R141" s="416"/>
      <c r="S141" s="416"/>
      <c r="T141" s="417"/>
      <c r="U141" s="417"/>
      <c r="V141" s="294"/>
      <c r="W141" s="295"/>
      <c r="X141" s="295"/>
      <c r="Y141" s="295"/>
      <c r="Z141" s="295"/>
      <c r="AA141" s="295"/>
      <c r="AB141" s="295"/>
      <c r="AC141" s="295"/>
      <c r="AD141" s="295"/>
      <c r="AE141" s="295"/>
      <c r="AF141" s="295"/>
      <c r="AG141" s="295"/>
      <c r="AH141" s="295"/>
      <c r="AI141" s="295"/>
      <c r="AJ141" s="295"/>
      <c r="AK141" s="295"/>
      <c r="AL141" s="295"/>
      <c r="AM141" s="295"/>
      <c r="AN141" s="295"/>
      <c r="AO141" s="295"/>
      <c r="AP141" s="295"/>
      <c r="AQ141" s="295"/>
      <c r="AR141" s="295"/>
      <c r="AS141" s="295"/>
      <c r="AT141" s="295"/>
      <c r="AU141" s="295"/>
      <c r="AV141" s="295"/>
      <c r="AW141" s="295"/>
      <c r="AX141" s="295"/>
      <c r="AY141" s="296"/>
    </row>
    <row r="142" spans="1:51" ht="12" customHeight="1" x14ac:dyDescent="0.15">
      <c r="A142" s="1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4"/>
      <c r="U142" s="4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</row>
    <row r="143" spans="1:51" x14ac:dyDescent="0.15">
      <c r="A143" s="1"/>
      <c r="B143" s="61" t="s">
        <v>135</v>
      </c>
      <c r="C143" s="61"/>
      <c r="D143" s="263" t="s">
        <v>230</v>
      </c>
      <c r="E143" s="264"/>
      <c r="F143" s="264"/>
      <c r="G143" s="264"/>
      <c r="H143" s="264"/>
      <c r="I143" s="264"/>
      <c r="J143" s="264"/>
      <c r="K143" s="265"/>
      <c r="L143" s="263" t="s">
        <v>38</v>
      </c>
      <c r="M143" s="264"/>
      <c r="N143" s="264"/>
      <c r="O143" s="264"/>
      <c r="P143" s="264"/>
      <c r="Q143" s="264"/>
      <c r="R143" s="264"/>
      <c r="S143" s="264"/>
      <c r="T143" s="286" t="s">
        <v>66</v>
      </c>
      <c r="U143" s="287"/>
      <c r="V143" s="286" t="s">
        <v>136</v>
      </c>
      <c r="W143" s="288"/>
      <c r="X143" s="288"/>
      <c r="Y143" s="287"/>
      <c r="Z143" s="263" t="s">
        <v>21</v>
      </c>
      <c r="AA143" s="277"/>
      <c r="AB143" s="277"/>
      <c r="AC143" s="277"/>
      <c r="AD143" s="277"/>
      <c r="AE143" s="263" t="s">
        <v>22</v>
      </c>
      <c r="AF143" s="277"/>
      <c r="AG143" s="277"/>
      <c r="AH143" s="280"/>
      <c r="AI143" s="263" t="s">
        <v>23</v>
      </c>
      <c r="AJ143" s="277"/>
      <c r="AK143" s="277"/>
      <c r="AL143" s="277"/>
      <c r="AM143" s="277"/>
      <c r="AN143" s="277"/>
      <c r="AO143" s="277"/>
      <c r="AP143" s="277"/>
      <c r="AQ143" s="263" t="s">
        <v>24</v>
      </c>
      <c r="AR143" s="277"/>
      <c r="AS143" s="277"/>
      <c r="AT143" s="277"/>
      <c r="AU143" s="277"/>
      <c r="AV143" s="277"/>
      <c r="AW143" s="277"/>
      <c r="AX143" s="277"/>
      <c r="AY143" s="280"/>
    </row>
    <row r="144" spans="1:51" ht="13.5" customHeight="1" x14ac:dyDescent="0.15">
      <c r="A144" s="1"/>
      <c r="B144" s="206" t="s">
        <v>62</v>
      </c>
      <c r="C144" s="422"/>
      <c r="D144" s="205" t="str">
        <f>IF(F6="NextGen","Nic1兼用","専用NICか兼用NICか選択ください")</f>
        <v>専用NICか兼用NICか選択ください</v>
      </c>
      <c r="E144" s="205"/>
      <c r="F144" s="205"/>
      <c r="G144" s="205"/>
      <c r="H144" s="205"/>
      <c r="I144" s="205"/>
      <c r="J144" s="205"/>
      <c r="K144" s="205"/>
      <c r="L144" s="409" t="s">
        <v>331</v>
      </c>
      <c r="M144" s="409"/>
      <c r="N144" s="409"/>
      <c r="O144" s="409"/>
      <c r="P144" s="409"/>
      <c r="Q144" s="409"/>
      <c r="R144" s="409"/>
      <c r="S144" s="409"/>
      <c r="T144" s="290" t="s">
        <v>206</v>
      </c>
      <c r="U144" s="66"/>
      <c r="V144" s="427" t="s">
        <v>71</v>
      </c>
      <c r="W144" s="428"/>
      <c r="X144" s="428"/>
      <c r="Y144" s="429"/>
      <c r="Z144" s="430"/>
      <c r="AA144" s="431"/>
      <c r="AB144" s="431"/>
      <c r="AC144" s="431"/>
      <c r="AD144" s="431"/>
      <c r="AE144" s="427"/>
      <c r="AF144" s="432"/>
      <c r="AG144" s="432"/>
      <c r="AH144" s="432"/>
      <c r="AI144" s="427"/>
      <c r="AJ144" s="438"/>
      <c r="AK144" s="438"/>
      <c r="AL144" s="438"/>
      <c r="AM144" s="438"/>
      <c r="AN144" s="438"/>
      <c r="AO144" s="438"/>
      <c r="AP144" s="439"/>
      <c r="AQ144" s="290" t="s">
        <v>107</v>
      </c>
      <c r="AR144" s="65"/>
      <c r="AS144" s="65"/>
      <c r="AT144" s="65"/>
      <c r="AU144" s="65"/>
      <c r="AV144" s="65"/>
      <c r="AW144" s="65"/>
      <c r="AX144" s="65"/>
      <c r="AY144" s="66"/>
    </row>
    <row r="145" spans="1:51" x14ac:dyDescent="0.15">
      <c r="A145" s="1"/>
      <c r="B145" s="403" t="s">
        <v>26</v>
      </c>
      <c r="C145" s="404"/>
      <c r="D145" s="404"/>
      <c r="E145" s="404"/>
      <c r="F145" s="404"/>
      <c r="G145" s="404"/>
      <c r="H145" s="404"/>
      <c r="I145" s="404"/>
      <c r="J145" s="404"/>
      <c r="K145" s="404"/>
      <c r="L145" s="404"/>
      <c r="M145" s="404"/>
      <c r="N145" s="404"/>
      <c r="O145" s="404"/>
      <c r="P145" s="404"/>
      <c r="Q145" s="404"/>
      <c r="R145" s="404"/>
      <c r="S145" s="404"/>
      <c r="T145" s="418"/>
      <c r="U145" s="419"/>
      <c r="V145" s="269" t="str">
        <f>IF(T144="有","有効","無効")</f>
        <v>有効</v>
      </c>
      <c r="W145" s="270"/>
      <c r="X145" s="270"/>
      <c r="Y145" s="270"/>
      <c r="Z145" s="270"/>
      <c r="AA145" s="270"/>
      <c r="AB145" s="270"/>
      <c r="AC145" s="270"/>
      <c r="AD145" s="270"/>
      <c r="AE145" s="270"/>
      <c r="AF145" s="270"/>
      <c r="AG145" s="270"/>
      <c r="AH145" s="270"/>
      <c r="AI145" s="270"/>
      <c r="AJ145" s="270"/>
      <c r="AK145" s="270"/>
      <c r="AL145" s="270"/>
      <c r="AM145" s="270"/>
      <c r="AN145" s="270"/>
      <c r="AO145" s="270"/>
      <c r="AP145" s="270"/>
      <c r="AQ145" s="270"/>
      <c r="AR145" s="270"/>
      <c r="AS145" s="270"/>
      <c r="AT145" s="270"/>
      <c r="AU145" s="270"/>
      <c r="AV145" s="270"/>
      <c r="AW145" s="270"/>
      <c r="AX145" s="270"/>
      <c r="AY145" s="271"/>
    </row>
    <row r="146" spans="1:51" x14ac:dyDescent="0.15">
      <c r="A146" s="1"/>
      <c r="B146" s="29"/>
      <c r="C146" s="420" t="s">
        <v>27</v>
      </c>
      <c r="D146" s="420"/>
      <c r="E146" s="420"/>
      <c r="F146" s="420"/>
      <c r="G146" s="420"/>
      <c r="H146" s="420"/>
      <c r="I146" s="420"/>
      <c r="J146" s="420"/>
      <c r="K146" s="420"/>
      <c r="L146" s="420"/>
      <c r="M146" s="420"/>
      <c r="N146" s="420"/>
      <c r="O146" s="420"/>
      <c r="P146" s="420"/>
      <c r="Q146" s="420"/>
      <c r="R146" s="420"/>
      <c r="S146" s="420"/>
      <c r="T146" s="421"/>
      <c r="U146" s="421"/>
      <c r="V146" s="274" t="s">
        <v>373</v>
      </c>
      <c r="W146" s="275"/>
      <c r="X146" s="275"/>
      <c r="Y146" s="275"/>
      <c r="Z146" s="275"/>
      <c r="AA146" s="275"/>
      <c r="AB146" s="275"/>
      <c r="AC146" s="275"/>
      <c r="AD146" s="275"/>
      <c r="AE146" s="275"/>
      <c r="AF146" s="275"/>
      <c r="AG146" s="26" t="s">
        <v>141</v>
      </c>
      <c r="AH146" s="26"/>
      <c r="AI146" s="26" t="s">
        <v>204</v>
      </c>
      <c r="AJ146" s="276">
        <v>24</v>
      </c>
      <c r="AK146" s="276"/>
      <c r="AL146" s="276"/>
      <c r="AM146" s="276"/>
      <c r="AN146" s="276"/>
      <c r="AO146" s="276"/>
      <c r="AP146" s="276"/>
      <c r="AQ146" s="276"/>
      <c r="AR146" s="26" t="s">
        <v>205</v>
      </c>
      <c r="AS146" s="26"/>
      <c r="AT146" s="26"/>
      <c r="AU146" s="26"/>
      <c r="AV146" s="26"/>
      <c r="AW146" s="26"/>
      <c r="AX146" s="26"/>
      <c r="AY146" s="27"/>
    </row>
    <row r="147" spans="1:51" x14ac:dyDescent="0.15">
      <c r="A147" s="1"/>
      <c r="B147" s="29"/>
      <c r="C147" s="410" t="s">
        <v>28</v>
      </c>
      <c r="D147" s="410"/>
      <c r="E147" s="410"/>
      <c r="F147" s="410"/>
      <c r="G147" s="410"/>
      <c r="H147" s="410"/>
      <c r="I147" s="410"/>
      <c r="J147" s="410"/>
      <c r="K147" s="410"/>
      <c r="L147" s="410"/>
      <c r="M147" s="410"/>
      <c r="N147" s="410"/>
      <c r="O147" s="410"/>
      <c r="P147" s="410"/>
      <c r="Q147" s="410"/>
      <c r="R147" s="410"/>
      <c r="S147" s="410"/>
      <c r="T147" s="411"/>
      <c r="U147" s="411"/>
      <c r="V147" s="314" t="s">
        <v>385</v>
      </c>
      <c r="W147" s="307"/>
      <c r="X147" s="307"/>
      <c r="Y147" s="307"/>
      <c r="Z147" s="307"/>
      <c r="AA147" s="307"/>
      <c r="AB147" s="307"/>
      <c r="AC147" s="307"/>
      <c r="AD147" s="307"/>
      <c r="AE147" s="307"/>
      <c r="AF147" s="307"/>
      <c r="AG147" s="307"/>
      <c r="AH147" s="307"/>
      <c r="AI147" s="307"/>
      <c r="AJ147" s="307"/>
      <c r="AK147" s="307"/>
      <c r="AL147" s="307"/>
      <c r="AM147" s="307"/>
      <c r="AN147" s="307"/>
      <c r="AO147" s="307"/>
      <c r="AP147" s="307"/>
      <c r="AQ147" s="307"/>
      <c r="AR147" s="307"/>
      <c r="AS147" s="307"/>
      <c r="AT147" s="307"/>
      <c r="AU147" s="307"/>
      <c r="AV147" s="307"/>
      <c r="AW147" s="307"/>
      <c r="AX147" s="307"/>
      <c r="AY147" s="308"/>
    </row>
    <row r="148" spans="1:51" x14ac:dyDescent="0.15">
      <c r="A148" s="1"/>
      <c r="B148" s="29"/>
      <c r="C148" s="410" t="s">
        <v>29</v>
      </c>
      <c r="D148" s="410"/>
      <c r="E148" s="410"/>
      <c r="F148" s="410"/>
      <c r="G148" s="410"/>
      <c r="H148" s="410"/>
      <c r="I148" s="410"/>
      <c r="J148" s="410"/>
      <c r="K148" s="410"/>
      <c r="L148" s="410"/>
      <c r="M148" s="410"/>
      <c r="N148" s="410"/>
      <c r="O148" s="410"/>
      <c r="P148" s="410"/>
      <c r="Q148" s="410"/>
      <c r="R148" s="410"/>
      <c r="S148" s="410"/>
      <c r="T148" s="411"/>
      <c r="U148" s="411"/>
      <c r="V148" s="300"/>
      <c r="W148" s="301"/>
      <c r="X148" s="301"/>
      <c r="Y148" s="301"/>
      <c r="Z148" s="301"/>
      <c r="AA148" s="301"/>
      <c r="AB148" s="301"/>
      <c r="AC148" s="301"/>
      <c r="AD148" s="301"/>
      <c r="AE148" s="301"/>
      <c r="AF148" s="301"/>
      <c r="AG148" s="301"/>
      <c r="AH148" s="301"/>
      <c r="AI148" s="301"/>
      <c r="AJ148" s="301"/>
      <c r="AK148" s="301"/>
      <c r="AL148" s="301"/>
      <c r="AM148" s="301"/>
      <c r="AN148" s="301"/>
      <c r="AO148" s="301"/>
      <c r="AP148" s="301"/>
      <c r="AQ148" s="301"/>
      <c r="AR148" s="301"/>
      <c r="AS148" s="301"/>
      <c r="AT148" s="301"/>
      <c r="AU148" s="301"/>
      <c r="AV148" s="301"/>
      <c r="AW148" s="301"/>
      <c r="AX148" s="301"/>
      <c r="AY148" s="302"/>
    </row>
    <row r="149" spans="1:51" x14ac:dyDescent="0.15">
      <c r="A149" s="1"/>
      <c r="B149" s="30"/>
      <c r="C149" s="416" t="s">
        <v>30</v>
      </c>
      <c r="D149" s="416"/>
      <c r="E149" s="416"/>
      <c r="F149" s="416"/>
      <c r="G149" s="416"/>
      <c r="H149" s="416"/>
      <c r="I149" s="416"/>
      <c r="J149" s="416"/>
      <c r="K149" s="416"/>
      <c r="L149" s="416"/>
      <c r="M149" s="416"/>
      <c r="N149" s="416"/>
      <c r="O149" s="416"/>
      <c r="P149" s="416"/>
      <c r="Q149" s="416"/>
      <c r="R149" s="416"/>
      <c r="S149" s="416"/>
      <c r="T149" s="417"/>
      <c r="U149" s="417"/>
      <c r="V149" s="294"/>
      <c r="W149" s="295"/>
      <c r="X149" s="295"/>
      <c r="Y149" s="295"/>
      <c r="Z149" s="295"/>
      <c r="AA149" s="295"/>
      <c r="AB149" s="295"/>
      <c r="AC149" s="295"/>
      <c r="AD149" s="295"/>
      <c r="AE149" s="295"/>
      <c r="AF149" s="295"/>
      <c r="AG149" s="295"/>
      <c r="AH149" s="295"/>
      <c r="AI149" s="295"/>
      <c r="AJ149" s="295"/>
      <c r="AK149" s="295"/>
      <c r="AL149" s="295"/>
      <c r="AM149" s="295"/>
      <c r="AN149" s="295"/>
      <c r="AO149" s="295"/>
      <c r="AP149" s="295"/>
      <c r="AQ149" s="295"/>
      <c r="AR149" s="295"/>
      <c r="AS149" s="295"/>
      <c r="AT149" s="295"/>
      <c r="AU149" s="295"/>
      <c r="AV149" s="295"/>
      <c r="AW149" s="295"/>
      <c r="AX149" s="295"/>
      <c r="AY149" s="296"/>
    </row>
    <row r="150" spans="1:51" x14ac:dyDescent="0.15">
      <c r="A150" s="2"/>
      <c r="B150" s="1" t="s">
        <v>272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15">
      <c r="A151" s="2" t="s">
        <v>140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1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15">
      <c r="A153" s="1"/>
      <c r="B153" s="2" t="s">
        <v>64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15">
      <c r="A154" s="1"/>
      <c r="B154" s="319" t="s">
        <v>88</v>
      </c>
      <c r="C154" s="320"/>
      <c r="D154" s="320"/>
      <c r="E154" s="320"/>
      <c r="F154" s="320"/>
      <c r="G154" s="320"/>
      <c r="H154" s="320"/>
      <c r="I154" s="320"/>
      <c r="J154" s="320"/>
      <c r="K154" s="320"/>
      <c r="L154" s="320"/>
      <c r="M154" s="320"/>
      <c r="N154" s="321"/>
      <c r="O154" s="104" t="s">
        <v>383</v>
      </c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6"/>
    </row>
    <row r="155" spans="1:51" x14ac:dyDescent="0.15">
      <c r="A155" s="1"/>
      <c r="B155" s="319" t="s">
        <v>65</v>
      </c>
      <c r="C155" s="320"/>
      <c r="D155" s="320"/>
      <c r="E155" s="320"/>
      <c r="F155" s="320"/>
      <c r="G155" s="320"/>
      <c r="H155" s="320"/>
      <c r="I155" s="320"/>
      <c r="J155" s="320"/>
      <c r="K155" s="320"/>
      <c r="L155" s="320"/>
      <c r="M155" s="320"/>
      <c r="N155" s="321"/>
      <c r="O155" s="100" t="s">
        <v>249</v>
      </c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  <c r="AM155" s="101"/>
      <c r="AN155" s="101"/>
      <c r="AO155" s="101"/>
      <c r="AP155" s="101"/>
      <c r="AQ155" s="101"/>
      <c r="AR155" s="101"/>
      <c r="AS155" s="101"/>
      <c r="AT155" s="101"/>
      <c r="AU155" s="101"/>
      <c r="AV155" s="101"/>
      <c r="AW155" s="101"/>
      <c r="AX155" s="101"/>
      <c r="AY155" s="102"/>
    </row>
    <row r="156" spans="1:51" x14ac:dyDescent="0.15">
      <c r="A156" s="1"/>
      <c r="B156" s="319" t="s">
        <v>105</v>
      </c>
      <c r="C156" s="320"/>
      <c r="D156" s="320"/>
      <c r="E156" s="320"/>
      <c r="F156" s="320"/>
      <c r="G156" s="320"/>
      <c r="H156" s="320"/>
      <c r="I156" s="320"/>
      <c r="J156" s="320"/>
      <c r="K156" s="320"/>
      <c r="L156" s="320"/>
      <c r="M156" s="320"/>
      <c r="N156" s="321"/>
      <c r="O156" s="100" t="s">
        <v>70</v>
      </c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  <c r="AM156" s="101"/>
      <c r="AN156" s="101"/>
      <c r="AO156" s="101"/>
      <c r="AP156" s="101"/>
      <c r="AQ156" s="101"/>
      <c r="AR156" s="101"/>
      <c r="AS156" s="101"/>
      <c r="AT156" s="101"/>
      <c r="AU156" s="101"/>
      <c r="AV156" s="101"/>
      <c r="AW156" s="101"/>
      <c r="AX156" s="101"/>
      <c r="AY156" s="102"/>
    </row>
    <row r="157" spans="1:51" x14ac:dyDescent="0.15">
      <c r="A157" s="1"/>
      <c r="B157" s="319" t="s">
        <v>89</v>
      </c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1"/>
      <c r="O157" s="100" t="s">
        <v>352</v>
      </c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  <c r="AM157" s="101"/>
      <c r="AN157" s="101"/>
      <c r="AO157" s="101"/>
      <c r="AP157" s="101"/>
      <c r="AQ157" s="101"/>
      <c r="AR157" s="101"/>
      <c r="AS157" s="101"/>
      <c r="AT157" s="101"/>
      <c r="AU157" s="101"/>
      <c r="AV157" s="101"/>
      <c r="AW157" s="101"/>
      <c r="AX157" s="101"/>
      <c r="AY157" s="102"/>
    </row>
    <row r="158" spans="1:5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15">
      <c r="A159" s="1"/>
      <c r="B159" s="2" t="s">
        <v>63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15">
      <c r="A160" s="1"/>
      <c r="B160" s="319" t="s">
        <v>104</v>
      </c>
      <c r="C160" s="320"/>
      <c r="D160" s="320"/>
      <c r="E160" s="320"/>
      <c r="F160" s="320"/>
      <c r="G160" s="320"/>
      <c r="H160" s="320"/>
      <c r="I160" s="320"/>
      <c r="J160" s="320"/>
      <c r="K160" s="320"/>
      <c r="L160" s="320"/>
      <c r="M160" s="320"/>
      <c r="N160" s="321"/>
      <c r="O160" s="100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  <c r="AM160" s="101"/>
      <c r="AN160" s="101"/>
      <c r="AO160" s="101"/>
      <c r="AP160" s="101"/>
      <c r="AQ160" s="101"/>
      <c r="AR160" s="101"/>
      <c r="AS160" s="101"/>
      <c r="AT160" s="101"/>
      <c r="AU160" s="101"/>
      <c r="AV160" s="101"/>
      <c r="AW160" s="101"/>
      <c r="AX160" s="101"/>
      <c r="AY160" s="102"/>
    </row>
    <row r="161" spans="1:51" x14ac:dyDescent="0.15">
      <c r="A161" s="1"/>
      <c r="B161" s="319" t="s">
        <v>68</v>
      </c>
      <c r="C161" s="320"/>
      <c r="D161" s="320"/>
      <c r="E161" s="320"/>
      <c r="F161" s="320"/>
      <c r="G161" s="320"/>
      <c r="H161" s="320"/>
      <c r="I161" s="320"/>
      <c r="J161" s="320"/>
      <c r="K161" s="320"/>
      <c r="L161" s="320"/>
      <c r="M161" s="320"/>
      <c r="N161" s="321"/>
      <c r="O161" s="100" t="s">
        <v>80</v>
      </c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  <c r="AM161" s="101"/>
      <c r="AN161" s="101"/>
      <c r="AO161" s="101"/>
      <c r="AP161" s="101"/>
      <c r="AQ161" s="101"/>
      <c r="AR161" s="101"/>
      <c r="AS161" s="101"/>
      <c r="AT161" s="101"/>
      <c r="AU161" s="101"/>
      <c r="AV161" s="101"/>
      <c r="AW161" s="101"/>
      <c r="AX161" s="101"/>
      <c r="AY161" s="102"/>
    </row>
    <row r="162" spans="1:51" x14ac:dyDescent="0.15">
      <c r="A162" s="1"/>
      <c r="B162" s="319" t="s">
        <v>68</v>
      </c>
      <c r="C162" s="320"/>
      <c r="D162" s="320"/>
      <c r="E162" s="320"/>
      <c r="F162" s="320"/>
      <c r="G162" s="320"/>
      <c r="H162" s="320"/>
      <c r="I162" s="320"/>
      <c r="J162" s="320"/>
      <c r="K162" s="320"/>
      <c r="L162" s="320"/>
      <c r="M162" s="320"/>
      <c r="N162" s="321"/>
      <c r="O162" s="100" t="s">
        <v>80</v>
      </c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  <c r="AM162" s="101"/>
      <c r="AN162" s="101"/>
      <c r="AO162" s="101"/>
      <c r="AP162" s="101"/>
      <c r="AQ162" s="101"/>
      <c r="AR162" s="101"/>
      <c r="AS162" s="101"/>
      <c r="AT162" s="101"/>
      <c r="AU162" s="101"/>
      <c r="AV162" s="101"/>
      <c r="AW162" s="101"/>
      <c r="AX162" s="101"/>
      <c r="AY162" s="102"/>
    </row>
    <row r="163" spans="1:51" x14ac:dyDescent="0.15">
      <c r="A163" s="1"/>
      <c r="B163" s="319" t="s">
        <v>68</v>
      </c>
      <c r="C163" s="320"/>
      <c r="D163" s="320"/>
      <c r="E163" s="320"/>
      <c r="F163" s="320"/>
      <c r="G163" s="320"/>
      <c r="H163" s="320"/>
      <c r="I163" s="320"/>
      <c r="J163" s="320"/>
      <c r="K163" s="320"/>
      <c r="L163" s="320"/>
      <c r="M163" s="320"/>
      <c r="N163" s="321"/>
      <c r="O163" s="100" t="s">
        <v>80</v>
      </c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  <c r="AN163" s="101"/>
      <c r="AO163" s="101"/>
      <c r="AP163" s="101"/>
      <c r="AQ163" s="101"/>
      <c r="AR163" s="101"/>
      <c r="AS163" s="101"/>
      <c r="AT163" s="101"/>
      <c r="AU163" s="101"/>
      <c r="AV163" s="101"/>
      <c r="AW163" s="101"/>
      <c r="AX163" s="101"/>
      <c r="AY163" s="102"/>
    </row>
    <row r="164" spans="1:5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15">
      <c r="A165" s="1"/>
      <c r="B165" s="2" t="s">
        <v>59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15">
      <c r="A166" s="1"/>
      <c r="B166" s="112" t="s">
        <v>149</v>
      </c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4"/>
      <c r="O166" s="325" t="s">
        <v>374</v>
      </c>
      <c r="P166" s="326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6"/>
      <c r="AK166" s="326"/>
      <c r="AL166" s="326"/>
      <c r="AM166" s="326"/>
      <c r="AN166" s="326"/>
      <c r="AO166" s="326"/>
      <c r="AP166" s="326"/>
      <c r="AQ166" s="326"/>
      <c r="AR166" s="326"/>
      <c r="AS166" s="326"/>
      <c r="AT166" s="326"/>
      <c r="AU166" s="326"/>
      <c r="AV166" s="326"/>
      <c r="AW166" s="326"/>
      <c r="AX166" s="326"/>
      <c r="AY166" s="327"/>
    </row>
    <row r="167" spans="1:51" x14ac:dyDescent="0.15">
      <c r="A167" s="1"/>
      <c r="B167" s="112" t="s">
        <v>150</v>
      </c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4"/>
      <c r="O167" s="325" t="s">
        <v>375</v>
      </c>
      <c r="P167" s="326"/>
      <c r="Q167" s="326"/>
      <c r="R167" s="326"/>
      <c r="S167" s="326"/>
      <c r="T167" s="326"/>
      <c r="U167" s="326"/>
      <c r="V167" s="326"/>
      <c r="W167" s="326"/>
      <c r="X167" s="326"/>
      <c r="Y167" s="326"/>
      <c r="Z167" s="326"/>
      <c r="AA167" s="326"/>
      <c r="AB167" s="326"/>
      <c r="AC167" s="326"/>
      <c r="AD167" s="326"/>
      <c r="AE167" s="326"/>
      <c r="AF167" s="326"/>
      <c r="AG167" s="326"/>
      <c r="AH167" s="326"/>
      <c r="AI167" s="326"/>
      <c r="AJ167" s="326"/>
      <c r="AK167" s="326"/>
      <c r="AL167" s="326"/>
      <c r="AM167" s="326"/>
      <c r="AN167" s="326"/>
      <c r="AO167" s="326"/>
      <c r="AP167" s="326"/>
      <c r="AQ167" s="326"/>
      <c r="AR167" s="326"/>
      <c r="AS167" s="326"/>
      <c r="AT167" s="326"/>
      <c r="AU167" s="326"/>
      <c r="AV167" s="326"/>
      <c r="AW167" s="326"/>
      <c r="AX167" s="326"/>
      <c r="AY167" s="327"/>
    </row>
    <row r="168" spans="1:51" x14ac:dyDescent="0.15">
      <c r="A168" s="1"/>
      <c r="B168" s="112" t="s">
        <v>151</v>
      </c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4"/>
      <c r="O168" s="325" t="s">
        <v>376</v>
      </c>
      <c r="P168" s="326"/>
      <c r="Q168" s="326"/>
      <c r="R168" s="326"/>
      <c r="S168" s="326"/>
      <c r="T168" s="326"/>
      <c r="U168" s="326"/>
      <c r="V168" s="326"/>
      <c r="W168" s="326"/>
      <c r="X168" s="326"/>
      <c r="Y168" s="326"/>
      <c r="Z168" s="326"/>
      <c r="AA168" s="326"/>
      <c r="AB168" s="326"/>
      <c r="AC168" s="326"/>
      <c r="AD168" s="326"/>
      <c r="AE168" s="326"/>
      <c r="AF168" s="326"/>
      <c r="AG168" s="326"/>
      <c r="AH168" s="326"/>
      <c r="AI168" s="326"/>
      <c r="AJ168" s="326"/>
      <c r="AK168" s="326"/>
      <c r="AL168" s="326"/>
      <c r="AM168" s="326"/>
      <c r="AN168" s="326"/>
      <c r="AO168" s="326"/>
      <c r="AP168" s="326"/>
      <c r="AQ168" s="326"/>
      <c r="AR168" s="326"/>
      <c r="AS168" s="326"/>
      <c r="AT168" s="326"/>
      <c r="AU168" s="326"/>
      <c r="AV168" s="326"/>
      <c r="AW168" s="326"/>
      <c r="AX168" s="326"/>
      <c r="AY168" s="327"/>
    </row>
    <row r="169" spans="1:51" x14ac:dyDescent="0.15">
      <c r="A169" s="1"/>
      <c r="B169" s="319" t="s">
        <v>253</v>
      </c>
      <c r="C169" s="320"/>
      <c r="D169" s="320"/>
      <c r="E169" s="320"/>
      <c r="F169" s="320"/>
      <c r="G169" s="320"/>
      <c r="H169" s="320"/>
      <c r="I169" s="320"/>
      <c r="J169" s="320"/>
      <c r="K169" s="320"/>
      <c r="L169" s="320"/>
      <c r="M169" s="320"/>
      <c r="N169" s="321"/>
      <c r="O169" s="325" t="s">
        <v>377</v>
      </c>
      <c r="P169" s="326"/>
      <c r="Q169" s="326"/>
      <c r="R169" s="326"/>
      <c r="S169" s="326"/>
      <c r="T169" s="326"/>
      <c r="U169" s="326"/>
      <c r="V169" s="326"/>
      <c r="W169" s="326"/>
      <c r="X169" s="326"/>
      <c r="Y169" s="326"/>
      <c r="Z169" s="326"/>
      <c r="AA169" s="326"/>
      <c r="AB169" s="326"/>
      <c r="AC169" s="326"/>
      <c r="AD169" s="326"/>
      <c r="AE169" s="326"/>
      <c r="AF169" s="326"/>
      <c r="AG169" s="326"/>
      <c r="AH169" s="326"/>
      <c r="AI169" s="326"/>
      <c r="AJ169" s="326"/>
      <c r="AK169" s="326"/>
      <c r="AL169" s="326"/>
      <c r="AM169" s="326"/>
      <c r="AN169" s="326"/>
      <c r="AO169" s="326"/>
      <c r="AP169" s="326"/>
      <c r="AQ169" s="326"/>
      <c r="AR169" s="326"/>
      <c r="AS169" s="326"/>
      <c r="AT169" s="326"/>
      <c r="AU169" s="326"/>
      <c r="AV169" s="326"/>
      <c r="AW169" s="326"/>
      <c r="AX169" s="326"/>
      <c r="AY169" s="327"/>
    </row>
    <row r="170" spans="1:51" x14ac:dyDescent="0.15">
      <c r="A170" s="1"/>
      <c r="B170" s="319" t="s">
        <v>254</v>
      </c>
      <c r="C170" s="320"/>
      <c r="D170" s="320"/>
      <c r="E170" s="320"/>
      <c r="F170" s="320"/>
      <c r="G170" s="320"/>
      <c r="H170" s="320"/>
      <c r="I170" s="320"/>
      <c r="J170" s="320"/>
      <c r="K170" s="320"/>
      <c r="L170" s="320"/>
      <c r="M170" s="320"/>
      <c r="N170" s="321"/>
      <c r="O170" s="325" t="s">
        <v>378</v>
      </c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  <c r="AA170" s="326"/>
      <c r="AB170" s="326"/>
      <c r="AC170" s="326"/>
      <c r="AD170" s="326"/>
      <c r="AE170" s="326"/>
      <c r="AF170" s="326"/>
      <c r="AG170" s="326"/>
      <c r="AH170" s="326"/>
      <c r="AI170" s="326"/>
      <c r="AJ170" s="326"/>
      <c r="AK170" s="326"/>
      <c r="AL170" s="326"/>
      <c r="AM170" s="326"/>
      <c r="AN170" s="326"/>
      <c r="AO170" s="326"/>
      <c r="AP170" s="326"/>
      <c r="AQ170" s="326"/>
      <c r="AR170" s="326"/>
      <c r="AS170" s="326"/>
      <c r="AT170" s="326"/>
      <c r="AU170" s="326"/>
      <c r="AV170" s="326"/>
      <c r="AW170" s="326"/>
      <c r="AX170" s="326"/>
      <c r="AY170" s="327"/>
    </row>
    <row r="171" spans="1:51" x14ac:dyDescent="0.15">
      <c r="A171" s="1"/>
      <c r="B171" s="2" t="s">
        <v>219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15">
      <c r="A172" s="1"/>
      <c r="B172" s="112" t="s">
        <v>149</v>
      </c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4"/>
      <c r="O172" s="325"/>
      <c r="P172" s="326"/>
      <c r="Q172" s="326"/>
      <c r="R172" s="326"/>
      <c r="S172" s="326"/>
      <c r="T172" s="326"/>
      <c r="U172" s="326"/>
      <c r="V172" s="326"/>
      <c r="W172" s="326"/>
      <c r="X172" s="326"/>
      <c r="Y172" s="326"/>
      <c r="Z172" s="326"/>
      <c r="AA172" s="326"/>
      <c r="AB172" s="326"/>
      <c r="AC172" s="326"/>
      <c r="AD172" s="326"/>
      <c r="AE172" s="326"/>
      <c r="AF172" s="326"/>
      <c r="AG172" s="326"/>
      <c r="AH172" s="326"/>
      <c r="AI172" s="326"/>
      <c r="AJ172" s="326"/>
      <c r="AK172" s="326"/>
      <c r="AL172" s="326"/>
      <c r="AM172" s="326"/>
      <c r="AN172" s="326"/>
      <c r="AO172" s="326"/>
      <c r="AP172" s="326"/>
      <c r="AQ172" s="326"/>
      <c r="AR172" s="326"/>
      <c r="AS172" s="326"/>
      <c r="AT172" s="326"/>
      <c r="AU172" s="326"/>
      <c r="AV172" s="326"/>
      <c r="AW172" s="326"/>
      <c r="AX172" s="326"/>
      <c r="AY172" s="327"/>
    </row>
    <row r="173" spans="1:51" x14ac:dyDescent="0.15">
      <c r="A173" s="1"/>
      <c r="B173" s="112" t="s">
        <v>150</v>
      </c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4"/>
      <c r="O173" s="325"/>
      <c r="P173" s="326"/>
      <c r="Q173" s="326"/>
      <c r="R173" s="326"/>
      <c r="S173" s="326"/>
      <c r="T173" s="326"/>
      <c r="U173" s="326"/>
      <c r="V173" s="326"/>
      <c r="W173" s="326"/>
      <c r="X173" s="326"/>
      <c r="Y173" s="326"/>
      <c r="Z173" s="326"/>
      <c r="AA173" s="326"/>
      <c r="AB173" s="326"/>
      <c r="AC173" s="326"/>
      <c r="AD173" s="326"/>
      <c r="AE173" s="326"/>
      <c r="AF173" s="326"/>
      <c r="AG173" s="326"/>
      <c r="AH173" s="326"/>
      <c r="AI173" s="326"/>
      <c r="AJ173" s="326"/>
      <c r="AK173" s="326"/>
      <c r="AL173" s="326"/>
      <c r="AM173" s="326"/>
      <c r="AN173" s="326"/>
      <c r="AO173" s="326"/>
      <c r="AP173" s="326"/>
      <c r="AQ173" s="326"/>
      <c r="AR173" s="326"/>
      <c r="AS173" s="326"/>
      <c r="AT173" s="326"/>
      <c r="AU173" s="326"/>
      <c r="AV173" s="326"/>
      <c r="AW173" s="326"/>
      <c r="AX173" s="326"/>
      <c r="AY173" s="327"/>
    </row>
    <row r="174" spans="1:51" x14ac:dyDescent="0.15">
      <c r="A174" s="1"/>
      <c r="B174" s="99" t="s">
        <v>151</v>
      </c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325"/>
      <c r="P174" s="326"/>
      <c r="Q174" s="326"/>
      <c r="R174" s="326"/>
      <c r="S174" s="326"/>
      <c r="T174" s="326"/>
      <c r="U174" s="326"/>
      <c r="V174" s="326"/>
      <c r="W174" s="326"/>
      <c r="X174" s="326"/>
      <c r="Y174" s="326"/>
      <c r="Z174" s="326"/>
      <c r="AA174" s="326"/>
      <c r="AB174" s="326"/>
      <c r="AC174" s="326"/>
      <c r="AD174" s="326"/>
      <c r="AE174" s="326"/>
      <c r="AF174" s="326"/>
      <c r="AG174" s="326"/>
      <c r="AH174" s="326"/>
      <c r="AI174" s="326"/>
      <c r="AJ174" s="326"/>
      <c r="AK174" s="326"/>
      <c r="AL174" s="326"/>
      <c r="AM174" s="326"/>
      <c r="AN174" s="326"/>
      <c r="AO174" s="326"/>
      <c r="AP174" s="326"/>
      <c r="AQ174" s="326"/>
      <c r="AR174" s="326"/>
      <c r="AS174" s="326"/>
      <c r="AT174" s="326"/>
      <c r="AU174" s="326"/>
      <c r="AV174" s="326"/>
      <c r="AW174" s="326"/>
      <c r="AX174" s="326"/>
      <c r="AY174" s="327"/>
    </row>
    <row r="175" spans="1:51" x14ac:dyDescent="0.15">
      <c r="A175" s="1"/>
      <c r="B175" s="103" t="s">
        <v>32</v>
      </c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325"/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  <c r="AA175" s="326"/>
      <c r="AB175" s="326"/>
      <c r="AC175" s="326"/>
      <c r="AD175" s="326"/>
      <c r="AE175" s="326"/>
      <c r="AF175" s="326"/>
      <c r="AG175" s="326"/>
      <c r="AH175" s="326"/>
      <c r="AI175" s="326"/>
      <c r="AJ175" s="326"/>
      <c r="AK175" s="326"/>
      <c r="AL175" s="326"/>
      <c r="AM175" s="326"/>
      <c r="AN175" s="326"/>
      <c r="AO175" s="326"/>
      <c r="AP175" s="326"/>
      <c r="AQ175" s="326"/>
      <c r="AR175" s="326"/>
      <c r="AS175" s="326"/>
      <c r="AT175" s="326"/>
      <c r="AU175" s="326"/>
      <c r="AV175" s="326"/>
      <c r="AW175" s="326"/>
      <c r="AX175" s="326"/>
      <c r="AY175" s="327"/>
    </row>
    <row r="176" spans="1:51" x14ac:dyDescent="0.15">
      <c r="A176" s="1"/>
      <c r="B176" s="319" t="s">
        <v>254</v>
      </c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1"/>
      <c r="O176" s="325"/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  <c r="AA176" s="326"/>
      <c r="AB176" s="326"/>
      <c r="AC176" s="326"/>
      <c r="AD176" s="326"/>
      <c r="AE176" s="326"/>
      <c r="AF176" s="326"/>
      <c r="AG176" s="326"/>
      <c r="AH176" s="326"/>
      <c r="AI176" s="326"/>
      <c r="AJ176" s="326"/>
      <c r="AK176" s="326"/>
      <c r="AL176" s="326"/>
      <c r="AM176" s="326"/>
      <c r="AN176" s="326"/>
      <c r="AO176" s="326"/>
      <c r="AP176" s="326"/>
      <c r="AQ176" s="326"/>
      <c r="AR176" s="326"/>
      <c r="AS176" s="326"/>
      <c r="AT176" s="326"/>
      <c r="AU176" s="326"/>
      <c r="AV176" s="326"/>
      <c r="AW176" s="326"/>
      <c r="AX176" s="326"/>
      <c r="AY176" s="327"/>
    </row>
    <row r="177" spans="1:52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2" x14ac:dyDescent="0.15">
      <c r="A178" s="1"/>
      <c r="B178" s="2" t="s">
        <v>33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2" x14ac:dyDescent="0.15">
      <c r="A179" s="1"/>
      <c r="B179" s="334" t="s">
        <v>34</v>
      </c>
      <c r="C179" s="335"/>
      <c r="D179" s="335"/>
      <c r="E179" s="335"/>
      <c r="F179" s="335"/>
      <c r="G179" s="335"/>
      <c r="H179" s="335"/>
      <c r="I179" s="335"/>
      <c r="J179" s="335"/>
      <c r="K179" s="335"/>
      <c r="L179" s="335"/>
      <c r="M179" s="335"/>
      <c r="N179" s="336"/>
      <c r="O179" s="337" t="s">
        <v>247</v>
      </c>
      <c r="P179" s="338"/>
      <c r="Q179" s="338"/>
      <c r="R179" s="338"/>
      <c r="S179" s="338"/>
      <c r="T179" s="338"/>
      <c r="U179" s="338"/>
      <c r="V179" s="338"/>
      <c r="W179" s="338"/>
      <c r="X179" s="338"/>
      <c r="Y179" s="338"/>
      <c r="Z179" s="338"/>
      <c r="AA179" s="338"/>
      <c r="AB179" s="338"/>
      <c r="AC179" s="338"/>
      <c r="AD179" s="338"/>
      <c r="AE179" s="338"/>
      <c r="AF179" s="338"/>
      <c r="AG179" s="338"/>
      <c r="AH179" s="338"/>
      <c r="AI179" s="338"/>
      <c r="AJ179" s="338"/>
      <c r="AK179" s="338"/>
      <c r="AL179" s="338"/>
      <c r="AM179" s="338"/>
      <c r="AN179" s="338"/>
      <c r="AO179" s="338"/>
      <c r="AP179" s="338"/>
      <c r="AQ179" s="338"/>
      <c r="AR179" s="338"/>
      <c r="AS179" s="338"/>
      <c r="AT179" s="338"/>
      <c r="AU179" s="338"/>
      <c r="AV179" s="338"/>
      <c r="AW179" s="338"/>
      <c r="AX179" s="338"/>
      <c r="AY179" s="339"/>
    </row>
    <row r="180" spans="1:52" x14ac:dyDescent="0.15">
      <c r="A180" s="1"/>
      <c r="B180" s="340" t="s">
        <v>101</v>
      </c>
      <c r="C180" s="320"/>
      <c r="D180" s="320"/>
      <c r="E180" s="320"/>
      <c r="F180" s="320"/>
      <c r="G180" s="320"/>
      <c r="H180" s="320"/>
      <c r="I180" s="320"/>
      <c r="J180" s="320"/>
      <c r="K180" s="320"/>
      <c r="L180" s="320"/>
      <c r="M180" s="320"/>
      <c r="N180" s="321"/>
      <c r="O180" s="389" t="s">
        <v>244</v>
      </c>
      <c r="P180" s="390"/>
      <c r="Q180" s="390"/>
      <c r="R180" s="390"/>
      <c r="S180" s="390"/>
      <c r="T180" s="390"/>
      <c r="U180" s="390"/>
      <c r="V180" s="390"/>
      <c r="W180" s="390"/>
      <c r="X180" s="390"/>
      <c r="Y180" s="390"/>
      <c r="Z180" s="390"/>
      <c r="AA180" s="452" t="s">
        <v>379</v>
      </c>
      <c r="AB180" s="452"/>
      <c r="AC180" s="452"/>
      <c r="AD180" s="452"/>
      <c r="AE180" s="452"/>
      <c r="AF180" s="452"/>
      <c r="AG180" s="452"/>
      <c r="AH180" s="452"/>
      <c r="AI180" s="392" t="s">
        <v>243</v>
      </c>
      <c r="AJ180" s="392"/>
      <c r="AK180" s="392"/>
      <c r="AL180" s="392"/>
      <c r="AM180" s="392"/>
      <c r="AN180" s="392"/>
      <c r="AO180" s="392"/>
      <c r="AP180" s="392"/>
      <c r="AQ180" s="392"/>
      <c r="AR180" s="392"/>
      <c r="AS180" s="392"/>
      <c r="AT180" s="392"/>
      <c r="AU180" s="392"/>
      <c r="AV180" s="392"/>
      <c r="AW180" s="392"/>
      <c r="AX180" s="392"/>
      <c r="AY180" s="393"/>
    </row>
    <row r="181" spans="1:52" x14ac:dyDescent="0.15">
      <c r="A181" s="1"/>
      <c r="B181" s="9"/>
      <c r="C181" s="350" t="s">
        <v>52</v>
      </c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94" t="s">
        <v>245</v>
      </c>
      <c r="P181" s="395"/>
      <c r="Q181" s="395"/>
      <c r="R181" s="395"/>
      <c r="S181" s="395"/>
      <c r="T181" s="395"/>
      <c r="U181" s="395"/>
      <c r="V181" s="395"/>
      <c r="W181" s="395"/>
      <c r="X181" s="395"/>
      <c r="Y181" s="395"/>
      <c r="Z181" s="395"/>
      <c r="AA181" s="415" t="s">
        <v>380</v>
      </c>
      <c r="AB181" s="415"/>
      <c r="AC181" s="415"/>
      <c r="AD181" s="415"/>
      <c r="AE181" s="415"/>
      <c r="AF181" s="415"/>
      <c r="AG181" s="415"/>
      <c r="AH181" s="415"/>
      <c r="AI181" s="397" t="s">
        <v>246</v>
      </c>
      <c r="AJ181" s="397"/>
      <c r="AK181" s="397"/>
      <c r="AL181" s="397"/>
      <c r="AM181" s="397"/>
      <c r="AN181" s="397"/>
      <c r="AO181" s="397"/>
      <c r="AP181" s="397"/>
      <c r="AQ181" s="397"/>
      <c r="AR181" s="397"/>
      <c r="AS181" s="397"/>
      <c r="AT181" s="397"/>
      <c r="AU181" s="358"/>
      <c r="AV181" s="358"/>
      <c r="AW181" s="358"/>
      <c r="AX181" s="358"/>
      <c r="AY181" s="359"/>
    </row>
    <row r="182" spans="1:52" x14ac:dyDescent="0.15">
      <c r="A182" s="1"/>
      <c r="B182" s="8"/>
      <c r="C182" s="351" t="s">
        <v>282</v>
      </c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450" t="s">
        <v>381</v>
      </c>
      <c r="P182" s="451"/>
      <c r="Q182" s="451"/>
      <c r="R182" s="451"/>
      <c r="S182" s="451"/>
      <c r="T182" s="451"/>
      <c r="U182" s="451"/>
      <c r="V182" s="451"/>
      <c r="W182" s="451"/>
      <c r="X182" s="451"/>
      <c r="Y182" s="451"/>
      <c r="Z182" s="451"/>
      <c r="AA182" s="451"/>
      <c r="AB182" s="451"/>
      <c r="AC182" s="451"/>
      <c r="AD182" s="451"/>
      <c r="AE182" s="33" t="s">
        <v>248</v>
      </c>
      <c r="AF182" s="105" t="s">
        <v>382</v>
      </c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6"/>
    </row>
    <row r="183" spans="1:52" x14ac:dyDescent="0.15">
      <c r="A183" s="1"/>
      <c r="B183" s="352" t="s">
        <v>35</v>
      </c>
      <c r="C183" s="353"/>
      <c r="D183" s="353"/>
      <c r="E183" s="353"/>
      <c r="F183" s="353"/>
      <c r="G183" s="353"/>
      <c r="H183" s="353"/>
      <c r="I183" s="353"/>
      <c r="J183" s="353"/>
      <c r="K183" s="353"/>
      <c r="L183" s="353"/>
      <c r="M183" s="353"/>
      <c r="N183" s="354"/>
      <c r="O183" s="355" t="s">
        <v>60</v>
      </c>
      <c r="P183" s="356"/>
      <c r="Q183" s="356"/>
      <c r="R183" s="356"/>
      <c r="S183" s="356"/>
      <c r="T183" s="356"/>
      <c r="U183" s="356"/>
      <c r="V183" s="356"/>
      <c r="W183" s="356"/>
      <c r="X183" s="356"/>
      <c r="Y183" s="356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7"/>
    </row>
    <row r="184" spans="1:52" x14ac:dyDescent="0.15">
      <c r="A184" s="1"/>
      <c r="B184" s="8"/>
      <c r="C184" s="341" t="s">
        <v>36</v>
      </c>
      <c r="D184" s="342"/>
      <c r="E184" s="342"/>
      <c r="F184" s="342"/>
      <c r="G184" s="342"/>
      <c r="H184" s="342"/>
      <c r="I184" s="342"/>
      <c r="J184" s="342"/>
      <c r="K184" s="342"/>
      <c r="L184" s="342"/>
      <c r="M184" s="342"/>
      <c r="N184" s="343"/>
      <c r="O184" s="325" t="s">
        <v>208</v>
      </c>
      <c r="P184" s="326"/>
      <c r="Q184" s="326"/>
      <c r="R184" s="326"/>
      <c r="S184" s="326"/>
      <c r="T184" s="326"/>
      <c r="U184" s="326"/>
      <c r="V184" s="326"/>
      <c r="W184" s="326"/>
      <c r="X184" s="326"/>
      <c r="Y184" s="326"/>
      <c r="Z184" s="326"/>
      <c r="AA184" s="326"/>
      <c r="AB184" s="326"/>
      <c r="AC184" s="326"/>
      <c r="AD184" s="326"/>
      <c r="AE184" s="326"/>
      <c r="AF184" s="326"/>
      <c r="AG184" s="326"/>
      <c r="AH184" s="326"/>
      <c r="AI184" s="326"/>
      <c r="AJ184" s="326"/>
      <c r="AK184" s="326"/>
      <c r="AL184" s="326"/>
      <c r="AM184" s="326"/>
      <c r="AN184" s="326"/>
      <c r="AO184" s="326"/>
      <c r="AP184" s="326"/>
      <c r="AQ184" s="326"/>
      <c r="AR184" s="326"/>
      <c r="AS184" s="326"/>
      <c r="AT184" s="326"/>
      <c r="AU184" s="326"/>
      <c r="AV184" s="326"/>
      <c r="AW184" s="326"/>
      <c r="AX184" s="326"/>
      <c r="AY184" s="327"/>
    </row>
    <row r="185" spans="1:52" x14ac:dyDescent="0.15">
      <c r="A185" s="1"/>
      <c r="B185" s="12"/>
      <c r="C185" s="344" t="s">
        <v>45</v>
      </c>
      <c r="D185" s="345"/>
      <c r="E185" s="345"/>
      <c r="F185" s="345"/>
      <c r="G185" s="345"/>
      <c r="H185" s="345"/>
      <c r="I185" s="345"/>
      <c r="J185" s="345"/>
      <c r="K185" s="345"/>
      <c r="L185" s="345"/>
      <c r="M185" s="345"/>
      <c r="N185" s="345"/>
      <c r="O185" s="344" t="s">
        <v>218</v>
      </c>
      <c r="P185" s="345"/>
      <c r="Q185" s="345"/>
      <c r="R185" s="345"/>
      <c r="S185" s="345"/>
      <c r="T185" s="345"/>
      <c r="U185" s="345"/>
      <c r="V185" s="345"/>
      <c r="W185" s="345"/>
      <c r="X185" s="345"/>
      <c r="Y185" s="345"/>
      <c r="Z185" s="345"/>
      <c r="AA185" s="346"/>
      <c r="AB185" s="347" t="s">
        <v>46</v>
      </c>
      <c r="AC185" s="348"/>
      <c r="AD185" s="348"/>
      <c r="AE185" s="348"/>
      <c r="AF185" s="348"/>
      <c r="AG185" s="348"/>
      <c r="AH185" s="348"/>
      <c r="AI185" s="348"/>
      <c r="AJ185" s="348"/>
      <c r="AK185" s="349"/>
      <c r="AL185" s="121" t="s">
        <v>276</v>
      </c>
      <c r="AM185" s="122"/>
      <c r="AN185" s="122"/>
      <c r="AO185" s="122"/>
      <c r="AP185" s="122"/>
      <c r="AQ185" s="122"/>
      <c r="AR185" s="122"/>
      <c r="AS185" s="122"/>
      <c r="AT185" s="122"/>
      <c r="AU185" s="122"/>
      <c r="AV185" s="122"/>
      <c r="AW185" s="122"/>
      <c r="AX185" s="122"/>
      <c r="AY185" s="255"/>
    </row>
    <row r="186" spans="1:52" x14ac:dyDescent="0.15">
      <c r="A186" s="1"/>
      <c r="B186" s="444" t="s">
        <v>102</v>
      </c>
      <c r="C186" s="445"/>
      <c r="D186" s="445"/>
      <c r="E186" s="445"/>
      <c r="F186" s="445"/>
      <c r="G186" s="445"/>
      <c r="H186" s="445"/>
      <c r="I186" s="445"/>
      <c r="J186" s="445"/>
      <c r="K186" s="445"/>
      <c r="L186" s="445"/>
      <c r="M186" s="445"/>
      <c r="N186" s="446"/>
      <c r="O186" s="447" t="s">
        <v>42</v>
      </c>
      <c r="P186" s="448"/>
      <c r="Q186" s="448"/>
      <c r="R186" s="448"/>
      <c r="S186" s="448"/>
      <c r="T186" s="448"/>
      <c r="U186" s="448"/>
      <c r="V186" s="448"/>
      <c r="W186" s="448"/>
      <c r="X186" s="448"/>
      <c r="Y186" s="448"/>
      <c r="Z186" s="448"/>
      <c r="AA186" s="448"/>
      <c r="AB186" s="448"/>
      <c r="AC186" s="448"/>
      <c r="AD186" s="448"/>
      <c r="AE186" s="448"/>
      <c r="AF186" s="448"/>
      <c r="AG186" s="448"/>
      <c r="AH186" s="448"/>
      <c r="AI186" s="448"/>
      <c r="AJ186" s="448"/>
      <c r="AK186" s="448"/>
      <c r="AL186" s="448"/>
      <c r="AM186" s="448"/>
      <c r="AN186" s="448"/>
      <c r="AO186" s="448"/>
      <c r="AP186" s="448"/>
      <c r="AQ186" s="448"/>
      <c r="AR186" s="448"/>
      <c r="AS186" s="448"/>
      <c r="AT186" s="448"/>
      <c r="AU186" s="448"/>
      <c r="AV186" s="448"/>
      <c r="AW186" s="448"/>
      <c r="AX186" s="448"/>
      <c r="AY186" s="449"/>
    </row>
    <row r="187" spans="1:52" x14ac:dyDescent="0.15">
      <c r="A187" s="1"/>
      <c r="B187" s="28"/>
      <c r="C187" s="412" t="s">
        <v>103</v>
      </c>
      <c r="D187" s="413"/>
      <c r="E187" s="413"/>
      <c r="F187" s="413"/>
      <c r="G187" s="413"/>
      <c r="H187" s="413"/>
      <c r="I187" s="413"/>
      <c r="J187" s="413"/>
      <c r="K187" s="413"/>
      <c r="L187" s="413"/>
      <c r="M187" s="413"/>
      <c r="N187" s="414"/>
      <c r="O187" s="444" t="s">
        <v>218</v>
      </c>
      <c r="P187" s="445"/>
      <c r="Q187" s="445"/>
      <c r="R187" s="445"/>
      <c r="S187" s="445"/>
      <c r="T187" s="445"/>
      <c r="U187" s="445"/>
      <c r="V187" s="445"/>
      <c r="W187" s="445"/>
      <c r="X187" s="445"/>
      <c r="Y187" s="445"/>
      <c r="Z187" s="445"/>
      <c r="AA187" s="446"/>
      <c r="AB187" s="412" t="s">
        <v>43</v>
      </c>
      <c r="AC187" s="413"/>
      <c r="AD187" s="413"/>
      <c r="AE187" s="413"/>
      <c r="AF187" s="413"/>
      <c r="AG187" s="413"/>
      <c r="AH187" s="413"/>
      <c r="AI187" s="413"/>
      <c r="AJ187" s="413"/>
      <c r="AK187" s="414"/>
      <c r="AL187" s="412" t="s">
        <v>44</v>
      </c>
      <c r="AM187" s="413"/>
      <c r="AN187" s="413"/>
      <c r="AO187" s="413"/>
      <c r="AP187" s="413"/>
      <c r="AQ187" s="413"/>
      <c r="AR187" s="413"/>
      <c r="AS187" s="413"/>
      <c r="AT187" s="413"/>
      <c r="AU187" s="413"/>
      <c r="AV187" s="413"/>
      <c r="AW187" s="413"/>
      <c r="AX187" s="413"/>
      <c r="AY187" s="414"/>
    </row>
    <row r="188" spans="1:52" x14ac:dyDescent="0.15">
      <c r="A188" s="1"/>
      <c r="B188" s="433" t="s">
        <v>236</v>
      </c>
      <c r="C188" s="434"/>
      <c r="D188" s="434"/>
      <c r="E188" s="434"/>
      <c r="F188" s="434"/>
      <c r="G188" s="434"/>
      <c r="H188" s="434"/>
      <c r="I188" s="434"/>
      <c r="J188" s="434"/>
      <c r="K188" s="434"/>
      <c r="L188" s="435"/>
      <c r="M188" s="347">
        <f>O17</f>
        <v>80</v>
      </c>
      <c r="N188" s="349"/>
      <c r="O188" s="347" t="s">
        <v>210</v>
      </c>
      <c r="P188" s="348"/>
      <c r="Q188" s="348"/>
      <c r="R188" s="349"/>
      <c r="S188" s="378" t="s">
        <v>211</v>
      </c>
      <c r="T188" s="378"/>
      <c r="U188" s="378"/>
      <c r="V188" s="378"/>
      <c r="W188" s="378"/>
      <c r="X188" s="378"/>
      <c r="Y188" s="378"/>
      <c r="Z188" s="378"/>
      <c r="AA188" s="379"/>
      <c r="AB188" s="362" t="s">
        <v>278</v>
      </c>
      <c r="AC188" s="363"/>
      <c r="AD188" s="364" t="s">
        <v>212</v>
      </c>
      <c r="AE188" s="365"/>
      <c r="AF188" s="365"/>
      <c r="AG188" s="366"/>
      <c r="AH188" s="362" t="s">
        <v>271</v>
      </c>
      <c r="AI188" s="363"/>
      <c r="AJ188" s="363"/>
      <c r="AK188" s="363"/>
      <c r="AL188" s="363"/>
      <c r="AM188" s="363"/>
      <c r="AN188" s="363"/>
      <c r="AO188" s="363"/>
      <c r="AP188" s="363"/>
      <c r="AQ188" s="363"/>
      <c r="AR188" s="364" t="s">
        <v>39</v>
      </c>
      <c r="AS188" s="365"/>
      <c r="AT188" s="365"/>
      <c r="AU188" s="366"/>
      <c r="AV188" s="362" t="s">
        <v>71</v>
      </c>
      <c r="AW188" s="363"/>
      <c r="AX188" s="363"/>
      <c r="AY188" s="363"/>
    </row>
    <row r="189" spans="1:52" ht="13.5" customHeight="1" x14ac:dyDescent="0.15">
      <c r="A189" s="1"/>
      <c r="B189" s="6"/>
      <c r="C189" s="383" t="s">
        <v>213</v>
      </c>
      <c r="D189" s="384"/>
      <c r="E189" s="384"/>
      <c r="F189" s="384"/>
      <c r="G189" s="384"/>
      <c r="H189" s="384"/>
      <c r="I189" s="384"/>
      <c r="J189" s="384"/>
      <c r="K189" s="384"/>
      <c r="L189" s="384"/>
      <c r="M189" s="367">
        <f t="shared" ref="M189:M218" si="0">IF(OR($M$188&gt;(AZ189-1),$F$6="NextGen/LA6000"),AZ189,"")</f>
        <v>1</v>
      </c>
      <c r="N189" s="368"/>
      <c r="O189" s="369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  <c r="AA189" s="370"/>
      <c r="AB189" s="370"/>
      <c r="AC189" s="371"/>
      <c r="AD189" s="369"/>
      <c r="AE189" s="370"/>
      <c r="AF189" s="370"/>
      <c r="AG189" s="370"/>
      <c r="AH189" s="370"/>
      <c r="AI189" s="370"/>
      <c r="AJ189" s="370"/>
      <c r="AK189" s="370"/>
      <c r="AL189" s="370"/>
      <c r="AM189" s="370"/>
      <c r="AN189" s="370"/>
      <c r="AO189" s="370"/>
      <c r="AP189" s="370"/>
      <c r="AQ189" s="371"/>
      <c r="AR189" s="369"/>
      <c r="AS189" s="370"/>
      <c r="AT189" s="370"/>
      <c r="AU189" s="370"/>
      <c r="AV189" s="370"/>
      <c r="AW189" s="370"/>
      <c r="AX189" s="370"/>
      <c r="AY189" s="371"/>
      <c r="AZ189" s="16">
        <v>1</v>
      </c>
    </row>
    <row r="190" spans="1:52" ht="14.25" customHeight="1" x14ac:dyDescent="0.15">
      <c r="A190" s="1"/>
      <c r="B190" s="6"/>
      <c r="C190" s="385"/>
      <c r="D190" s="386"/>
      <c r="E190" s="386"/>
      <c r="F190" s="386"/>
      <c r="G190" s="386"/>
      <c r="H190" s="386"/>
      <c r="I190" s="386"/>
      <c r="J190" s="386"/>
      <c r="K190" s="386"/>
      <c r="L190" s="386"/>
      <c r="M190" s="367">
        <f t="shared" si="0"/>
        <v>2</v>
      </c>
      <c r="N190" s="368"/>
      <c r="O190" s="369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  <c r="AA190" s="370"/>
      <c r="AB190" s="370"/>
      <c r="AC190" s="371"/>
      <c r="AD190" s="369"/>
      <c r="AE190" s="370"/>
      <c r="AF190" s="370"/>
      <c r="AG190" s="370"/>
      <c r="AH190" s="370"/>
      <c r="AI190" s="370"/>
      <c r="AJ190" s="370"/>
      <c r="AK190" s="370"/>
      <c r="AL190" s="370"/>
      <c r="AM190" s="370"/>
      <c r="AN190" s="370"/>
      <c r="AO190" s="370"/>
      <c r="AP190" s="370"/>
      <c r="AQ190" s="371"/>
      <c r="AR190" s="369"/>
      <c r="AS190" s="370"/>
      <c r="AT190" s="370"/>
      <c r="AU190" s="370"/>
      <c r="AV190" s="370"/>
      <c r="AW190" s="370"/>
      <c r="AX190" s="370"/>
      <c r="AY190" s="371"/>
      <c r="AZ190" s="16">
        <v>2</v>
      </c>
    </row>
    <row r="191" spans="1:52" ht="14.25" customHeight="1" x14ac:dyDescent="0.15">
      <c r="A191" s="1"/>
      <c r="B191" s="6"/>
      <c r="C191" s="385"/>
      <c r="D191" s="386"/>
      <c r="E191" s="386"/>
      <c r="F191" s="386"/>
      <c r="G191" s="386"/>
      <c r="H191" s="386"/>
      <c r="I191" s="386"/>
      <c r="J191" s="386"/>
      <c r="K191" s="386"/>
      <c r="L191" s="386"/>
      <c r="M191" s="367">
        <f t="shared" si="0"/>
        <v>3</v>
      </c>
      <c r="N191" s="368"/>
      <c r="O191" s="369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  <c r="AA191" s="370"/>
      <c r="AB191" s="370"/>
      <c r="AC191" s="371"/>
      <c r="AD191" s="369"/>
      <c r="AE191" s="370"/>
      <c r="AF191" s="370"/>
      <c r="AG191" s="370"/>
      <c r="AH191" s="370"/>
      <c r="AI191" s="370"/>
      <c r="AJ191" s="370"/>
      <c r="AK191" s="370"/>
      <c r="AL191" s="370"/>
      <c r="AM191" s="370"/>
      <c r="AN191" s="370"/>
      <c r="AO191" s="370"/>
      <c r="AP191" s="370"/>
      <c r="AQ191" s="371"/>
      <c r="AR191" s="369"/>
      <c r="AS191" s="370"/>
      <c r="AT191" s="370"/>
      <c r="AU191" s="370"/>
      <c r="AV191" s="370"/>
      <c r="AW191" s="370"/>
      <c r="AX191" s="370"/>
      <c r="AY191" s="371"/>
      <c r="AZ191" s="16">
        <v>3</v>
      </c>
    </row>
    <row r="192" spans="1:52" ht="14.25" customHeight="1" x14ac:dyDescent="0.15">
      <c r="A192" s="1"/>
      <c r="B192" s="6"/>
      <c r="C192" s="385"/>
      <c r="D192" s="386"/>
      <c r="E192" s="386"/>
      <c r="F192" s="386"/>
      <c r="G192" s="386"/>
      <c r="H192" s="386"/>
      <c r="I192" s="386"/>
      <c r="J192" s="386"/>
      <c r="K192" s="386"/>
      <c r="L192" s="386"/>
      <c r="M192" s="367">
        <f t="shared" si="0"/>
        <v>4</v>
      </c>
      <c r="N192" s="368"/>
      <c r="O192" s="369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  <c r="AA192" s="370"/>
      <c r="AB192" s="370"/>
      <c r="AC192" s="371"/>
      <c r="AD192" s="369"/>
      <c r="AE192" s="370"/>
      <c r="AF192" s="370"/>
      <c r="AG192" s="370"/>
      <c r="AH192" s="370"/>
      <c r="AI192" s="370"/>
      <c r="AJ192" s="370"/>
      <c r="AK192" s="370"/>
      <c r="AL192" s="370"/>
      <c r="AM192" s="370"/>
      <c r="AN192" s="370"/>
      <c r="AO192" s="370"/>
      <c r="AP192" s="370"/>
      <c r="AQ192" s="371"/>
      <c r="AR192" s="369"/>
      <c r="AS192" s="370"/>
      <c r="AT192" s="370"/>
      <c r="AU192" s="370"/>
      <c r="AV192" s="370"/>
      <c r="AW192" s="370"/>
      <c r="AX192" s="370"/>
      <c r="AY192" s="371"/>
      <c r="AZ192" s="16">
        <v>4</v>
      </c>
    </row>
    <row r="193" spans="1:52" ht="14.25" customHeight="1" x14ac:dyDescent="0.15">
      <c r="A193" s="1"/>
      <c r="B193" s="6"/>
      <c r="C193" s="385"/>
      <c r="D193" s="386"/>
      <c r="E193" s="386"/>
      <c r="F193" s="386"/>
      <c r="G193" s="386"/>
      <c r="H193" s="386"/>
      <c r="I193" s="386"/>
      <c r="J193" s="386"/>
      <c r="K193" s="386"/>
      <c r="L193" s="386"/>
      <c r="M193" s="367">
        <f t="shared" si="0"/>
        <v>5</v>
      </c>
      <c r="N193" s="368"/>
      <c r="O193" s="369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  <c r="AA193" s="370"/>
      <c r="AB193" s="370"/>
      <c r="AC193" s="371"/>
      <c r="AD193" s="369"/>
      <c r="AE193" s="370"/>
      <c r="AF193" s="370"/>
      <c r="AG193" s="370"/>
      <c r="AH193" s="370"/>
      <c r="AI193" s="370"/>
      <c r="AJ193" s="370"/>
      <c r="AK193" s="370"/>
      <c r="AL193" s="370"/>
      <c r="AM193" s="370"/>
      <c r="AN193" s="370"/>
      <c r="AO193" s="370"/>
      <c r="AP193" s="370"/>
      <c r="AQ193" s="371"/>
      <c r="AR193" s="369"/>
      <c r="AS193" s="370"/>
      <c r="AT193" s="370"/>
      <c r="AU193" s="370"/>
      <c r="AV193" s="370"/>
      <c r="AW193" s="370"/>
      <c r="AX193" s="370"/>
      <c r="AY193" s="371"/>
      <c r="AZ193" s="16">
        <v>5</v>
      </c>
    </row>
    <row r="194" spans="1:52" ht="14.25" customHeight="1" x14ac:dyDescent="0.15">
      <c r="A194" s="1"/>
      <c r="B194" s="6"/>
      <c r="C194" s="385"/>
      <c r="D194" s="386"/>
      <c r="E194" s="386"/>
      <c r="F194" s="386"/>
      <c r="G194" s="386"/>
      <c r="H194" s="386"/>
      <c r="I194" s="386"/>
      <c r="J194" s="386"/>
      <c r="K194" s="386"/>
      <c r="L194" s="386"/>
      <c r="M194" s="367">
        <f t="shared" si="0"/>
        <v>6</v>
      </c>
      <c r="N194" s="368"/>
      <c r="O194" s="369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  <c r="AA194" s="370"/>
      <c r="AB194" s="370"/>
      <c r="AC194" s="371"/>
      <c r="AD194" s="369"/>
      <c r="AE194" s="370"/>
      <c r="AF194" s="370"/>
      <c r="AG194" s="370"/>
      <c r="AH194" s="370"/>
      <c r="AI194" s="370"/>
      <c r="AJ194" s="370"/>
      <c r="AK194" s="370"/>
      <c r="AL194" s="370"/>
      <c r="AM194" s="370"/>
      <c r="AN194" s="370"/>
      <c r="AO194" s="370"/>
      <c r="AP194" s="370"/>
      <c r="AQ194" s="371"/>
      <c r="AR194" s="369"/>
      <c r="AS194" s="370"/>
      <c r="AT194" s="370"/>
      <c r="AU194" s="370"/>
      <c r="AV194" s="370"/>
      <c r="AW194" s="370"/>
      <c r="AX194" s="370"/>
      <c r="AY194" s="371"/>
      <c r="AZ194" s="16">
        <v>6</v>
      </c>
    </row>
    <row r="195" spans="1:52" ht="14.25" customHeight="1" x14ac:dyDescent="0.15">
      <c r="A195" s="1"/>
      <c r="B195" s="6"/>
      <c r="C195" s="385"/>
      <c r="D195" s="386"/>
      <c r="E195" s="386"/>
      <c r="F195" s="386"/>
      <c r="G195" s="386"/>
      <c r="H195" s="386"/>
      <c r="I195" s="386"/>
      <c r="J195" s="386"/>
      <c r="K195" s="386"/>
      <c r="L195" s="386"/>
      <c r="M195" s="367">
        <f t="shared" si="0"/>
        <v>7</v>
      </c>
      <c r="N195" s="368"/>
      <c r="O195" s="369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  <c r="AA195" s="370"/>
      <c r="AB195" s="370"/>
      <c r="AC195" s="371"/>
      <c r="AD195" s="369"/>
      <c r="AE195" s="370"/>
      <c r="AF195" s="370"/>
      <c r="AG195" s="370"/>
      <c r="AH195" s="370"/>
      <c r="AI195" s="370"/>
      <c r="AJ195" s="370"/>
      <c r="AK195" s="370"/>
      <c r="AL195" s="370"/>
      <c r="AM195" s="370"/>
      <c r="AN195" s="370"/>
      <c r="AO195" s="370"/>
      <c r="AP195" s="370"/>
      <c r="AQ195" s="371"/>
      <c r="AR195" s="369"/>
      <c r="AS195" s="370"/>
      <c r="AT195" s="370"/>
      <c r="AU195" s="370"/>
      <c r="AV195" s="370"/>
      <c r="AW195" s="370"/>
      <c r="AX195" s="370"/>
      <c r="AY195" s="371"/>
      <c r="AZ195" s="16">
        <v>7</v>
      </c>
    </row>
    <row r="196" spans="1:52" ht="14.25" customHeight="1" x14ac:dyDescent="0.15">
      <c r="A196" s="1"/>
      <c r="B196" s="6"/>
      <c r="C196" s="385"/>
      <c r="D196" s="386"/>
      <c r="E196" s="386"/>
      <c r="F196" s="386"/>
      <c r="G196" s="386"/>
      <c r="H196" s="386"/>
      <c r="I196" s="386"/>
      <c r="J196" s="386"/>
      <c r="K196" s="386"/>
      <c r="L196" s="386"/>
      <c r="M196" s="367">
        <f t="shared" si="0"/>
        <v>8</v>
      </c>
      <c r="N196" s="368"/>
      <c r="O196" s="369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  <c r="AA196" s="370"/>
      <c r="AB196" s="370"/>
      <c r="AC196" s="371"/>
      <c r="AD196" s="369"/>
      <c r="AE196" s="370"/>
      <c r="AF196" s="370"/>
      <c r="AG196" s="370"/>
      <c r="AH196" s="370"/>
      <c r="AI196" s="370"/>
      <c r="AJ196" s="370"/>
      <c r="AK196" s="370"/>
      <c r="AL196" s="370"/>
      <c r="AM196" s="370"/>
      <c r="AN196" s="370"/>
      <c r="AO196" s="370"/>
      <c r="AP196" s="370"/>
      <c r="AQ196" s="371"/>
      <c r="AR196" s="369"/>
      <c r="AS196" s="370"/>
      <c r="AT196" s="370"/>
      <c r="AU196" s="370"/>
      <c r="AV196" s="370"/>
      <c r="AW196" s="370"/>
      <c r="AX196" s="370"/>
      <c r="AY196" s="371"/>
      <c r="AZ196" s="16">
        <v>8</v>
      </c>
    </row>
    <row r="197" spans="1:52" ht="14.25" customHeight="1" x14ac:dyDescent="0.15">
      <c r="A197" s="1"/>
      <c r="B197" s="6"/>
      <c r="C197" s="385"/>
      <c r="D197" s="386"/>
      <c r="E197" s="386"/>
      <c r="F197" s="386"/>
      <c r="G197" s="386"/>
      <c r="H197" s="386"/>
      <c r="I197" s="386"/>
      <c r="J197" s="386"/>
      <c r="K197" s="386"/>
      <c r="L197" s="386"/>
      <c r="M197" s="367">
        <f t="shared" si="0"/>
        <v>9</v>
      </c>
      <c r="N197" s="368"/>
      <c r="O197" s="369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  <c r="AA197" s="370"/>
      <c r="AB197" s="370"/>
      <c r="AC197" s="371"/>
      <c r="AD197" s="369"/>
      <c r="AE197" s="370"/>
      <c r="AF197" s="370"/>
      <c r="AG197" s="370"/>
      <c r="AH197" s="370"/>
      <c r="AI197" s="370"/>
      <c r="AJ197" s="370"/>
      <c r="AK197" s="370"/>
      <c r="AL197" s="370"/>
      <c r="AM197" s="370"/>
      <c r="AN197" s="370"/>
      <c r="AO197" s="370"/>
      <c r="AP197" s="370"/>
      <c r="AQ197" s="371"/>
      <c r="AR197" s="369"/>
      <c r="AS197" s="370"/>
      <c r="AT197" s="370"/>
      <c r="AU197" s="370"/>
      <c r="AV197" s="370"/>
      <c r="AW197" s="370"/>
      <c r="AX197" s="370"/>
      <c r="AY197" s="371"/>
      <c r="AZ197" s="16">
        <v>9</v>
      </c>
    </row>
    <row r="198" spans="1:52" ht="14.25" customHeight="1" x14ac:dyDescent="0.15">
      <c r="A198" s="1"/>
      <c r="B198" s="6"/>
      <c r="C198" s="385"/>
      <c r="D198" s="386"/>
      <c r="E198" s="386"/>
      <c r="F198" s="386"/>
      <c r="G198" s="386"/>
      <c r="H198" s="386"/>
      <c r="I198" s="386"/>
      <c r="J198" s="386"/>
      <c r="K198" s="386"/>
      <c r="L198" s="386"/>
      <c r="M198" s="367">
        <f t="shared" si="0"/>
        <v>10</v>
      </c>
      <c r="N198" s="368"/>
      <c r="O198" s="369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  <c r="AA198" s="370"/>
      <c r="AB198" s="370"/>
      <c r="AC198" s="371"/>
      <c r="AD198" s="369"/>
      <c r="AE198" s="370"/>
      <c r="AF198" s="370"/>
      <c r="AG198" s="370"/>
      <c r="AH198" s="370"/>
      <c r="AI198" s="370"/>
      <c r="AJ198" s="370"/>
      <c r="AK198" s="370"/>
      <c r="AL198" s="370"/>
      <c r="AM198" s="370"/>
      <c r="AN198" s="370"/>
      <c r="AO198" s="370"/>
      <c r="AP198" s="370"/>
      <c r="AQ198" s="371"/>
      <c r="AR198" s="369"/>
      <c r="AS198" s="370"/>
      <c r="AT198" s="370"/>
      <c r="AU198" s="370"/>
      <c r="AV198" s="370"/>
      <c r="AW198" s="370"/>
      <c r="AX198" s="370"/>
      <c r="AY198" s="371"/>
      <c r="AZ198" s="16">
        <v>10</v>
      </c>
    </row>
    <row r="199" spans="1:52" ht="14.25" customHeight="1" x14ac:dyDescent="0.15">
      <c r="A199" s="1"/>
      <c r="B199" s="6"/>
      <c r="C199" s="385"/>
      <c r="D199" s="386"/>
      <c r="E199" s="386"/>
      <c r="F199" s="386"/>
      <c r="G199" s="386"/>
      <c r="H199" s="386"/>
      <c r="I199" s="386"/>
      <c r="J199" s="386"/>
      <c r="K199" s="386"/>
      <c r="L199" s="386"/>
      <c r="M199" s="367">
        <f t="shared" si="0"/>
        <v>11</v>
      </c>
      <c r="N199" s="368"/>
      <c r="O199" s="369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  <c r="AA199" s="370"/>
      <c r="AB199" s="370"/>
      <c r="AC199" s="371"/>
      <c r="AD199" s="369"/>
      <c r="AE199" s="370"/>
      <c r="AF199" s="370"/>
      <c r="AG199" s="370"/>
      <c r="AH199" s="370"/>
      <c r="AI199" s="370"/>
      <c r="AJ199" s="370"/>
      <c r="AK199" s="370"/>
      <c r="AL199" s="370"/>
      <c r="AM199" s="370"/>
      <c r="AN199" s="370"/>
      <c r="AO199" s="370"/>
      <c r="AP199" s="370"/>
      <c r="AQ199" s="371"/>
      <c r="AR199" s="369"/>
      <c r="AS199" s="370"/>
      <c r="AT199" s="370"/>
      <c r="AU199" s="370"/>
      <c r="AV199" s="370"/>
      <c r="AW199" s="370"/>
      <c r="AX199" s="370"/>
      <c r="AY199" s="371"/>
      <c r="AZ199" s="16">
        <v>11</v>
      </c>
    </row>
    <row r="200" spans="1:52" ht="14.25" customHeight="1" x14ac:dyDescent="0.15">
      <c r="A200" s="1"/>
      <c r="B200" s="6"/>
      <c r="C200" s="385"/>
      <c r="D200" s="386"/>
      <c r="E200" s="386"/>
      <c r="F200" s="386"/>
      <c r="G200" s="386"/>
      <c r="H200" s="386"/>
      <c r="I200" s="386"/>
      <c r="J200" s="386"/>
      <c r="K200" s="386"/>
      <c r="L200" s="386"/>
      <c r="M200" s="367">
        <f t="shared" si="0"/>
        <v>12</v>
      </c>
      <c r="N200" s="368"/>
      <c r="O200" s="369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  <c r="AA200" s="370"/>
      <c r="AB200" s="370"/>
      <c r="AC200" s="371"/>
      <c r="AD200" s="369"/>
      <c r="AE200" s="370"/>
      <c r="AF200" s="370"/>
      <c r="AG200" s="370"/>
      <c r="AH200" s="370"/>
      <c r="AI200" s="370"/>
      <c r="AJ200" s="370"/>
      <c r="AK200" s="370"/>
      <c r="AL200" s="370"/>
      <c r="AM200" s="370"/>
      <c r="AN200" s="370"/>
      <c r="AO200" s="370"/>
      <c r="AP200" s="370"/>
      <c r="AQ200" s="371"/>
      <c r="AR200" s="369"/>
      <c r="AS200" s="370"/>
      <c r="AT200" s="370"/>
      <c r="AU200" s="370"/>
      <c r="AV200" s="370"/>
      <c r="AW200" s="370"/>
      <c r="AX200" s="370"/>
      <c r="AY200" s="371"/>
      <c r="AZ200" s="16">
        <v>12</v>
      </c>
    </row>
    <row r="201" spans="1:52" ht="14.25" customHeight="1" x14ac:dyDescent="0.15">
      <c r="A201" s="1"/>
      <c r="B201" s="6"/>
      <c r="C201" s="385"/>
      <c r="D201" s="386"/>
      <c r="E201" s="386"/>
      <c r="F201" s="386"/>
      <c r="G201" s="386"/>
      <c r="H201" s="386"/>
      <c r="I201" s="386"/>
      <c r="J201" s="386"/>
      <c r="K201" s="386"/>
      <c r="L201" s="386"/>
      <c r="M201" s="367">
        <f t="shared" si="0"/>
        <v>13</v>
      </c>
      <c r="N201" s="368"/>
      <c r="O201" s="369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  <c r="AA201" s="370"/>
      <c r="AB201" s="370"/>
      <c r="AC201" s="371"/>
      <c r="AD201" s="369"/>
      <c r="AE201" s="370"/>
      <c r="AF201" s="370"/>
      <c r="AG201" s="370"/>
      <c r="AH201" s="370"/>
      <c r="AI201" s="370"/>
      <c r="AJ201" s="370"/>
      <c r="AK201" s="370"/>
      <c r="AL201" s="370"/>
      <c r="AM201" s="370"/>
      <c r="AN201" s="370"/>
      <c r="AO201" s="370"/>
      <c r="AP201" s="370"/>
      <c r="AQ201" s="371"/>
      <c r="AR201" s="369"/>
      <c r="AS201" s="370"/>
      <c r="AT201" s="370"/>
      <c r="AU201" s="370"/>
      <c r="AV201" s="370"/>
      <c r="AW201" s="370"/>
      <c r="AX201" s="370"/>
      <c r="AY201" s="371"/>
      <c r="AZ201" s="16">
        <v>13</v>
      </c>
    </row>
    <row r="202" spans="1:52" ht="14.25" customHeight="1" x14ac:dyDescent="0.15">
      <c r="A202" s="1"/>
      <c r="B202" s="6"/>
      <c r="C202" s="385"/>
      <c r="D202" s="386"/>
      <c r="E202" s="386"/>
      <c r="F202" s="386"/>
      <c r="G202" s="386"/>
      <c r="H202" s="386"/>
      <c r="I202" s="386"/>
      <c r="J202" s="386"/>
      <c r="K202" s="386"/>
      <c r="L202" s="386"/>
      <c r="M202" s="367">
        <f t="shared" si="0"/>
        <v>14</v>
      </c>
      <c r="N202" s="368"/>
      <c r="O202" s="369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  <c r="AA202" s="370"/>
      <c r="AB202" s="370"/>
      <c r="AC202" s="371"/>
      <c r="AD202" s="369"/>
      <c r="AE202" s="370"/>
      <c r="AF202" s="370"/>
      <c r="AG202" s="370"/>
      <c r="AH202" s="370"/>
      <c r="AI202" s="370"/>
      <c r="AJ202" s="370"/>
      <c r="AK202" s="370"/>
      <c r="AL202" s="370"/>
      <c r="AM202" s="370"/>
      <c r="AN202" s="370"/>
      <c r="AO202" s="370"/>
      <c r="AP202" s="370"/>
      <c r="AQ202" s="371"/>
      <c r="AR202" s="369"/>
      <c r="AS202" s="370"/>
      <c r="AT202" s="370"/>
      <c r="AU202" s="370"/>
      <c r="AV202" s="370"/>
      <c r="AW202" s="370"/>
      <c r="AX202" s="370"/>
      <c r="AY202" s="371"/>
      <c r="AZ202" s="16">
        <v>14</v>
      </c>
    </row>
    <row r="203" spans="1:52" ht="14.25" customHeight="1" x14ac:dyDescent="0.15">
      <c r="A203" s="1"/>
      <c r="B203" s="6"/>
      <c r="C203" s="385"/>
      <c r="D203" s="386"/>
      <c r="E203" s="386"/>
      <c r="F203" s="386"/>
      <c r="G203" s="386"/>
      <c r="H203" s="386"/>
      <c r="I203" s="386"/>
      <c r="J203" s="386"/>
      <c r="K203" s="386"/>
      <c r="L203" s="386"/>
      <c r="M203" s="367">
        <f t="shared" si="0"/>
        <v>15</v>
      </c>
      <c r="N203" s="368"/>
      <c r="O203" s="369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  <c r="AA203" s="370"/>
      <c r="AB203" s="370"/>
      <c r="AC203" s="371"/>
      <c r="AD203" s="369"/>
      <c r="AE203" s="370"/>
      <c r="AF203" s="370"/>
      <c r="AG203" s="370"/>
      <c r="AH203" s="370"/>
      <c r="AI203" s="370"/>
      <c r="AJ203" s="370"/>
      <c r="AK203" s="370"/>
      <c r="AL203" s="370"/>
      <c r="AM203" s="370"/>
      <c r="AN203" s="370"/>
      <c r="AO203" s="370"/>
      <c r="AP203" s="370"/>
      <c r="AQ203" s="371"/>
      <c r="AR203" s="369"/>
      <c r="AS203" s="370"/>
      <c r="AT203" s="370"/>
      <c r="AU203" s="370"/>
      <c r="AV203" s="370"/>
      <c r="AW203" s="370"/>
      <c r="AX203" s="370"/>
      <c r="AY203" s="371"/>
      <c r="AZ203" s="16">
        <v>15</v>
      </c>
    </row>
    <row r="204" spans="1:52" ht="14.25" customHeight="1" x14ac:dyDescent="0.15">
      <c r="A204" s="1"/>
      <c r="B204" s="6"/>
      <c r="C204" s="385"/>
      <c r="D204" s="386"/>
      <c r="E204" s="386"/>
      <c r="F204" s="386"/>
      <c r="G204" s="386"/>
      <c r="H204" s="386"/>
      <c r="I204" s="386"/>
      <c r="J204" s="386"/>
      <c r="K204" s="386"/>
      <c r="L204" s="386"/>
      <c r="M204" s="367">
        <f t="shared" si="0"/>
        <v>16</v>
      </c>
      <c r="N204" s="368"/>
      <c r="O204" s="369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  <c r="AA204" s="370"/>
      <c r="AB204" s="370"/>
      <c r="AC204" s="371"/>
      <c r="AD204" s="369"/>
      <c r="AE204" s="370"/>
      <c r="AF204" s="370"/>
      <c r="AG204" s="370"/>
      <c r="AH204" s="370"/>
      <c r="AI204" s="370"/>
      <c r="AJ204" s="370"/>
      <c r="AK204" s="370"/>
      <c r="AL204" s="370"/>
      <c r="AM204" s="370"/>
      <c r="AN204" s="370"/>
      <c r="AO204" s="370"/>
      <c r="AP204" s="370"/>
      <c r="AQ204" s="371"/>
      <c r="AR204" s="369"/>
      <c r="AS204" s="370"/>
      <c r="AT204" s="370"/>
      <c r="AU204" s="370"/>
      <c r="AV204" s="370"/>
      <c r="AW204" s="370"/>
      <c r="AX204" s="370"/>
      <c r="AY204" s="371"/>
      <c r="AZ204" s="16">
        <v>16</v>
      </c>
    </row>
    <row r="205" spans="1:52" ht="14.25" customHeight="1" x14ac:dyDescent="0.15">
      <c r="A205" s="1"/>
      <c r="B205" s="6"/>
      <c r="C205" s="385"/>
      <c r="D205" s="386"/>
      <c r="E205" s="386"/>
      <c r="F205" s="386"/>
      <c r="G205" s="386"/>
      <c r="H205" s="386"/>
      <c r="I205" s="386"/>
      <c r="J205" s="386"/>
      <c r="K205" s="386"/>
      <c r="L205" s="386"/>
      <c r="M205" s="367">
        <f t="shared" si="0"/>
        <v>17</v>
      </c>
      <c r="N205" s="368"/>
      <c r="O205" s="369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  <c r="AA205" s="370"/>
      <c r="AB205" s="370"/>
      <c r="AC205" s="371"/>
      <c r="AD205" s="369"/>
      <c r="AE205" s="370"/>
      <c r="AF205" s="370"/>
      <c r="AG205" s="370"/>
      <c r="AH205" s="370"/>
      <c r="AI205" s="370"/>
      <c r="AJ205" s="370"/>
      <c r="AK205" s="370"/>
      <c r="AL205" s="370"/>
      <c r="AM205" s="370"/>
      <c r="AN205" s="370"/>
      <c r="AO205" s="370"/>
      <c r="AP205" s="370"/>
      <c r="AQ205" s="371"/>
      <c r="AR205" s="369"/>
      <c r="AS205" s="370"/>
      <c r="AT205" s="370"/>
      <c r="AU205" s="370"/>
      <c r="AV205" s="370"/>
      <c r="AW205" s="370"/>
      <c r="AX205" s="370"/>
      <c r="AY205" s="371"/>
      <c r="AZ205" s="16">
        <v>17</v>
      </c>
    </row>
    <row r="206" spans="1:52" ht="14.25" customHeight="1" x14ac:dyDescent="0.15">
      <c r="A206" s="1"/>
      <c r="B206" s="6"/>
      <c r="C206" s="385"/>
      <c r="D206" s="386"/>
      <c r="E206" s="386"/>
      <c r="F206" s="386"/>
      <c r="G206" s="386"/>
      <c r="H206" s="386"/>
      <c r="I206" s="386"/>
      <c r="J206" s="386"/>
      <c r="K206" s="386"/>
      <c r="L206" s="386"/>
      <c r="M206" s="367">
        <f t="shared" si="0"/>
        <v>18</v>
      </c>
      <c r="N206" s="368"/>
      <c r="O206" s="369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  <c r="AA206" s="370"/>
      <c r="AB206" s="370"/>
      <c r="AC206" s="371"/>
      <c r="AD206" s="369"/>
      <c r="AE206" s="370"/>
      <c r="AF206" s="370"/>
      <c r="AG206" s="370"/>
      <c r="AH206" s="370"/>
      <c r="AI206" s="370"/>
      <c r="AJ206" s="370"/>
      <c r="AK206" s="370"/>
      <c r="AL206" s="370"/>
      <c r="AM206" s="370"/>
      <c r="AN206" s="370"/>
      <c r="AO206" s="370"/>
      <c r="AP206" s="370"/>
      <c r="AQ206" s="371"/>
      <c r="AR206" s="369"/>
      <c r="AS206" s="370"/>
      <c r="AT206" s="370"/>
      <c r="AU206" s="370"/>
      <c r="AV206" s="370"/>
      <c r="AW206" s="370"/>
      <c r="AX206" s="370"/>
      <c r="AY206" s="371"/>
      <c r="AZ206" s="16">
        <v>18</v>
      </c>
    </row>
    <row r="207" spans="1:52" ht="14.25" customHeight="1" x14ac:dyDescent="0.15">
      <c r="A207" s="1"/>
      <c r="B207" s="6"/>
      <c r="C207" s="385"/>
      <c r="D207" s="386"/>
      <c r="E207" s="386"/>
      <c r="F207" s="386"/>
      <c r="G207" s="386"/>
      <c r="H207" s="386"/>
      <c r="I207" s="386"/>
      <c r="J207" s="386"/>
      <c r="K207" s="386"/>
      <c r="L207" s="386"/>
      <c r="M207" s="367">
        <f t="shared" si="0"/>
        <v>19</v>
      </c>
      <c r="N207" s="368"/>
      <c r="O207" s="369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  <c r="AA207" s="370"/>
      <c r="AB207" s="370"/>
      <c r="AC207" s="371"/>
      <c r="AD207" s="369"/>
      <c r="AE207" s="370"/>
      <c r="AF207" s="370"/>
      <c r="AG207" s="370"/>
      <c r="AH207" s="370"/>
      <c r="AI207" s="370"/>
      <c r="AJ207" s="370"/>
      <c r="AK207" s="370"/>
      <c r="AL207" s="370"/>
      <c r="AM207" s="370"/>
      <c r="AN207" s="370"/>
      <c r="AO207" s="370"/>
      <c r="AP207" s="370"/>
      <c r="AQ207" s="371"/>
      <c r="AR207" s="369"/>
      <c r="AS207" s="370"/>
      <c r="AT207" s="370"/>
      <c r="AU207" s="370"/>
      <c r="AV207" s="370"/>
      <c r="AW207" s="370"/>
      <c r="AX207" s="370"/>
      <c r="AY207" s="371"/>
      <c r="AZ207" s="16">
        <v>19</v>
      </c>
    </row>
    <row r="208" spans="1:52" ht="14.25" customHeight="1" x14ac:dyDescent="0.15">
      <c r="A208" s="1"/>
      <c r="B208" s="6"/>
      <c r="C208" s="385"/>
      <c r="D208" s="386"/>
      <c r="E208" s="386"/>
      <c r="F208" s="386"/>
      <c r="G208" s="386"/>
      <c r="H208" s="386"/>
      <c r="I208" s="386"/>
      <c r="J208" s="386"/>
      <c r="K208" s="386"/>
      <c r="L208" s="386"/>
      <c r="M208" s="367">
        <f t="shared" si="0"/>
        <v>20</v>
      </c>
      <c r="N208" s="368"/>
      <c r="O208" s="369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  <c r="AA208" s="370"/>
      <c r="AB208" s="370"/>
      <c r="AC208" s="371"/>
      <c r="AD208" s="369"/>
      <c r="AE208" s="370"/>
      <c r="AF208" s="370"/>
      <c r="AG208" s="370"/>
      <c r="AH208" s="370"/>
      <c r="AI208" s="370"/>
      <c r="AJ208" s="370"/>
      <c r="AK208" s="370"/>
      <c r="AL208" s="370"/>
      <c r="AM208" s="370"/>
      <c r="AN208" s="370"/>
      <c r="AO208" s="370"/>
      <c r="AP208" s="370"/>
      <c r="AQ208" s="371"/>
      <c r="AR208" s="369"/>
      <c r="AS208" s="370"/>
      <c r="AT208" s="370"/>
      <c r="AU208" s="370"/>
      <c r="AV208" s="370"/>
      <c r="AW208" s="370"/>
      <c r="AX208" s="370"/>
      <c r="AY208" s="371"/>
      <c r="AZ208" s="16">
        <v>20</v>
      </c>
    </row>
    <row r="209" spans="1:52" ht="14.25" customHeight="1" x14ac:dyDescent="0.15">
      <c r="A209" s="1"/>
      <c r="B209" s="6"/>
      <c r="C209" s="385"/>
      <c r="D209" s="386"/>
      <c r="E209" s="386"/>
      <c r="F209" s="386"/>
      <c r="G209" s="386"/>
      <c r="H209" s="386"/>
      <c r="I209" s="386"/>
      <c r="J209" s="386"/>
      <c r="K209" s="386"/>
      <c r="L209" s="386"/>
      <c r="M209" s="367">
        <f t="shared" si="0"/>
        <v>21</v>
      </c>
      <c r="N209" s="368"/>
      <c r="O209" s="369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  <c r="AA209" s="370"/>
      <c r="AB209" s="370"/>
      <c r="AC209" s="371"/>
      <c r="AD209" s="369"/>
      <c r="AE209" s="370"/>
      <c r="AF209" s="370"/>
      <c r="AG209" s="370"/>
      <c r="AH209" s="370"/>
      <c r="AI209" s="370"/>
      <c r="AJ209" s="370"/>
      <c r="AK209" s="370"/>
      <c r="AL209" s="370"/>
      <c r="AM209" s="370"/>
      <c r="AN209" s="370"/>
      <c r="AO209" s="370"/>
      <c r="AP209" s="370"/>
      <c r="AQ209" s="371"/>
      <c r="AR209" s="369"/>
      <c r="AS209" s="370"/>
      <c r="AT209" s="370"/>
      <c r="AU209" s="370"/>
      <c r="AV209" s="370"/>
      <c r="AW209" s="370"/>
      <c r="AX209" s="370"/>
      <c r="AY209" s="371"/>
      <c r="AZ209" s="16">
        <v>21</v>
      </c>
    </row>
    <row r="210" spans="1:52" ht="14.25" customHeight="1" x14ac:dyDescent="0.15">
      <c r="A210" s="1"/>
      <c r="B210" s="6"/>
      <c r="C210" s="385"/>
      <c r="D210" s="386"/>
      <c r="E210" s="386"/>
      <c r="F210" s="386"/>
      <c r="G210" s="386"/>
      <c r="H210" s="386"/>
      <c r="I210" s="386"/>
      <c r="J210" s="386"/>
      <c r="K210" s="386"/>
      <c r="L210" s="386"/>
      <c r="M210" s="367">
        <f t="shared" si="0"/>
        <v>22</v>
      </c>
      <c r="N210" s="368"/>
      <c r="O210" s="369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  <c r="AA210" s="370"/>
      <c r="AB210" s="370"/>
      <c r="AC210" s="371"/>
      <c r="AD210" s="369"/>
      <c r="AE210" s="370"/>
      <c r="AF210" s="370"/>
      <c r="AG210" s="370"/>
      <c r="AH210" s="370"/>
      <c r="AI210" s="370"/>
      <c r="AJ210" s="370"/>
      <c r="AK210" s="370"/>
      <c r="AL210" s="370"/>
      <c r="AM210" s="370"/>
      <c r="AN210" s="370"/>
      <c r="AO210" s="370"/>
      <c r="AP210" s="370"/>
      <c r="AQ210" s="371"/>
      <c r="AR210" s="369"/>
      <c r="AS210" s="370"/>
      <c r="AT210" s="370"/>
      <c r="AU210" s="370"/>
      <c r="AV210" s="370"/>
      <c r="AW210" s="370"/>
      <c r="AX210" s="370"/>
      <c r="AY210" s="371"/>
      <c r="AZ210" s="16">
        <v>22</v>
      </c>
    </row>
    <row r="211" spans="1:52" ht="14.25" customHeight="1" x14ac:dyDescent="0.15">
      <c r="A211" s="1"/>
      <c r="B211" s="6"/>
      <c r="C211" s="385"/>
      <c r="D211" s="386"/>
      <c r="E211" s="386"/>
      <c r="F211" s="386"/>
      <c r="G211" s="386"/>
      <c r="H211" s="386"/>
      <c r="I211" s="386"/>
      <c r="J211" s="386"/>
      <c r="K211" s="386"/>
      <c r="L211" s="386"/>
      <c r="M211" s="367">
        <f t="shared" si="0"/>
        <v>23</v>
      </c>
      <c r="N211" s="368"/>
      <c r="O211" s="369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  <c r="AA211" s="370"/>
      <c r="AB211" s="370"/>
      <c r="AC211" s="371"/>
      <c r="AD211" s="369"/>
      <c r="AE211" s="370"/>
      <c r="AF211" s="370"/>
      <c r="AG211" s="370"/>
      <c r="AH211" s="370"/>
      <c r="AI211" s="370"/>
      <c r="AJ211" s="370"/>
      <c r="AK211" s="370"/>
      <c r="AL211" s="370"/>
      <c r="AM211" s="370"/>
      <c r="AN211" s="370"/>
      <c r="AO211" s="370"/>
      <c r="AP211" s="370"/>
      <c r="AQ211" s="371"/>
      <c r="AR211" s="369"/>
      <c r="AS211" s="370"/>
      <c r="AT211" s="370"/>
      <c r="AU211" s="370"/>
      <c r="AV211" s="370"/>
      <c r="AW211" s="370"/>
      <c r="AX211" s="370"/>
      <c r="AY211" s="371"/>
      <c r="AZ211" s="16">
        <v>23</v>
      </c>
    </row>
    <row r="212" spans="1:52" ht="14.25" customHeight="1" x14ac:dyDescent="0.15">
      <c r="A212" s="1"/>
      <c r="B212" s="6"/>
      <c r="C212" s="385"/>
      <c r="D212" s="386"/>
      <c r="E212" s="386"/>
      <c r="F212" s="386"/>
      <c r="G212" s="386"/>
      <c r="H212" s="386"/>
      <c r="I212" s="386"/>
      <c r="J212" s="386"/>
      <c r="K212" s="386"/>
      <c r="L212" s="386"/>
      <c r="M212" s="367">
        <f t="shared" si="0"/>
        <v>24</v>
      </c>
      <c r="N212" s="368"/>
      <c r="O212" s="369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  <c r="AA212" s="370"/>
      <c r="AB212" s="370"/>
      <c r="AC212" s="371"/>
      <c r="AD212" s="369"/>
      <c r="AE212" s="370"/>
      <c r="AF212" s="370"/>
      <c r="AG212" s="370"/>
      <c r="AH212" s="370"/>
      <c r="AI212" s="370"/>
      <c r="AJ212" s="370"/>
      <c r="AK212" s="370"/>
      <c r="AL212" s="370"/>
      <c r="AM212" s="370"/>
      <c r="AN212" s="370"/>
      <c r="AO212" s="370"/>
      <c r="AP212" s="370"/>
      <c r="AQ212" s="371"/>
      <c r="AR212" s="369"/>
      <c r="AS212" s="370"/>
      <c r="AT212" s="370"/>
      <c r="AU212" s="370"/>
      <c r="AV212" s="370"/>
      <c r="AW212" s="370"/>
      <c r="AX212" s="370"/>
      <c r="AY212" s="371"/>
      <c r="AZ212" s="16">
        <v>24</v>
      </c>
    </row>
    <row r="213" spans="1:52" ht="14.25" customHeight="1" x14ac:dyDescent="0.15">
      <c r="A213" s="1"/>
      <c r="B213" s="6"/>
      <c r="C213" s="385"/>
      <c r="D213" s="386"/>
      <c r="E213" s="386"/>
      <c r="F213" s="386"/>
      <c r="G213" s="386"/>
      <c r="H213" s="386"/>
      <c r="I213" s="386"/>
      <c r="J213" s="386"/>
      <c r="K213" s="386"/>
      <c r="L213" s="386"/>
      <c r="M213" s="367">
        <f t="shared" si="0"/>
        <v>25</v>
      </c>
      <c r="N213" s="368"/>
      <c r="O213" s="369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  <c r="AA213" s="370"/>
      <c r="AB213" s="370"/>
      <c r="AC213" s="371"/>
      <c r="AD213" s="369"/>
      <c r="AE213" s="370"/>
      <c r="AF213" s="370"/>
      <c r="AG213" s="370"/>
      <c r="AH213" s="370"/>
      <c r="AI213" s="370"/>
      <c r="AJ213" s="370"/>
      <c r="AK213" s="370"/>
      <c r="AL213" s="370"/>
      <c r="AM213" s="370"/>
      <c r="AN213" s="370"/>
      <c r="AO213" s="370"/>
      <c r="AP213" s="370"/>
      <c r="AQ213" s="371"/>
      <c r="AR213" s="369"/>
      <c r="AS213" s="370"/>
      <c r="AT213" s="370"/>
      <c r="AU213" s="370"/>
      <c r="AV213" s="370"/>
      <c r="AW213" s="370"/>
      <c r="AX213" s="370"/>
      <c r="AY213" s="371"/>
      <c r="AZ213" s="16">
        <v>25</v>
      </c>
    </row>
    <row r="214" spans="1:52" ht="14.25" customHeight="1" x14ac:dyDescent="0.15">
      <c r="A214" s="1"/>
      <c r="B214" s="6"/>
      <c r="C214" s="385"/>
      <c r="D214" s="386"/>
      <c r="E214" s="386"/>
      <c r="F214" s="386"/>
      <c r="G214" s="386"/>
      <c r="H214" s="386"/>
      <c r="I214" s="386"/>
      <c r="J214" s="386"/>
      <c r="K214" s="386"/>
      <c r="L214" s="386"/>
      <c r="M214" s="367">
        <f t="shared" si="0"/>
        <v>26</v>
      </c>
      <c r="N214" s="368"/>
      <c r="O214" s="369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  <c r="AA214" s="370"/>
      <c r="AB214" s="370"/>
      <c r="AC214" s="371"/>
      <c r="AD214" s="369"/>
      <c r="AE214" s="370"/>
      <c r="AF214" s="370"/>
      <c r="AG214" s="370"/>
      <c r="AH214" s="370"/>
      <c r="AI214" s="370"/>
      <c r="AJ214" s="370"/>
      <c r="AK214" s="370"/>
      <c r="AL214" s="370"/>
      <c r="AM214" s="370"/>
      <c r="AN214" s="370"/>
      <c r="AO214" s="370"/>
      <c r="AP214" s="370"/>
      <c r="AQ214" s="371"/>
      <c r="AR214" s="369"/>
      <c r="AS214" s="370"/>
      <c r="AT214" s="370"/>
      <c r="AU214" s="370"/>
      <c r="AV214" s="370"/>
      <c r="AW214" s="370"/>
      <c r="AX214" s="370"/>
      <c r="AY214" s="371"/>
      <c r="AZ214" s="16">
        <v>26</v>
      </c>
    </row>
    <row r="215" spans="1:52" ht="14.25" customHeight="1" x14ac:dyDescent="0.15">
      <c r="A215" s="1"/>
      <c r="B215" s="6"/>
      <c r="C215" s="385"/>
      <c r="D215" s="386"/>
      <c r="E215" s="386"/>
      <c r="F215" s="386"/>
      <c r="G215" s="386"/>
      <c r="H215" s="386"/>
      <c r="I215" s="386"/>
      <c r="J215" s="386"/>
      <c r="K215" s="386"/>
      <c r="L215" s="386"/>
      <c r="M215" s="367">
        <f t="shared" si="0"/>
        <v>27</v>
      </c>
      <c r="N215" s="368"/>
      <c r="O215" s="369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  <c r="AA215" s="370"/>
      <c r="AB215" s="370"/>
      <c r="AC215" s="371"/>
      <c r="AD215" s="369"/>
      <c r="AE215" s="370"/>
      <c r="AF215" s="370"/>
      <c r="AG215" s="370"/>
      <c r="AH215" s="370"/>
      <c r="AI215" s="370"/>
      <c r="AJ215" s="370"/>
      <c r="AK215" s="370"/>
      <c r="AL215" s="370"/>
      <c r="AM215" s="370"/>
      <c r="AN215" s="370"/>
      <c r="AO215" s="370"/>
      <c r="AP215" s="370"/>
      <c r="AQ215" s="371"/>
      <c r="AR215" s="369"/>
      <c r="AS215" s="370"/>
      <c r="AT215" s="370"/>
      <c r="AU215" s="370"/>
      <c r="AV215" s="370"/>
      <c r="AW215" s="370"/>
      <c r="AX215" s="370"/>
      <c r="AY215" s="371"/>
      <c r="AZ215" s="16">
        <v>27</v>
      </c>
    </row>
    <row r="216" spans="1:52" ht="14.25" customHeight="1" x14ac:dyDescent="0.15">
      <c r="A216" s="1"/>
      <c r="B216" s="6"/>
      <c r="C216" s="385"/>
      <c r="D216" s="386"/>
      <c r="E216" s="386"/>
      <c r="F216" s="386"/>
      <c r="G216" s="386"/>
      <c r="H216" s="386"/>
      <c r="I216" s="386"/>
      <c r="J216" s="386"/>
      <c r="K216" s="386"/>
      <c r="L216" s="386"/>
      <c r="M216" s="367">
        <f t="shared" si="0"/>
        <v>28</v>
      </c>
      <c r="N216" s="368"/>
      <c r="O216" s="369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  <c r="AA216" s="370"/>
      <c r="AB216" s="370"/>
      <c r="AC216" s="371"/>
      <c r="AD216" s="369"/>
      <c r="AE216" s="370"/>
      <c r="AF216" s="370"/>
      <c r="AG216" s="370"/>
      <c r="AH216" s="370"/>
      <c r="AI216" s="370"/>
      <c r="AJ216" s="370"/>
      <c r="AK216" s="370"/>
      <c r="AL216" s="370"/>
      <c r="AM216" s="370"/>
      <c r="AN216" s="370"/>
      <c r="AO216" s="370"/>
      <c r="AP216" s="370"/>
      <c r="AQ216" s="371"/>
      <c r="AR216" s="369"/>
      <c r="AS216" s="370"/>
      <c r="AT216" s="370"/>
      <c r="AU216" s="370"/>
      <c r="AV216" s="370"/>
      <c r="AW216" s="370"/>
      <c r="AX216" s="370"/>
      <c r="AY216" s="371"/>
      <c r="AZ216" s="16">
        <v>28</v>
      </c>
    </row>
    <row r="217" spans="1:52" ht="14.25" customHeight="1" x14ac:dyDescent="0.15">
      <c r="A217" s="1"/>
      <c r="B217" s="6"/>
      <c r="C217" s="385"/>
      <c r="D217" s="386"/>
      <c r="E217" s="386"/>
      <c r="F217" s="386"/>
      <c r="G217" s="386"/>
      <c r="H217" s="386"/>
      <c r="I217" s="386"/>
      <c r="J217" s="386"/>
      <c r="K217" s="386"/>
      <c r="L217" s="386"/>
      <c r="M217" s="367">
        <f t="shared" si="0"/>
        <v>29</v>
      </c>
      <c r="N217" s="368"/>
      <c r="O217" s="369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  <c r="AA217" s="370"/>
      <c r="AB217" s="370"/>
      <c r="AC217" s="371"/>
      <c r="AD217" s="369"/>
      <c r="AE217" s="370"/>
      <c r="AF217" s="370"/>
      <c r="AG217" s="370"/>
      <c r="AH217" s="370"/>
      <c r="AI217" s="370"/>
      <c r="AJ217" s="370"/>
      <c r="AK217" s="370"/>
      <c r="AL217" s="370"/>
      <c r="AM217" s="370"/>
      <c r="AN217" s="370"/>
      <c r="AO217" s="370"/>
      <c r="AP217" s="370"/>
      <c r="AQ217" s="371"/>
      <c r="AR217" s="369"/>
      <c r="AS217" s="370"/>
      <c r="AT217" s="370"/>
      <c r="AU217" s="370"/>
      <c r="AV217" s="370"/>
      <c r="AW217" s="370"/>
      <c r="AX217" s="370"/>
      <c r="AY217" s="371"/>
      <c r="AZ217" s="16">
        <v>29</v>
      </c>
    </row>
    <row r="218" spans="1:52" ht="14.25" customHeight="1" x14ac:dyDescent="0.15">
      <c r="A218" s="1"/>
      <c r="B218" s="7"/>
      <c r="C218" s="387"/>
      <c r="D218" s="388"/>
      <c r="E218" s="388"/>
      <c r="F218" s="388"/>
      <c r="G218" s="388"/>
      <c r="H218" s="388"/>
      <c r="I218" s="388"/>
      <c r="J218" s="388"/>
      <c r="K218" s="388"/>
      <c r="L218" s="388"/>
      <c r="M218" s="367">
        <f t="shared" si="0"/>
        <v>30</v>
      </c>
      <c r="N218" s="368"/>
      <c r="O218" s="369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  <c r="AA218" s="370"/>
      <c r="AB218" s="370"/>
      <c r="AC218" s="371"/>
      <c r="AD218" s="369"/>
      <c r="AE218" s="370"/>
      <c r="AF218" s="370"/>
      <c r="AG218" s="370"/>
      <c r="AH218" s="370"/>
      <c r="AI218" s="370"/>
      <c r="AJ218" s="370"/>
      <c r="AK218" s="370"/>
      <c r="AL218" s="370"/>
      <c r="AM218" s="370"/>
      <c r="AN218" s="370"/>
      <c r="AO218" s="370"/>
      <c r="AP218" s="370"/>
      <c r="AQ218" s="371"/>
      <c r="AR218" s="369"/>
      <c r="AS218" s="370"/>
      <c r="AT218" s="370"/>
      <c r="AU218" s="370"/>
      <c r="AV218" s="370"/>
      <c r="AW218" s="370"/>
      <c r="AX218" s="370"/>
      <c r="AY218" s="371"/>
      <c r="AZ218" s="16">
        <v>30</v>
      </c>
    </row>
    <row r="219" spans="1:52" x14ac:dyDescent="0.15">
      <c r="A219" s="1"/>
      <c r="B219" s="2" t="s">
        <v>237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2" x14ac:dyDescent="0.15">
      <c r="A220" s="1"/>
      <c r="B220" s="112" t="s">
        <v>238</v>
      </c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4"/>
      <c r="O220" s="441"/>
      <c r="P220" s="442"/>
      <c r="Q220" s="442"/>
      <c r="R220" s="442"/>
      <c r="S220" s="442"/>
      <c r="T220" s="442"/>
      <c r="U220" s="442"/>
      <c r="V220" s="442"/>
      <c r="W220" s="442"/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3"/>
    </row>
    <row r="221" spans="1:52" x14ac:dyDescent="0.15">
      <c r="A221" s="1"/>
      <c r="B221" s="112" t="s">
        <v>239</v>
      </c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4"/>
      <c r="O221" s="441"/>
      <c r="P221" s="442"/>
      <c r="Q221" s="442"/>
      <c r="R221" s="442"/>
      <c r="S221" s="442"/>
      <c r="T221" s="442"/>
      <c r="U221" s="442"/>
      <c r="V221" s="442"/>
      <c r="W221" s="442"/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3"/>
    </row>
  </sheetData>
  <mergeCells count="694">
    <mergeCell ref="AB188:AC188"/>
    <mergeCell ref="AD188:AG188"/>
    <mergeCell ref="AH188:AQ188"/>
    <mergeCell ref="O181:Z181"/>
    <mergeCell ref="B170:N170"/>
    <mergeCell ref="O170:AY170"/>
    <mergeCell ref="B172:N172"/>
    <mergeCell ref="O172:AY172"/>
    <mergeCell ref="B220:N220"/>
    <mergeCell ref="O220:AY220"/>
    <mergeCell ref="B179:N179"/>
    <mergeCell ref="AI181:AT181"/>
    <mergeCell ref="AU181:AY181"/>
    <mergeCell ref="O182:AD182"/>
    <mergeCell ref="AF182:AY182"/>
    <mergeCell ref="O180:Z180"/>
    <mergeCell ref="AI180:AY180"/>
    <mergeCell ref="AA180:AH180"/>
    <mergeCell ref="AD209:AQ209"/>
    <mergeCell ref="O202:AC202"/>
    <mergeCell ref="O203:AC203"/>
    <mergeCell ref="O204:AC204"/>
    <mergeCell ref="O205:AC205"/>
    <mergeCell ref="AR198:AY198"/>
    <mergeCell ref="AL185:AY185"/>
    <mergeCell ref="B180:N180"/>
    <mergeCell ref="AB185:AK185"/>
    <mergeCell ref="B186:N186"/>
    <mergeCell ref="O186:AY186"/>
    <mergeCell ref="B166:N166"/>
    <mergeCell ref="O187:AA187"/>
    <mergeCell ref="O176:AY176"/>
    <mergeCell ref="O179:AY179"/>
    <mergeCell ref="B183:N183"/>
    <mergeCell ref="O183:AY183"/>
    <mergeCell ref="C181:N181"/>
    <mergeCell ref="C182:N182"/>
    <mergeCell ref="B221:N221"/>
    <mergeCell ref="O221:AY221"/>
    <mergeCell ref="O4:U4"/>
    <mergeCell ref="F5:N5"/>
    <mergeCell ref="O5:U5"/>
    <mergeCell ref="F6:N6"/>
    <mergeCell ref="O6:U6"/>
    <mergeCell ref="B154:N154"/>
    <mergeCell ref="B155:N155"/>
    <mergeCell ref="B156:N156"/>
    <mergeCell ref="B157:N157"/>
    <mergeCell ref="B160:N160"/>
    <mergeCell ref="B161:N161"/>
    <mergeCell ref="B162:N162"/>
    <mergeCell ref="B163:N163"/>
    <mergeCell ref="O189:AC189"/>
    <mergeCell ref="O190:AC190"/>
    <mergeCell ref="O199:AC199"/>
    <mergeCell ref="B175:N175"/>
    <mergeCell ref="C140:U140"/>
    <mergeCell ref="V140:AY140"/>
    <mergeCell ref="C141:U141"/>
    <mergeCell ref="C185:N185"/>
    <mergeCell ref="O185:AA185"/>
    <mergeCell ref="O160:AY160"/>
    <mergeCell ref="O24:W24"/>
    <mergeCell ref="V131:AY131"/>
    <mergeCell ref="C138:U138"/>
    <mergeCell ref="C139:U139"/>
    <mergeCell ref="V139:AY139"/>
    <mergeCell ref="O33:AY33"/>
    <mergeCell ref="V119:Y119"/>
    <mergeCell ref="Z119:AD119"/>
    <mergeCell ref="AE119:AH119"/>
    <mergeCell ref="AI119:AP119"/>
    <mergeCell ref="AQ119:AY119"/>
    <mergeCell ref="C106:U106"/>
    <mergeCell ref="V105:AY105"/>
    <mergeCell ref="B105:U105"/>
    <mergeCell ref="L120:S120"/>
    <mergeCell ref="Z120:AD120"/>
    <mergeCell ref="V115:AY115"/>
    <mergeCell ref="B40:AY40"/>
    <mergeCell ref="B96:C96"/>
    <mergeCell ref="V129:AY129"/>
    <mergeCell ref="B13:N13"/>
    <mergeCell ref="O13:AY13"/>
    <mergeCell ref="O154:AY154"/>
    <mergeCell ref="B112:C112"/>
    <mergeCell ref="D112:K112"/>
    <mergeCell ref="L112:S112"/>
    <mergeCell ref="T112:U112"/>
    <mergeCell ref="V112:Y112"/>
    <mergeCell ref="AQ112:AY112"/>
    <mergeCell ref="Z112:AD112"/>
    <mergeCell ref="AE112:AH112"/>
    <mergeCell ref="AI112:AP112"/>
    <mergeCell ref="C107:U107"/>
    <mergeCell ref="C101:U101"/>
    <mergeCell ref="V101:AY101"/>
    <mergeCell ref="B97:U97"/>
    <mergeCell ref="V97:AY97"/>
    <mergeCell ref="C98:U98"/>
    <mergeCell ref="T104:U104"/>
    <mergeCell ref="T120:U120"/>
    <mergeCell ref="V120:Y120"/>
    <mergeCell ref="B113:U113"/>
    <mergeCell ref="V113:AY113"/>
    <mergeCell ref="C114:U114"/>
    <mergeCell ref="C123:U123"/>
    <mergeCell ref="V123:AY123"/>
    <mergeCell ref="V116:AY116"/>
    <mergeCell ref="C117:U117"/>
    <mergeCell ref="V117:AY117"/>
    <mergeCell ref="C115:U115"/>
    <mergeCell ref="AE135:AH135"/>
    <mergeCell ref="AI135:AP135"/>
    <mergeCell ref="C147:U147"/>
    <mergeCell ref="V147:AY147"/>
    <mergeCell ref="V135:Y135"/>
    <mergeCell ref="AI144:AP144"/>
    <mergeCell ref="V143:Y143"/>
    <mergeCell ref="D144:K144"/>
    <mergeCell ref="B145:U145"/>
    <mergeCell ref="B135:C135"/>
    <mergeCell ref="D135:K135"/>
    <mergeCell ref="L135:S135"/>
    <mergeCell ref="T135:U135"/>
    <mergeCell ref="AJ146:AQ146"/>
    <mergeCell ref="O74:Q74"/>
    <mergeCell ref="R74:U74"/>
    <mergeCell ref="V74:Z74"/>
    <mergeCell ref="T79:U79"/>
    <mergeCell ref="V80:Y80"/>
    <mergeCell ref="T87:U87"/>
    <mergeCell ref="V82:AF82"/>
    <mergeCell ref="AJ82:AQ82"/>
    <mergeCell ref="L80:S80"/>
    <mergeCell ref="T80:U80"/>
    <mergeCell ref="C82:U82"/>
    <mergeCell ref="B81:U81"/>
    <mergeCell ref="B87:C87"/>
    <mergeCell ref="D87:K87"/>
    <mergeCell ref="L87:S87"/>
    <mergeCell ref="G77:AY77"/>
    <mergeCell ref="B74:D74"/>
    <mergeCell ref="E74:H74"/>
    <mergeCell ref="E75:H75"/>
    <mergeCell ref="I75:N75"/>
    <mergeCell ref="O75:Q75"/>
    <mergeCell ref="R75:U75"/>
    <mergeCell ref="V75:Z75"/>
    <mergeCell ref="D79:K79"/>
    <mergeCell ref="L79:S79"/>
    <mergeCell ref="V79:Y79"/>
    <mergeCell ref="Z79:AD79"/>
    <mergeCell ref="AE79:AH79"/>
    <mergeCell ref="AI79:AP79"/>
    <mergeCell ref="AQ79:AY79"/>
    <mergeCell ref="V88:Y88"/>
    <mergeCell ref="Z88:AD88"/>
    <mergeCell ref="AE88:AH88"/>
    <mergeCell ref="AI88:AP88"/>
    <mergeCell ref="AQ88:AY88"/>
    <mergeCell ref="Z80:AD80"/>
    <mergeCell ref="AE80:AH80"/>
    <mergeCell ref="AE87:AH87"/>
    <mergeCell ref="C91:U91"/>
    <mergeCell ref="V91:AY91"/>
    <mergeCell ref="B88:C88"/>
    <mergeCell ref="B80:C80"/>
    <mergeCell ref="C92:U92"/>
    <mergeCell ref="D80:K80"/>
    <mergeCell ref="D88:K88"/>
    <mergeCell ref="AQ87:AY87"/>
    <mergeCell ref="AI87:AP87"/>
    <mergeCell ref="V81:AY81"/>
    <mergeCell ref="AI80:AP80"/>
    <mergeCell ref="AQ80:AY80"/>
    <mergeCell ref="C83:U83"/>
    <mergeCell ref="V83:AY83"/>
    <mergeCell ref="C84:U84"/>
    <mergeCell ref="V84:AY84"/>
    <mergeCell ref="C85:U85"/>
    <mergeCell ref="V85:AY85"/>
    <mergeCell ref="AU58:AY58"/>
    <mergeCell ref="G78:U78"/>
    <mergeCell ref="W78:AX78"/>
    <mergeCell ref="B77:F77"/>
    <mergeCell ref="B75:D75"/>
    <mergeCell ref="B79:C79"/>
    <mergeCell ref="AO70:AT70"/>
    <mergeCell ref="AU70:AY70"/>
    <mergeCell ref="V69:Z69"/>
    <mergeCell ref="B66:D67"/>
    <mergeCell ref="E66:H67"/>
    <mergeCell ref="I66:N67"/>
    <mergeCell ref="O66:Q67"/>
    <mergeCell ref="R66:U67"/>
    <mergeCell ref="V66:Z67"/>
    <mergeCell ref="AA66:AE67"/>
    <mergeCell ref="B68:D73"/>
    <mergeCell ref="AU73:AY73"/>
    <mergeCell ref="AO71:AT71"/>
    <mergeCell ref="AU71:AY71"/>
    <mergeCell ref="V72:Z72"/>
    <mergeCell ref="M68:N73"/>
    <mergeCell ref="AF68:AJ68"/>
    <mergeCell ref="I74:N74"/>
    <mergeCell ref="V62:Z62"/>
    <mergeCell ref="AA62:AE62"/>
    <mergeCell ref="R61:U61"/>
    <mergeCell ref="V61:Z61"/>
    <mergeCell ref="AA61:AE61"/>
    <mergeCell ref="V57:Z57"/>
    <mergeCell ref="R58:U58"/>
    <mergeCell ref="V58:Z58"/>
    <mergeCell ref="AA58:AE58"/>
    <mergeCell ref="B57:D61"/>
    <mergeCell ref="E57:H61"/>
    <mergeCell ref="I57:J61"/>
    <mergeCell ref="K57:L61"/>
    <mergeCell ref="M57:N61"/>
    <mergeCell ref="B55:D56"/>
    <mergeCell ref="E55:H56"/>
    <mergeCell ref="I55:N56"/>
    <mergeCell ref="P49:AY49"/>
    <mergeCell ref="AO55:AT56"/>
    <mergeCell ref="AU55:AY56"/>
    <mergeCell ref="V60:Z60"/>
    <mergeCell ref="AU61:AY61"/>
    <mergeCell ref="AF61:AJ61"/>
    <mergeCell ref="AK61:AN61"/>
    <mergeCell ref="AO61:AT61"/>
    <mergeCell ref="AF60:AJ60"/>
    <mergeCell ref="AK60:AN60"/>
    <mergeCell ref="P50:AY50"/>
    <mergeCell ref="R57:U57"/>
    <mergeCell ref="O55:Q56"/>
    <mergeCell ref="AF58:AJ58"/>
    <mergeCell ref="AK58:AN58"/>
    <mergeCell ref="AO58:AT58"/>
    <mergeCell ref="A1:AY2"/>
    <mergeCell ref="B23:N23"/>
    <mergeCell ref="B24:N24"/>
    <mergeCell ref="B36:K36"/>
    <mergeCell ref="B37:K37"/>
    <mergeCell ref="B30:N30"/>
    <mergeCell ref="B31:N31"/>
    <mergeCell ref="B32:N32"/>
    <mergeCell ref="O30:AC30"/>
    <mergeCell ref="L36:AB36"/>
    <mergeCell ref="L37:AB37"/>
    <mergeCell ref="AC36:AY36"/>
    <mergeCell ref="AC37:AY37"/>
    <mergeCell ref="B18:N18"/>
    <mergeCell ref="B20:N20"/>
    <mergeCell ref="B16:N16"/>
    <mergeCell ref="AB10:AD10"/>
    <mergeCell ref="AB9:AD9"/>
    <mergeCell ref="O19:AY19"/>
    <mergeCell ref="AB4:AD4"/>
    <mergeCell ref="AB5:AD5"/>
    <mergeCell ref="AB6:AD6"/>
    <mergeCell ref="AB7:AD7"/>
    <mergeCell ref="AB8:AD8"/>
    <mergeCell ref="AO66:AT67"/>
    <mergeCell ref="AU66:AY67"/>
    <mergeCell ref="AF59:AJ59"/>
    <mergeCell ref="AA57:AE57"/>
    <mergeCell ref="AF57:AJ57"/>
    <mergeCell ref="AK57:AN57"/>
    <mergeCell ref="AK59:AN59"/>
    <mergeCell ref="AO59:AT59"/>
    <mergeCell ref="AU60:AY60"/>
    <mergeCell ref="AA59:AE59"/>
    <mergeCell ref="AU59:AY59"/>
    <mergeCell ref="C63:AY63"/>
    <mergeCell ref="C64:AY64"/>
    <mergeCell ref="AO60:AT60"/>
    <mergeCell ref="B62:D62"/>
    <mergeCell ref="E62:H62"/>
    <mergeCell ref="I62:N62"/>
    <mergeCell ref="O62:Q62"/>
    <mergeCell ref="AO57:AT57"/>
    <mergeCell ref="AU57:AY57"/>
    <mergeCell ref="R60:U60"/>
    <mergeCell ref="O57:Q61"/>
    <mergeCell ref="AA60:AE60"/>
    <mergeCell ref="R62:U62"/>
    <mergeCell ref="B49:O49"/>
    <mergeCell ref="AF55:AJ56"/>
    <mergeCell ref="AK55:AN56"/>
    <mergeCell ref="AE4:AY4"/>
    <mergeCell ref="AE5:AY5"/>
    <mergeCell ref="AE6:AY6"/>
    <mergeCell ref="AE7:AY7"/>
    <mergeCell ref="AE8:AY8"/>
    <mergeCell ref="W5:AA5"/>
    <mergeCell ref="W6:AA6"/>
    <mergeCell ref="W7:AA7"/>
    <mergeCell ref="W4:AA4"/>
    <mergeCell ref="P42:AY42"/>
    <mergeCell ref="L38:AB38"/>
    <mergeCell ref="B53:E53"/>
    <mergeCell ref="O31:AY31"/>
    <mergeCell ref="B17:N17"/>
    <mergeCell ref="O26:AF26"/>
    <mergeCell ref="AD30:AY30"/>
    <mergeCell ref="O32:AY32"/>
    <mergeCell ref="B5:E5"/>
    <mergeCell ref="B6:E6"/>
    <mergeCell ref="A8:K8"/>
    <mergeCell ref="B9:E9"/>
    <mergeCell ref="AF66:AJ67"/>
    <mergeCell ref="AK66:AN67"/>
    <mergeCell ref="AA75:AE75"/>
    <mergeCell ref="AF69:AJ69"/>
    <mergeCell ref="AK69:AN69"/>
    <mergeCell ref="AA70:AE70"/>
    <mergeCell ref="AF70:AJ70"/>
    <mergeCell ref="AK70:AN70"/>
    <mergeCell ref="AK71:AN71"/>
    <mergeCell ref="AK68:AN68"/>
    <mergeCell ref="AA68:AE68"/>
    <mergeCell ref="AA74:AE74"/>
    <mergeCell ref="F9:V9"/>
    <mergeCell ref="AE9:AY9"/>
    <mergeCell ref="F10:V10"/>
    <mergeCell ref="B10:E10"/>
    <mergeCell ref="AE10:AY10"/>
    <mergeCell ref="B26:N26"/>
    <mergeCell ref="H15:AY15"/>
    <mergeCell ref="O17:AY17"/>
    <mergeCell ref="O18:AY18"/>
    <mergeCell ref="O23:W23"/>
    <mergeCell ref="O25:X25"/>
    <mergeCell ref="Y25:AY25"/>
    <mergeCell ref="O20:AY20"/>
    <mergeCell ref="X23:AY23"/>
    <mergeCell ref="X24:AY24"/>
    <mergeCell ref="X9:AA9"/>
    <mergeCell ref="X10:AA10"/>
    <mergeCell ref="B12:N12"/>
    <mergeCell ref="O12:AY12"/>
    <mergeCell ref="V125:AY125"/>
    <mergeCell ref="AJ122:AQ122"/>
    <mergeCell ref="T111:U111"/>
    <mergeCell ref="V111:Y111"/>
    <mergeCell ref="Z111:AD111"/>
    <mergeCell ref="AE111:AH111"/>
    <mergeCell ref="AI111:AP111"/>
    <mergeCell ref="C108:U108"/>
    <mergeCell ref="V108:AY108"/>
    <mergeCell ref="C109:U109"/>
    <mergeCell ref="V109:AY109"/>
    <mergeCell ref="C124:U124"/>
    <mergeCell ref="C125:U125"/>
    <mergeCell ref="L111:S111"/>
    <mergeCell ref="B121:U121"/>
    <mergeCell ref="V121:AY121"/>
    <mergeCell ref="C122:U122"/>
    <mergeCell ref="B119:C119"/>
    <mergeCell ref="D119:K119"/>
    <mergeCell ref="L119:S119"/>
    <mergeCell ref="T119:U119"/>
    <mergeCell ref="B120:C120"/>
    <mergeCell ref="D120:K120"/>
    <mergeCell ref="C116:U116"/>
    <mergeCell ref="V136:Y136"/>
    <mergeCell ref="AD205:AQ205"/>
    <mergeCell ref="AD206:AQ206"/>
    <mergeCell ref="L144:S144"/>
    <mergeCell ref="T144:U144"/>
    <mergeCell ref="V144:Y144"/>
    <mergeCell ref="Z144:AD144"/>
    <mergeCell ref="AE144:AH144"/>
    <mergeCell ref="AR203:AY203"/>
    <mergeCell ref="O194:AC194"/>
    <mergeCell ref="AD191:AQ191"/>
    <mergeCell ref="AD192:AQ192"/>
    <mergeCell ref="AD193:AQ193"/>
    <mergeCell ref="AD194:AQ194"/>
    <mergeCell ref="AD195:AQ195"/>
    <mergeCell ref="AD196:AQ196"/>
    <mergeCell ref="AD197:AQ197"/>
    <mergeCell ref="AD198:AQ198"/>
    <mergeCell ref="O156:AY156"/>
    <mergeCell ref="O157:AY157"/>
    <mergeCell ref="B188:L188"/>
    <mergeCell ref="M188:N188"/>
    <mergeCell ref="C184:N184"/>
    <mergeCell ref="O184:AY184"/>
    <mergeCell ref="V71:Z71"/>
    <mergeCell ref="V73:Z73"/>
    <mergeCell ref="Z136:AD136"/>
    <mergeCell ref="AE136:AH136"/>
    <mergeCell ref="AI136:AP136"/>
    <mergeCell ref="AQ136:AY136"/>
    <mergeCell ref="Z143:AD143"/>
    <mergeCell ref="AE143:AH143"/>
    <mergeCell ref="AI143:AP143"/>
    <mergeCell ref="AQ143:AY143"/>
    <mergeCell ref="AF73:AJ73"/>
    <mergeCell ref="AK73:AN73"/>
    <mergeCell ref="AK72:AN72"/>
    <mergeCell ref="AO73:AT73"/>
    <mergeCell ref="AA72:AE72"/>
    <mergeCell ref="AF72:AJ72"/>
    <mergeCell ref="AA71:AE71"/>
    <mergeCell ref="AE128:AH128"/>
    <mergeCell ref="V130:AF130"/>
    <mergeCell ref="AJ130:AQ130"/>
    <mergeCell ref="V127:Y127"/>
    <mergeCell ref="Z127:AD127"/>
    <mergeCell ref="AE127:AH127"/>
    <mergeCell ref="V132:AY132"/>
    <mergeCell ref="AR199:AY199"/>
    <mergeCell ref="O198:AC198"/>
    <mergeCell ref="O191:AC191"/>
    <mergeCell ref="O192:AC192"/>
    <mergeCell ref="O193:AC193"/>
    <mergeCell ref="O201:AC201"/>
    <mergeCell ref="R68:U70"/>
    <mergeCell ref="V68:Z68"/>
    <mergeCell ref="E68:H73"/>
    <mergeCell ref="AA69:AE69"/>
    <mergeCell ref="AO69:AT69"/>
    <mergeCell ref="AU69:AY69"/>
    <mergeCell ref="AQ103:AY103"/>
    <mergeCell ref="AR188:AU188"/>
    <mergeCell ref="AV188:AY188"/>
    <mergeCell ref="V98:AF98"/>
    <mergeCell ref="AJ98:AQ98"/>
    <mergeCell ref="V106:AF106"/>
    <mergeCell ref="AJ106:AQ106"/>
    <mergeCell ref="V114:AF114"/>
    <mergeCell ref="AJ114:AQ114"/>
    <mergeCell ref="AI127:AP127"/>
    <mergeCell ref="AQ127:AY127"/>
    <mergeCell ref="V124:AY124"/>
    <mergeCell ref="O162:AY162"/>
    <mergeCell ref="O163:AY163"/>
    <mergeCell ref="V141:AY141"/>
    <mergeCell ref="V128:Y128"/>
    <mergeCell ref="Z128:AD128"/>
    <mergeCell ref="AU68:AY68"/>
    <mergeCell ref="V70:Z70"/>
    <mergeCell ref="AO72:AT72"/>
    <mergeCell ref="AU72:AY72"/>
    <mergeCell ref="AO68:AT68"/>
    <mergeCell ref="AF71:AJ71"/>
    <mergeCell ref="AI128:AP128"/>
    <mergeCell ref="AE95:AH95"/>
    <mergeCell ref="AI95:AP95"/>
    <mergeCell ref="AQ95:AY95"/>
    <mergeCell ref="V87:Y87"/>
    <mergeCell ref="Z87:AD87"/>
    <mergeCell ref="AA73:AE73"/>
    <mergeCell ref="AE103:AH103"/>
    <mergeCell ref="AI103:AP103"/>
    <mergeCell ref="AE120:AH120"/>
    <mergeCell ref="AI120:AP120"/>
    <mergeCell ref="AQ120:AY120"/>
    <mergeCell ref="V122:AF122"/>
    <mergeCell ref="C133:U133"/>
    <mergeCell ref="V133:AY133"/>
    <mergeCell ref="B137:U137"/>
    <mergeCell ref="V137:AY137"/>
    <mergeCell ref="Z135:AD135"/>
    <mergeCell ref="C148:U148"/>
    <mergeCell ref="V148:AY148"/>
    <mergeCell ref="V149:AY149"/>
    <mergeCell ref="B136:C136"/>
    <mergeCell ref="AQ135:AY135"/>
    <mergeCell ref="V138:AF138"/>
    <mergeCell ref="AJ138:AQ138"/>
    <mergeCell ref="V145:AY145"/>
    <mergeCell ref="B143:C143"/>
    <mergeCell ref="D143:K143"/>
    <mergeCell ref="L143:S143"/>
    <mergeCell ref="T143:U143"/>
    <mergeCell ref="C149:U149"/>
    <mergeCell ref="C146:U146"/>
    <mergeCell ref="B144:C144"/>
    <mergeCell ref="AQ144:AY144"/>
    <mergeCell ref="D136:K136"/>
    <mergeCell ref="L136:S136"/>
    <mergeCell ref="T136:U136"/>
    <mergeCell ref="D128:K128"/>
    <mergeCell ref="L128:S128"/>
    <mergeCell ref="T128:U128"/>
    <mergeCell ref="B129:U129"/>
    <mergeCell ref="L127:S127"/>
    <mergeCell ref="T127:U127"/>
    <mergeCell ref="C130:U130"/>
    <mergeCell ref="C131:U131"/>
    <mergeCell ref="C132:U132"/>
    <mergeCell ref="B127:C127"/>
    <mergeCell ref="D127:K127"/>
    <mergeCell ref="B128:C128"/>
    <mergeCell ref="AE104:AH104"/>
    <mergeCell ref="AI104:AP104"/>
    <mergeCell ref="B111:C111"/>
    <mergeCell ref="D111:K111"/>
    <mergeCell ref="D103:K103"/>
    <mergeCell ref="L103:S103"/>
    <mergeCell ref="T103:U103"/>
    <mergeCell ref="V103:Y103"/>
    <mergeCell ref="Z103:AD103"/>
    <mergeCell ref="V107:AY107"/>
    <mergeCell ref="V104:Y104"/>
    <mergeCell ref="Z104:AD104"/>
    <mergeCell ref="V99:AY99"/>
    <mergeCell ref="V92:AY92"/>
    <mergeCell ref="C93:U93"/>
    <mergeCell ref="V93:AY93"/>
    <mergeCell ref="L96:S96"/>
    <mergeCell ref="T96:U96"/>
    <mergeCell ref="V96:Y96"/>
    <mergeCell ref="Z96:AD96"/>
    <mergeCell ref="AE96:AH96"/>
    <mergeCell ref="D96:K96"/>
    <mergeCell ref="B95:C95"/>
    <mergeCell ref="D95:K95"/>
    <mergeCell ref="L95:S95"/>
    <mergeCell ref="T95:U95"/>
    <mergeCell ref="V95:Y95"/>
    <mergeCell ref="Z95:AD95"/>
    <mergeCell ref="O217:AC217"/>
    <mergeCell ref="AR204:AY204"/>
    <mergeCell ref="AR205:AY205"/>
    <mergeCell ref="AR206:AY206"/>
    <mergeCell ref="AR189:AY189"/>
    <mergeCell ref="AR190:AY190"/>
    <mergeCell ref="AR191:AY191"/>
    <mergeCell ref="AR192:AY192"/>
    <mergeCell ref="AR193:AY193"/>
    <mergeCell ref="AR194:AY194"/>
    <mergeCell ref="AR195:AY195"/>
    <mergeCell ref="AR196:AY196"/>
    <mergeCell ref="AR197:AY197"/>
    <mergeCell ref="AD189:AQ189"/>
    <mergeCell ref="AD190:AQ190"/>
    <mergeCell ref="O195:AC195"/>
    <mergeCell ref="O196:AC196"/>
    <mergeCell ref="AD203:AQ203"/>
    <mergeCell ref="AD199:AQ199"/>
    <mergeCell ref="AD200:AQ200"/>
    <mergeCell ref="AD208:AQ208"/>
    <mergeCell ref="AR208:AY208"/>
    <mergeCell ref="AR207:AY207"/>
    <mergeCell ref="O200:AC200"/>
    <mergeCell ref="M198:N198"/>
    <mergeCell ref="V146:AF146"/>
    <mergeCell ref="M201:N201"/>
    <mergeCell ref="M202:N202"/>
    <mergeCell ref="AR201:AY201"/>
    <mergeCell ref="M197:N197"/>
    <mergeCell ref="C187:N187"/>
    <mergeCell ref="O166:AY166"/>
    <mergeCell ref="B167:N167"/>
    <mergeCell ref="O167:AY167"/>
    <mergeCell ref="B168:N168"/>
    <mergeCell ref="B173:N173"/>
    <mergeCell ref="O173:AY173"/>
    <mergeCell ref="B174:N174"/>
    <mergeCell ref="O174:AY174"/>
    <mergeCell ref="O175:AY175"/>
    <mergeCell ref="O155:AY155"/>
    <mergeCell ref="AR200:AY200"/>
    <mergeCell ref="AB187:AK187"/>
    <mergeCell ref="AL187:AY187"/>
    <mergeCell ref="O188:R188"/>
    <mergeCell ref="S188:AA188"/>
    <mergeCell ref="AA181:AH181"/>
    <mergeCell ref="B176:N176"/>
    <mergeCell ref="M203:N203"/>
    <mergeCell ref="O169:AY169"/>
    <mergeCell ref="O161:AY161"/>
    <mergeCell ref="C189:L218"/>
    <mergeCell ref="M189:N189"/>
    <mergeCell ref="AD204:AQ204"/>
    <mergeCell ref="AD207:AQ207"/>
    <mergeCell ref="O218:AC218"/>
    <mergeCell ref="AR210:AY210"/>
    <mergeCell ref="AR211:AY211"/>
    <mergeCell ref="O212:AC212"/>
    <mergeCell ref="AR212:AY212"/>
    <mergeCell ref="AR213:AY213"/>
    <mergeCell ref="AD215:AQ215"/>
    <mergeCell ref="AD216:AQ216"/>
    <mergeCell ref="AD217:AQ217"/>
    <mergeCell ref="AD212:AQ212"/>
    <mergeCell ref="AD213:AQ213"/>
    <mergeCell ref="AD214:AQ214"/>
    <mergeCell ref="AR214:AY214"/>
    <mergeCell ref="AR216:AY216"/>
    <mergeCell ref="AD211:AQ211"/>
    <mergeCell ref="AD218:AQ218"/>
    <mergeCell ref="AR209:AY209"/>
    <mergeCell ref="AR215:AY215"/>
    <mergeCell ref="AR217:AY217"/>
    <mergeCell ref="AR218:AY218"/>
    <mergeCell ref="O215:AC215"/>
    <mergeCell ref="O213:AC213"/>
    <mergeCell ref="O216:AC216"/>
    <mergeCell ref="M216:N216"/>
    <mergeCell ref="AD201:AQ201"/>
    <mergeCell ref="AD202:AQ202"/>
    <mergeCell ref="M218:N218"/>
    <mergeCell ref="O209:AC209"/>
    <mergeCell ref="O210:AC210"/>
    <mergeCell ref="O211:AC211"/>
    <mergeCell ref="O214:AC214"/>
    <mergeCell ref="M215:N215"/>
    <mergeCell ref="M206:N206"/>
    <mergeCell ref="M207:N207"/>
    <mergeCell ref="M208:N208"/>
    <mergeCell ref="O206:AC206"/>
    <mergeCell ref="O207:AC207"/>
    <mergeCell ref="O208:AC208"/>
    <mergeCell ref="AD210:AQ210"/>
    <mergeCell ref="M204:N204"/>
    <mergeCell ref="AR202:AY202"/>
    <mergeCell ref="I68:J73"/>
    <mergeCell ref="K68:L73"/>
    <mergeCell ref="O197:AC197"/>
    <mergeCell ref="B89:U89"/>
    <mergeCell ref="V89:AY89"/>
    <mergeCell ref="C90:U90"/>
    <mergeCell ref="V90:AF90"/>
    <mergeCell ref="AJ90:AQ90"/>
    <mergeCell ref="L88:S88"/>
    <mergeCell ref="T88:U88"/>
    <mergeCell ref="AI96:AP96"/>
    <mergeCell ref="AQ96:AY96"/>
    <mergeCell ref="C100:U100"/>
    <mergeCell ref="V100:AY100"/>
    <mergeCell ref="B103:C103"/>
    <mergeCell ref="O168:AY168"/>
    <mergeCell ref="B169:N169"/>
    <mergeCell ref="AQ128:AY128"/>
    <mergeCell ref="B104:C104"/>
    <mergeCell ref="D104:K104"/>
    <mergeCell ref="L104:S104"/>
    <mergeCell ref="AQ104:AY104"/>
    <mergeCell ref="AQ111:AY111"/>
    <mergeCell ref="C99:U99"/>
    <mergeCell ref="B43:O43"/>
    <mergeCell ref="P43:AY43"/>
    <mergeCell ref="B50:O50"/>
    <mergeCell ref="AC38:AY38"/>
    <mergeCell ref="M217:N217"/>
    <mergeCell ref="M199:N199"/>
    <mergeCell ref="M200:N200"/>
    <mergeCell ref="M205:N205"/>
    <mergeCell ref="M209:N209"/>
    <mergeCell ref="M210:N210"/>
    <mergeCell ref="M211:N211"/>
    <mergeCell ref="M212:N212"/>
    <mergeCell ref="M213:N213"/>
    <mergeCell ref="M214:N214"/>
    <mergeCell ref="B42:O42"/>
    <mergeCell ref="M190:N190"/>
    <mergeCell ref="M191:N191"/>
    <mergeCell ref="M192:N192"/>
    <mergeCell ref="M193:N193"/>
    <mergeCell ref="M194:N194"/>
    <mergeCell ref="M195:N195"/>
    <mergeCell ref="M196:N196"/>
    <mergeCell ref="O68:Q73"/>
    <mergeCell ref="R71:U73"/>
    <mergeCell ref="W8:AA8"/>
    <mergeCell ref="B65:D65"/>
    <mergeCell ref="E65:H65"/>
    <mergeCell ref="I65:N65"/>
    <mergeCell ref="O65:Q65"/>
    <mergeCell ref="R65:U65"/>
    <mergeCell ref="V65:Z65"/>
    <mergeCell ref="AA65:AE65"/>
    <mergeCell ref="R55:U56"/>
    <mergeCell ref="V55:Z56"/>
    <mergeCell ref="AA55:AE56"/>
    <mergeCell ref="R59:U59"/>
    <mergeCell ref="V59:Z59"/>
    <mergeCell ref="F53:P53"/>
    <mergeCell ref="O16:AY16"/>
    <mergeCell ref="B19:N19"/>
    <mergeCell ref="O14:AY14"/>
    <mergeCell ref="B38:K38"/>
    <mergeCell ref="B45:O45"/>
    <mergeCell ref="P45:AY45"/>
    <mergeCell ref="O34:AY34"/>
    <mergeCell ref="B25:N25"/>
    <mergeCell ref="B46:O46"/>
    <mergeCell ref="P46:AY46"/>
  </mergeCells>
  <phoneticPr fontId="1"/>
  <conditionalFormatting sqref="B155:N157">
    <cfRule type="expression" dxfId="157" priority="45">
      <formula>$O$154="無し"</formula>
    </cfRule>
  </conditionalFormatting>
  <conditionalFormatting sqref="B13:AY13">
    <cfRule type="expression" dxfId="156" priority="391">
      <formula>$O$12="有り"</formula>
    </cfRule>
  </conditionalFormatting>
  <conditionalFormatting sqref="B19:AY19">
    <cfRule type="expression" dxfId="155" priority="37">
      <formula>$O$16&lt;&gt;"AVAYA(AES連携無し)"</formula>
    </cfRule>
  </conditionalFormatting>
  <conditionalFormatting sqref="B20:AY20">
    <cfRule type="expression" dxfId="154" priority="36">
      <formula>$F$6&lt;&gt;"NextGen"</formula>
    </cfRule>
  </conditionalFormatting>
  <conditionalFormatting sqref="B32:AY32">
    <cfRule type="expression" dxfId="153" priority="1">
      <formula>$F$6="NextGen"</formula>
    </cfRule>
  </conditionalFormatting>
  <conditionalFormatting sqref="B66:AY74">
    <cfRule type="expression" dxfId="152" priority="127">
      <formula>$F$6&lt;&gt;"NextGen"</formula>
    </cfRule>
  </conditionalFormatting>
  <conditionalFormatting sqref="B161:AY163">
    <cfRule type="expression" dxfId="151" priority="44">
      <formula>$O$160="無し"</formula>
    </cfRule>
  </conditionalFormatting>
  <conditionalFormatting sqref="B166:AY170">
    <cfRule type="expression" dxfId="150" priority="25">
      <formula>$O$16&lt;&gt;"Avaya AES連携"</formula>
    </cfRule>
  </conditionalFormatting>
  <conditionalFormatting sqref="B172:AY176">
    <cfRule type="expression" dxfId="149" priority="23">
      <formula>$O$16&lt;&gt;"Avaya AES連携"</formula>
    </cfRule>
  </conditionalFormatting>
  <conditionalFormatting sqref="B220:AY221">
    <cfRule type="expression" dxfId="148" priority="32">
      <formula>$O$16&lt;&gt;"NEC SV OAI連携"</formula>
    </cfRule>
  </conditionalFormatting>
  <conditionalFormatting sqref="C185:AA185">
    <cfRule type="expression" dxfId="147" priority="177">
      <formula>$F$6&lt;&gt;"Animo"</formula>
    </cfRule>
  </conditionalFormatting>
  <conditionalFormatting sqref="G77">
    <cfRule type="expression" dxfId="146" priority="239">
      <formula>#REF!="無し"</formula>
    </cfRule>
  </conditionalFormatting>
  <conditionalFormatting sqref="M189:AY218">
    <cfRule type="expression" dxfId="145" priority="110">
      <formula>$M189=""</formula>
    </cfRule>
  </conditionalFormatting>
  <conditionalFormatting sqref="O155:AY157">
    <cfRule type="expression" dxfId="144" priority="2">
      <formula>$O$155="無し"</formula>
    </cfRule>
  </conditionalFormatting>
  <conditionalFormatting sqref="V80">
    <cfRule type="expression" dxfId="143" priority="195">
      <formula>#REF!="無し"</formula>
    </cfRule>
  </conditionalFormatting>
  <conditionalFormatting sqref="V82">
    <cfRule type="expression" dxfId="142" priority="99">
      <formula>#REF!="無し"</formula>
    </cfRule>
  </conditionalFormatting>
  <conditionalFormatting sqref="V88">
    <cfRule type="expression" dxfId="141" priority="193">
      <formula>#REF!="無し"</formula>
    </cfRule>
  </conditionalFormatting>
  <conditionalFormatting sqref="V90 AJ90 V91:AY93">
    <cfRule type="expression" dxfId="140" priority="210">
      <formula>#REF!="無し"</formula>
    </cfRule>
  </conditionalFormatting>
  <conditionalFormatting sqref="V114">
    <cfRule type="expression" dxfId="139" priority="85">
      <formula>#REF!="無し"</formula>
    </cfRule>
  </conditionalFormatting>
  <conditionalFormatting sqref="V146">
    <cfRule type="expression" dxfId="138" priority="84">
      <formula>#REF!="無し"</formula>
    </cfRule>
  </conditionalFormatting>
  <conditionalFormatting sqref="V80:Y80">
    <cfRule type="expression" dxfId="137" priority="194">
      <formula>$T$80&lt;&gt;"有"</formula>
    </cfRule>
  </conditionalFormatting>
  <conditionalFormatting sqref="V88:Y88">
    <cfRule type="expression" dxfId="136" priority="192">
      <formula>$T$88&lt;&gt;"有"</formula>
    </cfRule>
  </conditionalFormatting>
  <conditionalFormatting sqref="V96:Y96 AQ96:AY96 V98:AY101">
    <cfRule type="expression" dxfId="135" priority="169">
      <formula>$T$96&lt;&gt;"有"</formula>
    </cfRule>
  </conditionalFormatting>
  <conditionalFormatting sqref="V104:Y104">
    <cfRule type="expression" dxfId="134" priority="69">
      <formula>$T$104&lt;&gt;"有"</formula>
    </cfRule>
  </conditionalFormatting>
  <conditionalFormatting sqref="V112:Y112">
    <cfRule type="expression" dxfId="133" priority="70">
      <formula>$T$112&lt;&gt;"有"</formula>
    </cfRule>
  </conditionalFormatting>
  <conditionalFormatting sqref="V120:Y120 AQ120:AY120">
    <cfRule type="expression" dxfId="132" priority="72">
      <formula>$T$120&lt;&gt;"有"</formula>
    </cfRule>
  </conditionalFormatting>
  <conditionalFormatting sqref="V128:Y128 AQ128:AY128 V130:AY133">
    <cfRule type="expression" dxfId="131" priority="73">
      <formula>$T$128&lt;&gt;"有"</formula>
    </cfRule>
  </conditionalFormatting>
  <conditionalFormatting sqref="V136:Y136">
    <cfRule type="expression" dxfId="130" priority="74">
      <formula>$T$136&lt;&gt;"有"</formula>
    </cfRule>
  </conditionalFormatting>
  <conditionalFormatting sqref="V81:AY81 AJ82">
    <cfRule type="expression" dxfId="129" priority="395">
      <formula>#REF!="無し"</formula>
    </cfRule>
  </conditionalFormatting>
  <conditionalFormatting sqref="V82:AY85">
    <cfRule type="expression" dxfId="128" priority="96">
      <formula>$T$80&lt;&gt;"有"</formula>
    </cfRule>
  </conditionalFormatting>
  <conditionalFormatting sqref="V83:AY85">
    <cfRule type="expression" dxfId="127" priority="97">
      <formula>#REF!="無し"</formula>
    </cfRule>
  </conditionalFormatting>
  <conditionalFormatting sqref="V89:AY89 V97:AY97">
    <cfRule type="expression" dxfId="126" priority="214">
      <formula>#REF!="無し"</formula>
    </cfRule>
  </conditionalFormatting>
  <conditionalFormatting sqref="V90:AY93">
    <cfRule type="expression" dxfId="125" priority="209">
      <formula>$T$88&lt;&gt;"有"</formula>
    </cfRule>
  </conditionalFormatting>
  <conditionalFormatting sqref="V105:AY105 V113:AY113 V121:AY121 V129:AY129 V137:AY137 V145:AY145">
    <cfRule type="expression" dxfId="124" priority="80">
      <formula>#REF!="無し"</formula>
    </cfRule>
  </conditionalFormatting>
  <conditionalFormatting sqref="V111:AY141">
    <cfRule type="expression" dxfId="123" priority="22">
      <formula>$F$6&lt;&gt;"Animo"</formula>
    </cfRule>
  </conditionalFormatting>
  <conditionalFormatting sqref="V115:AY117">
    <cfRule type="expression" dxfId="122" priority="82">
      <formula>#REF!="無し"</formula>
    </cfRule>
  </conditionalFormatting>
  <conditionalFormatting sqref="V122:AY125">
    <cfRule type="expression" dxfId="121" priority="71">
      <formula>$T$120&lt;&gt;"有"</formula>
    </cfRule>
  </conditionalFormatting>
  <conditionalFormatting sqref="V143:AY143">
    <cfRule type="expression" dxfId="120" priority="21">
      <formula>$F$6&lt;&gt;"Animo"</formula>
    </cfRule>
  </conditionalFormatting>
  <conditionalFormatting sqref="V147:AY149">
    <cfRule type="expression" dxfId="119" priority="81">
      <formula>#REF!="無し"</formula>
    </cfRule>
  </conditionalFormatting>
  <conditionalFormatting sqref="Z80:AP80">
    <cfRule type="expression" dxfId="118" priority="168">
      <formula>$V$80&lt;&gt;"有り"</formula>
    </cfRule>
  </conditionalFormatting>
  <conditionalFormatting sqref="Z88:AP88">
    <cfRule type="expression" dxfId="117" priority="166">
      <formula>#REF!="無し"</formula>
    </cfRule>
    <cfRule type="expression" dxfId="116" priority="165">
      <formula>$V$88&lt;&gt;"有り"</formula>
    </cfRule>
  </conditionalFormatting>
  <conditionalFormatting sqref="Z96:AP96">
    <cfRule type="expression" dxfId="115" priority="159">
      <formula>$V$96&lt;&gt;"有り"</formula>
    </cfRule>
    <cfRule type="expression" dxfId="114" priority="160">
      <formula>#REF!="無し"</formula>
    </cfRule>
  </conditionalFormatting>
  <conditionalFormatting sqref="Z104:AP104">
    <cfRule type="expression" dxfId="113" priority="67">
      <formula>#REF!="無し"</formula>
    </cfRule>
    <cfRule type="expression" dxfId="112" priority="66">
      <formula>$V$104&lt;&gt;"有り"</formula>
    </cfRule>
  </conditionalFormatting>
  <conditionalFormatting sqref="Z112:AP112">
    <cfRule type="expression" dxfId="111" priority="64">
      <formula>#REF!="無し"</formula>
    </cfRule>
    <cfRule type="expression" dxfId="110" priority="63">
      <formula>$V$112&lt;&gt;"有り"</formula>
    </cfRule>
  </conditionalFormatting>
  <conditionalFormatting sqref="Z120:AP120">
    <cfRule type="expression" dxfId="109" priority="61">
      <formula>#REF!="無し"</formula>
    </cfRule>
    <cfRule type="expression" dxfId="108" priority="60">
      <formula>$V$120&lt;&gt;"有り"</formula>
    </cfRule>
  </conditionalFormatting>
  <conditionalFormatting sqref="Z128:AP128">
    <cfRule type="expression" dxfId="107" priority="58">
      <formula>#REF!="無し"</formula>
    </cfRule>
    <cfRule type="expression" dxfId="106" priority="57">
      <formula>$V$128&lt;&gt;"有り"</formula>
    </cfRule>
  </conditionalFormatting>
  <conditionalFormatting sqref="Z136:AP136">
    <cfRule type="expression" dxfId="105" priority="55">
      <formula>#REF!="無し"</formula>
    </cfRule>
    <cfRule type="expression" dxfId="104" priority="54">
      <formula>$V$136&lt;&gt;"有り"</formula>
    </cfRule>
  </conditionalFormatting>
  <conditionalFormatting sqref="Z80:AY80">
    <cfRule type="expression" dxfId="103" priority="319">
      <formula>#REF!="無し"</formula>
    </cfRule>
  </conditionalFormatting>
  <conditionalFormatting sqref="AD189:AQ218">
    <cfRule type="expression" dxfId="102" priority="35">
      <formula>$AH$188="DHCP"</formula>
    </cfRule>
  </conditionalFormatting>
  <conditionalFormatting sqref="AE4:AY4 AE5 AE6:AY6 AE7">
    <cfRule type="expression" dxfId="101" priority="33">
      <formula>#REF!="無し"</formula>
    </cfRule>
  </conditionalFormatting>
  <conditionalFormatting sqref="AE8:AY10">
    <cfRule type="expression" dxfId="100" priority="34">
      <formula>#REF!="無し"</formula>
    </cfRule>
  </conditionalFormatting>
  <conditionalFormatting sqref="AJ114 AJ146">
    <cfRule type="expression" dxfId="99" priority="83">
      <formula>#REF!="無し"</formula>
    </cfRule>
  </conditionalFormatting>
  <conditionalFormatting sqref="AQ88:AY88">
    <cfRule type="expression" dxfId="98" priority="312">
      <formula>$T$64="無し"</formula>
    </cfRule>
  </conditionalFormatting>
  <conditionalFormatting sqref="AQ104:AY104 V106:AY109">
    <cfRule type="expression" dxfId="97" priority="76">
      <formula>$T$104&lt;&gt;"有"</formula>
    </cfRule>
  </conditionalFormatting>
  <conditionalFormatting sqref="AQ112:AY112 V114:AY117">
    <cfRule type="expression" dxfId="96" priority="79">
      <formula>$T$112&lt;&gt;"有"</formula>
    </cfRule>
  </conditionalFormatting>
  <conditionalFormatting sqref="AQ136:AY136 V138:AY141">
    <cfRule type="expression" dxfId="95" priority="77">
      <formula>$T$136&lt;&gt;"有"</formula>
    </cfRule>
  </conditionalFormatting>
  <conditionalFormatting sqref="AQ144:AY144 V146:AY149">
    <cfRule type="expression" dxfId="94" priority="78">
      <formula>$T$144&lt;&gt;"有"</formula>
    </cfRule>
  </conditionalFormatting>
  <conditionalFormatting sqref="AR189:AY218">
    <cfRule type="expression" dxfId="93" priority="111">
      <formula>$AV$188="無し"</formula>
    </cfRule>
  </conditionalFormatting>
  <dataValidations count="20">
    <dataValidation type="list" allowBlank="1" showInputMessage="1" showErrorMessage="1" sqref="O179:AY179" xr:uid="{00000000-0002-0000-0000-000000000000}">
      <formula1>"録音形式を選択してください,dat,wav"</formula1>
    </dataValidation>
    <dataValidation type="list" allowBlank="1" showInputMessage="1" showErrorMessage="1" sqref="O156:AY156" xr:uid="{F4FC700C-BA7C-40D3-9FBD-C199BA1C8782}">
      <formula1>"バージョンを指定してください,V1,V2,V2c,V3"</formula1>
    </dataValidation>
    <dataValidation type="list" allowBlank="1" showInputMessage="1" showErrorMessage="1" sqref="O155:AY155" xr:uid="{B8E7EAE1-1A0D-4307-B642-475F35B2D24C}">
      <formula1>"NICを指定してください,Host側,iLO側"</formula1>
    </dataValidation>
    <dataValidation type="list" allowBlank="1" showInputMessage="1" showErrorMessage="1" sqref="O12:AY12 V96:Y96 V80:Y80 V88:Y88 V136:Y136 V104:Y104 V112:Y112 V120:Y120 V128:Y128 V144:Y144" xr:uid="{00000000-0002-0000-0000-000003000000}">
      <formula1>"有り,無し"</formula1>
    </dataValidation>
    <dataValidation type="list" allowBlank="1" showInputMessage="1" showErrorMessage="1" sqref="AI80:AP80 AI88:AP88 AI96:AP96 AI104:AP104 AI112:AP112 AI120:AP120 AI128:AP128 AI136:AP136" xr:uid="{00000000-0002-0000-0000-000004000000}">
      <formula1>"－,アクティブ,スタンバイ"</formula1>
    </dataValidation>
    <dataValidation type="list" allowBlank="1" showInputMessage="1" showErrorMessage="1" sqref="AE80:AH80 AE88:AH88 AE96:AH96 AE104:AH104 AE112:AH112 AE120:AH120 AE128:AH128 AE136:AH136" xr:uid="{00000000-0002-0000-0000-000005000000}">
      <formula1>"－,動的,アドレスのハッシュ,Hyper-V ポート"</formula1>
    </dataValidation>
    <dataValidation type="list" allowBlank="1" showInputMessage="1" showErrorMessage="1" sqref="Z80:AD80 Z88:AD88 Z96:AD96 Z104:AD104 Z112:AD112 Z120:AD120 Z128:AD128 Z136:AD136" xr:uid="{00000000-0002-0000-0000-000006000000}">
      <formula1>"－,スイッチに依存しない,静的チーミング,LACP"</formula1>
    </dataValidation>
    <dataValidation type="list" allowBlank="1" showInputMessage="1" showErrorMessage="1" sqref="AK57:AK61" xr:uid="{C0A1E206-D1C8-472F-AA3C-B3CDDE4FD09B}">
      <formula1>"NTFS,FAT,FAT32,No Format"</formula1>
    </dataValidation>
    <dataValidation type="list" allowBlank="1" showInputMessage="1" showErrorMessage="1" sqref="AF57:AF61" xr:uid="{31A1DFB6-636F-4820-ABC1-59DF51EB0322}">
      <formula1>"プライマリ,拡張/論理"</formula1>
    </dataValidation>
    <dataValidation type="list" allowBlank="1" showInputMessage="1" showErrorMessage="1" sqref="R57:R61" xr:uid="{2548F0D0-0B53-4AD2-A1B2-AB4E534F534C}">
      <formula1>"MBR,GPT"</formula1>
    </dataValidation>
    <dataValidation allowBlank="1" sqref="R68 R71 O188:O218 AD188:AG188 AD189:AD218 V68:AY73 AR188:AR218 AS188:AU188" xr:uid="{00000000-0002-0000-0000-00000A000000}"/>
    <dataValidation type="list" allowBlank="1" showInputMessage="1" showErrorMessage="1" sqref="F5" xr:uid="{00000000-0002-0000-0000-00000B000000}">
      <formula1>"POCか本番かを選択してください,POC,本番"</formula1>
    </dataValidation>
    <dataValidation type="list" allowBlank="1" showInputMessage="1" showErrorMessage="1" sqref="F6" xr:uid="{00000000-0002-0000-0000-00000C000000}">
      <formula1>"音声録音アプリを選択してください,Animo,NextGen"</formula1>
    </dataValidation>
    <dataValidation type="list" allowBlank="1" showInputMessage="1" showErrorMessage="1" sqref="T80:U80 T88:U88 T96:U96 T104:U104 T112:U112 T120:U120 T128:U128 T136:U136 T144:U144" xr:uid="{00000000-0002-0000-0000-00000D000000}">
      <formula1>"有,無"</formula1>
    </dataValidation>
    <dataValidation type="list" allowBlank="1" sqref="O16:AY16" xr:uid="{A822906A-B207-4A29-9B42-F8621DD9E8F9}">
      <formula1>"PBX種別を選択してください,AVAYA(AES連携無し),AVAYA AES連携,NEC AspireUX,NEC AspireWX,NEC SV OAI連携,OKI CTStage,BIZTEL,GENESYS PureConnect,富士通PBX(SIP),NTTクラウドPBX,その他()"</formula1>
    </dataValidation>
    <dataValidation type="list" allowBlank="1" showInputMessage="1" showErrorMessage="1" sqref="O184:AY184" xr:uid="{00000000-0002-0000-0000-00000F000000}">
      <formula1>"リアルタイム,バッチ,　,"</formula1>
    </dataValidation>
    <dataValidation type="list" allowBlank="1" showInputMessage="1" showErrorMessage="1" sqref="AH188:AQ188" xr:uid="{00000000-0002-0000-0000-000010000000}">
      <formula1>"STATIC,DHCP,　,"</formula1>
    </dataValidation>
    <dataValidation type="list" allowBlank="1" showInputMessage="1" showErrorMessage="1" sqref="O185:AA185 O187:AA187 AV188:AY188" xr:uid="{00000000-0002-0000-0000-000011000000}">
      <formula1>"有り,無し,　,"</formula1>
    </dataValidation>
    <dataValidation type="list" allowBlank="1" showInputMessage="1" showErrorMessage="1" sqref="X23:AY23" xr:uid="{1EF18A71-4053-4648-9ACD-8FAD4E218460}">
      <formula1>"DL360 Gen8,DL360 Gen10,DL20 Gen10,　,"</formula1>
    </dataValidation>
    <dataValidation type="list" allowBlank="1" sqref="D144:K144" xr:uid="{00000000-0002-0000-0000-000013000000}">
      <formula1>"iLO専用NIC,Nic1を兼用"</formula1>
    </dataValidation>
  </dataValidations>
  <hyperlinks>
    <hyperlink ref="O181" r:id="rId1" display="https://df9743f-infomart.an.r.appspot.com/login" xr:uid="{00000000-0004-0000-0000-000000000000}"/>
  </hyperlinks>
  <pageMargins left="0.70866141732283461" right="0.70866141732283461" top="0.74803149606299213" bottom="0.74803149606299213" header="0.31496062992125984" footer="0.31496062992125984"/>
  <pageSetup paperSize="9" scale="80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8" r:id="rId5" name="Check Box 16">
              <controlPr defaultSize="0" autoFill="0" autoLine="0" autoPict="0">
                <anchor moveWithCells="1" sizeWithCells="1">
                  <from>
                    <xdr:col>21</xdr:col>
                    <xdr:colOff>142875</xdr:colOff>
                    <xdr:row>7</xdr:row>
                    <xdr:rowOff>142875</xdr:rowOff>
                  </from>
                  <to>
                    <xdr:col>23</xdr:col>
                    <xdr:colOff>57150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6" name="Check Box 17">
              <controlPr defaultSize="0" autoFill="0" autoLine="0" autoPict="0">
                <anchor moveWithCells="1" sizeWithCells="1">
                  <from>
                    <xdr:col>21</xdr:col>
                    <xdr:colOff>142875</xdr:colOff>
                    <xdr:row>8</xdr:row>
                    <xdr:rowOff>152400</xdr:rowOff>
                  </from>
                  <to>
                    <xdr:col>23</xdr:col>
                    <xdr:colOff>57150</xdr:colOff>
                    <xdr:row>10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3B7F-B97C-4BDE-A2EE-827E8D821920}">
  <dimension ref="A1:BB221"/>
  <sheetViews>
    <sheetView view="pageBreakPreview" topLeftCell="A4" zoomScaleNormal="100" zoomScaleSheetLayoutView="100" workbookViewId="0">
      <selection activeCell="AD30" sqref="AD30:AY30"/>
    </sheetView>
  </sheetViews>
  <sheetFormatPr defaultColWidth="9" defaultRowHeight="13.5" x14ac:dyDescent="0.15"/>
  <cols>
    <col min="1" max="51" width="2.125" style="17" customWidth="1"/>
    <col min="52" max="52" width="10.25" style="16" bestFit="1" customWidth="1"/>
    <col min="53" max="53" width="15.5" style="16" customWidth="1"/>
    <col min="54" max="54" width="10" style="16" customWidth="1"/>
    <col min="55" max="16384" width="9" style="17"/>
  </cols>
  <sheetData>
    <row r="1" spans="1:51" ht="12" customHeight="1" x14ac:dyDescent="0.15">
      <c r="A1" s="50" t="s">
        <v>232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</row>
    <row r="2" spans="1:51" ht="12" customHeight="1" x14ac:dyDescent="0.1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</row>
    <row r="3" spans="1:51" ht="12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5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5"/>
      <c r="AW3" s="1"/>
      <c r="AX3" s="1"/>
      <c r="AY3" s="1"/>
    </row>
    <row r="4" spans="1:51" x14ac:dyDescent="0.15">
      <c r="A4" s="2" t="s">
        <v>152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52" t="s">
        <v>227</v>
      </c>
      <c r="P4" s="52"/>
      <c r="Q4" s="52"/>
      <c r="R4" s="52"/>
      <c r="S4" s="52"/>
      <c r="T4" s="52"/>
      <c r="U4" s="52"/>
      <c r="V4" s="5"/>
      <c r="W4" s="53" t="s">
        <v>155</v>
      </c>
      <c r="X4" s="53"/>
      <c r="Y4" s="53"/>
      <c r="Z4" s="53"/>
      <c r="AA4" s="54"/>
      <c r="AB4" s="55" t="s">
        <v>164</v>
      </c>
      <c r="AC4" s="56"/>
      <c r="AD4" s="57"/>
      <c r="AE4" s="58" t="s">
        <v>350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60"/>
    </row>
    <row r="5" spans="1:51" x14ac:dyDescent="0.15">
      <c r="A5" s="1"/>
      <c r="B5" s="61" t="s">
        <v>156</v>
      </c>
      <c r="C5" s="61"/>
      <c r="D5" s="61"/>
      <c r="E5" s="61"/>
      <c r="F5" s="62" t="s">
        <v>329</v>
      </c>
      <c r="G5" s="63"/>
      <c r="H5" s="63"/>
      <c r="I5" s="63"/>
      <c r="J5" s="63"/>
      <c r="K5" s="63"/>
      <c r="L5" s="63"/>
      <c r="M5" s="63"/>
      <c r="N5" s="64"/>
      <c r="O5" s="65" t="s">
        <v>233</v>
      </c>
      <c r="P5" s="65"/>
      <c r="Q5" s="65"/>
      <c r="R5" s="65"/>
      <c r="S5" s="65"/>
      <c r="T5" s="65"/>
      <c r="U5" s="66"/>
      <c r="V5" s="1"/>
      <c r="W5" s="67" t="s">
        <v>133</v>
      </c>
      <c r="X5" s="67"/>
      <c r="Y5" s="67"/>
      <c r="Z5" s="67"/>
      <c r="AA5" s="68"/>
      <c r="AB5" s="69" t="s">
        <v>165</v>
      </c>
      <c r="AC5" s="70"/>
      <c r="AD5" s="71"/>
      <c r="AE5" s="72" t="s">
        <v>349</v>
      </c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4"/>
    </row>
    <row r="6" spans="1:51" x14ac:dyDescent="0.15">
      <c r="A6" s="1"/>
      <c r="B6" s="61" t="s">
        <v>223</v>
      </c>
      <c r="C6" s="61"/>
      <c r="D6" s="61"/>
      <c r="E6" s="61"/>
      <c r="F6" s="62" t="s">
        <v>261</v>
      </c>
      <c r="G6" s="63"/>
      <c r="H6" s="63"/>
      <c r="I6" s="63"/>
      <c r="J6" s="63"/>
      <c r="K6" s="63"/>
      <c r="L6" s="63"/>
      <c r="M6" s="63"/>
      <c r="N6" s="64"/>
      <c r="O6" s="84" t="str">
        <f>"("&amp;SUBSTITUTE(AE7,"株式会社","")&amp;")"</f>
        <v>(SBI損害保険)</v>
      </c>
      <c r="P6" s="84"/>
      <c r="Q6" s="84"/>
      <c r="R6" s="84"/>
      <c r="S6" s="84"/>
      <c r="T6" s="84"/>
      <c r="U6" s="85"/>
      <c r="V6" s="1"/>
      <c r="W6" s="67" t="s">
        <v>134</v>
      </c>
      <c r="X6" s="67"/>
      <c r="Y6" s="67"/>
      <c r="Z6" s="67"/>
      <c r="AA6" s="68"/>
      <c r="AB6" s="69" t="s">
        <v>166</v>
      </c>
      <c r="AC6" s="70"/>
      <c r="AD6" s="71"/>
      <c r="AE6" s="72" t="s">
        <v>348</v>
      </c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4"/>
    </row>
    <row r="7" spans="1:51" x14ac:dyDescent="0.1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67" t="s">
        <v>139</v>
      </c>
      <c r="X7" s="67"/>
      <c r="Y7" s="67"/>
      <c r="Z7" s="67"/>
      <c r="AA7" s="68"/>
      <c r="AB7" s="69" t="s">
        <v>167</v>
      </c>
      <c r="AC7" s="70"/>
      <c r="AD7" s="71"/>
      <c r="AE7" s="72" t="s">
        <v>284</v>
      </c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4"/>
    </row>
    <row r="8" spans="1:51" x14ac:dyDescent="0.15">
      <c r="A8" s="75" t="s">
        <v>153</v>
      </c>
      <c r="B8" s="75"/>
      <c r="C8" s="75"/>
      <c r="D8" s="75"/>
      <c r="E8" s="75"/>
      <c r="F8" s="75"/>
      <c r="G8" s="75"/>
      <c r="H8" s="75"/>
      <c r="I8" s="75"/>
      <c r="J8" s="75"/>
      <c r="K8" s="75"/>
      <c r="Q8" s="1"/>
      <c r="W8" s="80" t="s">
        <v>275</v>
      </c>
      <c r="X8" s="80"/>
      <c r="Y8" s="80"/>
      <c r="Z8" s="80"/>
      <c r="AA8" s="81"/>
      <c r="AB8" s="76" t="s">
        <v>168</v>
      </c>
      <c r="AC8" s="76"/>
      <c r="AD8" s="76"/>
      <c r="AE8" s="72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4"/>
    </row>
    <row r="9" spans="1:51" x14ac:dyDescent="0.15">
      <c r="A9" s="1"/>
      <c r="B9" s="61" t="s">
        <v>154</v>
      </c>
      <c r="C9" s="61"/>
      <c r="D9" s="61"/>
      <c r="E9" s="61"/>
      <c r="F9" s="77" t="s">
        <v>346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9"/>
      <c r="W9" s="36"/>
      <c r="X9" s="82" t="s">
        <v>273</v>
      </c>
      <c r="Y9" s="82"/>
      <c r="Z9" s="82"/>
      <c r="AA9" s="83"/>
      <c r="AB9" s="76" t="s">
        <v>169</v>
      </c>
      <c r="AC9" s="76"/>
      <c r="AD9" s="76"/>
      <c r="AE9" s="72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4"/>
    </row>
    <row r="10" spans="1:51" x14ac:dyDescent="0.15">
      <c r="A10" s="2"/>
      <c r="B10" s="61" t="s">
        <v>138</v>
      </c>
      <c r="C10" s="61"/>
      <c r="D10" s="61"/>
      <c r="E10" s="61"/>
      <c r="F10" s="77" t="s">
        <v>231</v>
      </c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9"/>
      <c r="W10" s="36"/>
      <c r="X10" s="82" t="s">
        <v>274</v>
      </c>
      <c r="Y10" s="82"/>
      <c r="Z10" s="82"/>
      <c r="AA10" s="83"/>
      <c r="AB10" s="94" t="s">
        <v>170</v>
      </c>
      <c r="AC10" s="94"/>
      <c r="AD10" s="94"/>
      <c r="AE10" s="95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7"/>
    </row>
    <row r="11" spans="1:51" x14ac:dyDescent="0.15">
      <c r="A11" s="1"/>
      <c r="B11" s="2" t="s">
        <v>47</v>
      </c>
      <c r="C11" s="1"/>
      <c r="D11" s="1"/>
      <c r="E11" s="1"/>
      <c r="F11" s="1"/>
      <c r="G11" s="1"/>
      <c r="H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15">
      <c r="A12" s="1"/>
      <c r="B12" s="98" t="s">
        <v>48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107" t="s">
        <v>71</v>
      </c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9"/>
    </row>
    <row r="13" spans="1:51" x14ac:dyDescent="0.15">
      <c r="A13" s="1"/>
      <c r="B13" s="98" t="s">
        <v>49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107" t="s">
        <v>67</v>
      </c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9"/>
    </row>
    <row r="14" spans="1:5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10" t="s">
        <v>53</v>
      </c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</row>
    <row r="15" spans="1:51" x14ac:dyDescent="0.15">
      <c r="A15" s="2"/>
      <c r="B15" s="2" t="s">
        <v>31</v>
      </c>
      <c r="C15" s="1"/>
      <c r="D15" s="1"/>
      <c r="E15" s="1"/>
      <c r="F15" s="1"/>
      <c r="G15" s="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</row>
    <row r="16" spans="1:51" x14ac:dyDescent="0.15">
      <c r="A16" s="3"/>
      <c r="B16" s="112" t="s">
        <v>51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4"/>
      <c r="O16" s="77" t="s">
        <v>288</v>
      </c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9"/>
    </row>
    <row r="17" spans="1:54" x14ac:dyDescent="0.15">
      <c r="A17" s="3"/>
      <c r="B17" s="99" t="s">
        <v>41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100">
        <v>240</v>
      </c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2"/>
    </row>
    <row r="18" spans="1:54" x14ac:dyDescent="0.15">
      <c r="A18" s="1"/>
      <c r="B18" s="103" t="s">
        <v>146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0" t="s">
        <v>147</v>
      </c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2"/>
    </row>
    <row r="19" spans="1:54" x14ac:dyDescent="0.15">
      <c r="A19" s="3"/>
      <c r="B19" s="103" t="s">
        <v>228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0" t="s">
        <v>147</v>
      </c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2"/>
    </row>
    <row r="20" spans="1:54" x14ac:dyDescent="0.15">
      <c r="A20" s="1"/>
      <c r="B20" s="103" t="s">
        <v>229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0" t="s">
        <v>147</v>
      </c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2"/>
    </row>
    <row r="21" spans="1:54" x14ac:dyDescent="0.1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4" x14ac:dyDescent="0.15">
      <c r="A22" s="2" t="s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0"/>
      <c r="AC22" s="10"/>
      <c r="AD22" s="10"/>
      <c r="AE22" s="10"/>
      <c r="AF22" s="11"/>
      <c r="AG22" s="11"/>
      <c r="AH22" s="11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1"/>
    </row>
    <row r="23" spans="1:54" x14ac:dyDescent="0.15">
      <c r="A23" s="1"/>
      <c r="B23" s="115" t="s">
        <v>1</v>
      </c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90" t="s">
        <v>158</v>
      </c>
      <c r="P23" s="91"/>
      <c r="Q23" s="91"/>
      <c r="R23" s="91"/>
      <c r="S23" s="91"/>
      <c r="T23" s="91"/>
      <c r="U23" s="91"/>
      <c r="V23" s="91"/>
      <c r="W23" s="91"/>
      <c r="X23" s="92" t="s">
        <v>159</v>
      </c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3"/>
      <c r="AZ23" s="16" t="s">
        <v>328</v>
      </c>
      <c r="BA23" s="16" t="s">
        <v>327</v>
      </c>
      <c r="BB23" s="16">
        <v>16</v>
      </c>
    </row>
    <row r="24" spans="1:54" x14ac:dyDescent="0.15">
      <c r="A24" s="1"/>
      <c r="B24" s="86" t="s">
        <v>2</v>
      </c>
      <c r="C24" s="87"/>
      <c r="D24" s="87"/>
      <c r="E24" s="87"/>
      <c r="F24" s="87"/>
      <c r="G24" s="88"/>
      <c r="H24" s="88"/>
      <c r="I24" s="88"/>
      <c r="J24" s="88"/>
      <c r="K24" s="88"/>
      <c r="L24" s="88"/>
      <c r="M24" s="88"/>
      <c r="N24" s="89"/>
      <c r="O24" s="90" t="s">
        <v>160</v>
      </c>
      <c r="P24" s="91"/>
      <c r="Q24" s="91"/>
      <c r="R24" s="91"/>
      <c r="S24" s="91"/>
      <c r="T24" s="91"/>
      <c r="U24" s="91"/>
      <c r="V24" s="91"/>
      <c r="W24" s="91"/>
      <c r="X24" s="92" t="str">
        <f>VLOOKUP(X23,AZ23:BB25,2,FALSE)</f>
        <v>Silver 4208 2.1GHz  x2</v>
      </c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3"/>
      <c r="AZ24" s="16" t="s">
        <v>159</v>
      </c>
      <c r="BA24" s="16" t="s">
        <v>326</v>
      </c>
      <c r="BB24" s="16">
        <v>32</v>
      </c>
    </row>
    <row r="25" spans="1:54" x14ac:dyDescent="0.15">
      <c r="A25" s="1"/>
      <c r="B25" s="116" t="s">
        <v>3</v>
      </c>
      <c r="C25" s="117"/>
      <c r="D25" s="117"/>
      <c r="E25" s="117"/>
      <c r="F25" s="117"/>
      <c r="G25" s="118"/>
      <c r="H25" s="118"/>
      <c r="I25" s="118"/>
      <c r="J25" s="118"/>
      <c r="K25" s="118"/>
      <c r="L25" s="118"/>
      <c r="M25" s="118"/>
      <c r="N25" s="118"/>
      <c r="O25" s="90">
        <f>VLOOKUP(X23,AZ23:BB25,3,FALSE)</f>
        <v>32</v>
      </c>
      <c r="P25" s="91"/>
      <c r="Q25" s="91"/>
      <c r="R25" s="91"/>
      <c r="S25" s="91"/>
      <c r="T25" s="91"/>
      <c r="U25" s="91"/>
      <c r="V25" s="91"/>
      <c r="W25" s="91"/>
      <c r="X25" s="91"/>
      <c r="Y25" s="119" t="s">
        <v>161</v>
      </c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20"/>
      <c r="AZ25" s="16" t="s">
        <v>220</v>
      </c>
      <c r="BA25" s="16" t="s">
        <v>325</v>
      </c>
      <c r="BB25" s="16">
        <v>16</v>
      </c>
    </row>
    <row r="26" spans="1:54" x14ac:dyDescent="0.15">
      <c r="A26" s="1"/>
      <c r="B26" s="86" t="s">
        <v>4</v>
      </c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9"/>
      <c r="O26" s="121" t="s">
        <v>148</v>
      </c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3"/>
    </row>
    <row r="27" spans="1:54" x14ac:dyDescent="0.15">
      <c r="A27" s="1"/>
      <c r="B27" s="14"/>
      <c r="C27" s="1"/>
      <c r="D27" s="1"/>
      <c r="E27" s="4"/>
      <c r="F27" s="4"/>
      <c r="G27" s="4"/>
      <c r="H27" s="4"/>
      <c r="I27" s="4"/>
      <c r="J27" s="4"/>
      <c r="K27" s="4"/>
      <c r="L27" s="4"/>
      <c r="M27" s="4"/>
      <c r="N27" s="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 spans="1:54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4" x14ac:dyDescent="0.15">
      <c r="A29" s="2" t="s">
        <v>76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4" x14ac:dyDescent="0.15">
      <c r="A30" s="1"/>
      <c r="B30" s="86" t="s">
        <v>50</v>
      </c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4"/>
      <c r="O30" s="125" t="str">
        <f>VLOOKUP(F5&amp;F6,AZ30:BB33,2,)</f>
        <v>VTSV001</v>
      </c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78" t="s">
        <v>364</v>
      </c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9"/>
      <c r="AZ30" s="16" t="s">
        <v>162</v>
      </c>
      <c r="BA30" s="16" t="s">
        <v>224</v>
      </c>
      <c r="BB30" s="16" t="s">
        <v>279</v>
      </c>
    </row>
    <row r="31" spans="1:54" x14ac:dyDescent="0.15">
      <c r="A31" s="1"/>
      <c r="B31" s="86" t="s">
        <v>90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124"/>
      <c r="O31" s="142" t="s">
        <v>358</v>
      </c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4"/>
      <c r="AZ31" s="16" t="s">
        <v>163</v>
      </c>
      <c r="BA31" s="16" t="s">
        <v>224</v>
      </c>
      <c r="BB31" s="16" t="s">
        <v>279</v>
      </c>
    </row>
    <row r="32" spans="1:54" x14ac:dyDescent="0.15">
      <c r="A32" s="1"/>
      <c r="B32" s="86" t="s">
        <v>77</v>
      </c>
      <c r="C32" s="87"/>
      <c r="D32" s="87"/>
      <c r="E32" s="87"/>
      <c r="F32" s="87"/>
      <c r="G32" s="87"/>
      <c r="H32" s="88"/>
      <c r="I32" s="88"/>
      <c r="J32" s="88"/>
      <c r="K32" s="88"/>
      <c r="L32" s="88"/>
      <c r="M32" s="88"/>
      <c r="N32" s="89"/>
      <c r="O32" s="125" t="s">
        <v>324</v>
      </c>
      <c r="P32" s="134"/>
      <c r="Q32" s="134"/>
      <c r="R32" s="134"/>
      <c r="S32" s="134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5"/>
      <c r="AX32" s="135"/>
      <c r="AY32" s="136"/>
      <c r="AZ32" s="16" t="s">
        <v>225</v>
      </c>
      <c r="BA32" s="16" t="s">
        <v>110</v>
      </c>
      <c r="BB32" s="16" t="s">
        <v>241</v>
      </c>
    </row>
    <row r="33" spans="1:54" x14ac:dyDescent="0.15">
      <c r="A33" s="1"/>
      <c r="B33" s="1"/>
      <c r="O33" s="110" t="s">
        <v>216</v>
      </c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6" t="s">
        <v>226</v>
      </c>
      <c r="BA33" s="16" t="s">
        <v>110</v>
      </c>
      <c r="BB33" s="16" t="s">
        <v>241</v>
      </c>
    </row>
    <row r="34" spans="1:54" x14ac:dyDescent="0.15">
      <c r="A34" s="1"/>
      <c r="B34" s="1"/>
      <c r="O34" s="137" t="s">
        <v>217</v>
      </c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</row>
    <row r="35" spans="1:54" x14ac:dyDescent="0.15">
      <c r="A35" s="19" t="s">
        <v>323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1"/>
      <c r="AT35" s="1"/>
      <c r="AU35" s="1"/>
      <c r="AV35" s="1"/>
      <c r="AW35" s="1"/>
      <c r="AX35" s="1"/>
      <c r="AY35" s="1"/>
    </row>
    <row r="36" spans="1:54" x14ac:dyDescent="0.15">
      <c r="A36" s="20"/>
      <c r="B36" s="138" t="s">
        <v>54</v>
      </c>
      <c r="C36" s="138"/>
      <c r="D36" s="138"/>
      <c r="E36" s="138"/>
      <c r="F36" s="138"/>
      <c r="G36" s="138"/>
      <c r="H36" s="138"/>
      <c r="I36" s="138"/>
      <c r="J36" s="138"/>
      <c r="K36" s="138"/>
      <c r="L36" s="139" t="s">
        <v>322</v>
      </c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1"/>
      <c r="AC36" s="139" t="s">
        <v>137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1"/>
    </row>
    <row r="37" spans="1:54" x14ac:dyDescent="0.15">
      <c r="A37" s="20"/>
      <c r="B37" s="127" t="s">
        <v>78</v>
      </c>
      <c r="C37" s="127"/>
      <c r="D37" s="127"/>
      <c r="E37" s="127"/>
      <c r="F37" s="127"/>
      <c r="G37" s="127"/>
      <c r="H37" s="127"/>
      <c r="I37" s="127"/>
      <c r="J37" s="127"/>
      <c r="K37" s="127"/>
      <c r="L37" s="128" t="s">
        <v>345</v>
      </c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30"/>
      <c r="AC37" s="131" t="s">
        <v>320</v>
      </c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3"/>
    </row>
    <row r="38" spans="1:54" x14ac:dyDescent="0.15">
      <c r="A38" s="20"/>
      <c r="B38" s="127" t="str">
        <f>IF(F5="POC","iLO 4",IF(F5="本番","iLO 5",""))</f>
        <v>iLO 5</v>
      </c>
      <c r="C38" s="127"/>
      <c r="D38" s="127"/>
      <c r="E38" s="127"/>
      <c r="F38" s="127"/>
      <c r="G38" s="127"/>
      <c r="H38" s="127"/>
      <c r="I38" s="127"/>
      <c r="J38" s="127"/>
      <c r="K38" s="127"/>
      <c r="L38" s="128" t="s">
        <v>344</v>
      </c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30"/>
      <c r="AC38" s="131" t="s">
        <v>343</v>
      </c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3"/>
    </row>
    <row r="39" spans="1:54" x14ac:dyDescent="0.15">
      <c r="A39" s="20"/>
      <c r="B39" s="20"/>
      <c r="C39" s="20"/>
      <c r="D39" s="20"/>
      <c r="E39" s="20"/>
      <c r="F39" s="20"/>
      <c r="G39" s="20"/>
      <c r="AC39" s="110" t="s">
        <v>317</v>
      </c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</row>
    <row r="40" spans="1:54" x14ac:dyDescent="0.15">
      <c r="A40" s="1"/>
      <c r="B40" s="1"/>
      <c r="AC40" s="145" t="s">
        <v>316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</row>
    <row r="41" spans="1:54" x14ac:dyDescent="0.15">
      <c r="A41" s="21" t="s">
        <v>234</v>
      </c>
      <c r="B41" s="22"/>
      <c r="C41" s="23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3"/>
      <c r="AQ41" s="23"/>
      <c r="AR41" s="23"/>
      <c r="AS41" s="24"/>
      <c r="AT41" s="24"/>
      <c r="AU41" s="24"/>
      <c r="AV41" s="24"/>
      <c r="AW41" s="24"/>
      <c r="AX41" s="24"/>
      <c r="AY41" s="24"/>
    </row>
    <row r="42" spans="1:54" x14ac:dyDescent="0.15">
      <c r="A42" s="23"/>
      <c r="B42" s="146" t="s">
        <v>55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7" t="s">
        <v>56</v>
      </c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9"/>
    </row>
    <row r="43" spans="1:54" x14ac:dyDescent="0.15">
      <c r="A43" s="23"/>
      <c r="B43" s="168" t="s">
        <v>91</v>
      </c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9" t="s">
        <v>342</v>
      </c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0"/>
      <c r="AX43" s="170"/>
      <c r="AY43" s="171"/>
    </row>
    <row r="44" spans="1:54" x14ac:dyDescent="0.15">
      <c r="A44" s="25" t="s">
        <v>58</v>
      </c>
      <c r="B44" s="22"/>
      <c r="C44" s="23"/>
      <c r="D44" s="22"/>
      <c r="E44" s="22"/>
      <c r="F44" s="22"/>
      <c r="G44" s="22"/>
      <c r="H44" s="22"/>
      <c r="I44" s="24"/>
      <c r="J44" s="24"/>
      <c r="K44" s="24"/>
      <c r="L44" s="24"/>
      <c r="M44" s="24"/>
      <c r="N44" s="24"/>
      <c r="O44" s="24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</row>
    <row r="45" spans="1:54" x14ac:dyDescent="0.15">
      <c r="A45" s="23"/>
      <c r="B45" s="146" t="s">
        <v>55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7" t="s">
        <v>56</v>
      </c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9"/>
    </row>
    <row r="46" spans="1:54" x14ac:dyDescent="0.15">
      <c r="A46" s="23"/>
      <c r="B46" s="168" t="s">
        <v>61</v>
      </c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89" t="s">
        <v>341</v>
      </c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  <c r="AL46" s="190"/>
      <c r="AM46" s="190"/>
      <c r="AN46" s="190"/>
      <c r="AO46" s="190"/>
      <c r="AP46" s="190"/>
      <c r="AQ46" s="190"/>
      <c r="AR46" s="190"/>
      <c r="AS46" s="190"/>
      <c r="AT46" s="190"/>
      <c r="AU46" s="190"/>
      <c r="AV46" s="190"/>
      <c r="AW46" s="190"/>
      <c r="AX46" s="190"/>
      <c r="AY46" s="191"/>
    </row>
    <row r="47" spans="1:54" x14ac:dyDescent="0.1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</row>
    <row r="48" spans="1:54" x14ac:dyDescent="0.15">
      <c r="A48" s="21" t="s">
        <v>235</v>
      </c>
      <c r="B48" s="22"/>
      <c r="C48" s="23"/>
      <c r="D48" s="22"/>
      <c r="E48" s="22"/>
      <c r="F48" s="22"/>
      <c r="G48" s="22"/>
      <c r="H48" s="22"/>
      <c r="I48" s="24"/>
      <c r="J48" s="24"/>
      <c r="K48" s="24"/>
      <c r="L48" s="24"/>
      <c r="M48" s="24"/>
      <c r="N48" s="24"/>
      <c r="O48" s="24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</row>
    <row r="49" spans="1:51" x14ac:dyDescent="0.15">
      <c r="A49" s="23"/>
      <c r="B49" s="146" t="s">
        <v>55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7" t="s">
        <v>56</v>
      </c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9"/>
    </row>
    <row r="50" spans="1:51" x14ac:dyDescent="0.15">
      <c r="A50" s="23"/>
      <c r="B50" s="168" t="s">
        <v>79</v>
      </c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464" t="s">
        <v>340</v>
      </c>
      <c r="Q50" s="465"/>
      <c r="R50" s="465"/>
      <c r="S50" s="465"/>
      <c r="T50" s="465"/>
      <c r="U50" s="465"/>
      <c r="V50" s="465"/>
      <c r="W50" s="465"/>
      <c r="X50" s="465"/>
      <c r="Y50" s="465"/>
      <c r="Z50" s="465"/>
      <c r="AA50" s="465"/>
      <c r="AB50" s="465"/>
      <c r="AC50" s="465"/>
      <c r="AD50" s="465"/>
      <c r="AE50" s="465"/>
      <c r="AF50" s="465"/>
      <c r="AG50" s="465"/>
      <c r="AH50" s="465"/>
      <c r="AI50" s="465"/>
      <c r="AJ50" s="465"/>
      <c r="AK50" s="465"/>
      <c r="AL50" s="465"/>
      <c r="AM50" s="465"/>
      <c r="AN50" s="465"/>
      <c r="AO50" s="465"/>
      <c r="AP50" s="465"/>
      <c r="AQ50" s="465"/>
      <c r="AR50" s="465"/>
      <c r="AS50" s="465"/>
      <c r="AT50" s="465"/>
      <c r="AU50" s="465"/>
      <c r="AV50" s="465"/>
      <c r="AW50" s="465"/>
      <c r="AX50" s="465"/>
      <c r="AY50" s="466"/>
    </row>
    <row r="51" spans="1:5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15">
      <c r="A52" s="2" t="s">
        <v>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15">
      <c r="A53" s="2"/>
      <c r="B53" s="61" t="s">
        <v>157</v>
      </c>
      <c r="C53" s="61"/>
      <c r="D53" s="61"/>
      <c r="E53" s="61"/>
      <c r="F53" s="62">
        <v>5</v>
      </c>
      <c r="G53" s="63"/>
      <c r="H53" s="63"/>
      <c r="I53" s="63"/>
      <c r="J53" s="63"/>
      <c r="K53" s="63"/>
      <c r="L53" s="63"/>
      <c r="M53" s="63"/>
      <c r="N53" s="63"/>
      <c r="O53" s="63"/>
      <c r="P53" s="64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1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ht="13.15" customHeight="1" x14ac:dyDescent="0.15">
      <c r="A55" s="1"/>
      <c r="B55" s="162" t="s">
        <v>250</v>
      </c>
      <c r="C55" s="163"/>
      <c r="D55" s="163"/>
      <c r="E55" s="164" t="s">
        <v>6</v>
      </c>
      <c r="F55" s="61"/>
      <c r="G55" s="61"/>
      <c r="H55" s="61"/>
      <c r="I55" s="164" t="s">
        <v>7</v>
      </c>
      <c r="J55" s="61"/>
      <c r="K55" s="61"/>
      <c r="L55" s="61"/>
      <c r="M55" s="61"/>
      <c r="N55" s="61"/>
      <c r="O55" s="61" t="s">
        <v>8</v>
      </c>
      <c r="P55" s="61"/>
      <c r="Q55" s="61"/>
      <c r="R55" s="175" t="s">
        <v>9</v>
      </c>
      <c r="S55" s="176"/>
      <c r="T55" s="176"/>
      <c r="U55" s="177"/>
      <c r="V55" s="180" t="s">
        <v>10</v>
      </c>
      <c r="W55" s="180"/>
      <c r="X55" s="180"/>
      <c r="Y55" s="180"/>
      <c r="Z55" s="180"/>
      <c r="AA55" s="173" t="s">
        <v>11</v>
      </c>
      <c r="AB55" s="173"/>
      <c r="AC55" s="173"/>
      <c r="AD55" s="182"/>
      <c r="AE55" s="182"/>
      <c r="AF55" s="180" t="s">
        <v>12</v>
      </c>
      <c r="AG55" s="180"/>
      <c r="AH55" s="180"/>
      <c r="AI55" s="180"/>
      <c r="AJ55" s="180"/>
      <c r="AK55" s="164" t="s">
        <v>13</v>
      </c>
      <c r="AL55" s="61"/>
      <c r="AM55" s="61"/>
      <c r="AN55" s="61"/>
      <c r="AO55" s="61" t="s">
        <v>14</v>
      </c>
      <c r="AP55" s="61"/>
      <c r="AQ55" s="61"/>
      <c r="AR55" s="61"/>
      <c r="AS55" s="61"/>
      <c r="AT55" s="172"/>
      <c r="AU55" s="173" t="s">
        <v>4</v>
      </c>
      <c r="AV55" s="173"/>
      <c r="AW55" s="173"/>
      <c r="AX55" s="173"/>
      <c r="AY55" s="173"/>
    </row>
    <row r="56" spans="1:51" x14ac:dyDescent="0.15">
      <c r="A56" s="1"/>
      <c r="B56" s="163"/>
      <c r="C56" s="163"/>
      <c r="D56" s="163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178"/>
      <c r="S56" s="178"/>
      <c r="T56" s="178"/>
      <c r="U56" s="179"/>
      <c r="V56" s="181"/>
      <c r="W56" s="181"/>
      <c r="X56" s="181"/>
      <c r="Y56" s="181"/>
      <c r="Z56" s="181"/>
      <c r="AA56" s="174"/>
      <c r="AB56" s="174"/>
      <c r="AC56" s="174"/>
      <c r="AD56" s="183"/>
      <c r="AE56" s="183"/>
      <c r="AF56" s="181"/>
      <c r="AG56" s="181"/>
      <c r="AH56" s="181"/>
      <c r="AI56" s="181"/>
      <c r="AJ56" s="181"/>
      <c r="AK56" s="61"/>
      <c r="AL56" s="61"/>
      <c r="AM56" s="61"/>
      <c r="AN56" s="61"/>
      <c r="AO56" s="61"/>
      <c r="AP56" s="61"/>
      <c r="AQ56" s="61"/>
      <c r="AR56" s="61"/>
      <c r="AS56" s="61"/>
      <c r="AT56" s="172"/>
      <c r="AU56" s="174"/>
      <c r="AV56" s="174"/>
      <c r="AW56" s="174"/>
      <c r="AX56" s="174"/>
      <c r="AY56" s="174"/>
    </row>
    <row r="57" spans="1:51" ht="13.15" customHeight="1" x14ac:dyDescent="0.15">
      <c r="A57" s="1"/>
      <c r="B57" s="221" t="s">
        <v>251</v>
      </c>
      <c r="C57" s="222"/>
      <c r="D57" s="223"/>
      <c r="E57" s="156" t="s">
        <v>80</v>
      </c>
      <c r="F57" s="213"/>
      <c r="G57" s="213"/>
      <c r="H57" s="157"/>
      <c r="I57" s="156">
        <v>1</v>
      </c>
      <c r="J57" s="157"/>
      <c r="K57" s="156" t="s">
        <v>81</v>
      </c>
      <c r="L57" s="157"/>
      <c r="M57" s="156">
        <v>4</v>
      </c>
      <c r="N57" s="157"/>
      <c r="O57" s="156">
        <v>5</v>
      </c>
      <c r="P57" s="213"/>
      <c r="Q57" s="157"/>
      <c r="R57" s="200"/>
      <c r="S57" s="201"/>
      <c r="T57" s="201"/>
      <c r="U57" s="202"/>
      <c r="V57" s="184" t="s">
        <v>360</v>
      </c>
      <c r="W57" s="203"/>
      <c r="X57" s="203"/>
      <c r="Y57" s="203"/>
      <c r="Z57" s="204"/>
      <c r="AA57" s="184" t="s">
        <v>82</v>
      </c>
      <c r="AB57" s="185"/>
      <c r="AC57" s="185"/>
      <c r="AD57" s="185"/>
      <c r="AE57" s="186"/>
      <c r="AF57" s="184"/>
      <c r="AG57" s="185"/>
      <c r="AH57" s="185"/>
      <c r="AI57" s="185"/>
      <c r="AJ57" s="186"/>
      <c r="AK57" s="184"/>
      <c r="AL57" s="185"/>
      <c r="AM57" s="185"/>
      <c r="AN57" s="186"/>
      <c r="AO57" s="184" t="s">
        <v>92</v>
      </c>
      <c r="AP57" s="185"/>
      <c r="AQ57" s="185"/>
      <c r="AR57" s="185"/>
      <c r="AS57" s="185"/>
      <c r="AT57" s="186"/>
      <c r="AU57" s="184" t="s">
        <v>57</v>
      </c>
      <c r="AV57" s="185"/>
      <c r="AW57" s="185"/>
      <c r="AX57" s="185"/>
      <c r="AY57" s="186"/>
    </row>
    <row r="58" spans="1:51" x14ac:dyDescent="0.15">
      <c r="A58" s="1"/>
      <c r="B58" s="224"/>
      <c r="C58" s="225"/>
      <c r="D58" s="226"/>
      <c r="E58" s="158"/>
      <c r="F58" s="214"/>
      <c r="G58" s="214"/>
      <c r="H58" s="159"/>
      <c r="I58" s="158"/>
      <c r="J58" s="159"/>
      <c r="K58" s="158"/>
      <c r="L58" s="159"/>
      <c r="M58" s="158"/>
      <c r="N58" s="159"/>
      <c r="O58" s="158"/>
      <c r="P58" s="214"/>
      <c r="Q58" s="159"/>
      <c r="R58" s="194"/>
      <c r="S58" s="195"/>
      <c r="T58" s="195"/>
      <c r="U58" s="196"/>
      <c r="V58" s="197" t="s">
        <v>361</v>
      </c>
      <c r="W58" s="198"/>
      <c r="X58" s="198"/>
      <c r="Y58" s="198"/>
      <c r="Z58" s="199"/>
      <c r="AA58" s="197" t="s">
        <v>80</v>
      </c>
      <c r="AB58" s="198"/>
      <c r="AC58" s="198"/>
      <c r="AD58" s="198"/>
      <c r="AE58" s="199"/>
      <c r="AF58" s="197"/>
      <c r="AG58" s="198"/>
      <c r="AH58" s="198"/>
      <c r="AI58" s="198"/>
      <c r="AJ58" s="199"/>
      <c r="AK58" s="197"/>
      <c r="AL58" s="198"/>
      <c r="AM58" s="198"/>
      <c r="AN58" s="199"/>
      <c r="AO58" s="197"/>
      <c r="AP58" s="198"/>
      <c r="AQ58" s="198"/>
      <c r="AR58" s="198"/>
      <c r="AS58" s="198"/>
      <c r="AT58" s="199"/>
      <c r="AU58" s="197" t="s">
        <v>93</v>
      </c>
      <c r="AV58" s="198"/>
      <c r="AW58" s="198"/>
      <c r="AX58" s="198"/>
      <c r="AY58" s="199"/>
    </row>
    <row r="59" spans="1:51" x14ac:dyDescent="0.15">
      <c r="A59" s="1"/>
      <c r="B59" s="224"/>
      <c r="C59" s="225"/>
      <c r="D59" s="226"/>
      <c r="E59" s="158"/>
      <c r="F59" s="214"/>
      <c r="G59" s="214"/>
      <c r="H59" s="159"/>
      <c r="I59" s="158"/>
      <c r="J59" s="159"/>
      <c r="K59" s="158"/>
      <c r="L59" s="159"/>
      <c r="M59" s="158"/>
      <c r="N59" s="159"/>
      <c r="O59" s="158"/>
      <c r="P59" s="214"/>
      <c r="Q59" s="159"/>
      <c r="R59" s="216"/>
      <c r="S59" s="217"/>
      <c r="T59" s="217"/>
      <c r="U59" s="218"/>
      <c r="V59" s="165"/>
      <c r="W59" s="219"/>
      <c r="X59" s="219"/>
      <c r="Y59" s="219"/>
      <c r="Z59" s="220"/>
      <c r="AA59" s="165" t="s">
        <v>82</v>
      </c>
      <c r="AB59" s="166"/>
      <c r="AC59" s="166"/>
      <c r="AD59" s="166"/>
      <c r="AE59" s="167"/>
      <c r="AF59" s="165"/>
      <c r="AG59" s="166"/>
      <c r="AH59" s="166"/>
      <c r="AI59" s="166"/>
      <c r="AJ59" s="167"/>
      <c r="AK59" s="165"/>
      <c r="AL59" s="166"/>
      <c r="AM59" s="166"/>
      <c r="AN59" s="167"/>
      <c r="AO59" s="165"/>
      <c r="AP59" s="166"/>
      <c r="AQ59" s="166"/>
      <c r="AR59" s="166"/>
      <c r="AS59" s="166"/>
      <c r="AT59" s="167"/>
      <c r="AU59" s="165" t="s">
        <v>94</v>
      </c>
      <c r="AV59" s="166"/>
      <c r="AW59" s="166"/>
      <c r="AX59" s="166"/>
      <c r="AY59" s="167"/>
    </row>
    <row r="60" spans="1:51" x14ac:dyDescent="0.15">
      <c r="A60" s="1"/>
      <c r="B60" s="224"/>
      <c r="C60" s="225"/>
      <c r="D60" s="226"/>
      <c r="E60" s="158"/>
      <c r="F60" s="214"/>
      <c r="G60" s="214"/>
      <c r="H60" s="159"/>
      <c r="I60" s="158"/>
      <c r="J60" s="159"/>
      <c r="K60" s="158"/>
      <c r="L60" s="159"/>
      <c r="M60" s="158"/>
      <c r="N60" s="159"/>
      <c r="O60" s="158"/>
      <c r="P60" s="214"/>
      <c r="Q60" s="159"/>
      <c r="R60" s="216" t="s">
        <v>15</v>
      </c>
      <c r="S60" s="217"/>
      <c r="T60" s="217"/>
      <c r="U60" s="218"/>
      <c r="V60" s="125" t="s">
        <v>359</v>
      </c>
      <c r="W60" s="126"/>
      <c r="X60" s="126"/>
      <c r="Y60" s="126"/>
      <c r="Z60" s="193"/>
      <c r="AA60" s="165" t="s">
        <v>95</v>
      </c>
      <c r="AB60" s="166"/>
      <c r="AC60" s="166"/>
      <c r="AD60" s="166"/>
      <c r="AE60" s="167"/>
      <c r="AF60" s="165" t="s">
        <v>16</v>
      </c>
      <c r="AG60" s="166"/>
      <c r="AH60" s="166"/>
      <c r="AI60" s="166"/>
      <c r="AJ60" s="167"/>
      <c r="AK60" s="165" t="s">
        <v>17</v>
      </c>
      <c r="AL60" s="166"/>
      <c r="AM60" s="166"/>
      <c r="AN60" s="167"/>
      <c r="AO60" s="165" t="s">
        <v>82</v>
      </c>
      <c r="AP60" s="166"/>
      <c r="AQ60" s="166"/>
      <c r="AR60" s="166"/>
      <c r="AS60" s="166"/>
      <c r="AT60" s="167"/>
      <c r="AU60" s="165" t="s">
        <v>96</v>
      </c>
      <c r="AV60" s="166"/>
      <c r="AW60" s="166"/>
      <c r="AX60" s="166"/>
      <c r="AY60" s="167"/>
    </row>
    <row r="61" spans="1:51" x14ac:dyDescent="0.15">
      <c r="A61" s="1"/>
      <c r="B61" s="227"/>
      <c r="C61" s="228"/>
      <c r="D61" s="229"/>
      <c r="E61" s="160"/>
      <c r="F61" s="215"/>
      <c r="G61" s="215"/>
      <c r="H61" s="161"/>
      <c r="I61" s="160"/>
      <c r="J61" s="161"/>
      <c r="K61" s="160"/>
      <c r="L61" s="161"/>
      <c r="M61" s="160"/>
      <c r="N61" s="161"/>
      <c r="O61" s="160"/>
      <c r="P61" s="215"/>
      <c r="Q61" s="161"/>
      <c r="R61" s="206" t="s">
        <v>15</v>
      </c>
      <c r="S61" s="211"/>
      <c r="T61" s="211"/>
      <c r="U61" s="212"/>
      <c r="V61" s="125" t="s">
        <v>362</v>
      </c>
      <c r="W61" s="126"/>
      <c r="X61" s="126"/>
      <c r="Y61" s="126"/>
      <c r="Z61" s="193"/>
      <c r="AA61" s="125" t="s">
        <v>97</v>
      </c>
      <c r="AB61" s="209"/>
      <c r="AC61" s="209"/>
      <c r="AD61" s="209"/>
      <c r="AE61" s="210"/>
      <c r="AF61" s="125" t="s">
        <v>16</v>
      </c>
      <c r="AG61" s="209"/>
      <c r="AH61" s="209"/>
      <c r="AI61" s="209"/>
      <c r="AJ61" s="210"/>
      <c r="AK61" s="125" t="s">
        <v>17</v>
      </c>
      <c r="AL61" s="209"/>
      <c r="AM61" s="209"/>
      <c r="AN61" s="210"/>
      <c r="AO61" s="125" t="s">
        <v>82</v>
      </c>
      <c r="AP61" s="209"/>
      <c r="AQ61" s="209"/>
      <c r="AR61" s="209"/>
      <c r="AS61" s="209"/>
      <c r="AT61" s="210"/>
      <c r="AU61" s="125" t="s">
        <v>98</v>
      </c>
      <c r="AV61" s="209"/>
      <c r="AW61" s="209"/>
      <c r="AX61" s="209"/>
      <c r="AY61" s="210"/>
    </row>
    <row r="62" spans="1:51" x14ac:dyDescent="0.15">
      <c r="A62" s="1"/>
      <c r="B62" s="205" t="s">
        <v>18</v>
      </c>
      <c r="C62" s="205"/>
      <c r="D62" s="205"/>
      <c r="E62" s="205" t="s">
        <v>19</v>
      </c>
      <c r="F62" s="205"/>
      <c r="G62" s="205"/>
      <c r="H62" s="205"/>
      <c r="I62" s="205" t="s">
        <v>19</v>
      </c>
      <c r="J62" s="205"/>
      <c r="K62" s="205"/>
      <c r="L62" s="205"/>
      <c r="M62" s="205"/>
      <c r="N62" s="205"/>
      <c r="O62" s="205" t="s">
        <v>19</v>
      </c>
      <c r="P62" s="205"/>
      <c r="Q62" s="205"/>
      <c r="R62" s="206" t="s">
        <v>19</v>
      </c>
      <c r="S62" s="207"/>
      <c r="T62" s="207"/>
      <c r="U62" s="208"/>
      <c r="V62" s="125" t="s">
        <v>19</v>
      </c>
      <c r="W62" s="126"/>
      <c r="X62" s="126"/>
      <c r="Y62" s="126"/>
      <c r="Z62" s="193"/>
      <c r="AA62" s="125" t="s">
        <v>363</v>
      </c>
      <c r="AB62" s="126"/>
      <c r="AC62" s="126"/>
      <c r="AD62" s="135"/>
      <c r="AE62" s="136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2"/>
      <c r="AW62" s="32"/>
      <c r="AX62" s="32"/>
      <c r="AY62" s="32"/>
    </row>
    <row r="63" spans="1:51" x14ac:dyDescent="0.15">
      <c r="A63" s="1"/>
      <c r="B63" s="1"/>
      <c r="C63" s="137" t="s">
        <v>214</v>
      </c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</row>
    <row r="64" spans="1:51" x14ac:dyDescent="0.15">
      <c r="A64" s="1"/>
      <c r="B64" s="1"/>
      <c r="C64" s="137" t="s">
        <v>215</v>
      </c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</row>
    <row r="65" spans="1:51" ht="4.5" customHeight="1" x14ac:dyDescent="0.15">
      <c r="A65" s="1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18"/>
      <c r="V65" s="192"/>
      <c r="W65" s="192"/>
      <c r="X65" s="192"/>
      <c r="Y65" s="192"/>
      <c r="Z65" s="192"/>
      <c r="AA65" s="192"/>
      <c r="AB65" s="192"/>
      <c r="AC65" s="192"/>
      <c r="AD65" s="118"/>
      <c r="AE65" s="118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1"/>
      <c r="AW65" s="1"/>
      <c r="AX65" s="1"/>
      <c r="AY65" s="1"/>
    </row>
    <row r="66" spans="1:51" x14ac:dyDescent="0.15">
      <c r="A66" s="1"/>
      <c r="B66" s="61" t="s">
        <v>313</v>
      </c>
      <c r="C66" s="61"/>
      <c r="D66" s="61"/>
      <c r="E66" s="164" t="s">
        <v>6</v>
      </c>
      <c r="F66" s="61"/>
      <c r="G66" s="61"/>
      <c r="H66" s="61"/>
      <c r="I66" s="164" t="s">
        <v>7</v>
      </c>
      <c r="J66" s="61"/>
      <c r="K66" s="61"/>
      <c r="L66" s="61"/>
      <c r="M66" s="61"/>
      <c r="N66" s="61"/>
      <c r="O66" s="61" t="s">
        <v>8</v>
      </c>
      <c r="P66" s="61"/>
      <c r="Q66" s="61"/>
      <c r="R66" s="175" t="s">
        <v>9</v>
      </c>
      <c r="S66" s="176"/>
      <c r="T66" s="176"/>
      <c r="U66" s="177"/>
      <c r="V66" s="180" t="s">
        <v>10</v>
      </c>
      <c r="W66" s="180"/>
      <c r="X66" s="180"/>
      <c r="Y66" s="180"/>
      <c r="Z66" s="180"/>
      <c r="AA66" s="173" t="s">
        <v>11</v>
      </c>
      <c r="AB66" s="173"/>
      <c r="AC66" s="173"/>
      <c r="AD66" s="182"/>
      <c r="AE66" s="182"/>
      <c r="AF66" s="180" t="s">
        <v>12</v>
      </c>
      <c r="AG66" s="180"/>
      <c r="AH66" s="180"/>
      <c r="AI66" s="180"/>
      <c r="AJ66" s="180"/>
      <c r="AK66" s="164" t="s">
        <v>13</v>
      </c>
      <c r="AL66" s="61"/>
      <c r="AM66" s="61"/>
      <c r="AN66" s="61"/>
      <c r="AO66" s="61" t="s">
        <v>14</v>
      </c>
      <c r="AP66" s="61"/>
      <c r="AQ66" s="61"/>
      <c r="AR66" s="61"/>
      <c r="AS66" s="61"/>
      <c r="AT66" s="172"/>
      <c r="AU66" s="173" t="s">
        <v>4</v>
      </c>
      <c r="AV66" s="173"/>
      <c r="AW66" s="173"/>
      <c r="AX66" s="173"/>
      <c r="AY66" s="173"/>
    </row>
    <row r="67" spans="1:51" x14ac:dyDescent="0.15">
      <c r="A67" s="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178"/>
      <c r="S67" s="178"/>
      <c r="T67" s="178"/>
      <c r="U67" s="179"/>
      <c r="V67" s="181"/>
      <c r="W67" s="181"/>
      <c r="X67" s="181"/>
      <c r="Y67" s="181"/>
      <c r="Z67" s="181"/>
      <c r="AA67" s="174"/>
      <c r="AB67" s="174"/>
      <c r="AC67" s="174"/>
      <c r="AD67" s="183"/>
      <c r="AE67" s="183"/>
      <c r="AF67" s="181"/>
      <c r="AG67" s="181"/>
      <c r="AH67" s="181"/>
      <c r="AI67" s="181"/>
      <c r="AJ67" s="181"/>
      <c r="AK67" s="61"/>
      <c r="AL67" s="61"/>
      <c r="AM67" s="61"/>
      <c r="AN67" s="61"/>
      <c r="AO67" s="61"/>
      <c r="AP67" s="61"/>
      <c r="AQ67" s="61"/>
      <c r="AR67" s="61"/>
      <c r="AS67" s="61"/>
      <c r="AT67" s="172"/>
      <c r="AU67" s="174"/>
      <c r="AV67" s="174"/>
      <c r="AW67" s="174"/>
      <c r="AX67" s="174"/>
      <c r="AY67" s="174"/>
    </row>
    <row r="68" spans="1:51" x14ac:dyDescent="0.15">
      <c r="A68" s="1"/>
      <c r="B68" s="252">
        <v>7</v>
      </c>
      <c r="C68" s="244"/>
      <c r="D68" s="245"/>
      <c r="E68" s="243" t="s">
        <v>111</v>
      </c>
      <c r="F68" s="244"/>
      <c r="G68" s="244"/>
      <c r="H68" s="245"/>
      <c r="I68" s="251">
        <v>1</v>
      </c>
      <c r="J68" s="235"/>
      <c r="K68" s="251">
        <v>2</v>
      </c>
      <c r="L68" s="235"/>
      <c r="M68" s="252"/>
      <c r="N68" s="245"/>
      <c r="O68" s="251">
        <v>1</v>
      </c>
      <c r="P68" s="234"/>
      <c r="Q68" s="235"/>
      <c r="R68" s="233" t="s">
        <v>112</v>
      </c>
      <c r="S68" s="234"/>
      <c r="T68" s="234"/>
      <c r="U68" s="235"/>
      <c r="V68" s="230" t="s">
        <v>113</v>
      </c>
      <c r="W68" s="231"/>
      <c r="X68" s="231"/>
      <c r="Y68" s="231"/>
      <c r="Z68" s="232"/>
      <c r="AA68" s="230" t="s">
        <v>114</v>
      </c>
      <c r="AB68" s="231"/>
      <c r="AC68" s="231"/>
      <c r="AD68" s="231"/>
      <c r="AE68" s="232"/>
      <c r="AF68" s="230" t="s">
        <v>115</v>
      </c>
      <c r="AG68" s="231"/>
      <c r="AH68" s="231"/>
      <c r="AI68" s="231"/>
      <c r="AJ68" s="232"/>
      <c r="AK68" s="230" t="s">
        <v>116</v>
      </c>
      <c r="AL68" s="231"/>
      <c r="AM68" s="231"/>
      <c r="AN68" s="232"/>
      <c r="AO68" s="230"/>
      <c r="AP68" s="231"/>
      <c r="AQ68" s="231"/>
      <c r="AR68" s="231"/>
      <c r="AS68" s="231"/>
      <c r="AT68" s="232"/>
      <c r="AU68" s="230"/>
      <c r="AV68" s="231"/>
      <c r="AW68" s="231"/>
      <c r="AX68" s="231"/>
      <c r="AY68" s="232"/>
    </row>
    <row r="69" spans="1:51" x14ac:dyDescent="0.15">
      <c r="A69" s="1"/>
      <c r="B69" s="248"/>
      <c r="C69" s="67"/>
      <c r="D69" s="247"/>
      <c r="E69" s="246"/>
      <c r="F69" s="67"/>
      <c r="G69" s="67"/>
      <c r="H69" s="247"/>
      <c r="I69" s="236"/>
      <c r="J69" s="238"/>
      <c r="K69" s="236"/>
      <c r="L69" s="238"/>
      <c r="M69" s="248"/>
      <c r="N69" s="247"/>
      <c r="O69" s="236"/>
      <c r="P69" s="237"/>
      <c r="Q69" s="238"/>
      <c r="R69" s="236"/>
      <c r="S69" s="237"/>
      <c r="T69" s="237"/>
      <c r="U69" s="238"/>
      <c r="V69" s="256" t="s">
        <v>117</v>
      </c>
      <c r="W69" s="257"/>
      <c r="X69" s="257"/>
      <c r="Y69" s="257"/>
      <c r="Z69" s="258"/>
      <c r="AA69" s="256" t="s">
        <v>118</v>
      </c>
      <c r="AB69" s="257"/>
      <c r="AC69" s="257"/>
      <c r="AD69" s="257"/>
      <c r="AE69" s="258"/>
      <c r="AF69" s="256" t="s">
        <v>119</v>
      </c>
      <c r="AG69" s="257"/>
      <c r="AH69" s="257"/>
      <c r="AI69" s="257"/>
      <c r="AJ69" s="258"/>
      <c r="AK69" s="256" t="s">
        <v>120</v>
      </c>
      <c r="AL69" s="257"/>
      <c r="AM69" s="257"/>
      <c r="AN69" s="258"/>
      <c r="AO69" s="256"/>
      <c r="AP69" s="257"/>
      <c r="AQ69" s="257"/>
      <c r="AR69" s="257"/>
      <c r="AS69" s="257"/>
      <c r="AT69" s="258"/>
      <c r="AU69" s="256"/>
      <c r="AV69" s="257"/>
      <c r="AW69" s="257"/>
      <c r="AX69" s="257"/>
      <c r="AY69" s="258"/>
    </row>
    <row r="70" spans="1:51" x14ac:dyDescent="0.15">
      <c r="A70" s="1"/>
      <c r="B70" s="248"/>
      <c r="C70" s="67"/>
      <c r="D70" s="247"/>
      <c r="E70" s="248"/>
      <c r="F70" s="67"/>
      <c r="G70" s="67"/>
      <c r="H70" s="247"/>
      <c r="I70" s="236"/>
      <c r="J70" s="238"/>
      <c r="K70" s="236"/>
      <c r="L70" s="238"/>
      <c r="M70" s="248"/>
      <c r="N70" s="247"/>
      <c r="O70" s="236"/>
      <c r="P70" s="237"/>
      <c r="Q70" s="238"/>
      <c r="R70" s="230"/>
      <c r="S70" s="239"/>
      <c r="T70" s="239"/>
      <c r="U70" s="240"/>
      <c r="V70" s="121" t="s">
        <v>121</v>
      </c>
      <c r="W70" s="241"/>
      <c r="X70" s="241"/>
      <c r="Y70" s="241"/>
      <c r="Z70" s="242"/>
      <c r="AA70" s="121" t="s">
        <v>122</v>
      </c>
      <c r="AB70" s="241"/>
      <c r="AC70" s="241"/>
      <c r="AD70" s="241"/>
      <c r="AE70" s="242"/>
      <c r="AF70" s="121" t="s">
        <v>123</v>
      </c>
      <c r="AG70" s="241"/>
      <c r="AH70" s="241"/>
      <c r="AI70" s="241"/>
      <c r="AJ70" s="242"/>
      <c r="AK70" s="121" t="s">
        <v>124</v>
      </c>
      <c r="AL70" s="241"/>
      <c r="AM70" s="241"/>
      <c r="AN70" s="242"/>
      <c r="AO70" s="121"/>
      <c r="AP70" s="241"/>
      <c r="AQ70" s="241"/>
      <c r="AR70" s="241"/>
      <c r="AS70" s="241"/>
      <c r="AT70" s="242"/>
      <c r="AU70" s="121"/>
      <c r="AV70" s="241"/>
      <c r="AW70" s="241"/>
      <c r="AX70" s="241"/>
      <c r="AY70" s="242"/>
    </row>
    <row r="71" spans="1:51" x14ac:dyDescent="0.15">
      <c r="A71" s="1"/>
      <c r="B71" s="248"/>
      <c r="C71" s="67"/>
      <c r="D71" s="247"/>
      <c r="E71" s="248"/>
      <c r="F71" s="67"/>
      <c r="G71" s="67"/>
      <c r="H71" s="247"/>
      <c r="I71" s="236"/>
      <c r="J71" s="238"/>
      <c r="K71" s="236"/>
      <c r="L71" s="238"/>
      <c r="M71" s="248"/>
      <c r="N71" s="247"/>
      <c r="O71" s="236"/>
      <c r="P71" s="237"/>
      <c r="Q71" s="238"/>
      <c r="R71" s="233" t="s">
        <v>125</v>
      </c>
      <c r="S71" s="234"/>
      <c r="T71" s="234"/>
      <c r="U71" s="235"/>
      <c r="V71" s="230" t="s">
        <v>126</v>
      </c>
      <c r="W71" s="231"/>
      <c r="X71" s="231"/>
      <c r="Y71" s="231"/>
      <c r="Z71" s="232"/>
      <c r="AA71" s="230"/>
      <c r="AB71" s="231"/>
      <c r="AC71" s="231"/>
      <c r="AD71" s="231"/>
      <c r="AE71" s="232"/>
      <c r="AF71" s="230"/>
      <c r="AG71" s="231"/>
      <c r="AH71" s="231"/>
      <c r="AI71" s="231"/>
      <c r="AJ71" s="232"/>
      <c r="AK71" s="230" t="s">
        <v>120</v>
      </c>
      <c r="AL71" s="231"/>
      <c r="AM71" s="231"/>
      <c r="AN71" s="232"/>
      <c r="AO71" s="230"/>
      <c r="AP71" s="231"/>
      <c r="AQ71" s="231"/>
      <c r="AR71" s="231"/>
      <c r="AS71" s="231"/>
      <c r="AT71" s="232"/>
      <c r="AU71" s="230" t="s">
        <v>127</v>
      </c>
      <c r="AV71" s="231"/>
      <c r="AW71" s="231"/>
      <c r="AX71" s="231"/>
      <c r="AY71" s="232"/>
    </row>
    <row r="72" spans="1:51" x14ac:dyDescent="0.15">
      <c r="A72" s="1"/>
      <c r="B72" s="248"/>
      <c r="C72" s="67"/>
      <c r="D72" s="247"/>
      <c r="E72" s="248"/>
      <c r="F72" s="67"/>
      <c r="G72" s="67"/>
      <c r="H72" s="247"/>
      <c r="I72" s="236"/>
      <c r="J72" s="238"/>
      <c r="K72" s="236"/>
      <c r="L72" s="238"/>
      <c r="M72" s="248"/>
      <c r="N72" s="247"/>
      <c r="O72" s="236"/>
      <c r="P72" s="237"/>
      <c r="Q72" s="238"/>
      <c r="R72" s="236"/>
      <c r="S72" s="237"/>
      <c r="T72" s="237"/>
      <c r="U72" s="238"/>
      <c r="V72" s="256" t="s">
        <v>128</v>
      </c>
      <c r="W72" s="257"/>
      <c r="X72" s="257"/>
      <c r="Y72" s="257"/>
      <c r="Z72" s="258"/>
      <c r="AA72" s="256"/>
      <c r="AB72" s="257"/>
      <c r="AC72" s="257"/>
      <c r="AD72" s="257"/>
      <c r="AE72" s="258"/>
      <c r="AF72" s="256"/>
      <c r="AG72" s="257"/>
      <c r="AH72" s="257"/>
      <c r="AI72" s="257"/>
      <c r="AJ72" s="258"/>
      <c r="AK72" s="256" t="s">
        <v>129</v>
      </c>
      <c r="AL72" s="257"/>
      <c r="AM72" s="257"/>
      <c r="AN72" s="258"/>
      <c r="AO72" s="256"/>
      <c r="AP72" s="257"/>
      <c r="AQ72" s="257"/>
      <c r="AR72" s="257"/>
      <c r="AS72" s="257"/>
      <c r="AT72" s="258"/>
      <c r="AU72" s="256" t="s">
        <v>130</v>
      </c>
      <c r="AV72" s="257"/>
      <c r="AW72" s="257"/>
      <c r="AX72" s="257"/>
      <c r="AY72" s="258"/>
    </row>
    <row r="73" spans="1:51" x14ac:dyDescent="0.15">
      <c r="A73" s="1"/>
      <c r="B73" s="249"/>
      <c r="C73" s="192"/>
      <c r="D73" s="250"/>
      <c r="E73" s="249"/>
      <c r="F73" s="192"/>
      <c r="G73" s="192"/>
      <c r="H73" s="250"/>
      <c r="I73" s="230"/>
      <c r="J73" s="240"/>
      <c r="K73" s="230"/>
      <c r="L73" s="240"/>
      <c r="M73" s="249"/>
      <c r="N73" s="250"/>
      <c r="O73" s="230"/>
      <c r="P73" s="239"/>
      <c r="Q73" s="240"/>
      <c r="R73" s="230"/>
      <c r="S73" s="239"/>
      <c r="T73" s="239"/>
      <c r="U73" s="240"/>
      <c r="V73" s="121" t="s">
        <v>131</v>
      </c>
      <c r="W73" s="241"/>
      <c r="X73" s="241"/>
      <c r="Y73" s="241"/>
      <c r="Z73" s="242"/>
      <c r="AA73" s="121"/>
      <c r="AB73" s="241"/>
      <c r="AC73" s="241"/>
      <c r="AD73" s="241"/>
      <c r="AE73" s="242"/>
      <c r="AF73" s="121"/>
      <c r="AG73" s="241"/>
      <c r="AH73" s="241"/>
      <c r="AI73" s="241"/>
      <c r="AJ73" s="242"/>
      <c r="AK73" s="121" t="s">
        <v>120</v>
      </c>
      <c r="AL73" s="241"/>
      <c r="AM73" s="241"/>
      <c r="AN73" s="242"/>
      <c r="AO73" s="121"/>
      <c r="AP73" s="241"/>
      <c r="AQ73" s="241"/>
      <c r="AR73" s="241"/>
      <c r="AS73" s="241"/>
      <c r="AT73" s="242"/>
      <c r="AU73" s="121" t="s">
        <v>132</v>
      </c>
      <c r="AV73" s="241"/>
      <c r="AW73" s="241"/>
      <c r="AX73" s="241"/>
      <c r="AY73" s="242"/>
    </row>
    <row r="74" spans="1:51" x14ac:dyDescent="0.15">
      <c r="A74" s="1"/>
      <c r="B74" s="253" t="s">
        <v>18</v>
      </c>
      <c r="C74" s="253"/>
      <c r="D74" s="253"/>
      <c r="E74" s="253" t="s">
        <v>19</v>
      </c>
      <c r="F74" s="253"/>
      <c r="G74" s="253"/>
      <c r="H74" s="253"/>
      <c r="I74" s="253" t="s">
        <v>19</v>
      </c>
      <c r="J74" s="253"/>
      <c r="K74" s="253"/>
      <c r="L74" s="253"/>
      <c r="M74" s="253"/>
      <c r="N74" s="253"/>
      <c r="O74" s="253" t="s">
        <v>19</v>
      </c>
      <c r="P74" s="253"/>
      <c r="Q74" s="253"/>
      <c r="R74" s="121" t="s">
        <v>19</v>
      </c>
      <c r="S74" s="122"/>
      <c r="T74" s="122"/>
      <c r="U74" s="254"/>
      <c r="V74" s="121" t="s">
        <v>19</v>
      </c>
      <c r="W74" s="122"/>
      <c r="X74" s="122"/>
      <c r="Y74" s="122"/>
      <c r="Z74" s="255"/>
      <c r="AA74" s="121" t="s">
        <v>20</v>
      </c>
      <c r="AB74" s="122"/>
      <c r="AC74" s="122"/>
      <c r="AD74" s="259"/>
      <c r="AE74" s="254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1"/>
      <c r="AW74" s="1"/>
      <c r="AX74" s="1"/>
      <c r="AY74" s="1"/>
    </row>
    <row r="75" spans="1:51" x14ac:dyDescent="0.15">
      <c r="A75" s="1"/>
      <c r="B75" s="244"/>
      <c r="C75" s="244"/>
      <c r="D75" s="244"/>
      <c r="E75" s="244"/>
      <c r="F75" s="244"/>
      <c r="G75" s="244"/>
      <c r="H75" s="244"/>
      <c r="I75" s="244"/>
      <c r="J75" s="244"/>
      <c r="K75" s="244"/>
      <c r="L75" s="244"/>
      <c r="M75" s="244"/>
      <c r="N75" s="244"/>
      <c r="O75" s="244"/>
      <c r="P75" s="244"/>
      <c r="Q75" s="244"/>
      <c r="R75" s="244"/>
      <c r="S75" s="244"/>
      <c r="T75" s="244"/>
      <c r="U75" s="260"/>
      <c r="V75" s="244"/>
      <c r="W75" s="244"/>
      <c r="X75" s="244"/>
      <c r="Y75" s="244"/>
      <c r="Z75" s="244"/>
      <c r="AA75" s="244"/>
      <c r="AB75" s="244"/>
      <c r="AC75" s="244"/>
      <c r="AD75" s="260"/>
      <c r="AE75" s="260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1"/>
      <c r="AW75" s="1"/>
      <c r="AX75" s="1"/>
      <c r="AY75" s="1"/>
    </row>
    <row r="76" spans="1:51" x14ac:dyDescent="0.15">
      <c r="A76" s="2" t="s">
        <v>25</v>
      </c>
      <c r="B76" s="35"/>
      <c r="C76" s="1"/>
      <c r="E76" s="35"/>
      <c r="F76" s="35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34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34"/>
    </row>
    <row r="77" spans="1:51" x14ac:dyDescent="0.15">
      <c r="A77" s="1"/>
      <c r="B77" s="137" t="s">
        <v>145</v>
      </c>
      <c r="C77" s="137"/>
      <c r="D77" s="137"/>
      <c r="E77" s="137"/>
      <c r="F77" s="137"/>
      <c r="G77" s="266"/>
      <c r="H77" s="267"/>
      <c r="I77" s="267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  <c r="AC77" s="267"/>
      <c r="AD77" s="267"/>
      <c r="AE77" s="267"/>
      <c r="AF77" s="267"/>
      <c r="AG77" s="267"/>
      <c r="AH77" s="267"/>
      <c r="AI77" s="267"/>
      <c r="AJ77" s="267"/>
      <c r="AK77" s="267"/>
      <c r="AL77" s="267"/>
      <c r="AM77" s="267"/>
      <c r="AN77" s="267"/>
      <c r="AO77" s="267"/>
      <c r="AP77" s="267"/>
      <c r="AQ77" s="267"/>
      <c r="AR77" s="267"/>
      <c r="AS77" s="267"/>
      <c r="AT77" s="267"/>
      <c r="AU77" s="267"/>
      <c r="AV77" s="267"/>
      <c r="AW77" s="267"/>
      <c r="AX77" s="267"/>
      <c r="AY77" s="268"/>
    </row>
    <row r="78" spans="1:51" x14ac:dyDescent="0.15">
      <c r="A78" s="1"/>
      <c r="B78" s="35"/>
      <c r="C78" s="1"/>
      <c r="E78" s="35"/>
      <c r="F78" s="35" t="s">
        <v>144</v>
      </c>
      <c r="G78" s="137" t="s">
        <v>142</v>
      </c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4" t="s">
        <v>141</v>
      </c>
      <c r="W78" s="137" t="s">
        <v>143</v>
      </c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4"/>
    </row>
    <row r="79" spans="1:51" x14ac:dyDescent="0.15">
      <c r="A79" s="1"/>
      <c r="B79" s="61" t="s">
        <v>135</v>
      </c>
      <c r="C79" s="61"/>
      <c r="D79" s="263" t="s">
        <v>37</v>
      </c>
      <c r="E79" s="264"/>
      <c r="F79" s="264"/>
      <c r="G79" s="264"/>
      <c r="H79" s="264"/>
      <c r="I79" s="264"/>
      <c r="J79" s="264"/>
      <c r="K79" s="265"/>
      <c r="L79" s="263" t="s">
        <v>38</v>
      </c>
      <c r="M79" s="264"/>
      <c r="N79" s="264"/>
      <c r="O79" s="264"/>
      <c r="P79" s="264"/>
      <c r="Q79" s="264"/>
      <c r="R79" s="264"/>
      <c r="S79" s="264"/>
      <c r="T79" s="286" t="s">
        <v>66</v>
      </c>
      <c r="U79" s="287"/>
      <c r="V79" s="286" t="s">
        <v>136</v>
      </c>
      <c r="W79" s="288"/>
      <c r="X79" s="288"/>
      <c r="Y79" s="287"/>
      <c r="Z79" s="263" t="s">
        <v>21</v>
      </c>
      <c r="AA79" s="277"/>
      <c r="AB79" s="277"/>
      <c r="AC79" s="277"/>
      <c r="AD79" s="277"/>
      <c r="AE79" s="263" t="s">
        <v>22</v>
      </c>
      <c r="AF79" s="277"/>
      <c r="AG79" s="277"/>
      <c r="AH79" s="280"/>
      <c r="AI79" s="263" t="s">
        <v>23</v>
      </c>
      <c r="AJ79" s="277"/>
      <c r="AK79" s="277"/>
      <c r="AL79" s="277"/>
      <c r="AM79" s="277"/>
      <c r="AN79" s="277"/>
      <c r="AO79" s="277"/>
      <c r="AP79" s="277"/>
      <c r="AQ79" s="263" t="s">
        <v>24</v>
      </c>
      <c r="AR79" s="277"/>
      <c r="AS79" s="277"/>
      <c r="AT79" s="277"/>
      <c r="AU79" s="277"/>
      <c r="AV79" s="277"/>
      <c r="AW79" s="277"/>
      <c r="AX79" s="277"/>
      <c r="AY79" s="280"/>
    </row>
    <row r="80" spans="1:51" ht="13.5" customHeight="1" x14ac:dyDescent="0.15">
      <c r="A80" s="1"/>
      <c r="B80" s="253" t="s">
        <v>69</v>
      </c>
      <c r="C80" s="253"/>
      <c r="D80" s="253" t="s">
        <v>312</v>
      </c>
      <c r="E80" s="253"/>
      <c r="F80" s="253"/>
      <c r="G80" s="253"/>
      <c r="H80" s="253"/>
      <c r="I80" s="253"/>
      <c r="J80" s="253"/>
      <c r="K80" s="253"/>
      <c r="L80" s="409" t="s">
        <v>339</v>
      </c>
      <c r="M80" s="409"/>
      <c r="N80" s="409"/>
      <c r="O80" s="409"/>
      <c r="P80" s="409"/>
      <c r="Q80" s="409"/>
      <c r="R80" s="409"/>
      <c r="S80" s="409"/>
      <c r="T80" s="290" t="s">
        <v>206</v>
      </c>
      <c r="U80" s="66"/>
      <c r="V80" s="291" t="s">
        <v>71</v>
      </c>
      <c r="W80" s="276"/>
      <c r="X80" s="276"/>
      <c r="Y80" s="276"/>
      <c r="Z80" s="278" t="s">
        <v>74</v>
      </c>
      <c r="AA80" s="279"/>
      <c r="AB80" s="279"/>
      <c r="AC80" s="279"/>
      <c r="AD80" s="279"/>
      <c r="AE80" s="290" t="s">
        <v>106</v>
      </c>
      <c r="AF80" s="297"/>
      <c r="AG80" s="297"/>
      <c r="AH80" s="297"/>
      <c r="AI80" s="290" t="s">
        <v>75</v>
      </c>
      <c r="AJ80" s="298"/>
      <c r="AK80" s="298"/>
      <c r="AL80" s="298"/>
      <c r="AM80" s="298"/>
      <c r="AN80" s="298"/>
      <c r="AO80" s="298"/>
      <c r="AP80" s="299"/>
      <c r="AQ80" s="290" t="s">
        <v>221</v>
      </c>
      <c r="AR80" s="65"/>
      <c r="AS80" s="65"/>
      <c r="AT80" s="65"/>
      <c r="AU80" s="65"/>
      <c r="AV80" s="65"/>
      <c r="AW80" s="65"/>
      <c r="AX80" s="65"/>
      <c r="AY80" s="66"/>
    </row>
    <row r="81" spans="1:53" x14ac:dyDescent="0.15">
      <c r="A81" s="1"/>
      <c r="B81" s="261" t="s">
        <v>26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260"/>
      <c r="U81" s="262"/>
      <c r="V81" s="269" t="str">
        <f>IF(T80="有","有効","無効")</f>
        <v>有効</v>
      </c>
      <c r="W81" s="270"/>
      <c r="X81" s="270"/>
      <c r="Y81" s="270"/>
      <c r="Z81" s="270"/>
      <c r="AA81" s="270"/>
      <c r="AB81" s="270"/>
      <c r="AC81" s="270"/>
      <c r="AD81" s="270"/>
      <c r="AE81" s="270"/>
      <c r="AF81" s="270"/>
      <c r="AG81" s="270"/>
      <c r="AH81" s="270"/>
      <c r="AI81" s="270"/>
      <c r="AJ81" s="270"/>
      <c r="AK81" s="270"/>
      <c r="AL81" s="270"/>
      <c r="AM81" s="270"/>
      <c r="AN81" s="270"/>
      <c r="AO81" s="270"/>
      <c r="AP81" s="270"/>
      <c r="AQ81" s="270"/>
      <c r="AR81" s="270"/>
      <c r="AS81" s="270"/>
      <c r="AT81" s="270"/>
      <c r="AU81" s="270"/>
      <c r="AV81" s="270"/>
      <c r="AW81" s="270"/>
      <c r="AX81" s="270"/>
      <c r="AY81" s="271"/>
    </row>
    <row r="82" spans="1:53" x14ac:dyDescent="0.15">
      <c r="A82" s="1"/>
      <c r="B82" s="41"/>
      <c r="C82" s="272" t="s">
        <v>27</v>
      </c>
      <c r="D82" s="272"/>
      <c r="E82" s="272"/>
      <c r="F82" s="272"/>
      <c r="G82" s="272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3"/>
      <c r="U82" s="273"/>
      <c r="V82" s="274"/>
      <c r="W82" s="275"/>
      <c r="X82" s="275"/>
      <c r="Y82" s="275"/>
      <c r="Z82" s="275"/>
      <c r="AA82" s="275"/>
      <c r="AB82" s="275"/>
      <c r="AC82" s="275"/>
      <c r="AD82" s="275"/>
      <c r="AE82" s="275"/>
      <c r="AF82" s="275"/>
      <c r="AG82" s="26"/>
      <c r="AH82" s="26"/>
      <c r="AI82" s="26" t="s">
        <v>204</v>
      </c>
      <c r="AJ82" s="276"/>
      <c r="AK82" s="276"/>
      <c r="AL82" s="276"/>
      <c r="AM82" s="276"/>
      <c r="AN82" s="276"/>
      <c r="AO82" s="276"/>
      <c r="AP82" s="276"/>
      <c r="AQ82" s="276"/>
      <c r="AR82" s="26" t="s">
        <v>205</v>
      </c>
      <c r="AS82" s="26"/>
      <c r="AT82" s="26"/>
      <c r="AU82" s="26"/>
      <c r="AV82" s="26"/>
      <c r="AW82" s="26"/>
      <c r="AX82" s="26"/>
      <c r="AY82" s="27"/>
      <c r="AZ82" s="16">
        <v>1</v>
      </c>
      <c r="BA82" s="16" t="s">
        <v>171</v>
      </c>
    </row>
    <row r="83" spans="1:53" x14ac:dyDescent="0.15">
      <c r="A83" s="1"/>
      <c r="B83" s="41"/>
      <c r="C83" s="281" t="s">
        <v>28</v>
      </c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2"/>
      <c r="U83" s="282"/>
      <c r="V83" s="283"/>
      <c r="W83" s="284"/>
      <c r="X83" s="284"/>
      <c r="Y83" s="284"/>
      <c r="Z83" s="284"/>
      <c r="AA83" s="284"/>
      <c r="AB83" s="284"/>
      <c r="AC83" s="284"/>
      <c r="AD83" s="284"/>
      <c r="AE83" s="284"/>
      <c r="AF83" s="284"/>
      <c r="AG83" s="284"/>
      <c r="AH83" s="284"/>
      <c r="AI83" s="284"/>
      <c r="AJ83" s="284"/>
      <c r="AK83" s="284"/>
      <c r="AL83" s="284"/>
      <c r="AM83" s="284"/>
      <c r="AN83" s="284"/>
      <c r="AO83" s="284"/>
      <c r="AP83" s="284"/>
      <c r="AQ83" s="284"/>
      <c r="AR83" s="284"/>
      <c r="AS83" s="284"/>
      <c r="AT83" s="284"/>
      <c r="AU83" s="284"/>
      <c r="AV83" s="284"/>
      <c r="AW83" s="284"/>
      <c r="AX83" s="284"/>
      <c r="AY83" s="285"/>
      <c r="AZ83" s="16">
        <v>2</v>
      </c>
      <c r="BA83" s="16" t="s">
        <v>172</v>
      </c>
    </row>
    <row r="84" spans="1:53" x14ac:dyDescent="0.15">
      <c r="A84" s="1"/>
      <c r="B84" s="41"/>
      <c r="C84" s="281" t="s">
        <v>29</v>
      </c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2"/>
      <c r="U84" s="282"/>
      <c r="V84" s="300"/>
      <c r="W84" s="301"/>
      <c r="X84" s="301"/>
      <c r="Y84" s="301"/>
      <c r="Z84" s="301"/>
      <c r="AA84" s="301"/>
      <c r="AB84" s="301"/>
      <c r="AC84" s="301"/>
      <c r="AD84" s="301"/>
      <c r="AE84" s="301"/>
      <c r="AF84" s="301"/>
      <c r="AG84" s="301"/>
      <c r="AH84" s="301"/>
      <c r="AI84" s="301"/>
      <c r="AJ84" s="301"/>
      <c r="AK84" s="301"/>
      <c r="AL84" s="301"/>
      <c r="AM84" s="301"/>
      <c r="AN84" s="301"/>
      <c r="AO84" s="301"/>
      <c r="AP84" s="301"/>
      <c r="AQ84" s="301"/>
      <c r="AR84" s="301"/>
      <c r="AS84" s="301"/>
      <c r="AT84" s="301"/>
      <c r="AU84" s="301"/>
      <c r="AV84" s="301"/>
      <c r="AW84" s="301"/>
      <c r="AX84" s="301"/>
      <c r="AY84" s="302"/>
      <c r="AZ84" s="16">
        <v>3</v>
      </c>
      <c r="BA84" s="16" t="s">
        <v>173</v>
      </c>
    </row>
    <row r="85" spans="1:53" x14ac:dyDescent="0.15">
      <c r="A85" s="1"/>
      <c r="B85" s="40"/>
      <c r="C85" s="292" t="s">
        <v>30</v>
      </c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3"/>
      <c r="U85" s="293"/>
      <c r="V85" s="294"/>
      <c r="W85" s="295"/>
      <c r="X85" s="295"/>
      <c r="Y85" s="295"/>
      <c r="Z85" s="295"/>
      <c r="AA85" s="295"/>
      <c r="AB85" s="295"/>
      <c r="AC85" s="295"/>
      <c r="AD85" s="295"/>
      <c r="AE85" s="295"/>
      <c r="AF85" s="295"/>
      <c r="AG85" s="295"/>
      <c r="AH85" s="295"/>
      <c r="AI85" s="295"/>
      <c r="AJ85" s="295"/>
      <c r="AK85" s="295"/>
      <c r="AL85" s="295"/>
      <c r="AM85" s="295"/>
      <c r="AN85" s="295"/>
      <c r="AO85" s="295"/>
      <c r="AP85" s="295"/>
      <c r="AQ85" s="295"/>
      <c r="AR85" s="295"/>
      <c r="AS85" s="295"/>
      <c r="AT85" s="295"/>
      <c r="AU85" s="295"/>
      <c r="AV85" s="295"/>
      <c r="AW85" s="295"/>
      <c r="AX85" s="295"/>
      <c r="AY85" s="296"/>
      <c r="AZ85" s="16">
        <v>4</v>
      </c>
      <c r="BA85" s="16" t="s">
        <v>174</v>
      </c>
    </row>
    <row r="86" spans="1:53" x14ac:dyDescent="0.15">
      <c r="A86" s="1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4"/>
      <c r="U86" s="4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16">
        <v>5</v>
      </c>
      <c r="BA86" s="16" t="s">
        <v>175</v>
      </c>
    </row>
    <row r="87" spans="1:53" x14ac:dyDescent="0.15">
      <c r="A87" s="1"/>
      <c r="B87" s="61" t="s">
        <v>135</v>
      </c>
      <c r="C87" s="61"/>
      <c r="D87" s="263" t="s">
        <v>37</v>
      </c>
      <c r="E87" s="264"/>
      <c r="F87" s="264"/>
      <c r="G87" s="264"/>
      <c r="H87" s="264"/>
      <c r="I87" s="264"/>
      <c r="J87" s="264"/>
      <c r="K87" s="265"/>
      <c r="L87" s="263" t="s">
        <v>38</v>
      </c>
      <c r="M87" s="264"/>
      <c r="N87" s="264"/>
      <c r="O87" s="264"/>
      <c r="P87" s="264"/>
      <c r="Q87" s="264"/>
      <c r="R87" s="264"/>
      <c r="S87" s="264"/>
      <c r="T87" s="286" t="s">
        <v>66</v>
      </c>
      <c r="U87" s="287"/>
      <c r="V87" s="286" t="s">
        <v>136</v>
      </c>
      <c r="W87" s="288"/>
      <c r="X87" s="288"/>
      <c r="Y87" s="287"/>
      <c r="Z87" s="263" t="s">
        <v>21</v>
      </c>
      <c r="AA87" s="277"/>
      <c r="AB87" s="277"/>
      <c r="AC87" s="277"/>
      <c r="AD87" s="277"/>
      <c r="AE87" s="263" t="s">
        <v>22</v>
      </c>
      <c r="AF87" s="277"/>
      <c r="AG87" s="277"/>
      <c r="AH87" s="280"/>
      <c r="AI87" s="263" t="s">
        <v>23</v>
      </c>
      <c r="AJ87" s="277"/>
      <c r="AK87" s="277"/>
      <c r="AL87" s="277"/>
      <c r="AM87" s="277"/>
      <c r="AN87" s="277"/>
      <c r="AO87" s="277"/>
      <c r="AP87" s="277"/>
      <c r="AQ87" s="263" t="s">
        <v>24</v>
      </c>
      <c r="AR87" s="277"/>
      <c r="AS87" s="277"/>
      <c r="AT87" s="277"/>
      <c r="AU87" s="277"/>
      <c r="AV87" s="277"/>
      <c r="AW87" s="277"/>
      <c r="AX87" s="277"/>
      <c r="AY87" s="280"/>
      <c r="AZ87" s="16">
        <v>6</v>
      </c>
      <c r="BA87" s="16" t="s">
        <v>176</v>
      </c>
    </row>
    <row r="88" spans="1:53" ht="13.5" customHeight="1" x14ac:dyDescent="0.15">
      <c r="A88" s="1"/>
      <c r="B88" s="253" t="s">
        <v>40</v>
      </c>
      <c r="C88" s="253"/>
      <c r="D88" s="253" t="s">
        <v>310</v>
      </c>
      <c r="E88" s="253"/>
      <c r="F88" s="253"/>
      <c r="G88" s="253"/>
      <c r="H88" s="253"/>
      <c r="I88" s="253"/>
      <c r="J88" s="253"/>
      <c r="K88" s="253"/>
      <c r="L88" s="409" t="s">
        <v>338</v>
      </c>
      <c r="M88" s="409"/>
      <c r="N88" s="409"/>
      <c r="O88" s="409"/>
      <c r="P88" s="409"/>
      <c r="Q88" s="409"/>
      <c r="R88" s="409"/>
      <c r="S88" s="409"/>
      <c r="T88" s="290" t="s">
        <v>206</v>
      </c>
      <c r="U88" s="66"/>
      <c r="V88" s="291" t="s">
        <v>71</v>
      </c>
      <c r="W88" s="276"/>
      <c r="X88" s="276"/>
      <c r="Y88" s="276"/>
      <c r="Z88" s="278" t="s">
        <v>74</v>
      </c>
      <c r="AA88" s="279"/>
      <c r="AB88" s="279"/>
      <c r="AC88" s="279"/>
      <c r="AD88" s="279"/>
      <c r="AE88" s="290" t="s">
        <v>106</v>
      </c>
      <c r="AF88" s="297"/>
      <c r="AG88" s="297"/>
      <c r="AH88" s="297"/>
      <c r="AI88" s="290" t="s">
        <v>75</v>
      </c>
      <c r="AJ88" s="298"/>
      <c r="AK88" s="298"/>
      <c r="AL88" s="298"/>
      <c r="AM88" s="298"/>
      <c r="AN88" s="298"/>
      <c r="AO88" s="298"/>
      <c r="AP88" s="299"/>
      <c r="AQ88" s="290" t="s">
        <v>222</v>
      </c>
      <c r="AR88" s="65"/>
      <c r="AS88" s="65"/>
      <c r="AT88" s="65"/>
      <c r="AU88" s="65"/>
      <c r="AV88" s="65"/>
      <c r="AW88" s="65"/>
      <c r="AX88" s="65"/>
      <c r="AY88" s="66"/>
      <c r="AZ88" s="16">
        <v>7</v>
      </c>
      <c r="BA88" s="16" t="s">
        <v>177</v>
      </c>
    </row>
    <row r="89" spans="1:53" x14ac:dyDescent="0.15">
      <c r="A89" s="1"/>
      <c r="B89" s="261" t="s">
        <v>26</v>
      </c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303"/>
      <c r="V89" s="269" t="str">
        <f>IF(T88="有","有効","無効")</f>
        <v>有効</v>
      </c>
      <c r="W89" s="270"/>
      <c r="X89" s="270"/>
      <c r="Y89" s="270"/>
      <c r="Z89" s="270"/>
      <c r="AA89" s="270"/>
      <c r="AB89" s="270"/>
      <c r="AC89" s="270"/>
      <c r="AD89" s="270"/>
      <c r="AE89" s="270"/>
      <c r="AF89" s="270"/>
      <c r="AG89" s="270"/>
      <c r="AH89" s="270"/>
      <c r="AI89" s="270"/>
      <c r="AJ89" s="270"/>
      <c r="AK89" s="270"/>
      <c r="AL89" s="270"/>
      <c r="AM89" s="270"/>
      <c r="AN89" s="270"/>
      <c r="AO89" s="270"/>
      <c r="AP89" s="270"/>
      <c r="AQ89" s="270"/>
      <c r="AR89" s="270"/>
      <c r="AS89" s="270"/>
      <c r="AT89" s="270"/>
      <c r="AU89" s="270"/>
      <c r="AV89" s="270"/>
      <c r="AW89" s="270"/>
      <c r="AX89" s="270"/>
      <c r="AY89" s="271"/>
      <c r="AZ89" s="16">
        <v>8</v>
      </c>
      <c r="BA89" s="16" t="s">
        <v>178</v>
      </c>
    </row>
    <row r="90" spans="1:53" x14ac:dyDescent="0.15">
      <c r="A90" s="1"/>
      <c r="B90" s="41"/>
      <c r="C90" s="304" t="s">
        <v>27</v>
      </c>
      <c r="D90" s="305"/>
      <c r="E90" s="305"/>
      <c r="F90" s="305"/>
      <c r="G90" s="305"/>
      <c r="H90" s="305"/>
      <c r="I90" s="305"/>
      <c r="J90" s="305"/>
      <c r="K90" s="305"/>
      <c r="L90" s="305"/>
      <c r="M90" s="305"/>
      <c r="N90" s="305"/>
      <c r="O90" s="305"/>
      <c r="P90" s="305"/>
      <c r="Q90" s="305"/>
      <c r="R90" s="305"/>
      <c r="S90" s="305"/>
      <c r="T90" s="305"/>
      <c r="U90" s="306"/>
      <c r="V90" s="274"/>
      <c r="W90" s="275"/>
      <c r="X90" s="275"/>
      <c r="Y90" s="275"/>
      <c r="Z90" s="275"/>
      <c r="AA90" s="275"/>
      <c r="AB90" s="275"/>
      <c r="AC90" s="275"/>
      <c r="AD90" s="275"/>
      <c r="AE90" s="275"/>
      <c r="AF90" s="275"/>
      <c r="AG90" s="26" t="s">
        <v>141</v>
      </c>
      <c r="AH90" s="26"/>
      <c r="AI90" s="26" t="s">
        <v>204</v>
      </c>
      <c r="AJ90" s="276" t="e">
        <f>VLOOKUP(AH90,$AZ$82:$BA$113,2,)</f>
        <v>#N/A</v>
      </c>
      <c r="AK90" s="276"/>
      <c r="AL90" s="276"/>
      <c r="AM90" s="276"/>
      <c r="AN90" s="276"/>
      <c r="AO90" s="276"/>
      <c r="AP90" s="276"/>
      <c r="AQ90" s="276"/>
      <c r="AR90" s="26" t="s">
        <v>205</v>
      </c>
      <c r="AS90" s="26"/>
      <c r="AT90" s="26"/>
      <c r="AU90" s="26"/>
      <c r="AV90" s="26"/>
      <c r="AW90" s="26"/>
      <c r="AX90" s="26"/>
      <c r="AY90" s="27"/>
      <c r="AZ90" s="16">
        <v>9</v>
      </c>
      <c r="BA90" s="16" t="s">
        <v>179</v>
      </c>
    </row>
    <row r="91" spans="1:53" x14ac:dyDescent="0.15">
      <c r="A91" s="1"/>
      <c r="B91" s="41"/>
      <c r="C91" s="281" t="s">
        <v>28</v>
      </c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2"/>
      <c r="U91" s="282"/>
      <c r="V91" s="300"/>
      <c r="W91" s="301"/>
      <c r="X91" s="301"/>
      <c r="Y91" s="301"/>
      <c r="Z91" s="301"/>
      <c r="AA91" s="301"/>
      <c r="AB91" s="301"/>
      <c r="AC91" s="301"/>
      <c r="AD91" s="301"/>
      <c r="AE91" s="301"/>
      <c r="AF91" s="301"/>
      <c r="AG91" s="301"/>
      <c r="AH91" s="301"/>
      <c r="AI91" s="301"/>
      <c r="AJ91" s="301"/>
      <c r="AK91" s="301"/>
      <c r="AL91" s="301"/>
      <c r="AM91" s="301"/>
      <c r="AN91" s="301"/>
      <c r="AO91" s="301"/>
      <c r="AP91" s="301"/>
      <c r="AQ91" s="301"/>
      <c r="AR91" s="301"/>
      <c r="AS91" s="301"/>
      <c r="AT91" s="301"/>
      <c r="AU91" s="301"/>
      <c r="AV91" s="301"/>
      <c r="AW91" s="301"/>
      <c r="AX91" s="301"/>
      <c r="AY91" s="302"/>
      <c r="AZ91" s="16">
        <v>10</v>
      </c>
      <c r="BA91" s="16" t="s">
        <v>180</v>
      </c>
    </row>
    <row r="92" spans="1:53" x14ac:dyDescent="0.15">
      <c r="A92" s="1"/>
      <c r="B92" s="41"/>
      <c r="C92" s="281" t="s">
        <v>29</v>
      </c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2"/>
      <c r="U92" s="282"/>
      <c r="V92" s="300"/>
      <c r="W92" s="301"/>
      <c r="X92" s="301"/>
      <c r="Y92" s="301"/>
      <c r="Z92" s="301"/>
      <c r="AA92" s="301"/>
      <c r="AB92" s="301"/>
      <c r="AC92" s="301"/>
      <c r="AD92" s="301"/>
      <c r="AE92" s="301"/>
      <c r="AF92" s="301"/>
      <c r="AG92" s="301"/>
      <c r="AH92" s="301"/>
      <c r="AI92" s="301"/>
      <c r="AJ92" s="301"/>
      <c r="AK92" s="301"/>
      <c r="AL92" s="301"/>
      <c r="AM92" s="301"/>
      <c r="AN92" s="301"/>
      <c r="AO92" s="301"/>
      <c r="AP92" s="301"/>
      <c r="AQ92" s="301"/>
      <c r="AR92" s="301"/>
      <c r="AS92" s="301"/>
      <c r="AT92" s="301"/>
      <c r="AU92" s="301"/>
      <c r="AV92" s="301"/>
      <c r="AW92" s="301"/>
      <c r="AX92" s="301"/>
      <c r="AY92" s="302"/>
      <c r="AZ92" s="16">
        <v>11</v>
      </c>
      <c r="BA92" s="16" t="s">
        <v>181</v>
      </c>
    </row>
    <row r="93" spans="1:53" x14ac:dyDescent="0.15">
      <c r="A93" s="1"/>
      <c r="B93" s="40"/>
      <c r="C93" s="292" t="s">
        <v>30</v>
      </c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3"/>
      <c r="U93" s="293"/>
      <c r="V93" s="294"/>
      <c r="W93" s="295"/>
      <c r="X93" s="295"/>
      <c r="Y93" s="295"/>
      <c r="Z93" s="295"/>
      <c r="AA93" s="295"/>
      <c r="AB93" s="295"/>
      <c r="AC93" s="295"/>
      <c r="AD93" s="295"/>
      <c r="AE93" s="295"/>
      <c r="AF93" s="295"/>
      <c r="AG93" s="295"/>
      <c r="AH93" s="295"/>
      <c r="AI93" s="295"/>
      <c r="AJ93" s="295"/>
      <c r="AK93" s="295"/>
      <c r="AL93" s="295"/>
      <c r="AM93" s="295"/>
      <c r="AN93" s="295"/>
      <c r="AO93" s="295"/>
      <c r="AP93" s="295"/>
      <c r="AQ93" s="295"/>
      <c r="AR93" s="295"/>
      <c r="AS93" s="295"/>
      <c r="AT93" s="295"/>
      <c r="AU93" s="295"/>
      <c r="AV93" s="295"/>
      <c r="AW93" s="295"/>
      <c r="AX93" s="295"/>
      <c r="AY93" s="296"/>
      <c r="AZ93" s="16">
        <v>12</v>
      </c>
      <c r="BA93" s="16" t="s">
        <v>182</v>
      </c>
    </row>
    <row r="94" spans="1:5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16">
        <v>13</v>
      </c>
      <c r="BA94" s="16" t="s">
        <v>183</v>
      </c>
    </row>
    <row r="95" spans="1:53" x14ac:dyDescent="0.15">
      <c r="A95" s="1"/>
      <c r="B95" s="61" t="s">
        <v>135</v>
      </c>
      <c r="C95" s="61"/>
      <c r="D95" s="263" t="s">
        <v>37</v>
      </c>
      <c r="E95" s="264"/>
      <c r="F95" s="264"/>
      <c r="G95" s="264"/>
      <c r="H95" s="264"/>
      <c r="I95" s="264"/>
      <c r="J95" s="264"/>
      <c r="K95" s="265"/>
      <c r="L95" s="263" t="s">
        <v>38</v>
      </c>
      <c r="M95" s="264"/>
      <c r="N95" s="264"/>
      <c r="O95" s="264"/>
      <c r="P95" s="264"/>
      <c r="Q95" s="264"/>
      <c r="R95" s="264"/>
      <c r="S95" s="264"/>
      <c r="T95" s="286" t="s">
        <v>66</v>
      </c>
      <c r="U95" s="287"/>
      <c r="V95" s="309" t="s">
        <v>136</v>
      </c>
      <c r="W95" s="310"/>
      <c r="X95" s="310"/>
      <c r="Y95" s="311"/>
      <c r="Z95" s="263" t="s">
        <v>21</v>
      </c>
      <c r="AA95" s="277"/>
      <c r="AB95" s="277"/>
      <c r="AC95" s="277"/>
      <c r="AD95" s="277"/>
      <c r="AE95" s="263" t="s">
        <v>22</v>
      </c>
      <c r="AF95" s="277"/>
      <c r="AG95" s="277"/>
      <c r="AH95" s="280"/>
      <c r="AI95" s="263" t="s">
        <v>23</v>
      </c>
      <c r="AJ95" s="277"/>
      <c r="AK95" s="277"/>
      <c r="AL95" s="277"/>
      <c r="AM95" s="277"/>
      <c r="AN95" s="277"/>
      <c r="AO95" s="277"/>
      <c r="AP95" s="277"/>
      <c r="AQ95" s="263" t="s">
        <v>24</v>
      </c>
      <c r="AR95" s="277"/>
      <c r="AS95" s="277"/>
      <c r="AT95" s="277"/>
      <c r="AU95" s="277"/>
      <c r="AV95" s="277"/>
      <c r="AW95" s="277"/>
      <c r="AX95" s="277"/>
      <c r="AY95" s="280"/>
      <c r="AZ95" s="16">
        <v>14</v>
      </c>
      <c r="BA95" s="16" t="s">
        <v>184</v>
      </c>
    </row>
    <row r="96" spans="1:53" ht="13.5" customHeight="1" x14ac:dyDescent="0.15">
      <c r="A96" s="1"/>
      <c r="B96" s="253" t="s">
        <v>72</v>
      </c>
      <c r="C96" s="253"/>
      <c r="D96" s="253" t="s">
        <v>308</v>
      </c>
      <c r="E96" s="253"/>
      <c r="F96" s="253"/>
      <c r="G96" s="253"/>
      <c r="H96" s="253"/>
      <c r="I96" s="253"/>
      <c r="J96" s="253"/>
      <c r="K96" s="253"/>
      <c r="L96" s="409" t="s">
        <v>337</v>
      </c>
      <c r="M96" s="409"/>
      <c r="N96" s="409"/>
      <c r="O96" s="409"/>
      <c r="P96" s="409"/>
      <c r="Q96" s="409"/>
      <c r="R96" s="409"/>
      <c r="S96" s="409"/>
      <c r="T96" s="290" t="s">
        <v>207</v>
      </c>
      <c r="U96" s="66"/>
      <c r="V96" s="312" t="s">
        <v>71</v>
      </c>
      <c r="W96" s="313"/>
      <c r="X96" s="313"/>
      <c r="Y96" s="313"/>
      <c r="Z96" s="278"/>
      <c r="AA96" s="279"/>
      <c r="AB96" s="279"/>
      <c r="AC96" s="279"/>
      <c r="AD96" s="279"/>
      <c r="AE96" s="290"/>
      <c r="AF96" s="297"/>
      <c r="AG96" s="297"/>
      <c r="AH96" s="297"/>
      <c r="AI96" s="290"/>
      <c r="AJ96" s="298"/>
      <c r="AK96" s="298"/>
      <c r="AL96" s="298"/>
      <c r="AM96" s="298"/>
      <c r="AN96" s="298"/>
      <c r="AO96" s="298"/>
      <c r="AP96" s="299"/>
      <c r="AQ96" s="290" t="s">
        <v>209</v>
      </c>
      <c r="AR96" s="65"/>
      <c r="AS96" s="65"/>
      <c r="AT96" s="65"/>
      <c r="AU96" s="65"/>
      <c r="AV96" s="65"/>
      <c r="AW96" s="65"/>
      <c r="AX96" s="65"/>
      <c r="AY96" s="66"/>
      <c r="AZ96" s="16">
        <v>15</v>
      </c>
      <c r="BA96" s="16" t="s">
        <v>185</v>
      </c>
    </row>
    <row r="97" spans="1:53" x14ac:dyDescent="0.15">
      <c r="A97" s="1"/>
      <c r="B97" s="261" t="s">
        <v>26</v>
      </c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260"/>
      <c r="U97" s="262"/>
      <c r="V97" s="269" t="str">
        <f>IF(T96="有","有効","無効")</f>
        <v>無効</v>
      </c>
      <c r="W97" s="270"/>
      <c r="X97" s="270"/>
      <c r="Y97" s="270"/>
      <c r="Z97" s="270"/>
      <c r="AA97" s="270"/>
      <c r="AB97" s="270"/>
      <c r="AC97" s="270"/>
      <c r="AD97" s="270"/>
      <c r="AE97" s="270"/>
      <c r="AF97" s="270"/>
      <c r="AG97" s="270"/>
      <c r="AH97" s="270"/>
      <c r="AI97" s="270"/>
      <c r="AJ97" s="270"/>
      <c r="AK97" s="270"/>
      <c r="AL97" s="270"/>
      <c r="AM97" s="270"/>
      <c r="AN97" s="270"/>
      <c r="AO97" s="270"/>
      <c r="AP97" s="270"/>
      <c r="AQ97" s="270"/>
      <c r="AR97" s="270"/>
      <c r="AS97" s="270"/>
      <c r="AT97" s="270"/>
      <c r="AU97" s="270"/>
      <c r="AV97" s="270"/>
      <c r="AW97" s="270"/>
      <c r="AX97" s="270"/>
      <c r="AY97" s="271"/>
      <c r="AZ97" s="16">
        <v>16</v>
      </c>
      <c r="BA97" s="16" t="s">
        <v>186</v>
      </c>
    </row>
    <row r="98" spans="1:53" x14ac:dyDescent="0.15">
      <c r="A98" s="1"/>
      <c r="B98" s="41"/>
      <c r="C98" s="272" t="s">
        <v>27</v>
      </c>
      <c r="D98" s="272"/>
      <c r="E98" s="272"/>
      <c r="F98" s="272"/>
      <c r="G98" s="272"/>
      <c r="H98" s="272"/>
      <c r="I98" s="272"/>
      <c r="J98" s="272"/>
      <c r="K98" s="272"/>
      <c r="L98" s="272"/>
      <c r="M98" s="272"/>
      <c r="N98" s="272"/>
      <c r="O98" s="272"/>
      <c r="P98" s="272"/>
      <c r="Q98" s="272"/>
      <c r="R98" s="272"/>
      <c r="S98" s="272"/>
      <c r="T98" s="273"/>
      <c r="U98" s="273"/>
      <c r="V98" s="274"/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6" t="s">
        <v>141</v>
      </c>
      <c r="AH98" s="26"/>
      <c r="AI98" s="26" t="s">
        <v>204</v>
      </c>
      <c r="AJ98" s="276"/>
      <c r="AK98" s="276"/>
      <c r="AL98" s="276"/>
      <c r="AM98" s="276"/>
      <c r="AN98" s="276"/>
      <c r="AO98" s="276"/>
      <c r="AP98" s="276"/>
      <c r="AQ98" s="276"/>
      <c r="AR98" s="26" t="s">
        <v>205</v>
      </c>
      <c r="AS98" s="26"/>
      <c r="AT98" s="26"/>
      <c r="AU98" s="26"/>
      <c r="AV98" s="26"/>
      <c r="AW98" s="26"/>
      <c r="AX98" s="26"/>
      <c r="AY98" s="27"/>
      <c r="AZ98" s="16">
        <v>17</v>
      </c>
      <c r="BA98" s="16" t="s">
        <v>187</v>
      </c>
    </row>
    <row r="99" spans="1:53" x14ac:dyDescent="0.15">
      <c r="A99" s="1"/>
      <c r="B99" s="41"/>
      <c r="C99" s="281" t="s">
        <v>28</v>
      </c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2"/>
      <c r="U99" s="282"/>
      <c r="V99" s="314"/>
      <c r="W99" s="307"/>
      <c r="X99" s="307"/>
      <c r="Y99" s="307"/>
      <c r="Z99" s="307"/>
      <c r="AA99" s="307"/>
      <c r="AB99" s="307"/>
      <c r="AC99" s="307"/>
      <c r="AD99" s="307"/>
      <c r="AE99" s="307"/>
      <c r="AF99" s="307"/>
      <c r="AG99" s="307"/>
      <c r="AH99" s="307"/>
      <c r="AI99" s="307"/>
      <c r="AJ99" s="307"/>
      <c r="AK99" s="307"/>
      <c r="AL99" s="307"/>
      <c r="AM99" s="307"/>
      <c r="AN99" s="307"/>
      <c r="AO99" s="307"/>
      <c r="AP99" s="307"/>
      <c r="AQ99" s="307"/>
      <c r="AR99" s="307"/>
      <c r="AS99" s="307"/>
      <c r="AT99" s="307"/>
      <c r="AU99" s="307"/>
      <c r="AV99" s="307"/>
      <c r="AW99" s="307"/>
      <c r="AX99" s="307"/>
      <c r="AY99" s="308"/>
      <c r="AZ99" s="16">
        <v>18</v>
      </c>
      <c r="BA99" s="16" t="s">
        <v>188</v>
      </c>
    </row>
    <row r="100" spans="1:53" x14ac:dyDescent="0.15">
      <c r="A100" s="1"/>
      <c r="B100" s="41"/>
      <c r="C100" s="281" t="s">
        <v>29</v>
      </c>
      <c r="D100" s="281"/>
      <c r="E100" s="281"/>
      <c r="F100" s="281"/>
      <c r="G100" s="281"/>
      <c r="H100" s="281"/>
      <c r="I100" s="281"/>
      <c r="J100" s="281"/>
      <c r="K100" s="281"/>
      <c r="L100" s="281"/>
      <c r="M100" s="281"/>
      <c r="N100" s="281"/>
      <c r="O100" s="281"/>
      <c r="P100" s="281"/>
      <c r="Q100" s="281"/>
      <c r="R100" s="281"/>
      <c r="S100" s="281"/>
      <c r="T100" s="282"/>
      <c r="U100" s="282"/>
      <c r="V100" s="300"/>
      <c r="W100" s="307"/>
      <c r="X100" s="307"/>
      <c r="Y100" s="307"/>
      <c r="Z100" s="307"/>
      <c r="AA100" s="307"/>
      <c r="AB100" s="307"/>
      <c r="AC100" s="307"/>
      <c r="AD100" s="307"/>
      <c r="AE100" s="307"/>
      <c r="AF100" s="307"/>
      <c r="AG100" s="307"/>
      <c r="AH100" s="307"/>
      <c r="AI100" s="307"/>
      <c r="AJ100" s="307"/>
      <c r="AK100" s="307"/>
      <c r="AL100" s="307"/>
      <c r="AM100" s="307"/>
      <c r="AN100" s="307"/>
      <c r="AO100" s="307"/>
      <c r="AP100" s="307"/>
      <c r="AQ100" s="307"/>
      <c r="AR100" s="307"/>
      <c r="AS100" s="307"/>
      <c r="AT100" s="307"/>
      <c r="AU100" s="307"/>
      <c r="AV100" s="307"/>
      <c r="AW100" s="307"/>
      <c r="AX100" s="307"/>
      <c r="AY100" s="308"/>
      <c r="AZ100" s="16">
        <v>19</v>
      </c>
      <c r="BA100" s="16" t="s">
        <v>189</v>
      </c>
    </row>
    <row r="101" spans="1:53" x14ac:dyDescent="0.15">
      <c r="A101" s="1"/>
      <c r="B101" s="40"/>
      <c r="C101" s="292" t="s">
        <v>30</v>
      </c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3"/>
      <c r="U101" s="293"/>
      <c r="V101" s="294"/>
      <c r="W101" s="295"/>
      <c r="X101" s="295"/>
      <c r="Y101" s="295"/>
      <c r="Z101" s="295"/>
      <c r="AA101" s="295"/>
      <c r="AB101" s="295"/>
      <c r="AC101" s="295"/>
      <c r="AD101" s="295"/>
      <c r="AE101" s="295"/>
      <c r="AF101" s="295"/>
      <c r="AG101" s="295"/>
      <c r="AH101" s="295"/>
      <c r="AI101" s="295"/>
      <c r="AJ101" s="295"/>
      <c r="AK101" s="295"/>
      <c r="AL101" s="295"/>
      <c r="AM101" s="295"/>
      <c r="AN101" s="295"/>
      <c r="AO101" s="295"/>
      <c r="AP101" s="295"/>
      <c r="AQ101" s="295"/>
      <c r="AR101" s="295"/>
      <c r="AS101" s="295"/>
      <c r="AT101" s="295"/>
      <c r="AU101" s="295"/>
      <c r="AV101" s="295"/>
      <c r="AW101" s="295"/>
      <c r="AX101" s="295"/>
      <c r="AY101" s="296"/>
      <c r="AZ101" s="16">
        <v>20</v>
      </c>
      <c r="BA101" s="16" t="s">
        <v>190</v>
      </c>
    </row>
    <row r="102" spans="1:53" x14ac:dyDescent="0.15">
      <c r="A102" s="1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4"/>
      <c r="U102" s="4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16">
        <v>21</v>
      </c>
      <c r="BA102" s="16" t="s">
        <v>191</v>
      </c>
    </row>
    <row r="103" spans="1:53" x14ac:dyDescent="0.15">
      <c r="A103" s="1"/>
      <c r="B103" s="61" t="s">
        <v>135</v>
      </c>
      <c r="C103" s="61"/>
      <c r="D103" s="263" t="s">
        <v>37</v>
      </c>
      <c r="E103" s="264"/>
      <c r="F103" s="264"/>
      <c r="G103" s="264"/>
      <c r="H103" s="264"/>
      <c r="I103" s="264"/>
      <c r="J103" s="264"/>
      <c r="K103" s="265"/>
      <c r="L103" s="263" t="s">
        <v>38</v>
      </c>
      <c r="M103" s="264"/>
      <c r="N103" s="264"/>
      <c r="O103" s="264"/>
      <c r="P103" s="264"/>
      <c r="Q103" s="264"/>
      <c r="R103" s="264"/>
      <c r="S103" s="264"/>
      <c r="T103" s="286" t="s">
        <v>66</v>
      </c>
      <c r="U103" s="287"/>
      <c r="V103" s="309" t="s">
        <v>136</v>
      </c>
      <c r="W103" s="310"/>
      <c r="X103" s="310"/>
      <c r="Y103" s="311"/>
      <c r="Z103" s="263" t="s">
        <v>21</v>
      </c>
      <c r="AA103" s="277"/>
      <c r="AB103" s="277"/>
      <c r="AC103" s="277"/>
      <c r="AD103" s="277"/>
      <c r="AE103" s="263" t="s">
        <v>22</v>
      </c>
      <c r="AF103" s="277"/>
      <c r="AG103" s="277"/>
      <c r="AH103" s="280"/>
      <c r="AI103" s="263" t="s">
        <v>23</v>
      </c>
      <c r="AJ103" s="277"/>
      <c r="AK103" s="277"/>
      <c r="AL103" s="277"/>
      <c r="AM103" s="277"/>
      <c r="AN103" s="277"/>
      <c r="AO103" s="277"/>
      <c r="AP103" s="277"/>
      <c r="AQ103" s="263" t="s">
        <v>24</v>
      </c>
      <c r="AR103" s="277"/>
      <c r="AS103" s="277"/>
      <c r="AT103" s="277"/>
      <c r="AU103" s="277"/>
      <c r="AV103" s="277"/>
      <c r="AW103" s="277"/>
      <c r="AX103" s="277"/>
      <c r="AY103" s="280"/>
      <c r="AZ103" s="16">
        <v>22</v>
      </c>
      <c r="BA103" s="16" t="s">
        <v>192</v>
      </c>
    </row>
    <row r="104" spans="1:53" ht="13.5" customHeight="1" x14ac:dyDescent="0.15">
      <c r="A104" s="1"/>
      <c r="B104" s="253" t="s">
        <v>73</v>
      </c>
      <c r="C104" s="253"/>
      <c r="D104" s="253" t="s">
        <v>306</v>
      </c>
      <c r="E104" s="253"/>
      <c r="F104" s="253"/>
      <c r="G104" s="253"/>
      <c r="H104" s="253"/>
      <c r="I104" s="253"/>
      <c r="J104" s="253"/>
      <c r="K104" s="253"/>
      <c r="L104" s="409" t="s">
        <v>336</v>
      </c>
      <c r="M104" s="409"/>
      <c r="N104" s="409"/>
      <c r="O104" s="409"/>
      <c r="P104" s="409"/>
      <c r="Q104" s="409"/>
      <c r="R104" s="409"/>
      <c r="S104" s="409"/>
      <c r="T104" s="290" t="s">
        <v>207</v>
      </c>
      <c r="U104" s="66"/>
      <c r="V104" s="312" t="s">
        <v>71</v>
      </c>
      <c r="W104" s="313"/>
      <c r="X104" s="313"/>
      <c r="Y104" s="313"/>
      <c r="Z104" s="278"/>
      <c r="AA104" s="279"/>
      <c r="AB104" s="279"/>
      <c r="AC104" s="279"/>
      <c r="AD104" s="279"/>
      <c r="AE104" s="290"/>
      <c r="AF104" s="297"/>
      <c r="AG104" s="297"/>
      <c r="AH104" s="297"/>
      <c r="AI104" s="290"/>
      <c r="AJ104" s="298"/>
      <c r="AK104" s="298"/>
      <c r="AL104" s="298"/>
      <c r="AM104" s="298"/>
      <c r="AN104" s="298"/>
      <c r="AO104" s="298"/>
      <c r="AP104" s="299"/>
      <c r="AQ104" s="290" t="s">
        <v>222</v>
      </c>
      <c r="AR104" s="65"/>
      <c r="AS104" s="65"/>
      <c r="AT104" s="65"/>
      <c r="AU104" s="65"/>
      <c r="AV104" s="65"/>
      <c r="AW104" s="65"/>
      <c r="AX104" s="65"/>
      <c r="AY104" s="66"/>
      <c r="AZ104" s="16">
        <v>23</v>
      </c>
      <c r="BA104" s="16" t="s">
        <v>193</v>
      </c>
    </row>
    <row r="105" spans="1:53" x14ac:dyDescent="0.15">
      <c r="A105" s="1"/>
      <c r="B105" s="261" t="s">
        <v>26</v>
      </c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260"/>
      <c r="U105" s="262"/>
      <c r="V105" s="269" t="str">
        <f>IF(T104="有","有効","無効")</f>
        <v>無効</v>
      </c>
      <c r="W105" s="270"/>
      <c r="X105" s="270"/>
      <c r="Y105" s="270"/>
      <c r="Z105" s="270"/>
      <c r="AA105" s="270"/>
      <c r="AB105" s="270"/>
      <c r="AC105" s="270"/>
      <c r="AD105" s="270"/>
      <c r="AE105" s="270"/>
      <c r="AF105" s="270"/>
      <c r="AG105" s="270"/>
      <c r="AH105" s="270"/>
      <c r="AI105" s="270"/>
      <c r="AJ105" s="270"/>
      <c r="AK105" s="270"/>
      <c r="AL105" s="270"/>
      <c r="AM105" s="270"/>
      <c r="AN105" s="270"/>
      <c r="AO105" s="270"/>
      <c r="AP105" s="270"/>
      <c r="AQ105" s="270"/>
      <c r="AR105" s="270"/>
      <c r="AS105" s="270"/>
      <c r="AT105" s="270"/>
      <c r="AU105" s="270"/>
      <c r="AV105" s="270"/>
      <c r="AW105" s="270"/>
      <c r="AX105" s="270"/>
      <c r="AY105" s="271"/>
      <c r="AZ105" s="16">
        <v>24</v>
      </c>
      <c r="BA105" s="16" t="s">
        <v>194</v>
      </c>
    </row>
    <row r="106" spans="1:53" x14ac:dyDescent="0.15">
      <c r="A106" s="1"/>
      <c r="B106" s="41"/>
      <c r="C106" s="272" t="s">
        <v>27</v>
      </c>
      <c r="D106" s="272"/>
      <c r="E106" s="272"/>
      <c r="F106" s="272"/>
      <c r="G106" s="272"/>
      <c r="H106" s="272"/>
      <c r="I106" s="272"/>
      <c r="J106" s="272"/>
      <c r="K106" s="272"/>
      <c r="L106" s="272"/>
      <c r="M106" s="272"/>
      <c r="N106" s="272"/>
      <c r="O106" s="272"/>
      <c r="P106" s="272"/>
      <c r="Q106" s="272"/>
      <c r="R106" s="272"/>
      <c r="S106" s="272"/>
      <c r="T106" s="273"/>
      <c r="U106" s="273"/>
      <c r="V106" s="274"/>
      <c r="W106" s="275"/>
      <c r="X106" s="275"/>
      <c r="Y106" s="275"/>
      <c r="Z106" s="275"/>
      <c r="AA106" s="275"/>
      <c r="AB106" s="275"/>
      <c r="AC106" s="275"/>
      <c r="AD106" s="275"/>
      <c r="AE106" s="275"/>
      <c r="AF106" s="275"/>
      <c r="AG106" s="26" t="s">
        <v>141</v>
      </c>
      <c r="AH106" s="26"/>
      <c r="AI106" s="26" t="s">
        <v>204</v>
      </c>
      <c r="AJ106" s="276" t="e">
        <f>VLOOKUP(AH106,$AZ$82:$BA$113,2,)</f>
        <v>#N/A</v>
      </c>
      <c r="AK106" s="276"/>
      <c r="AL106" s="276"/>
      <c r="AM106" s="276"/>
      <c r="AN106" s="276"/>
      <c r="AO106" s="276"/>
      <c r="AP106" s="276"/>
      <c r="AQ106" s="276"/>
      <c r="AR106" s="26" t="s">
        <v>205</v>
      </c>
      <c r="AS106" s="26"/>
      <c r="AT106" s="26"/>
      <c r="AU106" s="26"/>
      <c r="AV106" s="26"/>
      <c r="AW106" s="26"/>
      <c r="AX106" s="26"/>
      <c r="AY106" s="27"/>
      <c r="AZ106" s="16">
        <v>25</v>
      </c>
      <c r="BA106" s="16" t="s">
        <v>195</v>
      </c>
    </row>
    <row r="107" spans="1:53" x14ac:dyDescent="0.15">
      <c r="A107" s="1"/>
      <c r="B107" s="41"/>
      <c r="C107" s="281" t="s">
        <v>28</v>
      </c>
      <c r="D107" s="281"/>
      <c r="E107" s="281"/>
      <c r="F107" s="281"/>
      <c r="G107" s="281"/>
      <c r="H107" s="281"/>
      <c r="I107" s="281"/>
      <c r="J107" s="281"/>
      <c r="K107" s="281"/>
      <c r="L107" s="281"/>
      <c r="M107" s="281"/>
      <c r="N107" s="281"/>
      <c r="O107" s="281"/>
      <c r="P107" s="281"/>
      <c r="Q107" s="281"/>
      <c r="R107" s="281"/>
      <c r="S107" s="281"/>
      <c r="T107" s="282"/>
      <c r="U107" s="282"/>
      <c r="V107" s="300"/>
      <c r="W107" s="301"/>
      <c r="X107" s="301"/>
      <c r="Y107" s="301"/>
      <c r="Z107" s="301"/>
      <c r="AA107" s="301"/>
      <c r="AB107" s="301"/>
      <c r="AC107" s="301"/>
      <c r="AD107" s="301"/>
      <c r="AE107" s="301"/>
      <c r="AF107" s="301"/>
      <c r="AG107" s="301"/>
      <c r="AH107" s="301"/>
      <c r="AI107" s="301"/>
      <c r="AJ107" s="301"/>
      <c r="AK107" s="301"/>
      <c r="AL107" s="301"/>
      <c r="AM107" s="301"/>
      <c r="AN107" s="301"/>
      <c r="AO107" s="301"/>
      <c r="AP107" s="301"/>
      <c r="AQ107" s="301"/>
      <c r="AR107" s="301"/>
      <c r="AS107" s="301"/>
      <c r="AT107" s="301"/>
      <c r="AU107" s="301"/>
      <c r="AV107" s="301"/>
      <c r="AW107" s="301"/>
      <c r="AX107" s="301"/>
      <c r="AY107" s="302"/>
      <c r="AZ107" s="16">
        <v>26</v>
      </c>
      <c r="BA107" s="16" t="s">
        <v>196</v>
      </c>
    </row>
    <row r="108" spans="1:53" x14ac:dyDescent="0.15">
      <c r="A108" s="1"/>
      <c r="B108" s="41"/>
      <c r="C108" s="281" t="s">
        <v>29</v>
      </c>
      <c r="D108" s="281"/>
      <c r="E108" s="281"/>
      <c r="F108" s="281"/>
      <c r="G108" s="281"/>
      <c r="H108" s="281"/>
      <c r="I108" s="281"/>
      <c r="J108" s="281"/>
      <c r="K108" s="281"/>
      <c r="L108" s="281"/>
      <c r="M108" s="281"/>
      <c r="N108" s="281"/>
      <c r="O108" s="281"/>
      <c r="P108" s="281"/>
      <c r="Q108" s="281"/>
      <c r="R108" s="281"/>
      <c r="S108" s="281"/>
      <c r="T108" s="282"/>
      <c r="U108" s="282"/>
      <c r="V108" s="300"/>
      <c r="W108" s="301"/>
      <c r="X108" s="301"/>
      <c r="Y108" s="301"/>
      <c r="Z108" s="301"/>
      <c r="AA108" s="301"/>
      <c r="AB108" s="301"/>
      <c r="AC108" s="301"/>
      <c r="AD108" s="301"/>
      <c r="AE108" s="301"/>
      <c r="AF108" s="301"/>
      <c r="AG108" s="301"/>
      <c r="AH108" s="301"/>
      <c r="AI108" s="301"/>
      <c r="AJ108" s="301"/>
      <c r="AK108" s="301"/>
      <c r="AL108" s="301"/>
      <c r="AM108" s="301"/>
      <c r="AN108" s="301"/>
      <c r="AO108" s="301"/>
      <c r="AP108" s="301"/>
      <c r="AQ108" s="301"/>
      <c r="AR108" s="301"/>
      <c r="AS108" s="301"/>
      <c r="AT108" s="301"/>
      <c r="AU108" s="301"/>
      <c r="AV108" s="301"/>
      <c r="AW108" s="301"/>
      <c r="AX108" s="301"/>
      <c r="AY108" s="302"/>
      <c r="AZ108" s="16">
        <v>27</v>
      </c>
      <c r="BA108" s="16" t="s">
        <v>197</v>
      </c>
    </row>
    <row r="109" spans="1:53" x14ac:dyDescent="0.15">
      <c r="A109" s="1"/>
      <c r="B109" s="40"/>
      <c r="C109" s="292" t="s">
        <v>30</v>
      </c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2"/>
      <c r="R109" s="292"/>
      <c r="S109" s="292"/>
      <c r="T109" s="293"/>
      <c r="U109" s="293"/>
      <c r="V109" s="294"/>
      <c r="W109" s="295"/>
      <c r="X109" s="295"/>
      <c r="Y109" s="295"/>
      <c r="Z109" s="295"/>
      <c r="AA109" s="295"/>
      <c r="AB109" s="295"/>
      <c r="AC109" s="295"/>
      <c r="AD109" s="295"/>
      <c r="AE109" s="295"/>
      <c r="AF109" s="295"/>
      <c r="AG109" s="295"/>
      <c r="AH109" s="295"/>
      <c r="AI109" s="295"/>
      <c r="AJ109" s="295"/>
      <c r="AK109" s="295"/>
      <c r="AL109" s="295"/>
      <c r="AM109" s="295"/>
      <c r="AN109" s="295"/>
      <c r="AO109" s="295"/>
      <c r="AP109" s="295"/>
      <c r="AQ109" s="295"/>
      <c r="AR109" s="295"/>
      <c r="AS109" s="295"/>
      <c r="AT109" s="295"/>
      <c r="AU109" s="295"/>
      <c r="AV109" s="295"/>
      <c r="AW109" s="295"/>
      <c r="AX109" s="295"/>
      <c r="AY109" s="296"/>
      <c r="AZ109" s="16">
        <v>28</v>
      </c>
      <c r="BA109" s="16" t="s">
        <v>198</v>
      </c>
    </row>
    <row r="110" spans="1:53" x14ac:dyDescent="0.15">
      <c r="A110" s="1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4"/>
      <c r="U110" s="4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16">
        <v>29</v>
      </c>
      <c r="BA110" s="16" t="s">
        <v>199</v>
      </c>
    </row>
    <row r="111" spans="1:53" x14ac:dyDescent="0.15">
      <c r="A111" s="1"/>
      <c r="B111" s="61" t="s">
        <v>135</v>
      </c>
      <c r="C111" s="61"/>
      <c r="D111" s="263" t="s">
        <v>37</v>
      </c>
      <c r="E111" s="264"/>
      <c r="F111" s="264"/>
      <c r="G111" s="264"/>
      <c r="H111" s="264"/>
      <c r="I111" s="264"/>
      <c r="J111" s="264"/>
      <c r="K111" s="265"/>
      <c r="L111" s="263" t="s">
        <v>38</v>
      </c>
      <c r="M111" s="264"/>
      <c r="N111" s="264"/>
      <c r="O111" s="264"/>
      <c r="P111" s="264"/>
      <c r="Q111" s="264"/>
      <c r="R111" s="264"/>
      <c r="S111" s="264"/>
      <c r="T111" s="286" t="s">
        <v>66</v>
      </c>
      <c r="U111" s="287"/>
      <c r="V111" s="286" t="s">
        <v>136</v>
      </c>
      <c r="W111" s="288"/>
      <c r="X111" s="288"/>
      <c r="Y111" s="287"/>
      <c r="Z111" s="263" t="s">
        <v>21</v>
      </c>
      <c r="AA111" s="277"/>
      <c r="AB111" s="277"/>
      <c r="AC111" s="277"/>
      <c r="AD111" s="277"/>
      <c r="AE111" s="263" t="s">
        <v>22</v>
      </c>
      <c r="AF111" s="277"/>
      <c r="AG111" s="277"/>
      <c r="AH111" s="280"/>
      <c r="AI111" s="263" t="s">
        <v>23</v>
      </c>
      <c r="AJ111" s="277"/>
      <c r="AK111" s="277"/>
      <c r="AL111" s="277"/>
      <c r="AM111" s="277"/>
      <c r="AN111" s="277"/>
      <c r="AO111" s="277"/>
      <c r="AP111" s="277"/>
      <c r="AQ111" s="263" t="s">
        <v>24</v>
      </c>
      <c r="AR111" s="277"/>
      <c r="AS111" s="277"/>
      <c r="AT111" s="277"/>
      <c r="AU111" s="277"/>
      <c r="AV111" s="277"/>
      <c r="AW111" s="277"/>
      <c r="AX111" s="277"/>
      <c r="AY111" s="280"/>
      <c r="AZ111" s="16">
        <v>30</v>
      </c>
      <c r="BA111" s="16" t="s">
        <v>200</v>
      </c>
    </row>
    <row r="112" spans="1:53" ht="13.5" customHeight="1" x14ac:dyDescent="0.15">
      <c r="A112" s="1"/>
      <c r="B112" s="253" t="s">
        <v>99</v>
      </c>
      <c r="C112" s="253"/>
      <c r="D112" s="253" t="s">
        <v>304</v>
      </c>
      <c r="E112" s="253"/>
      <c r="F112" s="253"/>
      <c r="G112" s="253"/>
      <c r="H112" s="253"/>
      <c r="I112" s="253"/>
      <c r="J112" s="253"/>
      <c r="K112" s="253"/>
      <c r="L112" s="125" t="s">
        <v>335</v>
      </c>
      <c r="M112" s="126"/>
      <c r="N112" s="126"/>
      <c r="O112" s="126"/>
      <c r="P112" s="126"/>
      <c r="Q112" s="126"/>
      <c r="R112" s="126"/>
      <c r="S112" s="193"/>
      <c r="T112" s="290" t="s">
        <v>207</v>
      </c>
      <c r="U112" s="66"/>
      <c r="V112" s="290" t="s">
        <v>71</v>
      </c>
      <c r="W112" s="65"/>
      <c r="X112" s="65"/>
      <c r="Y112" s="66"/>
      <c r="Z112" s="278" t="s">
        <v>74</v>
      </c>
      <c r="AA112" s="279"/>
      <c r="AB112" s="279"/>
      <c r="AC112" s="279"/>
      <c r="AD112" s="279"/>
      <c r="AE112" s="290" t="s">
        <v>106</v>
      </c>
      <c r="AF112" s="297"/>
      <c r="AG112" s="297"/>
      <c r="AH112" s="297"/>
      <c r="AI112" s="290" t="s">
        <v>75</v>
      </c>
      <c r="AJ112" s="298"/>
      <c r="AK112" s="298"/>
      <c r="AL112" s="298"/>
      <c r="AM112" s="298"/>
      <c r="AN112" s="298"/>
      <c r="AO112" s="298"/>
      <c r="AP112" s="299"/>
      <c r="AQ112" s="290"/>
      <c r="AR112" s="65"/>
      <c r="AS112" s="65"/>
      <c r="AT112" s="65"/>
      <c r="AU112" s="65"/>
      <c r="AV112" s="65"/>
      <c r="AW112" s="65"/>
      <c r="AX112" s="65"/>
      <c r="AY112" s="66"/>
      <c r="AZ112" s="16">
        <v>31</v>
      </c>
      <c r="BA112" s="16" t="s">
        <v>201</v>
      </c>
    </row>
    <row r="113" spans="1:53" x14ac:dyDescent="0.15">
      <c r="A113" s="1"/>
      <c r="B113" s="261" t="s">
        <v>26</v>
      </c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260"/>
      <c r="U113" s="262"/>
      <c r="V113" s="269" t="str">
        <f>IF(T112="有","有効","無効")</f>
        <v>無効</v>
      </c>
      <c r="W113" s="270"/>
      <c r="X113" s="270"/>
      <c r="Y113" s="270"/>
      <c r="Z113" s="270"/>
      <c r="AA113" s="270"/>
      <c r="AB113" s="270"/>
      <c r="AC113" s="270"/>
      <c r="AD113" s="270"/>
      <c r="AE113" s="270"/>
      <c r="AF113" s="270"/>
      <c r="AG113" s="270"/>
      <c r="AH113" s="270"/>
      <c r="AI113" s="270"/>
      <c r="AJ113" s="270"/>
      <c r="AK113" s="270"/>
      <c r="AL113" s="270"/>
      <c r="AM113" s="270"/>
      <c r="AN113" s="270"/>
      <c r="AO113" s="270"/>
      <c r="AP113" s="270"/>
      <c r="AQ113" s="270"/>
      <c r="AR113" s="270"/>
      <c r="AS113" s="270"/>
      <c r="AT113" s="270"/>
      <c r="AU113" s="270"/>
      <c r="AV113" s="270"/>
      <c r="AW113" s="270"/>
      <c r="AX113" s="270"/>
      <c r="AY113" s="271"/>
      <c r="AZ113" s="16">
        <v>32</v>
      </c>
      <c r="BA113" s="16" t="s">
        <v>202</v>
      </c>
    </row>
    <row r="114" spans="1:53" x14ac:dyDescent="0.15">
      <c r="A114" s="1"/>
      <c r="B114" s="41"/>
      <c r="C114" s="272" t="s">
        <v>27</v>
      </c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2"/>
      <c r="P114" s="272"/>
      <c r="Q114" s="272"/>
      <c r="R114" s="272"/>
      <c r="S114" s="272"/>
      <c r="T114" s="273"/>
      <c r="U114" s="273"/>
      <c r="V114" s="274"/>
      <c r="W114" s="275"/>
      <c r="X114" s="275"/>
      <c r="Y114" s="275"/>
      <c r="Z114" s="275"/>
      <c r="AA114" s="275"/>
      <c r="AB114" s="275"/>
      <c r="AC114" s="275"/>
      <c r="AD114" s="275"/>
      <c r="AE114" s="275"/>
      <c r="AF114" s="275"/>
      <c r="AG114" s="26" t="s">
        <v>141</v>
      </c>
      <c r="AH114" s="26"/>
      <c r="AI114" s="26" t="s">
        <v>204</v>
      </c>
      <c r="AJ114" s="276" t="e">
        <f>VLOOKUP(AH114,$AZ$82:$BA$113,2,)</f>
        <v>#N/A</v>
      </c>
      <c r="AK114" s="276"/>
      <c r="AL114" s="276"/>
      <c r="AM114" s="276"/>
      <c r="AN114" s="276"/>
      <c r="AO114" s="276"/>
      <c r="AP114" s="276"/>
      <c r="AQ114" s="276"/>
      <c r="AR114" s="26" t="s">
        <v>205</v>
      </c>
      <c r="AS114" s="26"/>
      <c r="AT114" s="26"/>
      <c r="AU114" s="26"/>
      <c r="AV114" s="26"/>
      <c r="AW114" s="26"/>
      <c r="AX114" s="26"/>
      <c r="AY114" s="27"/>
    </row>
    <row r="115" spans="1:53" x14ac:dyDescent="0.15">
      <c r="A115" s="1"/>
      <c r="B115" s="41"/>
      <c r="C115" s="281" t="s">
        <v>28</v>
      </c>
      <c r="D115" s="281"/>
      <c r="E115" s="281"/>
      <c r="F115" s="281"/>
      <c r="G115" s="281"/>
      <c r="H115" s="281"/>
      <c r="I115" s="281"/>
      <c r="J115" s="281"/>
      <c r="K115" s="281"/>
      <c r="L115" s="281"/>
      <c r="M115" s="281"/>
      <c r="N115" s="281"/>
      <c r="O115" s="281"/>
      <c r="P115" s="281"/>
      <c r="Q115" s="281"/>
      <c r="R115" s="281"/>
      <c r="S115" s="281"/>
      <c r="T115" s="282"/>
      <c r="U115" s="282"/>
      <c r="V115" s="300"/>
      <c r="W115" s="301"/>
      <c r="X115" s="301"/>
      <c r="Y115" s="301"/>
      <c r="Z115" s="301"/>
      <c r="AA115" s="301"/>
      <c r="AB115" s="301"/>
      <c r="AC115" s="301"/>
      <c r="AD115" s="301"/>
      <c r="AE115" s="301"/>
      <c r="AF115" s="301"/>
      <c r="AG115" s="301"/>
      <c r="AH115" s="301"/>
      <c r="AI115" s="301"/>
      <c r="AJ115" s="301"/>
      <c r="AK115" s="301"/>
      <c r="AL115" s="301"/>
      <c r="AM115" s="301"/>
      <c r="AN115" s="301"/>
      <c r="AO115" s="301"/>
      <c r="AP115" s="301"/>
      <c r="AQ115" s="301"/>
      <c r="AR115" s="301"/>
      <c r="AS115" s="301"/>
      <c r="AT115" s="301"/>
      <c r="AU115" s="301"/>
      <c r="AV115" s="301"/>
      <c r="AW115" s="301"/>
      <c r="AX115" s="301"/>
      <c r="AY115" s="302"/>
    </row>
    <row r="116" spans="1:53" x14ac:dyDescent="0.15">
      <c r="A116" s="1"/>
      <c r="B116" s="41"/>
      <c r="C116" s="281" t="s">
        <v>29</v>
      </c>
      <c r="D116" s="281"/>
      <c r="E116" s="281"/>
      <c r="F116" s="281"/>
      <c r="G116" s="281"/>
      <c r="H116" s="281"/>
      <c r="I116" s="281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2"/>
      <c r="U116" s="282"/>
      <c r="V116" s="300"/>
      <c r="W116" s="301"/>
      <c r="X116" s="301"/>
      <c r="Y116" s="301"/>
      <c r="Z116" s="301"/>
      <c r="AA116" s="301"/>
      <c r="AB116" s="301"/>
      <c r="AC116" s="301"/>
      <c r="AD116" s="301"/>
      <c r="AE116" s="301"/>
      <c r="AF116" s="301"/>
      <c r="AG116" s="301"/>
      <c r="AH116" s="301"/>
      <c r="AI116" s="301"/>
      <c r="AJ116" s="301"/>
      <c r="AK116" s="301"/>
      <c r="AL116" s="301"/>
      <c r="AM116" s="301"/>
      <c r="AN116" s="301"/>
      <c r="AO116" s="301"/>
      <c r="AP116" s="301"/>
      <c r="AQ116" s="301"/>
      <c r="AR116" s="301"/>
      <c r="AS116" s="301"/>
      <c r="AT116" s="301"/>
      <c r="AU116" s="301"/>
      <c r="AV116" s="301"/>
      <c r="AW116" s="301"/>
      <c r="AX116" s="301"/>
      <c r="AY116" s="302"/>
    </row>
    <row r="117" spans="1:53" x14ac:dyDescent="0.15">
      <c r="A117" s="1"/>
      <c r="B117" s="40"/>
      <c r="C117" s="292" t="s">
        <v>30</v>
      </c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2"/>
      <c r="P117" s="292"/>
      <c r="Q117" s="292"/>
      <c r="R117" s="292"/>
      <c r="S117" s="292"/>
      <c r="T117" s="293"/>
      <c r="U117" s="293"/>
      <c r="V117" s="294"/>
      <c r="W117" s="295"/>
      <c r="X117" s="295"/>
      <c r="Y117" s="295"/>
      <c r="Z117" s="295"/>
      <c r="AA117" s="295"/>
      <c r="AB117" s="295"/>
      <c r="AC117" s="295"/>
      <c r="AD117" s="295"/>
      <c r="AE117" s="295"/>
      <c r="AF117" s="295"/>
      <c r="AG117" s="295"/>
      <c r="AH117" s="295"/>
      <c r="AI117" s="295"/>
      <c r="AJ117" s="295"/>
      <c r="AK117" s="295"/>
      <c r="AL117" s="295"/>
      <c r="AM117" s="295"/>
      <c r="AN117" s="295"/>
      <c r="AO117" s="295"/>
      <c r="AP117" s="295"/>
      <c r="AQ117" s="295"/>
      <c r="AR117" s="295"/>
      <c r="AS117" s="295"/>
      <c r="AT117" s="295"/>
      <c r="AU117" s="295"/>
      <c r="AV117" s="295"/>
      <c r="AW117" s="295"/>
      <c r="AX117" s="295"/>
      <c r="AY117" s="296"/>
    </row>
    <row r="118" spans="1:53" x14ac:dyDescent="0.15">
      <c r="A118" s="1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4"/>
      <c r="U118" s="4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</row>
    <row r="119" spans="1:53" x14ac:dyDescent="0.15">
      <c r="A119" s="1"/>
      <c r="B119" s="61" t="s">
        <v>135</v>
      </c>
      <c r="C119" s="61"/>
      <c r="D119" s="263" t="s">
        <v>37</v>
      </c>
      <c r="E119" s="264"/>
      <c r="F119" s="264"/>
      <c r="G119" s="264"/>
      <c r="H119" s="264"/>
      <c r="I119" s="264"/>
      <c r="J119" s="264"/>
      <c r="K119" s="265"/>
      <c r="L119" s="263" t="s">
        <v>38</v>
      </c>
      <c r="M119" s="264"/>
      <c r="N119" s="264"/>
      <c r="O119" s="264"/>
      <c r="P119" s="264"/>
      <c r="Q119" s="264"/>
      <c r="R119" s="264"/>
      <c r="S119" s="264"/>
      <c r="T119" s="286" t="s">
        <v>66</v>
      </c>
      <c r="U119" s="287"/>
      <c r="V119" s="286" t="s">
        <v>136</v>
      </c>
      <c r="W119" s="288"/>
      <c r="X119" s="288"/>
      <c r="Y119" s="287"/>
      <c r="Z119" s="263" t="s">
        <v>21</v>
      </c>
      <c r="AA119" s="277"/>
      <c r="AB119" s="277"/>
      <c r="AC119" s="277"/>
      <c r="AD119" s="277"/>
      <c r="AE119" s="263" t="s">
        <v>22</v>
      </c>
      <c r="AF119" s="277"/>
      <c r="AG119" s="277"/>
      <c r="AH119" s="280"/>
      <c r="AI119" s="263" t="s">
        <v>23</v>
      </c>
      <c r="AJ119" s="277"/>
      <c r="AK119" s="277"/>
      <c r="AL119" s="277"/>
      <c r="AM119" s="277"/>
      <c r="AN119" s="277"/>
      <c r="AO119" s="277"/>
      <c r="AP119" s="277"/>
      <c r="AQ119" s="263" t="s">
        <v>24</v>
      </c>
      <c r="AR119" s="277"/>
      <c r="AS119" s="277"/>
      <c r="AT119" s="277"/>
      <c r="AU119" s="277"/>
      <c r="AV119" s="277"/>
      <c r="AW119" s="277"/>
      <c r="AX119" s="277"/>
      <c r="AY119" s="280"/>
    </row>
    <row r="120" spans="1:53" ht="13.5" customHeight="1" x14ac:dyDescent="0.15">
      <c r="A120" s="1"/>
      <c r="B120" s="253" t="s">
        <v>100</v>
      </c>
      <c r="C120" s="253"/>
      <c r="D120" s="253" t="s">
        <v>303</v>
      </c>
      <c r="E120" s="253"/>
      <c r="F120" s="253"/>
      <c r="G120" s="253"/>
      <c r="H120" s="253"/>
      <c r="I120" s="253"/>
      <c r="J120" s="253"/>
      <c r="K120" s="253"/>
      <c r="L120" s="125" t="s">
        <v>334</v>
      </c>
      <c r="M120" s="126"/>
      <c r="N120" s="126"/>
      <c r="O120" s="126"/>
      <c r="P120" s="126"/>
      <c r="Q120" s="126"/>
      <c r="R120" s="126"/>
      <c r="S120" s="193"/>
      <c r="T120" s="290" t="s">
        <v>207</v>
      </c>
      <c r="U120" s="66"/>
      <c r="V120" s="290" t="s">
        <v>71</v>
      </c>
      <c r="W120" s="65"/>
      <c r="X120" s="65"/>
      <c r="Y120" s="66"/>
      <c r="Z120" s="278" t="s">
        <v>74</v>
      </c>
      <c r="AA120" s="279"/>
      <c r="AB120" s="279"/>
      <c r="AC120" s="279"/>
      <c r="AD120" s="279"/>
      <c r="AE120" s="290" t="s">
        <v>106</v>
      </c>
      <c r="AF120" s="297"/>
      <c r="AG120" s="297"/>
      <c r="AH120" s="297"/>
      <c r="AI120" s="290" t="s">
        <v>302</v>
      </c>
      <c r="AJ120" s="298"/>
      <c r="AK120" s="298"/>
      <c r="AL120" s="298"/>
      <c r="AM120" s="298"/>
      <c r="AN120" s="298"/>
      <c r="AO120" s="298"/>
      <c r="AP120" s="299"/>
      <c r="AQ120" s="290"/>
      <c r="AR120" s="65"/>
      <c r="AS120" s="65"/>
      <c r="AT120" s="65"/>
      <c r="AU120" s="65"/>
      <c r="AV120" s="65"/>
      <c r="AW120" s="65"/>
      <c r="AX120" s="65"/>
      <c r="AY120" s="66"/>
    </row>
    <row r="121" spans="1:53" x14ac:dyDescent="0.15">
      <c r="A121" s="1"/>
      <c r="B121" s="261" t="s">
        <v>26</v>
      </c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260"/>
      <c r="U121" s="262"/>
      <c r="V121" s="269" t="str">
        <f>IF(T120="有","有効","無効")</f>
        <v>無効</v>
      </c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  <c r="AR121" s="270"/>
      <c r="AS121" s="270"/>
      <c r="AT121" s="270"/>
      <c r="AU121" s="270"/>
      <c r="AV121" s="270"/>
      <c r="AW121" s="270"/>
      <c r="AX121" s="270"/>
      <c r="AY121" s="271"/>
    </row>
    <row r="122" spans="1:53" x14ac:dyDescent="0.15">
      <c r="A122" s="1"/>
      <c r="B122" s="41"/>
      <c r="C122" s="272" t="s">
        <v>27</v>
      </c>
      <c r="D122" s="272"/>
      <c r="E122" s="272"/>
      <c r="F122" s="272"/>
      <c r="G122" s="272"/>
      <c r="H122" s="272"/>
      <c r="I122" s="272"/>
      <c r="J122" s="272"/>
      <c r="K122" s="272"/>
      <c r="L122" s="272"/>
      <c r="M122" s="272"/>
      <c r="N122" s="272"/>
      <c r="O122" s="272"/>
      <c r="P122" s="272"/>
      <c r="Q122" s="272"/>
      <c r="R122" s="272"/>
      <c r="S122" s="272"/>
      <c r="T122" s="273"/>
      <c r="U122" s="273"/>
      <c r="V122" s="274"/>
      <c r="W122" s="275"/>
      <c r="X122" s="275"/>
      <c r="Y122" s="275"/>
      <c r="Z122" s="275"/>
      <c r="AA122" s="275"/>
      <c r="AB122" s="275"/>
      <c r="AC122" s="275"/>
      <c r="AD122" s="275"/>
      <c r="AE122" s="275"/>
      <c r="AF122" s="275"/>
      <c r="AG122" s="26" t="s">
        <v>141</v>
      </c>
      <c r="AH122" s="26"/>
      <c r="AI122" s="26" t="s">
        <v>204</v>
      </c>
      <c r="AJ122" s="276" t="e">
        <f>VLOOKUP(AH122,$AZ$82:$BA$113,2,)</f>
        <v>#N/A</v>
      </c>
      <c r="AK122" s="276"/>
      <c r="AL122" s="276"/>
      <c r="AM122" s="276"/>
      <c r="AN122" s="276"/>
      <c r="AO122" s="276"/>
      <c r="AP122" s="276"/>
      <c r="AQ122" s="276"/>
      <c r="AR122" s="26" t="s">
        <v>205</v>
      </c>
      <c r="AS122" s="26"/>
      <c r="AT122" s="26"/>
      <c r="AU122" s="26"/>
      <c r="AV122" s="26"/>
      <c r="AW122" s="26"/>
      <c r="AX122" s="26"/>
      <c r="AY122" s="27"/>
    </row>
    <row r="123" spans="1:53" x14ac:dyDescent="0.15">
      <c r="A123" s="1"/>
      <c r="B123" s="41"/>
      <c r="C123" s="281" t="s">
        <v>28</v>
      </c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281"/>
      <c r="P123" s="281"/>
      <c r="Q123" s="281"/>
      <c r="R123" s="281"/>
      <c r="S123" s="281"/>
      <c r="T123" s="282"/>
      <c r="U123" s="282"/>
      <c r="V123" s="300"/>
      <c r="W123" s="301"/>
      <c r="X123" s="301"/>
      <c r="Y123" s="301"/>
      <c r="Z123" s="301"/>
      <c r="AA123" s="301"/>
      <c r="AB123" s="301"/>
      <c r="AC123" s="301"/>
      <c r="AD123" s="301"/>
      <c r="AE123" s="301"/>
      <c r="AF123" s="301"/>
      <c r="AG123" s="301"/>
      <c r="AH123" s="301"/>
      <c r="AI123" s="301"/>
      <c r="AJ123" s="301"/>
      <c r="AK123" s="301"/>
      <c r="AL123" s="301"/>
      <c r="AM123" s="301"/>
      <c r="AN123" s="301"/>
      <c r="AO123" s="301"/>
      <c r="AP123" s="301"/>
      <c r="AQ123" s="301"/>
      <c r="AR123" s="301"/>
      <c r="AS123" s="301"/>
      <c r="AT123" s="301"/>
      <c r="AU123" s="301"/>
      <c r="AV123" s="301"/>
      <c r="AW123" s="301"/>
      <c r="AX123" s="301"/>
      <c r="AY123" s="302"/>
    </row>
    <row r="124" spans="1:53" x14ac:dyDescent="0.15">
      <c r="A124" s="1"/>
      <c r="B124" s="41"/>
      <c r="C124" s="281" t="s">
        <v>29</v>
      </c>
      <c r="D124" s="281"/>
      <c r="E124" s="281"/>
      <c r="F124" s="281"/>
      <c r="G124" s="281"/>
      <c r="H124" s="281"/>
      <c r="I124" s="281"/>
      <c r="J124" s="281"/>
      <c r="K124" s="281"/>
      <c r="L124" s="281"/>
      <c r="M124" s="281"/>
      <c r="N124" s="281"/>
      <c r="O124" s="281"/>
      <c r="P124" s="281"/>
      <c r="Q124" s="281"/>
      <c r="R124" s="281"/>
      <c r="S124" s="281"/>
      <c r="T124" s="282"/>
      <c r="U124" s="282"/>
      <c r="V124" s="300"/>
      <c r="W124" s="301"/>
      <c r="X124" s="301"/>
      <c r="Y124" s="301"/>
      <c r="Z124" s="301"/>
      <c r="AA124" s="301"/>
      <c r="AB124" s="301"/>
      <c r="AC124" s="301"/>
      <c r="AD124" s="301"/>
      <c r="AE124" s="301"/>
      <c r="AF124" s="301"/>
      <c r="AG124" s="301"/>
      <c r="AH124" s="301"/>
      <c r="AI124" s="301"/>
      <c r="AJ124" s="301"/>
      <c r="AK124" s="301"/>
      <c r="AL124" s="301"/>
      <c r="AM124" s="301"/>
      <c r="AN124" s="301"/>
      <c r="AO124" s="301"/>
      <c r="AP124" s="301"/>
      <c r="AQ124" s="301"/>
      <c r="AR124" s="301"/>
      <c r="AS124" s="301"/>
      <c r="AT124" s="301"/>
      <c r="AU124" s="301"/>
      <c r="AV124" s="301"/>
      <c r="AW124" s="301"/>
      <c r="AX124" s="301"/>
      <c r="AY124" s="302"/>
    </row>
    <row r="125" spans="1:53" x14ac:dyDescent="0.15">
      <c r="A125" s="1"/>
      <c r="B125" s="40"/>
      <c r="C125" s="292" t="s">
        <v>30</v>
      </c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2"/>
      <c r="P125" s="292"/>
      <c r="Q125" s="292"/>
      <c r="R125" s="292"/>
      <c r="S125" s="292"/>
      <c r="T125" s="293"/>
      <c r="U125" s="293"/>
      <c r="V125" s="294"/>
      <c r="W125" s="295"/>
      <c r="X125" s="295"/>
      <c r="Y125" s="295"/>
      <c r="Z125" s="295"/>
      <c r="AA125" s="295"/>
      <c r="AB125" s="295"/>
      <c r="AC125" s="295"/>
      <c r="AD125" s="295"/>
      <c r="AE125" s="295"/>
      <c r="AF125" s="295"/>
      <c r="AG125" s="295"/>
      <c r="AH125" s="295"/>
      <c r="AI125" s="295"/>
      <c r="AJ125" s="295"/>
      <c r="AK125" s="295"/>
      <c r="AL125" s="295"/>
      <c r="AM125" s="295"/>
      <c r="AN125" s="295"/>
      <c r="AO125" s="295"/>
      <c r="AP125" s="295"/>
      <c r="AQ125" s="295"/>
      <c r="AR125" s="295"/>
      <c r="AS125" s="295"/>
      <c r="AT125" s="295"/>
      <c r="AU125" s="295"/>
      <c r="AV125" s="295"/>
      <c r="AW125" s="295"/>
      <c r="AX125" s="295"/>
      <c r="AY125" s="296"/>
    </row>
    <row r="126" spans="1:53" x14ac:dyDescent="0.15">
      <c r="A126" s="1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4"/>
      <c r="U126" s="4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</row>
    <row r="127" spans="1:53" x14ac:dyDescent="0.15">
      <c r="A127" s="1"/>
      <c r="B127" s="61" t="s">
        <v>135</v>
      </c>
      <c r="C127" s="61"/>
      <c r="D127" s="263" t="s">
        <v>37</v>
      </c>
      <c r="E127" s="264"/>
      <c r="F127" s="264"/>
      <c r="G127" s="264"/>
      <c r="H127" s="264"/>
      <c r="I127" s="264"/>
      <c r="J127" s="264"/>
      <c r="K127" s="265"/>
      <c r="L127" s="263" t="s">
        <v>38</v>
      </c>
      <c r="M127" s="264"/>
      <c r="N127" s="264"/>
      <c r="O127" s="264"/>
      <c r="P127" s="264"/>
      <c r="Q127" s="264"/>
      <c r="R127" s="264"/>
      <c r="S127" s="264"/>
      <c r="T127" s="286" t="s">
        <v>66</v>
      </c>
      <c r="U127" s="287"/>
      <c r="V127" s="286" t="s">
        <v>136</v>
      </c>
      <c r="W127" s="288"/>
      <c r="X127" s="288"/>
      <c r="Y127" s="287"/>
      <c r="Z127" s="263" t="s">
        <v>21</v>
      </c>
      <c r="AA127" s="277"/>
      <c r="AB127" s="277"/>
      <c r="AC127" s="277"/>
      <c r="AD127" s="277"/>
      <c r="AE127" s="263" t="s">
        <v>22</v>
      </c>
      <c r="AF127" s="277"/>
      <c r="AG127" s="277"/>
      <c r="AH127" s="280"/>
      <c r="AI127" s="263" t="s">
        <v>23</v>
      </c>
      <c r="AJ127" s="277"/>
      <c r="AK127" s="277"/>
      <c r="AL127" s="277"/>
      <c r="AM127" s="277"/>
      <c r="AN127" s="277"/>
      <c r="AO127" s="277"/>
      <c r="AP127" s="277"/>
      <c r="AQ127" s="263" t="s">
        <v>24</v>
      </c>
      <c r="AR127" s="277"/>
      <c r="AS127" s="277"/>
      <c r="AT127" s="277"/>
      <c r="AU127" s="277"/>
      <c r="AV127" s="277"/>
      <c r="AW127" s="277"/>
      <c r="AX127" s="277"/>
      <c r="AY127" s="280"/>
    </row>
    <row r="128" spans="1:53" ht="13.5" customHeight="1" x14ac:dyDescent="0.15">
      <c r="A128" s="1"/>
      <c r="B128" s="253" t="s">
        <v>108</v>
      </c>
      <c r="C128" s="253"/>
      <c r="D128" s="253" t="s">
        <v>301</v>
      </c>
      <c r="E128" s="253"/>
      <c r="F128" s="253"/>
      <c r="G128" s="253"/>
      <c r="H128" s="253"/>
      <c r="I128" s="253"/>
      <c r="J128" s="253"/>
      <c r="K128" s="253"/>
      <c r="L128" s="125" t="s">
        <v>333</v>
      </c>
      <c r="M128" s="126"/>
      <c r="N128" s="126"/>
      <c r="O128" s="126"/>
      <c r="P128" s="126"/>
      <c r="Q128" s="126"/>
      <c r="R128" s="126"/>
      <c r="S128" s="193"/>
      <c r="T128" s="290" t="s">
        <v>207</v>
      </c>
      <c r="U128" s="66"/>
      <c r="V128" s="290" t="s">
        <v>71</v>
      </c>
      <c r="W128" s="65"/>
      <c r="X128" s="65"/>
      <c r="Y128" s="66"/>
      <c r="Z128" s="278"/>
      <c r="AA128" s="279"/>
      <c r="AB128" s="279"/>
      <c r="AC128" s="279"/>
      <c r="AD128" s="279"/>
      <c r="AE128" s="290"/>
      <c r="AF128" s="297"/>
      <c r="AG128" s="297"/>
      <c r="AH128" s="297"/>
      <c r="AI128" s="290"/>
      <c r="AJ128" s="298"/>
      <c r="AK128" s="298"/>
      <c r="AL128" s="298"/>
      <c r="AM128" s="298"/>
      <c r="AN128" s="298"/>
      <c r="AO128" s="298"/>
      <c r="AP128" s="299"/>
      <c r="AQ128" s="290"/>
      <c r="AR128" s="65"/>
      <c r="AS128" s="65"/>
      <c r="AT128" s="65"/>
      <c r="AU128" s="65"/>
      <c r="AV128" s="65"/>
      <c r="AW128" s="65"/>
      <c r="AX128" s="65"/>
      <c r="AY128" s="66"/>
    </row>
    <row r="129" spans="1:51" x14ac:dyDescent="0.15">
      <c r="A129" s="1"/>
      <c r="B129" s="261" t="s">
        <v>26</v>
      </c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260"/>
      <c r="U129" s="262"/>
      <c r="V129" s="269" t="str">
        <f>IF(T128="有","有効","無効")</f>
        <v>無効</v>
      </c>
      <c r="W129" s="270"/>
      <c r="X129" s="270"/>
      <c r="Y129" s="270"/>
      <c r="Z129" s="270"/>
      <c r="AA129" s="270"/>
      <c r="AB129" s="270"/>
      <c r="AC129" s="270"/>
      <c r="AD129" s="270"/>
      <c r="AE129" s="270"/>
      <c r="AF129" s="270"/>
      <c r="AG129" s="270"/>
      <c r="AH129" s="270"/>
      <c r="AI129" s="270"/>
      <c r="AJ129" s="270"/>
      <c r="AK129" s="270"/>
      <c r="AL129" s="270"/>
      <c r="AM129" s="270"/>
      <c r="AN129" s="270"/>
      <c r="AO129" s="270"/>
      <c r="AP129" s="270"/>
      <c r="AQ129" s="270"/>
      <c r="AR129" s="270"/>
      <c r="AS129" s="270"/>
      <c r="AT129" s="270"/>
      <c r="AU129" s="270"/>
      <c r="AV129" s="270"/>
      <c r="AW129" s="270"/>
      <c r="AX129" s="270"/>
      <c r="AY129" s="271"/>
    </row>
    <row r="130" spans="1:51" x14ac:dyDescent="0.15">
      <c r="A130" s="1"/>
      <c r="B130" s="41"/>
      <c r="C130" s="272" t="s">
        <v>27</v>
      </c>
      <c r="D130" s="272"/>
      <c r="E130" s="272"/>
      <c r="F130" s="272"/>
      <c r="G130" s="272"/>
      <c r="H130" s="272"/>
      <c r="I130" s="272"/>
      <c r="J130" s="272"/>
      <c r="K130" s="272"/>
      <c r="L130" s="272"/>
      <c r="M130" s="272"/>
      <c r="N130" s="272"/>
      <c r="O130" s="272"/>
      <c r="P130" s="272"/>
      <c r="Q130" s="272"/>
      <c r="R130" s="272"/>
      <c r="S130" s="272"/>
      <c r="T130" s="273"/>
      <c r="U130" s="273"/>
      <c r="V130" s="274"/>
      <c r="W130" s="275"/>
      <c r="X130" s="275"/>
      <c r="Y130" s="275"/>
      <c r="Z130" s="275"/>
      <c r="AA130" s="275"/>
      <c r="AB130" s="275"/>
      <c r="AC130" s="275"/>
      <c r="AD130" s="275"/>
      <c r="AE130" s="275"/>
      <c r="AF130" s="275"/>
      <c r="AG130" s="26" t="s">
        <v>141</v>
      </c>
      <c r="AH130" s="26"/>
      <c r="AI130" s="26" t="s">
        <v>204</v>
      </c>
      <c r="AJ130" s="276" t="e">
        <f>VLOOKUP(AH130,$AZ$82:$BA$113,2,)</f>
        <v>#N/A</v>
      </c>
      <c r="AK130" s="276"/>
      <c r="AL130" s="276"/>
      <c r="AM130" s="276"/>
      <c r="AN130" s="276"/>
      <c r="AO130" s="276"/>
      <c r="AP130" s="276"/>
      <c r="AQ130" s="276"/>
      <c r="AR130" s="26" t="s">
        <v>205</v>
      </c>
      <c r="AS130" s="26"/>
      <c r="AT130" s="26"/>
      <c r="AU130" s="26"/>
      <c r="AV130" s="26"/>
      <c r="AW130" s="26"/>
      <c r="AX130" s="26"/>
      <c r="AY130" s="27"/>
    </row>
    <row r="131" spans="1:51" x14ac:dyDescent="0.15">
      <c r="A131" s="1"/>
      <c r="B131" s="41"/>
      <c r="C131" s="281" t="s">
        <v>28</v>
      </c>
      <c r="D131" s="281"/>
      <c r="E131" s="281"/>
      <c r="F131" s="281"/>
      <c r="G131" s="281"/>
      <c r="H131" s="281"/>
      <c r="I131" s="281"/>
      <c r="J131" s="281"/>
      <c r="K131" s="281"/>
      <c r="L131" s="281"/>
      <c r="M131" s="281"/>
      <c r="N131" s="281"/>
      <c r="O131" s="281"/>
      <c r="P131" s="281"/>
      <c r="Q131" s="281"/>
      <c r="R131" s="281"/>
      <c r="S131" s="281"/>
      <c r="T131" s="282"/>
      <c r="U131" s="282"/>
      <c r="V131" s="300"/>
      <c r="W131" s="301"/>
      <c r="X131" s="301"/>
      <c r="Y131" s="301"/>
      <c r="Z131" s="301"/>
      <c r="AA131" s="301"/>
      <c r="AB131" s="301"/>
      <c r="AC131" s="301"/>
      <c r="AD131" s="301"/>
      <c r="AE131" s="301"/>
      <c r="AF131" s="301"/>
      <c r="AG131" s="301"/>
      <c r="AH131" s="301"/>
      <c r="AI131" s="301"/>
      <c r="AJ131" s="301"/>
      <c r="AK131" s="301"/>
      <c r="AL131" s="301"/>
      <c r="AM131" s="301"/>
      <c r="AN131" s="301"/>
      <c r="AO131" s="301"/>
      <c r="AP131" s="301"/>
      <c r="AQ131" s="301"/>
      <c r="AR131" s="301"/>
      <c r="AS131" s="301"/>
      <c r="AT131" s="301"/>
      <c r="AU131" s="301"/>
      <c r="AV131" s="301"/>
      <c r="AW131" s="301"/>
      <c r="AX131" s="301"/>
      <c r="AY131" s="302"/>
    </row>
    <row r="132" spans="1:51" x14ac:dyDescent="0.15">
      <c r="A132" s="1"/>
      <c r="B132" s="41"/>
      <c r="C132" s="281" t="s">
        <v>29</v>
      </c>
      <c r="D132" s="281"/>
      <c r="E132" s="281"/>
      <c r="F132" s="281"/>
      <c r="G132" s="281"/>
      <c r="H132" s="281"/>
      <c r="I132" s="281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2"/>
      <c r="U132" s="282"/>
      <c r="V132" s="300"/>
      <c r="W132" s="301"/>
      <c r="X132" s="301"/>
      <c r="Y132" s="301"/>
      <c r="Z132" s="301"/>
      <c r="AA132" s="301"/>
      <c r="AB132" s="301"/>
      <c r="AC132" s="301"/>
      <c r="AD132" s="301"/>
      <c r="AE132" s="301"/>
      <c r="AF132" s="301"/>
      <c r="AG132" s="301"/>
      <c r="AH132" s="301"/>
      <c r="AI132" s="301"/>
      <c r="AJ132" s="301"/>
      <c r="AK132" s="301"/>
      <c r="AL132" s="301"/>
      <c r="AM132" s="301"/>
      <c r="AN132" s="301"/>
      <c r="AO132" s="301"/>
      <c r="AP132" s="301"/>
      <c r="AQ132" s="301"/>
      <c r="AR132" s="301"/>
      <c r="AS132" s="301"/>
      <c r="AT132" s="301"/>
      <c r="AU132" s="301"/>
      <c r="AV132" s="301"/>
      <c r="AW132" s="301"/>
      <c r="AX132" s="301"/>
      <c r="AY132" s="302"/>
    </row>
    <row r="133" spans="1:51" x14ac:dyDescent="0.15">
      <c r="A133" s="1"/>
      <c r="B133" s="40"/>
      <c r="C133" s="292" t="s">
        <v>30</v>
      </c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2"/>
      <c r="P133" s="292"/>
      <c r="Q133" s="292"/>
      <c r="R133" s="292"/>
      <c r="S133" s="292"/>
      <c r="T133" s="293"/>
      <c r="U133" s="293"/>
      <c r="V133" s="294"/>
      <c r="W133" s="295"/>
      <c r="X133" s="295"/>
      <c r="Y133" s="295"/>
      <c r="Z133" s="295"/>
      <c r="AA133" s="295"/>
      <c r="AB133" s="295"/>
      <c r="AC133" s="295"/>
      <c r="AD133" s="295"/>
      <c r="AE133" s="295"/>
      <c r="AF133" s="295"/>
      <c r="AG133" s="295"/>
      <c r="AH133" s="295"/>
      <c r="AI133" s="295"/>
      <c r="AJ133" s="295"/>
      <c r="AK133" s="295"/>
      <c r="AL133" s="295"/>
      <c r="AM133" s="295"/>
      <c r="AN133" s="295"/>
      <c r="AO133" s="295"/>
      <c r="AP133" s="295"/>
      <c r="AQ133" s="295"/>
      <c r="AR133" s="295"/>
      <c r="AS133" s="295"/>
      <c r="AT133" s="295"/>
      <c r="AU133" s="295"/>
      <c r="AV133" s="295"/>
      <c r="AW133" s="295"/>
      <c r="AX133" s="295"/>
      <c r="AY133" s="296"/>
    </row>
    <row r="134" spans="1:51" x14ac:dyDescent="0.15">
      <c r="A134" s="1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4"/>
      <c r="U134" s="4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</row>
    <row r="135" spans="1:51" x14ac:dyDescent="0.15">
      <c r="A135" s="1"/>
      <c r="B135" s="61" t="s">
        <v>135</v>
      </c>
      <c r="C135" s="61"/>
      <c r="D135" s="263" t="s">
        <v>37</v>
      </c>
      <c r="E135" s="264"/>
      <c r="F135" s="264"/>
      <c r="G135" s="264"/>
      <c r="H135" s="264"/>
      <c r="I135" s="264"/>
      <c r="J135" s="264"/>
      <c r="K135" s="265"/>
      <c r="L135" s="263" t="s">
        <v>38</v>
      </c>
      <c r="M135" s="264"/>
      <c r="N135" s="264"/>
      <c r="O135" s="264"/>
      <c r="P135" s="264"/>
      <c r="Q135" s="264"/>
      <c r="R135" s="264"/>
      <c r="S135" s="264"/>
      <c r="T135" s="286" t="s">
        <v>66</v>
      </c>
      <c r="U135" s="287"/>
      <c r="V135" s="286" t="s">
        <v>136</v>
      </c>
      <c r="W135" s="288"/>
      <c r="X135" s="288"/>
      <c r="Y135" s="287"/>
      <c r="Z135" s="263" t="s">
        <v>21</v>
      </c>
      <c r="AA135" s="277"/>
      <c r="AB135" s="277"/>
      <c r="AC135" s="277"/>
      <c r="AD135" s="277"/>
      <c r="AE135" s="263" t="s">
        <v>22</v>
      </c>
      <c r="AF135" s="277"/>
      <c r="AG135" s="277"/>
      <c r="AH135" s="280"/>
      <c r="AI135" s="263" t="s">
        <v>23</v>
      </c>
      <c r="AJ135" s="277"/>
      <c r="AK135" s="277"/>
      <c r="AL135" s="277"/>
      <c r="AM135" s="277"/>
      <c r="AN135" s="277"/>
      <c r="AO135" s="277"/>
      <c r="AP135" s="277"/>
      <c r="AQ135" s="263" t="s">
        <v>24</v>
      </c>
      <c r="AR135" s="277"/>
      <c r="AS135" s="277"/>
      <c r="AT135" s="277"/>
      <c r="AU135" s="277"/>
      <c r="AV135" s="277"/>
      <c r="AW135" s="277"/>
      <c r="AX135" s="277"/>
      <c r="AY135" s="280"/>
    </row>
    <row r="136" spans="1:51" ht="13.5" customHeight="1" x14ac:dyDescent="0.15">
      <c r="A136" s="1"/>
      <c r="B136" s="253" t="s">
        <v>109</v>
      </c>
      <c r="C136" s="253"/>
      <c r="D136" s="253" t="s">
        <v>300</v>
      </c>
      <c r="E136" s="253"/>
      <c r="F136" s="253"/>
      <c r="G136" s="253"/>
      <c r="H136" s="253"/>
      <c r="I136" s="253"/>
      <c r="J136" s="253"/>
      <c r="K136" s="253"/>
      <c r="L136" s="125" t="s">
        <v>332</v>
      </c>
      <c r="M136" s="126"/>
      <c r="N136" s="126"/>
      <c r="O136" s="126"/>
      <c r="P136" s="126"/>
      <c r="Q136" s="126"/>
      <c r="R136" s="126"/>
      <c r="S136" s="193"/>
      <c r="T136" s="290" t="s">
        <v>207</v>
      </c>
      <c r="U136" s="66"/>
      <c r="V136" s="290" t="s">
        <v>71</v>
      </c>
      <c r="W136" s="65"/>
      <c r="X136" s="65"/>
      <c r="Y136" s="66"/>
      <c r="Z136" s="278"/>
      <c r="AA136" s="279"/>
      <c r="AB136" s="279"/>
      <c r="AC136" s="279"/>
      <c r="AD136" s="279"/>
      <c r="AE136" s="290"/>
      <c r="AF136" s="297"/>
      <c r="AG136" s="297"/>
      <c r="AH136" s="297"/>
      <c r="AI136" s="290"/>
      <c r="AJ136" s="298"/>
      <c r="AK136" s="298"/>
      <c r="AL136" s="298"/>
      <c r="AM136" s="298"/>
      <c r="AN136" s="298"/>
      <c r="AO136" s="298"/>
      <c r="AP136" s="299"/>
      <c r="AQ136" s="290"/>
      <c r="AR136" s="65"/>
      <c r="AS136" s="65"/>
      <c r="AT136" s="65"/>
      <c r="AU136" s="65"/>
      <c r="AV136" s="65"/>
      <c r="AW136" s="65"/>
      <c r="AX136" s="65"/>
      <c r="AY136" s="66"/>
    </row>
    <row r="137" spans="1:51" x14ac:dyDescent="0.15">
      <c r="A137" s="1"/>
      <c r="B137" s="261" t="s">
        <v>26</v>
      </c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260"/>
      <c r="U137" s="262"/>
      <c r="V137" s="269" t="str">
        <f>IF(T136="有","有効","無効")</f>
        <v>無効</v>
      </c>
      <c r="W137" s="270"/>
      <c r="X137" s="270"/>
      <c r="Y137" s="270"/>
      <c r="Z137" s="270"/>
      <c r="AA137" s="270"/>
      <c r="AB137" s="270"/>
      <c r="AC137" s="270"/>
      <c r="AD137" s="270"/>
      <c r="AE137" s="270"/>
      <c r="AF137" s="270"/>
      <c r="AG137" s="270"/>
      <c r="AH137" s="270"/>
      <c r="AI137" s="270"/>
      <c r="AJ137" s="270"/>
      <c r="AK137" s="270"/>
      <c r="AL137" s="270"/>
      <c r="AM137" s="270"/>
      <c r="AN137" s="270"/>
      <c r="AO137" s="270"/>
      <c r="AP137" s="270"/>
      <c r="AQ137" s="270"/>
      <c r="AR137" s="270"/>
      <c r="AS137" s="270"/>
      <c r="AT137" s="270"/>
      <c r="AU137" s="270"/>
      <c r="AV137" s="270"/>
      <c r="AW137" s="270"/>
      <c r="AX137" s="270"/>
      <c r="AY137" s="271"/>
    </row>
    <row r="138" spans="1:51" x14ac:dyDescent="0.15">
      <c r="A138" s="1"/>
      <c r="B138" s="41"/>
      <c r="C138" s="272" t="s">
        <v>27</v>
      </c>
      <c r="D138" s="272"/>
      <c r="E138" s="272"/>
      <c r="F138" s="272"/>
      <c r="G138" s="272"/>
      <c r="H138" s="272"/>
      <c r="I138" s="272"/>
      <c r="J138" s="272"/>
      <c r="K138" s="272"/>
      <c r="L138" s="272"/>
      <c r="M138" s="272"/>
      <c r="N138" s="272"/>
      <c r="O138" s="272"/>
      <c r="P138" s="272"/>
      <c r="Q138" s="272"/>
      <c r="R138" s="272"/>
      <c r="S138" s="272"/>
      <c r="T138" s="273"/>
      <c r="U138" s="273"/>
      <c r="V138" s="274"/>
      <c r="W138" s="275"/>
      <c r="X138" s="275"/>
      <c r="Y138" s="275"/>
      <c r="Z138" s="275"/>
      <c r="AA138" s="275"/>
      <c r="AB138" s="275"/>
      <c r="AC138" s="275"/>
      <c r="AD138" s="275"/>
      <c r="AE138" s="275"/>
      <c r="AF138" s="275"/>
      <c r="AG138" s="26" t="s">
        <v>141</v>
      </c>
      <c r="AH138" s="26"/>
      <c r="AI138" s="26" t="s">
        <v>204</v>
      </c>
      <c r="AJ138" s="276" t="e">
        <f>VLOOKUP(AH138,$AZ$82:$BA$113,2,)</f>
        <v>#N/A</v>
      </c>
      <c r="AK138" s="276"/>
      <c r="AL138" s="276"/>
      <c r="AM138" s="276"/>
      <c r="AN138" s="276"/>
      <c r="AO138" s="276"/>
      <c r="AP138" s="276"/>
      <c r="AQ138" s="276"/>
      <c r="AR138" s="26" t="s">
        <v>205</v>
      </c>
      <c r="AS138" s="26"/>
      <c r="AT138" s="26"/>
      <c r="AU138" s="26"/>
      <c r="AV138" s="26"/>
      <c r="AW138" s="26"/>
      <c r="AX138" s="26"/>
      <c r="AY138" s="27"/>
    </row>
    <row r="139" spans="1:51" x14ac:dyDescent="0.15">
      <c r="A139" s="1"/>
      <c r="B139" s="41"/>
      <c r="C139" s="281" t="s">
        <v>28</v>
      </c>
      <c r="D139" s="281"/>
      <c r="E139" s="281"/>
      <c r="F139" s="281"/>
      <c r="G139" s="281"/>
      <c r="H139" s="281"/>
      <c r="I139" s="281"/>
      <c r="J139" s="281"/>
      <c r="K139" s="281"/>
      <c r="L139" s="281"/>
      <c r="M139" s="281"/>
      <c r="N139" s="281"/>
      <c r="O139" s="281"/>
      <c r="P139" s="281"/>
      <c r="Q139" s="281"/>
      <c r="R139" s="281"/>
      <c r="S139" s="281"/>
      <c r="T139" s="282"/>
      <c r="U139" s="282"/>
      <c r="V139" s="300"/>
      <c r="W139" s="301"/>
      <c r="X139" s="301"/>
      <c r="Y139" s="301"/>
      <c r="Z139" s="301"/>
      <c r="AA139" s="301"/>
      <c r="AB139" s="301"/>
      <c r="AC139" s="301"/>
      <c r="AD139" s="301"/>
      <c r="AE139" s="301"/>
      <c r="AF139" s="301"/>
      <c r="AG139" s="301"/>
      <c r="AH139" s="301"/>
      <c r="AI139" s="301"/>
      <c r="AJ139" s="301"/>
      <c r="AK139" s="301"/>
      <c r="AL139" s="301"/>
      <c r="AM139" s="301"/>
      <c r="AN139" s="301"/>
      <c r="AO139" s="301"/>
      <c r="AP139" s="301"/>
      <c r="AQ139" s="301"/>
      <c r="AR139" s="301"/>
      <c r="AS139" s="301"/>
      <c r="AT139" s="301"/>
      <c r="AU139" s="301"/>
      <c r="AV139" s="301"/>
      <c r="AW139" s="301"/>
      <c r="AX139" s="301"/>
      <c r="AY139" s="302"/>
    </row>
    <row r="140" spans="1:51" x14ac:dyDescent="0.15">
      <c r="A140" s="1"/>
      <c r="B140" s="41"/>
      <c r="C140" s="281" t="s">
        <v>29</v>
      </c>
      <c r="D140" s="281"/>
      <c r="E140" s="281"/>
      <c r="F140" s="281"/>
      <c r="G140" s="281"/>
      <c r="H140" s="281"/>
      <c r="I140" s="281"/>
      <c r="J140" s="281"/>
      <c r="K140" s="281"/>
      <c r="L140" s="281"/>
      <c r="M140" s="281"/>
      <c r="N140" s="281"/>
      <c r="O140" s="281"/>
      <c r="P140" s="281"/>
      <c r="Q140" s="281"/>
      <c r="R140" s="281"/>
      <c r="S140" s="281"/>
      <c r="T140" s="282"/>
      <c r="U140" s="282"/>
      <c r="V140" s="300"/>
      <c r="W140" s="301"/>
      <c r="X140" s="301"/>
      <c r="Y140" s="301"/>
      <c r="Z140" s="301"/>
      <c r="AA140" s="301"/>
      <c r="AB140" s="301"/>
      <c r="AC140" s="301"/>
      <c r="AD140" s="301"/>
      <c r="AE140" s="301"/>
      <c r="AF140" s="301"/>
      <c r="AG140" s="301"/>
      <c r="AH140" s="301"/>
      <c r="AI140" s="301"/>
      <c r="AJ140" s="301"/>
      <c r="AK140" s="301"/>
      <c r="AL140" s="301"/>
      <c r="AM140" s="301"/>
      <c r="AN140" s="301"/>
      <c r="AO140" s="301"/>
      <c r="AP140" s="301"/>
      <c r="AQ140" s="301"/>
      <c r="AR140" s="301"/>
      <c r="AS140" s="301"/>
      <c r="AT140" s="301"/>
      <c r="AU140" s="301"/>
      <c r="AV140" s="301"/>
      <c r="AW140" s="301"/>
      <c r="AX140" s="301"/>
      <c r="AY140" s="302"/>
    </row>
    <row r="141" spans="1:51" x14ac:dyDescent="0.15">
      <c r="A141" s="1"/>
      <c r="B141" s="40"/>
      <c r="C141" s="292" t="s">
        <v>30</v>
      </c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3"/>
      <c r="U141" s="293"/>
      <c r="V141" s="294"/>
      <c r="W141" s="295"/>
      <c r="X141" s="295"/>
      <c r="Y141" s="295"/>
      <c r="Z141" s="295"/>
      <c r="AA141" s="295"/>
      <c r="AB141" s="295"/>
      <c r="AC141" s="295"/>
      <c r="AD141" s="295"/>
      <c r="AE141" s="295"/>
      <c r="AF141" s="295"/>
      <c r="AG141" s="295"/>
      <c r="AH141" s="295"/>
      <c r="AI141" s="295"/>
      <c r="AJ141" s="295"/>
      <c r="AK141" s="295"/>
      <c r="AL141" s="295"/>
      <c r="AM141" s="295"/>
      <c r="AN141" s="295"/>
      <c r="AO141" s="295"/>
      <c r="AP141" s="295"/>
      <c r="AQ141" s="295"/>
      <c r="AR141" s="295"/>
      <c r="AS141" s="295"/>
      <c r="AT141" s="295"/>
      <c r="AU141" s="295"/>
      <c r="AV141" s="295"/>
      <c r="AW141" s="295"/>
      <c r="AX141" s="295"/>
      <c r="AY141" s="296"/>
    </row>
    <row r="142" spans="1:51" x14ac:dyDescent="0.15">
      <c r="A142" s="1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4"/>
      <c r="U142" s="4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</row>
    <row r="143" spans="1:51" x14ac:dyDescent="0.15">
      <c r="A143" s="1"/>
      <c r="B143" s="61" t="s">
        <v>135</v>
      </c>
      <c r="C143" s="61"/>
      <c r="D143" s="263" t="s">
        <v>230</v>
      </c>
      <c r="E143" s="264"/>
      <c r="F143" s="264"/>
      <c r="G143" s="264"/>
      <c r="H143" s="264"/>
      <c r="I143" s="264"/>
      <c r="J143" s="264"/>
      <c r="K143" s="265"/>
      <c r="L143" s="263" t="s">
        <v>38</v>
      </c>
      <c r="M143" s="264"/>
      <c r="N143" s="264"/>
      <c r="O143" s="264"/>
      <c r="P143" s="264"/>
      <c r="Q143" s="264"/>
      <c r="R143" s="264"/>
      <c r="S143" s="264"/>
      <c r="T143" s="286" t="s">
        <v>66</v>
      </c>
      <c r="U143" s="287"/>
      <c r="V143" s="309" t="s">
        <v>136</v>
      </c>
      <c r="W143" s="310"/>
      <c r="X143" s="310"/>
      <c r="Y143" s="311"/>
      <c r="Z143" s="263" t="s">
        <v>21</v>
      </c>
      <c r="AA143" s="277"/>
      <c r="AB143" s="277"/>
      <c r="AC143" s="277"/>
      <c r="AD143" s="277"/>
      <c r="AE143" s="263" t="s">
        <v>22</v>
      </c>
      <c r="AF143" s="277"/>
      <c r="AG143" s="277"/>
      <c r="AH143" s="280"/>
      <c r="AI143" s="263" t="s">
        <v>23</v>
      </c>
      <c r="AJ143" s="277"/>
      <c r="AK143" s="277"/>
      <c r="AL143" s="277"/>
      <c r="AM143" s="277"/>
      <c r="AN143" s="277"/>
      <c r="AO143" s="277"/>
      <c r="AP143" s="277"/>
      <c r="AQ143" s="263" t="s">
        <v>24</v>
      </c>
      <c r="AR143" s="277"/>
      <c r="AS143" s="277"/>
      <c r="AT143" s="277"/>
      <c r="AU143" s="277"/>
      <c r="AV143" s="277"/>
      <c r="AW143" s="277"/>
      <c r="AX143" s="277"/>
      <c r="AY143" s="280"/>
    </row>
    <row r="144" spans="1:51" ht="13.5" customHeight="1" x14ac:dyDescent="0.15">
      <c r="A144" s="1"/>
      <c r="B144" s="253" t="s">
        <v>62</v>
      </c>
      <c r="C144" s="253"/>
      <c r="D144" s="253" t="str">
        <f>IF(F6="NextGen","Nic1兼用","専用NICか兼用NICか選択ください")</f>
        <v>専用NICか兼用NICか選択ください</v>
      </c>
      <c r="E144" s="253"/>
      <c r="F144" s="253"/>
      <c r="G144" s="253"/>
      <c r="H144" s="253"/>
      <c r="I144" s="253"/>
      <c r="J144" s="253"/>
      <c r="K144" s="253"/>
      <c r="L144" s="409" t="s">
        <v>331</v>
      </c>
      <c r="M144" s="409"/>
      <c r="N144" s="409"/>
      <c r="O144" s="409"/>
      <c r="P144" s="409"/>
      <c r="Q144" s="409"/>
      <c r="R144" s="409"/>
      <c r="S144" s="409"/>
      <c r="T144" s="290" t="s">
        <v>206</v>
      </c>
      <c r="U144" s="66"/>
      <c r="V144" s="312" t="s">
        <v>71</v>
      </c>
      <c r="W144" s="313"/>
      <c r="X144" s="313"/>
      <c r="Y144" s="313"/>
      <c r="Z144" s="278" t="s">
        <v>298</v>
      </c>
      <c r="AA144" s="279"/>
      <c r="AB144" s="279"/>
      <c r="AC144" s="279"/>
      <c r="AD144" s="279"/>
      <c r="AE144" s="290" t="s">
        <v>298</v>
      </c>
      <c r="AF144" s="297"/>
      <c r="AG144" s="297"/>
      <c r="AH144" s="297"/>
      <c r="AI144" s="290" t="s">
        <v>298</v>
      </c>
      <c r="AJ144" s="298"/>
      <c r="AK144" s="298"/>
      <c r="AL144" s="298"/>
      <c r="AM144" s="298"/>
      <c r="AN144" s="298"/>
      <c r="AO144" s="298"/>
      <c r="AP144" s="299"/>
      <c r="AQ144" s="290" t="s">
        <v>107</v>
      </c>
      <c r="AR144" s="65"/>
      <c r="AS144" s="65"/>
      <c r="AT144" s="65"/>
      <c r="AU144" s="65"/>
      <c r="AV144" s="65"/>
      <c r="AW144" s="65"/>
      <c r="AX144" s="65"/>
      <c r="AY144" s="66"/>
    </row>
    <row r="145" spans="1:51" x14ac:dyDescent="0.15">
      <c r="A145" s="1"/>
      <c r="B145" s="261" t="s">
        <v>26</v>
      </c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260"/>
      <c r="U145" s="262"/>
      <c r="V145" s="269" t="str">
        <f>IF(T144="有","有効","無効")</f>
        <v>有効</v>
      </c>
      <c r="W145" s="270"/>
      <c r="X145" s="270"/>
      <c r="Y145" s="270"/>
      <c r="Z145" s="270"/>
      <c r="AA145" s="270"/>
      <c r="AB145" s="270"/>
      <c r="AC145" s="270"/>
      <c r="AD145" s="270"/>
      <c r="AE145" s="270"/>
      <c r="AF145" s="270"/>
      <c r="AG145" s="270"/>
      <c r="AH145" s="270"/>
      <c r="AI145" s="270"/>
      <c r="AJ145" s="270"/>
      <c r="AK145" s="270"/>
      <c r="AL145" s="270"/>
      <c r="AM145" s="270"/>
      <c r="AN145" s="270"/>
      <c r="AO145" s="270"/>
      <c r="AP145" s="270"/>
      <c r="AQ145" s="270"/>
      <c r="AR145" s="270"/>
      <c r="AS145" s="270"/>
      <c r="AT145" s="270"/>
      <c r="AU145" s="270"/>
      <c r="AV145" s="270"/>
      <c r="AW145" s="270"/>
      <c r="AX145" s="270"/>
      <c r="AY145" s="271"/>
    </row>
    <row r="146" spans="1:51" x14ac:dyDescent="0.15">
      <c r="A146" s="1"/>
      <c r="B146" s="41"/>
      <c r="C146" s="272" t="s">
        <v>27</v>
      </c>
      <c r="D146" s="272"/>
      <c r="E146" s="272"/>
      <c r="F146" s="272"/>
      <c r="G146" s="272"/>
      <c r="H146" s="272"/>
      <c r="I146" s="272"/>
      <c r="J146" s="272"/>
      <c r="K146" s="272"/>
      <c r="L146" s="272"/>
      <c r="M146" s="272"/>
      <c r="N146" s="272"/>
      <c r="O146" s="272"/>
      <c r="P146" s="272"/>
      <c r="Q146" s="272"/>
      <c r="R146" s="272"/>
      <c r="S146" s="272"/>
      <c r="T146" s="273"/>
      <c r="U146" s="273"/>
      <c r="V146" s="274"/>
      <c r="W146" s="275"/>
      <c r="X146" s="275"/>
      <c r="Y146" s="275"/>
      <c r="Z146" s="275"/>
      <c r="AA146" s="275"/>
      <c r="AB146" s="275"/>
      <c r="AC146" s="275"/>
      <c r="AD146" s="275"/>
      <c r="AE146" s="275"/>
      <c r="AF146" s="275"/>
      <c r="AG146" s="26"/>
      <c r="AH146" s="26"/>
      <c r="AI146" s="26" t="s">
        <v>204</v>
      </c>
      <c r="AJ146" s="276"/>
      <c r="AK146" s="276"/>
      <c r="AL146" s="276"/>
      <c r="AM146" s="276"/>
      <c r="AN146" s="276"/>
      <c r="AO146" s="276"/>
      <c r="AP146" s="276"/>
      <c r="AQ146" s="276"/>
      <c r="AR146" s="26" t="s">
        <v>205</v>
      </c>
      <c r="AS146" s="26"/>
      <c r="AT146" s="26"/>
      <c r="AU146" s="26"/>
      <c r="AV146" s="26"/>
      <c r="AW146" s="26"/>
      <c r="AX146" s="26"/>
      <c r="AY146" s="27"/>
    </row>
    <row r="147" spans="1:51" x14ac:dyDescent="0.15">
      <c r="A147" s="1"/>
      <c r="B147" s="41"/>
      <c r="C147" s="281" t="s">
        <v>28</v>
      </c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2"/>
      <c r="U147" s="282"/>
      <c r="V147" s="300"/>
      <c r="W147" s="301"/>
      <c r="X147" s="301"/>
      <c r="Y147" s="301"/>
      <c r="Z147" s="301"/>
      <c r="AA147" s="301"/>
      <c r="AB147" s="301"/>
      <c r="AC147" s="301"/>
      <c r="AD147" s="301"/>
      <c r="AE147" s="301"/>
      <c r="AF147" s="301"/>
      <c r="AG147" s="301"/>
      <c r="AH147" s="301"/>
      <c r="AI147" s="301"/>
      <c r="AJ147" s="301"/>
      <c r="AK147" s="301"/>
      <c r="AL147" s="301"/>
      <c r="AM147" s="301"/>
      <c r="AN147" s="301"/>
      <c r="AO147" s="301"/>
      <c r="AP147" s="301"/>
      <c r="AQ147" s="301"/>
      <c r="AR147" s="301"/>
      <c r="AS147" s="301"/>
      <c r="AT147" s="301"/>
      <c r="AU147" s="301"/>
      <c r="AV147" s="301"/>
      <c r="AW147" s="301"/>
      <c r="AX147" s="301"/>
      <c r="AY147" s="302"/>
    </row>
    <row r="148" spans="1:51" x14ac:dyDescent="0.15">
      <c r="A148" s="1"/>
      <c r="B148" s="41"/>
      <c r="C148" s="281" t="s">
        <v>29</v>
      </c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281"/>
      <c r="R148" s="281"/>
      <c r="S148" s="281"/>
      <c r="T148" s="282"/>
      <c r="U148" s="282"/>
      <c r="V148" s="300"/>
      <c r="W148" s="301"/>
      <c r="X148" s="301"/>
      <c r="Y148" s="301"/>
      <c r="Z148" s="301"/>
      <c r="AA148" s="301"/>
      <c r="AB148" s="301"/>
      <c r="AC148" s="301"/>
      <c r="AD148" s="301"/>
      <c r="AE148" s="301"/>
      <c r="AF148" s="301"/>
      <c r="AG148" s="301"/>
      <c r="AH148" s="301"/>
      <c r="AI148" s="301"/>
      <c r="AJ148" s="301"/>
      <c r="AK148" s="301"/>
      <c r="AL148" s="301"/>
      <c r="AM148" s="301"/>
      <c r="AN148" s="301"/>
      <c r="AO148" s="301"/>
      <c r="AP148" s="301"/>
      <c r="AQ148" s="301"/>
      <c r="AR148" s="301"/>
      <c r="AS148" s="301"/>
      <c r="AT148" s="301"/>
      <c r="AU148" s="301"/>
      <c r="AV148" s="301"/>
      <c r="AW148" s="301"/>
      <c r="AX148" s="301"/>
      <c r="AY148" s="302"/>
    </row>
    <row r="149" spans="1:51" x14ac:dyDescent="0.15">
      <c r="A149" s="1"/>
      <c r="B149" s="40"/>
      <c r="C149" s="292" t="s">
        <v>30</v>
      </c>
      <c r="D149" s="292"/>
      <c r="E149" s="292"/>
      <c r="F149" s="292"/>
      <c r="G149" s="292"/>
      <c r="H149" s="292"/>
      <c r="I149" s="292"/>
      <c r="J149" s="292"/>
      <c r="K149" s="292"/>
      <c r="L149" s="292"/>
      <c r="M149" s="292"/>
      <c r="N149" s="292"/>
      <c r="O149" s="292"/>
      <c r="P149" s="292"/>
      <c r="Q149" s="292"/>
      <c r="R149" s="292"/>
      <c r="S149" s="292"/>
      <c r="T149" s="293"/>
      <c r="U149" s="293"/>
      <c r="V149" s="294"/>
      <c r="W149" s="295"/>
      <c r="X149" s="295"/>
      <c r="Y149" s="295"/>
      <c r="Z149" s="295"/>
      <c r="AA149" s="295"/>
      <c r="AB149" s="295"/>
      <c r="AC149" s="295"/>
      <c r="AD149" s="295"/>
      <c r="AE149" s="295"/>
      <c r="AF149" s="295"/>
      <c r="AG149" s="295"/>
      <c r="AH149" s="295"/>
      <c r="AI149" s="295"/>
      <c r="AJ149" s="295"/>
      <c r="AK149" s="295"/>
      <c r="AL149" s="295"/>
      <c r="AM149" s="295"/>
      <c r="AN149" s="295"/>
      <c r="AO149" s="295"/>
      <c r="AP149" s="295"/>
      <c r="AQ149" s="295"/>
      <c r="AR149" s="295"/>
      <c r="AS149" s="295"/>
      <c r="AT149" s="295"/>
      <c r="AU149" s="295"/>
      <c r="AV149" s="295"/>
      <c r="AW149" s="295"/>
      <c r="AX149" s="295"/>
      <c r="AY149" s="296"/>
    </row>
    <row r="150" spans="1:51" x14ac:dyDescent="0.15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15">
      <c r="A151" s="2" t="s">
        <v>140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1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15">
      <c r="A153" s="1"/>
      <c r="B153" s="2" t="s">
        <v>64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15">
      <c r="A154" s="1"/>
      <c r="B154" s="319" t="s">
        <v>88</v>
      </c>
      <c r="C154" s="320"/>
      <c r="D154" s="320"/>
      <c r="E154" s="320"/>
      <c r="F154" s="320"/>
      <c r="G154" s="320"/>
      <c r="H154" s="320"/>
      <c r="I154" s="320"/>
      <c r="J154" s="320"/>
      <c r="K154" s="320"/>
      <c r="L154" s="320"/>
      <c r="M154" s="320"/>
      <c r="N154" s="321"/>
      <c r="O154" s="100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  <c r="AM154" s="101"/>
      <c r="AN154" s="101"/>
      <c r="AO154" s="101"/>
      <c r="AP154" s="101"/>
      <c r="AQ154" s="101"/>
      <c r="AR154" s="101"/>
      <c r="AS154" s="101"/>
      <c r="AT154" s="101"/>
      <c r="AU154" s="101"/>
      <c r="AV154" s="101"/>
      <c r="AW154" s="101"/>
      <c r="AX154" s="101"/>
      <c r="AY154" s="102"/>
    </row>
    <row r="155" spans="1:51" x14ac:dyDescent="0.15">
      <c r="A155" s="1"/>
      <c r="B155" s="319" t="s">
        <v>65</v>
      </c>
      <c r="C155" s="320"/>
      <c r="D155" s="320"/>
      <c r="E155" s="320"/>
      <c r="F155" s="320"/>
      <c r="G155" s="320"/>
      <c r="H155" s="320"/>
      <c r="I155" s="320"/>
      <c r="J155" s="320"/>
      <c r="K155" s="320"/>
      <c r="L155" s="320"/>
      <c r="M155" s="320"/>
      <c r="N155" s="321"/>
      <c r="O155" s="100" t="s">
        <v>249</v>
      </c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  <c r="AM155" s="101"/>
      <c r="AN155" s="101"/>
      <c r="AO155" s="101"/>
      <c r="AP155" s="101"/>
      <c r="AQ155" s="101"/>
      <c r="AR155" s="101"/>
      <c r="AS155" s="101"/>
      <c r="AT155" s="101"/>
      <c r="AU155" s="101"/>
      <c r="AV155" s="101"/>
      <c r="AW155" s="101"/>
      <c r="AX155" s="101"/>
      <c r="AY155" s="102"/>
    </row>
    <row r="156" spans="1:51" x14ac:dyDescent="0.15">
      <c r="A156" s="1"/>
      <c r="B156" s="319" t="s">
        <v>105</v>
      </c>
      <c r="C156" s="320"/>
      <c r="D156" s="320"/>
      <c r="E156" s="320"/>
      <c r="F156" s="320"/>
      <c r="G156" s="320"/>
      <c r="H156" s="320"/>
      <c r="I156" s="320"/>
      <c r="J156" s="320"/>
      <c r="K156" s="320"/>
      <c r="L156" s="320"/>
      <c r="M156" s="320"/>
      <c r="N156" s="321"/>
      <c r="O156" s="100" t="s">
        <v>70</v>
      </c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  <c r="AM156" s="101"/>
      <c r="AN156" s="101"/>
      <c r="AO156" s="101"/>
      <c r="AP156" s="101"/>
      <c r="AQ156" s="101"/>
      <c r="AR156" s="101"/>
      <c r="AS156" s="101"/>
      <c r="AT156" s="101"/>
      <c r="AU156" s="101"/>
      <c r="AV156" s="101"/>
      <c r="AW156" s="101"/>
      <c r="AX156" s="101"/>
      <c r="AY156" s="102"/>
    </row>
    <row r="157" spans="1:51" x14ac:dyDescent="0.15">
      <c r="A157" s="1"/>
      <c r="B157" s="319" t="s">
        <v>89</v>
      </c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1"/>
      <c r="O157" s="100" t="s">
        <v>240</v>
      </c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  <c r="AM157" s="101"/>
      <c r="AN157" s="101"/>
      <c r="AO157" s="101"/>
      <c r="AP157" s="101"/>
      <c r="AQ157" s="101"/>
      <c r="AR157" s="101"/>
      <c r="AS157" s="101"/>
      <c r="AT157" s="101"/>
      <c r="AU157" s="101"/>
      <c r="AV157" s="101"/>
      <c r="AW157" s="101"/>
      <c r="AX157" s="101"/>
      <c r="AY157" s="102"/>
    </row>
    <row r="158" spans="1:5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15">
      <c r="A159" s="1"/>
      <c r="B159" s="2" t="s">
        <v>63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15">
      <c r="A160" s="1"/>
      <c r="B160" s="319" t="s">
        <v>104</v>
      </c>
      <c r="C160" s="320"/>
      <c r="D160" s="320"/>
      <c r="E160" s="320"/>
      <c r="F160" s="320"/>
      <c r="G160" s="320"/>
      <c r="H160" s="320"/>
      <c r="I160" s="320"/>
      <c r="J160" s="320"/>
      <c r="K160" s="320"/>
      <c r="L160" s="320"/>
      <c r="M160" s="320"/>
      <c r="N160" s="321"/>
      <c r="O160" s="100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  <c r="AM160" s="101"/>
      <c r="AN160" s="101"/>
      <c r="AO160" s="101"/>
      <c r="AP160" s="101"/>
      <c r="AQ160" s="101"/>
      <c r="AR160" s="101"/>
      <c r="AS160" s="101"/>
      <c r="AT160" s="101"/>
      <c r="AU160" s="101"/>
      <c r="AV160" s="101"/>
      <c r="AW160" s="101"/>
      <c r="AX160" s="101"/>
      <c r="AY160" s="102"/>
    </row>
    <row r="161" spans="1:52" x14ac:dyDescent="0.15">
      <c r="A161" s="1"/>
      <c r="B161" s="319" t="s">
        <v>68</v>
      </c>
      <c r="C161" s="320"/>
      <c r="D161" s="320"/>
      <c r="E161" s="320"/>
      <c r="F161" s="320"/>
      <c r="G161" s="320"/>
      <c r="H161" s="320"/>
      <c r="I161" s="320"/>
      <c r="J161" s="320"/>
      <c r="K161" s="320"/>
      <c r="L161" s="320"/>
      <c r="M161" s="320"/>
      <c r="N161" s="321"/>
      <c r="O161" s="100" t="s">
        <v>80</v>
      </c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  <c r="AM161" s="101"/>
      <c r="AN161" s="101"/>
      <c r="AO161" s="101"/>
      <c r="AP161" s="101"/>
      <c r="AQ161" s="101"/>
      <c r="AR161" s="101"/>
      <c r="AS161" s="101"/>
      <c r="AT161" s="101"/>
      <c r="AU161" s="101"/>
      <c r="AV161" s="101"/>
      <c r="AW161" s="101"/>
      <c r="AX161" s="101"/>
      <c r="AY161" s="102"/>
    </row>
    <row r="162" spans="1:52" x14ac:dyDescent="0.15">
      <c r="A162" s="1"/>
      <c r="B162" s="319" t="s">
        <v>68</v>
      </c>
      <c r="C162" s="320"/>
      <c r="D162" s="320"/>
      <c r="E162" s="320"/>
      <c r="F162" s="320"/>
      <c r="G162" s="320"/>
      <c r="H162" s="320"/>
      <c r="I162" s="320"/>
      <c r="J162" s="320"/>
      <c r="K162" s="320"/>
      <c r="L162" s="320"/>
      <c r="M162" s="320"/>
      <c r="N162" s="321"/>
      <c r="O162" s="100" t="s">
        <v>80</v>
      </c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  <c r="AM162" s="101"/>
      <c r="AN162" s="101"/>
      <c r="AO162" s="101"/>
      <c r="AP162" s="101"/>
      <c r="AQ162" s="101"/>
      <c r="AR162" s="101"/>
      <c r="AS162" s="101"/>
      <c r="AT162" s="101"/>
      <c r="AU162" s="101"/>
      <c r="AV162" s="101"/>
      <c r="AW162" s="101"/>
      <c r="AX162" s="101"/>
      <c r="AY162" s="102"/>
    </row>
    <row r="163" spans="1:52" x14ac:dyDescent="0.15">
      <c r="A163" s="1"/>
      <c r="B163" s="319" t="s">
        <v>68</v>
      </c>
      <c r="C163" s="320"/>
      <c r="D163" s="320"/>
      <c r="E163" s="320"/>
      <c r="F163" s="320"/>
      <c r="G163" s="320"/>
      <c r="H163" s="320"/>
      <c r="I163" s="320"/>
      <c r="J163" s="320"/>
      <c r="K163" s="320"/>
      <c r="L163" s="320"/>
      <c r="M163" s="320"/>
      <c r="N163" s="321"/>
      <c r="O163" s="100" t="s">
        <v>80</v>
      </c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  <c r="AN163" s="101"/>
      <c r="AO163" s="101"/>
      <c r="AP163" s="101"/>
      <c r="AQ163" s="101"/>
      <c r="AR163" s="101"/>
      <c r="AS163" s="101"/>
      <c r="AT163" s="101"/>
      <c r="AU163" s="101"/>
      <c r="AV163" s="101"/>
      <c r="AW163" s="101"/>
      <c r="AX163" s="101"/>
      <c r="AY163" s="102"/>
    </row>
    <row r="164" spans="1:52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2" x14ac:dyDescent="0.15">
      <c r="A165" s="1"/>
      <c r="B165" s="2" t="s">
        <v>59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2" x14ac:dyDescent="0.15">
      <c r="A166" s="1"/>
      <c r="B166" s="103" t="s">
        <v>297</v>
      </c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0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  <c r="AM166" s="101"/>
      <c r="AN166" s="101"/>
      <c r="AO166" s="101"/>
      <c r="AP166" s="101"/>
      <c r="AQ166" s="101"/>
      <c r="AR166" s="101"/>
      <c r="AS166" s="101"/>
      <c r="AT166" s="101"/>
      <c r="AU166" s="101"/>
      <c r="AV166" s="101"/>
      <c r="AW166" s="101"/>
      <c r="AX166" s="101"/>
      <c r="AY166" s="102"/>
      <c r="AZ166" s="46"/>
    </row>
    <row r="167" spans="1:52" x14ac:dyDescent="0.15">
      <c r="A167" s="1"/>
      <c r="B167" s="103" t="s">
        <v>296</v>
      </c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0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  <c r="AM167" s="101"/>
      <c r="AN167" s="101"/>
      <c r="AO167" s="101"/>
      <c r="AP167" s="101"/>
      <c r="AQ167" s="101"/>
      <c r="AR167" s="101"/>
      <c r="AS167" s="101"/>
      <c r="AT167" s="101"/>
      <c r="AU167" s="101"/>
      <c r="AV167" s="101"/>
      <c r="AW167" s="101"/>
      <c r="AX167" s="101"/>
      <c r="AY167" s="102"/>
      <c r="AZ167" s="47"/>
    </row>
    <row r="168" spans="1:52" x14ac:dyDescent="0.15">
      <c r="A168" s="1"/>
      <c r="B168" s="103" t="s">
        <v>295</v>
      </c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0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  <c r="AM168" s="101"/>
      <c r="AN168" s="101"/>
      <c r="AO168" s="101"/>
      <c r="AP168" s="101"/>
      <c r="AQ168" s="101"/>
      <c r="AR168" s="101"/>
      <c r="AS168" s="101"/>
      <c r="AT168" s="101"/>
      <c r="AU168" s="101"/>
      <c r="AV168" s="101"/>
      <c r="AW168" s="101"/>
      <c r="AX168" s="101"/>
      <c r="AY168" s="102"/>
      <c r="AZ168" s="46"/>
    </row>
    <row r="169" spans="1:52" x14ac:dyDescent="0.15">
      <c r="A169" s="1"/>
      <c r="B169" s="103" t="s">
        <v>32</v>
      </c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0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  <c r="AM169" s="101"/>
      <c r="AN169" s="101"/>
      <c r="AO169" s="101"/>
      <c r="AP169" s="101"/>
      <c r="AQ169" s="101"/>
      <c r="AR169" s="101"/>
      <c r="AS169" s="101"/>
      <c r="AT169" s="101"/>
      <c r="AU169" s="101"/>
      <c r="AV169" s="101"/>
      <c r="AW169" s="101"/>
      <c r="AX169" s="101"/>
      <c r="AY169" s="102"/>
      <c r="AZ169" s="46"/>
    </row>
    <row r="170" spans="1:52" x14ac:dyDescent="0.15">
      <c r="A170" s="1"/>
      <c r="B170" s="103" t="s">
        <v>290</v>
      </c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0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101"/>
      <c r="AN170" s="101"/>
      <c r="AO170" s="101"/>
      <c r="AP170" s="101"/>
      <c r="AQ170" s="101"/>
      <c r="AR170" s="101"/>
      <c r="AS170" s="101"/>
      <c r="AT170" s="101"/>
      <c r="AU170" s="101"/>
      <c r="AV170" s="101"/>
      <c r="AW170" s="101"/>
      <c r="AX170" s="101"/>
      <c r="AY170" s="102"/>
    </row>
    <row r="171" spans="1:52" x14ac:dyDescent="0.15">
      <c r="A171" s="1"/>
      <c r="B171" s="2" t="s">
        <v>219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2" x14ac:dyDescent="0.15">
      <c r="A172" s="1"/>
      <c r="B172" s="112" t="s">
        <v>149</v>
      </c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4"/>
      <c r="O172" s="325" t="s">
        <v>294</v>
      </c>
      <c r="P172" s="326"/>
      <c r="Q172" s="326"/>
      <c r="R172" s="326"/>
      <c r="S172" s="326"/>
      <c r="T172" s="326"/>
      <c r="U172" s="326"/>
      <c r="V172" s="326"/>
      <c r="W172" s="326"/>
      <c r="X172" s="326"/>
      <c r="Y172" s="326"/>
      <c r="Z172" s="326"/>
      <c r="AA172" s="326"/>
      <c r="AB172" s="326"/>
      <c r="AC172" s="326"/>
      <c r="AD172" s="326"/>
      <c r="AE172" s="326"/>
      <c r="AF172" s="326"/>
      <c r="AG172" s="326"/>
      <c r="AH172" s="326"/>
      <c r="AI172" s="326"/>
      <c r="AJ172" s="326"/>
      <c r="AK172" s="326"/>
      <c r="AL172" s="326"/>
      <c r="AM172" s="326"/>
      <c r="AN172" s="326"/>
      <c r="AO172" s="326"/>
      <c r="AP172" s="326"/>
      <c r="AQ172" s="326"/>
      <c r="AR172" s="326"/>
      <c r="AS172" s="326"/>
      <c r="AT172" s="326"/>
      <c r="AU172" s="326"/>
      <c r="AV172" s="326"/>
      <c r="AW172" s="326"/>
      <c r="AX172" s="326"/>
      <c r="AY172" s="327"/>
    </row>
    <row r="173" spans="1:52" x14ac:dyDescent="0.15">
      <c r="A173" s="1"/>
      <c r="B173" s="112" t="s">
        <v>150</v>
      </c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4"/>
      <c r="O173" s="325" t="s">
        <v>293</v>
      </c>
      <c r="P173" s="326"/>
      <c r="Q173" s="326"/>
      <c r="R173" s="326"/>
      <c r="S173" s="326"/>
      <c r="T173" s="326"/>
      <c r="U173" s="326"/>
      <c r="V173" s="326"/>
      <c r="W173" s="326"/>
      <c r="X173" s="326"/>
      <c r="Y173" s="326"/>
      <c r="Z173" s="326"/>
      <c r="AA173" s="326"/>
      <c r="AB173" s="326"/>
      <c r="AC173" s="326"/>
      <c r="AD173" s="326"/>
      <c r="AE173" s="326"/>
      <c r="AF173" s="326"/>
      <c r="AG173" s="326"/>
      <c r="AH173" s="326"/>
      <c r="AI173" s="326"/>
      <c r="AJ173" s="326"/>
      <c r="AK173" s="326"/>
      <c r="AL173" s="326"/>
      <c r="AM173" s="326"/>
      <c r="AN173" s="326"/>
      <c r="AO173" s="326"/>
      <c r="AP173" s="326"/>
      <c r="AQ173" s="326"/>
      <c r="AR173" s="326"/>
      <c r="AS173" s="326"/>
      <c r="AT173" s="326"/>
      <c r="AU173" s="326"/>
      <c r="AV173" s="326"/>
      <c r="AW173" s="326"/>
      <c r="AX173" s="326"/>
      <c r="AY173" s="327"/>
    </row>
    <row r="174" spans="1:52" x14ac:dyDescent="0.15">
      <c r="A174" s="1"/>
      <c r="B174" s="99" t="s">
        <v>151</v>
      </c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325" t="s">
        <v>292</v>
      </c>
      <c r="P174" s="326"/>
      <c r="Q174" s="326"/>
      <c r="R174" s="326"/>
      <c r="S174" s="326"/>
      <c r="T174" s="326"/>
      <c r="U174" s="326"/>
      <c r="V174" s="326"/>
      <c r="W174" s="326"/>
      <c r="X174" s="326"/>
      <c r="Y174" s="326"/>
      <c r="Z174" s="326"/>
      <c r="AA174" s="326"/>
      <c r="AB174" s="326"/>
      <c r="AC174" s="326"/>
      <c r="AD174" s="326"/>
      <c r="AE174" s="326"/>
      <c r="AF174" s="326"/>
      <c r="AG174" s="326"/>
      <c r="AH174" s="326"/>
      <c r="AI174" s="326"/>
      <c r="AJ174" s="326"/>
      <c r="AK174" s="326"/>
      <c r="AL174" s="326"/>
      <c r="AM174" s="326"/>
      <c r="AN174" s="326"/>
      <c r="AO174" s="326"/>
      <c r="AP174" s="326"/>
      <c r="AQ174" s="326"/>
      <c r="AR174" s="326"/>
      <c r="AS174" s="326"/>
      <c r="AT174" s="326"/>
      <c r="AU174" s="326"/>
      <c r="AV174" s="326"/>
      <c r="AW174" s="326"/>
      <c r="AX174" s="326"/>
      <c r="AY174" s="327"/>
    </row>
    <row r="175" spans="1:52" x14ac:dyDescent="0.15">
      <c r="A175" s="1"/>
      <c r="B175" s="103" t="s">
        <v>32</v>
      </c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325" t="s">
        <v>291</v>
      </c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  <c r="AA175" s="326"/>
      <c r="AB175" s="326"/>
      <c r="AC175" s="326"/>
      <c r="AD175" s="326"/>
      <c r="AE175" s="326"/>
      <c r="AF175" s="326"/>
      <c r="AG175" s="326"/>
      <c r="AH175" s="326"/>
      <c r="AI175" s="326"/>
      <c r="AJ175" s="326"/>
      <c r="AK175" s="326"/>
      <c r="AL175" s="326"/>
      <c r="AM175" s="326"/>
      <c r="AN175" s="326"/>
      <c r="AO175" s="326"/>
      <c r="AP175" s="326"/>
      <c r="AQ175" s="326"/>
      <c r="AR175" s="326"/>
      <c r="AS175" s="326"/>
      <c r="AT175" s="326"/>
      <c r="AU175" s="326"/>
      <c r="AV175" s="326"/>
      <c r="AW175" s="326"/>
      <c r="AX175" s="326"/>
      <c r="AY175" s="327"/>
    </row>
    <row r="176" spans="1:52" x14ac:dyDescent="0.15">
      <c r="A176" s="1"/>
      <c r="B176" s="103" t="s">
        <v>290</v>
      </c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325" t="s">
        <v>80</v>
      </c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  <c r="AA176" s="326"/>
      <c r="AB176" s="326"/>
      <c r="AC176" s="326"/>
      <c r="AD176" s="326"/>
      <c r="AE176" s="326"/>
      <c r="AF176" s="326"/>
      <c r="AG176" s="326"/>
      <c r="AH176" s="326"/>
      <c r="AI176" s="326"/>
      <c r="AJ176" s="326"/>
      <c r="AK176" s="326"/>
      <c r="AL176" s="326"/>
      <c r="AM176" s="326"/>
      <c r="AN176" s="326"/>
      <c r="AO176" s="326"/>
      <c r="AP176" s="326"/>
      <c r="AQ176" s="326"/>
      <c r="AR176" s="326"/>
      <c r="AS176" s="326"/>
      <c r="AT176" s="326"/>
      <c r="AU176" s="326"/>
      <c r="AV176" s="326"/>
      <c r="AW176" s="326"/>
      <c r="AX176" s="326"/>
      <c r="AY176" s="327"/>
    </row>
    <row r="177" spans="1:5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3" x14ac:dyDescent="0.15">
      <c r="A178" s="1"/>
      <c r="B178" s="2" t="s">
        <v>33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3" x14ac:dyDescent="0.15">
      <c r="A179" s="1"/>
      <c r="B179" s="334" t="s">
        <v>34</v>
      </c>
      <c r="C179" s="335"/>
      <c r="D179" s="335"/>
      <c r="E179" s="335"/>
      <c r="F179" s="335"/>
      <c r="G179" s="335"/>
      <c r="H179" s="335"/>
      <c r="I179" s="335"/>
      <c r="J179" s="335"/>
      <c r="K179" s="335"/>
      <c r="L179" s="335"/>
      <c r="M179" s="335"/>
      <c r="N179" s="336"/>
      <c r="O179" s="337" t="s">
        <v>247</v>
      </c>
      <c r="P179" s="338"/>
      <c r="Q179" s="338"/>
      <c r="R179" s="338"/>
      <c r="S179" s="338"/>
      <c r="T179" s="338"/>
      <c r="U179" s="338"/>
      <c r="V179" s="338"/>
      <c r="W179" s="338"/>
      <c r="X179" s="338"/>
      <c r="Y179" s="338"/>
      <c r="Z179" s="338"/>
      <c r="AA179" s="338"/>
      <c r="AB179" s="338"/>
      <c r="AC179" s="338"/>
      <c r="AD179" s="338"/>
      <c r="AE179" s="338"/>
      <c r="AF179" s="338"/>
      <c r="AG179" s="338"/>
      <c r="AH179" s="338"/>
      <c r="AI179" s="338"/>
      <c r="AJ179" s="338"/>
      <c r="AK179" s="338"/>
      <c r="AL179" s="338"/>
      <c r="AM179" s="338"/>
      <c r="AN179" s="338"/>
      <c r="AO179" s="338"/>
      <c r="AP179" s="338"/>
      <c r="AQ179" s="338"/>
      <c r="AR179" s="338"/>
      <c r="AS179" s="338"/>
      <c r="AT179" s="338"/>
      <c r="AU179" s="338"/>
      <c r="AV179" s="338"/>
      <c r="AW179" s="338"/>
      <c r="AX179" s="338"/>
      <c r="AY179" s="339"/>
    </row>
    <row r="180" spans="1:53" x14ac:dyDescent="0.15">
      <c r="A180" s="1"/>
      <c r="B180" s="340" t="s">
        <v>101</v>
      </c>
      <c r="C180" s="320"/>
      <c r="D180" s="320"/>
      <c r="E180" s="320"/>
      <c r="F180" s="320"/>
      <c r="G180" s="320"/>
      <c r="H180" s="320"/>
      <c r="I180" s="320"/>
      <c r="J180" s="320"/>
      <c r="K180" s="320"/>
      <c r="L180" s="320"/>
      <c r="M180" s="320"/>
      <c r="N180" s="321"/>
      <c r="O180" s="389" t="s">
        <v>244</v>
      </c>
      <c r="P180" s="390"/>
      <c r="Q180" s="390"/>
      <c r="R180" s="390"/>
      <c r="S180" s="390"/>
      <c r="T180" s="390"/>
      <c r="U180" s="390"/>
      <c r="V180" s="390"/>
      <c r="W180" s="390"/>
      <c r="X180" s="390"/>
      <c r="Y180" s="390"/>
      <c r="Z180" s="390"/>
      <c r="AA180" s="391"/>
      <c r="AB180" s="391"/>
      <c r="AC180" s="391"/>
      <c r="AD180" s="391"/>
      <c r="AE180" s="391"/>
      <c r="AF180" s="391"/>
      <c r="AG180" s="391"/>
      <c r="AH180" s="391"/>
      <c r="AI180" s="392" t="s">
        <v>243</v>
      </c>
      <c r="AJ180" s="392"/>
      <c r="AK180" s="392"/>
      <c r="AL180" s="392"/>
      <c r="AM180" s="392"/>
      <c r="AN180" s="392"/>
      <c r="AO180" s="392"/>
      <c r="AP180" s="392"/>
      <c r="AQ180" s="392"/>
      <c r="AR180" s="392"/>
      <c r="AS180" s="392"/>
      <c r="AT180" s="392"/>
      <c r="AU180" s="392"/>
      <c r="AV180" s="392"/>
      <c r="AW180" s="392"/>
      <c r="AX180" s="392"/>
      <c r="AY180" s="393"/>
    </row>
    <row r="181" spans="1:53" x14ac:dyDescent="0.15">
      <c r="A181" s="1"/>
      <c r="B181" s="9"/>
      <c r="C181" s="462" t="s">
        <v>52</v>
      </c>
      <c r="D181" s="462"/>
      <c r="E181" s="462"/>
      <c r="F181" s="462"/>
      <c r="G181" s="462"/>
      <c r="H181" s="462"/>
      <c r="I181" s="462"/>
      <c r="J181" s="462"/>
      <c r="K181" s="462"/>
      <c r="L181" s="462"/>
      <c r="M181" s="462"/>
      <c r="N181" s="462"/>
      <c r="O181" s="394" t="s">
        <v>245</v>
      </c>
      <c r="P181" s="395"/>
      <c r="Q181" s="395"/>
      <c r="R181" s="395"/>
      <c r="S181" s="395"/>
      <c r="T181" s="395"/>
      <c r="U181" s="395"/>
      <c r="V181" s="395"/>
      <c r="W181" s="395"/>
      <c r="X181" s="395"/>
      <c r="Y181" s="395"/>
      <c r="Z181" s="395"/>
      <c r="AA181" s="396"/>
      <c r="AB181" s="396"/>
      <c r="AC181" s="396"/>
      <c r="AD181" s="396"/>
      <c r="AE181" s="396"/>
      <c r="AF181" s="396"/>
      <c r="AG181" s="396"/>
      <c r="AH181" s="396"/>
      <c r="AI181" s="397" t="s">
        <v>246</v>
      </c>
      <c r="AJ181" s="397"/>
      <c r="AK181" s="397"/>
      <c r="AL181" s="397"/>
      <c r="AM181" s="397"/>
      <c r="AN181" s="397"/>
      <c r="AO181" s="397"/>
      <c r="AP181" s="397"/>
      <c r="AQ181" s="397"/>
      <c r="AR181" s="397"/>
      <c r="AS181" s="397"/>
      <c r="AT181" s="397"/>
      <c r="AU181" s="358"/>
      <c r="AV181" s="358"/>
      <c r="AW181" s="358"/>
      <c r="AX181" s="358"/>
      <c r="AY181" s="359"/>
    </row>
    <row r="182" spans="1:53" x14ac:dyDescent="0.15">
      <c r="A182" s="1"/>
      <c r="B182" s="8"/>
      <c r="C182" s="463" t="s">
        <v>289</v>
      </c>
      <c r="D182" s="463"/>
      <c r="E182" s="463"/>
      <c r="F182" s="463"/>
      <c r="G182" s="463"/>
      <c r="H182" s="463"/>
      <c r="I182" s="463"/>
      <c r="J182" s="463"/>
      <c r="K182" s="463"/>
      <c r="L182" s="463"/>
      <c r="M182" s="463"/>
      <c r="N182" s="463"/>
      <c r="O182" s="360"/>
      <c r="P182" s="361"/>
      <c r="Q182" s="361"/>
      <c r="R182" s="361"/>
      <c r="S182" s="361"/>
      <c r="T182" s="361"/>
      <c r="U182" s="361"/>
      <c r="V182" s="361"/>
      <c r="W182" s="361"/>
      <c r="X182" s="361"/>
      <c r="Y182" s="361"/>
      <c r="Z182" s="361"/>
      <c r="AA182" s="361"/>
      <c r="AB182" s="361"/>
      <c r="AC182" s="361"/>
      <c r="AD182" s="361"/>
      <c r="AE182" s="33" t="s">
        <v>248</v>
      </c>
      <c r="AF182" s="101"/>
      <c r="AG182" s="101"/>
      <c r="AH182" s="101"/>
      <c r="AI182" s="101"/>
      <c r="AJ182" s="101"/>
      <c r="AK182" s="101"/>
      <c r="AL182" s="101"/>
      <c r="AM182" s="101"/>
      <c r="AN182" s="101"/>
      <c r="AO182" s="101"/>
      <c r="AP182" s="101"/>
      <c r="AQ182" s="101"/>
      <c r="AR182" s="101"/>
      <c r="AS182" s="101"/>
      <c r="AT182" s="101"/>
      <c r="AU182" s="101"/>
      <c r="AV182" s="101"/>
      <c r="AW182" s="101"/>
      <c r="AX182" s="101"/>
      <c r="AY182" s="102"/>
    </row>
    <row r="183" spans="1:53" x14ac:dyDescent="0.15">
      <c r="A183" s="1"/>
      <c r="B183" s="352" t="s">
        <v>35</v>
      </c>
      <c r="C183" s="353"/>
      <c r="D183" s="353"/>
      <c r="E183" s="353"/>
      <c r="F183" s="353"/>
      <c r="G183" s="353"/>
      <c r="H183" s="353"/>
      <c r="I183" s="353"/>
      <c r="J183" s="353"/>
      <c r="K183" s="353"/>
      <c r="L183" s="353"/>
      <c r="M183" s="353"/>
      <c r="N183" s="354"/>
      <c r="O183" s="355" t="s">
        <v>60</v>
      </c>
      <c r="P183" s="356"/>
      <c r="Q183" s="356"/>
      <c r="R183" s="356"/>
      <c r="S183" s="356"/>
      <c r="T183" s="356"/>
      <c r="U183" s="356"/>
      <c r="V183" s="356"/>
      <c r="W183" s="356"/>
      <c r="X183" s="356"/>
      <c r="Y183" s="356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7"/>
    </row>
    <row r="184" spans="1:53" x14ac:dyDescent="0.15">
      <c r="A184" s="1"/>
      <c r="B184" s="8"/>
      <c r="C184" s="453" t="s">
        <v>36</v>
      </c>
      <c r="D184" s="454"/>
      <c r="E184" s="454"/>
      <c r="F184" s="454"/>
      <c r="G184" s="454"/>
      <c r="H184" s="454"/>
      <c r="I184" s="454"/>
      <c r="J184" s="454"/>
      <c r="K184" s="454"/>
      <c r="L184" s="454"/>
      <c r="M184" s="454"/>
      <c r="N184" s="455"/>
      <c r="O184" s="325" t="s">
        <v>208</v>
      </c>
      <c r="P184" s="326"/>
      <c r="Q184" s="326"/>
      <c r="R184" s="326"/>
      <c r="S184" s="326"/>
      <c r="T184" s="326"/>
      <c r="U184" s="326"/>
      <c r="V184" s="326"/>
      <c r="W184" s="326"/>
      <c r="X184" s="326"/>
      <c r="Y184" s="326"/>
      <c r="Z184" s="326"/>
      <c r="AA184" s="326"/>
      <c r="AB184" s="326"/>
      <c r="AC184" s="326"/>
      <c r="AD184" s="326"/>
      <c r="AE184" s="326"/>
      <c r="AF184" s="326"/>
      <c r="AG184" s="326"/>
      <c r="AH184" s="326"/>
      <c r="AI184" s="326"/>
      <c r="AJ184" s="326"/>
      <c r="AK184" s="326"/>
      <c r="AL184" s="326"/>
      <c r="AM184" s="326"/>
      <c r="AN184" s="326"/>
      <c r="AO184" s="326"/>
      <c r="AP184" s="326"/>
      <c r="AQ184" s="326"/>
      <c r="AR184" s="326"/>
      <c r="AS184" s="326"/>
      <c r="AT184" s="326"/>
      <c r="AU184" s="326"/>
      <c r="AV184" s="326"/>
      <c r="AW184" s="326"/>
      <c r="AX184" s="326"/>
      <c r="AY184" s="327"/>
    </row>
    <row r="185" spans="1:53" x14ac:dyDescent="0.15">
      <c r="A185" s="1"/>
      <c r="B185" s="12"/>
      <c r="C185" s="344" t="s">
        <v>45</v>
      </c>
      <c r="D185" s="345"/>
      <c r="E185" s="345"/>
      <c r="F185" s="345"/>
      <c r="G185" s="345"/>
      <c r="H185" s="345"/>
      <c r="I185" s="345"/>
      <c r="J185" s="345"/>
      <c r="K185" s="345"/>
      <c r="L185" s="345"/>
      <c r="M185" s="345"/>
      <c r="N185" s="345"/>
      <c r="O185" s="344" t="s">
        <v>218</v>
      </c>
      <c r="P185" s="345"/>
      <c r="Q185" s="345"/>
      <c r="R185" s="345"/>
      <c r="S185" s="345"/>
      <c r="T185" s="345"/>
      <c r="U185" s="345"/>
      <c r="V185" s="345"/>
      <c r="W185" s="345"/>
      <c r="X185" s="345"/>
      <c r="Y185" s="345"/>
      <c r="Z185" s="345"/>
      <c r="AA185" s="346"/>
      <c r="AB185" s="347" t="s">
        <v>46</v>
      </c>
      <c r="AC185" s="348"/>
      <c r="AD185" s="348"/>
      <c r="AE185" s="348"/>
      <c r="AF185" s="348"/>
      <c r="AG185" s="348"/>
      <c r="AH185" s="348"/>
      <c r="AI185" s="348"/>
      <c r="AJ185" s="348"/>
      <c r="AK185" s="349"/>
      <c r="AL185" s="121" t="s">
        <v>276</v>
      </c>
      <c r="AM185" s="122"/>
      <c r="AN185" s="122"/>
      <c r="AO185" s="122"/>
      <c r="AP185" s="122"/>
      <c r="AQ185" s="122"/>
      <c r="AR185" s="122"/>
      <c r="AS185" s="122"/>
      <c r="AT185" s="122"/>
      <c r="AU185" s="122"/>
      <c r="AV185" s="122"/>
      <c r="AW185" s="122"/>
      <c r="AX185" s="122"/>
      <c r="AY185" s="255"/>
    </row>
    <row r="186" spans="1:53" x14ac:dyDescent="0.15">
      <c r="A186" s="1"/>
      <c r="B186" s="344" t="s">
        <v>102</v>
      </c>
      <c r="C186" s="345"/>
      <c r="D186" s="345"/>
      <c r="E186" s="345"/>
      <c r="F186" s="345"/>
      <c r="G186" s="345"/>
      <c r="H186" s="345"/>
      <c r="I186" s="345"/>
      <c r="J186" s="345"/>
      <c r="K186" s="345"/>
      <c r="L186" s="345"/>
      <c r="M186" s="345"/>
      <c r="N186" s="346"/>
      <c r="O186" s="355" t="s">
        <v>42</v>
      </c>
      <c r="P186" s="356"/>
      <c r="Q186" s="356"/>
      <c r="R186" s="356"/>
      <c r="S186" s="356"/>
      <c r="T186" s="356"/>
      <c r="U186" s="356"/>
      <c r="V186" s="356"/>
      <c r="W186" s="356"/>
      <c r="X186" s="356"/>
      <c r="Y186" s="356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7"/>
    </row>
    <row r="187" spans="1:53" x14ac:dyDescent="0.15">
      <c r="A187" s="1"/>
      <c r="B187" s="45"/>
      <c r="C187" s="456" t="s">
        <v>103</v>
      </c>
      <c r="D187" s="457"/>
      <c r="E187" s="457"/>
      <c r="F187" s="457"/>
      <c r="G187" s="457"/>
      <c r="H187" s="457"/>
      <c r="I187" s="457"/>
      <c r="J187" s="457"/>
      <c r="K187" s="457"/>
      <c r="L187" s="457"/>
      <c r="M187" s="457"/>
      <c r="N187" s="458"/>
      <c r="O187" s="344" t="s">
        <v>218</v>
      </c>
      <c r="P187" s="345"/>
      <c r="Q187" s="345"/>
      <c r="R187" s="345"/>
      <c r="S187" s="345"/>
      <c r="T187" s="345"/>
      <c r="U187" s="345"/>
      <c r="V187" s="345"/>
      <c r="W187" s="345"/>
      <c r="X187" s="345"/>
      <c r="Y187" s="345"/>
      <c r="Z187" s="345"/>
      <c r="AA187" s="346"/>
      <c r="AB187" s="347" t="s">
        <v>43</v>
      </c>
      <c r="AC187" s="348"/>
      <c r="AD187" s="348"/>
      <c r="AE187" s="348"/>
      <c r="AF187" s="348"/>
      <c r="AG187" s="348"/>
      <c r="AH187" s="348"/>
      <c r="AI187" s="348"/>
      <c r="AJ187" s="348"/>
      <c r="AK187" s="349"/>
      <c r="AL187" s="459" t="s">
        <v>44</v>
      </c>
      <c r="AM187" s="460"/>
      <c r="AN187" s="460"/>
      <c r="AO187" s="460"/>
      <c r="AP187" s="460"/>
      <c r="AQ187" s="460"/>
      <c r="AR187" s="460"/>
      <c r="AS187" s="460"/>
      <c r="AT187" s="460"/>
      <c r="AU187" s="460"/>
      <c r="AV187" s="460"/>
      <c r="AW187" s="460"/>
      <c r="AX187" s="460"/>
      <c r="AY187" s="461"/>
    </row>
    <row r="188" spans="1:53" x14ac:dyDescent="0.15">
      <c r="A188" s="1"/>
      <c r="B188" s="375" t="s">
        <v>236</v>
      </c>
      <c r="C188" s="376"/>
      <c r="D188" s="376"/>
      <c r="E188" s="376"/>
      <c r="F188" s="376"/>
      <c r="G188" s="376"/>
      <c r="H188" s="376"/>
      <c r="I188" s="376"/>
      <c r="J188" s="376"/>
      <c r="K188" s="376"/>
      <c r="L188" s="377"/>
      <c r="M188" s="347">
        <f>O17</f>
        <v>240</v>
      </c>
      <c r="N188" s="349"/>
      <c r="O188" s="347" t="s">
        <v>210</v>
      </c>
      <c r="P188" s="348"/>
      <c r="Q188" s="348"/>
      <c r="R188" s="349"/>
      <c r="S188" s="378" t="s">
        <v>211</v>
      </c>
      <c r="T188" s="378"/>
      <c r="U188" s="378"/>
      <c r="V188" s="378"/>
      <c r="W188" s="378"/>
      <c r="X188" s="378"/>
      <c r="Y188" s="378"/>
      <c r="Z188" s="378"/>
      <c r="AA188" s="379"/>
      <c r="AB188" s="362" t="s">
        <v>278</v>
      </c>
      <c r="AC188" s="363"/>
      <c r="AD188" s="364" t="s">
        <v>212</v>
      </c>
      <c r="AE188" s="365"/>
      <c r="AF188" s="365"/>
      <c r="AG188" s="366"/>
      <c r="AH188" s="362" t="s">
        <v>271</v>
      </c>
      <c r="AI188" s="363"/>
      <c r="AJ188" s="363"/>
      <c r="AK188" s="363"/>
      <c r="AL188" s="363"/>
      <c r="AM188" s="363"/>
      <c r="AN188" s="363"/>
      <c r="AO188" s="363"/>
      <c r="AP188" s="363"/>
      <c r="AQ188" s="363"/>
      <c r="AR188" s="364" t="s">
        <v>39</v>
      </c>
      <c r="AS188" s="365"/>
      <c r="AT188" s="365"/>
      <c r="AU188" s="366"/>
      <c r="AV188" s="362" t="s">
        <v>71</v>
      </c>
      <c r="AW188" s="363"/>
      <c r="AX188" s="363"/>
      <c r="AY188" s="363"/>
    </row>
    <row r="189" spans="1:53" ht="13.5" customHeight="1" x14ac:dyDescent="0.15">
      <c r="A189" s="1"/>
      <c r="B189" s="6"/>
      <c r="C189" s="383" t="s">
        <v>213</v>
      </c>
      <c r="D189" s="384"/>
      <c r="E189" s="384"/>
      <c r="F189" s="384"/>
      <c r="G189" s="384"/>
      <c r="H189" s="384"/>
      <c r="I189" s="384"/>
      <c r="J189" s="384"/>
      <c r="K189" s="384"/>
      <c r="L189" s="384"/>
      <c r="M189" s="367">
        <f t="shared" ref="M189:M218" si="0">IF(OR($M$188&gt;(AZ189-1),$F$6="NextGen/LA6000"),AZ189,"")</f>
        <v>1</v>
      </c>
      <c r="N189" s="368"/>
      <c r="O189" s="369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  <c r="AA189" s="370"/>
      <c r="AB189" s="370"/>
      <c r="AC189" s="371"/>
      <c r="AD189" s="369"/>
      <c r="AE189" s="370"/>
      <c r="AF189" s="370"/>
      <c r="AG189" s="370"/>
      <c r="AH189" s="370"/>
      <c r="AI189" s="370"/>
      <c r="AJ189" s="370"/>
      <c r="AK189" s="370"/>
      <c r="AL189" s="370"/>
      <c r="AM189" s="370"/>
      <c r="AN189" s="370"/>
      <c r="AO189" s="370"/>
      <c r="AP189" s="370"/>
      <c r="AQ189" s="371"/>
      <c r="AR189" s="369"/>
      <c r="AS189" s="370"/>
      <c r="AT189" s="370"/>
      <c r="AU189" s="370"/>
      <c r="AV189" s="370"/>
      <c r="AW189" s="370"/>
      <c r="AX189" s="370"/>
      <c r="AY189" s="371"/>
      <c r="AZ189" s="16">
        <v>1</v>
      </c>
      <c r="BA189" s="48"/>
    </row>
    <row r="190" spans="1:53" ht="14.25" customHeight="1" x14ac:dyDescent="0.15">
      <c r="A190" s="1"/>
      <c r="B190" s="6"/>
      <c r="C190" s="385"/>
      <c r="D190" s="386"/>
      <c r="E190" s="386"/>
      <c r="F190" s="386"/>
      <c r="G190" s="386"/>
      <c r="H190" s="386"/>
      <c r="I190" s="386"/>
      <c r="J190" s="386"/>
      <c r="K190" s="386"/>
      <c r="L190" s="386"/>
      <c r="M190" s="367">
        <f t="shared" si="0"/>
        <v>2</v>
      </c>
      <c r="N190" s="368"/>
      <c r="O190" s="369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  <c r="AA190" s="370"/>
      <c r="AB190" s="370"/>
      <c r="AC190" s="371"/>
      <c r="AD190" s="369"/>
      <c r="AE190" s="370"/>
      <c r="AF190" s="370"/>
      <c r="AG190" s="370"/>
      <c r="AH190" s="370"/>
      <c r="AI190" s="370"/>
      <c r="AJ190" s="370"/>
      <c r="AK190" s="370"/>
      <c r="AL190" s="370"/>
      <c r="AM190" s="370"/>
      <c r="AN190" s="370"/>
      <c r="AO190" s="370"/>
      <c r="AP190" s="370"/>
      <c r="AQ190" s="371"/>
      <c r="AR190" s="369"/>
      <c r="AS190" s="370"/>
      <c r="AT190" s="370"/>
      <c r="AU190" s="370"/>
      <c r="AV190" s="370"/>
      <c r="AW190" s="370"/>
      <c r="AX190" s="370"/>
      <c r="AY190" s="371"/>
      <c r="AZ190" s="16">
        <v>2</v>
      </c>
      <c r="BA190" s="48"/>
    </row>
    <row r="191" spans="1:53" ht="14.25" customHeight="1" x14ac:dyDescent="0.15">
      <c r="A191" s="1"/>
      <c r="B191" s="6"/>
      <c r="C191" s="385"/>
      <c r="D191" s="386"/>
      <c r="E191" s="386"/>
      <c r="F191" s="386"/>
      <c r="G191" s="386"/>
      <c r="H191" s="386"/>
      <c r="I191" s="386"/>
      <c r="J191" s="386"/>
      <c r="K191" s="386"/>
      <c r="L191" s="386"/>
      <c r="M191" s="367">
        <f t="shared" si="0"/>
        <v>3</v>
      </c>
      <c r="N191" s="368"/>
      <c r="O191" s="369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  <c r="AA191" s="370"/>
      <c r="AB191" s="370"/>
      <c r="AC191" s="371"/>
      <c r="AD191" s="369"/>
      <c r="AE191" s="370"/>
      <c r="AF191" s="370"/>
      <c r="AG191" s="370"/>
      <c r="AH191" s="370"/>
      <c r="AI191" s="370"/>
      <c r="AJ191" s="370"/>
      <c r="AK191" s="370"/>
      <c r="AL191" s="370"/>
      <c r="AM191" s="370"/>
      <c r="AN191" s="370"/>
      <c r="AO191" s="370"/>
      <c r="AP191" s="370"/>
      <c r="AQ191" s="371"/>
      <c r="AR191" s="369"/>
      <c r="AS191" s="370"/>
      <c r="AT191" s="370"/>
      <c r="AU191" s="370"/>
      <c r="AV191" s="370"/>
      <c r="AW191" s="370"/>
      <c r="AX191" s="370"/>
      <c r="AY191" s="371"/>
      <c r="AZ191" s="16">
        <v>3</v>
      </c>
      <c r="BA191" s="48"/>
    </row>
    <row r="192" spans="1:53" ht="14.25" customHeight="1" x14ac:dyDescent="0.15">
      <c r="A192" s="1"/>
      <c r="B192" s="6"/>
      <c r="C192" s="385"/>
      <c r="D192" s="386"/>
      <c r="E192" s="386"/>
      <c r="F192" s="386"/>
      <c r="G192" s="386"/>
      <c r="H192" s="386"/>
      <c r="I192" s="386"/>
      <c r="J192" s="386"/>
      <c r="K192" s="386"/>
      <c r="L192" s="386"/>
      <c r="M192" s="367">
        <f t="shared" si="0"/>
        <v>4</v>
      </c>
      <c r="N192" s="368"/>
      <c r="O192" s="369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  <c r="AA192" s="370"/>
      <c r="AB192" s="370"/>
      <c r="AC192" s="371"/>
      <c r="AD192" s="369"/>
      <c r="AE192" s="370"/>
      <c r="AF192" s="370"/>
      <c r="AG192" s="370"/>
      <c r="AH192" s="370"/>
      <c r="AI192" s="370"/>
      <c r="AJ192" s="370"/>
      <c r="AK192" s="370"/>
      <c r="AL192" s="370"/>
      <c r="AM192" s="370"/>
      <c r="AN192" s="370"/>
      <c r="AO192" s="370"/>
      <c r="AP192" s="370"/>
      <c r="AQ192" s="371"/>
      <c r="AR192" s="369"/>
      <c r="AS192" s="370"/>
      <c r="AT192" s="370"/>
      <c r="AU192" s="370"/>
      <c r="AV192" s="370"/>
      <c r="AW192" s="370"/>
      <c r="AX192" s="370"/>
      <c r="AY192" s="371"/>
      <c r="AZ192" s="16">
        <v>4</v>
      </c>
      <c r="BA192" s="48"/>
    </row>
    <row r="193" spans="1:53" ht="14.25" customHeight="1" x14ac:dyDescent="0.15">
      <c r="A193" s="1"/>
      <c r="B193" s="6"/>
      <c r="C193" s="385"/>
      <c r="D193" s="386"/>
      <c r="E193" s="386"/>
      <c r="F193" s="386"/>
      <c r="G193" s="386"/>
      <c r="H193" s="386"/>
      <c r="I193" s="386"/>
      <c r="J193" s="386"/>
      <c r="K193" s="386"/>
      <c r="L193" s="386"/>
      <c r="M193" s="367">
        <f t="shared" si="0"/>
        <v>5</v>
      </c>
      <c r="N193" s="368"/>
      <c r="O193" s="369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  <c r="AA193" s="370"/>
      <c r="AB193" s="370"/>
      <c r="AC193" s="371"/>
      <c r="AD193" s="369"/>
      <c r="AE193" s="370"/>
      <c r="AF193" s="370"/>
      <c r="AG193" s="370"/>
      <c r="AH193" s="370"/>
      <c r="AI193" s="370"/>
      <c r="AJ193" s="370"/>
      <c r="AK193" s="370"/>
      <c r="AL193" s="370"/>
      <c r="AM193" s="370"/>
      <c r="AN193" s="370"/>
      <c r="AO193" s="370"/>
      <c r="AP193" s="370"/>
      <c r="AQ193" s="371"/>
      <c r="AR193" s="369"/>
      <c r="AS193" s="370"/>
      <c r="AT193" s="370"/>
      <c r="AU193" s="370"/>
      <c r="AV193" s="370"/>
      <c r="AW193" s="370"/>
      <c r="AX193" s="370"/>
      <c r="AY193" s="371"/>
      <c r="AZ193" s="16">
        <v>5</v>
      </c>
      <c r="BA193" s="48"/>
    </row>
    <row r="194" spans="1:53" ht="14.25" customHeight="1" x14ac:dyDescent="0.15">
      <c r="A194" s="1"/>
      <c r="B194" s="6"/>
      <c r="C194" s="385"/>
      <c r="D194" s="386"/>
      <c r="E194" s="386"/>
      <c r="F194" s="386"/>
      <c r="G194" s="386"/>
      <c r="H194" s="386"/>
      <c r="I194" s="386"/>
      <c r="J194" s="386"/>
      <c r="K194" s="386"/>
      <c r="L194" s="386"/>
      <c r="M194" s="367">
        <f t="shared" si="0"/>
        <v>6</v>
      </c>
      <c r="N194" s="368"/>
      <c r="O194" s="369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  <c r="AA194" s="370"/>
      <c r="AB194" s="370"/>
      <c r="AC194" s="371"/>
      <c r="AD194" s="369"/>
      <c r="AE194" s="370"/>
      <c r="AF194" s="370"/>
      <c r="AG194" s="370"/>
      <c r="AH194" s="370"/>
      <c r="AI194" s="370"/>
      <c r="AJ194" s="370"/>
      <c r="AK194" s="370"/>
      <c r="AL194" s="370"/>
      <c r="AM194" s="370"/>
      <c r="AN194" s="370"/>
      <c r="AO194" s="370"/>
      <c r="AP194" s="370"/>
      <c r="AQ194" s="371"/>
      <c r="AR194" s="369"/>
      <c r="AS194" s="370"/>
      <c r="AT194" s="370"/>
      <c r="AU194" s="370"/>
      <c r="AV194" s="370"/>
      <c r="AW194" s="370"/>
      <c r="AX194" s="370"/>
      <c r="AY194" s="371"/>
      <c r="AZ194" s="16">
        <v>6</v>
      </c>
      <c r="BA194" s="48"/>
    </row>
    <row r="195" spans="1:53" ht="14.25" customHeight="1" x14ac:dyDescent="0.15">
      <c r="A195" s="1"/>
      <c r="B195" s="6"/>
      <c r="C195" s="385"/>
      <c r="D195" s="386"/>
      <c r="E195" s="386"/>
      <c r="F195" s="386"/>
      <c r="G195" s="386"/>
      <c r="H195" s="386"/>
      <c r="I195" s="386"/>
      <c r="J195" s="386"/>
      <c r="K195" s="386"/>
      <c r="L195" s="386"/>
      <c r="M195" s="367">
        <f t="shared" si="0"/>
        <v>7</v>
      </c>
      <c r="N195" s="368"/>
      <c r="O195" s="369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  <c r="AA195" s="370"/>
      <c r="AB195" s="370"/>
      <c r="AC195" s="371"/>
      <c r="AD195" s="369"/>
      <c r="AE195" s="370"/>
      <c r="AF195" s="370"/>
      <c r="AG195" s="370"/>
      <c r="AH195" s="370"/>
      <c r="AI195" s="370"/>
      <c r="AJ195" s="370"/>
      <c r="AK195" s="370"/>
      <c r="AL195" s="370"/>
      <c r="AM195" s="370"/>
      <c r="AN195" s="370"/>
      <c r="AO195" s="370"/>
      <c r="AP195" s="370"/>
      <c r="AQ195" s="371"/>
      <c r="AR195" s="369"/>
      <c r="AS195" s="370"/>
      <c r="AT195" s="370"/>
      <c r="AU195" s="370"/>
      <c r="AV195" s="370"/>
      <c r="AW195" s="370"/>
      <c r="AX195" s="370"/>
      <c r="AY195" s="371"/>
      <c r="AZ195" s="16">
        <v>7</v>
      </c>
      <c r="BA195" s="48"/>
    </row>
    <row r="196" spans="1:53" ht="14.25" customHeight="1" x14ac:dyDescent="0.15">
      <c r="A196" s="1"/>
      <c r="B196" s="6"/>
      <c r="C196" s="385"/>
      <c r="D196" s="386"/>
      <c r="E196" s="386"/>
      <c r="F196" s="386"/>
      <c r="G196" s="386"/>
      <c r="H196" s="386"/>
      <c r="I196" s="386"/>
      <c r="J196" s="386"/>
      <c r="K196" s="386"/>
      <c r="L196" s="386"/>
      <c r="M196" s="367">
        <f t="shared" si="0"/>
        <v>8</v>
      </c>
      <c r="N196" s="368"/>
      <c r="O196" s="369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  <c r="AA196" s="370"/>
      <c r="AB196" s="370"/>
      <c r="AC196" s="371"/>
      <c r="AD196" s="369"/>
      <c r="AE196" s="370"/>
      <c r="AF196" s="370"/>
      <c r="AG196" s="370"/>
      <c r="AH196" s="370"/>
      <c r="AI196" s="370"/>
      <c r="AJ196" s="370"/>
      <c r="AK196" s="370"/>
      <c r="AL196" s="370"/>
      <c r="AM196" s="370"/>
      <c r="AN196" s="370"/>
      <c r="AO196" s="370"/>
      <c r="AP196" s="370"/>
      <c r="AQ196" s="371"/>
      <c r="AR196" s="369"/>
      <c r="AS196" s="370"/>
      <c r="AT196" s="370"/>
      <c r="AU196" s="370"/>
      <c r="AV196" s="370"/>
      <c r="AW196" s="370"/>
      <c r="AX196" s="370"/>
      <c r="AY196" s="371"/>
      <c r="AZ196" s="16">
        <v>8</v>
      </c>
      <c r="BA196" s="48"/>
    </row>
    <row r="197" spans="1:53" ht="14.25" customHeight="1" x14ac:dyDescent="0.15">
      <c r="A197" s="1"/>
      <c r="B197" s="6"/>
      <c r="C197" s="385"/>
      <c r="D197" s="386"/>
      <c r="E197" s="386"/>
      <c r="F197" s="386"/>
      <c r="G197" s="386"/>
      <c r="H197" s="386"/>
      <c r="I197" s="386"/>
      <c r="J197" s="386"/>
      <c r="K197" s="386"/>
      <c r="L197" s="386"/>
      <c r="M197" s="367">
        <f t="shared" si="0"/>
        <v>9</v>
      </c>
      <c r="N197" s="368"/>
      <c r="O197" s="369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  <c r="AA197" s="370"/>
      <c r="AB197" s="370"/>
      <c r="AC197" s="371"/>
      <c r="AD197" s="369"/>
      <c r="AE197" s="370"/>
      <c r="AF197" s="370"/>
      <c r="AG197" s="370"/>
      <c r="AH197" s="370"/>
      <c r="AI197" s="370"/>
      <c r="AJ197" s="370"/>
      <c r="AK197" s="370"/>
      <c r="AL197" s="370"/>
      <c r="AM197" s="370"/>
      <c r="AN197" s="370"/>
      <c r="AO197" s="370"/>
      <c r="AP197" s="370"/>
      <c r="AQ197" s="371"/>
      <c r="AR197" s="369"/>
      <c r="AS197" s="370"/>
      <c r="AT197" s="370"/>
      <c r="AU197" s="370"/>
      <c r="AV197" s="370"/>
      <c r="AW197" s="370"/>
      <c r="AX197" s="370"/>
      <c r="AY197" s="371"/>
      <c r="AZ197" s="16">
        <v>9</v>
      </c>
      <c r="BA197" s="48"/>
    </row>
    <row r="198" spans="1:53" ht="14.25" customHeight="1" x14ac:dyDescent="0.15">
      <c r="A198" s="1"/>
      <c r="B198" s="6"/>
      <c r="C198" s="385"/>
      <c r="D198" s="386"/>
      <c r="E198" s="386"/>
      <c r="F198" s="386"/>
      <c r="G198" s="386"/>
      <c r="H198" s="386"/>
      <c r="I198" s="386"/>
      <c r="J198" s="386"/>
      <c r="K198" s="386"/>
      <c r="L198" s="386"/>
      <c r="M198" s="367">
        <f t="shared" si="0"/>
        <v>10</v>
      </c>
      <c r="N198" s="368"/>
      <c r="O198" s="369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  <c r="AA198" s="370"/>
      <c r="AB198" s="370"/>
      <c r="AC198" s="371"/>
      <c r="AD198" s="369"/>
      <c r="AE198" s="370"/>
      <c r="AF198" s="370"/>
      <c r="AG198" s="370"/>
      <c r="AH198" s="370"/>
      <c r="AI198" s="370"/>
      <c r="AJ198" s="370"/>
      <c r="AK198" s="370"/>
      <c r="AL198" s="370"/>
      <c r="AM198" s="370"/>
      <c r="AN198" s="370"/>
      <c r="AO198" s="370"/>
      <c r="AP198" s="370"/>
      <c r="AQ198" s="371"/>
      <c r="AR198" s="369"/>
      <c r="AS198" s="370"/>
      <c r="AT198" s="370"/>
      <c r="AU198" s="370"/>
      <c r="AV198" s="370"/>
      <c r="AW198" s="370"/>
      <c r="AX198" s="370"/>
      <c r="AY198" s="371"/>
      <c r="AZ198" s="16">
        <v>10</v>
      </c>
      <c r="BA198" s="48"/>
    </row>
    <row r="199" spans="1:53" ht="14.25" customHeight="1" x14ac:dyDescent="0.15">
      <c r="A199" s="1"/>
      <c r="B199" s="6"/>
      <c r="C199" s="385"/>
      <c r="D199" s="386"/>
      <c r="E199" s="386"/>
      <c r="F199" s="386"/>
      <c r="G199" s="386"/>
      <c r="H199" s="386"/>
      <c r="I199" s="386"/>
      <c r="J199" s="386"/>
      <c r="K199" s="386"/>
      <c r="L199" s="386"/>
      <c r="M199" s="367">
        <f t="shared" si="0"/>
        <v>11</v>
      </c>
      <c r="N199" s="368"/>
      <c r="O199" s="369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  <c r="AA199" s="370"/>
      <c r="AB199" s="370"/>
      <c r="AC199" s="371"/>
      <c r="AD199" s="369"/>
      <c r="AE199" s="370"/>
      <c r="AF199" s="370"/>
      <c r="AG199" s="370"/>
      <c r="AH199" s="370"/>
      <c r="AI199" s="370"/>
      <c r="AJ199" s="370"/>
      <c r="AK199" s="370"/>
      <c r="AL199" s="370"/>
      <c r="AM199" s="370"/>
      <c r="AN199" s="370"/>
      <c r="AO199" s="370"/>
      <c r="AP199" s="370"/>
      <c r="AQ199" s="371"/>
      <c r="AR199" s="369"/>
      <c r="AS199" s="370"/>
      <c r="AT199" s="370"/>
      <c r="AU199" s="370"/>
      <c r="AV199" s="370"/>
      <c r="AW199" s="370"/>
      <c r="AX199" s="370"/>
      <c r="AY199" s="371"/>
      <c r="AZ199" s="16">
        <v>11</v>
      </c>
      <c r="BA199" s="48"/>
    </row>
    <row r="200" spans="1:53" ht="14.25" customHeight="1" x14ac:dyDescent="0.15">
      <c r="A200" s="1"/>
      <c r="B200" s="6"/>
      <c r="C200" s="385"/>
      <c r="D200" s="386"/>
      <c r="E200" s="386"/>
      <c r="F200" s="386"/>
      <c r="G200" s="386"/>
      <c r="H200" s="386"/>
      <c r="I200" s="386"/>
      <c r="J200" s="386"/>
      <c r="K200" s="386"/>
      <c r="L200" s="386"/>
      <c r="M200" s="367">
        <f t="shared" si="0"/>
        <v>12</v>
      </c>
      <c r="N200" s="368"/>
      <c r="O200" s="369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  <c r="AA200" s="370"/>
      <c r="AB200" s="370"/>
      <c r="AC200" s="371"/>
      <c r="AD200" s="369"/>
      <c r="AE200" s="370"/>
      <c r="AF200" s="370"/>
      <c r="AG200" s="370"/>
      <c r="AH200" s="370"/>
      <c r="AI200" s="370"/>
      <c r="AJ200" s="370"/>
      <c r="AK200" s="370"/>
      <c r="AL200" s="370"/>
      <c r="AM200" s="370"/>
      <c r="AN200" s="370"/>
      <c r="AO200" s="370"/>
      <c r="AP200" s="370"/>
      <c r="AQ200" s="371"/>
      <c r="AR200" s="369"/>
      <c r="AS200" s="370"/>
      <c r="AT200" s="370"/>
      <c r="AU200" s="370"/>
      <c r="AV200" s="370"/>
      <c r="AW200" s="370"/>
      <c r="AX200" s="370"/>
      <c r="AY200" s="371"/>
      <c r="AZ200" s="16">
        <v>12</v>
      </c>
      <c r="BA200" s="48"/>
    </row>
    <row r="201" spans="1:53" ht="14.25" customHeight="1" x14ac:dyDescent="0.15">
      <c r="A201" s="1"/>
      <c r="B201" s="6"/>
      <c r="C201" s="385"/>
      <c r="D201" s="386"/>
      <c r="E201" s="386"/>
      <c r="F201" s="386"/>
      <c r="G201" s="386"/>
      <c r="H201" s="386"/>
      <c r="I201" s="386"/>
      <c r="J201" s="386"/>
      <c r="K201" s="386"/>
      <c r="L201" s="386"/>
      <c r="M201" s="367">
        <f t="shared" si="0"/>
        <v>13</v>
      </c>
      <c r="N201" s="368"/>
      <c r="O201" s="369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  <c r="AA201" s="370"/>
      <c r="AB201" s="370"/>
      <c r="AC201" s="371"/>
      <c r="AD201" s="369"/>
      <c r="AE201" s="370"/>
      <c r="AF201" s="370"/>
      <c r="AG201" s="370"/>
      <c r="AH201" s="370"/>
      <c r="AI201" s="370"/>
      <c r="AJ201" s="370"/>
      <c r="AK201" s="370"/>
      <c r="AL201" s="370"/>
      <c r="AM201" s="370"/>
      <c r="AN201" s="370"/>
      <c r="AO201" s="370"/>
      <c r="AP201" s="370"/>
      <c r="AQ201" s="371"/>
      <c r="AR201" s="369"/>
      <c r="AS201" s="370"/>
      <c r="AT201" s="370"/>
      <c r="AU201" s="370"/>
      <c r="AV201" s="370"/>
      <c r="AW201" s="370"/>
      <c r="AX201" s="370"/>
      <c r="AY201" s="371"/>
      <c r="AZ201" s="16">
        <v>13</v>
      </c>
      <c r="BA201" s="48"/>
    </row>
    <row r="202" spans="1:53" ht="14.25" customHeight="1" x14ac:dyDescent="0.15">
      <c r="A202" s="1"/>
      <c r="B202" s="6"/>
      <c r="C202" s="385"/>
      <c r="D202" s="386"/>
      <c r="E202" s="386"/>
      <c r="F202" s="386"/>
      <c r="G202" s="386"/>
      <c r="H202" s="386"/>
      <c r="I202" s="386"/>
      <c r="J202" s="386"/>
      <c r="K202" s="386"/>
      <c r="L202" s="386"/>
      <c r="M202" s="367">
        <f t="shared" si="0"/>
        <v>14</v>
      </c>
      <c r="N202" s="368"/>
      <c r="O202" s="369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  <c r="AA202" s="370"/>
      <c r="AB202" s="370"/>
      <c r="AC202" s="371"/>
      <c r="AD202" s="369"/>
      <c r="AE202" s="370"/>
      <c r="AF202" s="370"/>
      <c r="AG202" s="370"/>
      <c r="AH202" s="370"/>
      <c r="AI202" s="370"/>
      <c r="AJ202" s="370"/>
      <c r="AK202" s="370"/>
      <c r="AL202" s="370"/>
      <c r="AM202" s="370"/>
      <c r="AN202" s="370"/>
      <c r="AO202" s="370"/>
      <c r="AP202" s="370"/>
      <c r="AQ202" s="371"/>
      <c r="AR202" s="369"/>
      <c r="AS202" s="370"/>
      <c r="AT202" s="370"/>
      <c r="AU202" s="370"/>
      <c r="AV202" s="370"/>
      <c r="AW202" s="370"/>
      <c r="AX202" s="370"/>
      <c r="AY202" s="371"/>
      <c r="AZ202" s="16">
        <v>14</v>
      </c>
      <c r="BA202" s="48"/>
    </row>
    <row r="203" spans="1:53" ht="14.25" customHeight="1" x14ac:dyDescent="0.15">
      <c r="A203" s="1"/>
      <c r="B203" s="6"/>
      <c r="C203" s="385"/>
      <c r="D203" s="386"/>
      <c r="E203" s="386"/>
      <c r="F203" s="386"/>
      <c r="G203" s="386"/>
      <c r="H203" s="386"/>
      <c r="I203" s="386"/>
      <c r="J203" s="386"/>
      <c r="K203" s="386"/>
      <c r="L203" s="386"/>
      <c r="M203" s="367">
        <f t="shared" si="0"/>
        <v>15</v>
      </c>
      <c r="N203" s="368"/>
      <c r="O203" s="369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  <c r="AA203" s="370"/>
      <c r="AB203" s="370"/>
      <c r="AC203" s="371"/>
      <c r="AD203" s="369"/>
      <c r="AE203" s="370"/>
      <c r="AF203" s="370"/>
      <c r="AG203" s="370"/>
      <c r="AH203" s="370"/>
      <c r="AI203" s="370"/>
      <c r="AJ203" s="370"/>
      <c r="AK203" s="370"/>
      <c r="AL203" s="370"/>
      <c r="AM203" s="370"/>
      <c r="AN203" s="370"/>
      <c r="AO203" s="370"/>
      <c r="AP203" s="370"/>
      <c r="AQ203" s="371"/>
      <c r="AR203" s="369"/>
      <c r="AS203" s="370"/>
      <c r="AT203" s="370"/>
      <c r="AU203" s="370"/>
      <c r="AV203" s="370"/>
      <c r="AW203" s="370"/>
      <c r="AX203" s="370"/>
      <c r="AY203" s="371"/>
      <c r="AZ203" s="16">
        <v>15</v>
      </c>
      <c r="BA203" s="48"/>
    </row>
    <row r="204" spans="1:53" ht="14.25" customHeight="1" x14ac:dyDescent="0.15">
      <c r="A204" s="1"/>
      <c r="B204" s="6"/>
      <c r="C204" s="385"/>
      <c r="D204" s="386"/>
      <c r="E204" s="386"/>
      <c r="F204" s="386"/>
      <c r="G204" s="386"/>
      <c r="H204" s="386"/>
      <c r="I204" s="386"/>
      <c r="J204" s="386"/>
      <c r="K204" s="386"/>
      <c r="L204" s="386"/>
      <c r="M204" s="367">
        <f t="shared" si="0"/>
        <v>16</v>
      </c>
      <c r="N204" s="368"/>
      <c r="O204" s="369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  <c r="AA204" s="370"/>
      <c r="AB204" s="370"/>
      <c r="AC204" s="371"/>
      <c r="AD204" s="369"/>
      <c r="AE204" s="370"/>
      <c r="AF204" s="370"/>
      <c r="AG204" s="370"/>
      <c r="AH204" s="370"/>
      <c r="AI204" s="370"/>
      <c r="AJ204" s="370"/>
      <c r="AK204" s="370"/>
      <c r="AL204" s="370"/>
      <c r="AM204" s="370"/>
      <c r="AN204" s="370"/>
      <c r="AO204" s="370"/>
      <c r="AP204" s="370"/>
      <c r="AQ204" s="371"/>
      <c r="AR204" s="369"/>
      <c r="AS204" s="370"/>
      <c r="AT204" s="370"/>
      <c r="AU204" s="370"/>
      <c r="AV204" s="370"/>
      <c r="AW204" s="370"/>
      <c r="AX204" s="370"/>
      <c r="AY204" s="371"/>
      <c r="AZ204" s="16">
        <v>16</v>
      </c>
    </row>
    <row r="205" spans="1:53" ht="14.25" customHeight="1" x14ac:dyDescent="0.15">
      <c r="A205" s="1"/>
      <c r="B205" s="6"/>
      <c r="C205" s="385"/>
      <c r="D205" s="386"/>
      <c r="E205" s="386"/>
      <c r="F205" s="386"/>
      <c r="G205" s="386"/>
      <c r="H205" s="386"/>
      <c r="I205" s="386"/>
      <c r="J205" s="386"/>
      <c r="K205" s="386"/>
      <c r="L205" s="386"/>
      <c r="M205" s="367">
        <f t="shared" si="0"/>
        <v>17</v>
      </c>
      <c r="N205" s="368"/>
      <c r="O205" s="369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  <c r="AA205" s="370"/>
      <c r="AB205" s="370"/>
      <c r="AC205" s="371"/>
      <c r="AD205" s="369"/>
      <c r="AE205" s="370"/>
      <c r="AF205" s="370"/>
      <c r="AG205" s="370"/>
      <c r="AH205" s="370"/>
      <c r="AI205" s="370"/>
      <c r="AJ205" s="370"/>
      <c r="AK205" s="370"/>
      <c r="AL205" s="370"/>
      <c r="AM205" s="370"/>
      <c r="AN205" s="370"/>
      <c r="AO205" s="370"/>
      <c r="AP205" s="370"/>
      <c r="AQ205" s="371"/>
      <c r="AR205" s="369"/>
      <c r="AS205" s="370"/>
      <c r="AT205" s="370"/>
      <c r="AU205" s="370"/>
      <c r="AV205" s="370"/>
      <c r="AW205" s="370"/>
      <c r="AX205" s="370"/>
      <c r="AY205" s="371"/>
      <c r="AZ205" s="16">
        <v>17</v>
      </c>
    </row>
    <row r="206" spans="1:53" ht="14.25" customHeight="1" x14ac:dyDescent="0.15">
      <c r="A206" s="1"/>
      <c r="B206" s="6"/>
      <c r="C206" s="385"/>
      <c r="D206" s="386"/>
      <c r="E206" s="386"/>
      <c r="F206" s="386"/>
      <c r="G206" s="386"/>
      <c r="H206" s="386"/>
      <c r="I206" s="386"/>
      <c r="J206" s="386"/>
      <c r="K206" s="386"/>
      <c r="L206" s="386"/>
      <c r="M206" s="367">
        <f t="shared" si="0"/>
        <v>18</v>
      </c>
      <c r="N206" s="368"/>
      <c r="O206" s="369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  <c r="AA206" s="370"/>
      <c r="AB206" s="370"/>
      <c r="AC206" s="371"/>
      <c r="AD206" s="369"/>
      <c r="AE206" s="370"/>
      <c r="AF206" s="370"/>
      <c r="AG206" s="370"/>
      <c r="AH206" s="370"/>
      <c r="AI206" s="370"/>
      <c r="AJ206" s="370"/>
      <c r="AK206" s="370"/>
      <c r="AL206" s="370"/>
      <c r="AM206" s="370"/>
      <c r="AN206" s="370"/>
      <c r="AO206" s="370"/>
      <c r="AP206" s="370"/>
      <c r="AQ206" s="371"/>
      <c r="AR206" s="369"/>
      <c r="AS206" s="370"/>
      <c r="AT206" s="370"/>
      <c r="AU206" s="370"/>
      <c r="AV206" s="370"/>
      <c r="AW206" s="370"/>
      <c r="AX206" s="370"/>
      <c r="AY206" s="371"/>
      <c r="AZ206" s="16">
        <v>18</v>
      </c>
    </row>
    <row r="207" spans="1:53" ht="14.25" customHeight="1" x14ac:dyDescent="0.15">
      <c r="A207" s="1"/>
      <c r="B207" s="6"/>
      <c r="C207" s="385"/>
      <c r="D207" s="386"/>
      <c r="E207" s="386"/>
      <c r="F207" s="386"/>
      <c r="G207" s="386"/>
      <c r="H207" s="386"/>
      <c r="I207" s="386"/>
      <c r="J207" s="386"/>
      <c r="K207" s="386"/>
      <c r="L207" s="386"/>
      <c r="M207" s="367">
        <f t="shared" si="0"/>
        <v>19</v>
      </c>
      <c r="N207" s="368"/>
      <c r="O207" s="369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  <c r="AA207" s="370"/>
      <c r="AB207" s="370"/>
      <c r="AC207" s="371"/>
      <c r="AD207" s="369"/>
      <c r="AE207" s="370"/>
      <c r="AF207" s="370"/>
      <c r="AG207" s="370"/>
      <c r="AH207" s="370"/>
      <c r="AI207" s="370"/>
      <c r="AJ207" s="370"/>
      <c r="AK207" s="370"/>
      <c r="AL207" s="370"/>
      <c r="AM207" s="370"/>
      <c r="AN207" s="370"/>
      <c r="AO207" s="370"/>
      <c r="AP207" s="370"/>
      <c r="AQ207" s="371"/>
      <c r="AR207" s="369"/>
      <c r="AS207" s="370"/>
      <c r="AT207" s="370"/>
      <c r="AU207" s="370"/>
      <c r="AV207" s="370"/>
      <c r="AW207" s="370"/>
      <c r="AX207" s="370"/>
      <c r="AY207" s="371"/>
      <c r="AZ207" s="16">
        <v>19</v>
      </c>
    </row>
    <row r="208" spans="1:53" ht="14.25" customHeight="1" x14ac:dyDescent="0.15">
      <c r="A208" s="1"/>
      <c r="B208" s="6"/>
      <c r="C208" s="385"/>
      <c r="D208" s="386"/>
      <c r="E208" s="386"/>
      <c r="F208" s="386"/>
      <c r="G208" s="386"/>
      <c r="H208" s="386"/>
      <c r="I208" s="386"/>
      <c r="J208" s="386"/>
      <c r="K208" s="386"/>
      <c r="L208" s="386"/>
      <c r="M208" s="367">
        <f t="shared" si="0"/>
        <v>20</v>
      </c>
      <c r="N208" s="368"/>
      <c r="O208" s="369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  <c r="AA208" s="370"/>
      <c r="AB208" s="370"/>
      <c r="AC208" s="371"/>
      <c r="AD208" s="369"/>
      <c r="AE208" s="370"/>
      <c r="AF208" s="370"/>
      <c r="AG208" s="370"/>
      <c r="AH208" s="370"/>
      <c r="AI208" s="370"/>
      <c r="AJ208" s="370"/>
      <c r="AK208" s="370"/>
      <c r="AL208" s="370"/>
      <c r="AM208" s="370"/>
      <c r="AN208" s="370"/>
      <c r="AO208" s="370"/>
      <c r="AP208" s="370"/>
      <c r="AQ208" s="371"/>
      <c r="AR208" s="369"/>
      <c r="AS208" s="370"/>
      <c r="AT208" s="370"/>
      <c r="AU208" s="370"/>
      <c r="AV208" s="370"/>
      <c r="AW208" s="370"/>
      <c r="AX208" s="370"/>
      <c r="AY208" s="371"/>
      <c r="AZ208" s="16">
        <v>20</v>
      </c>
    </row>
    <row r="209" spans="1:52" ht="14.25" customHeight="1" x14ac:dyDescent="0.15">
      <c r="A209" s="1"/>
      <c r="B209" s="6"/>
      <c r="C209" s="385"/>
      <c r="D209" s="386"/>
      <c r="E209" s="386"/>
      <c r="F209" s="386"/>
      <c r="G209" s="386"/>
      <c r="H209" s="386"/>
      <c r="I209" s="386"/>
      <c r="J209" s="386"/>
      <c r="K209" s="386"/>
      <c r="L209" s="386"/>
      <c r="M209" s="367">
        <f t="shared" si="0"/>
        <v>21</v>
      </c>
      <c r="N209" s="368"/>
      <c r="O209" s="369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  <c r="AA209" s="370"/>
      <c r="AB209" s="370"/>
      <c r="AC209" s="371"/>
      <c r="AD209" s="369"/>
      <c r="AE209" s="370"/>
      <c r="AF209" s="370"/>
      <c r="AG209" s="370"/>
      <c r="AH209" s="370"/>
      <c r="AI209" s="370"/>
      <c r="AJ209" s="370"/>
      <c r="AK209" s="370"/>
      <c r="AL209" s="370"/>
      <c r="AM209" s="370"/>
      <c r="AN209" s="370"/>
      <c r="AO209" s="370"/>
      <c r="AP209" s="370"/>
      <c r="AQ209" s="371"/>
      <c r="AR209" s="369"/>
      <c r="AS209" s="370"/>
      <c r="AT209" s="370"/>
      <c r="AU209" s="370"/>
      <c r="AV209" s="370"/>
      <c r="AW209" s="370"/>
      <c r="AX209" s="370"/>
      <c r="AY209" s="371"/>
      <c r="AZ209" s="16">
        <v>21</v>
      </c>
    </row>
    <row r="210" spans="1:52" ht="14.25" customHeight="1" x14ac:dyDescent="0.15">
      <c r="A210" s="1"/>
      <c r="B210" s="6"/>
      <c r="C210" s="385"/>
      <c r="D210" s="386"/>
      <c r="E210" s="386"/>
      <c r="F210" s="386"/>
      <c r="G210" s="386"/>
      <c r="H210" s="386"/>
      <c r="I210" s="386"/>
      <c r="J210" s="386"/>
      <c r="K210" s="386"/>
      <c r="L210" s="386"/>
      <c r="M210" s="367">
        <f t="shared" si="0"/>
        <v>22</v>
      </c>
      <c r="N210" s="368"/>
      <c r="O210" s="369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  <c r="AA210" s="370"/>
      <c r="AB210" s="370"/>
      <c r="AC210" s="371"/>
      <c r="AD210" s="369"/>
      <c r="AE210" s="370"/>
      <c r="AF210" s="370"/>
      <c r="AG210" s="370"/>
      <c r="AH210" s="370"/>
      <c r="AI210" s="370"/>
      <c r="AJ210" s="370"/>
      <c r="AK210" s="370"/>
      <c r="AL210" s="370"/>
      <c r="AM210" s="370"/>
      <c r="AN210" s="370"/>
      <c r="AO210" s="370"/>
      <c r="AP210" s="370"/>
      <c r="AQ210" s="371"/>
      <c r="AR210" s="369"/>
      <c r="AS210" s="370"/>
      <c r="AT210" s="370"/>
      <c r="AU210" s="370"/>
      <c r="AV210" s="370"/>
      <c r="AW210" s="370"/>
      <c r="AX210" s="370"/>
      <c r="AY210" s="371"/>
      <c r="AZ210" s="16">
        <v>22</v>
      </c>
    </row>
    <row r="211" spans="1:52" ht="14.25" customHeight="1" x14ac:dyDescent="0.15">
      <c r="A211" s="1"/>
      <c r="B211" s="6"/>
      <c r="C211" s="385"/>
      <c r="D211" s="386"/>
      <c r="E211" s="386"/>
      <c r="F211" s="386"/>
      <c r="G211" s="386"/>
      <c r="H211" s="386"/>
      <c r="I211" s="386"/>
      <c r="J211" s="386"/>
      <c r="K211" s="386"/>
      <c r="L211" s="386"/>
      <c r="M211" s="367">
        <f t="shared" si="0"/>
        <v>23</v>
      </c>
      <c r="N211" s="368"/>
      <c r="O211" s="369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  <c r="AA211" s="370"/>
      <c r="AB211" s="370"/>
      <c r="AC211" s="371"/>
      <c r="AD211" s="369"/>
      <c r="AE211" s="370"/>
      <c r="AF211" s="370"/>
      <c r="AG211" s="370"/>
      <c r="AH211" s="370"/>
      <c r="AI211" s="370"/>
      <c r="AJ211" s="370"/>
      <c r="AK211" s="370"/>
      <c r="AL211" s="370"/>
      <c r="AM211" s="370"/>
      <c r="AN211" s="370"/>
      <c r="AO211" s="370"/>
      <c r="AP211" s="370"/>
      <c r="AQ211" s="371"/>
      <c r="AR211" s="369"/>
      <c r="AS211" s="370"/>
      <c r="AT211" s="370"/>
      <c r="AU211" s="370"/>
      <c r="AV211" s="370"/>
      <c r="AW211" s="370"/>
      <c r="AX211" s="370"/>
      <c r="AY211" s="371"/>
      <c r="AZ211" s="16">
        <v>23</v>
      </c>
    </row>
    <row r="212" spans="1:52" ht="14.25" customHeight="1" x14ac:dyDescent="0.15">
      <c r="A212" s="1"/>
      <c r="B212" s="6"/>
      <c r="C212" s="385"/>
      <c r="D212" s="386"/>
      <c r="E212" s="386"/>
      <c r="F212" s="386"/>
      <c r="G212" s="386"/>
      <c r="H212" s="386"/>
      <c r="I212" s="386"/>
      <c r="J212" s="386"/>
      <c r="K212" s="386"/>
      <c r="L212" s="386"/>
      <c r="M212" s="367">
        <f t="shared" si="0"/>
        <v>24</v>
      </c>
      <c r="N212" s="368"/>
      <c r="O212" s="369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  <c r="AA212" s="370"/>
      <c r="AB212" s="370"/>
      <c r="AC212" s="371"/>
      <c r="AD212" s="369"/>
      <c r="AE212" s="370"/>
      <c r="AF212" s="370"/>
      <c r="AG212" s="370"/>
      <c r="AH212" s="370"/>
      <c r="AI212" s="370"/>
      <c r="AJ212" s="370"/>
      <c r="AK212" s="370"/>
      <c r="AL212" s="370"/>
      <c r="AM212" s="370"/>
      <c r="AN212" s="370"/>
      <c r="AO212" s="370"/>
      <c r="AP212" s="370"/>
      <c r="AQ212" s="371"/>
      <c r="AR212" s="369"/>
      <c r="AS212" s="370"/>
      <c r="AT212" s="370"/>
      <c r="AU212" s="370"/>
      <c r="AV212" s="370"/>
      <c r="AW212" s="370"/>
      <c r="AX212" s="370"/>
      <c r="AY212" s="371"/>
      <c r="AZ212" s="16">
        <v>24</v>
      </c>
    </row>
    <row r="213" spans="1:52" ht="14.25" customHeight="1" x14ac:dyDescent="0.15">
      <c r="A213" s="1"/>
      <c r="B213" s="6"/>
      <c r="C213" s="385"/>
      <c r="D213" s="386"/>
      <c r="E213" s="386"/>
      <c r="F213" s="386"/>
      <c r="G213" s="386"/>
      <c r="H213" s="386"/>
      <c r="I213" s="386"/>
      <c r="J213" s="386"/>
      <c r="K213" s="386"/>
      <c r="L213" s="386"/>
      <c r="M213" s="367">
        <f t="shared" si="0"/>
        <v>25</v>
      </c>
      <c r="N213" s="368"/>
      <c r="O213" s="369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  <c r="AA213" s="370"/>
      <c r="AB213" s="370"/>
      <c r="AC213" s="371"/>
      <c r="AD213" s="369"/>
      <c r="AE213" s="370"/>
      <c r="AF213" s="370"/>
      <c r="AG213" s="370"/>
      <c r="AH213" s="370"/>
      <c r="AI213" s="370"/>
      <c r="AJ213" s="370"/>
      <c r="AK213" s="370"/>
      <c r="AL213" s="370"/>
      <c r="AM213" s="370"/>
      <c r="AN213" s="370"/>
      <c r="AO213" s="370"/>
      <c r="AP213" s="370"/>
      <c r="AQ213" s="371"/>
      <c r="AR213" s="369"/>
      <c r="AS213" s="370"/>
      <c r="AT213" s="370"/>
      <c r="AU213" s="370"/>
      <c r="AV213" s="370"/>
      <c r="AW213" s="370"/>
      <c r="AX213" s="370"/>
      <c r="AY213" s="371"/>
      <c r="AZ213" s="16">
        <v>25</v>
      </c>
    </row>
    <row r="214" spans="1:52" ht="14.25" customHeight="1" x14ac:dyDescent="0.15">
      <c r="A214" s="1"/>
      <c r="B214" s="6"/>
      <c r="C214" s="385"/>
      <c r="D214" s="386"/>
      <c r="E214" s="386"/>
      <c r="F214" s="386"/>
      <c r="G214" s="386"/>
      <c r="H214" s="386"/>
      <c r="I214" s="386"/>
      <c r="J214" s="386"/>
      <c r="K214" s="386"/>
      <c r="L214" s="386"/>
      <c r="M214" s="367">
        <f t="shared" si="0"/>
        <v>26</v>
      </c>
      <c r="N214" s="368"/>
      <c r="O214" s="369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  <c r="AA214" s="370"/>
      <c r="AB214" s="370"/>
      <c r="AC214" s="371"/>
      <c r="AD214" s="369"/>
      <c r="AE214" s="370"/>
      <c r="AF214" s="370"/>
      <c r="AG214" s="370"/>
      <c r="AH214" s="370"/>
      <c r="AI214" s="370"/>
      <c r="AJ214" s="370"/>
      <c r="AK214" s="370"/>
      <c r="AL214" s="370"/>
      <c r="AM214" s="370"/>
      <c r="AN214" s="370"/>
      <c r="AO214" s="370"/>
      <c r="AP214" s="370"/>
      <c r="AQ214" s="371"/>
      <c r="AR214" s="369"/>
      <c r="AS214" s="370"/>
      <c r="AT214" s="370"/>
      <c r="AU214" s="370"/>
      <c r="AV214" s="370"/>
      <c r="AW214" s="370"/>
      <c r="AX214" s="370"/>
      <c r="AY214" s="371"/>
      <c r="AZ214" s="16">
        <v>26</v>
      </c>
    </row>
    <row r="215" spans="1:52" ht="14.25" customHeight="1" x14ac:dyDescent="0.15">
      <c r="A215" s="1"/>
      <c r="B215" s="6"/>
      <c r="C215" s="385"/>
      <c r="D215" s="386"/>
      <c r="E215" s="386"/>
      <c r="F215" s="386"/>
      <c r="G215" s="386"/>
      <c r="H215" s="386"/>
      <c r="I215" s="386"/>
      <c r="J215" s="386"/>
      <c r="K215" s="386"/>
      <c r="L215" s="386"/>
      <c r="M215" s="367">
        <f t="shared" si="0"/>
        <v>27</v>
      </c>
      <c r="N215" s="368"/>
      <c r="O215" s="369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  <c r="AA215" s="370"/>
      <c r="AB215" s="370"/>
      <c r="AC215" s="371"/>
      <c r="AD215" s="369"/>
      <c r="AE215" s="370"/>
      <c r="AF215" s="370"/>
      <c r="AG215" s="370"/>
      <c r="AH215" s="370"/>
      <c r="AI215" s="370"/>
      <c r="AJ215" s="370"/>
      <c r="AK215" s="370"/>
      <c r="AL215" s="370"/>
      <c r="AM215" s="370"/>
      <c r="AN215" s="370"/>
      <c r="AO215" s="370"/>
      <c r="AP215" s="370"/>
      <c r="AQ215" s="371"/>
      <c r="AR215" s="369"/>
      <c r="AS215" s="370"/>
      <c r="AT215" s="370"/>
      <c r="AU215" s="370"/>
      <c r="AV215" s="370"/>
      <c r="AW215" s="370"/>
      <c r="AX215" s="370"/>
      <c r="AY215" s="371"/>
      <c r="AZ215" s="16">
        <v>27</v>
      </c>
    </row>
    <row r="216" spans="1:52" ht="14.25" customHeight="1" x14ac:dyDescent="0.15">
      <c r="A216" s="1"/>
      <c r="B216" s="6"/>
      <c r="C216" s="385"/>
      <c r="D216" s="386"/>
      <c r="E216" s="386"/>
      <c r="F216" s="386"/>
      <c r="G216" s="386"/>
      <c r="H216" s="386"/>
      <c r="I216" s="386"/>
      <c r="J216" s="386"/>
      <c r="K216" s="386"/>
      <c r="L216" s="386"/>
      <c r="M216" s="367">
        <f t="shared" si="0"/>
        <v>28</v>
      </c>
      <c r="N216" s="368"/>
      <c r="O216" s="369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  <c r="AA216" s="370"/>
      <c r="AB216" s="370"/>
      <c r="AC216" s="371"/>
      <c r="AD216" s="369"/>
      <c r="AE216" s="370"/>
      <c r="AF216" s="370"/>
      <c r="AG216" s="370"/>
      <c r="AH216" s="370"/>
      <c r="AI216" s="370"/>
      <c r="AJ216" s="370"/>
      <c r="AK216" s="370"/>
      <c r="AL216" s="370"/>
      <c r="AM216" s="370"/>
      <c r="AN216" s="370"/>
      <c r="AO216" s="370"/>
      <c r="AP216" s="370"/>
      <c r="AQ216" s="371"/>
      <c r="AR216" s="369"/>
      <c r="AS216" s="370"/>
      <c r="AT216" s="370"/>
      <c r="AU216" s="370"/>
      <c r="AV216" s="370"/>
      <c r="AW216" s="370"/>
      <c r="AX216" s="370"/>
      <c r="AY216" s="371"/>
      <c r="AZ216" s="16">
        <v>28</v>
      </c>
    </row>
    <row r="217" spans="1:52" ht="14.25" customHeight="1" x14ac:dyDescent="0.15">
      <c r="A217" s="1"/>
      <c r="B217" s="6"/>
      <c r="C217" s="385"/>
      <c r="D217" s="386"/>
      <c r="E217" s="386"/>
      <c r="F217" s="386"/>
      <c r="G217" s="386"/>
      <c r="H217" s="386"/>
      <c r="I217" s="386"/>
      <c r="J217" s="386"/>
      <c r="K217" s="386"/>
      <c r="L217" s="386"/>
      <c r="M217" s="367">
        <f t="shared" si="0"/>
        <v>29</v>
      </c>
      <c r="N217" s="368"/>
      <c r="O217" s="369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  <c r="AA217" s="370"/>
      <c r="AB217" s="370"/>
      <c r="AC217" s="371"/>
      <c r="AD217" s="369"/>
      <c r="AE217" s="370"/>
      <c r="AF217" s="370"/>
      <c r="AG217" s="370"/>
      <c r="AH217" s="370"/>
      <c r="AI217" s="370"/>
      <c r="AJ217" s="370"/>
      <c r="AK217" s="370"/>
      <c r="AL217" s="370"/>
      <c r="AM217" s="370"/>
      <c r="AN217" s="370"/>
      <c r="AO217" s="370"/>
      <c r="AP217" s="370"/>
      <c r="AQ217" s="371"/>
      <c r="AR217" s="369"/>
      <c r="AS217" s="370"/>
      <c r="AT217" s="370"/>
      <c r="AU217" s="370"/>
      <c r="AV217" s="370"/>
      <c r="AW217" s="370"/>
      <c r="AX217" s="370"/>
      <c r="AY217" s="371"/>
      <c r="AZ217" s="16">
        <v>29</v>
      </c>
    </row>
    <row r="218" spans="1:52" ht="14.25" customHeight="1" x14ac:dyDescent="0.15">
      <c r="A218" s="1"/>
      <c r="B218" s="7"/>
      <c r="C218" s="387"/>
      <c r="D218" s="388"/>
      <c r="E218" s="388"/>
      <c r="F218" s="388"/>
      <c r="G218" s="388"/>
      <c r="H218" s="388"/>
      <c r="I218" s="388"/>
      <c r="J218" s="388"/>
      <c r="K218" s="388"/>
      <c r="L218" s="388"/>
      <c r="M218" s="367">
        <f t="shared" si="0"/>
        <v>30</v>
      </c>
      <c r="N218" s="368"/>
      <c r="O218" s="369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  <c r="AA218" s="370"/>
      <c r="AB218" s="370"/>
      <c r="AC218" s="371"/>
      <c r="AD218" s="369"/>
      <c r="AE218" s="370"/>
      <c r="AF218" s="370"/>
      <c r="AG218" s="370"/>
      <c r="AH218" s="370"/>
      <c r="AI218" s="370"/>
      <c r="AJ218" s="370"/>
      <c r="AK218" s="370"/>
      <c r="AL218" s="370"/>
      <c r="AM218" s="370"/>
      <c r="AN218" s="370"/>
      <c r="AO218" s="370"/>
      <c r="AP218" s="370"/>
      <c r="AQ218" s="371"/>
      <c r="AR218" s="369"/>
      <c r="AS218" s="370"/>
      <c r="AT218" s="370"/>
      <c r="AU218" s="370"/>
      <c r="AV218" s="370"/>
      <c r="AW218" s="370"/>
      <c r="AX218" s="370"/>
      <c r="AY218" s="371"/>
      <c r="AZ218" s="16">
        <v>30</v>
      </c>
    </row>
    <row r="219" spans="1:52" x14ac:dyDescent="0.15">
      <c r="A219" s="1"/>
      <c r="B219" s="2" t="s">
        <v>237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2" ht="14.25" x14ac:dyDescent="0.15">
      <c r="A220" s="1"/>
      <c r="B220" s="112" t="s">
        <v>238</v>
      </c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4"/>
      <c r="O220" s="380"/>
      <c r="P220" s="381"/>
      <c r="Q220" s="381"/>
      <c r="R220" s="381"/>
      <c r="S220" s="381"/>
      <c r="T220" s="381"/>
      <c r="U220" s="381"/>
      <c r="V220" s="381"/>
      <c r="W220" s="381"/>
      <c r="X220" s="381"/>
      <c r="Y220" s="381"/>
      <c r="Z220" s="381"/>
      <c r="AA220" s="381"/>
      <c r="AB220" s="381"/>
      <c r="AC220" s="381"/>
      <c r="AD220" s="381"/>
      <c r="AE220" s="381"/>
      <c r="AF220" s="381"/>
      <c r="AG220" s="381"/>
      <c r="AH220" s="381"/>
      <c r="AI220" s="381"/>
      <c r="AJ220" s="381"/>
      <c r="AK220" s="381"/>
      <c r="AL220" s="381"/>
      <c r="AM220" s="381"/>
      <c r="AN220" s="381"/>
      <c r="AO220" s="381"/>
      <c r="AP220" s="381"/>
      <c r="AQ220" s="381"/>
      <c r="AR220" s="381"/>
      <c r="AS220" s="381"/>
      <c r="AT220" s="381"/>
      <c r="AU220" s="381"/>
      <c r="AV220" s="381"/>
      <c r="AW220" s="381"/>
      <c r="AX220" s="381"/>
      <c r="AY220" s="382"/>
    </row>
    <row r="221" spans="1:52" ht="14.25" x14ac:dyDescent="0.15">
      <c r="A221" s="1"/>
      <c r="B221" s="112" t="s">
        <v>239</v>
      </c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4"/>
      <c r="O221" s="380"/>
      <c r="P221" s="381"/>
      <c r="Q221" s="381"/>
      <c r="R221" s="381"/>
      <c r="S221" s="381"/>
      <c r="T221" s="381"/>
      <c r="U221" s="381"/>
      <c r="V221" s="381"/>
      <c r="W221" s="381"/>
      <c r="X221" s="381"/>
      <c r="Y221" s="381"/>
      <c r="Z221" s="381"/>
      <c r="AA221" s="381"/>
      <c r="AB221" s="381"/>
      <c r="AC221" s="381"/>
      <c r="AD221" s="381"/>
      <c r="AE221" s="381"/>
      <c r="AF221" s="381"/>
      <c r="AG221" s="381"/>
      <c r="AH221" s="381"/>
      <c r="AI221" s="381"/>
      <c r="AJ221" s="381"/>
      <c r="AK221" s="381"/>
      <c r="AL221" s="381"/>
      <c r="AM221" s="381"/>
      <c r="AN221" s="381"/>
      <c r="AO221" s="381"/>
      <c r="AP221" s="381"/>
      <c r="AQ221" s="381"/>
      <c r="AR221" s="381"/>
      <c r="AS221" s="381"/>
      <c r="AT221" s="381"/>
      <c r="AU221" s="381"/>
      <c r="AV221" s="381"/>
      <c r="AW221" s="381"/>
      <c r="AX221" s="381"/>
      <c r="AY221" s="382"/>
    </row>
  </sheetData>
  <mergeCells count="695">
    <mergeCell ref="B6:E6"/>
    <mergeCell ref="F6:N6"/>
    <mergeCell ref="O6:U6"/>
    <mergeCell ref="W6:AA6"/>
    <mergeCell ref="AB6:AD6"/>
    <mergeCell ref="AE6:AY6"/>
    <mergeCell ref="W7:AA7"/>
    <mergeCell ref="AB7:AD7"/>
    <mergeCell ref="A1:AY2"/>
    <mergeCell ref="O4:U4"/>
    <mergeCell ref="W4:AA4"/>
    <mergeCell ref="AB4:AD4"/>
    <mergeCell ref="AE4:AY4"/>
    <mergeCell ref="B5:E5"/>
    <mergeCell ref="F5:N5"/>
    <mergeCell ref="O5:U5"/>
    <mergeCell ref="W5:AA5"/>
    <mergeCell ref="AB5:AD5"/>
    <mergeCell ref="AE5:AY5"/>
    <mergeCell ref="AE7:AY7"/>
    <mergeCell ref="A8:K8"/>
    <mergeCell ref="AB8:AD8"/>
    <mergeCell ref="AE8:AY8"/>
    <mergeCell ref="B9:E9"/>
    <mergeCell ref="F9:V9"/>
    <mergeCell ref="AB9:AD9"/>
    <mergeCell ref="AE9:AY9"/>
    <mergeCell ref="B10:E10"/>
    <mergeCell ref="F10:V10"/>
    <mergeCell ref="AB10:AD10"/>
    <mergeCell ref="AE10:AY10"/>
    <mergeCell ref="W8:AA8"/>
    <mergeCell ref="X9:AA9"/>
    <mergeCell ref="X10:AA10"/>
    <mergeCell ref="B12:N12"/>
    <mergeCell ref="O12:AY12"/>
    <mergeCell ref="B13:N13"/>
    <mergeCell ref="O13:AY13"/>
    <mergeCell ref="O14:AY14"/>
    <mergeCell ref="H15:AY15"/>
    <mergeCell ref="B16:N16"/>
    <mergeCell ref="O16:AY16"/>
    <mergeCell ref="B17:N17"/>
    <mergeCell ref="O17:AY17"/>
    <mergeCell ref="B18:N18"/>
    <mergeCell ref="O18:AY18"/>
    <mergeCell ref="B19:N19"/>
    <mergeCell ref="O19:AY19"/>
    <mergeCell ref="B20:N20"/>
    <mergeCell ref="O20:AY20"/>
    <mergeCell ref="B23:N23"/>
    <mergeCell ref="O23:W23"/>
    <mergeCell ref="X23:AY23"/>
    <mergeCell ref="B24:N24"/>
    <mergeCell ref="O24:W24"/>
    <mergeCell ref="X24:AY24"/>
    <mergeCell ref="B25:N25"/>
    <mergeCell ref="O25:X25"/>
    <mergeCell ref="Y25:AY25"/>
    <mergeCell ref="B26:N26"/>
    <mergeCell ref="O26:AF26"/>
    <mergeCell ref="B30:N30"/>
    <mergeCell ref="O30:AC30"/>
    <mergeCell ref="AD30:AY30"/>
    <mergeCell ref="B31:N31"/>
    <mergeCell ref="B32:N32"/>
    <mergeCell ref="O32:AY32"/>
    <mergeCell ref="O33:AY33"/>
    <mergeCell ref="O34:AY34"/>
    <mergeCell ref="O31:AY31"/>
    <mergeCell ref="B36:K36"/>
    <mergeCell ref="L36:AB36"/>
    <mergeCell ref="AC36:AY36"/>
    <mergeCell ref="B37:K37"/>
    <mergeCell ref="L37:AB37"/>
    <mergeCell ref="AC37:AY37"/>
    <mergeCell ref="B38:K38"/>
    <mergeCell ref="L38:AB38"/>
    <mergeCell ref="AC38:AY38"/>
    <mergeCell ref="AC39:AY39"/>
    <mergeCell ref="AC40:AY40"/>
    <mergeCell ref="B42:O42"/>
    <mergeCell ref="P42:AY42"/>
    <mergeCell ref="B43:O43"/>
    <mergeCell ref="P43:AY43"/>
    <mergeCell ref="B45:O45"/>
    <mergeCell ref="P45:AY45"/>
    <mergeCell ref="B46:O46"/>
    <mergeCell ref="P46:AY46"/>
    <mergeCell ref="AA58:AE58"/>
    <mergeCell ref="AF58:AJ58"/>
    <mergeCell ref="AK58:AN58"/>
    <mergeCell ref="AO58:AT58"/>
    <mergeCell ref="B49:O49"/>
    <mergeCell ref="P49:AY49"/>
    <mergeCell ref="B50:O50"/>
    <mergeCell ref="P50:AY50"/>
    <mergeCell ref="B53:E53"/>
    <mergeCell ref="F53:P53"/>
    <mergeCell ref="B55:D56"/>
    <mergeCell ref="E55:H56"/>
    <mergeCell ref="I55:N56"/>
    <mergeCell ref="O55:Q56"/>
    <mergeCell ref="R55:U56"/>
    <mergeCell ref="V55:Z56"/>
    <mergeCell ref="AA55:AE56"/>
    <mergeCell ref="AF55:AJ56"/>
    <mergeCell ref="AK55:AN56"/>
    <mergeCell ref="AO55:AT56"/>
    <mergeCell ref="AU55:AY56"/>
    <mergeCell ref="B57:D61"/>
    <mergeCell ref="E57:H61"/>
    <mergeCell ref="I57:J61"/>
    <mergeCell ref="K57:L61"/>
    <mergeCell ref="M57:N61"/>
    <mergeCell ref="AU58:AY58"/>
    <mergeCell ref="R57:U57"/>
    <mergeCell ref="V57:Z57"/>
    <mergeCell ref="AA57:AE57"/>
    <mergeCell ref="AF57:AJ57"/>
    <mergeCell ref="AK57:AN57"/>
    <mergeCell ref="AO57:AT57"/>
    <mergeCell ref="AU57:AY57"/>
    <mergeCell ref="R58:U58"/>
    <mergeCell ref="V58:Z58"/>
    <mergeCell ref="AO60:AT60"/>
    <mergeCell ref="AU60:AY60"/>
    <mergeCell ref="R59:U59"/>
    <mergeCell ref="V59:Z59"/>
    <mergeCell ref="AA59:AE59"/>
    <mergeCell ref="AF59:AJ59"/>
    <mergeCell ref="AK59:AN59"/>
    <mergeCell ref="AO59:AT59"/>
    <mergeCell ref="AU59:AY59"/>
    <mergeCell ref="AA61:AE61"/>
    <mergeCell ref="AF61:AJ61"/>
    <mergeCell ref="AK61:AN61"/>
    <mergeCell ref="AO61:AT61"/>
    <mergeCell ref="O57:Q61"/>
    <mergeCell ref="R60:U60"/>
    <mergeCell ref="V60:Z60"/>
    <mergeCell ref="AA60:AE60"/>
    <mergeCell ref="AF60:AJ60"/>
    <mergeCell ref="AK60:AN60"/>
    <mergeCell ref="AU61:AY61"/>
    <mergeCell ref="B62:D62"/>
    <mergeCell ref="E62:H62"/>
    <mergeCell ref="I62:N62"/>
    <mergeCell ref="O62:Q62"/>
    <mergeCell ref="R62:U62"/>
    <mergeCell ref="V62:Z62"/>
    <mergeCell ref="AA62:AE62"/>
    <mergeCell ref="R61:U61"/>
    <mergeCell ref="V61:Z61"/>
    <mergeCell ref="B68:D73"/>
    <mergeCell ref="E68:H73"/>
    <mergeCell ref="I68:J73"/>
    <mergeCell ref="K68:L73"/>
    <mergeCell ref="M68:N73"/>
    <mergeCell ref="C63:AY63"/>
    <mergeCell ref="C64:AY64"/>
    <mergeCell ref="B65:D65"/>
    <mergeCell ref="E65:H65"/>
    <mergeCell ref="I65:N65"/>
    <mergeCell ref="O65:Q65"/>
    <mergeCell ref="R65:U65"/>
    <mergeCell ref="V65:Z65"/>
    <mergeCell ref="AA65:AE65"/>
    <mergeCell ref="B66:D67"/>
    <mergeCell ref="E66:H67"/>
    <mergeCell ref="I66:N67"/>
    <mergeCell ref="O66:Q67"/>
    <mergeCell ref="R66:U67"/>
    <mergeCell ref="V66:Z67"/>
    <mergeCell ref="AA66:AE67"/>
    <mergeCell ref="AF66:AJ67"/>
    <mergeCell ref="AK66:AN67"/>
    <mergeCell ref="AK70:AN70"/>
    <mergeCell ref="AO68:AT68"/>
    <mergeCell ref="AU68:AY68"/>
    <mergeCell ref="V69:Z69"/>
    <mergeCell ref="AA69:AE69"/>
    <mergeCell ref="AF69:AJ69"/>
    <mergeCell ref="AK69:AN69"/>
    <mergeCell ref="AO69:AT69"/>
    <mergeCell ref="AU69:AY69"/>
    <mergeCell ref="AO66:AT67"/>
    <mergeCell ref="AU66:AY67"/>
    <mergeCell ref="AU73:AY73"/>
    <mergeCell ref="AK72:AN72"/>
    <mergeCell ref="AO72:AT72"/>
    <mergeCell ref="AU72:AY72"/>
    <mergeCell ref="AK73:AN73"/>
    <mergeCell ref="AO73:AT73"/>
    <mergeCell ref="O68:Q73"/>
    <mergeCell ref="AO70:AT70"/>
    <mergeCell ref="AU70:AY70"/>
    <mergeCell ref="R71:U73"/>
    <mergeCell ref="V71:Z71"/>
    <mergeCell ref="AA71:AE71"/>
    <mergeCell ref="AF71:AJ71"/>
    <mergeCell ref="AK71:AN71"/>
    <mergeCell ref="AO71:AT71"/>
    <mergeCell ref="AU71:AY71"/>
    <mergeCell ref="R68:U70"/>
    <mergeCell ref="V68:Z68"/>
    <mergeCell ref="AA68:AE68"/>
    <mergeCell ref="AF68:AJ68"/>
    <mergeCell ref="AK68:AN68"/>
    <mergeCell ref="V70:Z70"/>
    <mergeCell ref="AA70:AE70"/>
    <mergeCell ref="AF70:AJ70"/>
    <mergeCell ref="AA72:AE72"/>
    <mergeCell ref="AF72:AJ72"/>
    <mergeCell ref="V73:Z73"/>
    <mergeCell ref="AA73:AE73"/>
    <mergeCell ref="AF73:AJ73"/>
    <mergeCell ref="V72:Z72"/>
    <mergeCell ref="Z79:AD79"/>
    <mergeCell ref="AE79:AH79"/>
    <mergeCell ref="AI79:AP79"/>
    <mergeCell ref="AA75:AE75"/>
    <mergeCell ref="B74:D74"/>
    <mergeCell ref="E74:H74"/>
    <mergeCell ref="I74:N74"/>
    <mergeCell ref="O74:Q74"/>
    <mergeCell ref="R74:U74"/>
    <mergeCell ref="V74:Z74"/>
    <mergeCell ref="D79:K79"/>
    <mergeCell ref="L79:S79"/>
    <mergeCell ref="T79:U79"/>
    <mergeCell ref="V79:Y79"/>
    <mergeCell ref="B75:D75"/>
    <mergeCell ref="E75:H75"/>
    <mergeCell ref="I75:N75"/>
    <mergeCell ref="O75:Q75"/>
    <mergeCell ref="R75:U75"/>
    <mergeCell ref="V75:Z75"/>
    <mergeCell ref="B77:F77"/>
    <mergeCell ref="G77:AY77"/>
    <mergeCell ref="G78:U78"/>
    <mergeCell ref="W78:AX78"/>
    <mergeCell ref="B79:C79"/>
    <mergeCell ref="AA74:AE74"/>
    <mergeCell ref="B80:C80"/>
    <mergeCell ref="D80:K80"/>
    <mergeCell ref="L80:S80"/>
    <mergeCell ref="T80:U80"/>
    <mergeCell ref="V80:Y80"/>
    <mergeCell ref="Z80:AD80"/>
    <mergeCell ref="AQ79:AY79"/>
    <mergeCell ref="C85:U85"/>
    <mergeCell ref="V85:AY85"/>
    <mergeCell ref="AE80:AH80"/>
    <mergeCell ref="AI80:AP80"/>
    <mergeCell ref="AQ80:AY80"/>
    <mergeCell ref="B81:U81"/>
    <mergeCell ref="V81:AY81"/>
    <mergeCell ref="C82:U82"/>
    <mergeCell ref="V82:AF82"/>
    <mergeCell ref="AJ82:AQ82"/>
    <mergeCell ref="C83:U83"/>
    <mergeCell ref="V83:AY83"/>
    <mergeCell ref="C84:U84"/>
    <mergeCell ref="V84:AY84"/>
    <mergeCell ref="B87:C87"/>
    <mergeCell ref="D87:K87"/>
    <mergeCell ref="L87:S87"/>
    <mergeCell ref="T87:U87"/>
    <mergeCell ref="V87:Y87"/>
    <mergeCell ref="Z87:AD87"/>
    <mergeCell ref="AE87:AH87"/>
    <mergeCell ref="AI87:AP87"/>
    <mergeCell ref="AQ87:AY87"/>
    <mergeCell ref="B88:C88"/>
    <mergeCell ref="D88:K88"/>
    <mergeCell ref="L88:S88"/>
    <mergeCell ref="T88:U88"/>
    <mergeCell ref="V88:Y88"/>
    <mergeCell ref="Z88:AD88"/>
    <mergeCell ref="AE88:AH88"/>
    <mergeCell ref="AI88:AP88"/>
    <mergeCell ref="AQ88:AY88"/>
    <mergeCell ref="B89:U89"/>
    <mergeCell ref="V89:AY89"/>
    <mergeCell ref="C90:U90"/>
    <mergeCell ref="V90:AF90"/>
    <mergeCell ref="AJ90:AQ90"/>
    <mergeCell ref="C91:U91"/>
    <mergeCell ref="V91:AY91"/>
    <mergeCell ref="C92:U92"/>
    <mergeCell ref="V92:AY92"/>
    <mergeCell ref="C93:U93"/>
    <mergeCell ref="V93:AY93"/>
    <mergeCell ref="B95:C95"/>
    <mergeCell ref="D95:K95"/>
    <mergeCell ref="L95:S95"/>
    <mergeCell ref="T95:U95"/>
    <mergeCell ref="V95:Y95"/>
    <mergeCell ref="Z95:AD95"/>
    <mergeCell ref="AE95:AH95"/>
    <mergeCell ref="AI95:AP95"/>
    <mergeCell ref="AQ95:AY95"/>
    <mergeCell ref="B96:C96"/>
    <mergeCell ref="D96:K96"/>
    <mergeCell ref="L96:S96"/>
    <mergeCell ref="T96:U96"/>
    <mergeCell ref="V96:Y96"/>
    <mergeCell ref="Z96:AD96"/>
    <mergeCell ref="AE96:AH96"/>
    <mergeCell ref="AI96:AP96"/>
    <mergeCell ref="AQ96:AY96"/>
    <mergeCell ref="B97:U97"/>
    <mergeCell ref="V97:AY97"/>
    <mergeCell ref="C98:U98"/>
    <mergeCell ref="V98:AF98"/>
    <mergeCell ref="AJ98:AQ98"/>
    <mergeCell ref="C99:U99"/>
    <mergeCell ref="V99:AY99"/>
    <mergeCell ref="C100:U100"/>
    <mergeCell ref="V100:AY100"/>
    <mergeCell ref="C101:U101"/>
    <mergeCell ref="V101:AY101"/>
    <mergeCell ref="B103:C103"/>
    <mergeCell ref="D103:K103"/>
    <mergeCell ref="L103:S103"/>
    <mergeCell ref="T103:U103"/>
    <mergeCell ref="V103:Y103"/>
    <mergeCell ref="Z103:AD103"/>
    <mergeCell ref="AE103:AH103"/>
    <mergeCell ref="AI103:AP103"/>
    <mergeCell ref="AQ103:AY103"/>
    <mergeCell ref="B104:C104"/>
    <mergeCell ref="D104:K104"/>
    <mergeCell ref="L104:S104"/>
    <mergeCell ref="T104:U104"/>
    <mergeCell ref="V104:Y104"/>
    <mergeCell ref="Z104:AD104"/>
    <mergeCell ref="AE104:AH104"/>
    <mergeCell ref="AI104:AP104"/>
    <mergeCell ref="AQ104:AY104"/>
    <mergeCell ref="B105:U105"/>
    <mergeCell ref="V105:AY105"/>
    <mergeCell ref="C106:U106"/>
    <mergeCell ref="V106:AF106"/>
    <mergeCell ref="AJ106:AQ106"/>
    <mergeCell ref="C107:U107"/>
    <mergeCell ref="V107:AY107"/>
    <mergeCell ref="C108:U108"/>
    <mergeCell ref="V108:AY108"/>
    <mergeCell ref="C109:U109"/>
    <mergeCell ref="V109:AY109"/>
    <mergeCell ref="B111:C111"/>
    <mergeCell ref="D111:K111"/>
    <mergeCell ref="L111:S111"/>
    <mergeCell ref="T111:U111"/>
    <mergeCell ref="V111:Y111"/>
    <mergeCell ref="Z111:AD111"/>
    <mergeCell ref="AE111:AH111"/>
    <mergeCell ref="AI111:AP111"/>
    <mergeCell ref="AQ111:AY111"/>
    <mergeCell ref="B112:C112"/>
    <mergeCell ref="D112:K112"/>
    <mergeCell ref="L112:S112"/>
    <mergeCell ref="T112:U112"/>
    <mergeCell ref="V112:Y112"/>
    <mergeCell ref="Z112:AD112"/>
    <mergeCell ref="AE112:AH112"/>
    <mergeCell ref="AI112:AP112"/>
    <mergeCell ref="AQ112:AY112"/>
    <mergeCell ref="B113:U113"/>
    <mergeCell ref="V113:AY113"/>
    <mergeCell ref="C114:U114"/>
    <mergeCell ref="V114:AF114"/>
    <mergeCell ref="AJ114:AQ114"/>
    <mergeCell ref="C115:U115"/>
    <mergeCell ref="V115:AY115"/>
    <mergeCell ref="C116:U116"/>
    <mergeCell ref="V116:AY116"/>
    <mergeCell ref="C117:U117"/>
    <mergeCell ref="V117:AY117"/>
    <mergeCell ref="B119:C119"/>
    <mergeCell ref="D119:K119"/>
    <mergeCell ref="L119:S119"/>
    <mergeCell ref="T119:U119"/>
    <mergeCell ref="V119:Y119"/>
    <mergeCell ref="Z119:AD119"/>
    <mergeCell ref="AE119:AH119"/>
    <mergeCell ref="AI119:AP119"/>
    <mergeCell ref="AQ119:AY119"/>
    <mergeCell ref="B120:C120"/>
    <mergeCell ref="D120:K120"/>
    <mergeCell ref="L120:S120"/>
    <mergeCell ref="T120:U120"/>
    <mergeCell ref="V120:Y120"/>
    <mergeCell ref="Z120:AD120"/>
    <mergeCell ref="AE120:AH120"/>
    <mergeCell ref="AI120:AP120"/>
    <mergeCell ref="AQ120:AY120"/>
    <mergeCell ref="B121:U121"/>
    <mergeCell ref="V121:AY121"/>
    <mergeCell ref="C122:U122"/>
    <mergeCell ref="V122:AF122"/>
    <mergeCell ref="AJ122:AQ122"/>
    <mergeCell ref="C123:U123"/>
    <mergeCell ref="V123:AY123"/>
    <mergeCell ref="C124:U124"/>
    <mergeCell ref="V124:AY124"/>
    <mergeCell ref="C125:U125"/>
    <mergeCell ref="V125:AY125"/>
    <mergeCell ref="B127:C127"/>
    <mergeCell ref="D127:K127"/>
    <mergeCell ref="L127:S127"/>
    <mergeCell ref="T127:U127"/>
    <mergeCell ref="V127:Y127"/>
    <mergeCell ref="Z127:AD127"/>
    <mergeCell ref="AE127:AH127"/>
    <mergeCell ref="AI127:AP127"/>
    <mergeCell ref="AQ127:AY127"/>
    <mergeCell ref="B128:C128"/>
    <mergeCell ref="D128:K128"/>
    <mergeCell ref="L128:S128"/>
    <mergeCell ref="T128:U128"/>
    <mergeCell ref="V128:Y128"/>
    <mergeCell ref="Z128:AD128"/>
    <mergeCell ref="AE128:AH128"/>
    <mergeCell ref="AI128:AP128"/>
    <mergeCell ref="AQ128:AY128"/>
    <mergeCell ref="B129:U129"/>
    <mergeCell ref="V129:AY129"/>
    <mergeCell ref="C130:U130"/>
    <mergeCell ref="V130:AF130"/>
    <mergeCell ref="AJ130:AQ130"/>
    <mergeCell ref="C131:U131"/>
    <mergeCell ref="V131:AY131"/>
    <mergeCell ref="C132:U132"/>
    <mergeCell ref="V132:AY132"/>
    <mergeCell ref="C133:U133"/>
    <mergeCell ref="V133:AY133"/>
    <mergeCell ref="B135:C135"/>
    <mergeCell ref="D135:K135"/>
    <mergeCell ref="L135:S135"/>
    <mergeCell ref="T135:U135"/>
    <mergeCell ref="V135:Y135"/>
    <mergeCell ref="Z135:AD135"/>
    <mergeCell ref="AE135:AH135"/>
    <mergeCell ref="AI135:AP135"/>
    <mergeCell ref="AQ135:AY135"/>
    <mergeCell ref="B136:C136"/>
    <mergeCell ref="D136:K136"/>
    <mergeCell ref="L136:S136"/>
    <mergeCell ref="T136:U136"/>
    <mergeCell ref="V136:Y136"/>
    <mergeCell ref="Z136:AD136"/>
    <mergeCell ref="AE136:AH136"/>
    <mergeCell ref="AI136:AP136"/>
    <mergeCell ref="AQ136:AY136"/>
    <mergeCell ref="B137:U137"/>
    <mergeCell ref="V137:AY137"/>
    <mergeCell ref="C138:U138"/>
    <mergeCell ref="V138:AF138"/>
    <mergeCell ref="AJ138:AQ138"/>
    <mergeCell ref="C139:U139"/>
    <mergeCell ref="V139:AY139"/>
    <mergeCell ref="C140:U140"/>
    <mergeCell ref="V140:AY140"/>
    <mergeCell ref="C141:U141"/>
    <mergeCell ref="V141:AY141"/>
    <mergeCell ref="B143:C143"/>
    <mergeCell ref="D143:K143"/>
    <mergeCell ref="L143:S143"/>
    <mergeCell ref="T143:U143"/>
    <mergeCell ref="V143:Y143"/>
    <mergeCell ref="Z143:AD143"/>
    <mergeCell ref="AE143:AH143"/>
    <mergeCell ref="AI143:AP143"/>
    <mergeCell ref="AQ143:AY143"/>
    <mergeCell ref="B144:C144"/>
    <mergeCell ref="D144:K144"/>
    <mergeCell ref="L144:S144"/>
    <mergeCell ref="T144:U144"/>
    <mergeCell ref="V144:Y144"/>
    <mergeCell ref="Z144:AD144"/>
    <mergeCell ref="AE144:AH144"/>
    <mergeCell ref="AI144:AP144"/>
    <mergeCell ref="AQ144:AY144"/>
    <mergeCell ref="B145:U145"/>
    <mergeCell ref="V145:AY145"/>
    <mergeCell ref="C146:U146"/>
    <mergeCell ref="V146:AF146"/>
    <mergeCell ref="AJ146:AQ146"/>
    <mergeCell ref="C147:U147"/>
    <mergeCell ref="V147:AY147"/>
    <mergeCell ref="C148:U148"/>
    <mergeCell ref="V148:AY148"/>
    <mergeCell ref="C149:U149"/>
    <mergeCell ref="V149:AY149"/>
    <mergeCell ref="B154:N154"/>
    <mergeCell ref="O154:AY154"/>
    <mergeCell ref="B155:N155"/>
    <mergeCell ref="O155:AY155"/>
    <mergeCell ref="B156:N156"/>
    <mergeCell ref="O156:AY156"/>
    <mergeCell ref="B157:N157"/>
    <mergeCell ref="O157:AY157"/>
    <mergeCell ref="B160:N160"/>
    <mergeCell ref="O160:AY160"/>
    <mergeCell ref="B161:N161"/>
    <mergeCell ref="O161:AY161"/>
    <mergeCell ref="B162:N162"/>
    <mergeCell ref="O162:AY162"/>
    <mergeCell ref="B163:N163"/>
    <mergeCell ref="O163:AY163"/>
    <mergeCell ref="B166:N166"/>
    <mergeCell ref="O166:AY166"/>
    <mergeCell ref="B167:N167"/>
    <mergeCell ref="O167:AY167"/>
    <mergeCell ref="B168:N168"/>
    <mergeCell ref="O168:AY168"/>
    <mergeCell ref="B169:N169"/>
    <mergeCell ref="O169:AY169"/>
    <mergeCell ref="B170:N170"/>
    <mergeCell ref="O170:AY170"/>
    <mergeCell ref="B172:N172"/>
    <mergeCell ref="O172:AY172"/>
    <mergeCell ref="B173:N173"/>
    <mergeCell ref="O173:AY173"/>
    <mergeCell ref="B174:N174"/>
    <mergeCell ref="O174:AY174"/>
    <mergeCell ref="B175:N175"/>
    <mergeCell ref="O175:AY175"/>
    <mergeCell ref="B176:N176"/>
    <mergeCell ref="O176:AY176"/>
    <mergeCell ref="B179:N179"/>
    <mergeCell ref="O179:AY179"/>
    <mergeCell ref="B180:N180"/>
    <mergeCell ref="C181:N181"/>
    <mergeCell ref="O180:Z180"/>
    <mergeCell ref="AA180:AH180"/>
    <mergeCell ref="AI180:AY180"/>
    <mergeCell ref="O181:Z181"/>
    <mergeCell ref="C182:N182"/>
    <mergeCell ref="B183:N183"/>
    <mergeCell ref="O183:AY183"/>
    <mergeCell ref="AA181:AH181"/>
    <mergeCell ref="AI181:AT181"/>
    <mergeCell ref="AU181:AY181"/>
    <mergeCell ref="O182:AD182"/>
    <mergeCell ref="AF182:AY182"/>
    <mergeCell ref="C184:N184"/>
    <mergeCell ref="O184:AY184"/>
    <mergeCell ref="C185:N185"/>
    <mergeCell ref="O185:AA185"/>
    <mergeCell ref="AB185:AK185"/>
    <mergeCell ref="AL185:AY185"/>
    <mergeCell ref="B186:N186"/>
    <mergeCell ref="O186:AY186"/>
    <mergeCell ref="C187:N187"/>
    <mergeCell ref="O187:AA187"/>
    <mergeCell ref="AB187:AK187"/>
    <mergeCell ref="AL187:AY187"/>
    <mergeCell ref="B188:L188"/>
    <mergeCell ref="M188:N188"/>
    <mergeCell ref="O188:R188"/>
    <mergeCell ref="S188:AA188"/>
    <mergeCell ref="AB188:AC188"/>
    <mergeCell ref="AD188:AG188"/>
    <mergeCell ref="AH188:AQ188"/>
    <mergeCell ref="AR188:AU188"/>
    <mergeCell ref="AV188:AY188"/>
    <mergeCell ref="M189:N189"/>
    <mergeCell ref="O189:AC189"/>
    <mergeCell ref="AD189:AQ189"/>
    <mergeCell ref="AR189:AY189"/>
    <mergeCell ref="AD190:AQ190"/>
    <mergeCell ref="AR190:AY190"/>
    <mergeCell ref="M191:N191"/>
    <mergeCell ref="O191:AC191"/>
    <mergeCell ref="AD191:AQ191"/>
    <mergeCell ref="AR191:AY191"/>
    <mergeCell ref="M190:N190"/>
    <mergeCell ref="O190:AC190"/>
    <mergeCell ref="M192:N192"/>
    <mergeCell ref="O192:AC192"/>
    <mergeCell ref="AD192:AQ192"/>
    <mergeCell ref="AR192:AY192"/>
    <mergeCell ref="M193:N193"/>
    <mergeCell ref="O193:AC193"/>
    <mergeCell ref="AD193:AQ193"/>
    <mergeCell ref="AR193:AY193"/>
    <mergeCell ref="M194:N194"/>
    <mergeCell ref="O194:AC194"/>
    <mergeCell ref="AD194:AQ194"/>
    <mergeCell ref="AR194:AY194"/>
    <mergeCell ref="M195:N195"/>
    <mergeCell ref="O195:AC195"/>
    <mergeCell ref="AD195:AQ195"/>
    <mergeCell ref="AR195:AY195"/>
    <mergeCell ref="M196:N196"/>
    <mergeCell ref="O196:AC196"/>
    <mergeCell ref="AD196:AQ196"/>
    <mergeCell ref="AR196:AY196"/>
    <mergeCell ref="M197:N197"/>
    <mergeCell ref="O197:AC197"/>
    <mergeCell ref="AD197:AQ197"/>
    <mergeCell ref="AR197:AY197"/>
    <mergeCell ref="M198:N198"/>
    <mergeCell ref="O198:AC198"/>
    <mergeCell ref="AD198:AQ198"/>
    <mergeCell ref="AR198:AY198"/>
    <mergeCell ref="M199:N199"/>
    <mergeCell ref="O199:AC199"/>
    <mergeCell ref="AD199:AQ199"/>
    <mergeCell ref="AR199:AY199"/>
    <mergeCell ref="M200:N200"/>
    <mergeCell ref="O200:AC200"/>
    <mergeCell ref="AD200:AQ200"/>
    <mergeCell ref="AR200:AY200"/>
    <mergeCell ref="M201:N201"/>
    <mergeCell ref="O201:AC201"/>
    <mergeCell ref="AD201:AQ201"/>
    <mergeCell ref="AR201:AY201"/>
    <mergeCell ref="M202:N202"/>
    <mergeCell ref="O202:AC202"/>
    <mergeCell ref="AD202:AQ202"/>
    <mergeCell ref="AR202:AY202"/>
    <mergeCell ref="M203:N203"/>
    <mergeCell ref="O203:AC203"/>
    <mergeCell ref="AD203:AQ203"/>
    <mergeCell ref="AR203:AY203"/>
    <mergeCell ref="M204:N204"/>
    <mergeCell ref="O204:AC204"/>
    <mergeCell ref="AD204:AQ204"/>
    <mergeCell ref="AR204:AY204"/>
    <mergeCell ref="M205:N205"/>
    <mergeCell ref="O205:AC205"/>
    <mergeCell ref="AD205:AQ205"/>
    <mergeCell ref="AR205:AY205"/>
    <mergeCell ref="M206:N206"/>
    <mergeCell ref="O206:AC206"/>
    <mergeCell ref="AD206:AQ206"/>
    <mergeCell ref="AR206:AY206"/>
    <mergeCell ref="M207:N207"/>
    <mergeCell ref="O207:AC207"/>
    <mergeCell ref="AD207:AQ207"/>
    <mergeCell ref="AR207:AY207"/>
    <mergeCell ref="M208:N208"/>
    <mergeCell ref="O208:AC208"/>
    <mergeCell ref="AD208:AQ208"/>
    <mergeCell ref="AR208:AY208"/>
    <mergeCell ref="M209:N209"/>
    <mergeCell ref="O209:AC209"/>
    <mergeCell ref="AD209:AQ209"/>
    <mergeCell ref="AR209:AY209"/>
    <mergeCell ref="AR214:AY214"/>
    <mergeCell ref="M215:N215"/>
    <mergeCell ref="O215:AC215"/>
    <mergeCell ref="AD215:AQ215"/>
    <mergeCell ref="AR215:AY215"/>
    <mergeCell ref="M210:N210"/>
    <mergeCell ref="O210:AC210"/>
    <mergeCell ref="AD210:AQ210"/>
    <mergeCell ref="AR210:AY210"/>
    <mergeCell ref="M211:N211"/>
    <mergeCell ref="O211:AC211"/>
    <mergeCell ref="AD211:AQ211"/>
    <mergeCell ref="AR211:AY211"/>
    <mergeCell ref="M212:N212"/>
    <mergeCell ref="O212:AC212"/>
    <mergeCell ref="AD212:AQ212"/>
    <mergeCell ref="AR212:AY212"/>
    <mergeCell ref="M216:N216"/>
    <mergeCell ref="O216:AC216"/>
    <mergeCell ref="AD216:AQ216"/>
    <mergeCell ref="AR216:AY216"/>
    <mergeCell ref="M217:N217"/>
    <mergeCell ref="O217:AC217"/>
    <mergeCell ref="AD217:AQ217"/>
    <mergeCell ref="AR217:AY217"/>
    <mergeCell ref="B221:N221"/>
    <mergeCell ref="O221:AY221"/>
    <mergeCell ref="M218:N218"/>
    <mergeCell ref="O218:AC218"/>
    <mergeCell ref="AD218:AQ218"/>
    <mergeCell ref="AR218:AY218"/>
    <mergeCell ref="B220:N220"/>
    <mergeCell ref="O220:AY220"/>
    <mergeCell ref="C189:L218"/>
    <mergeCell ref="M214:N214"/>
    <mergeCell ref="M213:N213"/>
    <mergeCell ref="O213:AC213"/>
    <mergeCell ref="AD213:AQ213"/>
    <mergeCell ref="AR213:AY213"/>
    <mergeCell ref="O214:AC214"/>
    <mergeCell ref="AD214:AQ214"/>
  </mergeCells>
  <phoneticPr fontId="1"/>
  <conditionalFormatting sqref="B166:N170">
    <cfRule type="expression" dxfId="92" priority="12">
      <formula>$O$16&lt;&gt;"Avaya AES連携"</formula>
    </cfRule>
  </conditionalFormatting>
  <conditionalFormatting sqref="B89:U93">
    <cfRule type="expression" dxfId="91" priority="100">
      <formula>#REF!="無し"</formula>
    </cfRule>
  </conditionalFormatting>
  <conditionalFormatting sqref="B97:U101">
    <cfRule type="expression" dxfId="90" priority="102">
      <formula>#REF!="無し"</formula>
    </cfRule>
  </conditionalFormatting>
  <conditionalFormatting sqref="B105:U109">
    <cfRule type="expression" dxfId="89" priority="70">
      <formula>#REF!="無し"</formula>
    </cfRule>
  </conditionalFormatting>
  <conditionalFormatting sqref="B113:U117 B129:U133">
    <cfRule type="expression" dxfId="88" priority="73">
      <formula>#REF!="無し"</formula>
    </cfRule>
  </conditionalFormatting>
  <conditionalFormatting sqref="B121:U125 B137:U141">
    <cfRule type="expression" dxfId="87" priority="72">
      <formula>#REF!="無し"</formula>
    </cfRule>
  </conditionalFormatting>
  <conditionalFormatting sqref="B145:U149">
    <cfRule type="expression" dxfId="86" priority="71">
      <formula>#REF!="無し"</formula>
    </cfRule>
  </conditionalFormatting>
  <conditionalFormatting sqref="B13:AY13">
    <cfRule type="expression" dxfId="85" priority="99">
      <formula>$O$12="有り"</formula>
    </cfRule>
  </conditionalFormatting>
  <conditionalFormatting sqref="B19:AY19">
    <cfRule type="expression" dxfId="84" priority="36">
      <formula>$O$16&lt;&gt;"AVAYA(AES連携無し)"</formula>
    </cfRule>
  </conditionalFormatting>
  <conditionalFormatting sqref="B20:AY20">
    <cfRule type="expression" dxfId="83" priority="35">
      <formula>$F$6&lt;&gt;"NextGen"</formula>
    </cfRule>
  </conditionalFormatting>
  <conditionalFormatting sqref="B32:AY32">
    <cfRule type="expression" dxfId="82" priority="29">
      <formula>$F$6="NextGen"</formula>
    </cfRule>
  </conditionalFormatting>
  <conditionalFormatting sqref="B42:AY43">
    <cfRule type="expression" dxfId="81" priority="77">
      <formula>$F$5&amp;$F$6&lt;&gt;"本番Animo"</formula>
    </cfRule>
  </conditionalFormatting>
  <conditionalFormatting sqref="B45:AY46">
    <cfRule type="expression" dxfId="80" priority="28">
      <formula>$F$5&amp;$F$6&lt;&gt;"本番Animo"</formula>
    </cfRule>
  </conditionalFormatting>
  <conditionalFormatting sqref="B49:AY50">
    <cfRule type="expression" dxfId="79" priority="26">
      <formula>$F$5&lt;&gt;本番</formula>
    </cfRule>
    <cfRule type="expression" dxfId="78" priority="27">
      <formula>$F$5&lt;&gt;"本番"</formula>
    </cfRule>
  </conditionalFormatting>
  <conditionalFormatting sqref="B66:AY74">
    <cfRule type="expression" dxfId="77" priority="80">
      <formula>$F$6&lt;&gt;"NextGen"</formula>
    </cfRule>
  </conditionalFormatting>
  <conditionalFormatting sqref="B81:AY81 AJ82 B82:U85">
    <cfRule type="expression" dxfId="76" priority="101">
      <formula>#REF!="無し"</formula>
    </cfRule>
  </conditionalFormatting>
  <conditionalFormatting sqref="B111:AY111 B112:C112 T112:AP112 B113:AY119 B120:C120 T120:AY120 B121:AY127 B128:C128 T128:AY128 B129:AY135 B136:C136 T136:AY136 B137:AY141">
    <cfRule type="expression" dxfId="75" priority="40">
      <formula>$F$6&lt;&gt;"Animo"</formula>
    </cfRule>
  </conditionalFormatting>
  <conditionalFormatting sqref="B143:AY143 B144:K144 B145:U149">
    <cfRule type="expression" dxfId="74" priority="69">
      <formula>$F$5&lt;&gt;"本番"</formula>
    </cfRule>
  </conditionalFormatting>
  <conditionalFormatting sqref="B155:AY157">
    <cfRule type="expression" dxfId="73" priority="39">
      <formula>$O$154="無し"</formula>
    </cfRule>
  </conditionalFormatting>
  <conditionalFormatting sqref="B161:AY163">
    <cfRule type="expression" dxfId="72" priority="38">
      <formula>$O$160="無し"</formula>
    </cfRule>
  </conditionalFormatting>
  <conditionalFormatting sqref="B172:AY176">
    <cfRule type="expression" dxfId="71" priority="37">
      <formula>$O$16&lt;&gt;"Avaya AES"</formula>
    </cfRule>
  </conditionalFormatting>
  <conditionalFormatting sqref="B186:AY187">
    <cfRule type="expression" dxfId="70" priority="30">
      <formula>$F$6&lt;&gt;"Animo"</formula>
    </cfRule>
  </conditionalFormatting>
  <conditionalFormatting sqref="B220:AY221">
    <cfRule type="expression" dxfId="69" priority="31">
      <formula>$O$16&lt;&gt;"NEC SV OAI連携"</formula>
    </cfRule>
  </conditionalFormatting>
  <conditionalFormatting sqref="C185:AA185">
    <cfRule type="expression" dxfId="68" priority="9">
      <formula>$F$6&lt;&gt;"Animo"</formula>
    </cfRule>
  </conditionalFormatting>
  <conditionalFormatting sqref="D80:K80">
    <cfRule type="expression" dxfId="67" priority="25">
      <formula>$F$6&lt;&gt;"Animo"</formula>
    </cfRule>
  </conditionalFormatting>
  <conditionalFormatting sqref="D88:K88">
    <cfRule type="expression" dxfId="66" priority="24">
      <formula>$F$6&lt;&gt;"Animo"</formula>
    </cfRule>
  </conditionalFormatting>
  <conditionalFormatting sqref="D96:K96">
    <cfRule type="expression" dxfId="65" priority="23">
      <formula>$F$6&lt;&gt;"Animo"</formula>
    </cfRule>
  </conditionalFormatting>
  <conditionalFormatting sqref="D104:K104">
    <cfRule type="expression" dxfId="64" priority="22">
      <formula>$F$6&lt;&gt;"Animo"</formula>
    </cfRule>
  </conditionalFormatting>
  <conditionalFormatting sqref="G77">
    <cfRule type="expression" dxfId="63" priority="95">
      <formula>#REF!="無し"</formula>
    </cfRule>
  </conditionalFormatting>
  <conditionalFormatting sqref="M189:AY218">
    <cfRule type="expression" dxfId="62" priority="78">
      <formula>$M189=""</formula>
    </cfRule>
  </conditionalFormatting>
  <conditionalFormatting sqref="O167:AY169">
    <cfRule type="expression" dxfId="61" priority="8">
      <formula>$O$161="無し"</formula>
    </cfRule>
  </conditionalFormatting>
  <conditionalFormatting sqref="V80">
    <cfRule type="expression" dxfId="60" priority="91">
      <formula>#REF!="無し"</formula>
    </cfRule>
  </conditionalFormatting>
  <conditionalFormatting sqref="V82">
    <cfRule type="expression" dxfId="59" priority="76">
      <formula>#REF!="無し"</formula>
    </cfRule>
  </conditionalFormatting>
  <conditionalFormatting sqref="V88">
    <cfRule type="expression" dxfId="58" priority="89">
      <formula>#REF!="無し"</formula>
    </cfRule>
  </conditionalFormatting>
  <conditionalFormatting sqref="V90 AJ90 V91:AY93">
    <cfRule type="expression" dxfId="57" priority="93">
      <formula>#REF!="無し"</formula>
    </cfRule>
  </conditionalFormatting>
  <conditionalFormatting sqref="V98">
    <cfRule type="expression" dxfId="56" priority="4">
      <formula>#REF!="無し"</formula>
    </cfRule>
  </conditionalFormatting>
  <conditionalFormatting sqref="V114">
    <cfRule type="expression" dxfId="55" priority="68">
      <formula>#REF!="無し"</formula>
    </cfRule>
  </conditionalFormatting>
  <conditionalFormatting sqref="V146">
    <cfRule type="expression" dxfId="54" priority="15">
      <formula>#REF!="無し"</formula>
    </cfRule>
  </conditionalFormatting>
  <conditionalFormatting sqref="V80:Y80">
    <cfRule type="expression" dxfId="53" priority="90">
      <formula>$T$80&lt;&gt;"有"</formula>
    </cfRule>
  </conditionalFormatting>
  <conditionalFormatting sqref="V88:Y88">
    <cfRule type="expression" dxfId="52" priority="88">
      <formula>$T$88&lt;&gt;"有"</formula>
    </cfRule>
  </conditionalFormatting>
  <conditionalFormatting sqref="V96:Y96 AQ96:AY96">
    <cfRule type="expression" dxfId="51" priority="86">
      <formula>$T$96&lt;&gt;"有"</formula>
    </cfRule>
  </conditionalFormatting>
  <conditionalFormatting sqref="V104:Y104">
    <cfRule type="expression" dxfId="50" priority="10">
      <formula>$T$96&lt;&gt;"有"</formula>
    </cfRule>
  </conditionalFormatting>
  <conditionalFormatting sqref="V112:Y112">
    <cfRule type="expression" dxfId="49" priority="54">
      <formula>$T$112&lt;&gt;"有"</formula>
    </cfRule>
  </conditionalFormatting>
  <conditionalFormatting sqref="V120:Y120 AQ120:AY120">
    <cfRule type="expression" dxfId="48" priority="56">
      <formula>$T$120&lt;&gt;"有"</formula>
    </cfRule>
  </conditionalFormatting>
  <conditionalFormatting sqref="V128:Y128 AQ128:AY128 V130:AY133">
    <cfRule type="expression" dxfId="47" priority="57">
      <formula>$T$128&lt;&gt;"有"</formula>
    </cfRule>
  </conditionalFormatting>
  <conditionalFormatting sqref="V136:Y136">
    <cfRule type="expression" dxfId="46" priority="58">
      <formula>$T$136&lt;&gt;"有"</formula>
    </cfRule>
  </conditionalFormatting>
  <conditionalFormatting sqref="V144:Y144">
    <cfRule type="expression" dxfId="45" priority="59">
      <formula>$T$144&lt;&gt;"有"</formula>
    </cfRule>
  </conditionalFormatting>
  <conditionalFormatting sqref="V98:AX98">
    <cfRule type="expression" dxfId="44" priority="3">
      <formula>$T$79&lt;&gt;"有"</formula>
    </cfRule>
  </conditionalFormatting>
  <conditionalFormatting sqref="V82:AY85">
    <cfRule type="expression" dxfId="43" priority="74">
      <formula>$T$80&lt;&gt;"有"</formula>
    </cfRule>
  </conditionalFormatting>
  <conditionalFormatting sqref="V83:AY85">
    <cfRule type="expression" dxfId="42" priority="75">
      <formula>#REF!="無し"</formula>
    </cfRule>
  </conditionalFormatting>
  <conditionalFormatting sqref="V89:AY89">
    <cfRule type="expression" dxfId="41" priority="94">
      <formula>#REF!="無し"</formula>
    </cfRule>
  </conditionalFormatting>
  <conditionalFormatting sqref="V90:AY93">
    <cfRule type="expression" dxfId="40" priority="92">
      <formula>$T$88&lt;&gt;"有"</formula>
    </cfRule>
  </conditionalFormatting>
  <conditionalFormatting sqref="V97:AY97">
    <cfRule type="expression" dxfId="39" priority="7">
      <formula>#REF!="無し"</formula>
    </cfRule>
  </conditionalFormatting>
  <conditionalFormatting sqref="V105:AY105 V113:AY113 V121:AY121 V129:AY129 V137:AY137 V145:AY145">
    <cfRule type="expression" dxfId="38" priority="64">
      <formula>#REF!="無し"</formula>
    </cfRule>
  </conditionalFormatting>
  <conditionalFormatting sqref="V106:AY109">
    <cfRule type="expression" dxfId="37" priority="60">
      <formula>$T$104&lt;&gt;"有"</formula>
    </cfRule>
  </conditionalFormatting>
  <conditionalFormatting sqref="V114:AY117">
    <cfRule type="expression" dxfId="36" priority="63">
      <formula>$T$112&lt;&gt;"有"</formula>
    </cfRule>
  </conditionalFormatting>
  <conditionalFormatting sqref="V115:AY117">
    <cfRule type="expression" dxfId="35" priority="66">
      <formula>#REF!="無し"</formula>
    </cfRule>
  </conditionalFormatting>
  <conditionalFormatting sqref="V122:AY126">
    <cfRule type="expression" dxfId="34" priority="55">
      <formula>$T$120&lt;&gt;"有"</formula>
    </cfRule>
  </conditionalFormatting>
  <conditionalFormatting sqref="V146:AY146">
    <cfRule type="expression" dxfId="33" priority="14">
      <formula>$T$80&lt;&gt;"有"</formula>
    </cfRule>
  </conditionalFormatting>
  <conditionalFormatting sqref="V147:AY149">
    <cfRule type="expression" dxfId="32" priority="65">
      <formula>#REF!="無し"</formula>
    </cfRule>
  </conditionalFormatting>
  <conditionalFormatting sqref="Z80:AP80">
    <cfRule type="expression" dxfId="31" priority="85">
      <formula>$V$80&lt;&gt;"有り"</formula>
    </cfRule>
  </conditionalFormatting>
  <conditionalFormatting sqref="Z88:AP88">
    <cfRule type="expression" dxfId="30" priority="84">
      <formula>#REF!="無し"</formula>
    </cfRule>
    <cfRule type="expression" dxfId="29" priority="83">
      <formula>$V$88&lt;&gt;"有り"</formula>
    </cfRule>
  </conditionalFormatting>
  <conditionalFormatting sqref="Z96:AP96">
    <cfRule type="expression" dxfId="28" priority="81">
      <formula>$V$96&lt;&gt;"有り"</formula>
    </cfRule>
    <cfRule type="expression" dxfId="27" priority="82">
      <formula>#REF!="無し"</formula>
    </cfRule>
  </conditionalFormatting>
  <conditionalFormatting sqref="Z104:AP104">
    <cfRule type="expression" dxfId="26" priority="52">
      <formula>#REF!="無し"</formula>
    </cfRule>
    <cfRule type="expression" dxfId="25" priority="51">
      <formula>$V$104&lt;&gt;"有り"</formula>
    </cfRule>
  </conditionalFormatting>
  <conditionalFormatting sqref="Z112:AP112">
    <cfRule type="expression" dxfId="24" priority="50">
      <formula>#REF!="無し"</formula>
    </cfRule>
    <cfRule type="expression" dxfId="23" priority="49">
      <formula>$V$112&lt;&gt;"有り"</formula>
    </cfRule>
  </conditionalFormatting>
  <conditionalFormatting sqref="Z120:AP120">
    <cfRule type="expression" dxfId="22" priority="48">
      <formula>#REF!="無し"</formula>
    </cfRule>
    <cfRule type="expression" dxfId="21" priority="47">
      <formula>$V$120&lt;&gt;"有り"</formula>
    </cfRule>
  </conditionalFormatting>
  <conditionalFormatting sqref="Z128:AP128">
    <cfRule type="expression" dxfId="20" priority="45">
      <formula>$V$128&lt;&gt;"有り"</formula>
    </cfRule>
    <cfRule type="expression" dxfId="19" priority="46">
      <formula>#REF!="無し"</formula>
    </cfRule>
  </conditionalFormatting>
  <conditionalFormatting sqref="Z136:AP136">
    <cfRule type="expression" dxfId="18" priority="43">
      <formula>$V$136&lt;&gt;"有り"</formula>
    </cfRule>
    <cfRule type="expression" dxfId="17" priority="44">
      <formula>#REF!="無し"</formula>
    </cfRule>
  </conditionalFormatting>
  <conditionalFormatting sqref="Z144:AP144">
    <cfRule type="expression" dxfId="16" priority="42">
      <formula>#REF!="無し"</formula>
    </cfRule>
    <cfRule type="expression" dxfId="15" priority="41">
      <formula>$V$144&lt;&gt;"有り"</formula>
    </cfRule>
  </conditionalFormatting>
  <conditionalFormatting sqref="Z80:AY80">
    <cfRule type="expression" dxfId="14" priority="98">
      <formula>#REF!="無し"</formula>
    </cfRule>
  </conditionalFormatting>
  <conditionalFormatting sqref="AD189:AQ218">
    <cfRule type="expression" dxfId="13" priority="34">
      <formula>$AH$188="DHCP"</formula>
    </cfRule>
  </conditionalFormatting>
  <conditionalFormatting sqref="AE7">
    <cfRule type="expression" dxfId="12" priority="11">
      <formula>#REF!="無し"</formula>
    </cfRule>
  </conditionalFormatting>
  <conditionalFormatting sqref="AE4:AY4 AE5 AE6:AY6">
    <cfRule type="expression" dxfId="11" priority="32">
      <formula>#REF!="無し"</formula>
    </cfRule>
  </conditionalFormatting>
  <conditionalFormatting sqref="AE8:AY10">
    <cfRule type="expression" dxfId="10" priority="33">
      <formula>#REF!="無し"</formula>
    </cfRule>
  </conditionalFormatting>
  <conditionalFormatting sqref="AJ98">
    <cfRule type="expression" dxfId="9" priority="5">
      <formula>#REF!="無し"</formula>
    </cfRule>
  </conditionalFormatting>
  <conditionalFormatting sqref="AJ114">
    <cfRule type="expression" dxfId="8" priority="67">
      <formula>#REF!="無し"</formula>
    </cfRule>
  </conditionalFormatting>
  <conditionalFormatting sqref="AJ146">
    <cfRule type="expression" dxfId="7" priority="16">
      <formula>#REF!="無し"</formula>
    </cfRule>
  </conditionalFormatting>
  <conditionalFormatting sqref="AQ88:AY88">
    <cfRule type="expression" dxfId="6" priority="97">
      <formula>$T$64="無し"</formula>
    </cfRule>
  </conditionalFormatting>
  <conditionalFormatting sqref="AQ104:AY104">
    <cfRule type="expression" dxfId="5" priority="13">
      <formula>$T$64="無し"</formula>
    </cfRule>
  </conditionalFormatting>
  <conditionalFormatting sqref="AQ112:AY112">
    <cfRule type="expression" dxfId="4" priority="17">
      <formula>$T$64="無し"</formula>
    </cfRule>
  </conditionalFormatting>
  <conditionalFormatting sqref="AQ136:AY136 V138:AY141">
    <cfRule type="expression" dxfId="3" priority="61">
      <formula>$T$136&lt;&gt;"有"</formula>
    </cfRule>
  </conditionalFormatting>
  <conditionalFormatting sqref="AQ144:AY144 V147:AY149">
    <cfRule type="expression" dxfId="2" priority="62">
      <formula>$T$144&lt;&gt;"有"</formula>
    </cfRule>
  </conditionalFormatting>
  <conditionalFormatting sqref="AR189:AY218">
    <cfRule type="expression" dxfId="1" priority="79">
      <formula>$AV$188="無し"</formula>
    </cfRule>
  </conditionalFormatting>
  <conditionalFormatting sqref="AY98 V99:AY101">
    <cfRule type="expression" dxfId="0" priority="6">
      <formula>$T$95&lt;&gt;"有"</formula>
    </cfRule>
  </conditionalFormatting>
  <dataValidations count="23">
    <dataValidation type="list" allowBlank="1" showInputMessage="1" showErrorMessage="1" sqref="O179:AY179" xr:uid="{DC50DC66-3AF6-4864-82BB-FD062D1DD9E6}">
      <formula1>"録音形式を選択してください,dat,wav"</formula1>
    </dataValidation>
    <dataValidation type="list" allowBlank="1" showInputMessage="1" showErrorMessage="1" sqref="O156:AY156" xr:uid="{00000000-0002-0000-0000-000015000000}">
      <formula1>"バージョンを指定してください,V1,V2,V2c,V3"</formula1>
    </dataValidation>
    <dataValidation type="list" allowBlank="1" showInputMessage="1" showErrorMessage="1" sqref="O155:AY155" xr:uid="{00000000-0002-0000-0000-000014000000}">
      <formula1>"NICを指定してください,Host側,iLO側"</formula1>
    </dataValidation>
    <dataValidation type="list" allowBlank="1" showInputMessage="1" showErrorMessage="1" sqref="O170:AY170" xr:uid="{D032B200-9409-48D9-9AFC-AE00554E0FFF}">
      <formula1>"PBX種別を選択してください,Avaya AES,OKI CT Stage,AspireUX,AspireWX,その他"</formula1>
    </dataValidation>
    <dataValidation type="list" allowBlank="1" showInputMessage="1" showErrorMessage="1" sqref="O12:AY12 V96:Y96 V80:Y80 V88:Y88 V136:Y136 V144:Y144 V112:Y112 V120:Y120 V128:Y128 V104:Y104" xr:uid="{00000000-0002-0000-0000-000012000000}">
      <formula1>"有り,無し"</formula1>
    </dataValidation>
    <dataValidation type="list" allowBlank="1" showInputMessage="1" showErrorMessage="1" sqref="AI80:AP80 AI88:AP88 AI96:AP96 AI104:AP104 AI112:AP112 AI120:AP120 AI128:AP128 AI136:AP136" xr:uid="{00000000-0002-0000-0000-000011000000}">
      <formula1>"－,アクティブ,スタンバイ"</formula1>
    </dataValidation>
    <dataValidation type="list" allowBlank="1" showInputMessage="1" showErrorMessage="1" sqref="AE80:AH80 AE88:AH88 AE96:AH96 AE104:AH104 AE112:AH112 AE120:AH120 AE128:AH128 AE136:AH136" xr:uid="{00000000-0002-0000-0000-000010000000}">
      <formula1>"－,動的,アドレスのハッシュ,Hyper-V ポート"</formula1>
    </dataValidation>
    <dataValidation type="list" allowBlank="1" showInputMessage="1" showErrorMessage="1" sqref="Z80:AD80 Z88:AD88 Z96:AD96 Z104:AD104 Z112:AD112 Z120:AD120 Z128:AD128 Z136:AD136" xr:uid="{00000000-0002-0000-0000-00000F000000}">
      <formula1>"－,スイッチに依存しない,静的チーミング,LACP"</formula1>
    </dataValidation>
    <dataValidation type="list" allowBlank="1" showInputMessage="1" showErrorMessage="1" sqref="O68:O70" xr:uid="{00000000-0002-0000-0000-00000E000000}">
      <formula1>"0,1,5,6,10,50"</formula1>
    </dataValidation>
    <dataValidation type="list" allowBlank="1" showInputMessage="1" showErrorMessage="1" sqref="AK57:AK61" xr:uid="{031C832E-DFE8-42D9-9651-D535DC34F2FE}">
      <formula1>"NTFS,FAT,FAT32,No Format"</formula1>
    </dataValidation>
    <dataValidation type="list" allowBlank="1" showInputMessage="1" showErrorMessage="1" sqref="AF57:AF61" xr:uid="{95779094-3ACA-4CAA-8D7B-BF2D839100FE}">
      <formula1>"プライマリ,拡張/論理"</formula1>
    </dataValidation>
    <dataValidation type="list" allowBlank="1" showInputMessage="1" showErrorMessage="1" sqref="R57:R61" xr:uid="{914124F7-4C62-477C-BA6E-3C7A9E613DD8}">
      <formula1>"MBR,GPT"</formula1>
    </dataValidation>
    <dataValidation allowBlank="1" sqref="R68 R71 AS188:AU188 AD188:AG188 O188:O218 V68:AY73 AR188:AR218 AD189:AD218" xr:uid="{00000000-0002-0000-0000-00000A000000}"/>
    <dataValidation type="list" allowBlank="1" showInputMessage="1" showErrorMessage="1" sqref="F5" xr:uid="{00000000-0002-0000-0000-000009000000}">
      <formula1>"POCか本番かを選択してください,POC,本番"</formula1>
    </dataValidation>
    <dataValidation type="list" allowBlank="1" showInputMessage="1" showErrorMessage="1" sqref="F6" xr:uid="{00000000-0002-0000-0000-000008000000}">
      <formula1>"音声録音アプリを選択してください,Animo,NextGen"</formula1>
    </dataValidation>
    <dataValidation type="list" allowBlank="1" showInputMessage="1" showErrorMessage="1" sqref="F53:P53" xr:uid="{00000000-0002-0000-0000-000007000000}">
      <formula1>"RAIDレベルを選択してください,0,1,5,6"</formula1>
    </dataValidation>
    <dataValidation type="list" allowBlank="1" showInputMessage="1" showErrorMessage="1" sqref="T80:U80 T88:U88 T96:U96 T144:U144 T112:U112 T120:U120 T128:U128 T136:U136 T104:U104" xr:uid="{00000000-0002-0000-0000-000006000000}">
      <formula1>"有,無"</formula1>
    </dataValidation>
    <dataValidation type="list" allowBlank="1" sqref="O16:AY16" xr:uid="{00000000-0002-0000-0000-000005000000}">
      <formula1>"PBX種別を選択してください,AVAYA(AES連携無し),AVAYA AES連携,NEC AspireUX,NEC AspireWX,NEC SV OAI連携,OKI CTStage,BIZTEL,GENESYS PureConnect,富士通PBX(SIP),NTTクラウドPBX,その他()"</formula1>
    </dataValidation>
    <dataValidation type="list" allowBlank="1" showInputMessage="1" showErrorMessage="1" sqref="O184:AY184" xr:uid="{4E943FAF-DED7-4501-846E-1AFDF0E9FDF0}">
      <formula1>"リアルタイム,バッチ,　,"</formula1>
    </dataValidation>
    <dataValidation type="list" allowBlank="1" showInputMessage="1" showErrorMessage="1" sqref="AH188:AQ188" xr:uid="{00000000-0002-0000-0000-000003000000}">
      <formula1>"STATIC,DHCP,　,"</formula1>
    </dataValidation>
    <dataValidation type="list" allowBlank="1" showInputMessage="1" showErrorMessage="1" sqref="AV188:AY188 O187:AA187 O185:AA185" xr:uid="{00000000-0002-0000-0000-000002000000}">
      <formula1>"有り,無し,　,"</formula1>
    </dataValidation>
    <dataValidation type="list" allowBlank="1" showInputMessage="1" showErrorMessage="1" sqref="X23:AY23" xr:uid="{00000000-0002-0000-0000-000001000000}">
      <formula1>"DL360 Gen8,DL360 Gen10,DL20 Gen10,　,"</formula1>
    </dataValidation>
    <dataValidation type="list" allowBlank="1" sqref="D144:K144" xr:uid="{00000000-0002-0000-0000-000000000000}">
      <formula1>"iLO専用NIC,Nic1を兼用"</formula1>
    </dataValidation>
  </dataValidations>
  <hyperlinks>
    <hyperlink ref="O181" r:id="rId1" display="https://df9743f-infomart.an.r.appspot.com/login" xr:uid="{3199D9EB-44D8-44C2-BD2F-1A5CFDCEA8E5}"/>
  </hyperlinks>
  <pageMargins left="0.70866141732283461" right="0.70866141732283461" top="0.74803149606299213" bottom="0.74803149606299213" header="0.31496062992125984" footer="0.31496062992125984"/>
  <pageSetup paperSize="9" scale="80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32" r:id="rId5" name="Check Box 12">
              <controlPr defaultSize="0" autoFill="0" autoLine="0" autoPict="0">
                <anchor moveWithCells="1" sizeWithCells="1">
                  <from>
                    <xdr:col>21</xdr:col>
                    <xdr:colOff>142875</xdr:colOff>
                    <xdr:row>7</xdr:row>
                    <xdr:rowOff>142875</xdr:rowOff>
                  </from>
                  <to>
                    <xdr:col>23</xdr:col>
                    <xdr:colOff>57150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6" name="Check Box 13">
              <controlPr defaultSize="0" autoFill="0" autoLine="0" autoPict="0">
                <anchor moveWithCells="1" sizeWithCells="1">
                  <from>
                    <xdr:col>21</xdr:col>
                    <xdr:colOff>142875</xdr:colOff>
                    <xdr:row>8</xdr:row>
                    <xdr:rowOff>152400</xdr:rowOff>
                  </from>
                  <to>
                    <xdr:col>23</xdr:col>
                    <xdr:colOff>57150</xdr:colOff>
                    <xdr:row>10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東京DC_VTManager</vt:lpstr>
      <vt:lpstr>東京DC_VTRecServer</vt:lpstr>
      <vt:lpstr>大阪DC_VTRecServer2</vt:lpstr>
      <vt:lpstr>大阪DC_VTRecServer2!Print_Area</vt:lpstr>
      <vt:lpstr>東京DC_VTManager!Print_Area</vt:lpstr>
      <vt:lpstr>東京DC_VTRecServer!Print_Area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 陽一</dc:creator>
  <cp:lastModifiedBy>Umemura Mitsuo-I-DIGIO</cp:lastModifiedBy>
  <cp:lastPrinted>2020-07-06T02:03:39Z</cp:lastPrinted>
  <dcterms:created xsi:type="dcterms:W3CDTF">2018-07-12T04:12:24Z</dcterms:created>
  <dcterms:modified xsi:type="dcterms:W3CDTF">2025-10-30T07:08:17Z</dcterms:modified>
</cp:coreProperties>
</file>